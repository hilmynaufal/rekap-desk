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py of Kertas Kerja" sheetId="1" state="hidden" r:id="rId1"/>
    <sheet name="Ref" sheetId="2" state="visible" r:id="rId2"/>
    <sheet name="Kertas Kerja - All" sheetId="3" state="visible" r:id="rId3"/>
    <sheet name="cleansing Kertas Kerja" sheetId="4" state="visible" r:id="rId4"/>
    <sheet name="Kertaskerja_Final" sheetId="5" state="visible" r:id="rId5"/>
    <sheet name="Rekap - Jumlah Aplikasi" sheetId="6" state="visible" r:id="rId6"/>
    <sheet name="Rekap - Layanan" sheetId="7" state="visible" r:id="rId7"/>
    <sheet name="Rekap - Progress Pengisian" sheetId="8" state="visible" r:id="rId8"/>
    <sheet name="Sheet3" sheetId="9" state="hidden" r:id="rId9"/>
    <sheet name="Sheet4" sheetId="10" state="hidden" r:id="rId10"/>
    <sheet name="Sheet5" sheetId="11" state="hidden" r:id="rId11"/>
  </sheets>
  <definedNames>
    <definedName name="_xlnm._FilterDatabase" localSheetId="2" hidden="1">'Kertas Kerja - All'!$A$4:$AR$540</definedName>
    <definedName name="_xlnm._FilterDatabase" localSheetId="3" hidden="1">'cleansing Kertas Kerja'!$A$1:$AR$218</definedName>
    <definedName name="_xlnm._FilterDatabase" localSheetId="4" hidden="1">'Kertaskerja_Final'!$A$1:$AR$204</definedName>
    <definedName name="_xlnm._FilterDatabase" localSheetId="5" hidden="1">'Rekap - Jumlah Aplikasi'!$A$2:$E$208</definedName>
  </definedNames>
  <calcPr calcId="124519" fullCalcOnLoad="1"/>
</workbook>
</file>

<file path=xl/styles.xml><?xml version="1.0" encoding="utf-8"?>
<styleSheet xmlns="http://schemas.openxmlformats.org/spreadsheetml/2006/main">
  <numFmts count="0"/>
  <fonts count="83">
    <font>
      <name val="Arial"/>
      <color rgb="FF000000"/>
      <sz val="10"/>
      <scheme val="minor"/>
    </font>
    <font>
      <name val="Calibri"/>
      <b val="1"/>
      <color theme="1"/>
      <sz val="12"/>
    </font>
    <font>
      <name val="Arial"/>
      <b val="1"/>
      <color theme="1"/>
      <scheme val="minor"/>
    </font>
    <font>
      <name val="Calibri"/>
      <color theme="1"/>
      <sz val="12"/>
    </font>
    <font>
      <name val="Calibri"/>
      <color rgb="FF0000FF"/>
      <sz val="12"/>
      <u val="single"/>
    </font>
    <font>
      <name val="Calibri"/>
      <color rgb="FF0000FF"/>
      <sz val="12"/>
      <u val="single"/>
    </font>
    <font>
      <name val="Arial"/>
      <color theme="1"/>
      <scheme val="minor"/>
    </font>
    <font>
      <name val="Arial"/>
      <color theme="1"/>
    </font>
    <font>
      <name val="Arial"/>
      <b val="1"/>
      <color theme="1"/>
      <sz val="11"/>
    </font>
    <font>
      <name val="Calibri"/>
      <color rgb="FF000000"/>
      <sz val="12"/>
    </font>
    <font>
      <name val="Roboto Condensed"/>
      <color rgb="FF000000"/>
      <sz val="10"/>
    </font>
    <font>
      <name val="Arial"/>
      <color theme="1"/>
      <sz val="10"/>
      <scheme val="minor"/>
    </font>
    <font>
      <name val="Calibri"/>
      <color theme="1"/>
      <sz val="10"/>
    </font>
    <font>
      <name val="Roboto Condensed"/>
      <color theme="1"/>
      <sz val="10"/>
    </font>
    <font>
      <name val="Arial"/>
      <color theme="1"/>
      <sz val="10"/>
    </font>
    <font>
      <name val="Arial"/>
      <b val="1"/>
      <color rgb="FF434343"/>
      <sz val="10"/>
      <u val="single"/>
      <scheme val="minor"/>
    </font>
    <font>
      <name val="Arial"/>
      <b val="1"/>
      <color rgb="FF434343"/>
      <sz val="10"/>
      <scheme val="minor"/>
    </font>
    <font>
      <name val="Arial"/>
      <b val="1"/>
      <color rgb="FF000000"/>
      <sz val="11"/>
    </font>
    <font>
      <name val="Arial"/>
      <color rgb="FF000000"/>
    </font>
    <font>
      <name val="Arial"/>
      <color rgb="FF000000"/>
      <sz val="11"/>
    </font>
    <font>
      <name val="Arial"/>
      <color rgb="FF0000FF"/>
      <sz val="11"/>
      <u val="single"/>
    </font>
    <font>
      <name val="Calibri"/>
      <color rgb="FF0000FF"/>
      <sz val="12"/>
      <u val="single"/>
    </font>
    <font>
      <name val="Arial"/>
      <color rgb="FF0000FF"/>
      <u val="single"/>
    </font>
    <font>
      <name val="Arial"/>
      <color rgb="FF1155CC"/>
      <sz val="11"/>
      <u val="single"/>
    </font>
    <font>
      <name val="&quot;Google Sans&quot;"/>
      <color rgb="FF000000"/>
      <sz val="14"/>
    </font>
    <font>
      <name val="&quot;Google Sans&quot;"/>
      <color rgb="FF001D35"/>
      <sz val="12"/>
    </font>
    <font>
      <name val="Arial"/>
      <color rgb="FF0000FF"/>
      <sz val="12"/>
      <u val="single"/>
    </font>
    <font>
      <name val="Arial"/>
      <b val="1"/>
      <color rgb="FF0000FF"/>
      <u val="single"/>
    </font>
    <font>
      <name val="Calibri"/>
      <color rgb="FF0000FF"/>
      <sz val="12"/>
      <u val="single"/>
    </font>
    <font>
      <name val="Cambria"/>
      <color rgb="FF000000"/>
      <sz val="11"/>
    </font>
    <font>
      <name val="Calibri"/>
      <color rgb="FF000000"/>
      <sz val="11"/>
    </font>
    <font>
      <name val="Poppins"/>
      <color rgb="FF000000"/>
      <sz val="12"/>
    </font>
    <font>
      <name val="Muli"/>
      <color rgb="FF252422"/>
      <sz val="11"/>
    </font>
    <font>
      <name val="&quot;Arial\"/>
      <color rgb="FF0000FF"/>
      <u val="single"/>
    </font>
    <font>
      <name val="Arial"/>
      <color rgb="FF0000FF"/>
      <u val="single"/>
    </font>
    <font>
      <name val="Arial"/>
      <color rgb="FF1155CC"/>
      <u val="single"/>
    </font>
    <font>
      <name val="&quot;Bookman Old Style&quot;"/>
      <color rgb="FF000000"/>
      <sz val="12"/>
    </font>
    <font>
      <name val="Calibri"/>
      <color rgb="FF0000FF"/>
      <sz val="11"/>
      <u val="single"/>
    </font>
    <font>
      <name val="Calibri"/>
      <color rgb="FF000000"/>
    </font>
    <font>
      <name val="Calibri"/>
      <color rgb="FFFF0000"/>
      <sz val="12"/>
    </font>
    <font>
      <name val="Roboto"/>
      <color rgb="FF000000"/>
    </font>
    <font>
      <name val="&quot;Nunito Sans&quot;"/>
      <color rgb="FF31374A"/>
      <sz val="12"/>
    </font>
    <font>
      <name val="Calibri"/>
      <color rgb="FF0000FF"/>
      <sz val="12"/>
      <u val="single"/>
    </font>
    <font>
      <name val="Arial"/>
      <color rgb="FF434343"/>
    </font>
    <font>
      <name val="Calibri"/>
      <color rgb="FF434343"/>
      <sz val="12"/>
    </font>
    <font>
      <name val="Calibri"/>
      <color rgb="FF0A0A0A"/>
      <sz val="12"/>
    </font>
    <font>
      <name val="Calibri"/>
      <color rgb="FF000000"/>
      <sz val="12"/>
      <u val="single"/>
    </font>
    <font>
      <name val="&quot;Google Sans&quot;"/>
      <color rgb="FF0A0A0A"/>
      <sz val="12"/>
    </font>
    <font>
      <name val="Arial"/>
      <color rgb="FF0000FF"/>
      <u val="single"/>
    </font>
    <font>
      <name val="&quot;Hind Siliguri&quot;"/>
      <color rgb="FF000000"/>
    </font>
    <font>
      <name val="&quot;Hind Siliguri&quot;"/>
      <color rgb="FF0000FF"/>
      <u val="single"/>
    </font>
    <font>
      <name val="&quot;Hind Siliguri&quot;"/>
      <color rgb="FF0000FF"/>
      <u val="single"/>
    </font>
    <font>
      <name val="&quot;Hind Siliguri&quot;"/>
      <color rgb="FF0A0A0A"/>
    </font>
    <font>
      <name val="&quot;Hind Siliguri&quot;"/>
      <color rgb="FF000000"/>
      <u val="single"/>
    </font>
    <font>
      <name val="&quot;Hind Siliguri&quot;"/>
      <color rgb="FF0000FF"/>
      <u val="single"/>
    </font>
    <font>
      <name val="&quot;Hind Siliguri&quot;"/>
      <color rgb="FF0000FF"/>
      <u val="single"/>
    </font>
    <font>
      <name val="&quot;Hind Siliguri&quot;"/>
      <color rgb="FF0000FF"/>
      <u val="single"/>
    </font>
    <font>
      <name val="&quot;Hind Siliguri&quot;"/>
      <color rgb="FF0000FF"/>
      <u val="single"/>
    </font>
    <font>
      <name val="&quot;Google Sans Mono&quot;"/>
      <color rgb="FF1157CE"/>
      <sz val="9"/>
    </font>
    <font>
      <name val="Calibri"/>
      <color rgb="FF000000"/>
      <sz val="1"/>
    </font>
    <font>
      <name val="Roboto"/>
      <color rgb="FF000000"/>
      <sz val="12"/>
    </font>
    <font>
      <name val="Arial"/>
      <color rgb="FF0000FF"/>
      <u val="single"/>
    </font>
    <font>
      <name val="Calibri"/>
      <color rgb="FF0000FF"/>
      <sz val="11"/>
      <u val="single"/>
    </font>
    <font>
      <name val="Arial"/>
      <color rgb="FF0000FF"/>
      <sz val="12"/>
      <u val="single"/>
    </font>
    <font>
      <name val="Arial"/>
      <color rgb="FF0000FF"/>
      <u val="single"/>
    </font>
    <font>
      <name val="Calibri"/>
      <b val="1"/>
      <color rgb="FF0000FF"/>
      <sz val="12"/>
      <u val="single"/>
    </font>
    <font>
      <name val="Arial"/>
      <color rgb="FF0000FF"/>
      <sz val="12"/>
      <u val="single"/>
    </font>
    <font>
      <name val="&quot;Google Sans&quot;"/>
      <color rgb="FF0000FF"/>
      <sz val="12"/>
      <u val="single"/>
    </font>
    <font>
      <name val="Inter"/>
      <color rgb="FF0000FF"/>
      <u val="single"/>
    </font>
    <font>
      <name val="&quot;Google Sans&quot;"/>
      <b val="1"/>
      <color rgb="FF0000FF"/>
      <sz val="9"/>
      <u val="single"/>
    </font>
    <font>
      <name val="Calibri"/>
      <b val="1"/>
      <color rgb="FF0000FF"/>
      <sz val="12"/>
      <u val="single"/>
    </font>
    <font>
      <name val="Arial"/>
      <color rgb="FF0000FF"/>
      <sz val="11"/>
      <u val="single"/>
    </font>
    <font>
      <name val="Arial"/>
      <color rgb="FF0000FF"/>
      <sz val="12"/>
      <u val="single"/>
    </font>
    <font>
      <name val="Arial"/>
      <color rgb="FF0000FF"/>
      <u val="single"/>
    </font>
    <font>
      <name val="Calibri"/>
      <color rgb="FF0000FF"/>
      <sz val="12"/>
      <u val="single"/>
    </font>
    <font>
      <name val="Arial"/>
      <b val="1"/>
      <color theme="1"/>
      <sz val="13"/>
      <scheme val="minor"/>
    </font>
    <font>
      <name val="Arial"/>
      <color rgb="FF0000FF"/>
      <u val="single"/>
    </font>
    <font>
      <name val="Arial"/>
      <b val="1"/>
      <color theme="1"/>
    </font>
    <font>
      <name val="Arial"/>
      <b val="1"/>
      <color rgb="FFA64D79"/>
    </font>
    <font>
      <name val="Calibri"/>
      <color theme="1"/>
      <sz val="11"/>
    </font>
    <font>
      <name val="Calibri"/>
      <i val="1"/>
      <color theme="1"/>
      <sz val="11"/>
    </font>
    <font>
      <name val="Calibri"/>
      <b val="1"/>
      <color theme="1"/>
      <sz val="11"/>
    </font>
    <font>
      <name val="Aptos Narrow"/>
      <color theme="1"/>
      <sz val="11"/>
    </font>
  </fonts>
  <fills count="17">
    <fill>
      <patternFill/>
    </fill>
    <fill>
      <patternFill patternType="lightGray"/>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FF0000"/>
        <bgColor rgb="FFFF0000"/>
      </patternFill>
    </fill>
    <fill>
      <patternFill patternType="solid">
        <fgColor rgb="FFA4C2F4"/>
        <bgColor rgb="FFA4C2F4"/>
      </patternFill>
    </fill>
    <fill>
      <patternFill patternType="solid">
        <fgColor rgb="FF00FFFF"/>
        <bgColor rgb="FF00FFFF"/>
      </patternFill>
    </fill>
    <fill>
      <patternFill patternType="solid">
        <fgColor rgb="FFF6F8F9"/>
        <bgColor rgb="FFF6F8F9"/>
      </patternFill>
    </fill>
    <fill>
      <patternFill patternType="solid">
        <fgColor rgb="FFE06666"/>
        <bgColor rgb="FFE06666"/>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F6F8F9"/>
      </left>
      <right style="thin">
        <color rgb="FF284E3F"/>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D9D9D9"/>
      </left>
      <right style="thin">
        <color rgb="FFD9D9D9"/>
      </right>
      <top style="thin">
        <color rgb="FFD9D9D9"/>
      </top>
      <bottom style="thin">
        <color rgb="FFD9D9D9"/>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numFmtId="0" fontId="0" fillId="0" borderId="0"/>
  </cellStyleXfs>
  <cellXfs count="349">
    <xf numFmtId="0" fontId="0" fillId="0" borderId="0" applyAlignment="1" pivotButton="0" quotePrefix="0" xfId="0">
      <alignment vertical="bottom"/>
    </xf>
    <xf numFmtId="0" fontId="1" fillId="0"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3" fillId="2" borderId="1" applyAlignment="1" pivotButton="0" quotePrefix="0" xfId="0">
      <alignment horizontal="center" vertical="center" wrapText="1"/>
    </xf>
    <xf numFmtId="0" fontId="3" fillId="2" borderId="1"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center"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vertical="center" wrapText="1"/>
    </xf>
    <xf numFmtId="0" fontId="5" fillId="0" borderId="1"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0" fontId="3" fillId="0" borderId="1" applyAlignment="1" pivotButton="0" quotePrefix="0" xfId="0">
      <alignment vertical="center" wrapText="1"/>
    </xf>
    <xf numFmtId="0" fontId="6" fillId="0" borderId="0" pivotButton="0" quotePrefix="0" xfId="0"/>
    <xf numFmtId="0" fontId="2" fillId="0" borderId="0" applyAlignment="1" pivotButton="0" quotePrefix="0" xfId="0">
      <alignment wrapText="1"/>
    </xf>
    <xf numFmtId="0" fontId="6" fillId="0" borderId="0" applyAlignment="1" pivotButton="0" quotePrefix="0" xfId="0">
      <alignment wrapText="1"/>
    </xf>
    <xf numFmtId="0" fontId="6" fillId="0" borderId="0" applyAlignment="1" pivotButton="0" quotePrefix="0" xfId="0">
      <alignment wrapText="1"/>
    </xf>
    <xf numFmtId="0" fontId="1" fillId="6" borderId="1" applyAlignment="1" pivotButton="0" quotePrefix="0" xfId="0">
      <alignment horizontal="center" vertical="bottom" wrapText="1"/>
    </xf>
    <xf numFmtId="0" fontId="1" fillId="6" borderId="1" applyAlignment="1" pivotButton="0" quotePrefix="0" xfId="0">
      <alignment horizontal="center" vertical="bottom" wrapText="1"/>
    </xf>
    <xf numFmtId="0" fontId="3" fillId="6" borderId="1" applyAlignment="1" pivotButton="0" quotePrefix="0" xfId="0">
      <alignment horizontal="center" vertical="bottom" wrapText="1"/>
    </xf>
    <xf numFmtId="0" fontId="3" fillId="6" borderId="1" applyAlignment="1" pivotButton="0" quotePrefix="0" xfId="0">
      <alignment horizontal="center" vertical="bottom" wrapText="1"/>
    </xf>
    <xf numFmtId="0" fontId="3" fillId="0" borderId="1" applyAlignment="1" pivotButton="0" quotePrefix="0" xfId="0">
      <alignment horizontal="center" vertical="bottom" wrapText="1"/>
    </xf>
    <xf numFmtId="0" fontId="7" fillId="0" borderId="1" applyAlignment="1" pivotButton="0" quotePrefix="0" xfId="0">
      <alignment horizontal="center" vertical="bottom" wrapText="1"/>
    </xf>
    <xf numFmtId="0" fontId="8" fillId="7" borderId="1" applyAlignment="1" pivotButton="0" quotePrefix="0" xfId="0">
      <alignment vertical="bottom"/>
    </xf>
    <xf numFmtId="0" fontId="7" fillId="7" borderId="1" applyAlignment="1" pivotButton="0" quotePrefix="0" xfId="0">
      <alignment vertical="bottom" wrapText="1"/>
    </xf>
    <xf numFmtId="0" fontId="7" fillId="7" borderId="1" applyAlignment="1" pivotButton="0" quotePrefix="0" xfId="0">
      <alignment vertical="bottom" wrapText="1"/>
    </xf>
    <xf numFmtId="0" fontId="7" fillId="0" borderId="1" applyAlignment="1" pivotButton="0" quotePrefix="0" xfId="0">
      <alignment vertical="bottom" wrapText="1"/>
    </xf>
    <xf numFmtId="0" fontId="7" fillId="0" borderId="0" applyAlignment="1" pivotButton="0" quotePrefix="0" xfId="0">
      <alignment vertical="bottom"/>
    </xf>
    <xf numFmtId="0" fontId="3" fillId="0" borderId="1" applyAlignment="1" pivotButton="0" quotePrefix="0" xfId="0">
      <alignment vertical="center" wrapText="1"/>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8" borderId="1" applyAlignment="1" pivotButton="0" quotePrefix="0" xfId="0">
      <alignment horizontal="center" vertical="top" wrapText="1"/>
    </xf>
    <xf numFmtId="0" fontId="3"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3" fillId="0" borderId="1" applyAlignment="1" pivotButton="0" quotePrefix="0" xfId="0">
      <alignment horizontal="center" vertical="top" wrapText="1"/>
    </xf>
    <xf numFmtId="0" fontId="14" fillId="8" borderId="1" applyAlignment="1" pivotButton="0" quotePrefix="0" xfId="0">
      <alignment horizontal="center" vertical="top" wrapText="1"/>
    </xf>
    <xf numFmtId="0" fontId="9" fillId="9" borderId="1" applyAlignment="1" pivotButton="0" quotePrefix="0" xfId="0">
      <alignment horizontal="center" vertical="top" wrapText="1"/>
    </xf>
    <xf numFmtId="0" fontId="10" fillId="0" borderId="1" applyAlignment="1" pivotButton="0" quotePrefix="0" xfId="0">
      <alignment horizontal="center" vertical="top" wrapText="1"/>
    </xf>
    <xf numFmtId="0" fontId="15"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3" fillId="8" borderId="1" applyAlignment="1" pivotButton="0" quotePrefix="0" xfId="0">
      <alignment horizontal="center" vertical="center" wrapText="1"/>
    </xf>
    <xf numFmtId="0" fontId="14" fillId="8" borderId="1" applyAlignment="1" pivotButton="0" quotePrefix="0" xfId="0">
      <alignment horizontal="center" vertical="center" wrapText="1"/>
    </xf>
    <xf numFmtId="0" fontId="17" fillId="7" borderId="1" applyAlignment="1" pivotButton="0" quotePrefix="0" xfId="0">
      <alignment horizontal="left" vertical="bottom"/>
    </xf>
    <xf numFmtId="0" fontId="18" fillId="7" borderId="1" applyAlignment="1" pivotButton="0" quotePrefix="0" xfId="0">
      <alignment vertical="bottom" wrapText="1"/>
    </xf>
    <xf numFmtId="0" fontId="18" fillId="7" borderId="1" applyAlignment="1" pivotButton="0" quotePrefix="0" xfId="0">
      <alignment vertical="bottom" wrapText="1"/>
    </xf>
    <xf numFmtId="0" fontId="18" fillId="0" borderId="1" applyAlignment="1" pivotButton="0" quotePrefix="0" xfId="0">
      <alignment vertical="bottom" wrapText="1"/>
    </xf>
    <xf numFmtId="0" fontId="18" fillId="0" borderId="0" applyAlignment="1" pivotButton="0" quotePrefix="0" xfId="0">
      <alignment vertical="bottom"/>
    </xf>
    <xf numFmtId="0" fontId="18" fillId="0" borderId="0" applyAlignment="1" pivotButton="0" quotePrefix="0" xfId="0">
      <alignment vertical="bottom"/>
    </xf>
    <xf numFmtId="0" fontId="19" fillId="0" borderId="1" applyAlignment="1" pivotButton="0" quotePrefix="0" xfId="0">
      <alignment horizontal="center" vertical="bottom"/>
    </xf>
    <xf numFmtId="0" fontId="19" fillId="0" borderId="1" applyAlignment="1" pivotButton="0" quotePrefix="0" xfId="0">
      <alignment horizontal="left" vertical="bottom" wrapText="1"/>
    </xf>
    <xf numFmtId="0" fontId="19" fillId="0" borderId="1" applyAlignment="1" pivotButton="0" quotePrefix="0" xfId="0">
      <alignment horizontal="center" vertical="bottom" wrapText="1"/>
    </xf>
    <xf numFmtId="0" fontId="19" fillId="10" borderId="1" applyAlignment="1" pivotButton="0" quotePrefix="0" xfId="0">
      <alignment horizontal="center" vertical="bottom" wrapText="1"/>
    </xf>
    <xf numFmtId="0" fontId="20" fillId="0" borderId="1" applyAlignment="1" pivotButton="0" quotePrefix="0" xfId="0">
      <alignment horizontal="left" vertical="bottom" wrapText="1"/>
    </xf>
    <xf numFmtId="0" fontId="18" fillId="0" borderId="1" applyAlignment="1" pivotButton="0" quotePrefix="0" xfId="0">
      <alignment horizontal="left" vertical="bottom" wrapText="1"/>
    </xf>
    <xf numFmtId="0" fontId="18" fillId="0" borderId="1" applyAlignment="1" pivotButton="0" quotePrefix="0" xfId="0">
      <alignment horizontal="center" vertical="bottom" wrapText="1"/>
    </xf>
    <xf numFmtId="0" fontId="18" fillId="0" borderId="1" applyAlignment="1" pivotButton="0" quotePrefix="0" xfId="0">
      <alignment vertical="bottom" wrapText="1"/>
    </xf>
    <xf numFmtId="0" fontId="21" fillId="0" borderId="1" applyAlignment="1" pivotButton="0" quotePrefix="0" xfId="0">
      <alignment horizontal="left" vertical="bottom" wrapText="1"/>
    </xf>
    <xf numFmtId="0" fontId="19" fillId="7" borderId="1" applyAlignment="1" pivotButton="0" quotePrefix="0" xfId="0">
      <alignment horizontal="left" vertical="bottom"/>
    </xf>
    <xf numFmtId="0" fontId="18" fillId="10" borderId="1" applyAlignment="1" pivotButton="0" quotePrefix="0" xfId="0">
      <alignment vertical="bottom" wrapText="1"/>
    </xf>
    <xf numFmtId="0" fontId="19" fillId="0" borderId="1" applyAlignment="1" pivotButton="0" quotePrefix="0" xfId="0">
      <alignment horizontal="center" vertical="bottom"/>
    </xf>
    <xf numFmtId="0" fontId="18" fillId="10" borderId="1" applyAlignment="1" pivotButton="0" quotePrefix="0" xfId="0">
      <alignment horizontal="center" vertical="bottom" wrapText="1"/>
    </xf>
    <xf numFmtId="0" fontId="22" fillId="0" borderId="1" applyAlignment="1" pivotButton="0" quotePrefix="0" xfId="0">
      <alignment horizontal="left" vertical="bottom" wrapText="1"/>
    </xf>
    <xf numFmtId="0" fontId="18" fillId="0" borderId="0" applyAlignment="1" pivotButton="0" quotePrefix="0" xfId="0">
      <alignment horizontal="left" vertical="bottom" wrapText="1"/>
    </xf>
    <xf numFmtId="0" fontId="18" fillId="0" borderId="1" applyAlignment="1" pivotButton="0" quotePrefix="0" xfId="0">
      <alignment horizontal="right" vertical="bottom" wrapText="1"/>
    </xf>
    <xf numFmtId="0" fontId="23" fillId="0" borderId="1" applyAlignment="1" pivotButton="0" quotePrefix="0" xfId="0">
      <alignment horizontal="left" vertical="bottom" wrapText="1"/>
    </xf>
    <xf numFmtId="0" fontId="9" fillId="0" borderId="1" applyAlignment="1" pivotButton="0" quotePrefix="0" xfId="0">
      <alignment horizontal="center" vertical="bottom" wrapText="1"/>
    </xf>
    <xf numFmtId="0" fontId="19" fillId="2" borderId="1" applyAlignment="1" pivotButton="0" quotePrefix="0" xfId="0">
      <alignment horizontal="center" vertical="bottom" wrapText="1"/>
    </xf>
    <xf numFmtId="0" fontId="19" fillId="0" borderId="0" applyAlignment="1" pivotButton="0" quotePrefix="0" xfId="0">
      <alignment horizontal="center" vertical="bottom" wrapText="1"/>
    </xf>
    <xf numFmtId="0" fontId="19" fillId="9" borderId="1" applyAlignment="1" pivotButton="0" quotePrefix="0" xfId="0">
      <alignment horizontal="left" vertical="bottom" wrapText="1"/>
    </xf>
    <xf numFmtId="0" fontId="19" fillId="0" borderId="0" applyAlignment="1" pivotButton="0" quotePrefix="0" xfId="0">
      <alignment horizontal="left" vertical="bottom" wrapText="1"/>
    </xf>
    <xf numFmtId="0" fontId="9" fillId="0" borderId="0" applyAlignment="1" pivotButton="0" quotePrefix="0" xfId="0">
      <alignment horizontal="left" vertical="bottom"/>
    </xf>
    <xf numFmtId="0" fontId="19" fillId="7" borderId="1" applyAlignment="1" pivotButton="0" quotePrefix="0" xfId="0">
      <alignment horizontal="center" vertical="bottom"/>
    </xf>
    <xf numFmtId="0" fontId="18" fillId="2" borderId="1" applyAlignment="1" pivotButton="0" quotePrefix="0" xfId="0">
      <alignment horizontal="center" vertical="bottom" wrapText="1"/>
    </xf>
    <xf numFmtId="0" fontId="24" fillId="9" borderId="1" applyAlignment="1" pivotButton="0" quotePrefix="0" xfId="0">
      <alignment horizontal="left" vertical="bottom" wrapText="1"/>
    </xf>
    <xf numFmtId="0" fontId="17" fillId="0" borderId="1" applyAlignment="1" pivotButton="0" quotePrefix="0" xfId="0">
      <alignment horizontal="center" vertical="bottom" wrapText="1"/>
    </xf>
    <xf numFmtId="0" fontId="25" fillId="9" borderId="1" applyAlignment="1" pivotButton="0" quotePrefix="0" xfId="0">
      <alignment horizontal="left" vertical="bottom" wrapText="1"/>
    </xf>
    <xf numFmtId="0" fontId="18" fillId="0" borderId="1" applyAlignment="1" pivotButton="0" quotePrefix="0" xfId="0">
      <alignment vertical="bottom"/>
    </xf>
    <xf numFmtId="0" fontId="9" fillId="0" borderId="1" applyAlignment="1" pivotButton="0" quotePrefix="0" xfId="0">
      <alignment horizontal="left" vertical="bottom"/>
    </xf>
    <xf numFmtId="0" fontId="9" fillId="0" borderId="0" applyAlignment="1" pivotButton="0" quotePrefix="0" xfId="0">
      <alignment vertical="bottom"/>
    </xf>
    <xf numFmtId="0" fontId="18" fillId="10" borderId="1" applyAlignment="1" pivotButton="0" quotePrefix="0" xfId="0">
      <alignment horizontal="left" vertical="bottom" wrapText="1"/>
    </xf>
    <xf numFmtId="0" fontId="18" fillId="0" borderId="0" applyAlignment="1" pivotButton="0" quotePrefix="0" xfId="0">
      <alignment vertical="bottom" wrapText="1"/>
    </xf>
    <xf numFmtId="0" fontId="9" fillId="0" borderId="1" applyAlignment="1" pivotButton="0" quotePrefix="0" xfId="0">
      <alignment horizontal="center" vertical="bottom"/>
    </xf>
    <xf numFmtId="0" fontId="9" fillId="0" borderId="1" applyAlignment="1" pivotButton="0" quotePrefix="0" xfId="0">
      <alignment horizontal="left" vertical="bottom" wrapText="1"/>
    </xf>
    <xf numFmtId="0" fontId="9" fillId="10" borderId="1" applyAlignment="1" pivotButton="0" quotePrefix="0" xfId="0">
      <alignment horizontal="left" vertical="bottom" wrapText="1"/>
    </xf>
    <xf numFmtId="0" fontId="9" fillId="0" borderId="1" applyAlignment="1" pivotButton="0" quotePrefix="0" xfId="0">
      <alignment horizontal="right" vertical="bottom" wrapText="1"/>
    </xf>
    <xf numFmtId="0" fontId="9" fillId="11" borderId="1" applyAlignment="1" pivotButton="0" quotePrefix="0" xfId="0">
      <alignment horizontal="center" vertical="bottom"/>
    </xf>
    <xf numFmtId="0" fontId="9" fillId="11" borderId="1" applyAlignment="1" pivotButton="0" quotePrefix="0" xfId="0">
      <alignment horizontal="left" vertical="bottom" wrapText="1"/>
    </xf>
    <xf numFmtId="0" fontId="18" fillId="11" borderId="1" applyAlignment="1" pivotButton="0" quotePrefix="0" xfId="0">
      <alignment vertical="bottom" wrapText="1"/>
    </xf>
    <xf numFmtId="0" fontId="9" fillId="11" borderId="1" applyAlignment="1" pivotButton="0" quotePrefix="0" xfId="0">
      <alignment horizontal="center" vertical="bottom" wrapText="1"/>
    </xf>
    <xf numFmtId="0" fontId="18" fillId="11" borderId="1" applyAlignment="1" pivotButton="0" quotePrefix="0" xfId="0">
      <alignment vertical="bottom" wrapText="1"/>
    </xf>
    <xf numFmtId="0" fontId="9" fillId="11" borderId="1" applyAlignment="1" pivotButton="0" quotePrefix="0" xfId="0">
      <alignment horizontal="right" vertical="bottom" wrapText="1"/>
    </xf>
    <xf numFmtId="0" fontId="26" fillId="10" borderId="1" applyAlignment="1" pivotButton="0" quotePrefix="0" xfId="0">
      <alignment horizontal="left" vertical="bottom" wrapText="1"/>
    </xf>
    <xf numFmtId="0" fontId="18" fillId="0" borderId="0" applyAlignment="1" pivotButton="0" quotePrefix="0" xfId="0">
      <alignment horizontal="right" vertical="bottom" wrapText="1"/>
    </xf>
    <xf numFmtId="0" fontId="9" fillId="3" borderId="1" applyAlignment="1" pivotButton="0" quotePrefix="0" xfId="0">
      <alignment horizontal="center" vertical="bottom"/>
    </xf>
    <xf numFmtId="0" fontId="9" fillId="3" borderId="1" applyAlignment="1" pivotButton="0" quotePrefix="0" xfId="0">
      <alignment horizontal="left" vertical="bottom" wrapText="1"/>
    </xf>
    <xf numFmtId="0" fontId="18" fillId="3" borderId="1" applyAlignment="1" pivotButton="0" quotePrefix="0" xfId="0">
      <alignment vertical="bottom" wrapText="1"/>
    </xf>
    <xf numFmtId="0" fontId="9" fillId="3" borderId="1" applyAlignment="1" pivotButton="0" quotePrefix="0" xfId="0">
      <alignment horizontal="center" vertical="bottom" wrapText="1"/>
    </xf>
    <xf numFmtId="0" fontId="18" fillId="3" borderId="1" applyAlignment="1" pivotButton="0" quotePrefix="0" xfId="0">
      <alignment vertical="bottom" wrapText="1"/>
    </xf>
    <xf numFmtId="11" fontId="9" fillId="3" borderId="1" applyAlignment="1" pivotButton="0" quotePrefix="0" xfId="0">
      <alignment horizontal="right" vertical="bottom" wrapText="1"/>
    </xf>
    <xf numFmtId="0" fontId="18" fillId="3" borderId="1" applyAlignment="1" pivotButton="0" quotePrefix="0" xfId="0">
      <alignment horizontal="left" vertical="bottom" wrapText="1"/>
    </xf>
    <xf numFmtId="0" fontId="18" fillId="3" borderId="1" applyAlignment="1" pivotButton="0" quotePrefix="0" xfId="0">
      <alignment horizontal="center" vertical="bottom" wrapText="1"/>
    </xf>
    <xf numFmtId="0" fontId="18" fillId="3" borderId="0" applyAlignment="1" pivotButton="0" quotePrefix="0" xfId="0">
      <alignment vertical="bottom"/>
    </xf>
    <xf numFmtId="0" fontId="9" fillId="6" borderId="1" applyAlignment="1" pivotButton="0" quotePrefix="0" xfId="0">
      <alignment horizontal="center" vertical="bottom"/>
    </xf>
    <xf numFmtId="0" fontId="9" fillId="6" borderId="1" applyAlignment="1" pivotButton="0" quotePrefix="0" xfId="0">
      <alignment horizontal="left" vertical="bottom" wrapText="1"/>
    </xf>
    <xf numFmtId="0" fontId="18" fillId="6" borderId="1" applyAlignment="1" pivotButton="0" quotePrefix="0" xfId="0">
      <alignment vertical="bottom" wrapText="1"/>
    </xf>
    <xf numFmtId="0" fontId="9" fillId="6" borderId="1" applyAlignment="1" pivotButton="0" quotePrefix="0" xfId="0">
      <alignment horizontal="center" vertical="bottom" wrapText="1"/>
    </xf>
    <xf numFmtId="0" fontId="18" fillId="6" borderId="1" applyAlignment="1" pivotButton="0" quotePrefix="0" xfId="0">
      <alignment vertical="bottom" wrapText="1"/>
    </xf>
    <xf numFmtId="0" fontId="18" fillId="6" borderId="0" applyAlignment="1" pivotButton="0" quotePrefix="0" xfId="0">
      <alignment vertical="bottom"/>
    </xf>
    <xf numFmtId="0" fontId="27" fillId="0" borderId="0" applyAlignment="1" pivotButton="0" quotePrefix="0" xfId="0">
      <alignment horizontal="left" vertical="top" wrapText="1"/>
    </xf>
    <xf numFmtId="0" fontId="9" fillId="6" borderId="1" applyAlignment="1" pivotButton="0" quotePrefix="0" xfId="0">
      <alignment horizontal="right" vertical="bottom" wrapText="1"/>
    </xf>
    <xf numFmtId="0" fontId="9" fillId="12" borderId="1" applyAlignment="1" pivotButton="0" quotePrefix="0" xfId="0">
      <alignment horizontal="center" vertical="bottom"/>
    </xf>
    <xf numFmtId="0" fontId="9" fillId="12" borderId="1" applyAlignment="1" pivotButton="0" quotePrefix="0" xfId="0">
      <alignment horizontal="left" vertical="bottom" wrapText="1"/>
    </xf>
    <xf numFmtId="0" fontId="18" fillId="12" borderId="1" applyAlignment="1" pivotButton="0" quotePrefix="0" xfId="0">
      <alignment vertical="bottom" wrapText="1"/>
    </xf>
    <xf numFmtId="0" fontId="18" fillId="12" borderId="1" applyAlignment="1" pivotButton="0" quotePrefix="0" xfId="0">
      <alignment vertical="bottom" wrapText="1"/>
    </xf>
    <xf numFmtId="0" fontId="9" fillId="12" borderId="1" applyAlignment="1" pivotButton="0" quotePrefix="0" xfId="0">
      <alignment horizontal="center" vertical="bottom" wrapText="1"/>
    </xf>
    <xf numFmtId="0" fontId="18" fillId="12" borderId="0" applyAlignment="1" pivotButton="0" quotePrefix="0" xfId="0">
      <alignment vertical="bottom"/>
    </xf>
    <xf numFmtId="0" fontId="9" fillId="10" borderId="1" applyAlignment="1" pivotButton="0" quotePrefix="0" xfId="0">
      <alignment horizontal="center" vertical="bottom" wrapText="1"/>
    </xf>
    <xf numFmtId="0" fontId="28" fillId="0" borderId="1" applyAlignment="1" pivotButton="0" quotePrefix="0" xfId="0">
      <alignment horizontal="center" vertical="bottom" wrapText="1"/>
    </xf>
    <xf numFmtId="0" fontId="9" fillId="0" borderId="0" applyAlignment="1" pivotButton="0" quotePrefix="0" xfId="0">
      <alignment horizontal="left" vertical="bottom" wrapText="1"/>
    </xf>
    <xf numFmtId="0" fontId="9" fillId="0" borderId="0" applyAlignment="1" pivotButton="0" quotePrefix="0" xfId="0">
      <alignment horizontal="center" vertical="bottom" wrapText="1"/>
    </xf>
    <xf numFmtId="0" fontId="9" fillId="11" borderId="0" applyAlignment="1" pivotButton="0" quotePrefix="0" xfId="0">
      <alignment horizontal="left" vertical="bottom" wrapText="1"/>
    </xf>
    <xf numFmtId="0" fontId="18" fillId="11" borderId="1" applyAlignment="1" pivotButton="0" quotePrefix="0" xfId="0">
      <alignment horizontal="center" vertical="bottom" wrapText="1"/>
    </xf>
    <xf numFmtId="0" fontId="19" fillId="11" borderId="1" applyAlignment="1" pivotButton="0" quotePrefix="0" xfId="0">
      <alignment horizontal="center" vertical="bottom" wrapText="1"/>
    </xf>
    <xf numFmtId="0" fontId="18" fillId="11" borderId="0" applyAlignment="1" pivotButton="0" quotePrefix="0" xfId="0">
      <alignment vertical="bottom"/>
    </xf>
    <xf numFmtId="0" fontId="29" fillId="9" borderId="1" applyAlignment="1" pivotButton="0" quotePrefix="0" xfId="0">
      <alignment horizontal="center" vertical="bottom" wrapText="1"/>
    </xf>
    <xf numFmtId="0" fontId="9" fillId="11" borderId="1" applyAlignment="1" pivotButton="0" quotePrefix="0" xfId="0">
      <alignment horizontal="left" vertical="top" wrapText="1"/>
    </xf>
    <xf numFmtId="0" fontId="30" fillId="11" borderId="0" applyAlignment="1" pivotButton="0" quotePrefix="0" xfId="0">
      <alignment horizontal="left" vertical="bottom" wrapText="1"/>
    </xf>
    <xf numFmtId="0" fontId="18" fillId="12" borderId="1" applyAlignment="1" pivotButton="0" quotePrefix="0" xfId="0">
      <alignment horizontal="center" vertical="bottom" wrapText="1"/>
    </xf>
    <xf numFmtId="0" fontId="31" fillId="9" borderId="0" applyAlignment="1" pivotButton="0" quotePrefix="0" xfId="0">
      <alignment horizontal="left" vertical="bottom" wrapText="1"/>
    </xf>
    <xf numFmtId="0" fontId="32" fillId="9" borderId="0" applyAlignment="1" pivotButton="0" quotePrefix="0" xfId="0">
      <alignment horizontal="left" vertical="bottom" wrapText="1"/>
    </xf>
    <xf numFmtId="0" fontId="9" fillId="2" borderId="1" applyAlignment="1" pivotButton="0" quotePrefix="0" xfId="0">
      <alignment horizontal="left" vertical="bottom" wrapText="1"/>
    </xf>
    <xf numFmtId="0" fontId="9" fillId="0" borderId="1" applyAlignment="1" pivotButton="0" quotePrefix="0" xfId="0">
      <alignment horizontal="center" vertical="top"/>
    </xf>
    <xf numFmtId="0" fontId="9" fillId="0" borderId="1" applyAlignment="1" pivotButton="0" quotePrefix="0" xfId="0">
      <alignment horizontal="left" vertical="top" wrapText="1"/>
    </xf>
    <xf numFmtId="0" fontId="18" fillId="0" borderId="1" applyAlignment="1" pivotButton="0" quotePrefix="0" xfId="0">
      <alignment horizontal="left" vertical="top" wrapText="1"/>
    </xf>
    <xf numFmtId="0" fontId="33" fillId="0" borderId="2" applyAlignment="1" pivotButton="0" quotePrefix="0" xfId="0">
      <alignment horizontal="center" vertical="top" wrapText="1"/>
    </xf>
    <xf numFmtId="0" fontId="9" fillId="0" borderId="1" applyAlignment="1" pivotButton="0" quotePrefix="0" xfId="0">
      <alignment horizontal="center" vertical="top" wrapText="1"/>
    </xf>
    <xf numFmtId="0" fontId="9" fillId="5" borderId="1" applyAlignment="1" pivotButton="0" quotePrefix="0" xfId="0">
      <alignment horizontal="left" vertical="top" wrapText="1"/>
    </xf>
    <xf numFmtId="0" fontId="34" fillId="0" borderId="0" applyAlignment="1" pivotButton="0" quotePrefix="0" xfId="0">
      <alignment horizontal="left" vertical="top" wrapText="1"/>
    </xf>
    <xf numFmtId="0" fontId="30" fillId="0" borderId="1" applyAlignment="1" pivotButton="0" quotePrefix="0" xfId="0">
      <alignment horizontal="center" vertical="top" wrapText="1"/>
    </xf>
    <xf numFmtId="0" fontId="18" fillId="0" borderId="1" applyAlignment="1" pivotButton="0" quotePrefix="0" xfId="0">
      <alignment horizontal="center" vertical="top" wrapText="1"/>
    </xf>
    <xf numFmtId="0" fontId="9" fillId="0" borderId="0" applyAlignment="1" pivotButton="0" quotePrefix="0" xfId="0">
      <alignment horizontal="left" vertical="top"/>
    </xf>
    <xf numFmtId="0" fontId="9" fillId="0" borderId="0" applyAlignment="1" pivotButton="0" quotePrefix="0" xfId="0">
      <alignment vertical="top"/>
    </xf>
    <xf numFmtId="0" fontId="9" fillId="0" borderId="1" applyAlignment="1" pivotButton="0" quotePrefix="0" xfId="0">
      <alignment vertical="top" wrapText="1"/>
    </xf>
    <xf numFmtId="0" fontId="18" fillId="0" borderId="1" applyAlignment="1" pivotButton="0" quotePrefix="0" xfId="0">
      <alignment vertical="top" wrapText="1"/>
    </xf>
    <xf numFmtId="0" fontId="9" fillId="0" borderId="1" applyAlignment="1" pivotButton="0" quotePrefix="0" xfId="0">
      <alignment vertical="top" wrapText="1"/>
    </xf>
    <xf numFmtId="0" fontId="35" fillId="0" borderId="2" applyAlignment="1" pivotButton="0" quotePrefix="0" xfId="0">
      <alignment horizontal="center" vertical="top" wrapText="1"/>
    </xf>
    <xf numFmtId="0" fontId="9" fillId="0" borderId="1" applyAlignment="1" pivotButton="0" quotePrefix="0" xfId="0">
      <alignment horizontal="center" vertical="top" wrapText="1"/>
    </xf>
    <xf numFmtId="0" fontId="30" fillId="0" borderId="1" applyAlignment="1" pivotButton="0" quotePrefix="0" xfId="0">
      <alignment horizontal="center" vertical="top" wrapText="1"/>
    </xf>
    <xf numFmtId="0" fontId="18" fillId="0" borderId="1" applyAlignment="1" pivotButton="0" quotePrefix="0" xfId="0">
      <alignment vertical="top" wrapText="1"/>
    </xf>
    <xf numFmtId="0" fontId="18" fillId="0" borderId="1" applyAlignment="1" pivotButton="0" quotePrefix="0" xfId="0">
      <alignment horizontal="center" vertical="top" wrapText="1"/>
    </xf>
    <xf numFmtId="0" fontId="36" fillId="0" borderId="1" applyAlignment="1" pivotButton="0" quotePrefix="0" xfId="0">
      <alignment horizontal="left" vertical="top" wrapText="1"/>
    </xf>
    <xf numFmtId="0" fontId="30" fillId="0" borderId="1" applyAlignment="1" pivotButton="0" quotePrefix="0" xfId="0">
      <alignment horizontal="center" vertical="bottom"/>
    </xf>
    <xf numFmtId="0" fontId="30" fillId="0" borderId="1" applyAlignment="1" pivotButton="0" quotePrefix="0" xfId="0">
      <alignment horizontal="left" vertical="bottom" wrapText="1"/>
    </xf>
    <xf numFmtId="0" fontId="30" fillId="0" borderId="1" applyAlignment="1" pivotButton="0" quotePrefix="0" xfId="0">
      <alignment horizontal="center" vertical="bottom" wrapText="1"/>
    </xf>
    <xf numFmtId="0" fontId="30" fillId="10" borderId="1" applyAlignment="1" pivotButton="0" quotePrefix="0" xfId="0">
      <alignment horizontal="left" vertical="bottom" wrapText="1"/>
    </xf>
    <xf numFmtId="0" fontId="37" fillId="0" borderId="1" applyAlignment="1" pivotButton="0" quotePrefix="0" xfId="0">
      <alignment horizontal="left" vertical="bottom" wrapText="1"/>
    </xf>
    <xf numFmtId="0" fontId="30" fillId="0" borderId="1" applyAlignment="1" pivotButton="0" quotePrefix="0" xfId="0">
      <alignment horizontal="right" vertical="bottom" wrapText="1"/>
    </xf>
    <xf numFmtId="0" fontId="30" fillId="0" borderId="1" applyAlignment="1" pivotButton="0" quotePrefix="0" xfId="0">
      <alignment horizontal="left" vertical="bottom" wrapText="1"/>
    </xf>
    <xf numFmtId="0" fontId="30" fillId="0" borderId="1" applyAlignment="1" pivotButton="0" quotePrefix="0" xfId="0">
      <alignment horizontal="center" vertical="bottom"/>
    </xf>
    <xf numFmtId="0" fontId="30" fillId="0" borderId="0" applyAlignment="1" pivotButton="0" quotePrefix="0" xfId="0">
      <alignment horizontal="center" vertical="bottom"/>
    </xf>
    <xf numFmtId="0" fontId="9" fillId="0" borderId="1" applyAlignment="1" pivotButton="0" quotePrefix="0" xfId="0">
      <alignment horizontal="left" vertical="bottom" wrapText="1"/>
    </xf>
    <xf numFmtId="0" fontId="9" fillId="9" borderId="1" applyAlignment="1" pivotButton="0" quotePrefix="0" xfId="0">
      <alignment horizontal="center" vertical="bottom"/>
    </xf>
    <xf numFmtId="0" fontId="9" fillId="9" borderId="1" applyAlignment="1" pivotButton="0" quotePrefix="0" xfId="0">
      <alignment horizontal="center" vertical="bottom" wrapText="1"/>
    </xf>
    <xf numFmtId="0" fontId="9" fillId="0" borderId="1" applyAlignment="1" pivotButton="0" quotePrefix="0" xfId="0">
      <alignment vertical="bottom" wrapText="1"/>
    </xf>
    <xf numFmtId="0" fontId="9" fillId="0" borderId="1" applyAlignment="1" pivotButton="0" quotePrefix="0" xfId="0">
      <alignment horizontal="left" vertical="bottom" wrapText="1"/>
    </xf>
    <xf numFmtId="0" fontId="38" fillId="0" borderId="1" applyAlignment="1" pivotButton="0" quotePrefix="0" xfId="0">
      <alignment horizontal="center" vertical="bottom" wrapText="1"/>
    </xf>
    <xf numFmtId="0" fontId="9" fillId="0" borderId="1" applyAlignment="1" pivotButton="0" quotePrefix="0" xfId="0">
      <alignment horizontal="center" vertical="bottom"/>
    </xf>
    <xf numFmtId="0" fontId="39" fillId="0" borderId="1" applyAlignment="1" pivotButton="0" quotePrefix="0" xfId="0">
      <alignment horizontal="center" vertical="bottom" wrapText="1"/>
    </xf>
    <xf numFmtId="0" fontId="9" fillId="0" borderId="1" applyAlignment="1" pivotButton="0" quotePrefix="0" xfId="0">
      <alignment horizontal="center" vertical="bottom"/>
    </xf>
    <xf numFmtId="0" fontId="9" fillId="0" borderId="1" applyAlignment="1" pivotButton="0" quotePrefix="0" xfId="0">
      <alignment vertical="bottom" wrapText="1"/>
    </xf>
    <xf numFmtId="0" fontId="9" fillId="0" borderId="1" applyAlignment="1" pivotButton="0" quotePrefix="0" xfId="0">
      <alignment horizontal="center" vertical="bottom" wrapText="1"/>
    </xf>
    <xf numFmtId="0" fontId="18" fillId="10" borderId="0" applyAlignment="1" pivotButton="0" quotePrefix="0" xfId="0">
      <alignment horizontal="center" vertical="bottom" wrapText="1"/>
    </xf>
    <xf numFmtId="0" fontId="18" fillId="0" borderId="0" applyAlignment="1" pivotButton="0" quotePrefix="0" xfId="0">
      <alignment horizontal="left" vertical="bottom"/>
    </xf>
    <xf numFmtId="0" fontId="18" fillId="0" borderId="1" applyAlignment="1" pivotButton="0" quotePrefix="0" xfId="0">
      <alignment horizontal="left" vertical="bottom"/>
    </xf>
    <xf numFmtId="0" fontId="18" fillId="0" borderId="1" applyAlignment="1" pivotButton="0" quotePrefix="0" xfId="0">
      <alignment horizontal="center" vertical="bottom"/>
    </xf>
    <xf numFmtId="0" fontId="40" fillId="9" borderId="0" applyAlignment="1" pivotButton="0" quotePrefix="0" xfId="0">
      <alignment horizontal="left" vertical="bottom" wrapText="1"/>
    </xf>
    <xf numFmtId="0" fontId="9" fillId="10" borderId="1" applyAlignment="1" pivotButton="0" quotePrefix="0" xfId="0">
      <alignment vertical="bottom" wrapText="1"/>
    </xf>
    <xf numFmtId="0" fontId="9" fillId="13" borderId="1" applyAlignment="1" pivotButton="0" quotePrefix="0" xfId="0">
      <alignment horizontal="center" vertical="bottom"/>
    </xf>
    <xf numFmtId="0" fontId="41" fillId="9" borderId="0" applyAlignment="1" pivotButton="0" quotePrefix="0" xfId="0">
      <alignment horizontal="left" vertical="bottom" wrapText="1"/>
    </xf>
    <xf numFmtId="0" fontId="9" fillId="13" borderId="1" applyAlignment="1" pivotButton="0" quotePrefix="0" xfId="0">
      <alignment horizontal="left" vertical="bottom" wrapText="1"/>
    </xf>
    <xf numFmtId="0" fontId="9" fillId="0" borderId="0" applyAlignment="1" pivotButton="0" quotePrefix="0" xfId="0">
      <alignment horizontal="left" vertical="bottom"/>
    </xf>
    <xf numFmtId="0" fontId="18" fillId="10" borderId="0" applyAlignment="1" pivotButton="0" quotePrefix="0" xfId="0">
      <alignment horizontal="left" vertical="bottom" wrapText="1"/>
    </xf>
    <xf numFmtId="0" fontId="18" fillId="0" borderId="0" applyAlignment="1" pivotButton="0" quotePrefix="0" xfId="0">
      <alignment horizontal="left" vertical="top" wrapText="1"/>
    </xf>
    <xf numFmtId="0" fontId="9" fillId="14" borderId="0" applyAlignment="1" pivotButton="0" quotePrefix="0" xfId="0">
      <alignment horizontal="left" vertical="bottom" wrapText="1"/>
    </xf>
    <xf numFmtId="0" fontId="42" fillId="0" borderId="0" applyAlignment="1" pivotButton="0" quotePrefix="0" xfId="0">
      <alignment horizontal="left" vertical="bottom" wrapText="1"/>
    </xf>
    <xf numFmtId="0" fontId="18" fillId="2" borderId="1" applyAlignment="1" pivotButton="0" quotePrefix="0" xfId="0">
      <alignment horizontal="left" vertical="bottom" wrapText="1"/>
    </xf>
    <xf numFmtId="0" fontId="18" fillId="0" borderId="0" applyAlignment="1" pivotButton="0" quotePrefix="0" xfId="0">
      <alignment vertical="bottom" wrapText="1"/>
    </xf>
    <xf numFmtId="0" fontId="9" fillId="9" borderId="1" applyAlignment="1" pivotButton="0" quotePrefix="0" xfId="0">
      <alignment horizontal="left" vertical="bottom" wrapText="1"/>
    </xf>
    <xf numFmtId="0" fontId="18" fillId="9" borderId="0" applyAlignment="1" pivotButton="0" quotePrefix="0" xfId="0">
      <alignment vertical="bottom"/>
    </xf>
    <xf numFmtId="0" fontId="18" fillId="9" borderId="1" applyAlignment="1" pivotButton="0" quotePrefix="0" xfId="0">
      <alignment vertical="bottom" wrapText="1"/>
    </xf>
    <xf numFmtId="0" fontId="18" fillId="9" borderId="1" applyAlignment="1" pivotButton="0" quotePrefix="0" xfId="0">
      <alignment vertical="bottom" wrapText="1"/>
    </xf>
    <xf numFmtId="0" fontId="18" fillId="9" borderId="0" applyAlignment="1" pivotButton="0" quotePrefix="0" xfId="0">
      <alignment vertical="bottom" wrapText="1"/>
    </xf>
    <xf numFmtId="0" fontId="18" fillId="9" borderId="0" applyAlignment="1" pivotButton="0" quotePrefix="0" xfId="0">
      <alignment vertical="bottom" wrapText="1"/>
    </xf>
    <xf numFmtId="0" fontId="9" fillId="15" borderId="1" applyAlignment="1" pivotButton="0" quotePrefix="0" xfId="0">
      <alignment horizontal="center" vertical="bottom"/>
    </xf>
    <xf numFmtId="0" fontId="9" fillId="15" borderId="1" applyAlignment="1" pivotButton="0" quotePrefix="0" xfId="0">
      <alignment horizontal="left" vertical="bottom" wrapText="1"/>
    </xf>
    <xf numFmtId="0" fontId="9" fillId="15" borderId="1" applyAlignment="1" pivotButton="0" quotePrefix="0" xfId="0">
      <alignment horizontal="center" vertical="bottom" wrapText="1"/>
    </xf>
    <xf numFmtId="0" fontId="43" fillId="15" borderId="1" applyAlignment="1" pivotButton="0" quotePrefix="0" xfId="0">
      <alignment horizontal="center" vertical="bottom" wrapText="1"/>
    </xf>
    <xf numFmtId="0" fontId="18" fillId="15" borderId="3" applyAlignment="1" pivotButton="0" quotePrefix="0" xfId="0">
      <alignment vertical="bottom"/>
    </xf>
    <xf numFmtId="0" fontId="9" fillId="9" borderId="1" applyAlignment="1" pivotButton="0" quotePrefix="0" xfId="0">
      <alignment horizontal="center" vertical="bottom"/>
    </xf>
    <xf numFmtId="0" fontId="44" fillId="9" borderId="1" applyAlignment="1" pivotButton="0" quotePrefix="0" xfId="0">
      <alignment horizontal="left" vertical="bottom" wrapText="1"/>
    </xf>
    <xf numFmtId="0" fontId="44" fillId="9" borderId="1" applyAlignment="1" pivotButton="0" quotePrefix="0" xfId="0">
      <alignment horizontal="center" vertical="bottom" wrapText="1"/>
    </xf>
    <xf numFmtId="0" fontId="18" fillId="9" borderId="4" applyAlignment="1" pivotButton="0" quotePrefix="0" xfId="0">
      <alignment vertical="bottom"/>
    </xf>
    <xf numFmtId="0" fontId="9" fillId="0" borderId="0" applyAlignment="1" pivotButton="0" quotePrefix="0" xfId="0">
      <alignment horizontal="left" vertical="bottom"/>
    </xf>
    <xf numFmtId="0" fontId="18" fillId="9" borderId="0" applyAlignment="1" pivotButton="0" quotePrefix="0" xfId="0">
      <alignment horizontal="center" vertical="bottom" wrapText="1"/>
    </xf>
    <xf numFmtId="0" fontId="18" fillId="9" borderId="5" applyAlignment="1" pivotButton="0" quotePrefix="0" xfId="0">
      <alignment horizontal="center" vertical="bottom" wrapText="1"/>
    </xf>
    <xf numFmtId="0" fontId="45" fillId="9" borderId="1" applyAlignment="1" pivotButton="0" quotePrefix="0" xfId="0">
      <alignment horizontal="center" vertical="bottom" wrapText="1"/>
    </xf>
    <xf numFmtId="0" fontId="46" fillId="0" borderId="1" applyAlignment="1" pivotButton="0" quotePrefix="0" xfId="0">
      <alignment horizontal="center" vertical="bottom" wrapText="1"/>
    </xf>
    <xf numFmtId="0" fontId="45" fillId="9" borderId="0" applyAlignment="1" pivotButton="0" quotePrefix="0" xfId="0">
      <alignment horizontal="center" vertical="bottom" wrapText="1"/>
    </xf>
    <xf numFmtId="0" fontId="47" fillId="9" borderId="0" applyAlignment="1" pivotButton="0" quotePrefix="0" xfId="0">
      <alignment horizontal="center" vertical="bottom" wrapText="1"/>
    </xf>
    <xf numFmtId="0" fontId="48" fillId="0" borderId="1" applyAlignment="1" pivotButton="0" quotePrefix="0" xfId="0">
      <alignment horizontal="center" vertical="bottom" wrapText="1"/>
    </xf>
    <xf numFmtId="0" fontId="9" fillId="9" borderId="0" applyAlignment="1" pivotButton="0" quotePrefix="0" xfId="0">
      <alignment horizontal="left" vertical="bottom" wrapText="1"/>
    </xf>
    <xf numFmtId="0" fontId="45" fillId="9" borderId="1" applyAlignment="1" pivotButton="0" quotePrefix="0" xfId="0">
      <alignment horizontal="left" vertical="bottom" wrapText="1"/>
    </xf>
    <xf numFmtId="0" fontId="45" fillId="9" borderId="0" applyAlignment="1" pivotButton="0" quotePrefix="0" xfId="0">
      <alignment horizontal="left" vertical="bottom" wrapText="1"/>
    </xf>
    <xf numFmtId="0" fontId="49" fillId="0" borderId="1" applyAlignment="1" pivotButton="0" quotePrefix="0" xfId="0">
      <alignment horizontal="center" vertical="bottom"/>
    </xf>
    <xf numFmtId="0" fontId="49" fillId="0" borderId="1" applyAlignment="1" pivotButton="0" quotePrefix="0" xfId="0">
      <alignment horizontal="left" vertical="bottom" wrapText="1"/>
    </xf>
    <xf numFmtId="0" fontId="49" fillId="0" borderId="1" applyAlignment="1" pivotButton="0" quotePrefix="0" xfId="0">
      <alignment horizontal="center" vertical="bottom" wrapText="1"/>
    </xf>
    <xf numFmtId="0" fontId="50" fillId="0" borderId="1" applyAlignment="1" pivotButton="0" quotePrefix="0" xfId="0">
      <alignment horizontal="left" vertical="bottom" wrapText="1"/>
    </xf>
    <xf numFmtId="0" fontId="49" fillId="10" borderId="1" applyAlignment="1" pivotButton="0" quotePrefix="0" xfId="0">
      <alignment horizontal="center" vertical="bottom" wrapText="1"/>
    </xf>
    <xf numFmtId="0" fontId="49" fillId="9" borderId="1" applyAlignment="1" pivotButton="0" quotePrefix="0" xfId="0">
      <alignment horizontal="left" vertical="bottom" wrapText="1"/>
    </xf>
    <xf numFmtId="0" fontId="51" fillId="0" borderId="1" applyAlignment="1" pivotButton="0" quotePrefix="0" xfId="0">
      <alignment horizontal="center" vertical="bottom" wrapText="1"/>
    </xf>
    <xf numFmtId="0" fontId="49" fillId="9" borderId="1" applyAlignment="1" pivotButton="0" quotePrefix="0" xfId="0">
      <alignment horizontal="center" vertical="bottom" wrapText="1"/>
    </xf>
    <xf numFmtId="0" fontId="52" fillId="9" borderId="1" applyAlignment="1" pivotButton="0" quotePrefix="0" xfId="0">
      <alignment horizontal="left" vertical="bottom" wrapText="1"/>
    </xf>
    <xf numFmtId="0" fontId="53" fillId="0" borderId="1" applyAlignment="1" pivotButton="0" quotePrefix="0" xfId="0">
      <alignment horizontal="center" vertical="bottom" wrapText="1"/>
    </xf>
    <xf numFmtId="0" fontId="49" fillId="10" borderId="1" applyAlignment="1" pivotButton="0" quotePrefix="0" xfId="0">
      <alignment horizontal="left" vertical="bottom" wrapText="1"/>
    </xf>
    <xf numFmtId="0" fontId="52" fillId="9" borderId="0" applyAlignment="1" pivotButton="0" quotePrefix="0" xfId="0">
      <alignment horizontal="left" vertical="bottom" wrapText="1"/>
    </xf>
    <xf numFmtId="0" fontId="52" fillId="9" borderId="0" applyAlignment="1" pivotButton="0" quotePrefix="0" xfId="0">
      <alignment horizontal="center" vertical="bottom" wrapText="1"/>
    </xf>
    <xf numFmtId="0" fontId="49" fillId="9" borderId="0" applyAlignment="1" pivotButton="0" quotePrefix="0" xfId="0">
      <alignment horizontal="left" vertical="bottom" wrapText="1"/>
    </xf>
    <xf numFmtId="0" fontId="49" fillId="0" borderId="1" applyAlignment="1" pivotButton="0" quotePrefix="0" xfId="0">
      <alignment horizontal="center" vertical="bottom"/>
    </xf>
    <xf numFmtId="0" fontId="49" fillId="0" borderId="0" applyAlignment="1" pivotButton="0" quotePrefix="0" xfId="0">
      <alignment horizontal="left" vertical="bottom" wrapText="1"/>
    </xf>
    <xf numFmtId="0" fontId="49" fillId="0" borderId="1" applyAlignment="1" pivotButton="0" quotePrefix="0" xfId="0">
      <alignment horizontal="right" vertical="bottom" wrapText="1"/>
    </xf>
    <xf numFmtId="0" fontId="18" fillId="0" borderId="0" applyAlignment="1" pivotButton="0" quotePrefix="0" xfId="0">
      <alignment vertical="top"/>
    </xf>
    <xf numFmtId="0" fontId="49" fillId="0" borderId="0" applyAlignment="1" pivotButton="0" quotePrefix="0" xfId="0">
      <alignment horizontal="left" vertical="top" wrapText="1"/>
    </xf>
    <xf numFmtId="0" fontId="18" fillId="0" borderId="0" applyAlignment="1" pivotButton="0" quotePrefix="0" xfId="0">
      <alignment vertical="top" wrapText="1"/>
    </xf>
    <xf numFmtId="0" fontId="49" fillId="0" borderId="2" applyAlignment="1" pivotButton="0" quotePrefix="0" xfId="0">
      <alignment horizontal="center" vertical="top" wrapText="1"/>
    </xf>
    <xf numFmtId="0" fontId="49" fillId="10" borderId="2" applyAlignment="1" pivotButton="0" quotePrefix="0" xfId="0">
      <alignment horizontal="left" vertical="top" wrapText="1"/>
    </xf>
    <xf numFmtId="0" fontId="54" fillId="0" borderId="0" applyAlignment="1" pivotButton="0" quotePrefix="0" xfId="0">
      <alignment horizontal="left" vertical="top" wrapText="1"/>
    </xf>
    <xf numFmtId="0" fontId="49" fillId="0" borderId="2" applyAlignment="1" pivotButton="0" quotePrefix="0" xfId="0">
      <alignment horizontal="right" vertical="top" wrapText="1"/>
    </xf>
    <xf numFmtId="0" fontId="18" fillId="0" borderId="0" applyAlignment="1" pivotButton="0" quotePrefix="0" xfId="0">
      <alignment vertical="top" wrapText="1"/>
    </xf>
    <xf numFmtId="0" fontId="55" fillId="0" borderId="2" applyAlignment="1" pivotButton="0" quotePrefix="0" xfId="0">
      <alignment horizontal="left" vertical="top" wrapText="1"/>
    </xf>
    <xf numFmtId="0" fontId="49" fillId="0" borderId="2" applyAlignment="1" pivotButton="0" quotePrefix="0" xfId="0">
      <alignment horizontal="left" vertical="top" wrapText="1"/>
    </xf>
    <xf numFmtId="0" fontId="18" fillId="0" borderId="2" applyAlignment="1" pivotButton="0" quotePrefix="0" xfId="0">
      <alignment vertical="top" wrapText="1"/>
    </xf>
    <xf numFmtId="0" fontId="18" fillId="0" borderId="0" applyAlignment="1" pivotButton="0" quotePrefix="0" xfId="0">
      <alignment vertical="top"/>
    </xf>
    <xf numFmtId="0" fontId="49" fillId="0" borderId="2" applyAlignment="1" pivotButton="0" quotePrefix="0" xfId="0">
      <alignment horizontal="center" vertical="bottom" wrapText="1"/>
    </xf>
    <xf numFmtId="0" fontId="49" fillId="0" borderId="2" applyAlignment="1" pivotButton="0" quotePrefix="0" xfId="0">
      <alignment horizontal="right" vertical="bottom" wrapText="1"/>
    </xf>
    <xf numFmtId="0" fontId="56" fillId="0" borderId="0" applyAlignment="1" pivotButton="0" quotePrefix="0" xfId="0">
      <alignment horizontal="left" vertical="bottom" wrapText="1"/>
    </xf>
    <xf numFmtId="0" fontId="57" fillId="0" borderId="2" applyAlignment="1" pivotButton="0" quotePrefix="0" xfId="0">
      <alignment horizontal="left" vertical="bottom" wrapText="1"/>
    </xf>
    <xf numFmtId="0" fontId="49" fillId="0" borderId="2" applyAlignment="1" pivotButton="0" quotePrefix="0" xfId="0">
      <alignment horizontal="left" vertical="bottom" wrapText="1"/>
    </xf>
    <xf numFmtId="0" fontId="18" fillId="0" borderId="2" applyAlignment="1" pivotButton="0" quotePrefix="0" xfId="0">
      <alignment vertical="bottom" wrapText="1"/>
    </xf>
    <xf numFmtId="11" fontId="18" fillId="0" borderId="1" applyAlignment="1" pivotButton="0" quotePrefix="0" xfId="0">
      <alignment horizontal="right" vertical="bottom" wrapText="1"/>
    </xf>
    <xf numFmtId="0" fontId="58" fillId="0" borderId="1" applyAlignment="1" pivotButton="0" quotePrefix="0" xfId="0">
      <alignment horizontal="center" vertical="bottom" wrapText="1"/>
    </xf>
    <xf numFmtId="0" fontId="59" fillId="0" borderId="1" applyAlignment="1" pivotButton="0" quotePrefix="0" xfId="0">
      <alignment horizontal="center" vertical="bottom"/>
    </xf>
    <xf numFmtId="0" fontId="60" fillId="9" borderId="1" applyAlignment="1" pivotButton="0" quotePrefix="0" xfId="0">
      <alignment horizontal="left" vertical="bottom" wrapText="1"/>
    </xf>
    <xf numFmtId="0" fontId="61" fillId="0" borderId="0" applyAlignment="1" pivotButton="0" quotePrefix="0" xfId="0">
      <alignment horizontal="center" vertical="bottom" wrapText="1"/>
    </xf>
    <xf numFmtId="0" fontId="62" fillId="0" borderId="1" applyAlignment="1" pivotButton="0" quotePrefix="0" xfId="0">
      <alignment horizontal="center" vertical="bottom" wrapText="1"/>
    </xf>
    <xf numFmtId="0" fontId="47" fillId="9" borderId="1" applyAlignment="1" pivotButton="0" quotePrefix="0" xfId="0">
      <alignment horizontal="left" vertical="bottom" wrapText="1"/>
    </xf>
    <xf numFmtId="0" fontId="63" fillId="0" borderId="0" applyAlignment="1" pivotButton="0" quotePrefix="0" xfId="0">
      <alignment horizontal="left" vertical="bottom" wrapText="1"/>
    </xf>
    <xf numFmtId="0" fontId="64" fillId="0" borderId="0" applyAlignment="1" pivotButton="0" quotePrefix="0" xfId="0">
      <alignment horizontal="left" vertical="bottom" wrapText="1"/>
    </xf>
    <xf numFmtId="0" fontId="65" fillId="0" borderId="0" applyAlignment="1" pivotButton="0" quotePrefix="0" xfId="0">
      <alignment horizontal="left" vertical="bottom" wrapText="1"/>
    </xf>
    <xf numFmtId="0" fontId="25" fillId="0" borderId="0" applyAlignment="1" pivotButton="0" quotePrefix="0" xfId="0">
      <alignment horizontal="left" vertical="bottom" wrapText="1"/>
    </xf>
    <xf numFmtId="0" fontId="66" fillId="0" borderId="1" applyAlignment="1" pivotButton="0" quotePrefix="0" xfId="0">
      <alignment horizontal="left" vertical="bottom" wrapText="1"/>
    </xf>
    <xf numFmtId="0" fontId="47" fillId="9" borderId="0" applyAlignment="1" pivotButton="0" quotePrefix="0" xfId="0">
      <alignment horizontal="left" vertical="bottom" wrapText="1"/>
    </xf>
    <xf numFmtId="0" fontId="67" fillId="0" borderId="0" applyAlignment="1" pivotButton="0" quotePrefix="0" xfId="0">
      <alignment horizontal="left" vertical="bottom" wrapText="1"/>
    </xf>
    <xf numFmtId="0" fontId="68" fillId="0" borderId="0" applyAlignment="1" pivotButton="0" quotePrefix="0" xfId="0">
      <alignment horizontal="left" vertical="bottom" wrapText="1"/>
    </xf>
    <xf numFmtId="0" fontId="19" fillId="0" borderId="0" applyAlignment="1" pivotButton="0" quotePrefix="0" xfId="0">
      <alignment horizontal="left" vertical="top" wrapText="1"/>
    </xf>
    <xf numFmtId="0" fontId="19" fillId="9" borderId="0" applyAlignment="1" pivotButton="0" quotePrefix="0" xfId="0">
      <alignment horizontal="left" vertical="top" wrapText="1"/>
    </xf>
    <xf numFmtId="0" fontId="69" fillId="0" borderId="0" applyAlignment="1" pivotButton="0" quotePrefix="0" xfId="0">
      <alignment horizontal="left" vertical="bottom" wrapText="1"/>
    </xf>
    <xf numFmtId="0" fontId="47" fillId="9" borderId="0" applyAlignment="1" pivotButton="0" quotePrefix="0" xfId="0">
      <alignment horizontal="left" vertical="top" wrapText="1"/>
    </xf>
    <xf numFmtId="0" fontId="70" fillId="0" borderId="1" applyAlignment="1" pivotButton="0" quotePrefix="0" xfId="0">
      <alignment horizontal="left" vertical="bottom" wrapText="1"/>
    </xf>
    <xf numFmtId="0" fontId="47" fillId="9" borderId="1" applyAlignment="1" pivotButton="0" quotePrefix="0" xfId="0">
      <alignment horizontal="center" vertical="bottom" wrapText="1"/>
    </xf>
    <xf numFmtId="0" fontId="14" fillId="0" borderId="1" applyAlignment="1" pivotButton="0" quotePrefix="0" xfId="0">
      <alignment horizontal="center" vertical="center" wrapText="1"/>
    </xf>
    <xf numFmtId="0" fontId="18" fillId="0" borderId="0" applyAlignment="1" pivotButton="0" quotePrefix="0" xfId="0">
      <alignment vertical="bottom"/>
    </xf>
    <xf numFmtId="0" fontId="71" fillId="0" borderId="1" applyAlignment="1" pivotButton="0" quotePrefix="0" xfId="0">
      <alignment horizontal="left" vertical="bottom" wrapText="1"/>
    </xf>
    <xf numFmtId="0" fontId="18" fillId="11" borderId="1" applyAlignment="1" pivotButton="0" quotePrefix="0" xfId="0">
      <alignment vertical="bottom" wrapText="1"/>
    </xf>
    <xf numFmtId="0" fontId="72" fillId="0" borderId="1" applyAlignment="1" pivotButton="0" quotePrefix="0" xfId="0">
      <alignment horizontal="center" vertical="bottom" wrapText="1"/>
    </xf>
    <xf numFmtId="0" fontId="18" fillId="0" borderId="1" applyAlignment="1" pivotButton="0" quotePrefix="0" xfId="0">
      <alignment vertical="bottom" wrapText="1"/>
    </xf>
    <xf numFmtId="0" fontId="73" fillId="0" borderId="0" applyAlignment="1" pivotButton="0" quotePrefix="0" xfId="0">
      <alignment horizontal="left" vertical="top" wrapText="1"/>
    </xf>
    <xf numFmtId="0" fontId="18" fillId="0" borderId="0" applyAlignment="1" pivotButton="0" quotePrefix="0" xfId="0">
      <alignment horizontal="center" vertical="bottom" wrapText="1"/>
    </xf>
    <xf numFmtId="0" fontId="74" fillId="0" borderId="1" applyAlignment="1" pivotButton="0" quotePrefix="0" xfId="0">
      <alignment horizontal="left" vertical="bottom" wrapText="1"/>
    </xf>
    <xf numFmtId="0" fontId="19" fillId="9" borderId="1" applyAlignment="1" pivotButton="0" quotePrefix="0" xfId="0">
      <alignment horizontal="left" vertical="top" wrapText="1"/>
    </xf>
    <xf numFmtId="0" fontId="2" fillId="0" borderId="0" pivotButton="0" quotePrefix="0" xfId="0"/>
    <xf numFmtId="0" fontId="1" fillId="2" borderId="1" applyAlignment="1" pivotButton="0" quotePrefix="0" xfId="0">
      <alignment vertical="bottom"/>
    </xf>
    <xf numFmtId="0" fontId="1" fillId="2" borderId="1" applyAlignment="1" pivotButton="0" quotePrefix="0" xfId="0">
      <alignment horizontal="center" vertical="bottom"/>
    </xf>
    <xf numFmtId="0" fontId="1" fillId="2" borderId="1" applyAlignment="1" pivotButton="0" quotePrefix="0" xfId="0">
      <alignment horizontal="center" vertical="bottom"/>
    </xf>
    <xf numFmtId="0" fontId="75" fillId="3" borderId="0" pivotButton="0" quotePrefix="0" xfId="0"/>
    <xf numFmtId="0" fontId="7" fillId="0" borderId="1" applyAlignment="1" pivotButton="0" quotePrefix="0" xfId="0">
      <alignment vertical="bottom"/>
    </xf>
    <xf numFmtId="0" fontId="6" fillId="0" borderId="1" pivotButton="0" quotePrefix="0" xfId="0"/>
    <xf numFmtId="0" fontId="2" fillId="0" borderId="0" applyAlignment="1" pivotButton="0" quotePrefix="0" xfId="0">
      <alignment horizontal="right"/>
    </xf>
    <xf numFmtId="0" fontId="6" fillId="0" borderId="0" applyAlignment="1" pivotButton="0" quotePrefix="0" xfId="0">
      <alignment horizontal="right"/>
    </xf>
    <xf numFmtId="0" fontId="6" fillId="3" borderId="0" pivotButton="0" quotePrefix="0" xfId="0"/>
    <xf numFmtId="0" fontId="2" fillId="3" borderId="0" applyAlignment="1" pivotButton="0" quotePrefix="0" xfId="0">
      <alignment horizontal="right"/>
    </xf>
    <xf numFmtId="0" fontId="7" fillId="5" borderId="1" applyAlignment="1" pivotButton="0" quotePrefix="0" xfId="0">
      <alignment vertical="bottom"/>
    </xf>
    <xf numFmtId="0" fontId="6" fillId="5" borderId="1" pivotButton="0" quotePrefix="0" xfId="0"/>
    <xf numFmtId="0" fontId="76" fillId="0" borderId="1" applyAlignment="1" pivotButton="0" quotePrefix="0" xfId="0">
      <alignment vertical="bottom"/>
    </xf>
    <xf numFmtId="0" fontId="7" fillId="0" borderId="1" applyAlignment="1" pivotButton="0" quotePrefix="0" xfId="0">
      <alignment vertical="bottom"/>
    </xf>
    <xf numFmtId="0" fontId="3" fillId="16" borderId="1" applyAlignment="1" pivotButton="0" quotePrefix="0" xfId="0">
      <alignment vertical="bottom"/>
    </xf>
    <xf numFmtId="0" fontId="6" fillId="16" borderId="1" pivotButton="0" quotePrefix="0" xfId="0"/>
    <xf numFmtId="0" fontId="7" fillId="16" borderId="1" applyAlignment="1" pivotButton="0" quotePrefix="0" xfId="0">
      <alignment vertical="bottom"/>
    </xf>
    <xf numFmtId="0" fontId="77" fillId="0" borderId="0" applyAlignment="1" pivotButton="0" quotePrefix="0" xfId="0">
      <alignment vertical="bottom"/>
    </xf>
    <xf numFmtId="0" fontId="77" fillId="0" borderId="0" applyAlignment="1" pivotButton="0" quotePrefix="0" xfId="0">
      <alignment vertical="bottom"/>
    </xf>
    <xf numFmtId="0" fontId="77" fillId="0" borderId="0" applyAlignment="1" pivotButton="0" quotePrefix="0" xfId="0">
      <alignment horizontal="right" vertical="bottom"/>
    </xf>
    <xf numFmtId="0" fontId="78" fillId="0" borderId="0" applyAlignment="1" pivotButton="0" quotePrefix="0" xfId="0">
      <alignment vertical="bottom"/>
    </xf>
    <xf numFmtId="0" fontId="78" fillId="0" borderId="0" applyAlignment="1" pivotButton="0" quotePrefix="0" xfId="0">
      <alignment horizontal="right" vertical="bottom"/>
    </xf>
    <xf numFmtId="0" fontId="18" fillId="0" borderId="0" applyAlignment="1" pivotButton="0" quotePrefix="0" xfId="0">
      <alignment vertical="bottom"/>
    </xf>
    <xf numFmtId="0" fontId="18" fillId="0" borderId="0" applyAlignment="1" pivotButton="0" quotePrefix="0" xfId="0">
      <alignment horizontal="right" vertical="bottom"/>
    </xf>
    <xf numFmtId="0" fontId="7" fillId="0" borderId="0" applyAlignment="1" pivotButton="0" quotePrefix="0" xfId="0">
      <alignment horizontal="right" vertical="bottom"/>
    </xf>
    <xf numFmtId="0" fontId="7" fillId="0" borderId="0" applyAlignment="1" pivotButton="0" quotePrefix="0" xfId="0">
      <alignment vertical="bottom"/>
    </xf>
    <xf numFmtId="0" fontId="7" fillId="0" borderId="0" applyAlignment="1" pivotButton="0" quotePrefix="0" xfId="0">
      <alignment horizontal="right" vertical="bottom"/>
    </xf>
    <xf numFmtId="10" fontId="7" fillId="0" borderId="0" applyAlignment="1" pivotButton="0" quotePrefix="0" xfId="0">
      <alignment vertical="bottom"/>
    </xf>
    <xf numFmtId="0" fontId="77" fillId="0" borderId="1" applyAlignment="1" pivotButton="0" quotePrefix="0" xfId="0">
      <alignment horizontal="center" vertical="bottom"/>
    </xf>
    <xf numFmtId="0" fontId="77" fillId="0" borderId="1" applyAlignment="1" pivotButton="0" quotePrefix="0" xfId="0">
      <alignment horizontal="center" vertical="bottom"/>
    </xf>
    <xf numFmtId="0" fontId="7" fillId="0" borderId="1" applyAlignment="1" pivotButton="0" quotePrefix="0" xfId="0">
      <alignment horizontal="center" vertical="bottom"/>
    </xf>
    <xf numFmtId="0" fontId="7" fillId="0" borderId="1" applyAlignment="1" pivotButton="0" quotePrefix="0" xfId="0">
      <alignment horizontal="center" vertical="bottom"/>
    </xf>
    <xf numFmtId="0" fontId="7" fillId="5" borderId="1" applyAlignment="1" pivotButton="0" quotePrefix="0" xfId="0">
      <alignment horizontal="center" vertical="bottom"/>
    </xf>
    <xf numFmtId="0" fontId="7" fillId="5" borderId="1" applyAlignment="1" pivotButton="0" quotePrefix="0" xfId="0">
      <alignment horizontal="center" vertical="bottom"/>
    </xf>
    <xf numFmtId="0" fontId="7" fillId="5" borderId="1" applyAlignment="1" pivotButton="0" quotePrefix="0" xfId="0">
      <alignment horizontal="center" vertical="bottom" wrapText="1"/>
    </xf>
    <xf numFmtId="10" fontId="77" fillId="0" borderId="0" applyAlignment="1" pivotButton="0" quotePrefix="0" xfId="0">
      <alignment vertical="bottom"/>
    </xf>
    <xf numFmtId="0" fontId="7" fillId="0" borderId="1" applyAlignment="1" pivotButton="0" quotePrefix="0" xfId="0">
      <alignment horizontal="center" vertical="bottom" wrapText="1"/>
    </xf>
    <xf numFmtId="0" fontId="2" fillId="0" borderId="1" applyAlignment="1" pivotButton="0" quotePrefix="0" xfId="0">
      <alignment horizontal="center"/>
    </xf>
    <xf numFmtId="0" fontId="6" fillId="0" borderId="1" pivotButton="0" quotePrefix="0" xfId="0"/>
    <xf numFmtId="0" fontId="79" fillId="0" borderId="1" applyAlignment="1" pivotButton="0" quotePrefix="0" xfId="0">
      <alignment wrapText="1"/>
    </xf>
    <xf numFmtId="0" fontId="6" fillId="9" borderId="1" pivotButton="0" quotePrefix="0" xfId="0"/>
    <xf numFmtId="0" fontId="6" fillId="7" borderId="1" pivotButton="0" quotePrefix="0" xfId="0"/>
    <xf numFmtId="0" fontId="80" fillId="4" borderId="1" applyAlignment="1" pivotButton="0" quotePrefix="0" xfId="0">
      <alignment horizontal="center" wrapText="1"/>
    </xf>
    <xf numFmtId="0" fontId="80" fillId="4" borderId="6" applyAlignment="1" pivotButton="0" quotePrefix="0" xfId="0">
      <alignment horizontal="center" wrapText="1"/>
    </xf>
    <xf numFmtId="0" fontId="80" fillId="4" borderId="7" applyAlignment="1" pivotButton="0" quotePrefix="0" xfId="0">
      <alignment horizontal="center" wrapText="1"/>
    </xf>
    <xf numFmtId="0" fontId="81" fillId="4" borderId="1" applyAlignment="1" pivotButton="0" quotePrefix="0" xfId="0">
      <alignment horizontal="center" wrapText="1"/>
    </xf>
    <xf numFmtId="0" fontId="82" fillId="0" borderId="1" pivotButton="0" quotePrefix="0" xfId="0"/>
    <xf numFmtId="0" fontId="79" fillId="0" borderId="1" applyAlignment="1" pivotButton="0" quotePrefix="0" xfId="0">
      <alignment wrapText="1"/>
    </xf>
    <xf numFmtId="0" fontId="79" fillId="0" borderId="1" applyAlignment="1" pivotButton="0" quotePrefix="0" xfId="0">
      <alignment horizontal="center"/>
    </xf>
    <xf numFmtId="0" fontId="79" fillId="0" borderId="1" pivotButton="0" quotePrefix="0" xfId="0"/>
    <xf numFmtId="0" fontId="82" fillId="0" borderId="0" pivotButton="0" quotePrefix="0" xfId="0"/>
    <xf numFmtId="0" fontId="79" fillId="0" borderId="0" applyAlignment="1" pivotButton="0" quotePrefix="0" xfId="0">
      <alignment wrapText="1"/>
    </xf>
    <xf numFmtId="0" fontId="0" fillId="0" borderId="0" pivotButton="0" quotePrefix="0" xfId="0"/>
    <xf numFmtId="0" fontId="1" fillId="2" borderId="1" applyAlignment="1" pivotButton="0" quotePrefix="0" xfId="0">
      <alignment horizontal="center" vertical="center" wrapText="1"/>
    </xf>
    <xf numFmtId="0" fontId="3" fillId="2"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lapor.go.id/" TargetMode="External" Id="rId1" /><Relationship Type="http://schemas.openxmlformats.org/officeDocument/2006/relationships/hyperlink" Target="http://s.si/" TargetMode="External" Id="rId2" /><Relationship Type="http://schemas.openxmlformats.org/officeDocument/2006/relationships/hyperlink" Target="https://kabbandungv2.sakti112.id/" TargetMode="External" Id="rId3" /><Relationship Type="http://schemas.openxmlformats.org/officeDocument/2006/relationships/hyperlink" Target="https://simasda.bandungkab.go.id/" TargetMode="External" Id="rId4" /></Relationships>
</file>

<file path=xl/worksheets/_rels/sheet3.xml.rels><Relationships xmlns="http://schemas.openxmlformats.org/package/2006/relationships"><Relationship Type="http://schemas.openxmlformats.org/officeDocument/2006/relationships/hyperlink" Target="https://lapor.go.id/" TargetMode="External" Id="rId1" /><Relationship Type="http://schemas.openxmlformats.org/officeDocument/2006/relationships/hyperlink" Target="http://s.si/" TargetMode="External" Id="rId2" /><Relationship Type="http://schemas.openxmlformats.org/officeDocument/2006/relationships/hyperlink" Target="https://play.google.com/store/apps/details?id=com.diskominfo.radiokandagabedas&amp;pcampaignid=web_share" TargetMode="External" Id="rId3" /><Relationship Type="http://schemas.openxmlformats.org/officeDocument/2006/relationships/hyperlink" Target="https://simasda.bandungkab.go.id/" TargetMode="External" Id="rId4" /><Relationship Type="http://schemas.openxmlformats.org/officeDocument/2006/relationships/hyperlink" Target="http://ppid.bandungkab.go.id/" TargetMode="External" Id="rId5" /><Relationship Type="http://schemas.openxmlformats.org/officeDocument/2006/relationships/hyperlink" Target="https://bandungkab.go.id/" TargetMode="External" Id="rId6" /><Relationship Type="http://schemas.openxmlformats.org/officeDocument/2006/relationships/hyperlink" Target="https://smartcity.bandungkab.go.id/" TargetMode="External" Id="rId7" /><Relationship Type="http://schemas.openxmlformats.org/officeDocument/2006/relationships/hyperlink" Target="https://simaslahat.bandungkab.go.id/" TargetMode="External" Id="rId8" /><Relationship Type="http://schemas.openxmlformats.org/officeDocument/2006/relationships/hyperlink" Target="https://lapor.go.id/" TargetMode="External" Id="rId9" /><Relationship Type="http://schemas.openxmlformats.org/officeDocument/2006/relationships/hyperlink" Target="https://simasda.bandungkab.go.id/" TargetMode="External" Id="rId10" /><Relationship Type="http://schemas.openxmlformats.org/officeDocument/2006/relationships/hyperlink" Target="https://sirekonpajak.bandungkab.go.id/" TargetMode="External" Id="rId11" /><Relationship Type="http://schemas.openxmlformats.org/officeDocument/2006/relationships/hyperlink" Target="http://coretaxdjp.pajak.go.id/" TargetMode="External" Id="rId12" /><Relationship Type="http://schemas.openxmlformats.org/officeDocument/2006/relationships/hyperlink" Target="https://e-sptpd.bandungkab.go.id/" TargetMode="External" Id="rId13" /><Relationship Type="http://schemas.openxmlformats.org/officeDocument/2006/relationships/hyperlink" Target="http://sipd-ri.kemendagri.go.id/" TargetMode="External" Id="rId14" /><Relationship Type="http://schemas.openxmlformats.org/officeDocument/2006/relationships/hyperlink" Target="https://sultan.bandungkab.go.id/" TargetMode="External" Id="rId15" /><Relationship Type="http://schemas.openxmlformats.org/officeDocument/2006/relationships/hyperlink" Target="http://sshsbu.e-planningbmd.id/" TargetMode="External" Id="rId16" /><Relationship Type="http://schemas.openxmlformats.org/officeDocument/2006/relationships/hyperlink" Target="https://indah.bps.go.id/" TargetMode="External" Id="rId17" /><Relationship Type="http://schemas.openxmlformats.org/officeDocument/2006/relationships/hyperlink" Target="http://simwas.bandungkab.go.id/" TargetMode="External" Id="rId18" /><Relationship Type="http://schemas.openxmlformats.org/officeDocument/2006/relationships/hyperlink" Target="https://sidalmonep.bandungkab.go.id/" TargetMode="External" Id="rId19" /><Relationship Type="http://schemas.openxmlformats.org/officeDocument/2006/relationships/hyperlink" Target="https://simpelbkpsdm.bandungkab.go.id/" TargetMode="External" Id="rId20" /><Relationship Type="http://schemas.openxmlformats.org/officeDocument/2006/relationships/hyperlink" Target="https://sultan.bandungkab.go.id/" TargetMode="External" Id="rId21" /><Relationship Type="http://schemas.openxmlformats.org/officeDocument/2006/relationships/hyperlink" Target="http://siakang.bandungkab.go.id/" TargetMode="External" Id="rId22" /><Relationship Type="http://schemas.openxmlformats.org/officeDocument/2006/relationships/hyperlink" Target="http://m.tr/" TargetMode="External" Id="rId23" /><Relationship Type="http://schemas.openxmlformats.org/officeDocument/2006/relationships/hyperlink" Target="https://surabi.jabarprov.go.id/" TargetMode="External" Id="rId24" /><Relationship Type="http://schemas.openxmlformats.org/officeDocument/2006/relationships/hyperlink" Target="http://m.tr/" TargetMode="External" Id="rId25" /><Relationship Type="http://schemas.openxmlformats.org/officeDocument/2006/relationships/hyperlink" Target="https://skm.bandungkab.go.id/" TargetMode="External" Id="rId26" /><Relationship Type="http://schemas.openxmlformats.org/officeDocument/2006/relationships/hyperlink" Target="https://sitampan-insaba.web.app/" TargetMode="External" Id="rId27" /><Relationship Type="http://schemas.openxmlformats.org/officeDocument/2006/relationships/hyperlink" Target="http://m.tr/" TargetMode="External" Id="rId28" /><Relationship Type="http://schemas.openxmlformats.org/officeDocument/2006/relationships/hyperlink" Target="https://play.google.com/store/apps/details?id=com.diskominfo.siagan_bedas&amp;hl=id" TargetMode="External" Id="rId29" /><Relationship Type="http://schemas.openxmlformats.org/officeDocument/2006/relationships/hyperlink" Target="http://sinar.big.go.id/" TargetMode="External" Id="rId30" /><Relationship Type="http://schemas.openxmlformats.org/officeDocument/2006/relationships/hyperlink" Target="http://m.si/" TargetMode="External" Id="rId31" /><Relationship Type="http://schemas.openxmlformats.org/officeDocument/2006/relationships/hyperlink" Target="https://elppd.kemendagri.go.id/" TargetMode="External" Id="rId32" /><Relationship Type="http://schemas.openxmlformats.org/officeDocument/2006/relationships/hyperlink" Target="http://m.si/" TargetMode="External" Id="rId33" /><Relationship Type="http://schemas.openxmlformats.org/officeDocument/2006/relationships/hyperlink" Target="https://spm.bangda.kemendagri.go.id/" TargetMode="External" Id="rId34" /><Relationship Type="http://schemas.openxmlformats.org/officeDocument/2006/relationships/hyperlink" Target="http://m.si/" TargetMode="External" Id="rId35" /><Relationship Type="http://schemas.openxmlformats.org/officeDocument/2006/relationships/hyperlink" Target="https://ppid.bandungkab.go.id/" TargetMode="External" Id="rId36" /><Relationship Type="http://schemas.openxmlformats.org/officeDocument/2006/relationships/hyperlink" Target="https://sipphade.bandungkab.go.id/" TargetMode="External" Id="rId37" /><Relationship Type="http://schemas.openxmlformats.org/officeDocument/2006/relationships/hyperlink" Target="https://sipatuhbedas.bandungkab.go.id/" TargetMode="External" Id="rId38" /><Relationship Type="http://schemas.openxmlformats.org/officeDocument/2006/relationships/hyperlink" Target="http://kerjasama.bandungkab.go.id/" TargetMode="External" Id="rId39" /><Relationship Type="http://schemas.openxmlformats.org/officeDocument/2006/relationships/hyperlink" Target="https://sikp.kemenkeu.go.id/login" TargetMode="External" Id="rId40" /><Relationship Type="http://schemas.openxmlformats.org/officeDocument/2006/relationships/hyperlink" Target="https://sitpakd.ojk.go.id/Account/Login" TargetMode="External" Id="rId41" /><Relationship Type="http://schemas.openxmlformats.org/officeDocument/2006/relationships/hyperlink" Target="https://www.appsheet.com/Account/Login?appName=DBHCHT%20App&amp;FullScope=False&amp;provider=google&amp;returnUrl=https%3A%2F%2Fwww.appsheet.com%2Fstart%2F93891b63-df85-4aa1-a7bf-d007dfa96cf8%3Fplatform%3Ddesktop" TargetMode="External" Id="rId42" /><Relationship Type="http://schemas.openxmlformats.org/officeDocument/2006/relationships/hyperlink" Target="https://sikd.djpk.kemenkeu.go.id/lapordbh/" TargetMode="External" Id="rId43" /><Relationship Type="http://schemas.openxmlformats.org/officeDocument/2006/relationships/hyperlink" Target="https://sipd-ri.kemendagri.go.id/auth/login" TargetMode="External" Id="rId44" /><Relationship Type="http://schemas.openxmlformats.org/officeDocument/2006/relationships/hyperlink" Target="https://tpin.id/login" TargetMode="External" Id="rId45" /><Relationship Type="http://schemas.openxmlformats.org/officeDocument/2006/relationships/hyperlink" Target="https://www.portalrb.id/" TargetMode="External" Id="rId46" /><Relationship Type="http://schemas.openxmlformats.org/officeDocument/2006/relationships/hyperlink" Target="https://bisakerja.bandungkab.go.id/login" TargetMode="External" Id="rId47" /><Relationship Type="http://schemas.openxmlformats.org/officeDocument/2006/relationships/hyperlink" Target="http://e-bumd.com/dashboard" TargetMode="External" Id="rId48" /><Relationship Type="http://schemas.openxmlformats.org/officeDocument/2006/relationships/hyperlink" Target="https://drive.google.com/drive/folders/1uT9c4NGjI41uZyGgKpyquckLoM2rSaQa?usp=sharing" TargetMode="External" Id="rId49" /><Relationship Type="http://schemas.openxmlformats.org/officeDocument/2006/relationships/hyperlink" Target="https://simbangun.bandungkab.go.id/" TargetMode="External" Id="rId50" /><Relationship Type="http://schemas.openxmlformats.org/officeDocument/2006/relationships/hyperlink" Target="https://e-lkpj.id/bandungkab/web/index.php?r=dashboard%2Flogin" TargetMode="External" Id="rId51" /><Relationship Type="http://schemas.openxmlformats.org/officeDocument/2006/relationships/hyperlink" Target="https://drive.google.com/file/d/1bfEasna0yACDkjKfdw6Q1Zy2Ku88gtKx/view?usp=sharing" TargetMode="External" Id="rId52" /><Relationship Type="http://schemas.openxmlformats.org/officeDocument/2006/relationships/hyperlink" Target="https://spse.inaproc.id/bandungkab" TargetMode="External" Id="rId53" /><Relationship Type="http://schemas.openxmlformats.org/officeDocument/2006/relationships/hyperlink" Target="https://aplikasi.bandungkab.go.id/publik/dashboard-pendataan-profil-sppg-aktif-untuk-satgas-mbg" TargetMode="External" Id="rId54" /><Relationship Type="http://schemas.openxmlformats.org/officeDocument/2006/relationships/hyperlink" Target="http://ap.m.kp/" TargetMode="External" Id="rId55" /><Relationship Type="http://schemas.openxmlformats.org/officeDocument/2006/relationships/hyperlink" Target="https://www.appsheet.com/Account/Login?appName=DBHCHT%20App&amp;FullScope=False&amp;provider=google&amp;returnUrl=https%3A%2F%2Fwww.appsheet.com%2Fstart%2F93891b63-df85-4aa1-a7bf-d007dfa96cf8%3Fplatform%3Ddesktop" TargetMode="External" Id="rId56" /><Relationship Type="http://schemas.openxmlformats.org/officeDocument/2006/relationships/hyperlink" Target="http://ap.m.kp/" TargetMode="External" Id="rId57" /><Relationship Type="http://schemas.openxmlformats.org/officeDocument/2006/relationships/hyperlink" Target="https://drive.google.com/file/d/1Xev2F7vScZDTlBaqHqPh8lzFUMNB_y8a/view?usp=sharing" TargetMode="External" Id="rId58" /><Relationship Type="http://schemas.openxmlformats.org/officeDocument/2006/relationships/hyperlink" Target="https://jdihdprd.bandungkab.go.id/" TargetMode="External" Id="rId59" /><Relationship Type="http://schemas.openxmlformats.org/officeDocument/2006/relationships/hyperlink" Target="https://aplikasi.bandungkab.go.id/publik/dashboard-kunjungan-dprd-kab-bandung" TargetMode="External" Id="rId60" /><Relationship Type="http://schemas.openxmlformats.org/officeDocument/2006/relationships/hyperlink" Target="https://drive.google.com/file/d/1YdxVCrqCKB2IhPmEjmI3enR0CnpLLtYZ/view?usp=sharing" TargetMode="External" Id="rId61" /><Relationship Type="http://schemas.openxmlformats.org/officeDocument/2006/relationships/hyperlink" Target="https://simprodas.bandungkab.go.id/" TargetMode="External" Id="rId62" /><Relationship Type="http://schemas.openxmlformats.org/officeDocument/2006/relationships/hyperlink" Target="https://drive.google.com/file/d/1hfZl5u33jLRHizH-t5QZsOhlwNoiUSfh/view?usp=sharing" TargetMode="External" Id="rId63" /><Relationship Type="http://schemas.openxmlformats.org/officeDocument/2006/relationships/hyperlink" Target="http://calendly.com/" TargetMode="External" Id="rId64" /><Relationship Type="http://schemas.openxmlformats.org/officeDocument/2006/relationships/hyperlink" Target="https://calendly.com/inspekkabbdg/santai-saranatanyaapipinteraktif" TargetMode="External" Id="rId65" /><Relationship Type="http://schemas.openxmlformats.org/officeDocument/2006/relationships/hyperlink" Target="http://simwas.bandungkab.go.id/" TargetMode="External" Id="rId66" /><Relationship Type="http://schemas.openxmlformats.org/officeDocument/2006/relationships/hyperlink" Target="https://simaslahat.bandungkab.go.id/" TargetMode="External" Id="rId67" /><Relationship Type="http://schemas.openxmlformats.org/officeDocument/2006/relationships/hyperlink" Target="http://simpeldisdik.bandungkab.go.id/Sukizah" TargetMode="External" Id="rId68" /><Relationship Type="http://schemas.openxmlformats.org/officeDocument/2006/relationships/hyperlink" Target="https://dapo.kemendikdasmen.go.id/" TargetMode="External" Id="rId69" /><Relationship Type="http://schemas.openxmlformats.org/officeDocument/2006/relationships/hyperlink" Target="http://simpeldisdik.bandungkab.go.id/MultisiteEdu" TargetMode="External" Id="rId70" /><Relationship Type="http://schemas.openxmlformats.org/officeDocument/2006/relationships/hyperlink" Target="https://spmb.bandungkab.go.id/" TargetMode="External" Id="rId71" /><Relationship Type="http://schemas.openxmlformats.org/officeDocument/2006/relationships/hyperlink" Target="http://dpmptsp.bandungkab.go.id/" TargetMode="External" Id="rId72" /><Relationship Type="http://schemas.openxmlformats.org/officeDocument/2006/relationships/hyperlink" Target="http://psc.kemkes.go.id/" TargetMode="External" Id="rId73" /><Relationship Type="http://schemas.openxmlformats.org/officeDocument/2006/relationships/hyperlink" Target="http://psc.kemkes.go.id/" TargetMode="External" Id="rId74" /><Relationship Type="http://schemas.openxmlformats.org/officeDocument/2006/relationships/hyperlink" Target="http://skdr.kemkes.go.id/" TargetMode="External" Id="rId75" /><Relationship Type="http://schemas.openxmlformats.org/officeDocument/2006/relationships/hyperlink" Target="https://surveilans-pptm.kemkes.go.id/" TargetMode="External" Id="rId76" /><Relationship Type="http://schemas.openxmlformats.org/officeDocument/2006/relationships/hyperlink" Target="https://sehatindonesiaku.kemkes.go.id/auth/login" TargetMode="External" Id="rId77" /><Relationship Type="http://schemas.openxmlformats.org/officeDocument/2006/relationships/hyperlink" Target="http://sipnap.kemkes.go.id/" TargetMode="External" Id="rId78" /><Relationship Type="http://schemas.openxmlformats.org/officeDocument/2006/relationships/hyperlink" Target="https://sitb.kemkes.go.id/" TargetMode="External" Id="rId79" /><Relationship Type="http://schemas.openxmlformats.org/officeDocument/2006/relationships/hyperlink" Target="http://sismal.kemkes.go.id/" TargetMode="External" Id="rId80" /><Relationship Type="http://schemas.openxmlformats.org/officeDocument/2006/relationships/hyperlink" Target="http://silantor.kemkes.go.id/" TargetMode="External" Id="rId81" /><Relationship Type="http://schemas.openxmlformats.org/officeDocument/2006/relationships/hyperlink" Target="https://sihapims2.kemkes.go.id/login" TargetMode="External" Id="rId82" /><Relationship Type="http://schemas.openxmlformats.org/officeDocument/2006/relationships/hyperlink" Target="https://smile.kemkes.go.id/" TargetMode="External" Id="rId83" /><Relationship Type="http://schemas.openxmlformats.org/officeDocument/2006/relationships/hyperlink" Target="https://sijalak-kab-bandung.com/" TargetMode="External" Id="rId84" /><Relationship Type="http://schemas.openxmlformats.org/officeDocument/2006/relationships/hyperlink" Target="https://drive.google.com/drive/folders/187_7CPT7sxhjamsZJOlN2T4qhrxFpoWq?hl=id" TargetMode="External" Id="rId85" /><Relationship Type="http://schemas.openxmlformats.org/officeDocument/2006/relationships/hyperlink" Target="https://sibedaspbg.bandungkab.go.id/" TargetMode="External" Id="rId86" /><Relationship Type="http://schemas.openxmlformats.org/officeDocument/2006/relationships/hyperlink" Target="https://drive.google.com/drive/folders/1zpVBSJQx0K3N4_wyw8qZeOJVWGrdlDAe?hl=ID" TargetMode="External" Id="rId87" /><Relationship Type="http://schemas.openxmlformats.org/officeDocument/2006/relationships/hyperlink" Target="http://linktr.ee/PENGADUAN_DPUTR_KABBDG" TargetMode="External" Id="rId88" /><Relationship Type="http://schemas.openxmlformats.org/officeDocument/2006/relationships/hyperlink" Target="https://sites.google.com/view/aplikasi-sipedas-drainase/home" TargetMode="External" Id="rId89" /><Relationship Type="http://schemas.openxmlformats.org/officeDocument/2006/relationships/hyperlink" Target="https://drive.google.com/drive/folders/1foPXyzm-sQ7KaSp-qTysnVqAWt_Dif53?hl=id" TargetMode="External" Id="rId90" /><Relationship Type="http://schemas.openxmlformats.org/officeDocument/2006/relationships/hyperlink" Target="https://sijaga.kabbdg.com/" TargetMode="External" Id="rId91" /><Relationship Type="http://schemas.openxmlformats.org/officeDocument/2006/relationships/hyperlink" Target="https://drive.google.com/drive/folders/1sHKD9PH8GG_yqtIurnieYvG1qyHCbekF?hl=id" TargetMode="External" Id="rId92" /><Relationship Type="http://schemas.openxmlformats.org/officeDocument/2006/relationships/hyperlink" Target="https://sibedasjakon.bandungkab.go.id/" TargetMode="External" Id="rId93" /><Relationship Type="http://schemas.openxmlformats.org/officeDocument/2006/relationships/hyperlink" Target="https://linktr.ee/SIBEDASOK" TargetMode="External" Id="rId94" /><Relationship Type="http://schemas.openxmlformats.org/officeDocument/2006/relationships/hyperlink" Target="https://drive.google.com/drive/folders/1dJpV-zPgcGeUPh1r03v0LvnCMsf7y8oq?hl=id" TargetMode="External" Id="rId95" /><Relationship Type="http://schemas.openxmlformats.org/officeDocument/2006/relationships/hyperlink" Target="https://drive.google.com/file/d/1kvVSSjFHbdSKP4vPWzb0wDWs5x8kMCbU/view?usp=sharing" TargetMode="External" Id="rId96" /><Relationship Type="http://schemas.openxmlformats.org/officeDocument/2006/relationships/hyperlink" Target="https://aplikasi.bandungkab.com/publik/landing-page-aplikasi-sipikat" TargetMode="External" Id="rId97" /><Relationship Type="http://schemas.openxmlformats.org/officeDocument/2006/relationships/hyperlink" Target="https://drive.google.com/file/d/1Ramy4vxff2nlZwmQYryTo4j9HIjXgRt2/view?usp=sharing" TargetMode="External" Id="rId98" /><Relationship Type="http://schemas.openxmlformats.org/officeDocument/2006/relationships/hyperlink" Target="https://dibedasken.bandungkab.go.id/" TargetMode="External" Id="rId99" /><Relationship Type="http://schemas.openxmlformats.org/officeDocument/2006/relationships/hyperlink" Target="https://drive.google.com/file/d/1Ramy4vxff2nlZwmQYryTo4j9HIjXgRt2/view?usp=sharing" TargetMode="External" Id="rId100" /><Relationship Type="http://schemas.openxmlformats.org/officeDocument/2006/relationships/hyperlink" Target="https://drive.google.com/file/d/1Ramy4vxff2nlZwmQYryTo4j9HIjXgRt2/view?usp=sharing" TargetMode="External" Id="rId101" /><Relationship Type="http://schemas.openxmlformats.org/officeDocument/2006/relationships/hyperlink" Target="https://drive.google.com/file/d/1Ramy4vxff2nlZwmQYryTo4j9HIjXgRt2/view?usp=sharing" TargetMode="External" Id="rId102" /><Relationship Type="http://schemas.openxmlformats.org/officeDocument/2006/relationships/hyperlink" Target="https://drive.google.com/file/d/1Ramy4vxff2nlZwmQYryTo4j9HIjXgRt2/view?usp=sharing" TargetMode="External" Id="rId103" /><Relationship Type="http://schemas.openxmlformats.org/officeDocument/2006/relationships/hyperlink" Target="https://drive.google.com/file/d/1Ramy4vxff2nlZwmQYryTo4j9HIjXgRt2/view?usp=sharing" TargetMode="External" Id="rId104" /><Relationship Type="http://schemas.openxmlformats.org/officeDocument/2006/relationships/hyperlink" Target="http://s.st/" TargetMode="External" Id="rId105" /><Relationship Type="http://schemas.openxmlformats.org/officeDocument/2006/relationships/hyperlink" Target="https://drive.google.com/file/d/1Ramy4vxff2nlZwmQYryTo4j9HIjXgRt2/view?usp=sharing" TargetMode="External" Id="rId106" /><Relationship Type="http://schemas.openxmlformats.org/officeDocument/2006/relationships/hyperlink" Target="https://drive.google.com/drive/folders/1Uinu-ZgkI_8xZeYLw7yaEW1HRhG7prDv?usp=drive_link" TargetMode="External" Id="rId107" /><Relationship Type="http://schemas.openxmlformats.org/officeDocument/2006/relationships/hyperlink" Target="http://siapkerja.kemnaker.go.id/" TargetMode="External" Id="rId108" /><Relationship Type="http://schemas.openxmlformats.org/officeDocument/2006/relationships/hyperlink" Target="https://dashnaker.bandungkab.go.id/login" TargetMode="External" Id="rId109" /><Relationship Type="http://schemas.openxmlformats.org/officeDocument/2006/relationships/hyperlink" Target="https://dashnaker.bandungkab.go.id/login" TargetMode="External" Id="rId110" /><Relationship Type="http://schemas.openxmlformats.org/officeDocument/2006/relationships/hyperlink" Target="http://siapkerja.kemnaker.go.id/" TargetMode="External" Id="rId111" /><Relationship Type="http://schemas.openxmlformats.org/officeDocument/2006/relationships/hyperlink" Target="http://sibarduktrans.transmigrasi.go.id/" TargetMode="External" Id="rId112" /><Relationship Type="http://schemas.openxmlformats.org/officeDocument/2006/relationships/hyperlink" Target="https://drive.google.com/file/d/1RN-b5_l9kJj-scl7TBdLekEgqnmJB0Ym/view?usp=drive_link" TargetMode="External" Id="rId113" /><Relationship Type="http://schemas.openxmlformats.org/officeDocument/2006/relationships/hyperlink" Target="https://lapor.go.id/" TargetMode="External" Id="rId114" /><Relationship Type="http://schemas.openxmlformats.org/officeDocument/2006/relationships/hyperlink" Target="https://drive.google.com/file/d/13kiJLOSVRFOj2CqIpMMxJSxRVwkT4VuN/view?usp=drive_link" TargetMode="External" Id="rId115" /><Relationship Type="http://schemas.openxmlformats.org/officeDocument/2006/relationships/hyperlink" Target="https://dp2kbp3a.bandungkab.go.id/ppa/" TargetMode="External" Id="rId116" /><Relationship Type="http://schemas.openxmlformats.org/officeDocument/2006/relationships/hyperlink" Target="https://drive.google.com/file/d/1qhJbKAh0RXizTZVD-lHLPJTl4ZBGbOzZ/view?usp=sharing" TargetMode="External" Id="rId117" /><Relationship Type="http://schemas.openxmlformats.org/officeDocument/2006/relationships/hyperlink" Target="https://dp2kbp3a.bandungkab.go.id/pprg/" TargetMode="External" Id="rId118" /><Relationship Type="http://schemas.openxmlformats.org/officeDocument/2006/relationships/hyperlink" Target="https://siga.bkkbn.go.id/" TargetMode="External" Id="rId119" /><Relationship Type="http://schemas.openxmlformats.org/officeDocument/2006/relationships/hyperlink" Target="https://drive.google.com/file/d/16ULKF-_fc7--75zz-4n8WtETaChfDzBD/view?usp=sharing" TargetMode="External" Id="rId120" /><Relationship Type="http://schemas.openxmlformats.org/officeDocument/2006/relationships/hyperlink" Target="https://dp2kbp3a.bandungkab.go.id/sappana/" TargetMode="External" Id="rId121" /><Relationship Type="http://schemas.openxmlformats.org/officeDocument/2006/relationships/hyperlink" Target="https://docs.google.com/spreadsheets/d/1f2FpxtXLWyTMlao3H1cM7ZWvZY62FNOP/edit?usp=drivesdk&amp;ouid=101319060553117315214&amp;rtpof=true&amp;sd=true" TargetMode="External" Id="rId122" /><Relationship Type="http://schemas.openxmlformats.org/officeDocument/2006/relationships/hyperlink" Target="https://simfonippa.kemenpppa.go.id/" TargetMode="External" Id="rId123" /><Relationship Type="http://schemas.openxmlformats.org/officeDocument/2006/relationships/hyperlink" Target="https://dp2kbp3a.bandungkab.go.id/apps/perlindungan-anak/" TargetMode="External" Id="rId124" /><Relationship Type="http://schemas.openxmlformats.org/officeDocument/2006/relationships/hyperlink" Target="https://www.lapor.go.id/" TargetMode="External" Id="rId125" /><Relationship Type="http://schemas.openxmlformats.org/officeDocument/2006/relationships/hyperlink" Target="http://amdalnet.kemenlh.go.id/" TargetMode="External" Id="rId126" /><Relationship Type="http://schemas.openxmlformats.org/officeDocument/2006/relationships/hyperlink" Target="https://skm.bandungkab.go.id/" TargetMode="External" Id="rId127" /><Relationship Type="http://schemas.openxmlformats.org/officeDocument/2006/relationships/hyperlink" Target="https://sampahkita.jabarprov.go.id/" TargetMode="External" Id="rId128" /><Relationship Type="http://schemas.openxmlformats.org/officeDocument/2006/relationships/hyperlink" Target="https://sipsn.kemenlh.go.id/sipsn/" TargetMode="External" Id="rId129" /><Relationship Type="http://schemas.openxmlformats.org/officeDocument/2006/relationships/hyperlink" Target="https://gepak.bandungkab.go.id/" TargetMode="External" Id="rId130" /><Relationship Type="http://schemas.openxmlformats.org/officeDocument/2006/relationships/hyperlink" Target="http://kehati.bandungkab.go.id/" TargetMode="External" Id="rId131" /><Relationship Type="http://schemas.openxmlformats.org/officeDocument/2006/relationships/hyperlink" Target="https://drive.google.com/file/d/1RechF7D6NXptgUFxXmNTXXBTU0KQ0Gcm/view?usp=sharing" TargetMode="External" Id="rId132" /><Relationship Type="http://schemas.openxmlformats.org/officeDocument/2006/relationships/hyperlink" Target="https://bds.bandungkab.go.id/" TargetMode="External" Id="rId133" /><Relationship Type="http://schemas.openxmlformats.org/officeDocument/2006/relationships/hyperlink" Target="https://bds.bandungkab.go.id/" TargetMode="External" Id="rId134" /><Relationship Type="http://schemas.openxmlformats.org/officeDocument/2006/relationships/hyperlink" Target="https://drive.google.com/file/d/1RechF7D6NXptgUFxXmNTXXBTU0KQ0Gcm/view?usp=sharing" TargetMode="External" Id="rId135" /><Relationship Type="http://schemas.openxmlformats.org/officeDocument/2006/relationships/hyperlink" Target="http://lampid.bandungkab.go.id/" TargetMode="External" Id="rId136" /><Relationship Type="http://schemas.openxmlformats.org/officeDocument/2006/relationships/hyperlink" Target="http://siskeudes.bandungkab.go.id:8080/guacamole/" TargetMode="External" Id="rId137" /><Relationship Type="http://schemas.openxmlformats.org/officeDocument/2006/relationships/hyperlink" Target="https://spanint.kemenkeu.go.id/tkd/" TargetMode="External" Id="rId138" /><Relationship Type="http://schemas.openxmlformats.org/officeDocument/2006/relationships/hyperlink" Target="https://prodeskel.binapemdes.kemendagri.go.id/mpublik/" TargetMode="External" Id="rId139" /><Relationship Type="http://schemas.openxmlformats.org/officeDocument/2006/relationships/hyperlink" Target="https://epdeskel.binapemdes.kemendagri.go.id/app_Login/" TargetMode="External" Id="rId140" /><Relationship Type="http://schemas.openxmlformats.org/officeDocument/2006/relationships/hyperlink" Target="https://drive.google.com/file/d/1CvHE6emS2UxjsAt6IC87kgxEb19CuE3k/view?usp=sharing" TargetMode="External" Id="rId141" /><Relationship Type="http://schemas.openxmlformats.org/officeDocument/2006/relationships/hyperlink" Target="http://sipades.id/" TargetMode="External" Id="rId142" /><Relationship Type="http://schemas.openxmlformats.org/officeDocument/2006/relationships/hyperlink" Target="https://drive.google.com/file/d/1YdbXWdCS28ppql72phZoI1RvIMqiXeuL/view?usp=sharing" TargetMode="External" Id="rId143" /><Relationship Type="http://schemas.openxmlformats.org/officeDocument/2006/relationships/hyperlink" Target="http://s.id/sipandubedas" TargetMode="External" Id="rId144" /><Relationship Type="http://schemas.openxmlformats.org/officeDocument/2006/relationships/hyperlink" Target="https://drive.google.com/file/d/15CRvlXeoq6lRDTUnunhCxVgWmxrUKQsz/view?usp=drive_link" TargetMode="External" Id="rId145" /><Relationship Type="http://schemas.openxmlformats.org/officeDocument/2006/relationships/hyperlink" Target="https://sipakades.bandungkab.go.id/" TargetMode="External" Id="rId146" /><Relationship Type="http://schemas.openxmlformats.org/officeDocument/2006/relationships/hyperlink" Target="https://bds.bandungkab.go.id/signin" TargetMode="External" Id="rId147" /><Relationship Type="http://schemas.openxmlformats.org/officeDocument/2006/relationships/hyperlink" Target="https://drive.google.com/file/d/1r3y4yoWaoByjuAovOlwVhpYcdVHWYZlA/view?usp=drive_link" TargetMode="External" Id="rId148" /><Relationship Type="http://schemas.openxmlformats.org/officeDocument/2006/relationships/hyperlink" Target="https://lapor.go.id/" TargetMode="External" Id="rId149" /><Relationship Type="http://schemas.openxmlformats.org/officeDocument/2006/relationships/hyperlink" Target="https://oss.go.id/" TargetMode="External" Id="rId150" /><Relationship Type="http://schemas.openxmlformats.org/officeDocument/2006/relationships/hyperlink" Target="https://dpmptsp.bandungkab.go.id/" TargetMode="External" Id="rId151" /><Relationship Type="http://schemas.openxmlformats.org/officeDocument/2006/relationships/hyperlink" Target="https://simbg.pu.go.id/" TargetMode="External" Id="rId152" /><Relationship Type="http://schemas.openxmlformats.org/officeDocument/2006/relationships/hyperlink" Target="https://next-gen.mppdigital.go.id/" TargetMode="External" Id="rId153" /><Relationship Type="http://schemas.openxmlformats.org/officeDocument/2006/relationships/hyperlink" Target="https://perizinan.bandungkab.go.id/sirsak" TargetMode="External" Id="rId154" /><Relationship Type="http://schemas.openxmlformats.org/officeDocument/2006/relationships/hyperlink" Target="https://perizinan.bandungkab.go.id/layanan-kami/booking-antrian-imigrasi" TargetMode="External" Id="rId155" /><Relationship Type="http://schemas.openxmlformats.org/officeDocument/2006/relationships/hyperlink" Target="https://sidora.bandungkab.go.id/" TargetMode="External" Id="rId156" /><Relationship Type="http://schemas.openxmlformats.org/officeDocument/2006/relationships/hyperlink" Target="https://sidopabandungkab.com/" TargetMode="External" Id="rId157" /><Relationship Type="http://schemas.openxmlformats.org/officeDocument/2006/relationships/hyperlink" Target="http://disporabandungkab.go.id/" TargetMode="External" Id="rId158" /><Relationship Type="http://schemas.openxmlformats.org/officeDocument/2006/relationships/hyperlink" Target="https://sipdkemendagri.go.id/" TargetMode="External" Id="rId159" /><Relationship Type="http://schemas.openxmlformats.org/officeDocument/2006/relationships/hyperlink" Target="https://simasda.bandungkab.go.id/" TargetMode="External" Id="rId160" /><Relationship Type="http://schemas.openxmlformats.org/officeDocument/2006/relationships/hyperlink" Target="https://drive.google.com/file/d/1CK9sB-VkjtVcnm48SmIytt7EAWrjRZba/view?usp=sharing" TargetMode="External" Id="rId161" /><Relationship Type="http://schemas.openxmlformats.org/officeDocument/2006/relationships/hyperlink" Target="https://drive.google.com/file/d/1vLXgaLLExt7rvce6hrGocDTPsLUu-FsF/view?usp=sharing" TargetMode="External" Id="rId162" /><Relationship Type="http://schemas.openxmlformats.org/officeDocument/2006/relationships/hyperlink" Target="https://sibapokting.bandungkab.go.id/" TargetMode="External" Id="rId163" /><Relationship Type="http://schemas.openxmlformats.org/officeDocument/2006/relationships/hyperlink" Target="https://drive.google.com/file/d/1fOeX8KkbMK8HjuZBVx1smAWDYvK1BcY0/view?usp=sharing" TargetMode="External" Id="rId164" /><Relationship Type="http://schemas.openxmlformats.org/officeDocument/2006/relationships/hyperlink" Target="http://ska.kemendag.go.id/" TargetMode="External" Id="rId165" /><Relationship Type="http://schemas.openxmlformats.org/officeDocument/2006/relationships/hyperlink" Target="https://docs.google.com/spreadsheets/d/1NiELcMU9JfJbhN_p55g9GXz1ikm9vn_e/edit?usp=sharing&amp;ouid=104014308201848363295&amp;rtpof=true&amp;sd=true" TargetMode="External" Id="rId166" /><Relationship Type="http://schemas.openxmlformats.org/officeDocument/2006/relationships/hyperlink" Target="http://bit.ly/PendaftaranTTU2025" TargetMode="External" Id="rId167" /><Relationship Type="http://schemas.openxmlformats.org/officeDocument/2006/relationships/hyperlink" Target="http://s.si/" TargetMode="External" Id="rId168" /><Relationship Type="http://schemas.openxmlformats.org/officeDocument/2006/relationships/hyperlink" Target="https://drive.google.com/file/d/1XoILvOYKxCz7AwSFhTvSOHZMa9o7Qg5k/view?usp=sharing" TargetMode="External" Id="rId169" /><Relationship Type="http://schemas.openxmlformats.org/officeDocument/2006/relationships/hyperlink" Target="https://siinas.kemenperin.go.id/" TargetMode="External" Id="rId170" /><Relationship Type="http://schemas.openxmlformats.org/officeDocument/2006/relationships/hyperlink" Target="https://oss.go.id/" TargetMode="External" Id="rId171" /><Relationship Type="http://schemas.openxmlformats.org/officeDocument/2006/relationships/hyperlink" Target="https://drive.google.com/drive/folders/1uBDqq46euBu9YwCqq9Y65-eJFbijFff9?usp=sharing" TargetMode="External" Id="rId172" /><Relationship Type="http://schemas.openxmlformats.org/officeDocument/2006/relationships/hyperlink" Target="https://sipintaronline.bandungkab.go.id/login" TargetMode="External" Id="rId173" /><Relationship Type="http://schemas.openxmlformats.org/officeDocument/2006/relationships/hyperlink" Target="https://trafficintelligence.mkpmobile.com/signin" TargetMode="External" Id="rId174" /><Relationship Type="http://schemas.openxmlformats.org/officeDocument/2006/relationships/hyperlink" Target="https://drive.google.com/drive/folders/1oPEt1J2AWFVNQ79rhSqRw_lGHX7OK1cY?usp=sharing" TargetMode="External" Id="rId175" /><Relationship Type="http://schemas.openxmlformats.org/officeDocument/2006/relationships/hyperlink" Target="https://sppirt.pom.go.id/" TargetMode="External" Id="rId176" /><Relationship Type="http://schemas.openxmlformats.org/officeDocument/2006/relationships/hyperlink" Target="https://www.dgip.go.id/" TargetMode="External" Id="rId177" /><Relationship Type="http://schemas.openxmlformats.org/officeDocument/2006/relationships/hyperlink" Target="https://drive.google.com/drive/folders/1Hv-aabWH6SdQnijaKN6NudJLF6wJW0IY?usp=sharing" TargetMode="External" Id="rId178" /><Relationship Type="http://schemas.openxmlformats.org/officeDocument/2006/relationships/hyperlink" Target="https://drive.google.com/drive/folders/1mWuAv3LPGoimB6VqNXibmdR3ON58gIXk?usp=sharing" TargetMode="External" Id="rId179" /><Relationship Type="http://schemas.openxmlformats.org/officeDocument/2006/relationships/hyperlink" Target="https://bit.ly/e-Form_KlinikKemasan" TargetMode="External" Id="rId180" /><Relationship Type="http://schemas.openxmlformats.org/officeDocument/2006/relationships/hyperlink" Target="https://docs.google.com/document/d/1c-7PUNKaiuUiy_admWwX1iClC1w9eJRB/edit?usp=sharing&amp;ouid=112536090230720318461&amp;rtpof=true&amp;sd=true" TargetMode="External" Id="rId181" /><Relationship Type="http://schemas.openxmlformats.org/officeDocument/2006/relationships/hyperlink" Target="https://anterin.bandungkab.go.id/" TargetMode="External" Id="rId182" /><Relationship Type="http://schemas.openxmlformats.org/officeDocument/2006/relationships/hyperlink" Target="https://docs.google.com/document/d/1c-7PUNKaiuUiy_admWwX1iClC1w9eJRB/edit?usp=sharing&amp;ouid=112536090230720318461&amp;rtpof=true&amp;sd=true" TargetMode="External" Id="rId183" /><Relationship Type="http://schemas.openxmlformats.org/officeDocument/2006/relationships/hyperlink" Target="https://isikhnas.pertanian.go.id/" TargetMode="External" Id="rId184" /><Relationship Type="http://schemas.openxmlformats.org/officeDocument/2006/relationships/hyperlink" Target="https://docs.google.com/spreadsheets/d/1c7RrRajyzrp7pLX7n6Z-t8K0gRXiw69i/edit?usp=sharing&amp;ouid=112536090230720318461&amp;rtpof=true&amp;sd=true" TargetMode="External" Id="rId185" /><Relationship Type="http://schemas.openxmlformats.org/officeDocument/2006/relationships/hyperlink" Target="http://sifortuna.tanamanpangan.pertanian.go.id/" TargetMode="External" Id="rId186" /><Relationship Type="http://schemas.openxmlformats.org/officeDocument/2006/relationships/hyperlink" Target="http://tanginas.web.id/" TargetMode="External" Id="rId187" /><Relationship Type="http://schemas.openxmlformats.org/officeDocument/2006/relationships/hyperlink" Target="https://docs.google.com/spreadsheets/d/1cLC7YoJU_Mkyr5eJTL-fHfA0D-sQukvz/edit?usp=sharing&amp;ouid=112536090230720318461&amp;rtpof=true&amp;sd=true" TargetMode="External" Id="rId188" /><Relationship Type="http://schemas.openxmlformats.org/officeDocument/2006/relationships/hyperlink" Target="https://erdkk25.pertanian.go.id/" TargetMode="External" Id="rId189" /><Relationship Type="http://schemas.openxmlformats.org/officeDocument/2006/relationships/hyperlink" Target="https://docs.google.com/spreadsheets/d/1cLZrBaEOapwKOQE9usRXCTW93SFEy7Xj/edit?usp=sharing&amp;ouid=112536090230720318461&amp;rtpof=true&amp;sd=true" TargetMode="External" Id="rId190" /><Relationship Type="http://schemas.openxmlformats.org/officeDocument/2006/relationships/hyperlink" Target="https://simluh.pertanian.go.id/" TargetMode="External" Id="rId191" /><Relationship Type="http://schemas.openxmlformats.org/officeDocument/2006/relationships/hyperlink" Target="https://drive.google.com/drive/folders/1b_wlUHQifUNUdZcrhKipNlD0R6COD8yt?usp=sharing" TargetMode="External" Id="rId192" /><Relationship Type="http://schemas.openxmlformats.org/officeDocument/2006/relationships/hyperlink" Target="http://sipolan.bandungkab.go.id/" TargetMode="External" Id="rId193" /><Relationship Type="http://schemas.openxmlformats.org/officeDocument/2006/relationships/hyperlink" Target="https://drive.google.com/file/d/1u61izoWwYbUe6cGBAMpMmUf3-x1vtXk9/view?usp=drive_link" TargetMode="External" Id="rId194" /><Relationship Type="http://schemas.openxmlformats.org/officeDocument/2006/relationships/hyperlink" Target="https://sikandung.bandungkab.go.id/" TargetMode="External" Id="rId195" /><Relationship Type="http://schemas.openxmlformats.org/officeDocument/2006/relationships/hyperlink" Target="https://drive.google.com/file/d/182s0vzlBXufYR4iNRbV-7MhRItTVludu/view?usp=drive_link" TargetMode="External" Id="rId196" /><Relationship Type="http://schemas.openxmlformats.org/officeDocument/2006/relationships/hyperlink" Target="https://dispakan.bandungkab.go.id/video/" TargetMode="External" Id="rId197" /><Relationship Type="http://schemas.openxmlformats.org/officeDocument/2006/relationships/hyperlink" Target="https://drive.google.com/file/d/1u61izoWwYbUe6cGBAMpMmUf3-x1vtXk9/view?usp=drive_link" TargetMode="External" Id="rId198" /><Relationship Type="http://schemas.openxmlformats.org/officeDocument/2006/relationships/hyperlink" Target="https://sip.bandungkab.go.id/portal/topic/fsva" TargetMode="External" Id="rId199" /><Relationship Type="http://schemas.openxmlformats.org/officeDocument/2006/relationships/hyperlink" Target="https://parbuddalamangka.jabarprov.go.id/" TargetMode="External" Id="rId200" /><Relationship Type="http://schemas.openxmlformats.org/officeDocument/2006/relationships/hyperlink" Target="https://sibangkitukm.bandungkab.go.id/" TargetMode="External" Id="rId201" /><Relationship Type="http://schemas.openxmlformats.org/officeDocument/2006/relationships/hyperlink" Target="http://m.si/" TargetMode="External" Id="rId202" /><Relationship Type="http://schemas.openxmlformats.org/officeDocument/2006/relationships/hyperlink" Target="https://sikoperbedas.bandungkab.go.id/" TargetMode="External" Id="rId203" /><Relationship Type="http://schemas.openxmlformats.org/officeDocument/2006/relationships/hyperlink" Target="https://oss.go.id/" TargetMode="External" Id="rId204" /><Relationship Type="http://schemas.openxmlformats.org/officeDocument/2006/relationships/hyperlink" Target="https://usahamikro.bandungkab.go.id/" TargetMode="External" Id="rId205" /><Relationship Type="http://schemas.openxmlformats.org/officeDocument/2006/relationships/hyperlink" Target="http://m.si/" TargetMode="External" Id="rId206" /><Relationship Type="http://schemas.openxmlformats.org/officeDocument/2006/relationships/hyperlink" Target="https://drive.google.com/file/d/1xLGvVqyQdJTXp_gTo9XoOeAPrmSfoy_q/view?usp=sharing" TargetMode="External" Id="rId207" /><Relationship Type="http://schemas.openxmlformats.org/officeDocument/2006/relationships/hyperlink" Target="https://ibandungkab.moco.co.id/" TargetMode="External" Id="rId208" /><Relationship Type="http://schemas.openxmlformats.org/officeDocument/2006/relationships/hyperlink" Target="http://a.ma/" TargetMode="External" Id="rId209" /><Relationship Type="http://schemas.openxmlformats.org/officeDocument/2006/relationships/hyperlink" Target="https://drive.google.com/file/d/1FL4agfMs9a3tAmDlzxiGL6UA1alZs_Er/view?usp=sharing" TargetMode="External" Id="rId210" /><Relationship Type="http://schemas.openxmlformats.org/officeDocument/2006/relationships/hyperlink" Target="https://perpus.bandungkab.go.id/pendaftaran" TargetMode="External" Id="rId211" /><Relationship Type="http://schemas.openxmlformats.org/officeDocument/2006/relationships/hyperlink" Target="http://sikn.anri.go.id/" TargetMode="External" Id="rId212" /><Relationship Type="http://schemas.openxmlformats.org/officeDocument/2006/relationships/hyperlink" Target="http://srikandi.arsip.go.id/" TargetMode="External" Id="rId213" /><Relationship Type="http://schemas.openxmlformats.org/officeDocument/2006/relationships/hyperlink" Target="https://ipusnas2.perpusnas.go.id/login" TargetMode="External" Id="rId214" /><Relationship Type="http://schemas.openxmlformats.org/officeDocument/2006/relationships/hyperlink" Target="https://drive.google.com/drive/folders/1Ejl6GsPadSWWZ-gXvbwNU62zsG4t_RcK?usp=drive_link" TargetMode="External" Id="rId215" /><Relationship Type="http://schemas.openxmlformats.org/officeDocument/2006/relationships/hyperlink" Target="https://apar.bandungkab.go.id/" TargetMode="External" Id="rId216" /><Relationship Type="http://schemas.openxmlformats.org/officeDocument/2006/relationships/hyperlink" Target="https://drive.google.com/drive/folders/1Ejl6GsPadSWWZ-gXvbwNU62zsG4t_RcK?usp=drive_link" TargetMode="External" Id="rId217" /><Relationship Type="http://schemas.openxmlformats.org/officeDocument/2006/relationships/hyperlink" Target="https://apar.bandungkab.go.id/" TargetMode="External" Id="rId218" /><Relationship Type="http://schemas.openxmlformats.org/officeDocument/2006/relationships/hyperlink" Target="https://drive.google.com/drive/folders/1Ejl6GsPadSWWZ-gXvbwNU62zsG4t_RcK?usp=drive_link" TargetMode="External" Id="rId219" /><Relationship Type="http://schemas.openxmlformats.org/officeDocument/2006/relationships/hyperlink" Target="https://bit.ly/3J7M46m?r=qr" TargetMode="External" Id="rId220" /><Relationship Type="http://schemas.openxmlformats.org/officeDocument/2006/relationships/hyperlink" Target="https://drive.google.com/drive/folders/1Ejl6GsPadSWWZ-gXvbwNU62zsG4t_RcK?usp=drive_link" TargetMode="External" Id="rId221" /><Relationship Type="http://schemas.openxmlformats.org/officeDocument/2006/relationships/hyperlink" Target="https://bit.ly/4maEzdy?r=qr" TargetMode="External" Id="rId222" /><Relationship Type="http://schemas.openxmlformats.org/officeDocument/2006/relationships/hyperlink" Target="https://drive.google.com/drive/folders/1Ejl6GsPadSWWZ-gXvbwNU62zsG4t_RcK?usp=drive_link" TargetMode="External" Id="rId223" /><Relationship Type="http://schemas.openxmlformats.org/officeDocument/2006/relationships/hyperlink" Target="https://drive.google.com/drive/folders/1Ejl6GsPadSWWZ-gXvbwNU62zsG4t_RcK?usp=drive_link" TargetMode="External" Id="rId224" /><Relationship Type="http://schemas.openxmlformats.org/officeDocument/2006/relationships/hyperlink" Target="https://drive.google.com/drive/folders/1Ejl6GsPadSWWZ-gXvbwNU62zsG4t_RcK?usp=drive_link" TargetMode="External" Id="rId225" /><Relationship Type="http://schemas.openxmlformats.org/officeDocument/2006/relationships/hyperlink" Target="https://drive.google.com/drive/folders/1Ejl6GsPadSWWZ-gXvbwNU62zsG4t_RcK?usp=drive_link" TargetMode="External" Id="rId226" /><Relationship Type="http://schemas.openxmlformats.org/officeDocument/2006/relationships/hyperlink" Target="http://ppid.bandungkab.go.id/" TargetMode="External" Id="rId227" /><Relationship Type="http://schemas.openxmlformats.org/officeDocument/2006/relationships/hyperlink" Target="https://drive.google.com/drive/folders/1Ejl6GsPadSWWZ-gXvbwNU62zsG4t_RcK?usp=drive_link" TargetMode="External" Id="rId228" /><Relationship Type="http://schemas.openxmlformats.org/officeDocument/2006/relationships/hyperlink" Target="https://drive.google.com/drive/u/1/folders/1OmZJCQ07S-vIbWQDO6jSHpZyJaE2oGJM" TargetMode="External" Id="rId229" /><Relationship Type="http://schemas.openxmlformats.org/officeDocument/2006/relationships/hyperlink" Target="https://simbarraya.bandungkab.go.id/" TargetMode="External" Id="rId230" /><Relationship Type="http://schemas.openxmlformats.org/officeDocument/2006/relationships/hyperlink" Target="https://drive.google.com/file/d/1U5Ce3fAIo3YOESTLI_rdag9_xK_sncgn/view?usp=sharing" TargetMode="External" Id="rId231" /><Relationship Type="http://schemas.openxmlformats.org/officeDocument/2006/relationships/hyperlink" Target="https://apik.bandungkab.go.id/apik/login" TargetMode="External" Id="rId232" /><Relationship Type="http://schemas.openxmlformats.org/officeDocument/2006/relationships/hyperlink" Target="https://drive.google.com/file/d/1U5Ce3fAIo3YOESTLI_rdag9_xK_sncgn/view?usp=sharing" TargetMode="External" Id="rId233" /><Relationship Type="http://schemas.openxmlformats.org/officeDocument/2006/relationships/hyperlink" Target="https://drive.google.com/file/d/1U5Ce3fAIo3YOESTLI_rdag9_xK_sncgn/view?usp=sharing" TargetMode="External" Id="rId234" /><Relationship Type="http://schemas.openxmlformats.org/officeDocument/2006/relationships/hyperlink" Target="https://apik.bandungkab.go.id/apik/login" TargetMode="External" Id="rId235" /><Relationship Type="http://schemas.openxmlformats.org/officeDocument/2006/relationships/hyperlink" Target="https://drive.google.com/file/d/1AyIKCXVfBqPx9cvvRoccmxKK7sXqNBS7/view?usp=drive_link" TargetMode="External" Id="rId236" /><Relationship Type="http://schemas.openxmlformats.org/officeDocument/2006/relationships/hyperlink" Target="http://sidalmonep.bandungkab.go.id/" TargetMode="External" Id="rId237" /><Relationship Type="http://schemas.openxmlformats.org/officeDocument/2006/relationships/hyperlink" Target="https://drive.google.com/file/d/1JhS_khzdBgbJD9WfRdXNmMfYuI_ppqJR/view?usp=sharing" TargetMode="External" Id="rId238" /><Relationship Type="http://schemas.openxmlformats.org/officeDocument/2006/relationships/hyperlink" Target="https://bajuri.bandungkab.go.id/" TargetMode="External" Id="rId239" /><Relationship Type="http://schemas.openxmlformats.org/officeDocument/2006/relationships/hyperlink" Target="http://simwas.bandungkab.go.id/" TargetMode="External" Id="rId240" /><Relationship Type="http://schemas.openxmlformats.org/officeDocument/2006/relationships/hyperlink" Target="https://simaslahat.bandungkab.go.id/" TargetMode="External" Id="rId241" /><Relationship Type="http://schemas.openxmlformats.org/officeDocument/2006/relationships/hyperlink" Target="https://simasda.bandungkab.go.id/" TargetMode="External" Id="rId242" /><Relationship Type="http://schemas.openxmlformats.org/officeDocument/2006/relationships/hyperlink" Target="https://indah.bps.go.id/" TargetMode="External" Id="rId243" /><Relationship Type="http://schemas.openxmlformats.org/officeDocument/2006/relationships/hyperlink" Target="https://romantik.web.bps.go.id/" TargetMode="External" Id="rId244" /><Relationship Type="http://schemas.openxmlformats.org/officeDocument/2006/relationships/hyperlink" Target="https://rkbmd.e-planningbmd.id/" TargetMode="External" Id="rId245" /><Relationship Type="http://schemas.openxmlformats.org/officeDocument/2006/relationships/hyperlink" Target="https://persediaanbmd.bandungkab.go.id/" TargetMode="External" Id="rId246" /><Relationship Type="http://schemas.openxmlformats.org/officeDocument/2006/relationships/hyperlink" Target="https://sso.bandungkab.go.id/" TargetMode="External" Id="rId247" /><Relationship Type="http://schemas.openxmlformats.org/officeDocument/2006/relationships/hyperlink" Target="mailto:dediradi@gmail.com" TargetMode="External" Id="rId248" /><Relationship Type="http://schemas.openxmlformats.org/officeDocument/2006/relationships/hyperlink" Target="https://drive.google.com/file/d/18x4SyFaMTJIHq1ORgmmghi6RwxlrdqOk/view?usp=sharing" TargetMode="External" Id="rId249" /><Relationship Type="http://schemas.openxmlformats.org/officeDocument/2006/relationships/hyperlink" Target="https://sso.bandungkab.go.id/" TargetMode="External" Id="rId250" /><Relationship Type="http://schemas.openxmlformats.org/officeDocument/2006/relationships/hyperlink" Target="mailto:lemicandra@gmail.com" TargetMode="External" Id="rId251" /><Relationship Type="http://schemas.openxmlformats.org/officeDocument/2006/relationships/hyperlink" Target="https://sultan.bandungkab.go.id/login" TargetMode="External" Id="rId252" /><Relationship Type="http://schemas.openxmlformats.org/officeDocument/2006/relationships/hyperlink" Target="https://pelayanan.bandungkab.dapda.id/" TargetMode="External" Id="rId253" /><Relationship Type="http://schemas.openxmlformats.org/officeDocument/2006/relationships/hyperlink" Target="https://drive.google.com/file/d/1Wq5fbFaB6cGVodoz0G93rd3_HKNa842I/view?usp=sharing" TargetMode="External" Id="rId254" /><Relationship Type="http://schemas.openxmlformats.org/officeDocument/2006/relationships/hyperlink" Target="https://hspkasb.e-planningbmd.id/auth" TargetMode="External" Id="rId255" /><Relationship Type="http://schemas.openxmlformats.org/officeDocument/2006/relationships/hyperlink" Target="https://sidesa.bandungkab.dapda.id/login" TargetMode="External" Id="rId256" /><Relationship Type="http://schemas.openxmlformats.org/officeDocument/2006/relationships/hyperlink" Target="http://soreang.dapda.id/" TargetMode="External" Id="rId257" /><Relationship Type="http://schemas.openxmlformats.org/officeDocument/2006/relationships/hyperlink" Target="https://drive.google.com/file/d/1YRKKugsMdrXTfIPPP5t9vIuPmcSmeJi-/view?usp=sharing" TargetMode="External" Id="rId258" /><Relationship Type="http://schemas.openxmlformats.org/officeDocument/2006/relationships/hyperlink" Target="https://penatausahaan-dev-bmd.bandungkab.go.id/login" TargetMode="External" Id="rId259" /><Relationship Type="http://schemas.openxmlformats.org/officeDocument/2006/relationships/hyperlink" Target="https://docs.google.com/spreadsheets/d/1GrF7yl0eJIiOHTS8n_w_9Sp-PAVtSvEu/edit?usp=drive_link&amp;ouid=100880423975394660255&amp;rtpof=true&amp;sd=true" TargetMode="External" Id="rId260" /><Relationship Type="http://schemas.openxmlformats.org/officeDocument/2006/relationships/hyperlink" Target="http://rkbmd.e-planningbmd.id/" TargetMode="External" Id="rId261" /><Relationship Type="http://schemas.openxmlformats.org/officeDocument/2006/relationships/hyperlink" Target="https://drive.google.com/file/d/1pRxS9hpYYxPfeElynApRSPgiKe_xbqQZ/view?usp=drive_link" TargetMode="External" Id="rId262" /><Relationship Type="http://schemas.openxmlformats.org/officeDocument/2006/relationships/hyperlink" Target="https://e-planningbmd.id/" TargetMode="External" Id="rId263" /><Relationship Type="http://schemas.openxmlformats.org/officeDocument/2006/relationships/hyperlink" Target="https://e-penghapusanbmd.id/" TargetMode="External" Id="rId264" /><Relationship Type="http://schemas.openxmlformats.org/officeDocument/2006/relationships/hyperlink" Target="https://persediaanbmd.bandungkab.go.id/" TargetMode="External" Id="rId265" /><Relationship Type="http://schemas.openxmlformats.org/officeDocument/2006/relationships/hyperlink" Target="https://drive.google.com/file/d/13chpwS3hzckDO6lZ62iqJLre18eSmtSR/view?usp=sharing" TargetMode="External" Id="rId266" /><Relationship Type="http://schemas.openxmlformats.org/officeDocument/2006/relationships/hyperlink" Target="https://e-sptpd.bandungkab.go.id/site/login" TargetMode="External" Id="rId267" /><Relationship Type="http://schemas.openxmlformats.org/officeDocument/2006/relationships/hyperlink" Target="https://drive.google.com/file/d/1EleK6UBDx7lBx-8YOCfg6TAbMx8HdYBj/view?usp=sharing" TargetMode="External" Id="rId268" /><Relationship Type="http://schemas.openxmlformats.org/officeDocument/2006/relationships/hyperlink" Target="http://pbb-online.bandungkab.go.id/" TargetMode="External" Id="rId269" /><Relationship Type="http://schemas.openxmlformats.org/officeDocument/2006/relationships/hyperlink" Target="https://drive.google.com/file/d/1CloKUh40TI8aJ_npp4ASJNSlnRVawVBn/view?usp=sharing" TargetMode="External" Id="rId270" /><Relationship Type="http://schemas.openxmlformats.org/officeDocument/2006/relationships/hyperlink" Target="https://drive.google.com/drive/folders/1psrMJUnyozjImYwLa6s5MSyj6ohEJYQO?usp=sharing" TargetMode="External" Id="rId271" /><Relationship Type="http://schemas.openxmlformats.org/officeDocument/2006/relationships/hyperlink" Target="https://bphtb2.bandungkab.go.id/" TargetMode="External" Id="rId272" /><Relationship Type="http://schemas.openxmlformats.org/officeDocument/2006/relationships/hyperlink" Target="https://drive.google.com/drive/folders/1YBsK-2pdfsgxA-SPqsa5WMZzipvbo0Zl?usp=sharing" TargetMode="External" Id="rId273" /><Relationship Type="http://schemas.openxmlformats.org/officeDocument/2006/relationships/hyperlink" Target="https://e-pad.bandungkab.go.id/index.php/user/login" TargetMode="External" Id="rId274" /><Relationship Type="http://schemas.openxmlformats.org/officeDocument/2006/relationships/hyperlink" Target="https://drive.google.com/file/d/1zeOij3UFpS15e2vMm5gUifY3P4hnkjQm/view?usp=sharing" TargetMode="External" Id="rId275" /><Relationship Type="http://schemas.openxmlformats.org/officeDocument/2006/relationships/hyperlink" Target="https://e-sptpd.bandungkab.go.id/site/login" TargetMode="External" Id="rId276" /><Relationship Type="http://schemas.openxmlformats.org/officeDocument/2006/relationships/hyperlink" Target="https://skm.bandungkab.go.id/login" TargetMode="External" Id="rId277" /><Relationship Type="http://schemas.openxmlformats.org/officeDocument/2006/relationships/hyperlink" Target="https://sso.bandungkab.go.id/" TargetMode="External" Id="rId278" /><Relationship Type="http://schemas.openxmlformats.org/officeDocument/2006/relationships/hyperlink" Target="https://sso.bandungkab.go.id/" TargetMode="External" Id="rId279" /><Relationship Type="http://schemas.openxmlformats.org/officeDocument/2006/relationships/hyperlink" Target="https://e-absensi.bandungkab.go.id/login" TargetMode="External" Id="rId280" /><Relationship Type="http://schemas.openxmlformats.org/officeDocument/2006/relationships/hyperlink" Target="http://surabi.jabarprov.go.id/" TargetMode="External" Id="rId281" /><Relationship Type="http://schemas.openxmlformats.org/officeDocument/2006/relationships/hyperlink" Target="https://sipd-ri.kemendagri.go.id/auth/login" TargetMode="External" Id="rId282" /><Relationship Type="http://schemas.openxmlformats.org/officeDocument/2006/relationships/hyperlink" Target="https://sipd-ri.kemendagri.go.id/auth/login" TargetMode="External" Id="rId283" /><Relationship Type="http://schemas.openxmlformats.org/officeDocument/2006/relationships/hyperlink" Target="https://spse.inaproc.id/bandungkab/" TargetMode="External" Id="rId284" /><Relationship Type="http://schemas.openxmlformats.org/officeDocument/2006/relationships/hyperlink" Target="https://sipphade.bandungkab.go.id/" TargetMode="External" Id="rId285" /><Relationship Type="http://schemas.openxmlformats.org/officeDocument/2006/relationships/hyperlink" Target="https://sultan.bandungkab.go.id/login" TargetMode="External" Id="rId286" /><Relationship Type="http://schemas.openxmlformats.org/officeDocument/2006/relationships/hyperlink" Target="https://simasda.bandungkab.go.id/" TargetMode="External" Id="rId287" /><Relationship Type="http://schemas.openxmlformats.org/officeDocument/2006/relationships/hyperlink" Target="https://drive.google.com/file/d/1-u8BdMLGCu4aICHYLsA_St6eYZj99BZB/view?usp=drive_link" TargetMode="External" Id="rId288" /><Relationship Type="http://schemas.openxmlformats.org/officeDocument/2006/relationships/hyperlink" Target="https://sso.bandungkab.go.id/" TargetMode="External" Id="rId289" /><Relationship Type="http://schemas.openxmlformats.org/officeDocument/2006/relationships/hyperlink" Target="mailto:dediradi@gmail.com" TargetMode="External" Id="rId290" /><Relationship Type="http://schemas.openxmlformats.org/officeDocument/2006/relationships/hyperlink" Target="https://drive.google.com/file/d/18x4SyFaMTJIHq1ORgmmghi6RwxlrdqOk/view?usp=sharing" TargetMode="External" Id="rId291" /><Relationship Type="http://schemas.openxmlformats.org/officeDocument/2006/relationships/hyperlink" Target="https://sso.bandungkab.go.id/" TargetMode="External" Id="rId292" /><Relationship Type="http://schemas.openxmlformats.org/officeDocument/2006/relationships/hyperlink" Target="mailto:lemicandra@gmail.com" TargetMode="External" Id="rId293" /><Relationship Type="http://schemas.openxmlformats.org/officeDocument/2006/relationships/hyperlink" Target="https://drive.google.com/file/d/1PXizS0lsGfzHef1oqj26L6YEq9Ht-TsF/view?usp=sharing" TargetMode="External" Id="rId294" /><Relationship Type="http://schemas.openxmlformats.org/officeDocument/2006/relationships/hyperlink" Target="https://drive.google.com/file/d/1Ytr1MO33D981VKk7RIXXUdXU9tmvqtIl/view?usp=sharing" TargetMode="External" Id="rId295" /><Relationship Type="http://schemas.openxmlformats.org/officeDocument/2006/relationships/hyperlink" Target="https://docs.google.com/forms/d/e/1FAIpQLScgtcVM1HIFI6Kb84RdU-NURHvy6qz13ikmHRCejwiPs-g2KQ/viewform?pli=1" TargetMode="External" Id="rId296" /><Relationship Type="http://schemas.openxmlformats.org/officeDocument/2006/relationships/hyperlink" Target="https://drive.google.com/file/d/1OVv4yCmrgdrfLSeSS5ewogAtczV2aIlF/view?usp=sharing" TargetMode="External" Id="rId297" /><Relationship Type="http://schemas.openxmlformats.org/officeDocument/2006/relationships/hyperlink" Target="https://play.google.com/store/apps/details?id=com.diskominfo.bpbd" TargetMode="External" Id="rId298" /><Relationship Type="http://schemas.openxmlformats.org/officeDocument/2006/relationships/hyperlink" Target="https://drive.google.com/file/d/1OVv4yCmrgdrfLSeSS5ewogAtczV2aIlF/view?usp=sharing" TargetMode="External" Id="rId299" /><Relationship Type="http://schemas.openxmlformats.org/officeDocument/2006/relationships/hyperlink" Target="http://dibi.bnpb.go.id/" TargetMode="External" Id="rId300" /><Relationship Type="http://schemas.openxmlformats.org/officeDocument/2006/relationships/hyperlink" Target="https://docs.google.com/spreadsheets/d/1l5-2zqpZNcqk1vc27yahE2fBaLI9m7gY/edit?usp=sharing&amp;ouid=116583022603845992448&amp;rtpof=true&amp;sd=true" TargetMode="External" Id="rId301" /><Relationship Type="http://schemas.openxmlformats.org/officeDocument/2006/relationships/hyperlink" Target="https://drive.google.com/drive/folders/1B5BkNR_l7v0dpf1e8Y6cIlWcgjAqRVF5?usp=drive_link" TargetMode="External" Id="rId302" /><Relationship Type="http://schemas.openxmlformats.org/officeDocument/2006/relationships/hyperlink" Target="https://drive.google.com/file/d/1T1U4oNUqZS1NcFlgpFY6CJRp0CcQqlBv/view?usp=drive_link" TargetMode="External" Id="rId303" /><Relationship Type="http://schemas.openxmlformats.org/officeDocument/2006/relationships/hyperlink" Target="https://drive.google.com/drive/folders/1vjgfqjMxOGjNMjW_D5TVCMti_1yMqG0T?usp=sharing" TargetMode="External" Id="rId304" /><Relationship Type="http://schemas.openxmlformats.org/officeDocument/2006/relationships/hyperlink" Target="http://simpel.menlhk.go.id/" TargetMode="External" Id="rId305" /><Relationship Type="http://schemas.openxmlformats.org/officeDocument/2006/relationships/hyperlink" Target="https://ee.kobotoolbox.org/x/YQp13dFa" TargetMode="External" Id="rId306" /><Relationship Type="http://schemas.openxmlformats.org/officeDocument/2006/relationships/hyperlink" Target="http://persediaanbmd.bandungkab.go.id/" TargetMode="External" Id="rId307" /><Relationship Type="http://schemas.openxmlformats.org/officeDocument/2006/relationships/hyperlink" Target="https://simgajiweb.taspen.co.id/" TargetMode="External" Id="rId308" /><Relationship Type="http://schemas.openxmlformats.org/officeDocument/2006/relationships/hyperlink" Target="https://e-retribusi.bandungkab.go.id/" TargetMode="External" Id="rId309" /><Relationship Type="http://schemas.openxmlformats.org/officeDocument/2006/relationships/hyperlink" Target="http://a.md/" TargetMode="External" Id="rId310" /><Relationship Type="http://schemas.openxmlformats.org/officeDocument/2006/relationships/hyperlink" Target="https://sipd.kemendagri.go.id/" TargetMode="External" Id="rId311" /><Relationship Type="http://schemas.openxmlformats.org/officeDocument/2006/relationships/hyperlink" Target="http://a.md/" TargetMode="External" Id="rId312" /><Relationship Type="http://schemas.openxmlformats.org/officeDocument/2006/relationships/hyperlink" Target="https://sirup.inaproc.id/sirup/loginctr/index" TargetMode="External" Id="rId313" /><Relationship Type="http://schemas.openxmlformats.org/officeDocument/2006/relationships/hyperlink" Target="https://simaslahat.bandungkab.go.id/login" TargetMode="External" Id="rId314" /><Relationship Type="http://schemas.openxmlformats.org/officeDocument/2006/relationships/hyperlink" Target="https://e-sptpd.bandungkab.go.id/" TargetMode="External" Id="rId315" /><Relationship Type="http://schemas.openxmlformats.org/officeDocument/2006/relationships/hyperlink" Target="https://simasda.bandungkab.go.id/" TargetMode="External" Id="rId316" /><Relationship Type="http://schemas.openxmlformats.org/officeDocument/2006/relationships/hyperlink" Target="https://sisrute.kemkes.go.id/" TargetMode="External" Id="rId317" /><Relationship Type="http://schemas.openxmlformats.org/officeDocument/2006/relationships/hyperlink" Target="https://coretaxdjp.pajak.go.id/" TargetMode="External" Id="rId318" /><Relationship Type="http://schemas.openxmlformats.org/officeDocument/2006/relationships/hyperlink" Target="https://sirekonpajak.bandungkab.go.id/" TargetMode="External" Id="rId319" /><Relationship Type="http://schemas.openxmlformats.org/officeDocument/2006/relationships/hyperlink" Target="https://mpn.kemenkeu.go.id/" TargetMode="External" Id="rId320" /><Relationship Type="http://schemas.openxmlformats.org/officeDocument/2006/relationships/hyperlink" Target="https://drive.google.com/drive/folders/1MppwIbicgeJnTSmBS08CzfVFAUOfmdja?usp=sharing" TargetMode="External" Id="rId321" /><Relationship Type="http://schemas.openxmlformats.org/officeDocument/2006/relationships/hyperlink" Target="http://dkijabarbanten.sitb.id/" TargetMode="External" Id="rId322" /><Relationship Type="http://schemas.openxmlformats.org/officeDocument/2006/relationships/hyperlink" Target="http://simpelbkpsdm.bandungkab.go.id/" TargetMode="External" Id="rId323" /><Relationship Type="http://schemas.openxmlformats.org/officeDocument/2006/relationships/hyperlink" Target="http://sultan.banadungkab.go.id/" TargetMode="External" Id="rId324" /><Relationship Type="http://schemas.openxmlformats.org/officeDocument/2006/relationships/hyperlink" Target="http://sso.bandungkab.go.id/" TargetMode="External" Id="rId325" /><Relationship Type="http://schemas.openxmlformats.org/officeDocument/2006/relationships/hyperlink" Target="http://sisdmk.kemkes.go.id/" TargetMode="External" Id="rId326" /><Relationship Type="http://schemas.openxmlformats.org/officeDocument/2006/relationships/hyperlink" Target="http://sirs.kemkes.go.id/" TargetMode="External" Id="rId327" /><Relationship Type="http://schemas.openxmlformats.org/officeDocument/2006/relationships/hyperlink" Target="https://e-lkpj.id/login" TargetMode="External" Id="rId328" /><Relationship Type="http://schemas.openxmlformats.org/officeDocument/2006/relationships/hyperlink" Target="https://sidalmonep.bandungkab.go.id/app" TargetMode="External" Id="rId329" /><Relationship Type="http://schemas.openxmlformats.org/officeDocument/2006/relationships/hyperlink" Target="https://skm.bandungkab.go.id/" TargetMode="External" Id="rId330" /><Relationship Type="http://schemas.openxmlformats.org/officeDocument/2006/relationships/hyperlink" Target="https://sippn.menpan.go.id/" TargetMode="External" Id="rId331" /><Relationship Type="http://schemas.openxmlformats.org/officeDocument/2006/relationships/hyperlink" Target="https://www.lapor.go.id/" TargetMode="External" Id="rId332" /><Relationship Type="http://schemas.openxmlformats.org/officeDocument/2006/relationships/hyperlink" Target="https://ppid.bandungkab.go.id/dashboard" TargetMode="External" Id="rId333" /><Relationship Type="http://schemas.openxmlformats.org/officeDocument/2006/relationships/hyperlink" Target="https://apik.bandungkab.go.id/apik/login" TargetMode="External" Id="rId334" /><Relationship Type="http://schemas.openxmlformats.org/officeDocument/2006/relationships/hyperlink" Target="https://mutufasyankes.kemkes.go.id/" TargetMode="External" Id="rId335" /><Relationship Type="http://schemas.openxmlformats.org/officeDocument/2006/relationships/hyperlink" Target="http://a.md/" TargetMode="External" Id="rId336" /><Relationship Type="http://schemas.openxmlformats.org/officeDocument/2006/relationships/hyperlink" Target="https://hfis.bpjs-kesehatan.go.id/hfis/login?hfis" TargetMode="External" Id="rId337" /><Relationship Type="http://schemas.openxmlformats.org/officeDocument/2006/relationships/hyperlink" Target="http://a.md/" TargetMode="External" Id="rId338" /><Relationship Type="http://schemas.openxmlformats.org/officeDocument/2006/relationships/hyperlink" Target="http://gmail.com/" TargetMode="External" Id="rId339" /><Relationship Type="http://schemas.openxmlformats.org/officeDocument/2006/relationships/hyperlink" Target="https://aspak.kemkes.go.id/aplikasi/site/index" TargetMode="External" Id="rId340" /><Relationship Type="http://schemas.openxmlformats.org/officeDocument/2006/relationships/hyperlink" Target="https://rkbmd.e-planningbmd.id/" TargetMode="External" Id="rId341" /><Relationship Type="http://schemas.openxmlformats.org/officeDocument/2006/relationships/hyperlink" Target="https://drive.google.com/file/d/1T1U4oNUqZS1NcFlgpFY6CJRp0CcQqlBv/view?usp=drive_link" TargetMode="External" Id="rId342" /><Relationship Type="http://schemas.openxmlformats.org/officeDocument/2006/relationships/hyperlink" Target="https://drive.google.com/drive/folders/1vjgfqjMxOGjNMjW_D5TVCMti_1yMqG0T?usp=sharing" TargetMode="External" Id="rId343" /><Relationship Type="http://schemas.openxmlformats.org/officeDocument/2006/relationships/hyperlink" Target="http://simpel.menlhk.go.id/" TargetMode="External" Id="rId344" /><Relationship Type="http://schemas.openxmlformats.org/officeDocument/2006/relationships/hyperlink" Target="https://ee.kobotoolbox.org/x/YQp13dFa" TargetMode="External" Id="rId345" /><Relationship Type="http://schemas.openxmlformats.org/officeDocument/2006/relationships/hyperlink" Target="http://persediaanbmd.bandungkab.go.id/" TargetMode="External" Id="rId346" /><Relationship Type="http://schemas.openxmlformats.org/officeDocument/2006/relationships/hyperlink" Target="https://simgajiweb.taspen.co.id/" TargetMode="External" Id="rId347" /><Relationship Type="http://schemas.openxmlformats.org/officeDocument/2006/relationships/hyperlink" Target="https://e-retribusi.bandungkab.go.id/" TargetMode="External" Id="rId348" /><Relationship Type="http://schemas.openxmlformats.org/officeDocument/2006/relationships/hyperlink" Target="http://a.md/" TargetMode="External" Id="rId349" /><Relationship Type="http://schemas.openxmlformats.org/officeDocument/2006/relationships/hyperlink" Target="https://sipd.kemendagri.go.id/" TargetMode="External" Id="rId350" /><Relationship Type="http://schemas.openxmlformats.org/officeDocument/2006/relationships/hyperlink" Target="http://a.md/" TargetMode="External" Id="rId351" /><Relationship Type="http://schemas.openxmlformats.org/officeDocument/2006/relationships/hyperlink" Target="https://sirup.inaproc.id/sirup/loginctr/index" TargetMode="External" Id="rId352" /><Relationship Type="http://schemas.openxmlformats.org/officeDocument/2006/relationships/hyperlink" Target="https://simaslahat.bandungkab.go.id/login" TargetMode="External" Id="rId353" /><Relationship Type="http://schemas.openxmlformats.org/officeDocument/2006/relationships/hyperlink" Target="https://e-sptpd.bandungkab.go.id/" TargetMode="External" Id="rId354" /><Relationship Type="http://schemas.openxmlformats.org/officeDocument/2006/relationships/hyperlink" Target="https://simasda.bandungkab.go.id/" TargetMode="External" Id="rId355" /><Relationship Type="http://schemas.openxmlformats.org/officeDocument/2006/relationships/hyperlink" Target="https://sisrute.kemkes.go.id/" TargetMode="External" Id="rId356" /><Relationship Type="http://schemas.openxmlformats.org/officeDocument/2006/relationships/hyperlink" Target="https://coretaxdjp.pajak.go.id/" TargetMode="External" Id="rId357" /><Relationship Type="http://schemas.openxmlformats.org/officeDocument/2006/relationships/hyperlink" Target="https://sirekonpajak.bandungkab.go.id/" TargetMode="External" Id="rId358" /><Relationship Type="http://schemas.openxmlformats.org/officeDocument/2006/relationships/hyperlink" Target="https://mpn.kemenkeu.go.id/" TargetMode="External" Id="rId359" /><Relationship Type="http://schemas.openxmlformats.org/officeDocument/2006/relationships/hyperlink" Target="https://drive.google.com/drive/folders/1MppwIbicgeJnTSmBS08CzfVFAUOfmdja?usp=sharing" TargetMode="External" Id="rId360" /><Relationship Type="http://schemas.openxmlformats.org/officeDocument/2006/relationships/hyperlink" Target="http://dkijabarbanten.sitb.id/" TargetMode="External" Id="rId361" /><Relationship Type="http://schemas.openxmlformats.org/officeDocument/2006/relationships/hyperlink" Target="http://simpelbkpsdm.bandungkab.go.id/" TargetMode="External" Id="rId362" /><Relationship Type="http://schemas.openxmlformats.org/officeDocument/2006/relationships/hyperlink" Target="http://sultan.banadungkab.go.id/" TargetMode="External" Id="rId363" /><Relationship Type="http://schemas.openxmlformats.org/officeDocument/2006/relationships/hyperlink" Target="http://sso.bandungkab.go.id/" TargetMode="External" Id="rId364" /><Relationship Type="http://schemas.openxmlformats.org/officeDocument/2006/relationships/hyperlink" Target="http://sisdmk.kemkes.go.id/" TargetMode="External" Id="rId365" /><Relationship Type="http://schemas.openxmlformats.org/officeDocument/2006/relationships/hyperlink" Target="http://sirs.kemkes.go.id/" TargetMode="External" Id="rId366" /><Relationship Type="http://schemas.openxmlformats.org/officeDocument/2006/relationships/hyperlink" Target="https://e-lkpj.id/login" TargetMode="External" Id="rId367" /><Relationship Type="http://schemas.openxmlformats.org/officeDocument/2006/relationships/hyperlink" Target="https://sidalmonep.bandungkab.go.id/app" TargetMode="External" Id="rId368" /><Relationship Type="http://schemas.openxmlformats.org/officeDocument/2006/relationships/hyperlink" Target="https://skm.bandungkab.go.id/" TargetMode="External" Id="rId369" /><Relationship Type="http://schemas.openxmlformats.org/officeDocument/2006/relationships/hyperlink" Target="https://sippn.menpan.go.id/" TargetMode="External" Id="rId370" /><Relationship Type="http://schemas.openxmlformats.org/officeDocument/2006/relationships/hyperlink" Target="https://www.lapor.go.id/" TargetMode="External" Id="rId371" /><Relationship Type="http://schemas.openxmlformats.org/officeDocument/2006/relationships/hyperlink" Target="https://ppid.bandungkab.go.id/dashboard" TargetMode="External" Id="rId372" /><Relationship Type="http://schemas.openxmlformats.org/officeDocument/2006/relationships/hyperlink" Target="https://apik.bandungkab.go.id/apik/login" TargetMode="External" Id="rId373" /><Relationship Type="http://schemas.openxmlformats.org/officeDocument/2006/relationships/hyperlink" Target="https://mutufasyankes.kemkes.go.id/" TargetMode="External" Id="rId374" /><Relationship Type="http://schemas.openxmlformats.org/officeDocument/2006/relationships/hyperlink" Target="http://a.md/" TargetMode="External" Id="rId375" /><Relationship Type="http://schemas.openxmlformats.org/officeDocument/2006/relationships/hyperlink" Target="https://hfis.bpjs-kesehatan.go.id/hfis/login?hfis" TargetMode="External" Id="rId376" /><Relationship Type="http://schemas.openxmlformats.org/officeDocument/2006/relationships/hyperlink" Target="http://a.md/" TargetMode="External" Id="rId377" /><Relationship Type="http://schemas.openxmlformats.org/officeDocument/2006/relationships/hyperlink" Target="http://gmail.com/" TargetMode="External" Id="rId378" /><Relationship Type="http://schemas.openxmlformats.org/officeDocument/2006/relationships/hyperlink" Target="https://aspak.kemkes.go.id/aplikasi/site/index" TargetMode="External" Id="rId379" /><Relationship Type="http://schemas.openxmlformats.org/officeDocument/2006/relationships/hyperlink" Target="https://rkbmd.e-planningbmd.id/" TargetMode="External" Id="rId380" /><Relationship Type="http://schemas.openxmlformats.org/officeDocument/2006/relationships/hyperlink" Target="https://drive.google.com/file/d/1T1U4oNUqZS1NcFlgpFY6CJRp0CcQqlBv/view?usp=drive_link" TargetMode="External" Id="rId381" /><Relationship Type="http://schemas.openxmlformats.org/officeDocument/2006/relationships/hyperlink" Target="https://drive.google.com/drive/folders/1vjgfqjMxOGjNMjW_D5TVCMti_1yMqG0T?usp=sharing" TargetMode="External" Id="rId382" /><Relationship Type="http://schemas.openxmlformats.org/officeDocument/2006/relationships/hyperlink" Target="http://simpel.menlhk.go.id/" TargetMode="External" Id="rId383" /><Relationship Type="http://schemas.openxmlformats.org/officeDocument/2006/relationships/hyperlink" Target="https://ee.kobotoolbox.org/x/YQp13dFa" TargetMode="External" Id="rId384" /><Relationship Type="http://schemas.openxmlformats.org/officeDocument/2006/relationships/hyperlink" Target="http://persediaanbmd.bandungkab.go.id/" TargetMode="External" Id="rId385" /><Relationship Type="http://schemas.openxmlformats.org/officeDocument/2006/relationships/hyperlink" Target="https://simgajiweb.taspen.co.id/" TargetMode="External" Id="rId386" /><Relationship Type="http://schemas.openxmlformats.org/officeDocument/2006/relationships/hyperlink" Target="https://e-retribusi.bandungkab.go.id/" TargetMode="External" Id="rId387" /><Relationship Type="http://schemas.openxmlformats.org/officeDocument/2006/relationships/hyperlink" Target="https://sipd.kemendagri.go.id/" TargetMode="External" Id="rId388" /><Relationship Type="http://schemas.openxmlformats.org/officeDocument/2006/relationships/hyperlink" Target="https://sirup.inaproc.id/sirup/loginctr/index" TargetMode="External" Id="rId389" /><Relationship Type="http://schemas.openxmlformats.org/officeDocument/2006/relationships/hyperlink" Target="https://simaslahat.bandungkab.go.id/login" TargetMode="External" Id="rId390" /><Relationship Type="http://schemas.openxmlformats.org/officeDocument/2006/relationships/hyperlink" Target="https://e-sptpd.bandungkab.go.id/" TargetMode="External" Id="rId391" /><Relationship Type="http://schemas.openxmlformats.org/officeDocument/2006/relationships/hyperlink" Target="https://simasda.bandungkab.go.id/" TargetMode="External" Id="rId392" /><Relationship Type="http://schemas.openxmlformats.org/officeDocument/2006/relationships/hyperlink" Target="https://sisrute.kemkes.go.id/" TargetMode="External" Id="rId393" /><Relationship Type="http://schemas.openxmlformats.org/officeDocument/2006/relationships/hyperlink" Target="https://coretaxdjp.pajak.go.id/" TargetMode="External" Id="rId394" /><Relationship Type="http://schemas.openxmlformats.org/officeDocument/2006/relationships/hyperlink" Target="https://sirekonpajak.bandungkab.go.id/" TargetMode="External" Id="rId395" /><Relationship Type="http://schemas.openxmlformats.org/officeDocument/2006/relationships/hyperlink" Target="https://mpn.kemenkeu.go.id/" TargetMode="External" Id="rId396" /><Relationship Type="http://schemas.openxmlformats.org/officeDocument/2006/relationships/hyperlink" Target="https://drive.google.com/drive/folders/1MppwIbicgeJnTSmBS08CzfVFAUOfmdja?usp=sharing" TargetMode="External" Id="rId397" /><Relationship Type="http://schemas.openxmlformats.org/officeDocument/2006/relationships/hyperlink" Target="http://dkijabarbanten.sitb.id/" TargetMode="External" Id="rId398" /><Relationship Type="http://schemas.openxmlformats.org/officeDocument/2006/relationships/hyperlink" Target="http://simpelbkpsdm.bandungkab.go.id/" TargetMode="External" Id="rId399" /><Relationship Type="http://schemas.openxmlformats.org/officeDocument/2006/relationships/hyperlink" Target="http://sultan.banadungkab.go.id/" TargetMode="External" Id="rId400" /><Relationship Type="http://schemas.openxmlformats.org/officeDocument/2006/relationships/hyperlink" Target="http://sso.bandungkab.go.id/" TargetMode="External" Id="rId401" /><Relationship Type="http://schemas.openxmlformats.org/officeDocument/2006/relationships/hyperlink" Target="http://sisdmk.kemkes.go.id/" TargetMode="External" Id="rId402" /><Relationship Type="http://schemas.openxmlformats.org/officeDocument/2006/relationships/hyperlink" Target="http://sirs.kemkes.go.id/" TargetMode="External" Id="rId403" /><Relationship Type="http://schemas.openxmlformats.org/officeDocument/2006/relationships/hyperlink" Target="http://sirs.kemkes.go.id/" TargetMode="External" Id="rId404" /><Relationship Type="http://schemas.openxmlformats.org/officeDocument/2006/relationships/hyperlink" Target="https://e-lkpj.id/login" TargetMode="External" Id="rId405" /><Relationship Type="http://schemas.openxmlformats.org/officeDocument/2006/relationships/hyperlink" Target="https://sidalmonep.bandungkab.go.id/app" TargetMode="External" Id="rId406" /><Relationship Type="http://schemas.openxmlformats.org/officeDocument/2006/relationships/hyperlink" Target="https://skm.bandungkab.go.id/" TargetMode="External" Id="rId407" /><Relationship Type="http://schemas.openxmlformats.org/officeDocument/2006/relationships/hyperlink" Target="https://sippn.menpan.go.id/" TargetMode="External" Id="rId408" /><Relationship Type="http://schemas.openxmlformats.org/officeDocument/2006/relationships/hyperlink" Target="https://www.lapor.go.id/" TargetMode="External" Id="rId409" /><Relationship Type="http://schemas.openxmlformats.org/officeDocument/2006/relationships/hyperlink" Target="https://ppid.bandungkab.go.id/dashboard" TargetMode="External" Id="rId410" /><Relationship Type="http://schemas.openxmlformats.org/officeDocument/2006/relationships/hyperlink" Target="https://mutufasyankes.kemkes.go.id/" TargetMode="External" Id="rId411" /><Relationship Type="http://schemas.openxmlformats.org/officeDocument/2006/relationships/hyperlink" Target="https://hfis.bpjs-kesehatan.go.id/hfis/login?hfis" TargetMode="External" Id="rId412" /><Relationship Type="http://schemas.openxmlformats.org/officeDocument/2006/relationships/hyperlink" Target="https://aspak.kemkes.go.id/aplikasi/site/index" TargetMode="External" Id="rId413" /><Relationship Type="http://schemas.openxmlformats.org/officeDocument/2006/relationships/hyperlink" Target="https://rkbmd.e-planningbmd.id/" TargetMode="External" Id="rId414" /><Relationship Type="http://schemas.openxmlformats.org/officeDocument/2006/relationships/hyperlink" Target="http://192.168.40.89/sikeren" TargetMode="External" Id="rId415" /><Relationship Type="http://schemas.openxmlformats.org/officeDocument/2006/relationships/hyperlink" Target="https://sipd.kemendagri.go.id/penatausahaan/login" TargetMode="External" Id="rId416" /><Relationship Type="http://schemas.openxmlformats.org/officeDocument/2006/relationships/hyperlink" Target="http://simpelbkpsdm.bandungkab.go.id/" TargetMode="External" Id="rId417" /><Relationship Type="http://schemas.openxmlformats.org/officeDocument/2006/relationships/hyperlink" Target="http://s.tr/" TargetMode="External" Id="rId418" /><Relationship Type="http://schemas.openxmlformats.org/officeDocument/2006/relationships/hyperlink" Target="https://dev2.bandungkab.go.id/" TargetMode="External" Id="rId419" /><Relationship Type="http://schemas.openxmlformats.org/officeDocument/2006/relationships/hyperlink" Target="http://s.tr/" TargetMode="External" Id="rId420" /><Relationship Type="http://schemas.openxmlformats.org/officeDocument/2006/relationships/hyperlink" Target="https://sisdmk.kemkes.go.id/login" TargetMode="External" Id="rId421" /><Relationship Type="http://schemas.openxmlformats.org/officeDocument/2006/relationships/hyperlink" Target="http://satusehat.kemkes.go.id/sdmk" TargetMode="External" Id="rId422" /><Relationship Type="http://schemas.openxmlformats.org/officeDocument/2006/relationships/hyperlink" Target="http://s.tr/" TargetMode="External" Id="rId423" /><Relationship Type="http://schemas.openxmlformats.org/officeDocument/2006/relationships/hyperlink" Target="https://edabu.bpjs-kesehatan.go.id/Edabu/Home/Login?AspxAutoDetectCookieSupport=1" TargetMode="External" Id="rId424" /><Relationship Type="http://schemas.openxmlformats.org/officeDocument/2006/relationships/hyperlink" Target="http://satusehat.kemkes.go.id/sdmk" TargetMode="External" Id="rId425" /><Relationship Type="http://schemas.openxmlformats.org/officeDocument/2006/relationships/hyperlink" Target="http://s.tr/" TargetMode="External" Id="rId426" /><Relationship Type="http://schemas.openxmlformats.org/officeDocument/2006/relationships/hyperlink" Target="https://drive.google.com/file/d/1-OkimWi2XkYVZbq8aStpKFlsMtErBFog/view?usp=drivesdk" TargetMode="External" Id="rId427" /><Relationship Type="http://schemas.openxmlformats.org/officeDocument/2006/relationships/hyperlink" Target="http://persediaanbmd.bandungkab.go.id/" TargetMode="External" Id="rId428" /><Relationship Type="http://schemas.openxmlformats.org/officeDocument/2006/relationships/hyperlink" Target="https://simgajiweb.taspen.co.id/" TargetMode="External" Id="rId429" /><Relationship Type="http://schemas.openxmlformats.org/officeDocument/2006/relationships/hyperlink" Target="https://e-retribusi.bandungkab.go.id/" TargetMode="External" Id="rId430" /><Relationship Type="http://schemas.openxmlformats.org/officeDocument/2006/relationships/hyperlink" Target="https://sipd.kemendagri.go.id/" TargetMode="External" Id="rId431" /><Relationship Type="http://schemas.openxmlformats.org/officeDocument/2006/relationships/hyperlink" Target="https://sirup.inaproc.id/sirup/loginctr/index" TargetMode="External" Id="rId432" /><Relationship Type="http://schemas.openxmlformats.org/officeDocument/2006/relationships/hyperlink" Target="https://simaslahat.bandungkab.go.id/login" TargetMode="External" Id="rId433" /><Relationship Type="http://schemas.openxmlformats.org/officeDocument/2006/relationships/hyperlink" Target="https://e-sptpd.bandungkab.go.id/" TargetMode="External" Id="rId434" /><Relationship Type="http://schemas.openxmlformats.org/officeDocument/2006/relationships/hyperlink" Target="https://simasda.bandungkab.go.id/" TargetMode="External" Id="rId435" /><Relationship Type="http://schemas.openxmlformats.org/officeDocument/2006/relationships/hyperlink" Target="https://sisrute.kemkes.go.id/" TargetMode="External" Id="rId436" /><Relationship Type="http://schemas.openxmlformats.org/officeDocument/2006/relationships/hyperlink" Target="https://coretaxdjp.pajak.go.id/" TargetMode="External" Id="rId437" /><Relationship Type="http://schemas.openxmlformats.org/officeDocument/2006/relationships/hyperlink" Target="https://sirekonpajak.bandungkab.go.id/" TargetMode="External" Id="rId438" /><Relationship Type="http://schemas.openxmlformats.org/officeDocument/2006/relationships/hyperlink" Target="https://drive.google.com/drive/folders/1MppwIbicgeJnTSmBS08CzfVFAUOfmdja?usp=sharing" TargetMode="External" Id="rId439" /><Relationship Type="http://schemas.openxmlformats.org/officeDocument/2006/relationships/hyperlink" Target="http://dkijabarbanten.sitb.id/" TargetMode="External" Id="rId440" /><Relationship Type="http://schemas.openxmlformats.org/officeDocument/2006/relationships/hyperlink" Target="http://simpelbkpsdm.bandungkab.go.id/" TargetMode="External" Id="rId441" /><Relationship Type="http://schemas.openxmlformats.org/officeDocument/2006/relationships/hyperlink" Target="http://sultan.banadungkab.go.id/" TargetMode="External" Id="rId442" /><Relationship Type="http://schemas.openxmlformats.org/officeDocument/2006/relationships/hyperlink" Target="http://sso.bandungkab.go.id/" TargetMode="External" Id="rId443" /><Relationship Type="http://schemas.openxmlformats.org/officeDocument/2006/relationships/hyperlink" Target="http://sisdmk.kemkes.go.id/" TargetMode="External" Id="rId444" /><Relationship Type="http://schemas.openxmlformats.org/officeDocument/2006/relationships/hyperlink" Target="http://sirs.kemkes.go.id/" TargetMode="External" Id="rId445" /><Relationship Type="http://schemas.openxmlformats.org/officeDocument/2006/relationships/hyperlink" Target="http://sirs.kemkes.go.id/" TargetMode="External" Id="rId446" /><Relationship Type="http://schemas.openxmlformats.org/officeDocument/2006/relationships/hyperlink" Target="https://e-lkpj.id/login" TargetMode="External" Id="rId447" /><Relationship Type="http://schemas.openxmlformats.org/officeDocument/2006/relationships/hyperlink" Target="https://sidalmonep.bandungkab.go.id/app" TargetMode="External" Id="rId448" /><Relationship Type="http://schemas.openxmlformats.org/officeDocument/2006/relationships/hyperlink" Target="https://skm.bandungkab.go.id/" TargetMode="External" Id="rId449" /><Relationship Type="http://schemas.openxmlformats.org/officeDocument/2006/relationships/hyperlink" Target="https://sippn.menpan.go.id/" TargetMode="External" Id="rId450" /><Relationship Type="http://schemas.openxmlformats.org/officeDocument/2006/relationships/hyperlink" Target="https://www.lapor.go.id/" TargetMode="External" Id="rId451" /><Relationship Type="http://schemas.openxmlformats.org/officeDocument/2006/relationships/hyperlink" Target="https://ppid.bandungkab.go.id/dashboard" TargetMode="External" Id="rId452" /><Relationship Type="http://schemas.openxmlformats.org/officeDocument/2006/relationships/hyperlink" Target="https://mutufasyankes.kemkes.go.id/" TargetMode="External" Id="rId453" /><Relationship Type="http://schemas.openxmlformats.org/officeDocument/2006/relationships/hyperlink" Target="https://hfis.bpjs-kesehatan.go.id/hfis/login?hfis" TargetMode="External" Id="rId454" /><Relationship Type="http://schemas.openxmlformats.org/officeDocument/2006/relationships/hyperlink" Target="https://aspak.kemkes.go.id/aplikasi/site/index" TargetMode="External" Id="rId455" /><Relationship Type="http://schemas.openxmlformats.org/officeDocument/2006/relationships/hyperlink" Target="http://bdskts.id/" TargetMode="External" Id="rId456" /><Relationship Type="http://schemas.openxmlformats.org/officeDocument/2006/relationships/hyperlink" Target="https://simgajiweb.taspen.co.id/" TargetMode="External" Id="rId457" /><Relationship Type="http://schemas.openxmlformats.org/officeDocument/2006/relationships/hyperlink" Target="https://e-retribusi.bandungkab.go.id/" TargetMode="External" Id="rId458" /><Relationship Type="http://schemas.openxmlformats.org/officeDocument/2006/relationships/hyperlink" Target="https://sipd.kemendagri.go.id/" TargetMode="External" Id="rId459" /><Relationship Type="http://schemas.openxmlformats.org/officeDocument/2006/relationships/hyperlink" Target="https://sirup.inaproc.id/sirup/loginctr/index" TargetMode="External" Id="rId460" /><Relationship Type="http://schemas.openxmlformats.org/officeDocument/2006/relationships/hyperlink" Target="https://simaslahat.bandungkab.go.id/login" TargetMode="External" Id="rId461" /><Relationship Type="http://schemas.openxmlformats.org/officeDocument/2006/relationships/hyperlink" Target="https://e-sptpd.bandungkab.go.id/" TargetMode="External" Id="rId462" /><Relationship Type="http://schemas.openxmlformats.org/officeDocument/2006/relationships/hyperlink" Target="https://simasda.bandungkab.go.id/" TargetMode="External" Id="rId463" /><Relationship Type="http://schemas.openxmlformats.org/officeDocument/2006/relationships/hyperlink" Target="https://sisrute.kemkes.go.id/" TargetMode="External" Id="rId464" /><Relationship Type="http://schemas.openxmlformats.org/officeDocument/2006/relationships/hyperlink" Target="https://coretaxdjp.pajak.go.id/" TargetMode="External" Id="rId465" /><Relationship Type="http://schemas.openxmlformats.org/officeDocument/2006/relationships/hyperlink" Target="https://sirekonpajak.bandungkab.go.id/" TargetMode="External" Id="rId466" /><Relationship Type="http://schemas.openxmlformats.org/officeDocument/2006/relationships/hyperlink" Target="https://drive.google.com/drive/folders/1MppwIbicgeJnTSmBS08CzfVFAUOfmdja?usp=sharing" TargetMode="External" Id="rId467" /><Relationship Type="http://schemas.openxmlformats.org/officeDocument/2006/relationships/hyperlink" Target="http://dkijabarbanten.sitb.id/" TargetMode="External" Id="rId468" /><Relationship Type="http://schemas.openxmlformats.org/officeDocument/2006/relationships/hyperlink" Target="http://simpelbkpsdm.bandungkab.go.id/" TargetMode="External" Id="rId469" /><Relationship Type="http://schemas.openxmlformats.org/officeDocument/2006/relationships/hyperlink" Target="http://sultan.banadungkab.go.id/" TargetMode="External" Id="rId470" /><Relationship Type="http://schemas.openxmlformats.org/officeDocument/2006/relationships/hyperlink" Target="http://sso.bandungkab.go.id/" TargetMode="External" Id="rId471" /><Relationship Type="http://schemas.openxmlformats.org/officeDocument/2006/relationships/hyperlink" Target="http://sisdmk.kemkes.go.id/" TargetMode="External" Id="rId472" /><Relationship Type="http://schemas.openxmlformats.org/officeDocument/2006/relationships/hyperlink" Target="http://sirs.kemkes.go.id/" TargetMode="External" Id="rId473" /><Relationship Type="http://schemas.openxmlformats.org/officeDocument/2006/relationships/hyperlink" Target="http://sirs.kemkes.go.id/" TargetMode="External" Id="rId474" /><Relationship Type="http://schemas.openxmlformats.org/officeDocument/2006/relationships/hyperlink" Target="https://e-lkpj.id/login" TargetMode="External" Id="rId475" /><Relationship Type="http://schemas.openxmlformats.org/officeDocument/2006/relationships/hyperlink" Target="https://sidalmonep.bandungkab.go.id/app" TargetMode="External" Id="rId476" /><Relationship Type="http://schemas.openxmlformats.org/officeDocument/2006/relationships/hyperlink" Target="https://skm.bandungkab.go.id/" TargetMode="External" Id="rId477" /><Relationship Type="http://schemas.openxmlformats.org/officeDocument/2006/relationships/hyperlink" Target="https://www.lapor.go.id/" TargetMode="External" Id="rId478" /><Relationship Type="http://schemas.openxmlformats.org/officeDocument/2006/relationships/hyperlink" Target="https://ppid.bandungkab.go.id/dashboard" TargetMode="External" Id="rId479" /><Relationship Type="http://schemas.openxmlformats.org/officeDocument/2006/relationships/hyperlink" Target="https://mutufasyankes.kemkes.go.id/" TargetMode="External" Id="rId480" /><Relationship Type="http://schemas.openxmlformats.org/officeDocument/2006/relationships/hyperlink" Target="https://hfis.bpjs-kesehatan.go.id/hfis/login?hfis" TargetMode="External" Id="rId481" /><Relationship Type="http://schemas.openxmlformats.org/officeDocument/2006/relationships/hyperlink" Target="https://aspak.kemkes.go.id/aplikasi/site/index" TargetMode="External" Id="rId482" /><Relationship Type="http://schemas.openxmlformats.org/officeDocument/2006/relationships/hyperlink" Target="http://sasikapevo.com/" TargetMode="External" Id="rId483" /><Relationship Type="http://schemas.openxmlformats.org/officeDocument/2006/relationships/hyperlink" Target="https://e-absensi.bandungkab.go.id/login" TargetMode="External" Id="rId484" /><Relationship Type="http://schemas.openxmlformats.org/officeDocument/2006/relationships/hyperlink" Target="https://keslan.kemkes.go.id/app/siranap/" TargetMode="External" Id="rId485" /><Relationship Type="http://schemas.openxmlformats.org/officeDocument/2006/relationships/hyperlink" Target="https://drive.google.com/drive/u/1/folders/12dUcuD3FJiM5lhmxZqNrZc05M-qKTqaU" TargetMode="External" Id="rId486" /><Relationship Type="http://schemas.openxmlformats.org/officeDocument/2006/relationships/hyperlink" Target="https://akun-yankes.kemkes.go.id/" TargetMode="External" Id="rId487" /><Relationship Type="http://schemas.openxmlformats.org/officeDocument/2006/relationships/hyperlink" Target="https://ujiprof.labkesjabar.com/" TargetMode="External" Id="rId488" /><Relationship Type="http://schemas.openxmlformats.org/officeDocument/2006/relationships/hyperlink" Target="https://drive.google.com/drive/folders/1msJHh9jrvyH7j0q1rPu11WaF49MEVukW" TargetMode="External" Id="rId489" /><Relationship Type="http://schemas.openxmlformats.org/officeDocument/2006/relationships/hyperlink" Target="https://romantik.web.bps.go.id/" TargetMode="External" Id="rId490" /><Relationship Type="http://schemas.openxmlformats.org/officeDocument/2006/relationships/hyperlink" Target="https://sisdmk.kemkes.go.id/satusehat/verifikasi_pekerja" TargetMode="External" Id="rId491"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492" /><Relationship Type="http://schemas.openxmlformats.org/officeDocument/2006/relationships/hyperlink" Target="https://drive.google.com/drive/u/1/folders/1BMJeHVe0f6zjx97q_TOFnGkZBTxNZTBd" TargetMode="External" Id="rId493" /><Relationship Type="http://schemas.openxmlformats.org/officeDocument/2006/relationships/hyperlink" Target="https://dashboard.kemkes.go.id/views/DashboardPemantauanAliranDataSATUSEHAT/Dashboard?%3Aembed=y&amp;%3AisGuestRedirectFromVizportal=y" TargetMode="External" Id="rId494" /><Relationship Type="http://schemas.openxmlformats.org/officeDocument/2006/relationships/hyperlink" Target="https://aspak.kemkes.go.id/aplikasi/infoboard" TargetMode="External" Id="rId495" /><Relationship Type="http://schemas.openxmlformats.org/officeDocument/2006/relationships/hyperlink" Target="https://aspak.kemkes.go.id/aplikasi/site/index" TargetMode="External" Id="rId496" /><Relationship Type="http://schemas.openxmlformats.org/officeDocument/2006/relationships/hyperlink" Target="https://www.google.com/search?q=Permendagri+No.+47+Tahun+2021&amp;sca_esv=b5455d2c67d11081&amp;sxsrf=ANbL-n6pLzJNj7A9WhrutozNYJWr6m2lMw%3A1773130504901&amp;ei=CNOvadzHNqvp4-EPhIj2mQo&amp;biw=1920&amp;bih=912&amp;ved=2ahUKEwil4_mM8pSTAxWcSnADHeVNOnUQgK4QegQIBRAJ&amp;uact=5&amp;oq=DASAR+HUKUM+simda+bmd+adalah&amp;gs_lp=Egxnd3Mtd2l6LXNlcnAiHERBU0FSIEhVS1VNIHNpbWRhIGJtZCBhZGFsYWgyCBAAGIAEGKIEMgUQABjvBTIIEAAYgAQYogQyBRAAGO8FSOQ9UMcIWMI4cAV4AZABAJgB-AGgAbMVqgEGMC4xMC42uAEDyAEA-AEBmAINoALLCcICChAAGLADGNYEGEfCAggQABiiBBiJBZgDAIgGAZAGCJIHBTUuNy4xoAfbQLIHBTAuNy4xuAemCcIHCDAuMS4xMS4xyAc7gAgA&amp;sclient=gws-wiz-serp&amp;mstk=AUtExfCaaCWeCr7fdG8bKr8fupvBsrUsITsK1-BlHOx0QxiJzuKyiT_mCbfRDH3i79MF9m1B3Rjk7TsG4qM-Au3K-w-H5An4MJCeLW9zQm8sWLQdpn-Vy9KcbEitOE4b0_w78zY7coF_IdRj3r0ZYosKZ8zT2rSt4M370KPK3Z3xhUgHmky0ibC91hNLZNRrHnrmzz5ZgKh3uc9KN6yChHqueLIVlfe6s_uI9uKQvV4xPxo6jKOWcdkNMaXH9HM4arC7L09NtGR6wlqaQbx7VJQ7BCua&amp;csui=3" TargetMode="External" Id="rId497" /><Relationship Type="http://schemas.openxmlformats.org/officeDocument/2006/relationships/hyperlink" Target="https://persediaanbmd.bandungkab.go.id/" TargetMode="External" Id="rId498" /><Relationship Type="http://schemas.openxmlformats.org/officeDocument/2006/relationships/hyperlink" Target="https://rkbmd.e-planningbmd.id/" TargetMode="External" Id="rId499" /><Relationship Type="http://schemas.openxmlformats.org/officeDocument/2006/relationships/hyperlink" Target="https://simasda.bandungkab.go.id/login" TargetMode="External" Id="rId500" /><Relationship Type="http://schemas.openxmlformats.org/officeDocument/2006/relationships/hyperlink" Target="https://www.google.co.id/search?q=Permenkes+No.+16+Tahun+2024&amp;sca_esv=103eda2c29df25d7&amp;sxsrf=ANbL-n78RvL8IMvudyVdXYlWmmzwhRGJwA%3A1773193384192&amp;ei=qMiwaaC3C6by4-EP77Gb4Ac&amp;biw=1754&amp;bih=872&amp;ved=2ahUKEwi3y7rH3JaTAxXMxjgGHYnNCicQgK4QegQIARAB&amp;uact=5&amp;oq=DASAR+HUKUM+SISRUTE+ADALAH&amp;gs_lp=Egxnd3Mtd2l6LXNlcnAiGkRBU0FSIEhVS1VNIFNJU1JVVEUgQURBTEFIMggQABiABBiiBDIFEAAY7wUyCBAAGIAEGKIESPgeUIsGWPIWcAF4AZABAJgB0AGgAfEIqgEFOC4zLjG4AQPIAQD4AQGYAgygAsQHwgIKEAAYsAMY1gQYR8ICDRAAGIAEGLADGEMYigXCAgcQIxiwAhgnwgIHEAAYgAQYDcICCBAAGAgYDRgewgIEECEYCpgDAIgGAZAGCpIHAzkuM6AHtS6yBwM4LjO4B8AHwgcFMC45LjPIBxyACAA&amp;sclient=gws-wiz-serp" TargetMode="External" Id="rId501" /><Relationship Type="http://schemas.openxmlformats.org/officeDocument/2006/relationships/hyperlink" Target="https://sisrute.kemkes.go.id/sisrute2/" TargetMode="External" Id="rId502" /><Relationship Type="http://schemas.openxmlformats.org/officeDocument/2006/relationships/hyperlink" Target="https://dmi.kemkes.go.id/dhis-web-commons/security/login.action" TargetMode="External" Id="rId503" /><Relationship Type="http://schemas.openxmlformats.org/officeDocument/2006/relationships/hyperlink" Target="https://skm.bandungkab.go.id/eskm/22978" TargetMode="External" Id="rId504" /><Relationship Type="http://schemas.openxmlformats.org/officeDocument/2006/relationships/hyperlink" Target="https://sipnap.kemkes.go.id/download/" TargetMode="External" Id="rId505" /><Relationship Type="http://schemas.openxmlformats.org/officeDocument/2006/relationships/hyperlink" Target="https://balis.bapeten.go.id/frontend2/public/panel/dashboard" TargetMode="External" Id="rId506" /><Relationship Type="http://schemas.openxmlformats.org/officeDocument/2006/relationships/hyperlink" Target="https://dkijabarbanten.sitb.id/sitb2024/app" TargetMode="External" Id="rId507" /><Relationship Type="http://schemas.openxmlformats.org/officeDocument/2006/relationships/hyperlink" Target="http://sipd.ri.id/" TargetMode="External" Id="rId508" /><Relationship Type="http://schemas.openxmlformats.org/officeDocument/2006/relationships/hyperlink" Target="https://e-meso.pom.go.id/ADR" TargetMode="External" Id="rId509" /><Relationship Type="http://schemas.openxmlformats.org/officeDocument/2006/relationships/hyperlink" Target="https://ee.kobotoolbox.org/x/YQp13dFa" TargetMode="External" Id="rId510" /><Relationship Type="http://schemas.openxmlformats.org/officeDocument/2006/relationships/hyperlink" Target="http://s.si/" TargetMode="External" Id="rId511" /><Relationship Type="http://schemas.openxmlformats.org/officeDocument/2006/relationships/hyperlink" Target="https://play.google.com/store/apps/details?id=com.smilemonitor" TargetMode="External" Id="rId512" /><Relationship Type="http://schemas.openxmlformats.org/officeDocument/2006/relationships/hyperlink" Target="https://simgajiweb.taspen.co.id/" TargetMode="External" Id="rId513" /><Relationship Type="http://schemas.openxmlformats.org/officeDocument/2006/relationships/hyperlink" Target="https://e-retribusi.bandungkab.go.id/" TargetMode="External" Id="rId514" /><Relationship Type="http://schemas.openxmlformats.org/officeDocument/2006/relationships/hyperlink" Target="https://sipd.kemendagri.go.id/" TargetMode="External" Id="rId515" /><Relationship Type="http://schemas.openxmlformats.org/officeDocument/2006/relationships/hyperlink" Target="https://sirup.inaproc.id/sirup/loginctr/index" TargetMode="External" Id="rId516" /><Relationship Type="http://schemas.openxmlformats.org/officeDocument/2006/relationships/hyperlink" Target="https://simaslahat.bandungkab.go.id/login" TargetMode="External" Id="rId517" /><Relationship Type="http://schemas.openxmlformats.org/officeDocument/2006/relationships/hyperlink" Target="https://e-sptpd.bandungkab.go.id/" TargetMode="External" Id="rId518" /><Relationship Type="http://schemas.openxmlformats.org/officeDocument/2006/relationships/hyperlink" Target="https://simasda.bandungkab.go.id/" TargetMode="External" Id="rId519" /><Relationship Type="http://schemas.openxmlformats.org/officeDocument/2006/relationships/hyperlink" Target="https://sisrute.kemkes.go.id/" TargetMode="External" Id="rId520" /><Relationship Type="http://schemas.openxmlformats.org/officeDocument/2006/relationships/hyperlink" Target="https://coretaxdjp.pajak.go.id/" TargetMode="External" Id="rId521" /><Relationship Type="http://schemas.openxmlformats.org/officeDocument/2006/relationships/hyperlink" Target="https://sirekonpajak.bandungkab.go.id/" TargetMode="External" Id="rId522" /><Relationship Type="http://schemas.openxmlformats.org/officeDocument/2006/relationships/hyperlink" Target="http://dkijabarbanten.sitb.id/" TargetMode="External" Id="rId523" /><Relationship Type="http://schemas.openxmlformats.org/officeDocument/2006/relationships/hyperlink" Target="http://simpelbkpsdm.bandungkab.go.id/" TargetMode="External" Id="rId524" /><Relationship Type="http://schemas.openxmlformats.org/officeDocument/2006/relationships/hyperlink" Target="http://sultan.banadungkab.go.id/" TargetMode="External" Id="rId525" /><Relationship Type="http://schemas.openxmlformats.org/officeDocument/2006/relationships/hyperlink" Target="http://sso.bandungkab.go.id/" TargetMode="External" Id="rId526" /><Relationship Type="http://schemas.openxmlformats.org/officeDocument/2006/relationships/hyperlink" Target="http://sisdmk.kemkes.go.id/" TargetMode="External" Id="rId527" /><Relationship Type="http://schemas.openxmlformats.org/officeDocument/2006/relationships/hyperlink" Target="http://sirs.kemkes.go.id/" TargetMode="External" Id="rId528" /><Relationship Type="http://schemas.openxmlformats.org/officeDocument/2006/relationships/hyperlink" Target="http://sirs.kemkes.go.id/" TargetMode="External" Id="rId529" /><Relationship Type="http://schemas.openxmlformats.org/officeDocument/2006/relationships/hyperlink" Target="https://e-lkpj.id/login" TargetMode="External" Id="rId530" /><Relationship Type="http://schemas.openxmlformats.org/officeDocument/2006/relationships/hyperlink" Target="https://sidalmonep.bandungkab.go.id/app" TargetMode="External" Id="rId531" /><Relationship Type="http://schemas.openxmlformats.org/officeDocument/2006/relationships/hyperlink" Target="https://skm.bandungkab.go.id/" TargetMode="External" Id="rId532" /><Relationship Type="http://schemas.openxmlformats.org/officeDocument/2006/relationships/hyperlink" Target="https://www.lapor.go.id/" TargetMode="External" Id="rId533" /><Relationship Type="http://schemas.openxmlformats.org/officeDocument/2006/relationships/hyperlink" Target="https://ppid.bandungkab.go.id/dashboard" TargetMode="External" Id="rId534" /><Relationship Type="http://schemas.openxmlformats.org/officeDocument/2006/relationships/hyperlink" Target="https://mutufasyankes.kemkes.go.id/" TargetMode="External" Id="rId535" /><Relationship Type="http://schemas.openxmlformats.org/officeDocument/2006/relationships/hyperlink" Target="https://hfis.bpjs-kesehatan.go.id/hfis/login?hfis" TargetMode="External" Id="rId536" /><Relationship Type="http://schemas.openxmlformats.org/officeDocument/2006/relationships/hyperlink" Target="https://aspak.kemkes.go.id/aplikasi/site/index" TargetMode="External" Id="rId537" /><Relationship Type="http://schemas.openxmlformats.org/officeDocument/2006/relationships/hyperlink" Target="http://sasikapevo.com/" TargetMode="External" Id="rId538" /><Relationship Type="http://schemas.openxmlformats.org/officeDocument/2006/relationships/hyperlink" Target="https://dhephl.bandungkab.go.id/" TargetMode="External" Id="rId539" /><Relationship Type="http://schemas.openxmlformats.org/officeDocument/2006/relationships/hyperlink" Target="https://mutufasyankes.kemkes.go.id/" TargetMode="External" Id="rId540" /><Relationship Type="http://schemas.openxmlformats.org/officeDocument/2006/relationships/hyperlink" Target="https://akun-yankes.kemkes.go.id/" TargetMode="External" Id="rId541" /><Relationship Type="http://schemas.openxmlformats.org/officeDocument/2006/relationships/hyperlink" Target="https://sisdmk.kemkes.go.id/satusehat/verifikasi_pekerja" TargetMode="External" Id="rId542"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543" /><Relationship Type="http://schemas.openxmlformats.org/officeDocument/2006/relationships/hyperlink" Target="https://drive.google.com/drive/u/1/folders/1BMJeHVe0f6zjx97q_TOFnGkZBTxNZTBd" TargetMode="External" Id="rId544" /><Relationship Type="http://schemas.openxmlformats.org/officeDocument/2006/relationships/hyperlink" Target="https://dashboard.kemkes.go.id/views/DashboardPemantauanAliranDataSATUSEHAT/Dashboard?%3Aembed=y&amp;%3AisGuestRedirectFromVizportal=y" TargetMode="External" Id="rId545" /><Relationship Type="http://schemas.openxmlformats.org/officeDocument/2006/relationships/hyperlink" Target="https://aspak.kemkes.go.id/aplikasi/infoboard" TargetMode="External" Id="rId546" /><Relationship Type="http://schemas.openxmlformats.org/officeDocument/2006/relationships/hyperlink" Target="https://aspak.kemkes.go.id/aplikasi/site/index" TargetMode="External" Id="rId547" /><Relationship Type="http://schemas.openxmlformats.org/officeDocument/2006/relationships/hyperlink" Target="https://www.google.com/search?q=Permendagri+No.+47+Tahun+2021&amp;sca_esv=b5455d2c67d11081&amp;sxsrf=ANbL-n6pLzJNj7A9WhrutozNYJWr6m2lMw%3A1773130504901&amp;ei=CNOvadzHNqvp4-EPhIj2mQo&amp;biw=1920&amp;bih=912&amp;ved=2ahUKEwil4_mM8pSTAxWcSnADHeVNOnUQgK4QegQIBRAJ&amp;uact=5&amp;oq=DASAR+HUKUM+simda+bmd+adalah&amp;gs_lp=Egxnd3Mtd2l6LXNlcnAiHERBU0FSIEhVS1VNIHNpbWRhIGJtZCBhZGFsYWgyCBAAGIAEGKIEMgUQABjvBTIIEAAYgAQYogQyBRAAGO8FSOQ9UMcIWMI4cAV4AZABAJgB-AGgAbMVqgEGMC4xMC42uAEDyAEA-AEBmAINoALLCcICChAAGLADGNYEGEfCAggQABiiBBiJBZgDAIgGAZAGCJIHBTUuNy4xoAfbQLIHBTAuNy4xuAemCcIHCDAuMS4xMS4xyAc7gAgA&amp;sclient=gws-wiz-serp&amp;mstk=AUtExfCaaCWeCr7fdG8bKr8fupvBsrUsITsK1-BlHOx0QxiJzuKyiT_mCbfRDH3i79MF9m1B3Rjk7TsG4qM-Au3K-w-H5An4MJCeLW9zQm8sWLQdpn-Vy9KcbEitOE4b0_w78zY7coF_IdRj3r0ZYosKZ8zT2rSt4M370KPK3Z3xhUgHmky0ibC91hNLZNRrHnrmzz5ZgKh3uc9KN6yChHqueLIVlfe6s_uI9uKQvV4xPxo6jKOWcdkNMaXH9HM4arC7L09NtGR6wlqaQbx7VJQ7BCua&amp;csui=3" TargetMode="External" Id="rId548" /><Relationship Type="http://schemas.openxmlformats.org/officeDocument/2006/relationships/hyperlink" Target="https://persediaanbmd.bandungkab.go.id/" TargetMode="External" Id="rId549" /><Relationship Type="http://schemas.openxmlformats.org/officeDocument/2006/relationships/hyperlink" Target="https://rkbmd.e-planningbmd.id/" TargetMode="External" Id="rId550" /><Relationship Type="http://schemas.openxmlformats.org/officeDocument/2006/relationships/hyperlink" Target="http://s.tr/" TargetMode="External" Id="rId551" /><Relationship Type="http://schemas.openxmlformats.org/officeDocument/2006/relationships/hyperlink" Target="https://skm.bandungkab.go.id/eskm/22978" TargetMode="External" Id="rId552" /><Relationship Type="http://schemas.openxmlformats.org/officeDocument/2006/relationships/hyperlink" Target="http://a.md/" TargetMode="External" Id="rId553" /><Relationship Type="http://schemas.openxmlformats.org/officeDocument/2006/relationships/hyperlink" Target="https://e-retribusi.bandungkab.go.id/site/login" TargetMode="External" Id="rId554" /><Relationship Type="http://schemas.openxmlformats.org/officeDocument/2006/relationships/hyperlink" Target="http://a.md/" TargetMode="External" Id="rId555" /><Relationship Type="http://schemas.openxmlformats.org/officeDocument/2006/relationships/hyperlink" Target="http://sipd.ri.id/" TargetMode="External" Id="rId556" /><Relationship Type="http://schemas.openxmlformats.org/officeDocument/2006/relationships/hyperlink" Target="http://s.tr/" TargetMode="External" Id="rId557" /><Relationship Type="http://schemas.openxmlformats.org/officeDocument/2006/relationships/hyperlink" Target="https://e-lkpj.id/login" TargetMode="External" Id="rId558" /><Relationship Type="http://schemas.openxmlformats.org/officeDocument/2006/relationships/hyperlink" Target="http://s.tr/" TargetMode="External" Id="rId559" /></Relationships>
</file>

<file path=xl/worksheets/_rels/sheet4.xml.rels><Relationships xmlns="http://schemas.openxmlformats.org/package/2006/relationships"><Relationship Type="http://schemas.openxmlformats.org/officeDocument/2006/relationships/hyperlink" Target="https://play.google.com/store/apps/details?id=com.diskominfo.radiokandagabedas&amp;pcampaignid=web_share" TargetMode="External" Id="rId1" /><Relationship Type="http://schemas.openxmlformats.org/officeDocument/2006/relationships/hyperlink" Target="https://bandungkab.go.id/" TargetMode="External" Id="rId2" /><Relationship Type="http://schemas.openxmlformats.org/officeDocument/2006/relationships/hyperlink" Target="https://smartcity.bandungkab.go.id/" TargetMode="External" Id="rId3" /><Relationship Type="http://schemas.openxmlformats.org/officeDocument/2006/relationships/hyperlink" Target="https://simaslahat.bandungkab.go.id/" TargetMode="External" Id="rId4" /><Relationship Type="http://schemas.openxmlformats.org/officeDocument/2006/relationships/hyperlink" Target="https://lapor.go.id/" TargetMode="External" Id="rId5" /><Relationship Type="http://schemas.openxmlformats.org/officeDocument/2006/relationships/hyperlink" Target="https://simasda.bandungkab.go.id/" TargetMode="External" Id="rId6" /><Relationship Type="http://schemas.openxmlformats.org/officeDocument/2006/relationships/hyperlink" Target="https://sirekonpajak.bandungkab.go.id/" TargetMode="External" Id="rId7" /><Relationship Type="http://schemas.openxmlformats.org/officeDocument/2006/relationships/hyperlink" Target="http://coretaxdjp.pajak.go.id/" TargetMode="External" Id="rId8" /><Relationship Type="http://schemas.openxmlformats.org/officeDocument/2006/relationships/hyperlink" Target="https://e-sptpd.bandungkab.go.id/" TargetMode="External" Id="rId9" /><Relationship Type="http://schemas.openxmlformats.org/officeDocument/2006/relationships/hyperlink" Target="http://sipd-ri.kemendagri.go.id/" TargetMode="External" Id="rId10" /><Relationship Type="http://schemas.openxmlformats.org/officeDocument/2006/relationships/hyperlink" Target="https://sultan.bandungkab.go.id/" TargetMode="External" Id="rId11" /><Relationship Type="http://schemas.openxmlformats.org/officeDocument/2006/relationships/hyperlink" Target="http://sshsbu.e-planningbmd.id/" TargetMode="External" Id="rId12" /><Relationship Type="http://schemas.openxmlformats.org/officeDocument/2006/relationships/hyperlink" Target="https://indah.bps.go.id/" TargetMode="External" Id="rId13" /><Relationship Type="http://schemas.openxmlformats.org/officeDocument/2006/relationships/hyperlink" Target="http://simwas.bandungkab.go.id/" TargetMode="External" Id="rId14" /><Relationship Type="http://schemas.openxmlformats.org/officeDocument/2006/relationships/hyperlink" Target="https://sidalmonep.bandungkab.go.id/" TargetMode="External" Id="rId15" /><Relationship Type="http://schemas.openxmlformats.org/officeDocument/2006/relationships/hyperlink" Target="https://simpelbkpsdm.bandungkab.go.id/" TargetMode="External" Id="rId16" /><Relationship Type="http://schemas.openxmlformats.org/officeDocument/2006/relationships/hyperlink" Target="http://siakang.bandungkab.go.id/" TargetMode="External" Id="rId17" /><Relationship Type="http://schemas.openxmlformats.org/officeDocument/2006/relationships/hyperlink" Target="http://m.tr/" TargetMode="External" Id="rId18" /><Relationship Type="http://schemas.openxmlformats.org/officeDocument/2006/relationships/hyperlink" Target="https://surabi.jabarprov.go.id/" TargetMode="External" Id="rId19" /><Relationship Type="http://schemas.openxmlformats.org/officeDocument/2006/relationships/hyperlink" Target="http://m.tr/" TargetMode="External" Id="rId20" /><Relationship Type="http://schemas.openxmlformats.org/officeDocument/2006/relationships/hyperlink" Target="https://skm.bandungkab.go.id/" TargetMode="External" Id="rId21" /><Relationship Type="http://schemas.openxmlformats.org/officeDocument/2006/relationships/hyperlink" Target="https://sitampan-insaba.web.app/" TargetMode="External" Id="rId22" /><Relationship Type="http://schemas.openxmlformats.org/officeDocument/2006/relationships/hyperlink" Target="http://m.tr/" TargetMode="External" Id="rId23" /><Relationship Type="http://schemas.openxmlformats.org/officeDocument/2006/relationships/hyperlink" Target="https://play.google.com/store/apps/details?id=com.diskominfo.siagan_bedas&amp;hl=id" TargetMode="External" Id="rId24" /><Relationship Type="http://schemas.openxmlformats.org/officeDocument/2006/relationships/hyperlink" Target="http://sinar.big.go.id/" TargetMode="External" Id="rId25" /><Relationship Type="http://schemas.openxmlformats.org/officeDocument/2006/relationships/hyperlink" Target="http://m.si/" TargetMode="External" Id="rId26" /><Relationship Type="http://schemas.openxmlformats.org/officeDocument/2006/relationships/hyperlink" Target="https://elppd.kemendagri.go.id/" TargetMode="External" Id="rId27" /><Relationship Type="http://schemas.openxmlformats.org/officeDocument/2006/relationships/hyperlink" Target="http://m.si/" TargetMode="External" Id="rId28" /><Relationship Type="http://schemas.openxmlformats.org/officeDocument/2006/relationships/hyperlink" Target="https://spm.bangda.kemendagri.go.id/" TargetMode="External" Id="rId29" /><Relationship Type="http://schemas.openxmlformats.org/officeDocument/2006/relationships/hyperlink" Target="http://m.si/" TargetMode="External" Id="rId30" /><Relationship Type="http://schemas.openxmlformats.org/officeDocument/2006/relationships/hyperlink" Target="https://ppid.bandungkab.go.id/" TargetMode="External" Id="rId31" /><Relationship Type="http://schemas.openxmlformats.org/officeDocument/2006/relationships/hyperlink" Target="https://sipphade.bandungkab.go.id/" TargetMode="External" Id="rId32" /><Relationship Type="http://schemas.openxmlformats.org/officeDocument/2006/relationships/hyperlink" Target="https://sipatuhbedas.bandungkab.go.id/" TargetMode="External" Id="rId33" /><Relationship Type="http://schemas.openxmlformats.org/officeDocument/2006/relationships/hyperlink" Target="http://kerjasama.bandungkab.go.id/" TargetMode="External" Id="rId34" /><Relationship Type="http://schemas.openxmlformats.org/officeDocument/2006/relationships/hyperlink" Target="https://sikp.kemenkeu.go.id/login" TargetMode="External" Id="rId35" /><Relationship Type="http://schemas.openxmlformats.org/officeDocument/2006/relationships/hyperlink" Target="https://sitpakd.ojk.go.id/Account/Login" TargetMode="External" Id="rId36" /><Relationship Type="http://schemas.openxmlformats.org/officeDocument/2006/relationships/hyperlink" Target="https://sikd.djpk.kemenkeu.go.id/lapordbh/" TargetMode="External" Id="rId37" /><Relationship Type="http://schemas.openxmlformats.org/officeDocument/2006/relationships/hyperlink" Target="https://tpin.id/login" TargetMode="External" Id="rId38" /><Relationship Type="http://schemas.openxmlformats.org/officeDocument/2006/relationships/hyperlink" Target="https://www.portalrb.id/" TargetMode="External" Id="rId39" /><Relationship Type="http://schemas.openxmlformats.org/officeDocument/2006/relationships/hyperlink" Target="https://bisakerja.bandungkab.go.id/login" TargetMode="External" Id="rId40" /><Relationship Type="http://schemas.openxmlformats.org/officeDocument/2006/relationships/hyperlink" Target="http://e-bumd.com/dashboard" TargetMode="External" Id="rId41" /><Relationship Type="http://schemas.openxmlformats.org/officeDocument/2006/relationships/hyperlink" Target="https://drive.google.com/drive/folders/1uT9c4NGjI41uZyGgKpyquckLoM2rSaQa?usp=sharing" TargetMode="External" Id="rId42" /><Relationship Type="http://schemas.openxmlformats.org/officeDocument/2006/relationships/hyperlink" Target="https://simbangun.bandungkab.go.id/" TargetMode="External" Id="rId43" /><Relationship Type="http://schemas.openxmlformats.org/officeDocument/2006/relationships/hyperlink" Target="https://e-lkpj.id/login" TargetMode="External" Id="rId44" /><Relationship Type="http://schemas.openxmlformats.org/officeDocument/2006/relationships/hyperlink" Target="https://drive.google.com/file/d/1bfEasna0yACDkjKfdw6Q1Zy2Ku88gtKx/view?usp=sharing" TargetMode="External" Id="rId45" /><Relationship Type="http://schemas.openxmlformats.org/officeDocument/2006/relationships/hyperlink" Target="https://spse.inaproc.id/bandungkab" TargetMode="External" Id="rId46" /><Relationship Type="http://schemas.openxmlformats.org/officeDocument/2006/relationships/hyperlink" Target="https://aplikasi.bandungkab.go.id/publik/dashboard-pendataan-profil-sppg-aktif-untuk-satgas-mbg" TargetMode="External" Id="rId47" /><Relationship Type="http://schemas.openxmlformats.org/officeDocument/2006/relationships/hyperlink" Target="http://ap.m.kp/" TargetMode="External" Id="rId48" /><Relationship Type="http://schemas.openxmlformats.org/officeDocument/2006/relationships/hyperlink" Target="https://www.appsheet.com/Account/Login?appName=DBHCHT%20App&amp;FullScope=False&amp;provider=google&amp;returnUrl=https%3A%2F%2Fwww.appsheet.com%2Fstart%2F93891b63-df85-4aa1-a7bf-d007dfa96cf8%3Fplatform%3Ddesktop" TargetMode="External" Id="rId49" /><Relationship Type="http://schemas.openxmlformats.org/officeDocument/2006/relationships/hyperlink" Target="http://ap.m.kp/" TargetMode="External" Id="rId50" /><Relationship Type="http://schemas.openxmlformats.org/officeDocument/2006/relationships/hyperlink" Target="https://drive.google.com/file/d/1Xev2F7vScZDTlBaqHqPh8lzFUMNB_y8a/view?usp=sharing" TargetMode="External" Id="rId51" /><Relationship Type="http://schemas.openxmlformats.org/officeDocument/2006/relationships/hyperlink" Target="https://jdihdprd.bandungkab.go.id/" TargetMode="External" Id="rId52" /><Relationship Type="http://schemas.openxmlformats.org/officeDocument/2006/relationships/hyperlink" Target="https://aplikasi.bandungkab.go.id/publik/dashboard-kunjungan-dprd-kab-bandung" TargetMode="External" Id="rId53" /><Relationship Type="http://schemas.openxmlformats.org/officeDocument/2006/relationships/hyperlink" Target="https://drive.google.com/file/d/1YdxVCrqCKB2IhPmEjmI3enR0CnpLLtYZ/view?usp=sharing" TargetMode="External" Id="rId54" /><Relationship Type="http://schemas.openxmlformats.org/officeDocument/2006/relationships/hyperlink" Target="https://simprodas.bandungkab.go.id/" TargetMode="External" Id="rId55" /><Relationship Type="http://schemas.openxmlformats.org/officeDocument/2006/relationships/hyperlink" Target="https://drive.google.com/file/d/1hfZl5u33jLRHizH-t5QZsOhlwNoiUSfh/view?usp=sharing" TargetMode="External" Id="rId56" /><Relationship Type="http://schemas.openxmlformats.org/officeDocument/2006/relationships/hyperlink" Target="http://calendly.com/" TargetMode="External" Id="rId57" /><Relationship Type="http://schemas.openxmlformats.org/officeDocument/2006/relationships/hyperlink" Target="https://calendly.com/inspekkabbdg/santai-saranatanyaapipinteraktif" TargetMode="External" Id="rId58" /><Relationship Type="http://schemas.openxmlformats.org/officeDocument/2006/relationships/hyperlink" Target="http://simpeldisdik.bandungkab.go.id/Sukizah" TargetMode="External" Id="rId59" /><Relationship Type="http://schemas.openxmlformats.org/officeDocument/2006/relationships/hyperlink" Target="https://dapo.kemendikdasmen.go.id/" TargetMode="External" Id="rId60" /><Relationship Type="http://schemas.openxmlformats.org/officeDocument/2006/relationships/hyperlink" Target="http://simpeldisdik.bandungkab.go.id/MultisiteEdu" TargetMode="External" Id="rId61" /><Relationship Type="http://schemas.openxmlformats.org/officeDocument/2006/relationships/hyperlink" Target="https://spmb.bandungkab.go.id/" TargetMode="External" Id="rId62" /><Relationship Type="http://schemas.openxmlformats.org/officeDocument/2006/relationships/hyperlink" Target="http://psc.kemkes.go.id/" TargetMode="External" Id="rId63" /><Relationship Type="http://schemas.openxmlformats.org/officeDocument/2006/relationships/hyperlink" Target="http://skdr.kemkes.go.id/" TargetMode="External" Id="rId64" /><Relationship Type="http://schemas.openxmlformats.org/officeDocument/2006/relationships/hyperlink" Target="https://surveilans-pptm.kemkes.go.id/" TargetMode="External" Id="rId65" /><Relationship Type="http://schemas.openxmlformats.org/officeDocument/2006/relationships/hyperlink" Target="https://sehatindonesiaku.kemkes.go.id/auth/login" TargetMode="External" Id="rId66" /><Relationship Type="http://schemas.openxmlformats.org/officeDocument/2006/relationships/hyperlink" Target="http://sipnap.kemkes.go.id/" TargetMode="External" Id="rId67" /><Relationship Type="http://schemas.openxmlformats.org/officeDocument/2006/relationships/hyperlink" Target="https://sitb.kemkes.go.id/" TargetMode="External" Id="rId68" /><Relationship Type="http://schemas.openxmlformats.org/officeDocument/2006/relationships/hyperlink" Target="http://sismal.kemkes.go.id/" TargetMode="External" Id="rId69" /><Relationship Type="http://schemas.openxmlformats.org/officeDocument/2006/relationships/hyperlink" Target="http://silantor.kemkes.go.id/" TargetMode="External" Id="rId70" /><Relationship Type="http://schemas.openxmlformats.org/officeDocument/2006/relationships/hyperlink" Target="https://sihapims2.kemkes.go.id/login" TargetMode="External" Id="rId71" /><Relationship Type="http://schemas.openxmlformats.org/officeDocument/2006/relationships/hyperlink" Target="https://smile.kemkes.go.id/" TargetMode="External" Id="rId72" /><Relationship Type="http://schemas.openxmlformats.org/officeDocument/2006/relationships/hyperlink" Target="https://sijalak-kab-bandung.com/" TargetMode="External" Id="rId73" /><Relationship Type="http://schemas.openxmlformats.org/officeDocument/2006/relationships/hyperlink" Target="https://drive.google.com/drive/folders/187_7CPT7sxhjamsZJOlN2T4qhrxFpoWq?hl=id" TargetMode="External" Id="rId74" /><Relationship Type="http://schemas.openxmlformats.org/officeDocument/2006/relationships/hyperlink" Target="https://sibedaspbg.bandungkab.go.id/" TargetMode="External" Id="rId75" /><Relationship Type="http://schemas.openxmlformats.org/officeDocument/2006/relationships/hyperlink" Target="https://drive.google.com/drive/folders/1zpVBSJQx0K3N4_wyw8qZeOJVWGrdlDAe?hl=ID" TargetMode="External" Id="rId76" /><Relationship Type="http://schemas.openxmlformats.org/officeDocument/2006/relationships/hyperlink" Target="http://linktr.ee/PENGADUAN_DPUTR_KABBDG" TargetMode="External" Id="rId77" /><Relationship Type="http://schemas.openxmlformats.org/officeDocument/2006/relationships/hyperlink" Target="https://sites.google.com/view/aplikasi-sipedas-drainase/home" TargetMode="External" Id="rId78" /><Relationship Type="http://schemas.openxmlformats.org/officeDocument/2006/relationships/hyperlink" Target="https://drive.google.com/drive/folders/1foPXyzm-sQ7KaSp-qTysnVqAWt_Dif53?hl=id" TargetMode="External" Id="rId79" /><Relationship Type="http://schemas.openxmlformats.org/officeDocument/2006/relationships/hyperlink" Target="https://sijaga.kabbdg.com/" TargetMode="External" Id="rId80" /><Relationship Type="http://schemas.openxmlformats.org/officeDocument/2006/relationships/hyperlink" Target="https://drive.google.com/drive/folders/1sHKD9PH8GG_yqtIurnieYvG1qyHCbekF?hl=id" TargetMode="External" Id="rId81" /><Relationship Type="http://schemas.openxmlformats.org/officeDocument/2006/relationships/hyperlink" Target="https://sibedasjakon.bandungkab.go.id/" TargetMode="External" Id="rId82" /><Relationship Type="http://schemas.openxmlformats.org/officeDocument/2006/relationships/hyperlink" Target="https://linktr.ee/SIBEDASOK" TargetMode="External" Id="rId83" /><Relationship Type="http://schemas.openxmlformats.org/officeDocument/2006/relationships/hyperlink" Target="https://drive.google.com/file/d/1kvVSSjFHbdSKP4vPWzb0wDWs5x8kMCbU/view?usp=sharing" TargetMode="External" Id="rId84" /><Relationship Type="http://schemas.openxmlformats.org/officeDocument/2006/relationships/hyperlink" Target="https://aplikasi.bandungkab.com/publik/landing-page-aplikasi-sipikat" TargetMode="External" Id="rId85" /><Relationship Type="http://schemas.openxmlformats.org/officeDocument/2006/relationships/hyperlink" Target="https://drive.google.com/file/d/1Ramy4vxff2nlZwmQYryTo4j9HIjXgRt2/view?usp=sharing" TargetMode="External" Id="rId86" /><Relationship Type="http://schemas.openxmlformats.org/officeDocument/2006/relationships/hyperlink" Target="https://dibedasken.bandungkab.go.id/" TargetMode="External" Id="rId87" /><Relationship Type="http://schemas.openxmlformats.org/officeDocument/2006/relationships/hyperlink" Target="https://drive.google.com/drive/folders/1Uinu-ZgkI_8xZeYLw7yaEW1HRhG7prDv?usp=drive_link" TargetMode="External" Id="rId88" /><Relationship Type="http://schemas.openxmlformats.org/officeDocument/2006/relationships/hyperlink" Target="http://siapkerja.kemnaker.go.id/" TargetMode="External" Id="rId89" /><Relationship Type="http://schemas.openxmlformats.org/officeDocument/2006/relationships/hyperlink" Target="https://dashnaker.bandungkab.go.id/login" TargetMode="External" Id="rId90" /><Relationship Type="http://schemas.openxmlformats.org/officeDocument/2006/relationships/hyperlink" Target="https://dashnaker.bandungkab.go.id/login" TargetMode="External" Id="rId91" /><Relationship Type="http://schemas.openxmlformats.org/officeDocument/2006/relationships/hyperlink" Target="http://siapkerja.kemnaker.go.id/" TargetMode="External" Id="rId92" /><Relationship Type="http://schemas.openxmlformats.org/officeDocument/2006/relationships/hyperlink" Target="http://sibarduktrans.transmigrasi.go.id/" TargetMode="External" Id="rId93" /><Relationship Type="http://schemas.openxmlformats.org/officeDocument/2006/relationships/hyperlink" Target="https://drive.google.com/file/d/13kiJLOSVRFOj2CqIpMMxJSxRVwkT4VuN/view?usp=drive_link" TargetMode="External" Id="rId94" /><Relationship Type="http://schemas.openxmlformats.org/officeDocument/2006/relationships/hyperlink" Target="https://dp2kbp3a.bandungkab.go.id/ppa/" TargetMode="External" Id="rId95" /><Relationship Type="http://schemas.openxmlformats.org/officeDocument/2006/relationships/hyperlink" Target="https://drive.google.com/file/d/1qhJbKAh0RXizTZVD-lHLPJTl4ZBGbOzZ/view?usp=sharing" TargetMode="External" Id="rId96" /><Relationship Type="http://schemas.openxmlformats.org/officeDocument/2006/relationships/hyperlink" Target="https://dp2kbp3a.bandungkab.go.id/pprg/" TargetMode="External" Id="rId97" /><Relationship Type="http://schemas.openxmlformats.org/officeDocument/2006/relationships/hyperlink" Target="https://siga.bkkbn.go.id/" TargetMode="External" Id="rId98" /><Relationship Type="http://schemas.openxmlformats.org/officeDocument/2006/relationships/hyperlink" Target="https://drive.google.com/file/d/16ULKF-_fc7--75zz-4n8WtETaChfDzBD/view?usp=sharing" TargetMode="External" Id="rId99" /><Relationship Type="http://schemas.openxmlformats.org/officeDocument/2006/relationships/hyperlink" Target="https://dp2kbp3a.bandungkab.go.id/sappana/" TargetMode="External" Id="rId100" /><Relationship Type="http://schemas.openxmlformats.org/officeDocument/2006/relationships/hyperlink" Target="https://docs.google.com/spreadsheets/d/1f2FpxtXLWyTMlao3H1cM7ZWvZY62FNOP/edit?usp=drivesdk&amp;ouid=101319060553117315214&amp;rtpof=true&amp;sd=true" TargetMode="External" Id="rId101" /><Relationship Type="http://schemas.openxmlformats.org/officeDocument/2006/relationships/hyperlink" Target="https://simfonippa.kemenpppa.go.id/" TargetMode="External" Id="rId102" /><Relationship Type="http://schemas.openxmlformats.org/officeDocument/2006/relationships/hyperlink" Target="https://dp2kbp3a.bandungkab.go.id/apps/perlindungan-anak/" TargetMode="External" Id="rId103" /><Relationship Type="http://schemas.openxmlformats.org/officeDocument/2006/relationships/hyperlink" Target="http://amdalnet.kemenlh.go.id/" TargetMode="External" Id="rId104" /><Relationship Type="http://schemas.openxmlformats.org/officeDocument/2006/relationships/hyperlink" Target="https://sampahkita.jabarprov.go.id/" TargetMode="External" Id="rId105" /><Relationship Type="http://schemas.openxmlformats.org/officeDocument/2006/relationships/hyperlink" Target="https://sipsn.kemenlh.go.id/sipsn/" TargetMode="External" Id="rId106" /><Relationship Type="http://schemas.openxmlformats.org/officeDocument/2006/relationships/hyperlink" Target="https://gepak.bandungkab.go.id/" TargetMode="External" Id="rId107" /><Relationship Type="http://schemas.openxmlformats.org/officeDocument/2006/relationships/hyperlink" Target="http://kehati.bandungkab.go.id/" TargetMode="External" Id="rId108" /><Relationship Type="http://schemas.openxmlformats.org/officeDocument/2006/relationships/hyperlink" Target="https://drive.google.com/file/d/1RechF7D6NXptgUFxXmNTXXBTU0KQ0Gcm/view?usp=sharing" TargetMode="External" Id="rId109" /><Relationship Type="http://schemas.openxmlformats.org/officeDocument/2006/relationships/hyperlink" Target="https://bds.bandungkab.go.id/" TargetMode="External" Id="rId110" /><Relationship Type="http://schemas.openxmlformats.org/officeDocument/2006/relationships/hyperlink" Target="https://bds.bandungkab.go.id/" TargetMode="External" Id="rId111" /><Relationship Type="http://schemas.openxmlformats.org/officeDocument/2006/relationships/hyperlink" Target="https://drive.google.com/file/d/1RechF7D6NXptgUFxXmNTXXBTU0KQ0Gcm/view?usp=sharing" TargetMode="External" Id="rId112" /><Relationship Type="http://schemas.openxmlformats.org/officeDocument/2006/relationships/hyperlink" Target="http://lampid.bandungkab.go.id/" TargetMode="External" Id="rId113" /><Relationship Type="http://schemas.openxmlformats.org/officeDocument/2006/relationships/hyperlink" Target="http://siskeudes.bandungkab.go.id:8080/guacamole/" TargetMode="External" Id="rId114" /><Relationship Type="http://schemas.openxmlformats.org/officeDocument/2006/relationships/hyperlink" Target="https://spanint.kemenkeu.go.id/tkd/" TargetMode="External" Id="rId115" /><Relationship Type="http://schemas.openxmlformats.org/officeDocument/2006/relationships/hyperlink" Target="https://prodeskel.binapemdes.kemendagri.go.id/mpublik/" TargetMode="External" Id="rId116" /><Relationship Type="http://schemas.openxmlformats.org/officeDocument/2006/relationships/hyperlink" Target="https://epdeskel.binapemdes.kemendagri.go.id/app_Login/" TargetMode="External" Id="rId117" /><Relationship Type="http://schemas.openxmlformats.org/officeDocument/2006/relationships/hyperlink" Target="https://drive.google.com/file/d/1CvHE6emS2UxjsAt6IC87kgxEb19CuE3k/view?usp=sharing" TargetMode="External" Id="rId118" /><Relationship Type="http://schemas.openxmlformats.org/officeDocument/2006/relationships/hyperlink" Target="http://sipades.id/" TargetMode="External" Id="rId119" /><Relationship Type="http://schemas.openxmlformats.org/officeDocument/2006/relationships/hyperlink" Target="https://drive.google.com/file/d/1YdbXWdCS28ppql72phZoI1RvIMqiXeuL/view?usp=sharing" TargetMode="External" Id="rId120" /><Relationship Type="http://schemas.openxmlformats.org/officeDocument/2006/relationships/hyperlink" Target="http://s.id/sipandubedas" TargetMode="External" Id="rId121" /><Relationship Type="http://schemas.openxmlformats.org/officeDocument/2006/relationships/hyperlink" Target="https://drive.google.com/file/d/15CRvlXeoq6lRDTUnunhCxVgWmxrUKQsz/view?usp=drive_link" TargetMode="External" Id="rId122" /><Relationship Type="http://schemas.openxmlformats.org/officeDocument/2006/relationships/hyperlink" Target="https://sipakades.bandungkab.go.id/" TargetMode="External" Id="rId123" /><Relationship Type="http://schemas.openxmlformats.org/officeDocument/2006/relationships/hyperlink" Target="https://drive.google.com/file/d/1r3y4yoWaoByjuAovOlwVhpYcdVHWYZlA/view?usp=drive_link" TargetMode="External" Id="rId124" /><Relationship Type="http://schemas.openxmlformats.org/officeDocument/2006/relationships/hyperlink" Target="https://oss.go.id/" TargetMode="External" Id="rId125" /><Relationship Type="http://schemas.openxmlformats.org/officeDocument/2006/relationships/hyperlink" Target="https://dpmptsp.bandungkab.go.id/" TargetMode="External" Id="rId126" /><Relationship Type="http://schemas.openxmlformats.org/officeDocument/2006/relationships/hyperlink" Target="https://simbg.pu.go.id/" TargetMode="External" Id="rId127" /><Relationship Type="http://schemas.openxmlformats.org/officeDocument/2006/relationships/hyperlink" Target="https://next-gen.mppdigital.go.id/" TargetMode="External" Id="rId128" /><Relationship Type="http://schemas.openxmlformats.org/officeDocument/2006/relationships/hyperlink" Target="https://perizinan.bandungkab.go.id/sirsak" TargetMode="External" Id="rId129" /><Relationship Type="http://schemas.openxmlformats.org/officeDocument/2006/relationships/hyperlink" Target="https://perizinan.bandungkab.go.id/layanan-kami/booking-antrian-imigrasi" TargetMode="External" Id="rId130" /><Relationship Type="http://schemas.openxmlformats.org/officeDocument/2006/relationships/hyperlink" Target="https://sidora.bandungkab.go.id/" TargetMode="External" Id="rId131" /><Relationship Type="http://schemas.openxmlformats.org/officeDocument/2006/relationships/hyperlink" Target="https://sidopabandungkab.com/" TargetMode="External" Id="rId132" /><Relationship Type="http://schemas.openxmlformats.org/officeDocument/2006/relationships/hyperlink" Target="http://disporabandungkab.go.id/" TargetMode="External" Id="rId133" /><Relationship Type="http://schemas.openxmlformats.org/officeDocument/2006/relationships/hyperlink" Target="https://drive.google.com/file/d/1CK9sB-VkjtVcnm48SmIytt7EAWrjRZba/view?usp=sharing" TargetMode="External" Id="rId134" /><Relationship Type="http://schemas.openxmlformats.org/officeDocument/2006/relationships/hyperlink" Target="https://drive.google.com/file/d/1vLXgaLLExt7rvce6hrGocDTPsLUu-FsF/view?usp=sharing" TargetMode="External" Id="rId135" /><Relationship Type="http://schemas.openxmlformats.org/officeDocument/2006/relationships/hyperlink" Target="https://sibapokting.bandungkab.go.id/" TargetMode="External" Id="rId136" /><Relationship Type="http://schemas.openxmlformats.org/officeDocument/2006/relationships/hyperlink" Target="https://drive.google.com/file/d/1fOeX8KkbMK8HjuZBVx1smAWDYvK1BcY0/view?usp=sharing" TargetMode="External" Id="rId137" /><Relationship Type="http://schemas.openxmlformats.org/officeDocument/2006/relationships/hyperlink" Target="http://ska.kemendag.go.id/" TargetMode="External" Id="rId138" /><Relationship Type="http://schemas.openxmlformats.org/officeDocument/2006/relationships/hyperlink" Target="https://docs.google.com/spreadsheets/d/1NiELcMU9JfJbhN_p55g9GXz1ikm9vn_e/edit?usp=sharing&amp;ouid=104014308201848363295&amp;rtpof=true&amp;sd=true" TargetMode="External" Id="rId139" /><Relationship Type="http://schemas.openxmlformats.org/officeDocument/2006/relationships/hyperlink" Target="http://bit.ly/PendaftaranTTU2025" TargetMode="External" Id="rId140" /><Relationship Type="http://schemas.openxmlformats.org/officeDocument/2006/relationships/hyperlink" Target="http://s.si/" TargetMode="External" Id="rId141" /><Relationship Type="http://schemas.openxmlformats.org/officeDocument/2006/relationships/hyperlink" Target="https://drive.google.com/file/d/1XoILvOYKxCz7AwSFhTvSOHZMa9o7Qg5k/view?usp=sharing" TargetMode="External" Id="rId142" /><Relationship Type="http://schemas.openxmlformats.org/officeDocument/2006/relationships/hyperlink" Target="https://siinas.kemenperin.go.id/" TargetMode="External" Id="rId143" /><Relationship Type="http://schemas.openxmlformats.org/officeDocument/2006/relationships/hyperlink" Target="https://drive.google.com/drive/folders/1uBDqq46euBu9YwCqq9Y65-eJFbijFff9?usp=sharing" TargetMode="External" Id="rId144" /><Relationship Type="http://schemas.openxmlformats.org/officeDocument/2006/relationships/hyperlink" Target="https://sipintaronline.bandungkab.go.id/login" TargetMode="External" Id="rId145" /><Relationship Type="http://schemas.openxmlformats.org/officeDocument/2006/relationships/hyperlink" Target="https://trafficintelligence.mkpmobile.com/signin" TargetMode="External" Id="rId146" /><Relationship Type="http://schemas.openxmlformats.org/officeDocument/2006/relationships/hyperlink" Target="https://sppirt.pom.go.id/" TargetMode="External" Id="rId147" /><Relationship Type="http://schemas.openxmlformats.org/officeDocument/2006/relationships/hyperlink" Target="https://www.dgip.go.id/" TargetMode="External" Id="rId148" /><Relationship Type="http://schemas.openxmlformats.org/officeDocument/2006/relationships/hyperlink" Target="https://drive.google.com/drive/folders/1Hv-aabWH6SdQnijaKN6NudJLF6wJW0IY?usp=sharing" TargetMode="External" Id="rId149" /><Relationship Type="http://schemas.openxmlformats.org/officeDocument/2006/relationships/hyperlink" Target="https://drive.google.com/drive/folders/1mWuAv3LPGoimB6VqNXibmdR3ON58gIXk?usp=sharing" TargetMode="External" Id="rId150" /><Relationship Type="http://schemas.openxmlformats.org/officeDocument/2006/relationships/hyperlink" Target="https://bit.ly/e-Form_KlinikKemasan" TargetMode="External" Id="rId151" /><Relationship Type="http://schemas.openxmlformats.org/officeDocument/2006/relationships/hyperlink" Target="https://docs.google.com/document/d/1c-7PUNKaiuUiy_admWwX1iClC1w9eJRB/edit?usp=sharing&amp;ouid=112536090230720318461&amp;rtpof=true&amp;sd=true" TargetMode="External" Id="rId152" /><Relationship Type="http://schemas.openxmlformats.org/officeDocument/2006/relationships/hyperlink" Target="https://anterin.bandungkab.go.id/" TargetMode="External" Id="rId153" /><Relationship Type="http://schemas.openxmlformats.org/officeDocument/2006/relationships/hyperlink" Target="https://docs.google.com/document/d/1c-7PUNKaiuUiy_admWwX1iClC1w9eJRB/edit?usp=sharing&amp;ouid=112536090230720318461&amp;rtpof=true&amp;sd=true" TargetMode="External" Id="rId154" /><Relationship Type="http://schemas.openxmlformats.org/officeDocument/2006/relationships/hyperlink" Target="https://isikhnas.pertanian.go.id/" TargetMode="External" Id="rId155" /><Relationship Type="http://schemas.openxmlformats.org/officeDocument/2006/relationships/hyperlink" Target="https://docs.google.com/spreadsheets/d/1c7RrRajyzrp7pLX7n6Z-t8K0gRXiw69i/edit?usp=sharing&amp;ouid=112536090230720318461&amp;rtpof=true&amp;sd=true" TargetMode="External" Id="rId156" /><Relationship Type="http://schemas.openxmlformats.org/officeDocument/2006/relationships/hyperlink" Target="http://sifortuna.tanamanpangan.pertanian.go.id/" TargetMode="External" Id="rId157" /><Relationship Type="http://schemas.openxmlformats.org/officeDocument/2006/relationships/hyperlink" Target="http://tanginas.web.id/" TargetMode="External" Id="rId158" /><Relationship Type="http://schemas.openxmlformats.org/officeDocument/2006/relationships/hyperlink" Target="https://docs.google.com/spreadsheets/d/1cLC7YoJU_Mkyr5eJTL-fHfA0D-sQukvz/edit?usp=sharing&amp;ouid=112536090230720318461&amp;rtpof=true&amp;sd=true" TargetMode="External" Id="rId159" /><Relationship Type="http://schemas.openxmlformats.org/officeDocument/2006/relationships/hyperlink" Target="https://erdkk25.pertanian.go.id/" TargetMode="External" Id="rId160" /><Relationship Type="http://schemas.openxmlformats.org/officeDocument/2006/relationships/hyperlink" Target="https://docs.google.com/spreadsheets/d/1cLZrBaEOapwKOQE9usRXCTW93SFEy7Xj/edit?usp=sharing&amp;ouid=112536090230720318461&amp;rtpof=true&amp;sd=true" TargetMode="External" Id="rId161" /><Relationship Type="http://schemas.openxmlformats.org/officeDocument/2006/relationships/hyperlink" Target="https://simluh.pertanian.go.id/" TargetMode="External" Id="rId162" /><Relationship Type="http://schemas.openxmlformats.org/officeDocument/2006/relationships/hyperlink" Target="https://drive.google.com/drive/folders/1b_wlUHQifUNUdZcrhKipNlD0R6COD8yt?usp=sharing" TargetMode="External" Id="rId163" /><Relationship Type="http://schemas.openxmlformats.org/officeDocument/2006/relationships/hyperlink" Target="http://sipolan.bandungkab.go.id/" TargetMode="External" Id="rId164" /><Relationship Type="http://schemas.openxmlformats.org/officeDocument/2006/relationships/hyperlink" Target="https://drive.google.com/file/d/1u61izoWwYbUe6cGBAMpMmUf3-x1vtXk9/view?usp=drive_link" TargetMode="External" Id="rId165" /><Relationship Type="http://schemas.openxmlformats.org/officeDocument/2006/relationships/hyperlink" Target="https://sikandung.bandungkab.go.id/" TargetMode="External" Id="rId166" /><Relationship Type="http://schemas.openxmlformats.org/officeDocument/2006/relationships/hyperlink" Target="https://drive.google.com/file/d/182s0vzlBXufYR4iNRbV-7MhRItTVludu/view?usp=drive_link" TargetMode="External" Id="rId167" /><Relationship Type="http://schemas.openxmlformats.org/officeDocument/2006/relationships/hyperlink" Target="https://dispakan.bandungkab.go.id/video/" TargetMode="External" Id="rId168" /><Relationship Type="http://schemas.openxmlformats.org/officeDocument/2006/relationships/hyperlink" Target="https://drive.google.com/file/d/1u61izoWwYbUe6cGBAMpMmUf3-x1vtXk9/view?usp=drive_link" TargetMode="External" Id="rId169" /><Relationship Type="http://schemas.openxmlformats.org/officeDocument/2006/relationships/hyperlink" Target="https://sip.bandungkab.go.id/portal/topic/fsva" TargetMode="External" Id="rId170" /><Relationship Type="http://schemas.openxmlformats.org/officeDocument/2006/relationships/hyperlink" Target="https://parbuddalamangka.jabarprov.go.id/" TargetMode="External" Id="rId171" /><Relationship Type="http://schemas.openxmlformats.org/officeDocument/2006/relationships/hyperlink" Target="https://sibangkitukm.bandungkab.go.id/" TargetMode="External" Id="rId172" /><Relationship Type="http://schemas.openxmlformats.org/officeDocument/2006/relationships/hyperlink" Target="http://m.si/" TargetMode="External" Id="rId173" /><Relationship Type="http://schemas.openxmlformats.org/officeDocument/2006/relationships/hyperlink" Target="https://sikoperbedas.bandungkab.go.id/" TargetMode="External" Id="rId174" /><Relationship Type="http://schemas.openxmlformats.org/officeDocument/2006/relationships/hyperlink" Target="https://usahamikro.bandungkab.go.id/" TargetMode="External" Id="rId175" /><Relationship Type="http://schemas.openxmlformats.org/officeDocument/2006/relationships/hyperlink" Target="http://m.si/" TargetMode="External" Id="rId176" /><Relationship Type="http://schemas.openxmlformats.org/officeDocument/2006/relationships/hyperlink" Target="https://drive.google.com/file/d/1xLGvVqyQdJTXp_gTo9XoOeAPrmSfoy_q/view?usp=sharing" TargetMode="External" Id="rId177" /><Relationship Type="http://schemas.openxmlformats.org/officeDocument/2006/relationships/hyperlink" Target="https://ibandungkab.moco.co.id/" TargetMode="External" Id="rId178" /><Relationship Type="http://schemas.openxmlformats.org/officeDocument/2006/relationships/hyperlink" Target="http://a.ma/" TargetMode="External" Id="rId179" /><Relationship Type="http://schemas.openxmlformats.org/officeDocument/2006/relationships/hyperlink" Target="https://drive.google.com/file/d/1FL4agfMs9a3tAmDlzxiGL6UA1alZs_Er/view?usp=sharing" TargetMode="External" Id="rId180" /><Relationship Type="http://schemas.openxmlformats.org/officeDocument/2006/relationships/hyperlink" Target="https://perpus.bandungkab.go.id/pendaftaran" TargetMode="External" Id="rId181" /><Relationship Type="http://schemas.openxmlformats.org/officeDocument/2006/relationships/hyperlink" Target="http://sikn.anri.go.id/" TargetMode="External" Id="rId182" /><Relationship Type="http://schemas.openxmlformats.org/officeDocument/2006/relationships/hyperlink" Target="http://srikandi.arsip.go.id/" TargetMode="External" Id="rId183" /><Relationship Type="http://schemas.openxmlformats.org/officeDocument/2006/relationships/hyperlink" Target="https://ipusnas2.perpusnas.go.id/login" TargetMode="External" Id="rId184" /><Relationship Type="http://schemas.openxmlformats.org/officeDocument/2006/relationships/hyperlink" Target="https://drive.google.com/drive/folders/1Ejl6GsPadSWWZ-gXvbwNU62zsG4t_RcK?usp=drive_link" TargetMode="External" Id="rId185" /><Relationship Type="http://schemas.openxmlformats.org/officeDocument/2006/relationships/hyperlink" Target="https://apar.bandungkab.go.id/" TargetMode="External" Id="rId186" /><Relationship Type="http://schemas.openxmlformats.org/officeDocument/2006/relationships/hyperlink" Target="https://drive.google.com/drive/folders/1Ejl6GsPadSWWZ-gXvbwNU62zsG4t_RcK?usp=drive_link" TargetMode="External" Id="rId187" /><Relationship Type="http://schemas.openxmlformats.org/officeDocument/2006/relationships/hyperlink" Target="https://bit.ly/3J7M46m?r=qr" TargetMode="External" Id="rId188" /><Relationship Type="http://schemas.openxmlformats.org/officeDocument/2006/relationships/hyperlink" Target="https://drive.google.com/drive/folders/1Ejl6GsPadSWWZ-gXvbwNU62zsG4t_RcK?usp=drive_link" TargetMode="External" Id="rId189" /><Relationship Type="http://schemas.openxmlformats.org/officeDocument/2006/relationships/hyperlink" Target="https://bit.ly/4maEzdy?r=qr" TargetMode="External" Id="rId190" /><Relationship Type="http://schemas.openxmlformats.org/officeDocument/2006/relationships/hyperlink" Target="https://drive.google.com/drive/folders/1Ejl6GsPadSWWZ-gXvbwNU62zsG4t_RcK?usp=drive_link" TargetMode="External" Id="rId191" /><Relationship Type="http://schemas.openxmlformats.org/officeDocument/2006/relationships/hyperlink" Target="https://drive.google.com/drive/folders/1Ejl6GsPadSWWZ-gXvbwNU62zsG4t_RcK?usp=drive_link" TargetMode="External" Id="rId192" /><Relationship Type="http://schemas.openxmlformats.org/officeDocument/2006/relationships/hyperlink" Target="https://drive.google.com/drive/folders/1Ejl6GsPadSWWZ-gXvbwNU62zsG4t_RcK?usp=drive_link" TargetMode="External" Id="rId193" /><Relationship Type="http://schemas.openxmlformats.org/officeDocument/2006/relationships/hyperlink" Target="https://drive.google.com/drive/folders/1Ejl6GsPadSWWZ-gXvbwNU62zsG4t_RcK?usp=drive_link" TargetMode="External" Id="rId194" /><Relationship Type="http://schemas.openxmlformats.org/officeDocument/2006/relationships/hyperlink" Target="https://drive.google.com/drive/folders/1Ejl6GsPadSWWZ-gXvbwNU62zsG4t_RcK?usp=drive_link" TargetMode="External" Id="rId195" /><Relationship Type="http://schemas.openxmlformats.org/officeDocument/2006/relationships/hyperlink" Target="https://drive.google.com/drive/u/1/folders/1OmZJCQ07S-vIbWQDO6jSHpZyJaE2oGJM" TargetMode="External" Id="rId196" /><Relationship Type="http://schemas.openxmlformats.org/officeDocument/2006/relationships/hyperlink" Target="https://simbarraya.bandungkab.go.id/" TargetMode="External" Id="rId197" /><Relationship Type="http://schemas.openxmlformats.org/officeDocument/2006/relationships/hyperlink" Target="https://drive.google.com/file/d/1U5Ce3fAIo3YOESTLI_rdag9_xK_sncgn/view?usp=sharing" TargetMode="External" Id="rId198" /><Relationship Type="http://schemas.openxmlformats.org/officeDocument/2006/relationships/hyperlink" Target="https://apik.bandungkab.go.id/apik/login" TargetMode="External" Id="rId199" /><Relationship Type="http://schemas.openxmlformats.org/officeDocument/2006/relationships/hyperlink" Target="https://drive.google.com/file/d/1JhS_khzdBgbJD9WfRdXNmMfYuI_ppqJR/view?usp=sharing" TargetMode="External" Id="rId200" /><Relationship Type="http://schemas.openxmlformats.org/officeDocument/2006/relationships/hyperlink" Target="https://bajuri.bandungkab.go.id/" TargetMode="External" Id="rId201" /><Relationship Type="http://schemas.openxmlformats.org/officeDocument/2006/relationships/hyperlink" Target="https://romantik.web.bps.go.id/" TargetMode="External" Id="rId202" /><Relationship Type="http://schemas.openxmlformats.org/officeDocument/2006/relationships/hyperlink" Target="https://drive.google.com/file/d/18x4SyFaMTJIHq1ORgmmghi6RwxlrdqOk/view?usp=sharing" TargetMode="External" Id="rId203" /><Relationship Type="http://schemas.openxmlformats.org/officeDocument/2006/relationships/hyperlink" Target="https://sso.bandungkab.go.id/" TargetMode="External" Id="rId204" /><Relationship Type="http://schemas.openxmlformats.org/officeDocument/2006/relationships/hyperlink" Target="mailto:lemicandra@gmail.com" TargetMode="External" Id="rId205" /><Relationship Type="http://schemas.openxmlformats.org/officeDocument/2006/relationships/hyperlink" Target="https://pelayanan.bandungkab.dapda.id/" TargetMode="External" Id="rId206" /><Relationship Type="http://schemas.openxmlformats.org/officeDocument/2006/relationships/hyperlink" Target="https://drive.google.com/file/d/1Wq5fbFaB6cGVodoz0G93rd3_HKNa842I/view?usp=sharing" TargetMode="External" Id="rId207" /><Relationship Type="http://schemas.openxmlformats.org/officeDocument/2006/relationships/hyperlink" Target="https://hspkasb.e-planningbmd.id/auth" TargetMode="External" Id="rId208" /><Relationship Type="http://schemas.openxmlformats.org/officeDocument/2006/relationships/hyperlink" Target="https://sidesa.bandungkab.dapda.id/login" TargetMode="External" Id="rId209" /><Relationship Type="http://schemas.openxmlformats.org/officeDocument/2006/relationships/hyperlink" Target="http://soreang.dapda.id/" TargetMode="External" Id="rId210" /><Relationship Type="http://schemas.openxmlformats.org/officeDocument/2006/relationships/hyperlink" Target="https://drive.google.com/file/d/1YRKKugsMdrXTfIPPP5t9vIuPmcSmeJi-/view?usp=sharing" TargetMode="External" Id="rId211" /><Relationship Type="http://schemas.openxmlformats.org/officeDocument/2006/relationships/hyperlink" Target="https://penatausahaan-dev-bmd.bandungkab.go.id/login" TargetMode="External" Id="rId212" /><Relationship Type="http://schemas.openxmlformats.org/officeDocument/2006/relationships/hyperlink" Target="https://docs.google.com/spreadsheets/d/1GrF7yl0eJIiOHTS8n_w_9Sp-PAVtSvEu/edit?usp=drive_link&amp;ouid=100880423975394660255&amp;rtpof=true&amp;sd=true" TargetMode="External" Id="rId213" /><Relationship Type="http://schemas.openxmlformats.org/officeDocument/2006/relationships/hyperlink" Target="http://rkbmd.e-planningbmd.id/" TargetMode="External" Id="rId214" /><Relationship Type="http://schemas.openxmlformats.org/officeDocument/2006/relationships/hyperlink" Target="https://drive.google.com/file/d/1pRxS9hpYYxPfeElynApRSPgiKe_xbqQZ/view?usp=drive_link" TargetMode="External" Id="rId215" /><Relationship Type="http://schemas.openxmlformats.org/officeDocument/2006/relationships/hyperlink" Target="https://kdo.e-planningbmd.id/" TargetMode="External" Id="rId216" /><Relationship Type="http://schemas.openxmlformats.org/officeDocument/2006/relationships/hyperlink" Target="https://e-penghapusanbmd.id/" TargetMode="External" Id="rId217" /><Relationship Type="http://schemas.openxmlformats.org/officeDocument/2006/relationships/hyperlink" Target="https://persediaanbmd.bandungkab.go.id/" TargetMode="External" Id="rId218" /><Relationship Type="http://schemas.openxmlformats.org/officeDocument/2006/relationships/hyperlink" Target="https://drive.google.com/file/d/1EleK6UBDx7lBx-8YOCfg6TAbMx8HdYBj/view?usp=sharing" TargetMode="External" Id="rId219" /><Relationship Type="http://schemas.openxmlformats.org/officeDocument/2006/relationships/hyperlink" Target="http://pbb-online.bandungkab.go.id/" TargetMode="External" Id="rId220" /><Relationship Type="http://schemas.openxmlformats.org/officeDocument/2006/relationships/hyperlink" Target="https://drive.google.com/file/d/1CloKUh40TI8aJ_npp4ASJNSlnRVawVBn/view?usp=sharing" TargetMode="External" Id="rId221" /><Relationship Type="http://schemas.openxmlformats.org/officeDocument/2006/relationships/hyperlink" Target="https://drive.google.com/drive/folders/1psrMJUnyozjImYwLa6s5MSyj6ohEJYQO?usp=sharing" TargetMode="External" Id="rId222" /><Relationship Type="http://schemas.openxmlformats.org/officeDocument/2006/relationships/hyperlink" Target="https://bphtb2.bandungkab.go.id/" TargetMode="External" Id="rId223" /><Relationship Type="http://schemas.openxmlformats.org/officeDocument/2006/relationships/hyperlink" Target="https://drive.google.com/drive/folders/1YBsK-2pdfsgxA-SPqsa5WMZzipvbo0Zl?usp=sharing" TargetMode="External" Id="rId224" /><Relationship Type="http://schemas.openxmlformats.org/officeDocument/2006/relationships/hyperlink" Target="https://e-pad.bandungkab.go.id/index.php/user/login" TargetMode="External" Id="rId225" /><Relationship Type="http://schemas.openxmlformats.org/officeDocument/2006/relationships/hyperlink" Target="https://e-absensi.bandungkab.go.id/login" TargetMode="External" Id="rId226" /><Relationship Type="http://schemas.openxmlformats.org/officeDocument/2006/relationships/hyperlink" Target="https://drive.google.com/file/d/1-u8BdMLGCu4aICHYLsA_St6eYZj99BZB/view?usp=drive_link" TargetMode="External" Id="rId227" /><Relationship Type="http://schemas.openxmlformats.org/officeDocument/2006/relationships/hyperlink" Target="https://sso.bandungkab.go.id/" TargetMode="External" Id="rId228" /><Relationship Type="http://schemas.openxmlformats.org/officeDocument/2006/relationships/hyperlink" Target="mailto:dediradi@gmail.com" TargetMode="External" Id="rId229" /><Relationship Type="http://schemas.openxmlformats.org/officeDocument/2006/relationships/hyperlink" Target="https://drive.google.com/file/d/1PXizS0lsGfzHef1oqj26L6YEq9Ht-TsF/view?usp=sharing" TargetMode="External" Id="rId230" /><Relationship Type="http://schemas.openxmlformats.org/officeDocument/2006/relationships/hyperlink" Target="https://drive.google.com/file/d/1Ytr1MO33D981VKk7RIXXUdXU9tmvqtIl/view?usp=sharing" TargetMode="External" Id="rId231" /><Relationship Type="http://schemas.openxmlformats.org/officeDocument/2006/relationships/hyperlink" Target="https://docs.google.com/forms/d/e/1FAIpQLScgtcVM1HIFI6Kb84RdU-NURHvy6qz13ikmHRCejwiPs-g2KQ/viewform?pli=1" TargetMode="External" Id="rId232" /><Relationship Type="http://schemas.openxmlformats.org/officeDocument/2006/relationships/hyperlink" Target="https://drive.google.com/file/d/1OVv4yCmrgdrfLSeSS5ewogAtczV2aIlF/view?usp=sharing" TargetMode="External" Id="rId233" /><Relationship Type="http://schemas.openxmlformats.org/officeDocument/2006/relationships/hyperlink" Target="https://play.google.com/store/apps/details?id=com.diskominfo.bpbd" TargetMode="External" Id="rId234" /><Relationship Type="http://schemas.openxmlformats.org/officeDocument/2006/relationships/hyperlink" Target="https://drive.google.com/file/d/1OVv4yCmrgdrfLSeSS5ewogAtczV2aIlF/view?usp=sharing" TargetMode="External" Id="rId235" /><Relationship Type="http://schemas.openxmlformats.org/officeDocument/2006/relationships/hyperlink" Target="http://dibi.bnpb.go.id/" TargetMode="External" Id="rId236" /><Relationship Type="http://schemas.openxmlformats.org/officeDocument/2006/relationships/hyperlink" Target="https://docs.google.com/spreadsheets/d/1l5-2zqpZNcqk1vc27yahE2fBaLI9m7gY/edit?usp=sharing&amp;ouid=116583022603845992448&amp;rtpof=true&amp;sd=true" TargetMode="External" Id="rId237" /><Relationship Type="http://schemas.openxmlformats.org/officeDocument/2006/relationships/hyperlink" Target="https://drive.google.com/drive/folders/1B5BkNR_l7v0dpf1e8Y6cIlWcgjAqRVF5?usp=drive_link" TargetMode="External" Id="rId238" /><Relationship Type="http://schemas.openxmlformats.org/officeDocument/2006/relationships/hyperlink" Target="https://drive.google.com/file/d/1T1U4oNUqZS1NcFlgpFY6CJRp0CcQqlBv/view?usp=drive_link" TargetMode="External" Id="rId239" /><Relationship Type="http://schemas.openxmlformats.org/officeDocument/2006/relationships/hyperlink" Target="https://drive.google.com/drive/folders/1vjgfqjMxOGjNMjW_D5TVCMti_1yMqG0T?usp=sharing" TargetMode="External" Id="rId240" /><Relationship Type="http://schemas.openxmlformats.org/officeDocument/2006/relationships/hyperlink" Target="http://simpel.menlhk.go.id/" TargetMode="External" Id="rId241" /><Relationship Type="http://schemas.openxmlformats.org/officeDocument/2006/relationships/hyperlink" Target="https://ee.kobotoolbox.org/x/YQp13dFa" TargetMode="External" Id="rId242" /><Relationship Type="http://schemas.openxmlformats.org/officeDocument/2006/relationships/hyperlink" Target="https://simgajiweb.taspen.co.id/" TargetMode="External" Id="rId243" /><Relationship Type="http://schemas.openxmlformats.org/officeDocument/2006/relationships/hyperlink" Target="https://e-retribusi.bandungkab.go.id/" TargetMode="External" Id="rId244" /><Relationship Type="http://schemas.openxmlformats.org/officeDocument/2006/relationships/hyperlink" Target="http://a.md/" TargetMode="External" Id="rId245" /><Relationship Type="http://schemas.openxmlformats.org/officeDocument/2006/relationships/hyperlink" Target="https://sirup.inaproc.id/sirup/loginctr/index" TargetMode="External" Id="rId246" /><Relationship Type="http://schemas.openxmlformats.org/officeDocument/2006/relationships/hyperlink" Target="https://sisrute.kemkes.go.id/" TargetMode="External" Id="rId247" /><Relationship Type="http://schemas.openxmlformats.org/officeDocument/2006/relationships/hyperlink" Target="https://mpn.kemenkeu.go.id/" TargetMode="External" Id="rId248" /><Relationship Type="http://schemas.openxmlformats.org/officeDocument/2006/relationships/hyperlink" Target="http://sisdmk.kemkes.go.id/" TargetMode="External" Id="rId249" /><Relationship Type="http://schemas.openxmlformats.org/officeDocument/2006/relationships/hyperlink" Target="http://sirs.kemkes.go.id/" TargetMode="External" Id="rId250" /><Relationship Type="http://schemas.openxmlformats.org/officeDocument/2006/relationships/hyperlink" Target="https://sippn.menpan.go.id/" TargetMode="External" Id="rId251" /><Relationship Type="http://schemas.openxmlformats.org/officeDocument/2006/relationships/hyperlink" Target="https://mutufasyankes.kemkes.go.id/" TargetMode="External" Id="rId252" /><Relationship Type="http://schemas.openxmlformats.org/officeDocument/2006/relationships/hyperlink" Target="http://a.md/" TargetMode="External" Id="rId253" /><Relationship Type="http://schemas.openxmlformats.org/officeDocument/2006/relationships/hyperlink" Target="https://aspak.kemkes.go.id/aplikasi/site/index" TargetMode="External" Id="rId254" /><Relationship Type="http://schemas.openxmlformats.org/officeDocument/2006/relationships/hyperlink" Target="https://drive.google.com/file/d/1T1U4oNUqZS1NcFlgpFY6CJRp0CcQqlBv/view?usp=drive_link" TargetMode="External" Id="rId255" /><Relationship Type="http://schemas.openxmlformats.org/officeDocument/2006/relationships/hyperlink" Target="https://apik.bandungkab.go.id/apik/login" TargetMode="External" Id="rId256" /><Relationship Type="http://schemas.openxmlformats.org/officeDocument/2006/relationships/hyperlink" Target="https://drive.google.com/file/d/1T1U4oNUqZS1NcFlgpFY6CJRp0CcQqlBv/view?usp=drive_link" TargetMode="External" Id="rId257" /><Relationship Type="http://schemas.openxmlformats.org/officeDocument/2006/relationships/hyperlink" Target="https://skm.bandungkab.go.id/" TargetMode="External" Id="rId258" /><Relationship Type="http://schemas.openxmlformats.org/officeDocument/2006/relationships/hyperlink" Target="http://192.168.40.89/sikeren" TargetMode="External" Id="rId259" /><Relationship Type="http://schemas.openxmlformats.org/officeDocument/2006/relationships/hyperlink" Target="https://edabu.bpjs-kesehatan.go.id/Edabu/Home/Login?AspxAutoDetectCookieSupport=1" TargetMode="External" Id="rId260" /><Relationship Type="http://schemas.openxmlformats.org/officeDocument/2006/relationships/hyperlink" Target="http://satusehat.kemkes.go.id/sdmk" TargetMode="External" Id="rId261" /><Relationship Type="http://schemas.openxmlformats.org/officeDocument/2006/relationships/hyperlink" Target="http://s.tr/" TargetMode="External" Id="rId262" /><Relationship Type="http://schemas.openxmlformats.org/officeDocument/2006/relationships/hyperlink" Target="https://drive.google.com/file/d/1-OkimWi2XkYVZbq8aStpKFlsMtErBFog/view?usp=drivesdk" TargetMode="External" Id="rId263" /><Relationship Type="http://schemas.openxmlformats.org/officeDocument/2006/relationships/hyperlink" Target="http://bdskts.id/" TargetMode="External" Id="rId264" /><Relationship Type="http://schemas.openxmlformats.org/officeDocument/2006/relationships/hyperlink" Target="https://keslan.kemkes.go.id/app/siranap/" TargetMode="External" Id="rId265" /><Relationship Type="http://schemas.openxmlformats.org/officeDocument/2006/relationships/hyperlink" Target="https://drive.google.com/drive/u/1/folders/12dUcuD3FJiM5lhmxZqNrZc05M-qKTqaU" TargetMode="External" Id="rId266" /><Relationship Type="http://schemas.openxmlformats.org/officeDocument/2006/relationships/hyperlink" Target="https://akun-yankes.kemkes.go.id/" TargetMode="External" Id="rId267" /><Relationship Type="http://schemas.openxmlformats.org/officeDocument/2006/relationships/hyperlink" Target="https://ujiprof.labkesjabar.com/" TargetMode="External" Id="rId268"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269" /><Relationship Type="http://schemas.openxmlformats.org/officeDocument/2006/relationships/hyperlink" Target="https://drive.google.com/drive/u/1/folders/1BMJeHVe0f6zjx97q_TOFnGkZBTxNZTBd" TargetMode="External" Id="rId270" /><Relationship Type="http://schemas.openxmlformats.org/officeDocument/2006/relationships/hyperlink" Target="https://dashboard.kemkes.go.id/views/DashboardPemantauanAliranDataSATUSEHAT/Dashboard?%3Aembed=y&amp;%3AisGuestRedirectFromVizportal=y" TargetMode="External" Id="rId271" /><Relationship Type="http://schemas.openxmlformats.org/officeDocument/2006/relationships/hyperlink" Target="https://dmi.kemkes.go.id/dhis-web-commons/security/login.action" TargetMode="External" Id="rId272" /><Relationship Type="http://schemas.openxmlformats.org/officeDocument/2006/relationships/hyperlink" Target="https://balis.bapeten.go.id/frontend2/public/panel/dashboard" TargetMode="External" Id="rId273" /><Relationship Type="http://schemas.openxmlformats.org/officeDocument/2006/relationships/hyperlink" Target="https://e-meso.pom.go.id/ADR" TargetMode="External" Id="rId274" /><Relationship Type="http://schemas.openxmlformats.org/officeDocument/2006/relationships/hyperlink" Target="http://s.si/" TargetMode="External" Id="rId275" /><Relationship Type="http://schemas.openxmlformats.org/officeDocument/2006/relationships/hyperlink" Target="https://hfis.bpjs-kesehatan.go.id/hfis/login?hfis" TargetMode="External" Id="rId276" /><Relationship Type="http://schemas.openxmlformats.org/officeDocument/2006/relationships/hyperlink" Target="https://dhephl.bandungkab.go.id/" TargetMode="External" Id="rId277"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278" /><Relationship Type="http://schemas.openxmlformats.org/officeDocument/2006/relationships/hyperlink" Target="https://drive.google.com/drive/u/1/folders/1BMJeHVe0f6zjx97q_TOFnGkZBTxNZTBd" TargetMode="External" Id="rId279" /><Relationship Type="http://schemas.openxmlformats.org/officeDocument/2006/relationships/hyperlink" Target="https://dashboard.kemkes.go.id/views/DashboardPemantauanAliranDataSATUSEHAT/Dashboard?%3Aembed=y&amp;%3AisGuestRedirectFromVizportal=y" TargetMode="External" Id="rId280" /></Relationships>
</file>

<file path=xl/worksheets/_rels/sheet5.xml.rels><Relationships xmlns="http://schemas.openxmlformats.org/package/2006/relationships"><Relationship Type="http://schemas.openxmlformats.org/officeDocument/2006/relationships/hyperlink" Target="https://play.google.com/store/apps/details?id=com.diskominfo.radiokandagabedas&amp;pcampaignid=web_share" TargetMode="External" Id="rId1" /><Relationship Type="http://schemas.openxmlformats.org/officeDocument/2006/relationships/hyperlink" Target="https://bandungkab.go.id/" TargetMode="External" Id="rId2" /><Relationship Type="http://schemas.openxmlformats.org/officeDocument/2006/relationships/hyperlink" Target="https://smartcity.bandungkab.go.id/" TargetMode="External" Id="rId3" /><Relationship Type="http://schemas.openxmlformats.org/officeDocument/2006/relationships/hyperlink" Target="https://simaslahat.bandungkab.go.id/" TargetMode="External" Id="rId4" /><Relationship Type="http://schemas.openxmlformats.org/officeDocument/2006/relationships/hyperlink" Target="https://lapor.go.id/" TargetMode="External" Id="rId5" /><Relationship Type="http://schemas.openxmlformats.org/officeDocument/2006/relationships/hyperlink" Target="https://simasda.bandungkab.go.id/" TargetMode="External" Id="rId6" /><Relationship Type="http://schemas.openxmlformats.org/officeDocument/2006/relationships/hyperlink" Target="https://sirekonpajak.bandungkab.go.id/" TargetMode="External" Id="rId7" /><Relationship Type="http://schemas.openxmlformats.org/officeDocument/2006/relationships/hyperlink" Target="http://coretaxdjp.pajak.go.id/" TargetMode="External" Id="rId8" /><Relationship Type="http://schemas.openxmlformats.org/officeDocument/2006/relationships/hyperlink" Target="https://e-sptpd.bandungkab.go.id/" TargetMode="External" Id="rId9" /><Relationship Type="http://schemas.openxmlformats.org/officeDocument/2006/relationships/hyperlink" Target="http://sipd-ri.kemendagri.go.id/" TargetMode="External" Id="rId10" /><Relationship Type="http://schemas.openxmlformats.org/officeDocument/2006/relationships/hyperlink" Target="https://sultan.bandungkab.go.id/" TargetMode="External" Id="rId11" /><Relationship Type="http://schemas.openxmlformats.org/officeDocument/2006/relationships/hyperlink" Target="http://sshsbu.e-planningbmd.id/" TargetMode="External" Id="rId12" /><Relationship Type="http://schemas.openxmlformats.org/officeDocument/2006/relationships/hyperlink" Target="https://indah.bps.go.id/" TargetMode="External" Id="rId13" /><Relationship Type="http://schemas.openxmlformats.org/officeDocument/2006/relationships/hyperlink" Target="http://simwas.bandungkab.go.id/" TargetMode="External" Id="rId14" /><Relationship Type="http://schemas.openxmlformats.org/officeDocument/2006/relationships/hyperlink" Target="https://sidalmonep.bandungkab.go.id/" TargetMode="External" Id="rId15" /><Relationship Type="http://schemas.openxmlformats.org/officeDocument/2006/relationships/hyperlink" Target="https://simpelbkpsdm.bandungkab.go.id/" TargetMode="External" Id="rId16" /><Relationship Type="http://schemas.openxmlformats.org/officeDocument/2006/relationships/hyperlink" Target="http://siakang.bandungkab.go.id/" TargetMode="External" Id="rId17" /><Relationship Type="http://schemas.openxmlformats.org/officeDocument/2006/relationships/hyperlink" Target="http://m.tr/" TargetMode="External" Id="rId18" /><Relationship Type="http://schemas.openxmlformats.org/officeDocument/2006/relationships/hyperlink" Target="https://surabi.jabarprov.go.id/" TargetMode="External" Id="rId19" /><Relationship Type="http://schemas.openxmlformats.org/officeDocument/2006/relationships/hyperlink" Target="http://m.tr/" TargetMode="External" Id="rId20" /><Relationship Type="http://schemas.openxmlformats.org/officeDocument/2006/relationships/hyperlink" Target="https://skm.bandungkab.go.id/" TargetMode="External" Id="rId21" /><Relationship Type="http://schemas.openxmlformats.org/officeDocument/2006/relationships/hyperlink" Target="https://sitampan-insaba.web.app/" TargetMode="External" Id="rId22" /><Relationship Type="http://schemas.openxmlformats.org/officeDocument/2006/relationships/hyperlink" Target="http://m.tr/" TargetMode="External" Id="rId23" /><Relationship Type="http://schemas.openxmlformats.org/officeDocument/2006/relationships/hyperlink" Target="https://play.google.com/store/apps/details?id=com.diskominfo.siagan_bedas&amp;hl=id" TargetMode="External" Id="rId24" /><Relationship Type="http://schemas.openxmlformats.org/officeDocument/2006/relationships/hyperlink" Target="http://sinar.big.go.id/" TargetMode="External" Id="rId25" /><Relationship Type="http://schemas.openxmlformats.org/officeDocument/2006/relationships/hyperlink" Target="http://m.si/" TargetMode="External" Id="rId26" /><Relationship Type="http://schemas.openxmlformats.org/officeDocument/2006/relationships/hyperlink" Target="https://elppd.kemendagri.go.id/" TargetMode="External" Id="rId27" /><Relationship Type="http://schemas.openxmlformats.org/officeDocument/2006/relationships/hyperlink" Target="http://m.si/" TargetMode="External" Id="rId28" /><Relationship Type="http://schemas.openxmlformats.org/officeDocument/2006/relationships/hyperlink" Target="https://spm.bangda.kemendagri.go.id/" TargetMode="External" Id="rId29" /><Relationship Type="http://schemas.openxmlformats.org/officeDocument/2006/relationships/hyperlink" Target="http://m.si/" TargetMode="External" Id="rId30" /><Relationship Type="http://schemas.openxmlformats.org/officeDocument/2006/relationships/hyperlink" Target="https://ppid.bandungkab.go.id/" TargetMode="External" Id="rId31" /><Relationship Type="http://schemas.openxmlformats.org/officeDocument/2006/relationships/hyperlink" Target="https://sipphade.bandungkab.go.id/" TargetMode="External" Id="rId32" /><Relationship Type="http://schemas.openxmlformats.org/officeDocument/2006/relationships/hyperlink" Target="https://sipatuhbedas.bandungkab.go.id/" TargetMode="External" Id="rId33" /><Relationship Type="http://schemas.openxmlformats.org/officeDocument/2006/relationships/hyperlink" Target="http://kerjasama.bandungkab.go.id/" TargetMode="External" Id="rId34" /><Relationship Type="http://schemas.openxmlformats.org/officeDocument/2006/relationships/hyperlink" Target="https://sikp.kemenkeu.go.id/login" TargetMode="External" Id="rId35" /><Relationship Type="http://schemas.openxmlformats.org/officeDocument/2006/relationships/hyperlink" Target="https://sitpakd.ojk.go.id/Account/Login" TargetMode="External" Id="rId36" /><Relationship Type="http://schemas.openxmlformats.org/officeDocument/2006/relationships/hyperlink" Target="https://sikd.djpk.kemenkeu.go.id/lapordbh/" TargetMode="External" Id="rId37" /><Relationship Type="http://schemas.openxmlformats.org/officeDocument/2006/relationships/hyperlink" Target="https://tpin.id/login" TargetMode="External" Id="rId38" /><Relationship Type="http://schemas.openxmlformats.org/officeDocument/2006/relationships/hyperlink" Target="https://www.portalrb.id/" TargetMode="External" Id="rId39" /><Relationship Type="http://schemas.openxmlformats.org/officeDocument/2006/relationships/hyperlink" Target="https://bisakerja.bandungkab.go.id/login" TargetMode="External" Id="rId40" /><Relationship Type="http://schemas.openxmlformats.org/officeDocument/2006/relationships/hyperlink" Target="http://e-bumd.com/dashboard" TargetMode="External" Id="rId41" /><Relationship Type="http://schemas.openxmlformats.org/officeDocument/2006/relationships/hyperlink" Target="https://drive.google.com/drive/folders/1uT9c4NGjI41uZyGgKpyquckLoM2rSaQa?usp=sharing" TargetMode="External" Id="rId42" /><Relationship Type="http://schemas.openxmlformats.org/officeDocument/2006/relationships/hyperlink" Target="https://simbangun.bandungkab.go.id/" TargetMode="External" Id="rId43" /><Relationship Type="http://schemas.openxmlformats.org/officeDocument/2006/relationships/hyperlink" Target="https://e-lkpj.id/login" TargetMode="External" Id="rId44" /><Relationship Type="http://schemas.openxmlformats.org/officeDocument/2006/relationships/hyperlink" Target="https://drive.google.com/file/d/1bfEasna0yACDkjKfdw6Q1Zy2Ku88gtKx/view?usp=sharing" TargetMode="External" Id="rId45" /><Relationship Type="http://schemas.openxmlformats.org/officeDocument/2006/relationships/hyperlink" Target="https://spse.inaproc.id/bandungkab" TargetMode="External" Id="rId46" /><Relationship Type="http://schemas.openxmlformats.org/officeDocument/2006/relationships/hyperlink" Target="https://aplikasi.bandungkab.go.id/publik/dashboard-pendataan-profil-sppg-aktif-untuk-satgas-mbg" TargetMode="External" Id="rId47" /><Relationship Type="http://schemas.openxmlformats.org/officeDocument/2006/relationships/hyperlink" Target="http://ap.m.kp/" TargetMode="External" Id="rId48" /><Relationship Type="http://schemas.openxmlformats.org/officeDocument/2006/relationships/hyperlink" Target="https://www.appsheet.com/Account/Login?appName=DBHCHT%20App&amp;FullScope=False&amp;provider=google&amp;returnUrl=https%3A%2F%2Fwww.appsheet.com%2Fstart%2F93891b63-df85-4aa1-a7bf-d007dfa96cf8%3Fplatform%3Ddesktop" TargetMode="External" Id="rId49" /><Relationship Type="http://schemas.openxmlformats.org/officeDocument/2006/relationships/hyperlink" Target="http://ap.m.kp/" TargetMode="External" Id="rId50" /><Relationship Type="http://schemas.openxmlformats.org/officeDocument/2006/relationships/hyperlink" Target="https://drive.google.com/file/d/1Xev2F7vScZDTlBaqHqPh8lzFUMNB_y8a/view?usp=sharing" TargetMode="External" Id="rId51" /><Relationship Type="http://schemas.openxmlformats.org/officeDocument/2006/relationships/hyperlink" Target="https://jdihdprd.bandungkab.go.id/" TargetMode="External" Id="rId52" /><Relationship Type="http://schemas.openxmlformats.org/officeDocument/2006/relationships/hyperlink" Target="https://aplikasi.bandungkab.go.id/publik/dashboard-kunjungan-dprd-kab-bandung" TargetMode="External" Id="rId53" /><Relationship Type="http://schemas.openxmlformats.org/officeDocument/2006/relationships/hyperlink" Target="https://drive.google.com/file/d/1YdxVCrqCKB2IhPmEjmI3enR0CnpLLtYZ/view?usp=sharing" TargetMode="External" Id="rId54" /><Relationship Type="http://schemas.openxmlformats.org/officeDocument/2006/relationships/hyperlink" Target="https://simprodas.bandungkab.go.id/" TargetMode="External" Id="rId55" /><Relationship Type="http://schemas.openxmlformats.org/officeDocument/2006/relationships/hyperlink" Target="https://drive.google.com/file/d/1hfZl5u33jLRHizH-t5QZsOhlwNoiUSfh/view?usp=sharing" TargetMode="External" Id="rId56" /><Relationship Type="http://schemas.openxmlformats.org/officeDocument/2006/relationships/hyperlink" Target="http://calendly.com/" TargetMode="External" Id="rId57" /><Relationship Type="http://schemas.openxmlformats.org/officeDocument/2006/relationships/hyperlink" Target="https://calendly.com/inspekkabbdg/santai-saranatanyaapipinteraktif" TargetMode="External" Id="rId58" /><Relationship Type="http://schemas.openxmlformats.org/officeDocument/2006/relationships/hyperlink" Target="http://simpeldisdik.bandungkab.go.id/Sukizah" TargetMode="External" Id="rId59" /><Relationship Type="http://schemas.openxmlformats.org/officeDocument/2006/relationships/hyperlink" Target="https://dapo.kemendikdasmen.go.id/" TargetMode="External" Id="rId60" /><Relationship Type="http://schemas.openxmlformats.org/officeDocument/2006/relationships/hyperlink" Target="http://simpeldisdik.bandungkab.go.id/MultisiteEdu" TargetMode="External" Id="rId61" /><Relationship Type="http://schemas.openxmlformats.org/officeDocument/2006/relationships/hyperlink" Target="https://spmb.bandungkab.go.id/" TargetMode="External" Id="rId62" /><Relationship Type="http://schemas.openxmlformats.org/officeDocument/2006/relationships/hyperlink" Target="http://psc.kemkes.go.id/" TargetMode="External" Id="rId63" /><Relationship Type="http://schemas.openxmlformats.org/officeDocument/2006/relationships/hyperlink" Target="http://skdr.kemkes.go.id/" TargetMode="External" Id="rId64" /><Relationship Type="http://schemas.openxmlformats.org/officeDocument/2006/relationships/hyperlink" Target="https://surveilans-pptm.kemkes.go.id/" TargetMode="External" Id="rId65" /><Relationship Type="http://schemas.openxmlformats.org/officeDocument/2006/relationships/hyperlink" Target="https://sehatindonesiaku.kemkes.go.id/auth/login" TargetMode="External" Id="rId66" /><Relationship Type="http://schemas.openxmlformats.org/officeDocument/2006/relationships/hyperlink" Target="http://sipnap.kemkes.go.id/" TargetMode="External" Id="rId67" /><Relationship Type="http://schemas.openxmlformats.org/officeDocument/2006/relationships/hyperlink" Target="https://sitb.kemkes.go.id/" TargetMode="External" Id="rId68" /><Relationship Type="http://schemas.openxmlformats.org/officeDocument/2006/relationships/hyperlink" Target="http://sismal.kemkes.go.id/" TargetMode="External" Id="rId69" /><Relationship Type="http://schemas.openxmlformats.org/officeDocument/2006/relationships/hyperlink" Target="http://silantor.kemkes.go.id/" TargetMode="External" Id="rId70" /><Relationship Type="http://schemas.openxmlformats.org/officeDocument/2006/relationships/hyperlink" Target="https://sihapims2.kemkes.go.id/login" TargetMode="External" Id="rId71" /><Relationship Type="http://schemas.openxmlformats.org/officeDocument/2006/relationships/hyperlink" Target="https://smile.kemkes.go.id/" TargetMode="External" Id="rId72" /><Relationship Type="http://schemas.openxmlformats.org/officeDocument/2006/relationships/hyperlink" Target="https://sijalak-kab-bandung.com/" TargetMode="External" Id="rId73" /><Relationship Type="http://schemas.openxmlformats.org/officeDocument/2006/relationships/hyperlink" Target="https://drive.google.com/drive/folders/187_7CPT7sxhjamsZJOlN2T4qhrxFpoWq?hl=id" TargetMode="External" Id="rId74" /><Relationship Type="http://schemas.openxmlformats.org/officeDocument/2006/relationships/hyperlink" Target="https://sibedaspbg.bandungkab.go.id/" TargetMode="External" Id="rId75" /><Relationship Type="http://schemas.openxmlformats.org/officeDocument/2006/relationships/hyperlink" Target="https://drive.google.com/drive/folders/1zpVBSJQx0K3N4_wyw8qZeOJVWGrdlDAe?hl=ID" TargetMode="External" Id="rId76" /><Relationship Type="http://schemas.openxmlformats.org/officeDocument/2006/relationships/hyperlink" Target="http://linktr.ee/PENGADUAN_DPUTR_KABBDG" TargetMode="External" Id="rId77" /><Relationship Type="http://schemas.openxmlformats.org/officeDocument/2006/relationships/hyperlink" Target="https://sites.google.com/view/aplikasi-sipedas-drainase/home" TargetMode="External" Id="rId78" /><Relationship Type="http://schemas.openxmlformats.org/officeDocument/2006/relationships/hyperlink" Target="https://drive.google.com/drive/folders/1foPXyzm-sQ7KaSp-qTysnVqAWt_Dif53?hl=id" TargetMode="External" Id="rId79" /><Relationship Type="http://schemas.openxmlformats.org/officeDocument/2006/relationships/hyperlink" Target="https://sijaga.kabbdg.com/" TargetMode="External" Id="rId80" /><Relationship Type="http://schemas.openxmlformats.org/officeDocument/2006/relationships/hyperlink" Target="https://drive.google.com/drive/folders/1sHKD9PH8GG_yqtIurnieYvG1qyHCbekF?hl=id" TargetMode="External" Id="rId81" /><Relationship Type="http://schemas.openxmlformats.org/officeDocument/2006/relationships/hyperlink" Target="https://sibedasjakon.bandungkab.go.id/" TargetMode="External" Id="rId82" /><Relationship Type="http://schemas.openxmlformats.org/officeDocument/2006/relationships/hyperlink" Target="https://linktr.ee/SIBEDASOK" TargetMode="External" Id="rId83" /><Relationship Type="http://schemas.openxmlformats.org/officeDocument/2006/relationships/hyperlink" Target="https://drive.google.com/file/d/1kvVSSjFHbdSKP4vPWzb0wDWs5x8kMCbU/view?usp=sharing" TargetMode="External" Id="rId84" /><Relationship Type="http://schemas.openxmlformats.org/officeDocument/2006/relationships/hyperlink" Target="https://aplikasi.bandungkab.com/publik/landing-page-aplikasi-sipikat" TargetMode="External" Id="rId85" /><Relationship Type="http://schemas.openxmlformats.org/officeDocument/2006/relationships/hyperlink" Target="https://drive.google.com/file/d/1Ramy4vxff2nlZwmQYryTo4j9HIjXgRt2/view?usp=sharing" TargetMode="External" Id="rId86" /><Relationship Type="http://schemas.openxmlformats.org/officeDocument/2006/relationships/hyperlink" Target="https://dibedasken.bandungkab.go.id/" TargetMode="External" Id="rId87" /><Relationship Type="http://schemas.openxmlformats.org/officeDocument/2006/relationships/hyperlink" Target="https://drive.google.com/drive/folders/1Uinu-ZgkI_8xZeYLw7yaEW1HRhG7prDv?usp=drive_link" TargetMode="External" Id="rId88" /><Relationship Type="http://schemas.openxmlformats.org/officeDocument/2006/relationships/hyperlink" Target="http://siapkerja.kemnaker.go.id/" TargetMode="External" Id="rId89" /><Relationship Type="http://schemas.openxmlformats.org/officeDocument/2006/relationships/hyperlink" Target="https://dashnaker.bandungkab.go.id/login" TargetMode="External" Id="rId90" /><Relationship Type="http://schemas.openxmlformats.org/officeDocument/2006/relationships/hyperlink" Target="https://dashnaker.bandungkab.go.id/login" TargetMode="External" Id="rId91" /><Relationship Type="http://schemas.openxmlformats.org/officeDocument/2006/relationships/hyperlink" Target="http://siapkerja.kemnaker.go.id/" TargetMode="External" Id="rId92" /><Relationship Type="http://schemas.openxmlformats.org/officeDocument/2006/relationships/hyperlink" Target="http://sibarduktrans.transmigrasi.go.id/" TargetMode="External" Id="rId93" /><Relationship Type="http://schemas.openxmlformats.org/officeDocument/2006/relationships/hyperlink" Target="https://drive.google.com/file/d/13kiJLOSVRFOj2CqIpMMxJSxRVwkT4VuN/view?usp=drive_link" TargetMode="External" Id="rId94" /><Relationship Type="http://schemas.openxmlformats.org/officeDocument/2006/relationships/hyperlink" Target="https://dp2kbp3a.bandungkab.go.id/ppa/" TargetMode="External" Id="rId95" /><Relationship Type="http://schemas.openxmlformats.org/officeDocument/2006/relationships/hyperlink" Target="https://drive.google.com/file/d/1qhJbKAh0RXizTZVD-lHLPJTl4ZBGbOzZ/view?usp=sharing" TargetMode="External" Id="rId96" /><Relationship Type="http://schemas.openxmlformats.org/officeDocument/2006/relationships/hyperlink" Target="https://dp2kbp3a.bandungkab.go.id/pprg/" TargetMode="External" Id="rId97" /><Relationship Type="http://schemas.openxmlformats.org/officeDocument/2006/relationships/hyperlink" Target="https://siga.bkkbn.go.id/" TargetMode="External" Id="rId98" /><Relationship Type="http://schemas.openxmlformats.org/officeDocument/2006/relationships/hyperlink" Target="https://drive.google.com/file/d/16ULKF-_fc7--75zz-4n8WtETaChfDzBD/view?usp=sharing" TargetMode="External" Id="rId99" /><Relationship Type="http://schemas.openxmlformats.org/officeDocument/2006/relationships/hyperlink" Target="https://dp2kbp3a.bandungkab.go.id/sappana/" TargetMode="External" Id="rId100" /><Relationship Type="http://schemas.openxmlformats.org/officeDocument/2006/relationships/hyperlink" Target="https://docs.google.com/spreadsheets/d/1f2FpxtXLWyTMlao3H1cM7ZWvZY62FNOP/edit?usp=drivesdk&amp;ouid=101319060553117315214&amp;rtpof=true&amp;sd=true" TargetMode="External" Id="rId101" /><Relationship Type="http://schemas.openxmlformats.org/officeDocument/2006/relationships/hyperlink" Target="https://simfonippa.kemenpppa.go.id/" TargetMode="External" Id="rId102" /><Relationship Type="http://schemas.openxmlformats.org/officeDocument/2006/relationships/hyperlink" Target="https://dp2kbp3a.bandungkab.go.id/apps/perlindungan-anak/" TargetMode="External" Id="rId103" /><Relationship Type="http://schemas.openxmlformats.org/officeDocument/2006/relationships/hyperlink" Target="http://amdalnet.kemenlh.go.id/" TargetMode="External" Id="rId104" /><Relationship Type="http://schemas.openxmlformats.org/officeDocument/2006/relationships/hyperlink" Target="https://sampahkita.jabarprov.go.id/" TargetMode="External" Id="rId105" /><Relationship Type="http://schemas.openxmlformats.org/officeDocument/2006/relationships/hyperlink" Target="https://sipsn.kemenlh.go.id/sipsn/" TargetMode="External" Id="rId106" /><Relationship Type="http://schemas.openxmlformats.org/officeDocument/2006/relationships/hyperlink" Target="https://gepak.bandungkab.go.id/" TargetMode="External" Id="rId107" /><Relationship Type="http://schemas.openxmlformats.org/officeDocument/2006/relationships/hyperlink" Target="http://kehati.bandungkab.go.id/" TargetMode="External" Id="rId108" /><Relationship Type="http://schemas.openxmlformats.org/officeDocument/2006/relationships/hyperlink" Target="https://drive.google.com/file/d/1RechF7D6NXptgUFxXmNTXXBTU0KQ0Gcm/view?usp=sharing" TargetMode="External" Id="rId109" /><Relationship Type="http://schemas.openxmlformats.org/officeDocument/2006/relationships/hyperlink" Target="https://bds.bandungkab.go.id/" TargetMode="External" Id="rId110" /><Relationship Type="http://schemas.openxmlformats.org/officeDocument/2006/relationships/hyperlink" Target="https://bds.bandungkab.go.id/" TargetMode="External" Id="rId111" /><Relationship Type="http://schemas.openxmlformats.org/officeDocument/2006/relationships/hyperlink" Target="https://drive.google.com/file/d/1RechF7D6NXptgUFxXmNTXXBTU0KQ0Gcm/view?usp=sharing" TargetMode="External" Id="rId112" /><Relationship Type="http://schemas.openxmlformats.org/officeDocument/2006/relationships/hyperlink" Target="http://lampid.bandungkab.go.id/" TargetMode="External" Id="rId113" /><Relationship Type="http://schemas.openxmlformats.org/officeDocument/2006/relationships/hyperlink" Target="http://siskeudes.bandungkab.go.id:8080/guacamole/" TargetMode="External" Id="rId114" /><Relationship Type="http://schemas.openxmlformats.org/officeDocument/2006/relationships/hyperlink" Target="https://spanint.kemenkeu.go.id/tkd/" TargetMode="External" Id="rId115" /><Relationship Type="http://schemas.openxmlformats.org/officeDocument/2006/relationships/hyperlink" Target="https://prodeskel.binapemdes.kemendagri.go.id/mpublik/" TargetMode="External" Id="rId116" /><Relationship Type="http://schemas.openxmlformats.org/officeDocument/2006/relationships/hyperlink" Target="https://epdeskel.binapemdes.kemendagri.go.id/app_Login/" TargetMode="External" Id="rId117" /><Relationship Type="http://schemas.openxmlformats.org/officeDocument/2006/relationships/hyperlink" Target="https://drive.google.com/file/d/1CvHE6emS2UxjsAt6IC87kgxEb19CuE3k/view?usp=sharing" TargetMode="External" Id="rId118" /><Relationship Type="http://schemas.openxmlformats.org/officeDocument/2006/relationships/hyperlink" Target="http://sipades.id/" TargetMode="External" Id="rId119" /><Relationship Type="http://schemas.openxmlformats.org/officeDocument/2006/relationships/hyperlink" Target="https://drive.google.com/file/d/1YdbXWdCS28ppql72phZoI1RvIMqiXeuL/view?usp=sharing" TargetMode="External" Id="rId120" /><Relationship Type="http://schemas.openxmlformats.org/officeDocument/2006/relationships/hyperlink" Target="http://s.id/sipandubedas" TargetMode="External" Id="rId121" /><Relationship Type="http://schemas.openxmlformats.org/officeDocument/2006/relationships/hyperlink" Target="https://drive.google.com/file/d/15CRvlXeoq6lRDTUnunhCxVgWmxrUKQsz/view?usp=drive_link" TargetMode="External" Id="rId122" /><Relationship Type="http://schemas.openxmlformats.org/officeDocument/2006/relationships/hyperlink" Target="https://sipakades.bandungkab.go.id/" TargetMode="External" Id="rId123" /><Relationship Type="http://schemas.openxmlformats.org/officeDocument/2006/relationships/hyperlink" Target="https://drive.google.com/file/d/1r3y4yoWaoByjuAovOlwVhpYcdVHWYZlA/view?usp=drive_link" TargetMode="External" Id="rId124" /><Relationship Type="http://schemas.openxmlformats.org/officeDocument/2006/relationships/hyperlink" Target="https://oss.go.id/" TargetMode="External" Id="rId125" /><Relationship Type="http://schemas.openxmlformats.org/officeDocument/2006/relationships/hyperlink" Target="https://dpmptsp.bandungkab.go.id/" TargetMode="External" Id="rId126" /><Relationship Type="http://schemas.openxmlformats.org/officeDocument/2006/relationships/hyperlink" Target="https://simbg.pu.go.id/" TargetMode="External" Id="rId127" /><Relationship Type="http://schemas.openxmlformats.org/officeDocument/2006/relationships/hyperlink" Target="https://next-gen.mppdigital.go.id/" TargetMode="External" Id="rId128" /><Relationship Type="http://schemas.openxmlformats.org/officeDocument/2006/relationships/hyperlink" Target="https://perizinan.bandungkab.go.id/sirsak" TargetMode="External" Id="rId129" /><Relationship Type="http://schemas.openxmlformats.org/officeDocument/2006/relationships/hyperlink" Target="https://perizinan.bandungkab.go.id/layanan-kami/booking-antrian-imigrasi" TargetMode="External" Id="rId130" /><Relationship Type="http://schemas.openxmlformats.org/officeDocument/2006/relationships/hyperlink" Target="https://sidora.bandungkab.go.id/" TargetMode="External" Id="rId131" /><Relationship Type="http://schemas.openxmlformats.org/officeDocument/2006/relationships/hyperlink" Target="https://sidopabandungkab.com/" TargetMode="External" Id="rId132" /><Relationship Type="http://schemas.openxmlformats.org/officeDocument/2006/relationships/hyperlink" Target="http://disporabandungkab.go.id/" TargetMode="External" Id="rId133" /><Relationship Type="http://schemas.openxmlformats.org/officeDocument/2006/relationships/hyperlink" Target="https://drive.google.com/file/d/1CK9sB-VkjtVcnm48SmIytt7EAWrjRZba/view?usp=sharing" TargetMode="External" Id="rId134" /><Relationship Type="http://schemas.openxmlformats.org/officeDocument/2006/relationships/hyperlink" Target="https://drive.google.com/file/d/1vLXgaLLExt7rvce6hrGocDTPsLUu-FsF/view?usp=sharing" TargetMode="External" Id="rId135" /><Relationship Type="http://schemas.openxmlformats.org/officeDocument/2006/relationships/hyperlink" Target="https://sibapokting.bandungkab.go.id/" TargetMode="External" Id="rId136" /><Relationship Type="http://schemas.openxmlformats.org/officeDocument/2006/relationships/hyperlink" Target="https://drive.google.com/file/d/1fOeX8KkbMK8HjuZBVx1smAWDYvK1BcY0/view?usp=sharing" TargetMode="External" Id="rId137" /><Relationship Type="http://schemas.openxmlformats.org/officeDocument/2006/relationships/hyperlink" Target="http://ska.kemendag.go.id/" TargetMode="External" Id="rId138" /><Relationship Type="http://schemas.openxmlformats.org/officeDocument/2006/relationships/hyperlink" Target="https://drive.google.com/file/d/1XoILvOYKxCz7AwSFhTvSOHZMa9o7Qg5k/view?usp=sharing" TargetMode="External" Id="rId139" /><Relationship Type="http://schemas.openxmlformats.org/officeDocument/2006/relationships/hyperlink" Target="https://siinas.kemenperin.go.id/" TargetMode="External" Id="rId140" /><Relationship Type="http://schemas.openxmlformats.org/officeDocument/2006/relationships/hyperlink" Target="https://drive.google.com/drive/folders/1uBDqq46euBu9YwCqq9Y65-eJFbijFff9?usp=sharing" TargetMode="External" Id="rId141" /><Relationship Type="http://schemas.openxmlformats.org/officeDocument/2006/relationships/hyperlink" Target="https://sipintaronline.bandungkab.go.id/login" TargetMode="External" Id="rId142" /><Relationship Type="http://schemas.openxmlformats.org/officeDocument/2006/relationships/hyperlink" Target="https://trafficintelligence.mkpmobile.com/signin" TargetMode="External" Id="rId143" /><Relationship Type="http://schemas.openxmlformats.org/officeDocument/2006/relationships/hyperlink" Target="https://sppirt.pom.go.id/" TargetMode="External" Id="rId144" /><Relationship Type="http://schemas.openxmlformats.org/officeDocument/2006/relationships/hyperlink" Target="https://www.dgip.go.id/" TargetMode="External" Id="rId145" /><Relationship Type="http://schemas.openxmlformats.org/officeDocument/2006/relationships/hyperlink" Target="https://docs.google.com/document/d/1c-7PUNKaiuUiy_admWwX1iClC1w9eJRB/edit?usp=sharing&amp;ouid=112536090230720318461&amp;rtpof=true&amp;sd=true" TargetMode="External" Id="rId146" /><Relationship Type="http://schemas.openxmlformats.org/officeDocument/2006/relationships/hyperlink" Target="https://anterin.bandungkab.go.id/" TargetMode="External" Id="rId147" /><Relationship Type="http://schemas.openxmlformats.org/officeDocument/2006/relationships/hyperlink" Target="https://docs.google.com/document/d/1c-7PUNKaiuUiy_admWwX1iClC1w9eJRB/edit?usp=sharing&amp;ouid=112536090230720318461&amp;rtpof=true&amp;sd=true" TargetMode="External" Id="rId148" /><Relationship Type="http://schemas.openxmlformats.org/officeDocument/2006/relationships/hyperlink" Target="https://isikhnas.pertanian.go.id/" TargetMode="External" Id="rId149" /><Relationship Type="http://schemas.openxmlformats.org/officeDocument/2006/relationships/hyperlink" Target="https://docs.google.com/spreadsheets/d/1c7RrRajyzrp7pLX7n6Z-t8K0gRXiw69i/edit?usp=sharing&amp;ouid=112536090230720318461&amp;rtpof=true&amp;sd=true" TargetMode="External" Id="rId150" /><Relationship Type="http://schemas.openxmlformats.org/officeDocument/2006/relationships/hyperlink" Target="http://sifortuna.tanamanpangan.pertanian.go.id/" TargetMode="External" Id="rId151" /><Relationship Type="http://schemas.openxmlformats.org/officeDocument/2006/relationships/hyperlink" Target="http://tanginas.web.id/" TargetMode="External" Id="rId152" /><Relationship Type="http://schemas.openxmlformats.org/officeDocument/2006/relationships/hyperlink" Target="https://docs.google.com/spreadsheets/d/1cLC7YoJU_Mkyr5eJTL-fHfA0D-sQukvz/edit?usp=sharing&amp;ouid=112536090230720318461&amp;rtpof=true&amp;sd=true" TargetMode="External" Id="rId153" /><Relationship Type="http://schemas.openxmlformats.org/officeDocument/2006/relationships/hyperlink" Target="https://erdkk25.pertanian.go.id/" TargetMode="External" Id="rId154" /><Relationship Type="http://schemas.openxmlformats.org/officeDocument/2006/relationships/hyperlink" Target="https://docs.google.com/spreadsheets/d/1cLZrBaEOapwKOQE9usRXCTW93SFEy7Xj/edit?usp=sharing&amp;ouid=112536090230720318461&amp;rtpof=true&amp;sd=true" TargetMode="External" Id="rId155" /><Relationship Type="http://schemas.openxmlformats.org/officeDocument/2006/relationships/hyperlink" Target="https://simluh.pertanian.go.id/" TargetMode="External" Id="rId156" /><Relationship Type="http://schemas.openxmlformats.org/officeDocument/2006/relationships/hyperlink" Target="https://drive.google.com/drive/folders/1b_wlUHQifUNUdZcrhKipNlD0R6COD8yt?usp=sharing" TargetMode="External" Id="rId157" /><Relationship Type="http://schemas.openxmlformats.org/officeDocument/2006/relationships/hyperlink" Target="http://sipolan.bandungkab.go.id/" TargetMode="External" Id="rId158" /><Relationship Type="http://schemas.openxmlformats.org/officeDocument/2006/relationships/hyperlink" Target="https://drive.google.com/file/d/1u61izoWwYbUe6cGBAMpMmUf3-x1vtXk9/view?usp=drive_link" TargetMode="External" Id="rId159" /><Relationship Type="http://schemas.openxmlformats.org/officeDocument/2006/relationships/hyperlink" Target="https://sikandung.bandungkab.go.id/" TargetMode="External" Id="rId160" /><Relationship Type="http://schemas.openxmlformats.org/officeDocument/2006/relationships/hyperlink" Target="https://drive.google.com/file/d/182s0vzlBXufYR4iNRbV-7MhRItTVludu/view?usp=drive_link" TargetMode="External" Id="rId161" /><Relationship Type="http://schemas.openxmlformats.org/officeDocument/2006/relationships/hyperlink" Target="https://dispakan.bandungkab.go.id/video/" TargetMode="External" Id="rId162" /><Relationship Type="http://schemas.openxmlformats.org/officeDocument/2006/relationships/hyperlink" Target="https://drive.google.com/file/d/1u61izoWwYbUe6cGBAMpMmUf3-x1vtXk9/view?usp=drive_link" TargetMode="External" Id="rId163" /><Relationship Type="http://schemas.openxmlformats.org/officeDocument/2006/relationships/hyperlink" Target="https://sip.bandungkab.go.id/portal/topic/fsva" TargetMode="External" Id="rId164" /><Relationship Type="http://schemas.openxmlformats.org/officeDocument/2006/relationships/hyperlink" Target="https://parbuddalamangka.jabarprov.go.id/" TargetMode="External" Id="rId165" /><Relationship Type="http://schemas.openxmlformats.org/officeDocument/2006/relationships/hyperlink" Target="https://sibangkitukm.bandungkab.go.id/" TargetMode="External" Id="rId166" /><Relationship Type="http://schemas.openxmlformats.org/officeDocument/2006/relationships/hyperlink" Target="http://m.si/" TargetMode="External" Id="rId167" /><Relationship Type="http://schemas.openxmlformats.org/officeDocument/2006/relationships/hyperlink" Target="https://sikoperbedas.bandungkab.go.id/" TargetMode="External" Id="rId168" /><Relationship Type="http://schemas.openxmlformats.org/officeDocument/2006/relationships/hyperlink" Target="https://usahamikro.bandungkab.go.id/" TargetMode="External" Id="rId169" /><Relationship Type="http://schemas.openxmlformats.org/officeDocument/2006/relationships/hyperlink" Target="http://m.si/" TargetMode="External" Id="rId170" /><Relationship Type="http://schemas.openxmlformats.org/officeDocument/2006/relationships/hyperlink" Target="https://drive.google.com/file/d/1xLGvVqyQdJTXp_gTo9XoOeAPrmSfoy_q/view?usp=sharing" TargetMode="External" Id="rId171" /><Relationship Type="http://schemas.openxmlformats.org/officeDocument/2006/relationships/hyperlink" Target="https://ibandungkab.moco.co.id/" TargetMode="External" Id="rId172" /><Relationship Type="http://schemas.openxmlformats.org/officeDocument/2006/relationships/hyperlink" Target="http://a.ma/" TargetMode="External" Id="rId173" /><Relationship Type="http://schemas.openxmlformats.org/officeDocument/2006/relationships/hyperlink" Target="https://drive.google.com/file/d/1FL4agfMs9a3tAmDlzxiGL6UA1alZs_Er/view?usp=sharing" TargetMode="External" Id="rId174" /><Relationship Type="http://schemas.openxmlformats.org/officeDocument/2006/relationships/hyperlink" Target="https://perpus.bandungkab.go.id/pendaftaran" TargetMode="External" Id="rId175" /><Relationship Type="http://schemas.openxmlformats.org/officeDocument/2006/relationships/hyperlink" Target="http://sikn.anri.go.id/" TargetMode="External" Id="rId176" /><Relationship Type="http://schemas.openxmlformats.org/officeDocument/2006/relationships/hyperlink" Target="http://srikandi.arsip.go.id/" TargetMode="External" Id="rId177" /><Relationship Type="http://schemas.openxmlformats.org/officeDocument/2006/relationships/hyperlink" Target="https://ipusnas2.perpusnas.go.id/login" TargetMode="External" Id="rId178" /><Relationship Type="http://schemas.openxmlformats.org/officeDocument/2006/relationships/hyperlink" Target="https://drive.google.com/drive/folders/1Ejl6GsPadSWWZ-gXvbwNU62zsG4t_RcK?usp=drive_link" TargetMode="External" Id="rId179" /><Relationship Type="http://schemas.openxmlformats.org/officeDocument/2006/relationships/hyperlink" Target="https://apar.bandungkab.go.id/" TargetMode="External" Id="rId180" /><Relationship Type="http://schemas.openxmlformats.org/officeDocument/2006/relationships/hyperlink" Target="https://drive.google.com/drive/u/1/folders/1OmZJCQ07S-vIbWQDO6jSHpZyJaE2oGJM" TargetMode="External" Id="rId181" /><Relationship Type="http://schemas.openxmlformats.org/officeDocument/2006/relationships/hyperlink" Target="https://simbarraya.bandungkab.go.id/" TargetMode="External" Id="rId182" /><Relationship Type="http://schemas.openxmlformats.org/officeDocument/2006/relationships/hyperlink" Target="https://drive.google.com/file/d/1U5Ce3fAIo3YOESTLI_rdag9_xK_sncgn/view?usp=sharing" TargetMode="External" Id="rId183" /><Relationship Type="http://schemas.openxmlformats.org/officeDocument/2006/relationships/hyperlink" Target="https://apik.bandungkab.go.id/apik/login" TargetMode="External" Id="rId184" /><Relationship Type="http://schemas.openxmlformats.org/officeDocument/2006/relationships/hyperlink" Target="https://drive.google.com/file/d/1JhS_khzdBgbJD9WfRdXNmMfYuI_ppqJR/view?usp=sharing" TargetMode="External" Id="rId185" /><Relationship Type="http://schemas.openxmlformats.org/officeDocument/2006/relationships/hyperlink" Target="https://bajuri.bandungkab.go.id/" TargetMode="External" Id="rId186" /><Relationship Type="http://schemas.openxmlformats.org/officeDocument/2006/relationships/hyperlink" Target="https://romantik.web.bps.go.id/" TargetMode="External" Id="rId187" /><Relationship Type="http://schemas.openxmlformats.org/officeDocument/2006/relationships/hyperlink" Target="https://drive.google.com/file/d/18x4SyFaMTJIHq1ORgmmghi6RwxlrdqOk/view?usp=sharing" TargetMode="External" Id="rId188" /><Relationship Type="http://schemas.openxmlformats.org/officeDocument/2006/relationships/hyperlink" Target="https://sso.bandungkab.go.id/" TargetMode="External" Id="rId189" /><Relationship Type="http://schemas.openxmlformats.org/officeDocument/2006/relationships/hyperlink" Target="mailto:lemicandra@gmail.com" TargetMode="External" Id="rId190" /><Relationship Type="http://schemas.openxmlformats.org/officeDocument/2006/relationships/hyperlink" Target="https://pelayanan.bandungkab.dapda.id/" TargetMode="External" Id="rId191" /><Relationship Type="http://schemas.openxmlformats.org/officeDocument/2006/relationships/hyperlink" Target="https://drive.google.com/file/d/1Wq5fbFaB6cGVodoz0G93rd3_HKNa842I/view?usp=sharing" TargetMode="External" Id="rId192" /><Relationship Type="http://schemas.openxmlformats.org/officeDocument/2006/relationships/hyperlink" Target="https://hspkasb.e-planningbmd.id/auth" TargetMode="External" Id="rId193" /><Relationship Type="http://schemas.openxmlformats.org/officeDocument/2006/relationships/hyperlink" Target="https://sidesa.bandungkab.dapda.id/login" TargetMode="External" Id="rId194" /><Relationship Type="http://schemas.openxmlformats.org/officeDocument/2006/relationships/hyperlink" Target="http://soreang.dapda.id/" TargetMode="External" Id="rId195" /><Relationship Type="http://schemas.openxmlformats.org/officeDocument/2006/relationships/hyperlink" Target="https://drive.google.com/file/d/1YRKKugsMdrXTfIPPP5t9vIuPmcSmeJi-/view?usp=sharing" TargetMode="External" Id="rId196" /><Relationship Type="http://schemas.openxmlformats.org/officeDocument/2006/relationships/hyperlink" Target="https://penatausahaan-dev-bmd.bandungkab.go.id/login" TargetMode="External" Id="rId197" /><Relationship Type="http://schemas.openxmlformats.org/officeDocument/2006/relationships/hyperlink" Target="https://docs.google.com/spreadsheets/d/1GrF7yl0eJIiOHTS8n_w_9Sp-PAVtSvEu/edit?usp=drive_link&amp;ouid=100880423975394660255&amp;rtpof=true&amp;sd=true" TargetMode="External" Id="rId198" /><Relationship Type="http://schemas.openxmlformats.org/officeDocument/2006/relationships/hyperlink" Target="http://rkbmd.e-planningbmd.id/" TargetMode="External" Id="rId199" /><Relationship Type="http://schemas.openxmlformats.org/officeDocument/2006/relationships/hyperlink" Target="https://drive.google.com/file/d/1pRxS9hpYYxPfeElynApRSPgiKe_xbqQZ/view?usp=drive_link" TargetMode="External" Id="rId200" /><Relationship Type="http://schemas.openxmlformats.org/officeDocument/2006/relationships/hyperlink" Target="https://kdo.e-planningbmd.id/" TargetMode="External" Id="rId201" /><Relationship Type="http://schemas.openxmlformats.org/officeDocument/2006/relationships/hyperlink" Target="https://e-penghapusanbmd.id/" TargetMode="External" Id="rId202" /><Relationship Type="http://schemas.openxmlformats.org/officeDocument/2006/relationships/hyperlink" Target="https://persediaanbmd.bandungkab.go.id/" TargetMode="External" Id="rId203" /><Relationship Type="http://schemas.openxmlformats.org/officeDocument/2006/relationships/hyperlink" Target="https://drive.google.com/file/d/1EleK6UBDx7lBx-8YOCfg6TAbMx8HdYBj/view?usp=sharing" TargetMode="External" Id="rId204" /><Relationship Type="http://schemas.openxmlformats.org/officeDocument/2006/relationships/hyperlink" Target="http://pbb-online.bandungkab.go.id/" TargetMode="External" Id="rId205" /><Relationship Type="http://schemas.openxmlformats.org/officeDocument/2006/relationships/hyperlink" Target="https://drive.google.com/file/d/1CloKUh40TI8aJ_npp4ASJNSlnRVawVBn/view?usp=sharing" TargetMode="External" Id="rId206" /><Relationship Type="http://schemas.openxmlformats.org/officeDocument/2006/relationships/hyperlink" Target="https://drive.google.com/drive/folders/1psrMJUnyozjImYwLa6s5MSyj6ohEJYQO?usp=sharing" TargetMode="External" Id="rId207" /><Relationship Type="http://schemas.openxmlformats.org/officeDocument/2006/relationships/hyperlink" Target="https://bphtb2.bandungkab.go.id/" TargetMode="External" Id="rId208" /><Relationship Type="http://schemas.openxmlformats.org/officeDocument/2006/relationships/hyperlink" Target="https://drive.google.com/drive/folders/1YBsK-2pdfsgxA-SPqsa5WMZzipvbo0Zl?usp=sharing" TargetMode="External" Id="rId209" /><Relationship Type="http://schemas.openxmlformats.org/officeDocument/2006/relationships/hyperlink" Target="https://e-pad.bandungkab.go.id/index.php/user/login" TargetMode="External" Id="rId210" /><Relationship Type="http://schemas.openxmlformats.org/officeDocument/2006/relationships/hyperlink" Target="https://e-absensi.bandungkab.go.id/login" TargetMode="External" Id="rId211" /><Relationship Type="http://schemas.openxmlformats.org/officeDocument/2006/relationships/hyperlink" Target="https://drive.google.com/file/d/1-u8BdMLGCu4aICHYLsA_St6eYZj99BZB/view?usp=drive_link" TargetMode="External" Id="rId212" /><Relationship Type="http://schemas.openxmlformats.org/officeDocument/2006/relationships/hyperlink" Target="https://sso.bandungkab.go.id/" TargetMode="External" Id="rId213" /><Relationship Type="http://schemas.openxmlformats.org/officeDocument/2006/relationships/hyperlink" Target="mailto:dediradi@gmail.com" TargetMode="External" Id="rId214" /><Relationship Type="http://schemas.openxmlformats.org/officeDocument/2006/relationships/hyperlink" Target="https://drive.google.com/file/d/1OVv4yCmrgdrfLSeSS5ewogAtczV2aIlF/view?usp=sharing" TargetMode="External" Id="rId215" /><Relationship Type="http://schemas.openxmlformats.org/officeDocument/2006/relationships/hyperlink" Target="https://play.google.com/store/apps/details?id=com.diskominfo.bpbd" TargetMode="External" Id="rId216" /><Relationship Type="http://schemas.openxmlformats.org/officeDocument/2006/relationships/hyperlink" Target="https://drive.google.com/file/d/1OVv4yCmrgdrfLSeSS5ewogAtczV2aIlF/view?usp=sharing" TargetMode="External" Id="rId217" /><Relationship Type="http://schemas.openxmlformats.org/officeDocument/2006/relationships/hyperlink" Target="http://dibi.bnpb.go.id/" TargetMode="External" Id="rId218" /><Relationship Type="http://schemas.openxmlformats.org/officeDocument/2006/relationships/hyperlink" Target="https://docs.google.com/spreadsheets/d/1l5-2zqpZNcqk1vc27yahE2fBaLI9m7gY/edit?usp=sharing&amp;ouid=116583022603845992448&amp;rtpof=true&amp;sd=true" TargetMode="External" Id="rId219" /><Relationship Type="http://schemas.openxmlformats.org/officeDocument/2006/relationships/hyperlink" Target="https://drive.google.com/drive/folders/1B5BkNR_l7v0dpf1e8Y6cIlWcgjAqRVF5?usp=drive_link" TargetMode="External" Id="rId220" /><Relationship Type="http://schemas.openxmlformats.org/officeDocument/2006/relationships/hyperlink" Target="https://drive.google.com/file/d/1T1U4oNUqZS1NcFlgpFY6CJRp0CcQqlBv/view?usp=drive_link" TargetMode="External" Id="rId221" /><Relationship Type="http://schemas.openxmlformats.org/officeDocument/2006/relationships/hyperlink" Target="https://drive.google.com/drive/folders/1vjgfqjMxOGjNMjW_D5TVCMti_1yMqG0T?usp=sharing" TargetMode="External" Id="rId222" /><Relationship Type="http://schemas.openxmlformats.org/officeDocument/2006/relationships/hyperlink" Target="http://simpel.menlhk.go.id/" TargetMode="External" Id="rId223" /><Relationship Type="http://schemas.openxmlformats.org/officeDocument/2006/relationships/hyperlink" Target="https://ee.kobotoolbox.org/x/YQp13dFa" TargetMode="External" Id="rId224" /><Relationship Type="http://schemas.openxmlformats.org/officeDocument/2006/relationships/hyperlink" Target="https://simgajiweb.taspen.co.id/" TargetMode="External" Id="rId225" /><Relationship Type="http://schemas.openxmlformats.org/officeDocument/2006/relationships/hyperlink" Target="https://e-retribusi.bandungkab.go.id/" TargetMode="External" Id="rId226" /><Relationship Type="http://schemas.openxmlformats.org/officeDocument/2006/relationships/hyperlink" Target="http://a.md/" TargetMode="External" Id="rId227" /><Relationship Type="http://schemas.openxmlformats.org/officeDocument/2006/relationships/hyperlink" Target="https://sirup.inaproc.id/sirup/loginctr/index" TargetMode="External" Id="rId228" /><Relationship Type="http://schemas.openxmlformats.org/officeDocument/2006/relationships/hyperlink" Target="https://sisrute.kemkes.go.id/" TargetMode="External" Id="rId229" /><Relationship Type="http://schemas.openxmlformats.org/officeDocument/2006/relationships/hyperlink" Target="https://mpn.kemenkeu.go.id/" TargetMode="External" Id="rId230" /><Relationship Type="http://schemas.openxmlformats.org/officeDocument/2006/relationships/hyperlink" Target="http://sisdmk.kemkes.go.id/" TargetMode="External" Id="rId231" /><Relationship Type="http://schemas.openxmlformats.org/officeDocument/2006/relationships/hyperlink" Target="http://sirs.kemkes.go.id/" TargetMode="External" Id="rId232" /><Relationship Type="http://schemas.openxmlformats.org/officeDocument/2006/relationships/hyperlink" Target="https://sippn.menpan.go.id/" TargetMode="External" Id="rId233" /><Relationship Type="http://schemas.openxmlformats.org/officeDocument/2006/relationships/hyperlink" Target="https://mutufasyankes.kemkes.go.id/" TargetMode="External" Id="rId234" /><Relationship Type="http://schemas.openxmlformats.org/officeDocument/2006/relationships/hyperlink" Target="http://a.md/" TargetMode="External" Id="rId235" /><Relationship Type="http://schemas.openxmlformats.org/officeDocument/2006/relationships/hyperlink" Target="https://aspak.kemkes.go.id/aplikasi/site/index" TargetMode="External" Id="rId236" /><Relationship Type="http://schemas.openxmlformats.org/officeDocument/2006/relationships/hyperlink" Target="https://drive.google.com/file/d/1T1U4oNUqZS1NcFlgpFY6CJRp0CcQqlBv/view?usp=drive_link" TargetMode="External" Id="rId237" /><Relationship Type="http://schemas.openxmlformats.org/officeDocument/2006/relationships/hyperlink" Target="https://apik.bandungkab.go.id/apik/login" TargetMode="External" Id="rId238" /><Relationship Type="http://schemas.openxmlformats.org/officeDocument/2006/relationships/hyperlink" Target="https://drive.google.com/file/d/1T1U4oNUqZS1NcFlgpFY6CJRp0CcQqlBv/view?usp=drive_link" TargetMode="External" Id="rId239" /><Relationship Type="http://schemas.openxmlformats.org/officeDocument/2006/relationships/hyperlink" Target="https://skm.bandungkab.go.id/" TargetMode="External" Id="rId240" /><Relationship Type="http://schemas.openxmlformats.org/officeDocument/2006/relationships/hyperlink" Target="http://192.168.40.89/sikeren" TargetMode="External" Id="rId241" /><Relationship Type="http://schemas.openxmlformats.org/officeDocument/2006/relationships/hyperlink" Target="https://edabu.bpjs-kesehatan.go.id/Edabu/Home/Login?AspxAutoDetectCookieSupport=1" TargetMode="External" Id="rId242" /><Relationship Type="http://schemas.openxmlformats.org/officeDocument/2006/relationships/hyperlink" Target="http://satusehat.kemkes.go.id/sdmk" TargetMode="External" Id="rId243" /><Relationship Type="http://schemas.openxmlformats.org/officeDocument/2006/relationships/hyperlink" Target="http://s.tr/" TargetMode="External" Id="rId244" /><Relationship Type="http://schemas.openxmlformats.org/officeDocument/2006/relationships/hyperlink" Target="https://drive.google.com/file/d/1-OkimWi2XkYVZbq8aStpKFlsMtErBFog/view?usp=drivesdk" TargetMode="External" Id="rId245" /><Relationship Type="http://schemas.openxmlformats.org/officeDocument/2006/relationships/hyperlink" Target="http://bdskts.id/" TargetMode="External" Id="rId246" /><Relationship Type="http://schemas.openxmlformats.org/officeDocument/2006/relationships/hyperlink" Target="https://keslan.kemkes.go.id/app/siranap/" TargetMode="External" Id="rId247" /><Relationship Type="http://schemas.openxmlformats.org/officeDocument/2006/relationships/hyperlink" Target="https://drive.google.com/drive/u/1/folders/12dUcuD3FJiM5lhmxZqNrZc05M-qKTqaU" TargetMode="External" Id="rId248" /><Relationship Type="http://schemas.openxmlformats.org/officeDocument/2006/relationships/hyperlink" Target="https://akun-yankes.kemkes.go.id/" TargetMode="External" Id="rId249" /><Relationship Type="http://schemas.openxmlformats.org/officeDocument/2006/relationships/hyperlink" Target="https://ujiprof.labkesjabar.com/" TargetMode="External" Id="rId250"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251" /><Relationship Type="http://schemas.openxmlformats.org/officeDocument/2006/relationships/hyperlink" Target="https://drive.google.com/drive/u/1/folders/1BMJeHVe0f6zjx97q_TOFnGkZBTxNZTBd" TargetMode="External" Id="rId252" /><Relationship Type="http://schemas.openxmlformats.org/officeDocument/2006/relationships/hyperlink" Target="https://dashboard.kemkes.go.id/views/DashboardPemantauanAliranDataSATUSEHAT/Dashboard?%3Aembed=y&amp;%3AisGuestRedirectFromVizportal=y" TargetMode="External" Id="rId253" /><Relationship Type="http://schemas.openxmlformats.org/officeDocument/2006/relationships/hyperlink" Target="https://dmi.kemkes.go.id/dhis-web-commons/security/login.action" TargetMode="External" Id="rId254" /><Relationship Type="http://schemas.openxmlformats.org/officeDocument/2006/relationships/hyperlink" Target="https://balis.bapeten.go.id/frontend2/public/panel/dashboard" TargetMode="External" Id="rId255" /><Relationship Type="http://schemas.openxmlformats.org/officeDocument/2006/relationships/hyperlink" Target="https://e-meso.pom.go.id/ADR" TargetMode="External" Id="rId256" /><Relationship Type="http://schemas.openxmlformats.org/officeDocument/2006/relationships/hyperlink" Target="http://s.si/" TargetMode="External" Id="rId257" /><Relationship Type="http://schemas.openxmlformats.org/officeDocument/2006/relationships/hyperlink" Target="https://hfis.bpjs-kesehatan.go.id/hfis/login?hfis" TargetMode="External" Id="rId258" /><Relationship Type="http://schemas.openxmlformats.org/officeDocument/2006/relationships/hyperlink" Target="https://dhephl.bandungkab.go.id/" TargetMode="External" Id="rId259" /><Relationship Type="http://schemas.openxmlformats.org/officeDocument/2006/relationships/hyperlink" Target="https://www.google.com/search?q=UU+No.+17+Tahun+2023+tentang+Kesehatan&amp;oq=DASAR+HUKUM+PEMANTAUAN+ALIRAN+DATA+SATU+SEHAT&amp;gs_lcrp=EgZjaHJvbWUyBggAEEUYOTIKCAEQABiABBiiBDIHCAIQABjvBTIKCAMQABiABBiiBDIKCAQQABiABBiiBDIKCAUQABiABBiiBNIBCTEyMTQyajBqN6gCALACAA&amp;sourceid=chrome&amp;ie=UTF-8&amp;mstk=AUtExfCZKJ1P9WGvUjB-3wCnOalSRMrGT_dUye70LmdsJfmvBOt9xRKqwKFUEfjbTlDRzLfM_xWG-qg4MykF0-1iCKMHonr7P6LoKUtHgQwVQQm6_qVu07M500a7dYzujxlVmTAZb4Z_nz68vE_VaQIwIKKnMcTTam9FZS9eIMfm-0a5Gc0&amp;csui=3&amp;ved=2ahUKEwj4qfSH75STAxV1VmwGHYycGRgQgK4QegQIARAD" TargetMode="External" Id="rId260" /><Relationship Type="http://schemas.openxmlformats.org/officeDocument/2006/relationships/hyperlink" Target="https://drive.google.com/drive/u/1/folders/1BMJeHVe0f6zjx97q_TOFnGkZBTxNZTBd" TargetMode="External" Id="rId261" /><Relationship Type="http://schemas.openxmlformats.org/officeDocument/2006/relationships/hyperlink" Target="https://dashboard.kemkes.go.id/views/DashboardPemantauanAliranDataSATUSEHAT/Dashboard?%3Aembed=y&amp;%3AisGuestRedirectFromVizportal=y" TargetMode="External" Id="rId262" /></Relationships>
</file>

<file path=xl/worksheets/sheet1.xml><?xml version="1.0" encoding="utf-8"?>
<worksheet xmlns="http://schemas.openxmlformats.org/spreadsheetml/2006/main">
  <sheetPr>
    <outlinePr summaryBelow="0" summaryRight="0"/>
    <pageSetUpPr/>
  </sheetPr>
  <dimension ref="A1:AG55"/>
  <sheetViews>
    <sheetView workbookViewId="0">
      <pane ySplit="4" topLeftCell="A5" activePane="bottomLeft" state="frozen"/>
      <selection pane="bottomLeft" activeCell="B6" sqref="B6"/>
    </sheetView>
  </sheetViews>
  <sheetFormatPr baseColWidth="8" defaultColWidth="12.63" defaultRowHeight="15.75" customHeight="1"/>
  <cols>
    <col width="8.130000000000001" customWidth="1" style="346" min="1" max="1"/>
    <col width="21.38" customWidth="1" style="346" min="2" max="2"/>
    <col width="59.63" customWidth="1" style="346" min="3" max="3"/>
    <col width="35.5" customWidth="1" style="346" min="4" max="4"/>
    <col width="17" customWidth="1" style="346" min="5" max="5"/>
    <col width="25.38" customWidth="1" style="346" min="6" max="6"/>
    <col width="16.75" customWidth="1" style="346" min="7" max="7"/>
    <col width="12.13" customWidth="1" style="346" min="9" max="9"/>
    <col width="13.13" customWidth="1" style="346" min="10" max="10"/>
    <col width="15" customWidth="1" style="346" min="11" max="11"/>
    <col width="14.25" customWidth="1" style="346" min="12" max="12"/>
    <col width="20.13" customWidth="1" style="346" min="13" max="13"/>
    <col width="14.88" customWidth="1" style="346" min="15" max="15"/>
    <col width="17" customWidth="1" style="346" min="16" max="16"/>
    <col width="17.25" customWidth="1" style="346" min="17" max="17"/>
    <col width="24" customWidth="1" style="346" min="18" max="18"/>
    <col width="17.75" customWidth="1" style="346" min="19" max="19"/>
    <col width="16.88" customWidth="1" style="346" min="20" max="20"/>
    <col width="15.38" customWidth="1" style="346" min="23" max="23"/>
    <col width="16.75" customWidth="1" style="346" min="24" max="24"/>
    <col width="15.88" customWidth="1" style="346" min="25" max="25"/>
    <col width="15.5" customWidth="1" style="346" min="26" max="26"/>
    <col width="18.13" customWidth="1" style="346" min="27" max="27"/>
    <col width="14.88" customWidth="1" style="346" min="29" max="29"/>
    <col width="15.5" customWidth="1" style="346" min="30" max="30"/>
  </cols>
  <sheetData>
    <row r="1">
      <c r="A1" s="1" t="inlineStr">
        <is>
          <t>No</t>
        </is>
      </c>
      <c r="B1" s="2" t="inlineStr">
        <is>
          <t>Nama Layanan</t>
        </is>
      </c>
      <c r="C1" s="2" t="inlineStr">
        <is>
          <t>Tujuan dan Fungsi Layanan</t>
        </is>
      </c>
      <c r="D1" s="2" t="inlineStr">
        <is>
          <t>Dasar Hukum Layanan</t>
        </is>
      </c>
      <c r="E1" s="2" t="inlineStr">
        <is>
          <t>SOP / Proses Bisnis Layanan</t>
        </is>
      </c>
      <c r="F1" s="2" t="inlineStr">
        <is>
          <t>Referensi Layanan</t>
        </is>
      </c>
      <c r="G1" s="2" t="inlineStr">
        <is>
          <t>Target Layanan</t>
        </is>
      </c>
      <c r="H1" s="3" t="inlineStr">
        <is>
          <t>Data yang dimasukan</t>
        </is>
      </c>
      <c r="I1" s="3" t="inlineStr">
        <is>
          <t>Data yang dihasilkan</t>
        </is>
      </c>
      <c r="J1" s="3" t="inlineStr">
        <is>
          <t>Sifat Data</t>
        </is>
      </c>
      <c r="K1" s="3" t="inlineStr">
        <is>
          <t>Data Pribadi</t>
        </is>
      </c>
      <c r="L1" s="3" t="inlineStr">
        <is>
          <t>Interval update data yang dihasilkan</t>
        </is>
      </c>
      <c r="M1" s="4" t="inlineStr">
        <is>
          <t>Aplikasi Pendukung</t>
        </is>
      </c>
      <c r="N1" s="4" t="inlineStr">
        <is>
          <t>Pengembang</t>
        </is>
      </c>
      <c r="O1" s="4" t="inlineStr">
        <is>
          <t>Pemilik</t>
        </is>
      </c>
      <c r="P1" s="4" t="inlineStr">
        <is>
          <t>Platform</t>
        </is>
      </c>
      <c r="Q1" s="4" t="inlineStr">
        <is>
          <t>Alamat Aplikasi</t>
        </is>
      </c>
      <c r="R1" s="4" t="inlineStr">
        <is>
          <t>Kategori Akses</t>
        </is>
      </c>
      <c r="S1" s="4" t="inlineStr">
        <is>
          <t>Jenis Aplikasi</t>
        </is>
      </c>
      <c r="T1" s="4" t="inlineStr">
        <is>
          <t>Tahun Pembuatan</t>
        </is>
      </c>
      <c r="U1" s="4" t="inlineStr">
        <is>
          <t>Status Aplikasi</t>
        </is>
      </c>
      <c r="V1" s="4" t="inlineStr">
        <is>
          <t>Telah Terintegrasi</t>
        </is>
      </c>
      <c r="W1" s="4" t="inlineStr">
        <is>
          <t>Terintegrasi dengan Aplikasi</t>
        </is>
      </c>
      <c r="X1" s="4" t="inlineStr">
        <is>
          <t>Mekanisme Integrasi</t>
        </is>
      </c>
      <c r="Y1" s="4" t="inlineStr">
        <is>
          <t>Frekuensi Sinkronisasi</t>
        </is>
      </c>
      <c r="Z1" s="5" t="inlineStr">
        <is>
          <t>Bidang / Unit Kerja</t>
        </is>
      </c>
      <c r="AA1" s="5" t="inlineStr">
        <is>
          <t>OPD</t>
        </is>
      </c>
      <c r="AB1" s="5" t="inlineStr">
        <is>
          <t>Nama</t>
        </is>
      </c>
      <c r="AC1" s="5" t="inlineStr">
        <is>
          <t>No. HP</t>
        </is>
      </c>
      <c r="AD1" s="5" t="inlineStr">
        <is>
          <t>Email</t>
        </is>
      </c>
      <c r="AE1" s="6" t="n"/>
      <c r="AF1" s="6" t="n"/>
      <c r="AG1" s="7" t="n"/>
    </row>
    <row r="2">
      <c r="A2" s="8" t="n">
        <v>1</v>
      </c>
      <c r="B2" s="9" t="n">
        <v>2</v>
      </c>
      <c r="C2" s="10" t="n">
        <v>3</v>
      </c>
      <c r="D2" s="9" t="n">
        <v>4</v>
      </c>
      <c r="E2" s="10" t="n">
        <v>5</v>
      </c>
      <c r="F2" s="9" t="n">
        <v>6</v>
      </c>
      <c r="G2" s="10" t="n">
        <v>7</v>
      </c>
      <c r="H2" s="11" t="n">
        <v>8</v>
      </c>
      <c r="I2" s="12" t="n">
        <v>9</v>
      </c>
      <c r="J2" s="11" t="n">
        <v>10</v>
      </c>
      <c r="K2" s="12" t="n">
        <v>11</v>
      </c>
      <c r="L2" s="11" t="n">
        <v>12</v>
      </c>
      <c r="M2" s="13" t="n">
        <v>13</v>
      </c>
      <c r="N2" s="14" t="n">
        <v>14</v>
      </c>
      <c r="O2" s="13" t="n">
        <v>15</v>
      </c>
      <c r="P2" s="14" t="n">
        <v>16</v>
      </c>
      <c r="Q2" s="13" t="n">
        <v>17</v>
      </c>
      <c r="R2" s="14" t="n">
        <v>18</v>
      </c>
      <c r="S2" s="13" t="n">
        <v>19</v>
      </c>
      <c r="T2" s="14" t="n">
        <v>20</v>
      </c>
      <c r="U2" s="13" t="n">
        <v>21</v>
      </c>
      <c r="V2" s="14" t="n">
        <v>22</v>
      </c>
      <c r="W2" s="13" t="n">
        <v>23</v>
      </c>
      <c r="X2" s="14" t="n">
        <v>24</v>
      </c>
      <c r="Y2" s="13" t="n">
        <v>25</v>
      </c>
      <c r="Z2" s="15" t="n">
        <v>26</v>
      </c>
      <c r="AA2" s="16" t="n">
        <v>27</v>
      </c>
      <c r="AB2" s="15" t="n">
        <v>28</v>
      </c>
      <c r="AC2" s="16" t="n">
        <v>29</v>
      </c>
      <c r="AD2" s="15" t="n">
        <v>30</v>
      </c>
      <c r="AE2" s="17" t="n"/>
      <c r="AF2" s="17" t="n"/>
      <c r="AG2" s="18" t="n"/>
    </row>
    <row r="3">
      <c r="A3" s="8" t="inlineStr">
        <is>
          <t>Panduan</t>
        </is>
      </c>
      <c r="B3" s="46" t="inlineStr">
        <is>
          <t>Isikan dengan nama layanan yang selenggarakan</t>
        </is>
      </c>
      <c r="C3" s="46" t="inlineStr">
        <is>
          <t>Isikan dengan tujuan dan fungsi diselenggarakan layanan</t>
        </is>
      </c>
      <c r="D3" s="46" t="inlineStr">
        <is>
          <t>Isikan dengan dasar hukum penyelenggaraan layanan (Isikan dengan peraturan tingkat daerah, jika tidak ada dapat mengacu ke peraturan tingkat pusat)</t>
        </is>
      </c>
      <c r="E3" s="46" t="inlineStr">
        <is>
          <t>isikan dengan link dokumen berbentuk pdf terkait SOP / Proses Bisnis layanan</t>
        </is>
      </c>
      <c r="F3" s="46" t="inlineStr">
        <is>
          <t>Isikan referensi layanan sesuai daftar (Isikan dengan referensi layanan yang mendekati, dapat dilihat pada sheet referensi)</t>
        </is>
      </c>
      <c r="G3" s="46" t="inlineStr">
        <is>
          <t>Isikan dengan penerima layanan</t>
        </is>
      </c>
      <c r="H3" s="46" t="inlineStr">
        <is>
          <t>Isikan dengan input data</t>
        </is>
      </c>
      <c r="I3" s="46" t="inlineStr">
        <is>
          <t>Isikan dengan output data</t>
        </is>
      </c>
      <c r="J3" s="46" t="inlineStr">
        <is>
          <t>Isikan dengan sifat data</t>
        </is>
      </c>
      <c r="K3" s="46" t="inlineStr">
        <is>
          <t>Apakah terdapat Data Pribadi yang digunakan ?</t>
        </is>
      </c>
      <c r="L3" s="46" t="inlineStr">
        <is>
          <t>Pemutakhiran data hasil dari proses layanan</t>
        </is>
      </c>
      <c r="M3" s="46" t="inlineStr">
        <is>
          <t>Masukan nama aplikasi pendukung layanan, jika tidak ada maka isikan dengan "Belum terdapat aplikasi"</t>
        </is>
      </c>
      <c r="N3" s="46" t="inlineStr">
        <is>
          <t>Isikan dengan pengembang aplikasi</t>
        </is>
      </c>
      <c r="O3" s="46" t="inlineStr">
        <is>
          <t>Isikan dengan pemilik aplikasi</t>
        </is>
      </c>
      <c r="P3" s="46" t="inlineStr">
        <is>
          <t>Isikan dengan platform aplikasi</t>
        </is>
      </c>
      <c r="Q3" s="46" t="inlineStr">
        <is>
          <t>Isikan dengan alamat akses aplikasi, jika berbasis mobile isikan dengan link download</t>
        </is>
      </c>
      <c r="R3" s="46" t="inlineStr">
        <is>
          <t>Isikan dengan metode akses aplikasi</t>
        </is>
      </c>
      <c r="S3" s="46" t="inlineStr">
        <is>
          <t>Isikan dengan jenis aplikasi, informasi untuk satu arah, transaksi untuk dua arah)</t>
        </is>
      </c>
      <c r="T3" s="46" t="inlineStr">
        <is>
          <t>Isikan dengan tahun pembuatan</t>
        </is>
      </c>
      <c r="U3" s="46" t="inlineStr">
        <is>
          <t>Isikan dengan status aplikasi</t>
        </is>
      </c>
      <c r="V3" s="46" t="inlineStr">
        <is>
          <t>Apakah aplikasi telah terintegrasi ?</t>
        </is>
      </c>
      <c r="W3" s="46" t="inlineStr">
        <is>
          <t>Terintegrasi dengan aplikasi ? (Isikan dengan nama aplikasi, jika tidak isikan Tidak Terintegrasi</t>
        </is>
      </c>
      <c r="X3" s="46" t="inlineStr">
        <is>
          <t>Bagaimana proses integrasi berlangsung ?</t>
        </is>
      </c>
      <c r="Y3" s="46" t="inlineStr">
        <is>
          <t>Berapa lama integrasi data/layanan mutakhirkan ?</t>
        </is>
      </c>
      <c r="Z3" s="46" t="inlineStr">
        <is>
          <t>Isikan dengan unit kerja pelaksana layanan</t>
        </is>
      </c>
      <c r="AA3" s="46" t="inlineStr">
        <is>
          <t>Isikan dengan OPD pelaksana layanan</t>
        </is>
      </c>
      <c r="AB3" s="46" t="inlineStr">
        <is>
          <t>Isikan dengan Nama PIC pelaksana layanan</t>
        </is>
      </c>
      <c r="AC3" s="46" t="inlineStr">
        <is>
          <t>Isikan dengan nomor kontak pelaksana layanan</t>
        </is>
      </c>
      <c r="AD3" s="46" t="inlineStr">
        <is>
          <t>Isikan dengan email pelaksana layanan</t>
        </is>
      </c>
      <c r="AE3" s="17" t="n"/>
      <c r="AF3" s="17" t="n"/>
      <c r="AG3" s="18" t="n"/>
    </row>
    <row r="4">
      <c r="A4" s="8" t="inlineStr">
        <is>
          <t>Contoh</t>
        </is>
      </c>
      <c r="B4" s="46" t="inlineStr">
        <is>
          <t>Layanan Pengaduan Masyarakat</t>
        </is>
      </c>
      <c r="C4" s="46" t="inlineStr">
        <is>
          <t>Layanan Pengaduan Masyarakat (LPM) adalah wadah atau sistem yang disediakan oleh instansi pemerintah (atau lembaga publik lainnya) bagi masyarakat untuk menyampaikan keluhan, saran, masukan, aspirasi, hingga laporan atas dugaan penyimpangan atau maladministrasi dalam penyelenggaraan pemerintahan dan pelayanan publik.</t>
        </is>
      </c>
      <c r="D4" s="46" t="inlineStr">
        <is>
          <t>Undang-Undang Nomor 25 Tahun 2009 tentang Pelayanan Publik</t>
        </is>
      </c>
      <c r="E4" s="46" t="inlineStr">
        <is>
          <t>abcd.pdf</t>
        </is>
      </c>
      <c r="F4" s="46" t="inlineStr">
        <is>
          <t>PENINGKATAN KUALITAS PELAYANAN PUBLIK</t>
        </is>
      </c>
      <c r="G4" s="46" t="inlineStr">
        <is>
          <t>Masyarakat</t>
        </is>
      </c>
      <c r="H4" s="46" t="inlineStr">
        <is>
          <t>Data Pengguna, Data Adun</t>
        </is>
      </c>
      <c r="I4" s="46" t="inlineStr">
        <is>
          <t>Data Aduan Masyarakat</t>
        </is>
      </c>
      <c r="J4" s="46" t="inlineStr">
        <is>
          <t>Tertutup</t>
        </is>
      </c>
      <c r="K4" s="46" t="inlineStr">
        <is>
          <t>Terdapat</t>
        </is>
      </c>
      <c r="L4" s="46" t="inlineStr">
        <is>
          <t>Harian</t>
        </is>
      </c>
      <c r="M4" s="46" t="inlineStr">
        <is>
          <t>SP4N Lapor</t>
        </is>
      </c>
      <c r="N4" s="46" t="inlineStr">
        <is>
          <t>Pusat</t>
        </is>
      </c>
      <c r="O4" s="46" t="inlineStr">
        <is>
          <t>Pusat</t>
        </is>
      </c>
      <c r="P4" s="46" t="inlineStr">
        <is>
          <t>Website dan Mobile</t>
        </is>
      </c>
      <c r="Q4" s="20" t="inlineStr">
        <is>
          <t>https://lapor.go.id/</t>
        </is>
      </c>
      <c r="R4" s="46" t="inlineStr">
        <is>
          <t>Secara Online</t>
        </is>
      </c>
      <c r="S4" s="46" t="inlineStr">
        <is>
          <t>Transaksi</t>
        </is>
      </c>
      <c r="T4" s="46" t="n">
        <v>2018</v>
      </c>
      <c r="U4" s="46" t="inlineStr">
        <is>
          <t>Aktif</t>
        </is>
      </c>
      <c r="V4" s="46" t="inlineStr">
        <is>
          <t>Tidak</t>
        </is>
      </c>
      <c r="W4" s="46" t="inlineStr">
        <is>
          <t>Tidak Terintegrasi</t>
        </is>
      </c>
      <c r="X4" s="46" t="inlineStr">
        <is>
          <t>Tidak Terintegrasi</t>
        </is>
      </c>
      <c r="Y4" s="46" t="inlineStr">
        <is>
          <t>Tidak Terintegrasi</t>
        </is>
      </c>
      <c r="Z4" s="46" t="inlineStr">
        <is>
          <t>Bidang Informasi Komunikasi Publik</t>
        </is>
      </c>
      <c r="AA4" s="46" t="inlineStr">
        <is>
          <t>Diskominfo</t>
        </is>
      </c>
      <c r="AB4" s="20" t="inlineStr">
        <is>
          <t>Rima Diani, S.Si.Kom</t>
        </is>
      </c>
      <c r="AC4" s="46" t="n">
        <v>123</v>
      </c>
      <c r="AD4" s="46" t="inlineStr">
        <is>
          <t>rima@bandungkab.go.id</t>
        </is>
      </c>
      <c r="AE4" s="17" t="n"/>
      <c r="AF4" s="17" t="n"/>
      <c r="AG4" s="18" t="n"/>
    </row>
    <row r="5">
      <c r="A5" s="8" t="inlineStr">
        <is>
          <t>Contoh</t>
        </is>
      </c>
      <c r="B5" s="41" t="inlineStr">
        <is>
          <t>Layanan Call center 112</t>
        </is>
      </c>
      <c r="C5" s="41" t="inlineStr">
        <is>
          <t>Layanan Nomor Panggilan Darurat 112 merupakan layanan yang dapat digunakan saat terjadi keadaan darurat dengan menghubungi nomor 112 (Bebas Pulsa) yang akan terhubung dengan Pusat Panggilan Darurat (Call Center 112) yang dibangun oleh pemerintah daerah</t>
        </is>
      </c>
      <c r="D5" s="41" t="inlineStr">
        <is>
          <t xml:space="preserve">Permenkominfo 10/2016 tentang Layanan Nomor Tunggal Panggilan Darurat dan Keputusan Dirjen PPI 112/2019 tentang Pedoman Teknis Penyediaan Layanan Nomor Panggilan Darurat 112.
</t>
        </is>
      </c>
      <c r="E5" s="41" t="inlineStr">
        <is>
          <t>Belum Tersedia</t>
        </is>
      </c>
      <c r="F5" s="46" t="inlineStr">
        <is>
          <t>PENINGKATAN KUALITAS PELAYANAN PUBLIK</t>
        </is>
      </c>
      <c r="G5" s="46" t="inlineStr">
        <is>
          <t>Masyarakat</t>
        </is>
      </c>
      <c r="H5" s="46" t="inlineStr">
        <is>
          <t>Data Pelapor dan Kejadian</t>
        </is>
      </c>
      <c r="I5" s="41" t="inlineStr">
        <is>
          <t>Data Laporan Kedaruratan</t>
        </is>
      </c>
      <c r="J5" s="46" t="inlineStr">
        <is>
          <t>Terbuka</t>
        </is>
      </c>
      <c r="K5" s="46" t="inlineStr">
        <is>
          <t>Terdapat</t>
        </is>
      </c>
      <c r="L5" s="46" t="inlineStr">
        <is>
          <t>Harian</t>
        </is>
      </c>
      <c r="M5" s="41" t="inlineStr">
        <is>
          <t>Sakti112</t>
        </is>
      </c>
      <c r="N5" s="46" t="inlineStr">
        <is>
          <t>Pihak Ke 3</t>
        </is>
      </c>
      <c r="O5" s="46" t="inlineStr">
        <is>
          <t>Pihak Ke 3 (Lisensi)</t>
        </is>
      </c>
      <c r="P5" s="46" t="inlineStr">
        <is>
          <t>Website</t>
        </is>
      </c>
      <c r="Q5" s="22" t="inlineStr">
        <is>
          <t>https://kabbandungv2.sakti112.id/</t>
        </is>
      </c>
      <c r="R5" s="46" t="inlineStr">
        <is>
          <t>Secara Online</t>
        </is>
      </c>
      <c r="S5" s="46" t="inlineStr">
        <is>
          <t>Informasi</t>
        </is>
      </c>
      <c r="T5" s="41" t="n">
        <v>2023</v>
      </c>
      <c r="U5" s="46" t="inlineStr">
        <is>
          <t>Aktif</t>
        </is>
      </c>
      <c r="V5" s="46" t="inlineStr">
        <is>
          <t>Ya</t>
        </is>
      </c>
      <c r="W5" s="46" t="inlineStr">
        <is>
          <t>Tersedia untuk di integrasi ke aplikasi lain dan sudah dicoba ke aplikasi APAR milik disdamkar</t>
        </is>
      </c>
      <c r="X5" s="46" t="inlineStr">
        <is>
          <t>API</t>
        </is>
      </c>
      <c r="Y5" s="46" t="inlineStr">
        <is>
          <t>Lainnya</t>
        </is>
      </c>
      <c r="Z5" s="46" t="inlineStr">
        <is>
          <t>Bidang Informasi Komunikasi Publik</t>
        </is>
      </c>
      <c r="AA5" s="46" t="inlineStr">
        <is>
          <t>Diskominfo</t>
        </is>
      </c>
      <c r="AB5" s="41" t="inlineStr">
        <is>
          <t>Gugun</t>
        </is>
      </c>
      <c r="AC5" s="46" t="n">
        <v>456</v>
      </c>
      <c r="AD5" s="46" t="inlineStr">
        <is>
          <t>gugun@bandungkab.go.id</t>
        </is>
      </c>
      <c r="AE5" s="23" t="n"/>
      <c r="AF5" s="23" t="n"/>
      <c r="AG5" s="24" t="n"/>
    </row>
    <row r="6">
      <c r="A6" s="8" t="n">
        <v>1</v>
      </c>
      <c r="B6" s="41" t="inlineStr">
        <is>
          <t>Layanan Data</t>
        </is>
      </c>
      <c r="C6" s="41" t="inlineStr">
        <is>
          <t>Pengelolaan Data Statistik Sektoral untuk pemanfaatan data melalui Portal Satu Data</t>
        </is>
      </c>
      <c r="D6" s="41" t="inlineStr">
        <is>
          <t>Perbup Simasda</t>
        </is>
      </c>
      <c r="E6" s="41" t="n"/>
      <c r="F6" s="46" t="inlineStr">
        <is>
          <t>PENGELOLAAN DATA STATISTIK</t>
        </is>
      </c>
      <c r="G6" s="46" t="inlineStr">
        <is>
          <t>Masyarakat</t>
        </is>
      </c>
      <c r="H6" s="46" t="inlineStr">
        <is>
          <t>Data Statistik Sektoral yang bersumber dari produsen data/OPD</t>
        </is>
      </c>
      <c r="I6" s="41" t="inlineStr">
        <is>
          <t>Daftar Data Hasil Kegiatan Statistik di OPD yang tersaji pada portal satu data</t>
        </is>
      </c>
      <c r="J6" s="46" t="inlineStr">
        <is>
          <t>Terbuka</t>
        </is>
      </c>
      <c r="K6" s="46" t="inlineStr">
        <is>
          <t>Tidak terdapat</t>
        </is>
      </c>
      <c r="L6" s="46" t="inlineStr">
        <is>
          <t>Tahunan</t>
        </is>
      </c>
      <c r="M6" s="41" t="inlineStr">
        <is>
          <t>Simasda dan Portal Satu Data</t>
        </is>
      </c>
      <c r="N6" s="46" t="inlineStr">
        <is>
          <t>Diskominfo</t>
        </is>
      </c>
      <c r="O6" s="46" t="inlineStr">
        <is>
          <t>Kab. Bandung</t>
        </is>
      </c>
      <c r="P6" s="46" t="inlineStr">
        <is>
          <t>Website</t>
        </is>
      </c>
      <c r="Q6" s="22" t="inlineStr">
        <is>
          <t>https://simasda.bandungkab.go.id/ dan https://satudata.bandungkab.go.id/</t>
        </is>
      </c>
      <c r="R6" s="46" t="inlineStr">
        <is>
          <t>Secara Online</t>
        </is>
      </c>
      <c r="S6" s="46" t="inlineStr">
        <is>
          <t>Informasi</t>
        </is>
      </c>
      <c r="T6" s="46" t="n">
        <v>2019</v>
      </c>
      <c r="U6" s="46" t="inlineStr">
        <is>
          <t>Aktif</t>
        </is>
      </c>
      <c r="V6" s="46" t="inlineStr">
        <is>
          <t>Ya</t>
        </is>
      </c>
      <c r="W6" s="46" t="inlineStr">
        <is>
          <t xml:space="preserve">Open data Provinsi Jawa Barat dan Satu Data Indonesia </t>
        </is>
      </c>
      <c r="X6" s="46" t="inlineStr">
        <is>
          <t>API</t>
        </is>
      </c>
      <c r="Y6" s="46" t="inlineStr">
        <is>
          <t>Tahunan</t>
        </is>
      </c>
      <c r="Z6" s="46" t="inlineStr">
        <is>
          <t>Bidang Statistik</t>
        </is>
      </c>
      <c r="AA6" s="46" t="inlineStr">
        <is>
          <t>Diskominfo</t>
        </is>
      </c>
      <c r="AB6" s="41" t="inlineStr">
        <is>
          <t>Nyimas Ayu Kikie Zakiyah</t>
        </is>
      </c>
      <c r="AC6" s="41" t="inlineStr">
        <is>
          <t>0813-2184-5099</t>
        </is>
      </c>
      <c r="AD6" s="41" t="inlineStr">
        <is>
          <t>kikiezaki72@gmail.com</t>
        </is>
      </c>
      <c r="AE6" s="23" t="n"/>
      <c r="AF6" s="23" t="n"/>
      <c r="AG6" s="24" t="n"/>
    </row>
    <row r="7">
      <c r="A7" s="8" t="n">
        <v>2</v>
      </c>
      <c r="B7" s="41" t="inlineStr">
        <is>
          <t>Layanan Pembangunan dan Pengembangan Aplikasi</t>
        </is>
      </c>
      <c r="C7" s="41" t="inlineStr">
        <is>
          <t>Bertujuan untuk menjadi fasilitator dalam membangun dan mengembangkan aplikasi dpada Perangkat Daerah</t>
        </is>
      </c>
      <c r="D7" s="41" t="n"/>
      <c r="E7" s="41" t="n"/>
      <c r="F7" s="46" t="inlineStr">
        <is>
          <t>PENATAKELOLAAN APLIKASI INFORMATIKA</t>
        </is>
      </c>
      <c r="G7" s="46" t="inlineStr">
        <is>
          <t>Instansi Pemerintah Lainnya</t>
        </is>
      </c>
      <c r="H7" s="46" t="inlineStr">
        <is>
          <t>Permohonan Pembangunan dan Pengembangan Aplikasi dari OPD</t>
        </is>
      </c>
      <c r="I7" s="41" t="n"/>
      <c r="J7" s="46" t="n"/>
      <c r="K7" s="46" t="n"/>
      <c r="L7" s="46" t="n"/>
      <c r="M7" s="41" t="n"/>
      <c r="N7" s="46" t="n"/>
      <c r="O7" s="46" t="n"/>
      <c r="P7" s="46" t="n"/>
      <c r="Q7" s="41" t="n"/>
      <c r="R7" s="46" t="n"/>
      <c r="S7" s="46" t="n"/>
      <c r="T7" s="41" t="n"/>
      <c r="U7" s="46" t="n"/>
      <c r="V7" s="46" t="n"/>
      <c r="W7" s="46" t="n"/>
      <c r="X7" s="46" t="n"/>
      <c r="Y7" s="46" t="n"/>
      <c r="Z7" s="46" t="n"/>
      <c r="AA7" s="46" t="n"/>
      <c r="AB7" s="41" t="n"/>
      <c r="AC7" s="41" t="n"/>
      <c r="AD7" s="41" t="n"/>
      <c r="AE7" s="23" t="n"/>
      <c r="AF7" s="23" t="n"/>
      <c r="AG7" s="24" t="n"/>
    </row>
    <row r="8">
      <c r="A8" s="8" t="n">
        <v>3</v>
      </c>
      <c r="B8" s="41" t="inlineStr">
        <is>
          <t>Layanan Akses dan Kualitas Informasi Publik Pemerintah Daerah</t>
        </is>
      </c>
      <c r="C8" s="41" t="inlineStr">
        <is>
          <t>Bertujuan untuk menghitung indeks  Layanan Akses dan Kualitas Informasi Publik Pemerintah Daerah</t>
        </is>
      </c>
      <c r="D8" s="41" t="n"/>
      <c r="E8" s="41" t="n"/>
      <c r="F8" s="46" t="inlineStr">
        <is>
          <t>PENGELOLAAN INFORMASI PUBLIK</t>
        </is>
      </c>
      <c r="G8" s="46" t="inlineStr">
        <is>
          <t>Masyarakat</t>
        </is>
      </c>
      <c r="H8" s="46" t="n"/>
      <c r="I8" s="41" t="n"/>
      <c r="J8" s="46" t="n"/>
      <c r="K8" s="46" t="n"/>
      <c r="L8" s="46" t="n"/>
      <c r="M8" s="41" t="n"/>
      <c r="N8" s="46" t="n"/>
      <c r="O8" s="46" t="n"/>
      <c r="P8" s="46" t="n"/>
      <c r="Q8" s="41" t="n"/>
      <c r="R8" s="46" t="n"/>
      <c r="S8" s="46" t="n"/>
      <c r="T8" s="41" t="n"/>
      <c r="U8" s="46" t="n"/>
      <c r="V8" s="46" t="n"/>
      <c r="W8" s="46" t="n"/>
      <c r="X8" s="46" t="n"/>
      <c r="Y8" s="46" t="n"/>
      <c r="Z8" s="46" t="n"/>
      <c r="AA8" s="46" t="n"/>
      <c r="AB8" s="41" t="n"/>
      <c r="AC8" s="41" t="n"/>
      <c r="AD8" s="41" t="n"/>
      <c r="AE8" s="23" t="n"/>
      <c r="AF8" s="23" t="n"/>
      <c r="AG8" s="24" t="n"/>
    </row>
    <row r="9">
      <c r="A9" s="8" t="n">
        <v>4</v>
      </c>
      <c r="B9" s="41" t="inlineStr">
        <is>
          <t>Layanan Penerbitan Tanda Tangan Elektronik</t>
        </is>
      </c>
      <c r="C9" s="41" t="inlineStr">
        <is>
          <t>Sebagai Fasilitator dalam pelayanan penerbitan tanda tangan elektronik</t>
        </is>
      </c>
      <c r="D9" s="41" t="n"/>
      <c r="E9" s="41" t="n"/>
      <c r="F9" s="46" t="inlineStr">
        <is>
          <t>MANAJEMEN KEAMANAN INFORMASI</t>
        </is>
      </c>
      <c r="G9" s="46" t="inlineStr">
        <is>
          <t>Pegawai</t>
        </is>
      </c>
      <c r="H9" s="46" t="n"/>
      <c r="I9" s="41" t="n"/>
      <c r="J9" s="46" t="n"/>
      <c r="K9" s="46" t="n"/>
      <c r="L9" s="46" t="n"/>
      <c r="M9" s="41" t="n"/>
      <c r="N9" s="46" t="n"/>
      <c r="O9" s="46" t="n"/>
      <c r="P9" s="46" t="n"/>
      <c r="Q9" s="41" t="n"/>
      <c r="R9" s="46" t="n"/>
      <c r="S9" s="46" t="n"/>
      <c r="T9" s="41" t="n"/>
      <c r="U9" s="46" t="n"/>
      <c r="V9" s="46" t="n"/>
      <c r="W9" s="46" t="n"/>
      <c r="X9" s="46" t="n"/>
      <c r="Y9" s="46" t="n"/>
      <c r="Z9" s="46" t="n"/>
      <c r="AA9" s="46" t="n"/>
      <c r="AB9" s="41" t="n"/>
      <c r="AC9" s="41" t="n"/>
      <c r="AD9" s="41" t="n"/>
      <c r="AE9" s="23" t="n"/>
      <c r="AF9" s="23" t="n"/>
      <c r="AG9" s="24" t="n"/>
    </row>
    <row r="10">
      <c r="A10" s="8" t="n">
        <v>5</v>
      </c>
      <c r="B10" s="41" t="n"/>
      <c r="C10" s="41" t="n"/>
      <c r="D10" s="41" t="n"/>
      <c r="E10" s="41" t="n"/>
      <c r="F10" s="46" t="n"/>
      <c r="G10" s="46" t="n"/>
      <c r="H10" s="46" t="n"/>
      <c r="I10" s="41" t="n"/>
      <c r="J10" s="46" t="n"/>
      <c r="K10" s="46" t="n"/>
      <c r="L10" s="46" t="n"/>
      <c r="M10" s="41" t="n"/>
      <c r="N10" s="46" t="n"/>
      <c r="O10" s="46" t="n"/>
      <c r="P10" s="46" t="n"/>
      <c r="Q10" s="41" t="n"/>
      <c r="R10" s="46" t="n"/>
      <c r="S10" s="46" t="n"/>
      <c r="T10" s="41" t="n"/>
      <c r="U10" s="46" t="n"/>
      <c r="V10" s="46" t="n"/>
      <c r="W10" s="46" t="n"/>
      <c r="X10" s="46" t="n"/>
      <c r="Y10" s="46" t="n"/>
      <c r="Z10" s="46" t="n"/>
      <c r="AA10" s="46" t="n"/>
      <c r="AB10" s="41" t="n"/>
      <c r="AC10" s="41" t="n"/>
      <c r="AD10" s="41" t="n"/>
      <c r="AE10" s="23" t="n"/>
      <c r="AF10" s="23" t="n"/>
      <c r="AG10" s="24" t="n"/>
    </row>
    <row r="11">
      <c r="A11" s="8" t="n">
        <v>6</v>
      </c>
      <c r="B11" s="41" t="n"/>
      <c r="C11" s="41" t="n"/>
      <c r="D11" s="41" t="n"/>
      <c r="E11" s="41" t="n"/>
      <c r="F11" s="46" t="n"/>
      <c r="G11" s="46" t="n"/>
      <c r="H11" s="46" t="n"/>
      <c r="I11" s="41" t="n"/>
      <c r="J11" s="46" t="n"/>
      <c r="K11" s="46" t="n"/>
      <c r="L11" s="46" t="n"/>
      <c r="M11" s="41" t="n"/>
      <c r="N11" s="46" t="n"/>
      <c r="O11" s="46" t="n"/>
      <c r="P11" s="46" t="n"/>
      <c r="Q11" s="41" t="n"/>
      <c r="R11" s="46" t="n"/>
      <c r="S11" s="46" t="n"/>
      <c r="T11" s="41" t="n"/>
      <c r="U11" s="46" t="n"/>
      <c r="V11" s="46" t="n"/>
      <c r="W11" s="46" t="n"/>
      <c r="X11" s="46" t="n"/>
      <c r="Y11" s="46" t="n"/>
      <c r="Z11" s="46" t="n"/>
      <c r="AA11" s="46" t="n"/>
      <c r="AB11" s="41" t="n"/>
      <c r="AC11" s="41" t="n"/>
      <c r="AD11" s="41" t="n"/>
      <c r="AE11" s="23" t="n"/>
      <c r="AF11" s="23" t="n"/>
      <c r="AG11" s="24" t="n"/>
    </row>
    <row r="12">
      <c r="A12" s="8" t="n">
        <v>7</v>
      </c>
      <c r="B12" s="41" t="n"/>
      <c r="C12" s="41" t="n"/>
      <c r="D12" s="41" t="n"/>
      <c r="E12" s="41" t="n"/>
      <c r="F12" s="46" t="n"/>
      <c r="G12" s="46" t="n"/>
      <c r="H12" s="46" t="n"/>
      <c r="I12" s="41" t="n"/>
      <c r="J12" s="46" t="n"/>
      <c r="K12" s="46" t="n"/>
      <c r="L12" s="46" t="n"/>
      <c r="M12" s="41" t="n"/>
      <c r="N12" s="46" t="n"/>
      <c r="O12" s="46" t="n"/>
      <c r="P12" s="46" t="n"/>
      <c r="Q12" s="41" t="n"/>
      <c r="R12" s="46" t="n"/>
      <c r="S12" s="46" t="n"/>
      <c r="T12" s="41" t="n"/>
      <c r="U12" s="46" t="n"/>
      <c r="V12" s="46" t="n"/>
      <c r="W12" s="46" t="n"/>
      <c r="X12" s="46" t="n"/>
      <c r="Y12" s="46" t="n"/>
      <c r="Z12" s="46" t="n"/>
      <c r="AA12" s="46" t="n"/>
      <c r="AB12" s="41" t="n"/>
      <c r="AC12" s="41" t="n"/>
      <c r="AD12" s="41" t="n"/>
      <c r="AE12" s="23" t="n"/>
      <c r="AF12" s="23" t="n"/>
      <c r="AG12" s="24" t="n"/>
    </row>
    <row r="13">
      <c r="A13" s="8" t="n">
        <v>8</v>
      </c>
      <c r="B13" s="41" t="n"/>
      <c r="C13" s="41" t="n"/>
      <c r="D13" s="41" t="n"/>
      <c r="E13" s="41" t="n"/>
      <c r="F13" s="46" t="n"/>
      <c r="G13" s="46" t="n"/>
      <c r="H13" s="46" t="n"/>
      <c r="I13" s="41" t="n"/>
      <c r="J13" s="46" t="n"/>
      <c r="K13" s="46" t="n"/>
      <c r="L13" s="46" t="n"/>
      <c r="M13" s="41" t="n"/>
      <c r="N13" s="46" t="n"/>
      <c r="O13" s="46" t="n"/>
      <c r="P13" s="46" t="n"/>
      <c r="Q13" s="41" t="n"/>
      <c r="R13" s="46" t="n"/>
      <c r="S13" s="46" t="n"/>
      <c r="T13" s="41" t="n"/>
      <c r="U13" s="46" t="n"/>
      <c r="V13" s="46" t="n"/>
      <c r="W13" s="46" t="n"/>
      <c r="X13" s="46" t="n"/>
      <c r="Y13" s="46" t="n"/>
      <c r="Z13" s="46" t="n"/>
      <c r="AA13" s="46" t="n"/>
      <c r="AB13" s="41" t="n"/>
      <c r="AC13" s="41" t="n"/>
      <c r="AD13" s="41" t="n"/>
      <c r="AE13" s="23" t="n"/>
      <c r="AF13" s="23" t="n"/>
      <c r="AG13" s="24" t="n"/>
    </row>
    <row r="14">
      <c r="A14" s="8" t="n">
        <v>9</v>
      </c>
      <c r="B14" s="41" t="n"/>
      <c r="C14" s="41" t="n"/>
      <c r="D14" s="41" t="n"/>
      <c r="E14" s="41" t="n"/>
      <c r="F14" s="46" t="n"/>
      <c r="G14" s="46" t="n"/>
      <c r="H14" s="46" t="n"/>
      <c r="I14" s="41" t="n"/>
      <c r="J14" s="46" t="n"/>
      <c r="K14" s="46" t="n"/>
      <c r="L14" s="46" t="n"/>
      <c r="M14" s="41" t="n"/>
      <c r="N14" s="46" t="n"/>
      <c r="O14" s="46" t="n"/>
      <c r="P14" s="46" t="n"/>
      <c r="Q14" s="41" t="n"/>
      <c r="R14" s="46" t="n"/>
      <c r="S14" s="46" t="n"/>
      <c r="T14" s="41" t="n"/>
      <c r="U14" s="46" t="n"/>
      <c r="V14" s="46" t="n"/>
      <c r="W14" s="46" t="n"/>
      <c r="X14" s="46" t="n"/>
      <c r="Y14" s="46" t="n"/>
      <c r="Z14" s="46" t="n"/>
      <c r="AA14" s="46" t="n"/>
      <c r="AB14" s="41" t="n"/>
      <c r="AC14" s="41" t="n"/>
      <c r="AD14" s="41" t="n"/>
      <c r="AE14" s="23" t="n"/>
      <c r="AF14" s="23" t="n"/>
      <c r="AG14" s="24" t="n"/>
    </row>
    <row r="15">
      <c r="A15" s="8" t="n">
        <v>10</v>
      </c>
      <c r="B15" s="41" t="n"/>
      <c r="C15" s="41" t="n"/>
      <c r="D15" s="41" t="n"/>
      <c r="E15" s="41" t="n"/>
      <c r="F15" s="46" t="n"/>
      <c r="G15" s="46" t="n"/>
      <c r="H15" s="46" t="n"/>
      <c r="I15" s="41" t="n"/>
      <c r="J15" s="46" t="n"/>
      <c r="K15" s="46" t="n"/>
      <c r="L15" s="46" t="n"/>
      <c r="M15" s="41" t="n"/>
      <c r="N15" s="46" t="n"/>
      <c r="O15" s="46" t="n"/>
      <c r="P15" s="46" t="n"/>
      <c r="Q15" s="41" t="n"/>
      <c r="R15" s="46" t="n"/>
      <c r="S15" s="46" t="n"/>
      <c r="T15" s="41" t="n"/>
      <c r="U15" s="46" t="n"/>
      <c r="V15" s="46" t="n"/>
      <c r="W15" s="46" t="n"/>
      <c r="X15" s="46" t="n"/>
      <c r="Y15" s="46" t="n"/>
      <c r="Z15" s="46" t="n"/>
      <c r="AA15" s="46" t="n"/>
      <c r="AB15" s="41" t="n"/>
      <c r="AC15" s="41" t="n"/>
      <c r="AD15" s="41" t="n"/>
      <c r="AE15" s="23" t="n"/>
      <c r="AF15" s="23" t="n"/>
      <c r="AG15" s="24" t="n"/>
    </row>
    <row r="16">
      <c r="A16" s="8" t="n">
        <v>11</v>
      </c>
      <c r="B16" s="41" t="n"/>
      <c r="C16" s="41" t="n"/>
      <c r="D16" s="41" t="n"/>
      <c r="E16" s="41" t="n"/>
      <c r="F16" s="46" t="n"/>
      <c r="G16" s="46" t="n"/>
      <c r="H16" s="46" t="n"/>
      <c r="I16" s="41" t="n"/>
      <c r="J16" s="46" t="n"/>
      <c r="K16" s="46" t="n"/>
      <c r="L16" s="46" t="n"/>
      <c r="M16" s="41" t="n"/>
      <c r="N16" s="46" t="n"/>
      <c r="O16" s="46" t="n"/>
      <c r="P16" s="46" t="n"/>
      <c r="Q16" s="41" t="n"/>
      <c r="R16" s="46" t="n"/>
      <c r="S16" s="46" t="n"/>
      <c r="T16" s="41" t="n"/>
      <c r="U16" s="46" t="n"/>
      <c r="V16" s="46" t="n"/>
      <c r="W16" s="46" t="n"/>
      <c r="X16" s="46" t="n"/>
      <c r="Y16" s="46" t="n"/>
      <c r="Z16" s="46" t="n"/>
      <c r="AA16" s="46" t="n"/>
      <c r="AB16" s="41" t="n"/>
      <c r="AC16" s="41" t="n"/>
      <c r="AD16" s="41" t="n"/>
      <c r="AE16" s="23" t="n"/>
      <c r="AF16" s="23" t="n"/>
      <c r="AG16" s="24" t="n"/>
    </row>
    <row r="17">
      <c r="A17" s="8" t="n">
        <v>12</v>
      </c>
      <c r="B17" s="41" t="n"/>
      <c r="C17" s="41" t="n"/>
      <c r="D17" s="41" t="n"/>
      <c r="E17" s="41" t="n"/>
      <c r="F17" s="46" t="n"/>
      <c r="G17" s="46" t="n"/>
      <c r="H17" s="46" t="n"/>
      <c r="I17" s="41" t="n"/>
      <c r="J17" s="46" t="n"/>
      <c r="K17" s="46" t="n"/>
      <c r="L17" s="46" t="n"/>
      <c r="M17" s="41" t="n"/>
      <c r="N17" s="46" t="n"/>
      <c r="O17" s="46" t="n"/>
      <c r="P17" s="46" t="n"/>
      <c r="Q17" s="41" t="n"/>
      <c r="R17" s="46" t="n"/>
      <c r="S17" s="46" t="n"/>
      <c r="T17" s="41" t="n"/>
      <c r="U17" s="46" t="n"/>
      <c r="V17" s="46" t="n"/>
      <c r="W17" s="46" t="n"/>
      <c r="X17" s="46" t="n"/>
      <c r="Y17" s="46" t="n"/>
      <c r="Z17" s="46" t="n"/>
      <c r="AA17" s="46" t="n"/>
      <c r="AB17" s="41" t="n"/>
      <c r="AC17" s="41" t="n"/>
      <c r="AD17" s="41" t="n"/>
      <c r="AE17" s="23" t="n"/>
      <c r="AF17" s="23" t="n"/>
      <c r="AG17" s="24" t="n"/>
    </row>
    <row r="18">
      <c r="A18" s="8" t="n">
        <v>13</v>
      </c>
      <c r="B18" s="41" t="n"/>
      <c r="C18" s="41" t="n"/>
      <c r="D18" s="41" t="n"/>
      <c r="E18" s="41" t="n"/>
      <c r="F18" s="46" t="n"/>
      <c r="G18" s="46" t="n"/>
      <c r="H18" s="46" t="n"/>
      <c r="I18" s="41" t="n"/>
      <c r="J18" s="46" t="n"/>
      <c r="K18" s="46" t="n"/>
      <c r="L18" s="46" t="n"/>
      <c r="M18" s="41" t="n"/>
      <c r="N18" s="46" t="n"/>
      <c r="O18" s="46" t="n"/>
      <c r="P18" s="46" t="n"/>
      <c r="Q18" s="41" t="n"/>
      <c r="R18" s="46" t="n"/>
      <c r="S18" s="46" t="n"/>
      <c r="T18" s="41" t="n"/>
      <c r="U18" s="46" t="n"/>
      <c r="V18" s="46" t="n"/>
      <c r="W18" s="46" t="n"/>
      <c r="X18" s="46" t="n"/>
      <c r="Y18" s="46" t="n"/>
      <c r="Z18" s="46" t="n"/>
      <c r="AA18" s="46" t="n"/>
      <c r="AB18" s="41" t="n"/>
      <c r="AC18" s="41" t="n"/>
      <c r="AD18" s="41" t="n"/>
      <c r="AE18" s="23" t="n"/>
      <c r="AF18" s="23" t="n"/>
      <c r="AG18" s="24" t="n"/>
    </row>
    <row r="19">
      <c r="A19" s="8" t="n">
        <v>14</v>
      </c>
      <c r="B19" s="41" t="n"/>
      <c r="C19" s="41" t="n"/>
      <c r="D19" s="41" t="n"/>
      <c r="E19" s="41" t="n"/>
      <c r="F19" s="46" t="n"/>
      <c r="G19" s="46" t="n"/>
      <c r="H19" s="46" t="n"/>
      <c r="I19" s="41" t="n"/>
      <c r="J19" s="46" t="n"/>
      <c r="K19" s="46" t="n"/>
      <c r="L19" s="46" t="n"/>
      <c r="M19" s="41" t="n"/>
      <c r="N19" s="46" t="n"/>
      <c r="O19" s="46" t="n"/>
      <c r="P19" s="46" t="n"/>
      <c r="Q19" s="41" t="n"/>
      <c r="R19" s="46" t="n"/>
      <c r="S19" s="46" t="n"/>
      <c r="T19" s="41" t="n"/>
      <c r="U19" s="46" t="n"/>
      <c r="V19" s="46" t="n"/>
      <c r="W19" s="46" t="n"/>
      <c r="X19" s="46" t="n"/>
      <c r="Y19" s="46" t="n"/>
      <c r="Z19" s="46" t="n"/>
      <c r="AA19" s="46" t="n"/>
      <c r="AB19" s="41" t="n"/>
      <c r="AC19" s="41" t="n"/>
      <c r="AD19" s="41" t="n"/>
      <c r="AE19" s="23" t="n"/>
      <c r="AF19" s="23" t="n"/>
      <c r="AG19" s="24" t="n"/>
    </row>
    <row r="20">
      <c r="A20" s="8" t="n">
        <v>15</v>
      </c>
      <c r="B20" s="41" t="n"/>
      <c r="C20" s="41" t="n"/>
      <c r="D20" s="41" t="n"/>
      <c r="E20" s="41" t="n"/>
      <c r="F20" s="46" t="n"/>
      <c r="G20" s="46" t="n"/>
      <c r="H20" s="46" t="n"/>
      <c r="I20" s="41" t="n"/>
      <c r="J20" s="46" t="n"/>
      <c r="K20" s="46" t="n"/>
      <c r="L20" s="46" t="n"/>
      <c r="M20" s="41" t="n"/>
      <c r="N20" s="46" t="n"/>
      <c r="O20" s="46" t="n"/>
      <c r="P20" s="46" t="n"/>
      <c r="Q20" s="41" t="n"/>
      <c r="R20" s="46" t="n"/>
      <c r="S20" s="46" t="n"/>
      <c r="T20" s="41" t="n"/>
      <c r="U20" s="46" t="n"/>
      <c r="V20" s="46" t="n"/>
      <c r="W20" s="46" t="n"/>
      <c r="X20" s="46" t="n"/>
      <c r="Y20" s="46" t="n"/>
      <c r="Z20" s="46" t="n"/>
      <c r="AA20" s="46" t="n"/>
      <c r="AB20" s="41" t="n"/>
      <c r="AC20" s="41" t="n"/>
      <c r="AD20" s="41" t="n"/>
      <c r="AE20" s="23" t="n"/>
      <c r="AF20" s="23" t="n"/>
      <c r="AG20" s="24" t="n"/>
    </row>
    <row r="21">
      <c r="A21" s="8" t="n">
        <v>16</v>
      </c>
      <c r="B21" s="41" t="n"/>
      <c r="C21" s="41" t="n"/>
      <c r="D21" s="41" t="n"/>
      <c r="E21" s="41" t="n"/>
      <c r="F21" s="46" t="n"/>
      <c r="G21" s="46" t="n"/>
      <c r="H21" s="46" t="n"/>
      <c r="I21" s="41" t="n"/>
      <c r="J21" s="46" t="n"/>
      <c r="K21" s="46" t="n"/>
      <c r="L21" s="46" t="n"/>
      <c r="M21" s="41" t="n"/>
      <c r="N21" s="46" t="n"/>
      <c r="O21" s="46" t="n"/>
      <c r="P21" s="46" t="n"/>
      <c r="Q21" s="41" t="n"/>
      <c r="R21" s="46" t="n"/>
      <c r="S21" s="46" t="n"/>
      <c r="T21" s="41" t="n"/>
      <c r="U21" s="46" t="n"/>
      <c r="V21" s="46" t="n"/>
      <c r="W21" s="46" t="n"/>
      <c r="X21" s="46" t="n"/>
      <c r="Y21" s="46" t="n"/>
      <c r="Z21" s="46" t="n"/>
      <c r="AA21" s="46" t="n"/>
      <c r="AB21" s="41" t="n"/>
      <c r="AC21" s="41" t="n"/>
      <c r="AD21" s="41" t="n"/>
      <c r="AE21" s="23" t="n"/>
      <c r="AF21" s="23" t="n"/>
      <c r="AG21" s="24" t="n"/>
    </row>
    <row r="22">
      <c r="A22" s="8" t="n">
        <v>17</v>
      </c>
      <c r="B22" s="41" t="n"/>
      <c r="C22" s="41" t="n"/>
      <c r="D22" s="41" t="n"/>
      <c r="E22" s="41" t="n"/>
      <c r="F22" s="46" t="n"/>
      <c r="G22" s="46" t="n"/>
      <c r="H22" s="46" t="n"/>
      <c r="I22" s="41" t="n"/>
      <c r="J22" s="46" t="n"/>
      <c r="K22" s="46" t="n"/>
      <c r="L22" s="46" t="n"/>
      <c r="M22" s="41" t="n"/>
      <c r="N22" s="46" t="n"/>
      <c r="O22" s="46" t="n"/>
      <c r="P22" s="46" t="n"/>
      <c r="Q22" s="41" t="n"/>
      <c r="R22" s="46" t="n"/>
      <c r="S22" s="46" t="n"/>
      <c r="T22" s="41" t="n"/>
      <c r="U22" s="46" t="n"/>
      <c r="V22" s="46" t="n"/>
      <c r="W22" s="46" t="n"/>
      <c r="X22" s="46" t="n"/>
      <c r="Y22" s="46" t="n"/>
      <c r="Z22" s="46" t="n"/>
      <c r="AA22" s="46" t="n"/>
      <c r="AB22" s="41" t="n"/>
      <c r="AC22" s="41" t="n"/>
      <c r="AD22" s="41" t="n"/>
      <c r="AE22" s="23" t="n"/>
      <c r="AF22" s="23" t="n"/>
      <c r="AG22" s="24" t="n"/>
    </row>
    <row r="23">
      <c r="A23" s="8" t="n">
        <v>18</v>
      </c>
      <c r="B23" s="41" t="n"/>
      <c r="C23" s="41" t="n"/>
      <c r="D23" s="41" t="n"/>
      <c r="E23" s="41" t="n"/>
      <c r="F23" s="46" t="n"/>
      <c r="G23" s="46" t="n"/>
      <c r="H23" s="46" t="n"/>
      <c r="I23" s="41" t="n"/>
      <c r="J23" s="46" t="n"/>
      <c r="K23" s="46" t="n"/>
      <c r="L23" s="46" t="n"/>
      <c r="M23" s="41" t="n"/>
      <c r="N23" s="46" t="n"/>
      <c r="O23" s="46" t="n"/>
      <c r="P23" s="46" t="n"/>
      <c r="Q23" s="41" t="n"/>
      <c r="R23" s="46" t="n"/>
      <c r="S23" s="46" t="n"/>
      <c r="T23" s="41" t="n"/>
      <c r="U23" s="46" t="n"/>
      <c r="V23" s="46" t="n"/>
      <c r="W23" s="46" t="n"/>
      <c r="X23" s="46" t="n"/>
      <c r="Y23" s="46" t="n"/>
      <c r="Z23" s="46" t="n"/>
      <c r="AA23" s="46" t="n"/>
      <c r="AB23" s="41" t="n"/>
      <c r="AC23" s="41" t="n"/>
      <c r="AD23" s="41" t="n"/>
      <c r="AE23" s="23" t="n"/>
      <c r="AF23" s="23" t="n"/>
      <c r="AG23" s="24" t="n"/>
    </row>
    <row r="24">
      <c r="A24" s="8" t="n">
        <v>19</v>
      </c>
      <c r="B24" s="41" t="n"/>
      <c r="C24" s="41" t="n"/>
      <c r="D24" s="41" t="n"/>
      <c r="E24" s="41" t="n"/>
      <c r="F24" s="46" t="n"/>
      <c r="G24" s="46" t="n"/>
      <c r="H24" s="46" t="n"/>
      <c r="I24" s="41" t="n"/>
      <c r="J24" s="46" t="n"/>
      <c r="K24" s="46" t="n"/>
      <c r="L24" s="46" t="n"/>
      <c r="M24" s="41" t="n"/>
      <c r="N24" s="46" t="n"/>
      <c r="O24" s="46" t="n"/>
      <c r="P24" s="46" t="n"/>
      <c r="Q24" s="41" t="n"/>
      <c r="R24" s="46" t="n"/>
      <c r="S24" s="46" t="n"/>
      <c r="T24" s="41" t="n"/>
      <c r="U24" s="46" t="n"/>
      <c r="V24" s="46" t="n"/>
      <c r="W24" s="46" t="n"/>
      <c r="X24" s="46" t="n"/>
      <c r="Y24" s="46" t="n"/>
      <c r="Z24" s="46" t="n"/>
      <c r="AA24" s="46" t="n"/>
      <c r="AB24" s="41" t="n"/>
      <c r="AC24" s="41" t="n"/>
      <c r="AD24" s="41" t="n"/>
      <c r="AE24" s="23" t="n"/>
      <c r="AF24" s="23" t="n"/>
      <c r="AG24" s="24" t="n"/>
    </row>
    <row r="25">
      <c r="A25" s="8" t="n">
        <v>20</v>
      </c>
      <c r="B25" s="41" t="n"/>
      <c r="C25" s="41" t="n"/>
      <c r="D25" s="41" t="n"/>
      <c r="E25" s="41" t="n"/>
      <c r="F25" s="46" t="n"/>
      <c r="G25" s="46" t="n"/>
      <c r="H25" s="46" t="n"/>
      <c r="I25" s="41" t="n"/>
      <c r="J25" s="46" t="n"/>
      <c r="K25" s="46" t="n"/>
      <c r="L25" s="46" t="n"/>
      <c r="M25" s="41" t="n"/>
      <c r="N25" s="46" t="n"/>
      <c r="O25" s="46" t="n"/>
      <c r="P25" s="46" t="n"/>
      <c r="Q25" s="41" t="n"/>
      <c r="R25" s="46" t="n"/>
      <c r="S25" s="46" t="n"/>
      <c r="T25" s="41" t="n"/>
      <c r="U25" s="46" t="n"/>
      <c r="V25" s="46" t="n"/>
      <c r="W25" s="46" t="n"/>
      <c r="X25" s="46" t="n"/>
      <c r="Y25" s="46" t="n"/>
      <c r="Z25" s="46" t="n"/>
      <c r="AA25" s="46" t="n"/>
      <c r="AB25" s="41" t="n"/>
      <c r="AC25" s="41" t="n"/>
      <c r="AD25" s="41" t="n"/>
      <c r="AE25" s="23" t="n"/>
      <c r="AF25" s="23" t="n"/>
      <c r="AG25" s="24" t="n"/>
    </row>
    <row r="26">
      <c r="A26" s="8" t="n">
        <v>21</v>
      </c>
      <c r="B26" s="23" t="n"/>
      <c r="C26" s="23" t="n"/>
      <c r="D26" s="23" t="n"/>
      <c r="E26" s="23" t="n"/>
      <c r="F26" s="46" t="n"/>
      <c r="G26" s="46" t="n"/>
      <c r="H26" s="46" t="n"/>
      <c r="I26" s="41" t="n"/>
      <c r="J26" s="46" t="n"/>
      <c r="K26" s="46" t="n"/>
      <c r="L26" s="46" t="n"/>
      <c r="M26" s="41" t="n"/>
      <c r="N26" s="46" t="n"/>
      <c r="O26" s="46" t="n"/>
      <c r="P26" s="46" t="n"/>
      <c r="Q26" s="41" t="n"/>
      <c r="R26" s="46" t="n"/>
      <c r="S26" s="46" t="n"/>
      <c r="T26" s="41" t="n"/>
      <c r="U26" s="46" t="n"/>
      <c r="V26" s="46" t="n"/>
      <c r="W26" s="46" t="n"/>
      <c r="X26" s="46" t="n"/>
      <c r="Y26" s="46" t="n"/>
      <c r="Z26" s="46" t="n"/>
      <c r="AA26" s="46" t="n"/>
      <c r="AB26" s="41" t="n"/>
      <c r="AC26" s="41" t="n"/>
      <c r="AD26" s="41" t="n"/>
      <c r="AE26" s="23" t="n"/>
      <c r="AF26" s="23" t="n"/>
      <c r="AG26" s="24" t="n"/>
    </row>
    <row r="27">
      <c r="A27" s="8" t="n">
        <v>22</v>
      </c>
      <c r="B27" s="23" t="n"/>
      <c r="C27" s="23" t="n"/>
      <c r="D27" s="23" t="n"/>
      <c r="E27" s="23" t="n"/>
      <c r="F27" s="46" t="n"/>
      <c r="G27" s="46" t="n"/>
      <c r="H27" s="46" t="n"/>
      <c r="I27" s="41" t="n"/>
      <c r="J27" s="46" t="n"/>
      <c r="K27" s="46" t="n"/>
      <c r="L27" s="46" t="n"/>
      <c r="M27" s="41" t="n"/>
      <c r="N27" s="46" t="n"/>
      <c r="O27" s="46" t="n"/>
      <c r="P27" s="46" t="n"/>
      <c r="Q27" s="41" t="n"/>
      <c r="R27" s="46" t="n"/>
      <c r="S27" s="46" t="n"/>
      <c r="T27" s="41" t="n"/>
      <c r="U27" s="46" t="n"/>
      <c r="V27" s="46" t="n"/>
      <c r="W27" s="46" t="n"/>
      <c r="X27" s="46" t="n"/>
      <c r="Y27" s="46" t="n"/>
      <c r="Z27" s="46" t="n"/>
      <c r="AA27" s="46" t="n"/>
      <c r="AB27" s="41" t="n"/>
      <c r="AC27" s="41" t="n"/>
      <c r="AD27" s="41" t="n"/>
      <c r="AE27" s="23" t="n"/>
      <c r="AF27" s="23" t="n"/>
      <c r="AG27" s="24" t="n"/>
    </row>
    <row r="28">
      <c r="A28" s="8" t="n">
        <v>23</v>
      </c>
      <c r="B28" s="23" t="n"/>
      <c r="C28" s="23" t="n"/>
      <c r="D28" s="23" t="n"/>
      <c r="E28" s="23" t="n"/>
      <c r="F28" s="46" t="n"/>
      <c r="G28" s="46" t="n"/>
      <c r="H28" s="46" t="n"/>
      <c r="I28" s="41" t="n"/>
      <c r="J28" s="46" t="n"/>
      <c r="K28" s="46" t="n"/>
      <c r="L28" s="46" t="n"/>
      <c r="M28" s="41" t="n"/>
      <c r="N28" s="46" t="n"/>
      <c r="O28" s="46" t="n"/>
      <c r="P28" s="46" t="n"/>
      <c r="Q28" s="41" t="n"/>
      <c r="R28" s="46" t="n"/>
      <c r="S28" s="46" t="n"/>
      <c r="T28" s="41" t="n"/>
      <c r="U28" s="46" t="n"/>
      <c r="V28" s="46" t="n"/>
      <c r="W28" s="46" t="n"/>
      <c r="X28" s="46" t="n"/>
      <c r="Y28" s="46" t="n"/>
      <c r="Z28" s="46" t="n"/>
      <c r="AA28" s="46" t="n"/>
      <c r="AB28" s="41" t="n"/>
      <c r="AC28" s="41" t="n"/>
      <c r="AD28" s="41" t="n"/>
      <c r="AE28" s="23" t="n"/>
      <c r="AF28" s="23" t="n"/>
      <c r="AG28" s="24" t="n"/>
    </row>
    <row r="29">
      <c r="A29" s="8" t="n">
        <v>24</v>
      </c>
      <c r="B29" s="23" t="n"/>
      <c r="C29" s="23" t="n"/>
      <c r="D29" s="23" t="n"/>
      <c r="E29" s="23" t="n"/>
      <c r="F29" s="46" t="n"/>
      <c r="G29" s="46" t="n"/>
      <c r="H29" s="46" t="n"/>
      <c r="I29" s="41" t="n"/>
      <c r="J29" s="46" t="n"/>
      <c r="K29" s="46" t="n"/>
      <c r="L29" s="46" t="n"/>
      <c r="M29" s="41" t="n"/>
      <c r="N29" s="46" t="n"/>
      <c r="O29" s="46" t="n"/>
      <c r="P29" s="46" t="n"/>
      <c r="Q29" s="41" t="n"/>
      <c r="R29" s="46" t="n"/>
      <c r="S29" s="46" t="n"/>
      <c r="T29" s="41" t="n"/>
      <c r="U29" s="46" t="n"/>
      <c r="V29" s="46" t="n"/>
      <c r="W29" s="46" t="n"/>
      <c r="X29" s="46" t="n"/>
      <c r="Y29" s="46" t="n"/>
      <c r="Z29" s="46" t="n"/>
      <c r="AA29" s="46" t="n"/>
      <c r="AB29" s="41" t="n"/>
      <c r="AC29" s="41" t="n"/>
      <c r="AD29" s="41" t="n"/>
      <c r="AE29" s="23" t="n"/>
      <c r="AF29" s="23" t="n"/>
      <c r="AG29" s="24" t="n"/>
    </row>
    <row r="30">
      <c r="A30" s="8" t="n">
        <v>25</v>
      </c>
      <c r="B30" s="23" t="n"/>
      <c r="C30" s="23" t="n"/>
      <c r="D30" s="23" t="n"/>
      <c r="E30" s="23" t="n"/>
      <c r="F30" s="46" t="n"/>
      <c r="G30" s="46" t="n"/>
      <c r="H30" s="46" t="n"/>
      <c r="I30" s="41" t="n"/>
      <c r="J30" s="46" t="n"/>
      <c r="K30" s="46" t="n"/>
      <c r="L30" s="46" t="n"/>
      <c r="M30" s="41" t="n"/>
      <c r="N30" s="46" t="n"/>
      <c r="O30" s="46" t="n"/>
      <c r="P30" s="46" t="n"/>
      <c r="Q30" s="41" t="n"/>
      <c r="R30" s="46" t="n"/>
      <c r="S30" s="46" t="n"/>
      <c r="T30" s="41" t="n"/>
      <c r="U30" s="46" t="n"/>
      <c r="V30" s="46" t="n"/>
      <c r="W30" s="46" t="n"/>
      <c r="X30" s="46" t="n"/>
      <c r="Y30" s="46" t="n"/>
      <c r="Z30" s="46" t="n"/>
      <c r="AA30" s="46" t="n"/>
      <c r="AB30" s="41" t="n"/>
      <c r="AC30" s="41" t="n"/>
      <c r="AD30" s="41" t="n"/>
      <c r="AE30" s="23" t="n"/>
      <c r="AF30" s="23" t="n"/>
      <c r="AG30" s="24" t="n"/>
    </row>
    <row r="31">
      <c r="A31" s="8" t="n">
        <v>26</v>
      </c>
      <c r="B31" s="23" t="n"/>
      <c r="C31" s="23" t="n"/>
      <c r="D31" s="23" t="n"/>
      <c r="E31" s="23" t="n"/>
      <c r="F31" s="46" t="n"/>
      <c r="G31" s="46" t="n"/>
      <c r="H31" s="46" t="n"/>
      <c r="I31" s="41" t="n"/>
      <c r="J31" s="46" t="n"/>
      <c r="K31" s="46" t="n"/>
      <c r="L31" s="46" t="n"/>
      <c r="M31" s="41" t="n"/>
      <c r="N31" s="46" t="n"/>
      <c r="O31" s="46" t="n"/>
      <c r="P31" s="46" t="n"/>
      <c r="Q31" s="41" t="n"/>
      <c r="R31" s="46" t="n"/>
      <c r="S31" s="46" t="n"/>
      <c r="T31" s="41" t="n"/>
      <c r="U31" s="46" t="n"/>
      <c r="V31" s="46" t="n"/>
      <c r="W31" s="46" t="n"/>
      <c r="X31" s="46" t="n"/>
      <c r="Y31" s="46" t="n"/>
      <c r="Z31" s="46" t="n"/>
      <c r="AA31" s="46" t="n"/>
      <c r="AB31" s="41" t="n"/>
      <c r="AC31" s="41" t="n"/>
      <c r="AD31" s="41" t="n"/>
      <c r="AE31" s="23" t="n"/>
      <c r="AF31" s="23" t="n"/>
      <c r="AG31" s="24" t="n"/>
    </row>
    <row r="32">
      <c r="A32" s="8" t="n">
        <v>27</v>
      </c>
      <c r="B32" s="23" t="n"/>
      <c r="C32" s="23" t="n"/>
      <c r="D32" s="23" t="n"/>
      <c r="E32" s="23" t="n"/>
      <c r="F32" s="46" t="n"/>
      <c r="G32" s="46" t="n"/>
      <c r="H32" s="46" t="n"/>
      <c r="I32" s="41" t="n"/>
      <c r="J32" s="46" t="n"/>
      <c r="K32" s="46" t="n"/>
      <c r="L32" s="46" t="n"/>
      <c r="M32" s="41" t="n"/>
      <c r="N32" s="46" t="n"/>
      <c r="O32" s="46" t="n"/>
      <c r="P32" s="46" t="n"/>
      <c r="Q32" s="41" t="n"/>
      <c r="R32" s="46" t="n"/>
      <c r="S32" s="46" t="n"/>
      <c r="T32" s="41" t="n"/>
      <c r="U32" s="46" t="n"/>
      <c r="V32" s="46" t="n"/>
      <c r="W32" s="46" t="n"/>
      <c r="X32" s="46" t="n"/>
      <c r="Y32" s="46" t="n"/>
      <c r="Z32" s="46" t="n"/>
      <c r="AA32" s="46" t="n"/>
      <c r="AB32" s="41" t="n"/>
      <c r="AC32" s="41" t="n"/>
      <c r="AD32" s="41" t="n"/>
      <c r="AE32" s="23" t="n"/>
      <c r="AF32" s="23" t="n"/>
      <c r="AG32" s="24" t="n"/>
    </row>
    <row r="33">
      <c r="A33" s="8" t="n">
        <v>28</v>
      </c>
      <c r="B33" s="23" t="n"/>
      <c r="C33" s="23" t="n"/>
      <c r="D33" s="23" t="n"/>
      <c r="E33" s="23" t="n"/>
      <c r="F33" s="46" t="n"/>
      <c r="G33" s="46" t="n"/>
      <c r="H33" s="46" t="n"/>
      <c r="I33" s="41" t="n"/>
      <c r="J33" s="46" t="n"/>
      <c r="K33" s="46" t="n"/>
      <c r="L33" s="46" t="n"/>
      <c r="M33" s="41" t="n"/>
      <c r="N33" s="46" t="n"/>
      <c r="O33" s="46" t="n"/>
      <c r="P33" s="46" t="n"/>
      <c r="Q33" s="41" t="n"/>
      <c r="R33" s="46" t="n"/>
      <c r="S33" s="46" t="n"/>
      <c r="T33" s="41" t="n"/>
      <c r="U33" s="46" t="n"/>
      <c r="V33" s="46" t="n"/>
      <c r="W33" s="46" t="n"/>
      <c r="X33" s="46" t="n"/>
      <c r="Y33" s="46" t="n"/>
      <c r="Z33" s="46" t="n"/>
      <c r="AA33" s="46" t="n"/>
      <c r="AB33" s="41" t="n"/>
      <c r="AC33" s="41" t="n"/>
      <c r="AD33" s="41" t="n"/>
      <c r="AE33" s="23" t="n"/>
      <c r="AF33" s="23" t="n"/>
      <c r="AG33" s="24" t="n"/>
    </row>
    <row r="34">
      <c r="A34" s="8" t="n">
        <v>29</v>
      </c>
      <c r="B34" s="23" t="n"/>
      <c r="C34" s="23" t="n"/>
      <c r="D34" s="23" t="n"/>
      <c r="E34" s="23" t="n"/>
      <c r="F34" s="46" t="n"/>
      <c r="G34" s="46" t="n"/>
      <c r="H34" s="46" t="n"/>
      <c r="I34" s="41" t="n"/>
      <c r="J34" s="46" t="n"/>
      <c r="K34" s="46" t="n"/>
      <c r="L34" s="46" t="n"/>
      <c r="M34" s="41" t="n"/>
      <c r="N34" s="46" t="n"/>
      <c r="O34" s="46" t="n"/>
      <c r="P34" s="46" t="n"/>
      <c r="Q34" s="41" t="n"/>
      <c r="R34" s="46" t="n"/>
      <c r="S34" s="46" t="n"/>
      <c r="T34" s="41" t="n"/>
      <c r="U34" s="46" t="n"/>
      <c r="V34" s="46" t="n"/>
      <c r="W34" s="46" t="n"/>
      <c r="X34" s="46" t="n"/>
      <c r="Y34" s="46" t="n"/>
      <c r="Z34" s="46" t="n"/>
      <c r="AA34" s="46" t="n"/>
      <c r="AB34" s="41" t="n"/>
      <c r="AC34" s="41" t="n"/>
      <c r="AD34" s="41" t="n"/>
      <c r="AE34" s="23" t="n"/>
      <c r="AF34" s="23" t="n"/>
      <c r="AG34" s="24" t="n"/>
    </row>
    <row r="35">
      <c r="A35" s="8" t="n">
        <v>30</v>
      </c>
      <c r="B35" s="23" t="n"/>
      <c r="C35" s="23" t="n"/>
      <c r="D35" s="23" t="n"/>
      <c r="E35" s="23" t="n"/>
      <c r="F35" s="46" t="n"/>
      <c r="G35" s="46" t="n"/>
      <c r="H35" s="46" t="n"/>
      <c r="I35" s="41" t="n"/>
      <c r="J35" s="46" t="n"/>
      <c r="K35" s="46" t="n"/>
      <c r="L35" s="46" t="n"/>
      <c r="M35" s="41" t="n"/>
      <c r="N35" s="46" t="n"/>
      <c r="O35" s="46" t="n"/>
      <c r="P35" s="46" t="n"/>
      <c r="Q35" s="41" t="n"/>
      <c r="R35" s="46" t="n"/>
      <c r="S35" s="46" t="n"/>
      <c r="T35" s="41" t="n"/>
      <c r="U35" s="46" t="n"/>
      <c r="V35" s="46" t="n"/>
      <c r="W35" s="46" t="n"/>
      <c r="X35" s="46" t="n"/>
      <c r="Y35" s="46" t="n"/>
      <c r="Z35" s="46" t="n"/>
      <c r="AA35" s="46" t="n"/>
      <c r="AB35" s="41" t="n"/>
      <c r="AC35" s="41" t="n"/>
      <c r="AD35" s="41" t="n"/>
      <c r="AE35" s="23" t="n"/>
      <c r="AF35" s="23" t="n"/>
      <c r="AG35" s="24" t="n"/>
    </row>
    <row r="36">
      <c r="A36" s="8" t="n">
        <v>31</v>
      </c>
      <c r="B36" s="23" t="n"/>
      <c r="C36" s="23" t="n"/>
      <c r="D36" s="23" t="n"/>
      <c r="E36" s="23" t="n"/>
      <c r="F36" s="46" t="n"/>
      <c r="G36" s="46" t="n"/>
      <c r="H36" s="46" t="n"/>
      <c r="I36" s="41" t="n"/>
      <c r="J36" s="46" t="n"/>
      <c r="K36" s="46" t="n"/>
      <c r="L36" s="46" t="n"/>
      <c r="M36" s="41" t="n"/>
      <c r="N36" s="46" t="n"/>
      <c r="O36" s="46" t="n"/>
      <c r="P36" s="46" t="n"/>
      <c r="Q36" s="41" t="n"/>
      <c r="R36" s="46" t="n"/>
      <c r="S36" s="46" t="n"/>
      <c r="T36" s="41" t="n"/>
      <c r="U36" s="46" t="n"/>
      <c r="V36" s="46" t="n"/>
      <c r="W36" s="46" t="n"/>
      <c r="X36" s="46" t="n"/>
      <c r="Y36" s="46" t="n"/>
      <c r="Z36" s="46" t="n"/>
      <c r="AA36" s="46" t="n"/>
      <c r="AB36" s="41" t="n"/>
      <c r="AC36" s="41" t="n"/>
      <c r="AD36" s="41" t="n"/>
      <c r="AE36" s="23" t="n"/>
      <c r="AF36" s="23" t="n"/>
      <c r="AG36" s="24" t="n"/>
    </row>
    <row r="37">
      <c r="A37" s="8" t="n">
        <v>32</v>
      </c>
      <c r="B37" s="23" t="n"/>
      <c r="C37" s="23" t="n"/>
      <c r="D37" s="23" t="n"/>
      <c r="E37" s="23" t="n"/>
      <c r="F37" s="46" t="n"/>
      <c r="G37" s="46" t="n"/>
      <c r="H37" s="46" t="n"/>
      <c r="I37" s="41" t="n"/>
      <c r="J37" s="46" t="n"/>
      <c r="K37" s="46" t="n"/>
      <c r="L37" s="46" t="n"/>
      <c r="M37" s="41" t="n"/>
      <c r="N37" s="46" t="n"/>
      <c r="O37" s="46" t="n"/>
      <c r="P37" s="46" t="n"/>
      <c r="Q37" s="41" t="n"/>
      <c r="R37" s="46" t="n"/>
      <c r="S37" s="46" t="n"/>
      <c r="T37" s="41" t="n"/>
      <c r="U37" s="46" t="n"/>
      <c r="V37" s="46" t="n"/>
      <c r="W37" s="46" t="n"/>
      <c r="X37" s="46" t="n"/>
      <c r="Y37" s="46" t="n"/>
      <c r="Z37" s="46" t="n"/>
      <c r="AA37" s="46" t="n"/>
      <c r="AB37" s="41" t="n"/>
      <c r="AC37" s="41" t="n"/>
      <c r="AD37" s="41" t="n"/>
      <c r="AE37" s="23" t="n"/>
      <c r="AF37" s="23" t="n"/>
      <c r="AG37" s="24" t="n"/>
    </row>
    <row r="38">
      <c r="A38" s="8" t="n">
        <v>33</v>
      </c>
      <c r="B38" s="23" t="n"/>
      <c r="C38" s="23" t="n"/>
      <c r="D38" s="23" t="n"/>
      <c r="E38" s="23" t="n"/>
      <c r="F38" s="46" t="n"/>
      <c r="G38" s="46" t="n"/>
      <c r="H38" s="46" t="n"/>
      <c r="I38" s="41" t="n"/>
      <c r="J38" s="46" t="n"/>
      <c r="K38" s="46" t="n"/>
      <c r="L38" s="46" t="n"/>
      <c r="M38" s="41" t="n"/>
      <c r="N38" s="46" t="n"/>
      <c r="O38" s="46" t="n"/>
      <c r="P38" s="46" t="n"/>
      <c r="Q38" s="41" t="n"/>
      <c r="R38" s="46" t="n"/>
      <c r="S38" s="46" t="n"/>
      <c r="T38" s="41" t="n"/>
      <c r="U38" s="46" t="n"/>
      <c r="V38" s="46" t="n"/>
      <c r="W38" s="46" t="n"/>
      <c r="X38" s="46" t="n"/>
      <c r="Y38" s="46" t="n"/>
      <c r="Z38" s="46" t="n"/>
      <c r="AA38" s="46" t="n"/>
      <c r="AB38" s="41" t="n"/>
      <c r="AC38" s="41" t="n"/>
      <c r="AD38" s="41" t="n"/>
      <c r="AE38" s="23" t="n"/>
      <c r="AF38" s="23" t="n"/>
      <c r="AG38" s="24" t="n"/>
    </row>
    <row r="39">
      <c r="A39" s="8" t="n">
        <v>34</v>
      </c>
      <c r="B39" s="23" t="n"/>
      <c r="C39" s="23" t="n"/>
      <c r="D39" s="23" t="n"/>
      <c r="E39" s="23" t="n"/>
      <c r="F39" s="46" t="n"/>
      <c r="G39" s="46" t="n"/>
      <c r="H39" s="46" t="n"/>
      <c r="I39" s="41" t="n"/>
      <c r="J39" s="46" t="n"/>
      <c r="K39" s="46" t="n"/>
      <c r="L39" s="46" t="n"/>
      <c r="M39" s="41" t="n"/>
      <c r="N39" s="46" t="n"/>
      <c r="O39" s="46" t="n"/>
      <c r="P39" s="46" t="n"/>
      <c r="Q39" s="41" t="n"/>
      <c r="R39" s="46" t="n"/>
      <c r="S39" s="46" t="n"/>
      <c r="T39" s="41" t="n"/>
      <c r="U39" s="46" t="n"/>
      <c r="V39" s="46" t="n"/>
      <c r="W39" s="46" t="n"/>
      <c r="X39" s="46" t="n"/>
      <c r="Y39" s="46" t="n"/>
      <c r="Z39" s="46" t="n"/>
      <c r="AA39" s="46" t="n"/>
      <c r="AB39" s="41" t="n"/>
      <c r="AC39" s="41" t="n"/>
      <c r="AD39" s="41" t="n"/>
      <c r="AE39" s="23" t="n"/>
      <c r="AF39" s="23" t="n"/>
      <c r="AG39" s="24" t="n"/>
    </row>
    <row r="40">
      <c r="A40" s="8" t="n">
        <v>35</v>
      </c>
      <c r="B40" s="23" t="n"/>
      <c r="C40" s="23" t="n"/>
      <c r="D40" s="23" t="n"/>
      <c r="E40" s="23" t="n"/>
      <c r="F40" s="46" t="n"/>
      <c r="G40" s="46" t="n"/>
      <c r="H40" s="46" t="n"/>
      <c r="I40" s="41" t="n"/>
      <c r="J40" s="46" t="n"/>
      <c r="K40" s="46" t="n"/>
      <c r="L40" s="46" t="n"/>
      <c r="M40" s="41" t="n"/>
      <c r="N40" s="46" t="n"/>
      <c r="O40" s="46" t="n"/>
      <c r="P40" s="46" t="n"/>
      <c r="Q40" s="41" t="n"/>
      <c r="R40" s="46" t="n"/>
      <c r="S40" s="46" t="n"/>
      <c r="T40" s="41" t="n"/>
      <c r="U40" s="46" t="n"/>
      <c r="V40" s="46" t="n"/>
      <c r="W40" s="46" t="n"/>
      <c r="X40" s="46" t="n"/>
      <c r="Y40" s="46" t="n"/>
      <c r="Z40" s="46" t="n"/>
      <c r="AA40" s="46" t="n"/>
      <c r="AB40" s="41" t="n"/>
      <c r="AC40" s="41" t="n"/>
      <c r="AD40" s="41" t="n"/>
      <c r="AE40" s="23" t="n"/>
      <c r="AF40" s="23" t="n"/>
      <c r="AG40" s="24" t="n"/>
    </row>
    <row r="41">
      <c r="A41" s="8" t="n">
        <v>36</v>
      </c>
      <c r="B41" s="23" t="n"/>
      <c r="C41" s="23" t="n"/>
      <c r="D41" s="23" t="n"/>
      <c r="E41" s="23" t="n"/>
      <c r="F41" s="46" t="n"/>
      <c r="G41" s="46" t="n"/>
      <c r="H41" s="46" t="n"/>
      <c r="I41" s="41" t="n"/>
      <c r="J41" s="46" t="n"/>
      <c r="K41" s="46" t="n"/>
      <c r="L41" s="46" t="n"/>
      <c r="M41" s="41" t="n"/>
      <c r="N41" s="46" t="n"/>
      <c r="O41" s="46" t="n"/>
      <c r="P41" s="46" t="n"/>
      <c r="Q41" s="41" t="n"/>
      <c r="R41" s="46" t="n"/>
      <c r="S41" s="46" t="n"/>
      <c r="T41" s="41" t="n"/>
      <c r="U41" s="46" t="n"/>
      <c r="V41" s="46" t="n"/>
      <c r="W41" s="46" t="n"/>
      <c r="X41" s="46" t="n"/>
      <c r="Y41" s="46" t="n"/>
      <c r="Z41" s="46" t="n"/>
      <c r="AA41" s="46" t="n"/>
      <c r="AB41" s="41" t="n"/>
      <c r="AC41" s="41" t="n"/>
      <c r="AD41" s="41" t="n"/>
      <c r="AE41" s="23" t="n"/>
      <c r="AF41" s="23" t="n"/>
      <c r="AG41" s="24" t="n"/>
    </row>
    <row r="42">
      <c r="A42" s="8" t="n">
        <v>37</v>
      </c>
      <c r="B42" s="23" t="n"/>
      <c r="C42" s="23" t="n"/>
      <c r="D42" s="23" t="n"/>
      <c r="E42" s="23" t="n"/>
      <c r="F42" s="46" t="n"/>
      <c r="G42" s="46" t="n"/>
      <c r="H42" s="46" t="n"/>
      <c r="I42" s="41" t="n"/>
      <c r="J42" s="46" t="n"/>
      <c r="K42" s="46" t="n"/>
      <c r="L42" s="46" t="n"/>
      <c r="M42" s="41" t="n"/>
      <c r="N42" s="46" t="n"/>
      <c r="O42" s="46" t="n"/>
      <c r="P42" s="46" t="n"/>
      <c r="Q42" s="41" t="n"/>
      <c r="R42" s="46" t="n"/>
      <c r="S42" s="46" t="n"/>
      <c r="T42" s="41" t="n"/>
      <c r="U42" s="46" t="n"/>
      <c r="V42" s="46" t="n"/>
      <c r="W42" s="46" t="n"/>
      <c r="X42" s="46" t="n"/>
      <c r="Y42" s="46" t="n"/>
      <c r="Z42" s="46" t="n"/>
      <c r="AA42" s="46" t="n"/>
      <c r="AB42" s="41" t="n"/>
      <c r="AC42" s="41" t="n"/>
      <c r="AD42" s="41" t="n"/>
      <c r="AE42" s="23" t="n"/>
      <c r="AF42" s="23" t="n"/>
      <c r="AG42" s="24" t="n"/>
    </row>
    <row r="43">
      <c r="A43" s="8" t="n">
        <v>38</v>
      </c>
      <c r="B43" s="23" t="n"/>
      <c r="C43" s="23" t="n"/>
      <c r="D43" s="23" t="n"/>
      <c r="E43" s="23" t="n"/>
      <c r="F43" s="46" t="n"/>
      <c r="G43" s="46" t="n"/>
      <c r="H43" s="46" t="n"/>
      <c r="I43" s="41" t="n"/>
      <c r="J43" s="46" t="n"/>
      <c r="K43" s="46" t="n"/>
      <c r="L43" s="46" t="n"/>
      <c r="M43" s="41" t="n"/>
      <c r="N43" s="46" t="n"/>
      <c r="O43" s="46" t="n"/>
      <c r="P43" s="46" t="n"/>
      <c r="Q43" s="41" t="n"/>
      <c r="R43" s="46" t="n"/>
      <c r="S43" s="46" t="n"/>
      <c r="T43" s="41" t="n"/>
      <c r="U43" s="46" t="n"/>
      <c r="V43" s="46" t="n"/>
      <c r="W43" s="46" t="n"/>
      <c r="X43" s="46" t="n"/>
      <c r="Y43" s="46" t="n"/>
      <c r="Z43" s="46" t="n"/>
      <c r="AA43" s="46" t="n"/>
      <c r="AB43" s="41" t="n"/>
      <c r="AC43" s="41" t="n"/>
      <c r="AD43" s="41" t="n"/>
      <c r="AE43" s="23" t="n"/>
      <c r="AF43" s="23" t="n"/>
      <c r="AG43" s="24" t="n"/>
    </row>
    <row r="44">
      <c r="A44" s="8" t="n">
        <v>39</v>
      </c>
      <c r="B44" s="23" t="n"/>
      <c r="C44" s="23" t="n"/>
      <c r="D44" s="23" t="n"/>
      <c r="E44" s="23" t="n"/>
      <c r="F44" s="46" t="n"/>
      <c r="G44" s="46" t="n"/>
      <c r="H44" s="46" t="n"/>
      <c r="I44" s="41" t="n"/>
      <c r="J44" s="46" t="n"/>
      <c r="K44" s="46" t="n"/>
      <c r="L44" s="46" t="n"/>
      <c r="M44" s="41" t="n"/>
      <c r="N44" s="46" t="n"/>
      <c r="O44" s="46" t="n"/>
      <c r="P44" s="46" t="n"/>
      <c r="Q44" s="41" t="n"/>
      <c r="R44" s="46" t="n"/>
      <c r="S44" s="46" t="n"/>
      <c r="T44" s="41" t="n"/>
      <c r="U44" s="46" t="n"/>
      <c r="V44" s="46" t="n"/>
      <c r="W44" s="46" t="n"/>
      <c r="X44" s="46" t="n"/>
      <c r="Y44" s="46" t="n"/>
      <c r="Z44" s="46" t="n"/>
      <c r="AA44" s="46" t="n"/>
      <c r="AB44" s="41" t="n"/>
      <c r="AC44" s="41" t="n"/>
      <c r="AD44" s="41" t="n"/>
      <c r="AE44" s="23" t="n"/>
      <c r="AF44" s="23" t="n"/>
      <c r="AG44" s="24" t="n"/>
    </row>
    <row r="45">
      <c r="A45" s="8" t="n">
        <v>40</v>
      </c>
      <c r="B45" s="23" t="n"/>
      <c r="C45" s="23" t="n"/>
      <c r="D45" s="23" t="n"/>
      <c r="E45" s="23" t="n"/>
      <c r="F45" s="46" t="n"/>
      <c r="G45" s="46" t="n"/>
      <c r="H45" s="46" t="n"/>
      <c r="I45" s="41" t="n"/>
      <c r="J45" s="46" t="n"/>
      <c r="K45" s="46" t="n"/>
      <c r="L45" s="46" t="n"/>
      <c r="M45" s="41" t="n"/>
      <c r="N45" s="46" t="n"/>
      <c r="O45" s="46" t="n"/>
      <c r="P45" s="46" t="n"/>
      <c r="Q45" s="41" t="n"/>
      <c r="R45" s="46" t="n"/>
      <c r="S45" s="46" t="n"/>
      <c r="T45" s="41" t="n"/>
      <c r="U45" s="46" t="n"/>
      <c r="V45" s="46" t="n"/>
      <c r="W45" s="46" t="n"/>
      <c r="X45" s="46" t="n"/>
      <c r="Y45" s="46" t="n"/>
      <c r="Z45" s="46" t="n"/>
      <c r="AA45" s="46" t="n"/>
      <c r="AB45" s="41" t="n"/>
      <c r="AC45" s="41" t="n"/>
      <c r="AD45" s="41" t="n"/>
      <c r="AE45" s="23" t="n"/>
      <c r="AF45" s="23" t="n"/>
      <c r="AG45" s="24" t="n"/>
    </row>
    <row r="46">
      <c r="A46" s="8" t="n">
        <v>41</v>
      </c>
      <c r="B46" s="23" t="n"/>
      <c r="C46" s="23" t="n"/>
      <c r="D46" s="23" t="n"/>
      <c r="E46" s="23" t="n"/>
      <c r="F46" s="46" t="n"/>
      <c r="G46" s="46" t="n"/>
      <c r="H46" s="46" t="n"/>
      <c r="I46" s="41" t="n"/>
      <c r="J46" s="46" t="n"/>
      <c r="K46" s="46" t="n"/>
      <c r="L46" s="46" t="n"/>
      <c r="M46" s="41" t="n"/>
      <c r="N46" s="46" t="n"/>
      <c r="O46" s="46" t="n"/>
      <c r="P46" s="46" t="n"/>
      <c r="Q46" s="41" t="n"/>
      <c r="R46" s="46" t="n"/>
      <c r="S46" s="46" t="n"/>
      <c r="T46" s="41" t="n"/>
      <c r="U46" s="46" t="n"/>
      <c r="V46" s="46" t="n"/>
      <c r="W46" s="46" t="n"/>
      <c r="X46" s="46" t="n"/>
      <c r="Y46" s="46" t="n"/>
      <c r="Z46" s="46" t="n"/>
      <c r="AA46" s="46" t="n"/>
      <c r="AB46" s="41" t="n"/>
      <c r="AC46" s="41" t="n"/>
      <c r="AD46" s="41" t="n"/>
      <c r="AE46" s="23" t="n"/>
      <c r="AF46" s="23" t="n"/>
      <c r="AG46" s="24" t="n"/>
    </row>
    <row r="47">
      <c r="A47" s="8" t="n">
        <v>42</v>
      </c>
      <c r="B47" s="23" t="n"/>
      <c r="C47" s="23" t="n"/>
      <c r="D47" s="23" t="n"/>
      <c r="E47" s="23" t="n"/>
      <c r="F47" s="46" t="n"/>
      <c r="G47" s="46" t="n"/>
      <c r="H47" s="46" t="n"/>
      <c r="I47" s="41" t="n"/>
      <c r="J47" s="46" t="n"/>
      <c r="K47" s="46" t="n"/>
      <c r="L47" s="46" t="n"/>
      <c r="M47" s="41" t="n"/>
      <c r="N47" s="46" t="n"/>
      <c r="O47" s="46" t="n"/>
      <c r="P47" s="46" t="n"/>
      <c r="Q47" s="41" t="n"/>
      <c r="R47" s="46" t="n"/>
      <c r="S47" s="46" t="n"/>
      <c r="T47" s="41" t="n"/>
      <c r="U47" s="46" t="n"/>
      <c r="V47" s="46" t="n"/>
      <c r="W47" s="46" t="n"/>
      <c r="X47" s="46" t="n"/>
      <c r="Y47" s="46" t="n"/>
      <c r="Z47" s="46" t="n"/>
      <c r="AA47" s="46" t="n"/>
      <c r="AB47" s="41" t="n"/>
      <c r="AC47" s="41" t="n"/>
      <c r="AD47" s="41" t="n"/>
      <c r="AE47" s="23" t="n"/>
      <c r="AF47" s="23" t="n"/>
      <c r="AG47" s="24" t="n"/>
    </row>
    <row r="48">
      <c r="A48" s="8" t="n">
        <v>43</v>
      </c>
      <c r="B48" s="23" t="n"/>
      <c r="C48" s="23" t="n"/>
      <c r="D48" s="23" t="n"/>
      <c r="E48" s="23" t="n"/>
      <c r="F48" s="46" t="n"/>
      <c r="G48" s="46" t="n"/>
      <c r="H48" s="46" t="n"/>
      <c r="I48" s="41" t="n"/>
      <c r="J48" s="46" t="n"/>
      <c r="K48" s="46" t="n"/>
      <c r="L48" s="46" t="n"/>
      <c r="M48" s="41" t="n"/>
      <c r="N48" s="46" t="n"/>
      <c r="O48" s="46" t="n"/>
      <c r="P48" s="46" t="n"/>
      <c r="Q48" s="41" t="n"/>
      <c r="R48" s="46" t="n"/>
      <c r="S48" s="46" t="n"/>
      <c r="T48" s="41" t="n"/>
      <c r="U48" s="46" t="n"/>
      <c r="V48" s="46" t="n"/>
      <c r="W48" s="46" t="n"/>
      <c r="X48" s="46" t="n"/>
      <c r="Y48" s="46" t="n"/>
      <c r="Z48" s="46" t="n"/>
      <c r="AA48" s="46" t="n"/>
      <c r="AB48" s="41" t="n"/>
      <c r="AC48" s="41" t="n"/>
      <c r="AD48" s="41" t="n"/>
      <c r="AE48" s="23" t="n"/>
      <c r="AF48" s="23" t="n"/>
      <c r="AG48" s="24" t="n"/>
    </row>
    <row r="49">
      <c r="A49" s="8" t="n">
        <v>44</v>
      </c>
      <c r="B49" s="23" t="n"/>
      <c r="C49" s="23" t="n"/>
      <c r="D49" s="23" t="n"/>
      <c r="E49" s="23" t="n"/>
      <c r="F49" s="46" t="n"/>
      <c r="G49" s="46" t="n"/>
      <c r="H49" s="46" t="n"/>
      <c r="I49" s="41" t="n"/>
      <c r="J49" s="46" t="n"/>
      <c r="K49" s="46" t="n"/>
      <c r="L49" s="46" t="n"/>
      <c r="M49" s="41" t="n"/>
      <c r="N49" s="46" t="n"/>
      <c r="O49" s="46" t="n"/>
      <c r="P49" s="46" t="n"/>
      <c r="Q49" s="41" t="n"/>
      <c r="R49" s="46" t="n"/>
      <c r="S49" s="46" t="n"/>
      <c r="T49" s="41" t="n"/>
      <c r="U49" s="46" t="n"/>
      <c r="V49" s="46" t="n"/>
      <c r="W49" s="46" t="n"/>
      <c r="X49" s="46" t="n"/>
      <c r="Y49" s="46" t="n"/>
      <c r="Z49" s="46" t="n"/>
      <c r="AA49" s="46" t="n"/>
      <c r="AB49" s="41" t="n"/>
      <c r="AC49" s="41" t="n"/>
      <c r="AD49" s="41" t="n"/>
      <c r="AE49" s="23" t="n"/>
      <c r="AF49" s="23" t="n"/>
      <c r="AG49" s="24" t="n"/>
    </row>
    <row r="50">
      <c r="A50" s="8" t="n">
        <v>45</v>
      </c>
      <c r="B50" s="23" t="n"/>
      <c r="C50" s="23" t="n"/>
      <c r="D50" s="23" t="n"/>
      <c r="E50" s="23" t="n"/>
      <c r="F50" s="46" t="n"/>
      <c r="G50" s="46" t="n"/>
      <c r="H50" s="46" t="n"/>
      <c r="I50" s="41" t="n"/>
      <c r="J50" s="46" t="n"/>
      <c r="K50" s="46" t="n"/>
      <c r="L50" s="46" t="n"/>
      <c r="M50" s="41" t="n"/>
      <c r="N50" s="46" t="n"/>
      <c r="O50" s="46" t="n"/>
      <c r="P50" s="46" t="n"/>
      <c r="Q50" s="41" t="n"/>
      <c r="R50" s="46" t="n"/>
      <c r="S50" s="46" t="n"/>
      <c r="T50" s="41" t="n"/>
      <c r="U50" s="46" t="n"/>
      <c r="V50" s="46" t="n"/>
      <c r="W50" s="46" t="n"/>
      <c r="X50" s="46" t="n"/>
      <c r="Y50" s="46" t="n"/>
      <c r="Z50" s="46" t="n"/>
      <c r="AA50" s="46" t="n"/>
      <c r="AB50" s="41" t="n"/>
      <c r="AC50" s="41" t="n"/>
      <c r="AD50" s="41" t="n"/>
      <c r="AE50" s="23" t="n"/>
      <c r="AF50" s="23" t="n"/>
      <c r="AG50" s="24" t="n"/>
    </row>
    <row r="51">
      <c r="A51" s="8" t="n">
        <v>46</v>
      </c>
      <c r="B51" s="23" t="n"/>
      <c r="C51" s="23" t="n"/>
      <c r="D51" s="23" t="n"/>
      <c r="E51" s="23" t="n"/>
      <c r="F51" s="46" t="n"/>
      <c r="G51" s="46" t="n"/>
      <c r="H51" s="46" t="n"/>
      <c r="I51" s="41" t="n"/>
      <c r="J51" s="46" t="n"/>
      <c r="K51" s="46" t="n"/>
      <c r="L51" s="46" t="n"/>
      <c r="M51" s="41" t="n"/>
      <c r="N51" s="46" t="n"/>
      <c r="O51" s="46" t="n"/>
      <c r="P51" s="46" t="n"/>
      <c r="Q51" s="41" t="n"/>
      <c r="R51" s="46" t="n"/>
      <c r="S51" s="46" t="n"/>
      <c r="T51" s="41" t="n"/>
      <c r="U51" s="46" t="n"/>
      <c r="V51" s="46" t="n"/>
      <c r="W51" s="46" t="n"/>
      <c r="X51" s="46" t="n"/>
      <c r="Y51" s="46" t="n"/>
      <c r="Z51" s="46" t="n"/>
      <c r="AA51" s="46" t="n"/>
      <c r="AB51" s="41" t="n"/>
      <c r="AC51" s="41" t="n"/>
      <c r="AD51" s="41" t="n"/>
      <c r="AE51" s="23" t="n"/>
      <c r="AF51" s="23" t="n"/>
      <c r="AG51" s="24" t="n"/>
    </row>
    <row r="52">
      <c r="A52" s="8" t="n">
        <v>47</v>
      </c>
      <c r="B52" s="23" t="n"/>
      <c r="C52" s="23" t="n"/>
      <c r="D52" s="23" t="n"/>
      <c r="E52" s="23" t="n"/>
      <c r="F52" s="46" t="n"/>
      <c r="G52" s="46" t="n"/>
      <c r="H52" s="46" t="n"/>
      <c r="I52" s="41" t="n"/>
      <c r="J52" s="46" t="n"/>
      <c r="K52" s="46" t="n"/>
      <c r="L52" s="46" t="n"/>
      <c r="M52" s="41" t="n"/>
      <c r="N52" s="46" t="n"/>
      <c r="O52" s="46" t="n"/>
      <c r="P52" s="46" t="n"/>
      <c r="Q52" s="41" t="n"/>
      <c r="R52" s="46" t="n"/>
      <c r="S52" s="46" t="n"/>
      <c r="T52" s="41" t="n"/>
      <c r="U52" s="46" t="n"/>
      <c r="V52" s="46" t="n"/>
      <c r="W52" s="46" t="n"/>
      <c r="X52" s="46" t="n"/>
      <c r="Y52" s="46" t="n"/>
      <c r="Z52" s="46" t="n"/>
      <c r="AA52" s="46" t="n"/>
      <c r="AB52" s="41" t="n"/>
      <c r="AC52" s="41" t="n"/>
      <c r="AD52" s="41" t="n"/>
      <c r="AE52" s="23" t="n"/>
      <c r="AF52" s="23" t="n"/>
      <c r="AG52" s="24" t="n"/>
    </row>
    <row r="53">
      <c r="A53" s="8" t="n">
        <v>48</v>
      </c>
      <c r="B53" s="23" t="n"/>
      <c r="C53" s="23" t="n"/>
      <c r="D53" s="23" t="n"/>
      <c r="E53" s="23" t="n"/>
      <c r="F53" s="46" t="n"/>
      <c r="G53" s="46" t="n"/>
      <c r="H53" s="46" t="n"/>
      <c r="I53" s="41" t="n"/>
      <c r="J53" s="46" t="n"/>
      <c r="K53" s="46" t="n"/>
      <c r="L53" s="46" t="n"/>
      <c r="M53" s="41" t="n"/>
      <c r="N53" s="46" t="n"/>
      <c r="O53" s="46" t="n"/>
      <c r="P53" s="46" t="n"/>
      <c r="Q53" s="41" t="n"/>
      <c r="R53" s="46" t="n"/>
      <c r="S53" s="46" t="n"/>
      <c r="T53" s="41" t="n"/>
      <c r="U53" s="46" t="n"/>
      <c r="V53" s="46" t="n"/>
      <c r="W53" s="46" t="n"/>
      <c r="X53" s="46" t="n"/>
      <c r="Y53" s="46" t="n"/>
      <c r="Z53" s="46" t="n"/>
      <c r="AA53" s="46" t="n"/>
      <c r="AB53" s="41" t="n"/>
      <c r="AC53" s="41" t="n"/>
      <c r="AD53" s="41" t="n"/>
      <c r="AE53" s="23" t="n"/>
      <c r="AF53" s="23" t="n"/>
      <c r="AG53" s="24" t="n"/>
    </row>
    <row r="54">
      <c r="A54" s="8" t="n">
        <v>49</v>
      </c>
      <c r="B54" s="23" t="n"/>
      <c r="C54" s="23" t="n"/>
      <c r="D54" s="23" t="n"/>
      <c r="E54" s="23" t="n"/>
      <c r="F54" s="46" t="n"/>
      <c r="G54" s="46" t="n"/>
      <c r="H54" s="46" t="n"/>
      <c r="I54" s="41" t="n"/>
      <c r="J54" s="46" t="n"/>
      <c r="K54" s="46" t="n"/>
      <c r="L54" s="46" t="n"/>
      <c r="M54" s="41" t="n"/>
      <c r="N54" s="46" t="n"/>
      <c r="O54" s="46" t="n"/>
      <c r="P54" s="46" t="n"/>
      <c r="Q54" s="41" t="n"/>
      <c r="R54" s="46" t="n"/>
      <c r="S54" s="46" t="n"/>
      <c r="T54" s="41" t="n"/>
      <c r="U54" s="46" t="n"/>
      <c r="V54" s="46" t="n"/>
      <c r="W54" s="46" t="n"/>
      <c r="X54" s="46" t="n"/>
      <c r="Y54" s="46" t="n"/>
      <c r="Z54" s="46" t="n"/>
      <c r="AA54" s="46" t="n"/>
      <c r="AB54" s="41" t="n"/>
      <c r="AC54" s="41" t="n"/>
      <c r="AD54" s="41" t="n"/>
      <c r="AE54" s="23" t="n"/>
      <c r="AF54" s="23" t="n"/>
      <c r="AG54" s="24" t="n"/>
    </row>
    <row r="55">
      <c r="A55" s="8" t="n">
        <v>50</v>
      </c>
      <c r="B55" s="23" t="n"/>
      <c r="C55" s="23" t="n"/>
      <c r="D55" s="23" t="n"/>
      <c r="E55" s="23" t="n"/>
      <c r="F55" s="46" t="n"/>
      <c r="G55" s="46" t="n"/>
      <c r="H55" s="46" t="n"/>
      <c r="I55" s="41" t="n"/>
      <c r="J55" s="46" t="n"/>
      <c r="K55" s="46" t="n"/>
      <c r="L55" s="46" t="n"/>
      <c r="M55" s="41" t="n"/>
      <c r="N55" s="46" t="n"/>
      <c r="O55" s="46" t="n"/>
      <c r="P55" s="46" t="n"/>
      <c r="Q55" s="41" t="n"/>
      <c r="R55" s="46" t="n"/>
      <c r="S55" s="46" t="n"/>
      <c r="T55" s="41" t="n"/>
      <c r="U55" s="46" t="n"/>
      <c r="V55" s="46" t="n"/>
      <c r="W55" s="46" t="n"/>
      <c r="X55" s="46" t="n"/>
      <c r="Y55" s="46" t="n"/>
      <c r="Z55" s="46" t="n"/>
      <c r="AA55" s="46" t="n"/>
      <c r="AB55" s="41" t="n"/>
      <c r="AC55" s="41" t="n"/>
      <c r="AD55" s="41" t="n"/>
      <c r="AE55" s="23" t="n"/>
      <c r="AF55" s="23" t="n"/>
      <c r="AG55" s="24" t="n"/>
    </row>
  </sheetData>
  <dataValidations count="15">
    <dataValidation sqref="O4:O55" showDropDown="0" showInputMessage="0" showErrorMessage="1" allowBlank="1" type="list">
      <formula1>Ref!$O$2:$O$5</formula1>
    </dataValidation>
    <dataValidation sqref="R4:R55" showDropDown="0" showInputMessage="0" showErrorMessage="1" allowBlank="1" type="list">
      <formula1>Ref!$R$2:$R$3</formula1>
    </dataValidation>
    <dataValidation sqref="F4:F55" showDropDown="0" showInputMessage="0" showErrorMessage="1" allowBlank="1" type="list">
      <formula1>Ref!$F$2:$F$307</formula1>
    </dataValidation>
    <dataValidation sqref="N4:N55" showDropDown="0" showInputMessage="0" showErrorMessage="1" allowBlank="1" type="list">
      <formula1>Ref!$N$2:$N$6</formula1>
    </dataValidation>
    <dataValidation sqref="AA4:AA55" showDropDown="0" showInputMessage="0" showErrorMessage="1" allowBlank="1" type="list">
      <formula1>Ref!$AA$2:$AA$33</formula1>
    </dataValidation>
    <dataValidation sqref="X4:X55" showDropDown="0" showInputMessage="0" showErrorMessage="1" allowBlank="1" type="list">
      <formula1>Ref!$X$2:$X$6</formula1>
    </dataValidation>
    <dataValidation sqref="Y4:Y55" showDropDown="0" showInputMessage="0" showErrorMessage="1" allowBlank="1" type="list">
      <formula1>Ref!$Y$2:$Y$8</formula1>
    </dataValidation>
    <dataValidation sqref="G4:G55" showDropDown="0" showInputMessage="0" showErrorMessage="1" allowBlank="1" type="list">
      <formula1>Ref!$G$2:$G$5</formula1>
    </dataValidation>
    <dataValidation sqref="K4:K55" showDropDown="0" showInputMessage="0" showErrorMessage="1" allowBlank="1" type="list">
      <formula1>Ref!$K$2:$K$3</formula1>
    </dataValidation>
    <dataValidation sqref="S4:S55" showDropDown="0" showInputMessage="0" showErrorMessage="1" allowBlank="1" type="list">
      <formula1>Ref!$S$2:$S$3</formula1>
    </dataValidation>
    <dataValidation sqref="V4:V55" showDropDown="0" showInputMessage="0" showErrorMessage="1" allowBlank="1" type="list">
      <formula1>Ref!$V$2:$V$3</formula1>
    </dataValidation>
    <dataValidation sqref="P4:P55" showDropDown="0" showInputMessage="0" showErrorMessage="1" allowBlank="1" type="list">
      <formula1>Ref!$P$2:$P$5</formula1>
    </dataValidation>
    <dataValidation sqref="J4:J55" showDropDown="0" showInputMessage="0" showErrorMessage="1" allowBlank="1" type="list">
      <formula1>Ref!$J$2:$J$5</formula1>
    </dataValidation>
    <dataValidation sqref="U4:U55" showDropDown="0" showInputMessage="0" showErrorMessage="1" allowBlank="1" type="list">
      <formula1>Ref!$U$2:$U$4</formula1>
    </dataValidation>
    <dataValidation sqref="L4:L55" showDropDown="0" showInputMessage="0" showErrorMessage="1" allowBlank="1" type="list">
      <formula1>Ref!$L$2:$L$6</formula1>
    </dataValidation>
  </dataValidations>
  <hyperlinks>
    <hyperlink xmlns:r="http://schemas.openxmlformats.org/officeDocument/2006/relationships" ref="Q4" r:id="rId1"/>
    <hyperlink xmlns:r="http://schemas.openxmlformats.org/officeDocument/2006/relationships" ref="AB4" r:id="rId2"/>
    <hyperlink xmlns:r="http://schemas.openxmlformats.org/officeDocument/2006/relationships" ref="Q5" r:id="rId3"/>
    <hyperlink xmlns:r="http://schemas.openxmlformats.org/officeDocument/2006/relationships" ref="Q6"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G1000"/>
  <sheetViews>
    <sheetView workbookViewId="0">
      <selection activeCell="A1" sqref="A1"/>
    </sheetView>
  </sheetViews>
  <sheetFormatPr baseColWidth="8" defaultColWidth="12.63" defaultRowHeight="15.75" customHeight="1"/>
  <cols>
    <col hidden="1" width="3.13" customWidth="1" style="346" min="1" max="1"/>
    <col hidden="1" width="12.25" customWidth="1" style="346" min="2" max="2"/>
    <col hidden="1" width="21.63" customWidth="1" style="346" min="3" max="3"/>
    <col hidden="1" width="18" customWidth="1" style="346" min="4" max="4"/>
    <col hidden="1" width="12.63" customWidth="1" style="346" min="5" max="5"/>
    <col width="73.63" customWidth="1" style="346" min="6" max="6"/>
    <col hidden="1" width="12.63" customWidth="1" style="346" min="7" max="14"/>
    <col hidden="1" width="15.88" customWidth="1" style="346" min="15" max="15"/>
    <col hidden="1" width="12.63" customWidth="1" style="346" min="16" max="30"/>
    <col width="15.63" customWidth="1" style="346" min="32" max="32"/>
    <col width="15.5" customWidth="1" style="346" min="33" max="33"/>
  </cols>
  <sheetData>
    <row r="1">
      <c r="A1" s="26" t="inlineStr">
        <is>
          <t>No</t>
        </is>
      </c>
      <c r="B1" s="26" t="inlineStr">
        <is>
          <t>Nama Layanan</t>
        </is>
      </c>
      <c r="C1" s="26" t="inlineStr">
        <is>
          <t>Tujuan dan Fungsi Layanan</t>
        </is>
      </c>
      <c r="D1" s="26" t="inlineStr">
        <is>
          <t>Dasar Hukum Layanan</t>
        </is>
      </c>
      <c r="E1" s="26" t="inlineStr">
        <is>
          <t>SOP / Proses Bisnis Layanan</t>
        </is>
      </c>
      <c r="F1" s="27" t="inlineStr">
        <is>
          <t>REFERENSI LAYANAN</t>
        </is>
      </c>
      <c r="G1" s="26" t="inlineStr">
        <is>
          <t>Target Layanan</t>
        </is>
      </c>
      <c r="H1" s="26" t="inlineStr">
        <is>
          <t>Data yang dimasukan</t>
        </is>
      </c>
      <c r="I1" s="26" t="inlineStr">
        <is>
          <t>Data yang dihasilkan</t>
        </is>
      </c>
      <c r="J1" s="26" t="inlineStr">
        <is>
          <t>Sifat Data</t>
        </is>
      </c>
      <c r="K1" s="26" t="inlineStr">
        <is>
          <t>Data Pribadi</t>
        </is>
      </c>
      <c r="L1" s="26" t="inlineStr">
        <is>
          <t>Interval update data yang dihasilkan</t>
        </is>
      </c>
      <c r="M1" s="26" t="inlineStr">
        <is>
          <t>Aplikasi Pendukung</t>
        </is>
      </c>
      <c r="N1" s="26" t="inlineStr">
        <is>
          <t>Pengembang</t>
        </is>
      </c>
      <c r="O1" s="26" t="inlineStr">
        <is>
          <t>Pemilik</t>
        </is>
      </c>
      <c r="P1" s="26" t="inlineStr">
        <is>
          <t>Platform</t>
        </is>
      </c>
      <c r="Q1" s="26" t="inlineStr">
        <is>
          <t>Alamat Aplikasi</t>
        </is>
      </c>
      <c r="R1" s="26" t="inlineStr">
        <is>
          <t>Kategori Akses</t>
        </is>
      </c>
      <c r="S1" s="26" t="inlineStr">
        <is>
          <t>Jenis Aplikasi</t>
        </is>
      </c>
      <c r="T1" s="26" t="inlineStr">
        <is>
          <t>Tahun Pembuatan</t>
        </is>
      </c>
      <c r="U1" s="26" t="inlineStr">
        <is>
          <t>Status Aplikasi</t>
        </is>
      </c>
      <c r="V1" s="26" t="inlineStr">
        <is>
          <t>Telah Terintegrasi</t>
        </is>
      </c>
      <c r="W1" s="26" t="inlineStr">
        <is>
          <t>Terintegrasi dengan Aplikasi</t>
        </is>
      </c>
      <c r="X1" s="26" t="inlineStr">
        <is>
          <t>Mekanisme Integrasi</t>
        </is>
      </c>
      <c r="Y1" s="26" t="inlineStr">
        <is>
          <t>Frekuensi Sinkronisasi</t>
        </is>
      </c>
      <c r="Z1" s="26" t="inlineStr">
        <is>
          <t>Bidang</t>
        </is>
      </c>
      <c r="AA1" s="26" t="inlineStr">
        <is>
          <t>OPD</t>
        </is>
      </c>
      <c r="AB1" s="26" t="inlineStr">
        <is>
          <t>Nama</t>
        </is>
      </c>
      <c r="AC1" s="26" t="inlineStr">
        <is>
          <t>No. HP</t>
        </is>
      </c>
      <c r="AD1" s="26" t="inlineStr">
        <is>
          <t>Email</t>
        </is>
      </c>
      <c r="AE1" s="26" t="n"/>
      <c r="AF1" s="26" t="inlineStr">
        <is>
          <t>JUMLAH LAYANAN</t>
        </is>
      </c>
      <c r="AG1" s="26" t="inlineStr">
        <is>
          <t>JUMLAH APLIKASI</t>
        </is>
      </c>
    </row>
    <row r="2">
      <c r="E2" s="26" t="inlineStr">
        <is>
          <t>Tersedia</t>
        </is>
      </c>
      <c r="F2" s="29" t="inlineStr">
        <is>
          <t>STRATEGI PERTAHANAN</t>
        </is>
      </c>
      <c r="G2" s="26" t="inlineStr">
        <is>
          <t>Pelaku Bisnis</t>
        </is>
      </c>
      <c r="J2" s="26" t="inlineStr">
        <is>
          <t>Terbuka</t>
        </is>
      </c>
      <c r="K2" s="26" t="inlineStr">
        <is>
          <t>Terdapat</t>
        </is>
      </c>
      <c r="L2" s="26" t="inlineStr">
        <is>
          <t>Harian</t>
        </is>
      </c>
      <c r="N2" s="26" t="inlineStr">
        <is>
          <t>Pusat</t>
        </is>
      </c>
      <c r="O2" s="26" t="inlineStr">
        <is>
          <t>Pusat</t>
        </is>
      </c>
      <c r="P2" s="26" t="inlineStr">
        <is>
          <t>Website</t>
        </is>
      </c>
      <c r="R2" s="26" t="inlineStr">
        <is>
          <t>Secara Online</t>
        </is>
      </c>
      <c r="S2" s="26" t="inlineStr">
        <is>
          <t>Informasi</t>
        </is>
      </c>
      <c r="U2" s="26" t="inlineStr">
        <is>
          <t>Aktif</t>
        </is>
      </c>
      <c r="V2" s="26" t="inlineStr">
        <is>
          <t>Ya</t>
        </is>
      </c>
      <c r="X2" s="26" t="inlineStr">
        <is>
          <t>API</t>
        </is>
      </c>
      <c r="Y2" s="26" t="inlineStr">
        <is>
          <t>Realtime</t>
        </is>
      </c>
      <c r="AA2" s="26" t="inlineStr">
        <is>
          <t>Setda</t>
        </is>
      </c>
    </row>
    <row r="3">
      <c r="E3" s="26" t="inlineStr">
        <is>
          <t>Tidak Tersedia</t>
        </is>
      </c>
      <c r="F3" s="29" t="inlineStr">
        <is>
          <t>PERENCANAAN PERTAHANAN</t>
        </is>
      </c>
      <c r="G3" s="26" t="inlineStr">
        <is>
          <t>Masyarakat</t>
        </is>
      </c>
      <c r="J3" s="26" t="inlineStr">
        <is>
          <t>Tertutup</t>
        </is>
      </c>
      <c r="K3" s="26" t="inlineStr">
        <is>
          <t>Tidak terdapat</t>
        </is>
      </c>
      <c r="L3" s="26" t="inlineStr">
        <is>
          <t>Mingguan</t>
        </is>
      </c>
      <c r="N3" s="26" t="inlineStr">
        <is>
          <t>Provinsi</t>
        </is>
      </c>
      <c r="O3" s="26" t="inlineStr">
        <is>
          <t>Provinsi</t>
        </is>
      </c>
      <c r="P3" s="26" t="inlineStr">
        <is>
          <t>Mobile</t>
        </is>
      </c>
      <c r="R3" s="26" t="inlineStr">
        <is>
          <t>Secara Offline</t>
        </is>
      </c>
      <c r="S3" s="26" t="inlineStr">
        <is>
          <t>Transaksi</t>
        </is>
      </c>
      <c r="U3" s="26" t="inlineStr">
        <is>
          <t>Non Aktif</t>
        </is>
      </c>
      <c r="V3" s="26" t="inlineStr">
        <is>
          <t>Tidak</t>
        </is>
      </c>
      <c r="X3" s="26" t="inlineStr">
        <is>
          <t>Web Service</t>
        </is>
      </c>
      <c r="Y3" s="26" t="inlineStr">
        <is>
          <t>Harian</t>
        </is>
      </c>
      <c r="AA3" s="26" t="inlineStr">
        <is>
          <t>Setwan</t>
        </is>
      </c>
    </row>
    <row r="4">
      <c r="F4" s="29" t="inlineStr">
        <is>
          <t>POTENSI PERTAHANAN</t>
        </is>
      </c>
      <c r="G4" s="26" t="inlineStr">
        <is>
          <t>Pegawai</t>
        </is>
      </c>
      <c r="J4" s="26" t="inlineStr">
        <is>
          <t>Terbatas</t>
        </is>
      </c>
      <c r="L4" s="26" t="inlineStr">
        <is>
          <t>Bulanan</t>
        </is>
      </c>
      <c r="N4" s="26" t="inlineStr">
        <is>
          <t>Diskominfo</t>
        </is>
      </c>
      <c r="O4" s="26" t="inlineStr">
        <is>
          <t>Kab. Bandung</t>
        </is>
      </c>
      <c r="P4" s="26" t="inlineStr">
        <is>
          <t>Desktop</t>
        </is>
      </c>
      <c r="U4" s="26" t="inlineStr">
        <is>
          <t>Maintenance</t>
        </is>
      </c>
      <c r="X4" s="26" t="inlineStr">
        <is>
          <t>Database to Database</t>
        </is>
      </c>
      <c r="Y4" s="26" t="inlineStr">
        <is>
          <t>Mingguan</t>
        </is>
      </c>
      <c r="AA4" s="26" t="inlineStr">
        <is>
          <t>Inspektorat</t>
        </is>
      </c>
    </row>
    <row r="5">
      <c r="F5" s="29" t="inlineStr">
        <is>
          <t>KEKUATAN PERTAHANAN</t>
        </is>
      </c>
      <c r="G5" s="26" t="inlineStr">
        <is>
          <t>Instansi Pemerintah Lainnya</t>
        </is>
      </c>
      <c r="J5" s="26" t="inlineStr">
        <is>
          <t>Rahasia</t>
        </is>
      </c>
      <c r="L5" s="26" t="inlineStr">
        <is>
          <t>Tahunan</t>
        </is>
      </c>
      <c r="N5" s="26" t="inlineStr">
        <is>
          <t>OPD</t>
        </is>
      </c>
      <c r="O5" s="26" t="inlineStr">
        <is>
          <t>Pihak Ke 3 (Lisensi)</t>
        </is>
      </c>
      <c r="P5" s="26" t="inlineStr">
        <is>
          <t>Website dan Mobile</t>
        </is>
      </c>
      <c r="X5" s="26" t="inlineStr">
        <is>
          <t>Manual</t>
        </is>
      </c>
      <c r="Y5" s="26" t="inlineStr">
        <is>
          <t>Bulanan</t>
        </is>
      </c>
      <c r="AA5" s="26" t="inlineStr">
        <is>
          <t>Disdik</t>
        </is>
      </c>
    </row>
    <row r="6">
      <c r="F6" s="29" t="inlineStr">
        <is>
          <t>PENYELENGGARAAN HUBUNGAN LUAR NEGERI DAN POLITIK LUAR NEGERI</t>
        </is>
      </c>
      <c r="L6" s="26" t="inlineStr">
        <is>
          <t>Lainnya</t>
        </is>
      </c>
      <c r="N6" s="26" t="inlineStr">
        <is>
          <t>Pihak Ke 3</t>
        </is>
      </c>
      <c r="X6" s="26" t="inlineStr">
        <is>
          <t>Tidak Terintegrasi</t>
        </is>
      </c>
      <c r="Y6" s="26" t="inlineStr">
        <is>
          <t>Tahunan</t>
        </is>
      </c>
      <c r="AA6" s="26" t="inlineStr">
        <is>
          <t>Dinkes</t>
        </is>
      </c>
    </row>
    <row r="7">
      <c r="F7" s="29" t="inlineStr">
        <is>
          <t>HUKUM DAN PERJANJIAN INTERNASIONAL</t>
        </is>
      </c>
      <c r="Y7" s="26" t="inlineStr">
        <is>
          <t>Lainnya</t>
        </is>
      </c>
      <c r="AA7" s="26" t="inlineStr">
        <is>
          <t>DPUTR</t>
        </is>
      </c>
    </row>
    <row r="8">
      <c r="F8" s="29" t="inlineStr">
        <is>
          <t>INFORMASI DAN DIPLOMASI PUBLIK</t>
        </is>
      </c>
      <c r="Y8" s="26" t="inlineStr">
        <is>
          <t>Tidak Terintegrasi</t>
        </is>
      </c>
      <c r="AA8" s="26" t="inlineStr">
        <is>
          <t>Disperkimtan</t>
        </is>
      </c>
    </row>
    <row r="9">
      <c r="F9" s="29" t="inlineStr">
        <is>
          <t>PROTOKOL DAN KONSULER</t>
        </is>
      </c>
      <c r="AA9" s="26" t="inlineStr">
        <is>
          <t>Dinsos</t>
        </is>
      </c>
    </row>
    <row r="10">
      <c r="F10" s="29" t="inlineStr">
        <is>
          <t>PELINDUNGAN WNI</t>
        </is>
      </c>
      <c r="AA10" s="26" t="inlineStr">
        <is>
          <t>Disnaker</t>
        </is>
      </c>
    </row>
    <row r="11">
      <c r="F11" s="29" t="inlineStr">
        <is>
          <t>FASILITAS DIPLOMATIK</t>
        </is>
      </c>
      <c r="AA11" s="26" t="inlineStr">
        <is>
          <t>DP2KBP3A</t>
        </is>
      </c>
    </row>
    <row r="12">
      <c r="F12" s="29" t="inlineStr">
        <is>
          <t>PENINGKATAN DAYA SAING DAN KEMANDIRIAN INDUSTRI</t>
        </is>
      </c>
      <c r="AA12" s="26" t="inlineStr">
        <is>
          <t>DLH</t>
        </is>
      </c>
    </row>
    <row r="13">
      <c r="F13" s="29" t="inlineStr">
        <is>
          <t>PENGUATAN IMPLEMENTASI MAKING INDONESIA 4</t>
        </is>
      </c>
      <c r="AA13" s="26" t="inlineStr">
        <is>
          <t>Disdukcapil</t>
        </is>
      </c>
    </row>
    <row r="14">
      <c r="F14" s="29" t="inlineStr">
        <is>
          <t>PENINGKATAN KEMAMPUAN INDUSTRI BARANG DAN JASA SERTA INDUSTRI HALAL DALAM NEGERI</t>
        </is>
      </c>
      <c r="AA14" s="26" t="inlineStr">
        <is>
          <t>DPMD</t>
        </is>
      </c>
    </row>
    <row r="15">
      <c r="F15" s="29" t="inlineStr">
        <is>
          <t>PERLUASAN PENGUASAAN PASAR INDUSTRI</t>
        </is>
      </c>
      <c r="AA15" s="26" t="inlineStr">
        <is>
          <t>Dishub</t>
        </is>
      </c>
    </row>
    <row r="16">
      <c r="F16" s="29" t="inlineStr">
        <is>
          <t>PENGUATAN KEWIRAUSAHAAN DAN INDUSTRI KECIL DAN MENENGAH</t>
        </is>
      </c>
      <c r="AA16" s="26" t="inlineStr">
        <is>
          <t>Diskominfo</t>
        </is>
      </c>
    </row>
    <row r="17">
      <c r="F17" s="29" t="inlineStr">
        <is>
          <t>PEMERATAAN PERSEBARAN INDUSTRI</t>
        </is>
      </c>
      <c r="AA17" s="26" t="inlineStr">
        <is>
          <t>DPMPTSP</t>
        </is>
      </c>
    </row>
    <row r="18">
      <c r="F18" s="29" t="inlineStr">
        <is>
          <t>PENGELOLAAN INDUSTRI KREATIF</t>
        </is>
      </c>
      <c r="AA18" s="26" t="inlineStr">
        <is>
          <t>Dispora</t>
        </is>
      </c>
    </row>
    <row r="19">
      <c r="F19" s="29" t="inlineStr">
        <is>
          <t>PENGUATAN DAN PENGEMBANGAN PERDAGANGAN DALAM NEGERI</t>
        </is>
      </c>
      <c r="AA19" s="26" t="inlineStr">
        <is>
          <t>Disperdagin</t>
        </is>
      </c>
    </row>
    <row r="20">
      <c r="F20" s="29" t="inlineStr">
        <is>
          <t>PENGUATAN PERDAGANGAN LUAR NEGERI</t>
        </is>
      </c>
      <c r="AA20" s="26" t="inlineStr">
        <is>
          <t>Distan</t>
        </is>
      </c>
    </row>
    <row r="21">
      <c r="F21" s="29" t="inlineStr">
        <is>
          <t>PERLINDUNGAN KONSUMEN DAN TERTIB NIAGA</t>
        </is>
      </c>
      <c r="AA21" s="26" t="inlineStr">
        <is>
          <t>Dispakan</t>
        </is>
      </c>
    </row>
    <row r="22">
      <c r="F22" s="29" t="inlineStr">
        <is>
          <t>OPTIMALISASI AKSES PASAR INTERNASIONAL MELALUI DIPLOMASI PERDAGANGAN</t>
        </is>
      </c>
      <c r="AA22" s="26" t="inlineStr">
        <is>
          <t>Disbud</t>
        </is>
      </c>
    </row>
    <row r="23">
      <c r="F23" s="29" t="inlineStr">
        <is>
          <t>PENINGKATAN KINERJA EKSPOR NASIONAL</t>
        </is>
      </c>
      <c r="AA23" s="26" t="inlineStr">
        <is>
          <t>DISKOP-UKM</t>
        </is>
      </c>
    </row>
    <row r="24">
      <c r="F24" s="29" t="inlineStr">
        <is>
          <t>OPTIMALISASI PERANAN PBK, SRG, DAN PLK</t>
        </is>
      </c>
      <c r="AA24" s="26" t="inlineStr">
        <is>
          <t>Dispusip</t>
        </is>
      </c>
    </row>
    <row r="25">
      <c r="F25" s="29" t="inlineStr">
        <is>
          <t>OPTIMALISASI REKOMENDASI KEBIJAKAN PERDAGANGAN</t>
        </is>
      </c>
      <c r="AA25" s="26" t="inlineStr">
        <is>
          <t>Disdamkar</t>
        </is>
      </c>
    </row>
    <row r="26">
      <c r="F26" s="29" t="inlineStr">
        <is>
          <t>PENGELOLAAN BENIH TANAMAN PANGAN DAN HORTIKULTURA</t>
        </is>
      </c>
      <c r="AA26" s="26" t="inlineStr">
        <is>
          <t>Disparekraf</t>
        </is>
      </c>
    </row>
    <row r="27">
      <c r="F27" s="29" t="inlineStr">
        <is>
          <t>PENGEMBANGAN KOMODITAS TANAMAN PANGAN DAN HORTIKULTURA</t>
        </is>
      </c>
      <c r="AA27" s="26" t="inlineStr">
        <is>
          <t>Satpol PP</t>
        </is>
      </c>
    </row>
    <row r="28">
      <c r="F28" s="29" t="inlineStr">
        <is>
          <t>PERLINDUNGAN TANAMAN PANGAN DAN HORTIKULTURA</t>
        </is>
      </c>
      <c r="AA28" s="26" t="inlineStr">
        <is>
          <t>Bapperida</t>
        </is>
      </c>
    </row>
    <row r="29">
      <c r="F29" s="29" t="inlineStr">
        <is>
          <t>PENINGKATAN PENGELOLAAN PASCA PANEN TANAMAN PANGAN DAN HORTIKULTURA</t>
        </is>
      </c>
      <c r="AA29" s="26" t="inlineStr">
        <is>
          <t>BKAD</t>
        </is>
      </c>
    </row>
    <row r="30">
      <c r="F30" s="29" t="inlineStr">
        <is>
          <t>PENINGKATAN PENGOLAHAN HASIL KOMODITAS TANAMAN PANGAN DAN HORTIKULTURA</t>
        </is>
      </c>
      <c r="AA30" s="26" t="inlineStr">
        <is>
          <t>Bapenda</t>
        </is>
      </c>
    </row>
    <row r="31">
      <c r="F31" s="29" t="inlineStr">
        <is>
          <t>PENINGKATAN PEMASARAN HASIL KOMODITAS TANAMAN PANGAN DAN HORTIKULTURA</t>
        </is>
      </c>
      <c r="AA31" s="26" t="inlineStr">
        <is>
          <t>BKPSDM</t>
        </is>
      </c>
    </row>
    <row r="32">
      <c r="F32" s="29" t="inlineStr">
        <is>
          <t>PENGEMBANGAN KUALITAS SDM PERTANIAN</t>
        </is>
      </c>
      <c r="AA32" s="26" t="inlineStr">
        <is>
          <t>Bakesbangpol</t>
        </is>
      </c>
    </row>
    <row r="33">
      <c r="F33" s="29" t="inlineStr">
        <is>
          <t>PENGEMBANGAN KELEMBAGAAN PETANI</t>
        </is>
      </c>
      <c r="AA33" s="26" t="inlineStr">
        <is>
          <t>BPBD</t>
        </is>
      </c>
    </row>
    <row r="34">
      <c r="F34" s="29" t="inlineStr">
        <is>
          <t>PENGELOLAAN STANDARDISASI DAN PENILAIAN KESESUAIAN KOMODITAS TANAMAN PANGAN DAN HORTIKULTURA</t>
        </is>
      </c>
    </row>
    <row r="35">
      <c r="F35" s="29" t="inlineStr">
        <is>
          <t>PENGELOLAAN STANDARDISASI DAN PENILAIAN KESESUAIAN PASCA PANEN TANAMAN PANGAN DAN HORTIKULTURA</t>
        </is>
      </c>
    </row>
    <row r="36">
      <c r="F36" s="29" t="inlineStr">
        <is>
          <t>PENGELOLAAN STANDARDISASI DAN PENILAIAN KESESUAIAN PRASARANA DAN SARANA TANAMAN PANGAN DAN HORTIKULTURA</t>
        </is>
      </c>
    </row>
    <row r="37">
      <c r="F37" s="29" t="inlineStr">
        <is>
          <t>PENGELOLAAN REKOMENDASI KEBIJAKAN SOSIAL EKONOMI PEMBANGUNAN TANAMAN PANGAN DAN HORTIKULTURA</t>
        </is>
      </c>
    </row>
    <row r="38">
      <c r="F38" s="29" t="inlineStr">
        <is>
          <t>PENGELOLAAN LAHAN PERTANIAN</t>
        </is>
      </c>
    </row>
    <row r="39">
      <c r="F39" s="29" t="inlineStr">
        <is>
          <t>PENGELOLAAN PUPUK DAN PESTISIDA</t>
        </is>
      </c>
    </row>
    <row r="40">
      <c r="F40" s="29" t="inlineStr">
        <is>
          <t>PENGELOLAAN IRIGASI PERTANIAN, KONSERVASI AIR DAN LINGKUNGAN HIDUP</t>
        </is>
      </c>
    </row>
    <row r="41">
      <c r="F41" s="29" t="inlineStr">
        <is>
          <t>PENGELOLAAN ALAT DAN MESIN PERTANIAN</t>
        </is>
      </c>
    </row>
    <row r="42">
      <c r="F42" s="29" t="inlineStr">
        <is>
          <t>PENGELOLAAN PEMBIAYAAN TANAMAN PANGAN DAN HORTIKULTURA</t>
        </is>
      </c>
    </row>
    <row r="43">
      <c r="F43" s="29" t="inlineStr">
        <is>
          <t>PENGELOLAAN LAYANAN PERIZINAN BERUSAHA BIDANG PERTANIAN DAN PERLINDUNGAN VARIETAS TANAMAN</t>
        </is>
      </c>
    </row>
    <row r="44">
      <c r="F44" s="29" t="inlineStr">
        <is>
          <t>KETERSEDIAN PANGAN</t>
        </is>
      </c>
    </row>
    <row r="45">
      <c r="F45" s="29" t="inlineStr">
        <is>
          <t>STABILITAS PASOKAN DAN HARGA PANGAN</t>
        </is>
      </c>
    </row>
    <row r="46">
      <c r="F46" s="29" t="inlineStr">
        <is>
          <t>KERAWANAN PANGAN DAN GIZI</t>
        </is>
      </c>
    </row>
    <row r="47">
      <c r="F47" s="29" t="inlineStr">
        <is>
          <t>KEAMANAN PANGAN</t>
        </is>
      </c>
    </row>
    <row r="48">
      <c r="F48" s="29" t="inlineStr">
        <is>
          <t>PENGANEKARAGAMAN KONSUMSI PANGAN</t>
        </is>
      </c>
    </row>
    <row r="49">
      <c r="F49" s="29" t="inlineStr">
        <is>
          <t>PENGELOLAAN BENIH TANAMAN PERKEBUNAN</t>
        </is>
      </c>
    </row>
    <row r="50">
      <c r="F50" s="29" t="inlineStr">
        <is>
          <t>PENGEMBANGAN KOMODITAS TANAMAN PERKEBUNAN</t>
        </is>
      </c>
    </row>
    <row r="51">
      <c r="F51" s="29" t="inlineStr">
        <is>
          <t>PERLINDUNGAN TANAMAN PERKEBUNAN</t>
        </is>
      </c>
    </row>
    <row r="52">
      <c r="F52" s="29" t="inlineStr">
        <is>
          <t>PENINGKATAN PENGELOLAAN PASCA PANEN TANAMAN PERKEBUNAN</t>
        </is>
      </c>
    </row>
    <row r="53">
      <c r="F53" s="29" t="inlineStr">
        <is>
          <t>PENINGKATAN PENGOLAHAN HASIL KOMODITAS TANAMAN PERKEBUNAN</t>
        </is>
      </c>
    </row>
    <row r="54">
      <c r="F54" s="29" t="inlineStr">
        <is>
          <t>PENINGKATAN PEMASARAN HASIL KOMODITAS TANAMAN PERKEBUNAN</t>
        </is>
      </c>
    </row>
    <row r="55">
      <c r="F55" s="29" t="inlineStr">
        <is>
          <t>PENGELOLAAN STANDARDISASI DAN PENILAIAN KESESUAIAN KOMODITAS TANAMAN PERKEBUNAN</t>
        </is>
      </c>
    </row>
    <row r="56">
      <c r="F56" s="29" t="inlineStr">
        <is>
          <t>PENGELOLAAN STANDARDISASI DAN PENILAIAN KESESUAIAN PASCA PANEN TANAMAN PERKEBUNAN</t>
        </is>
      </c>
    </row>
    <row r="57">
      <c r="F57" s="29" t="inlineStr">
        <is>
          <t>PENGELOLAAN STANDARDISASI DAN PENILAIAN KESESUAIAN PRASARANA DAN SARANA TANAMAN PERKEBUNAN</t>
        </is>
      </c>
    </row>
    <row r="58">
      <c r="F58" s="29" t="inlineStr">
        <is>
          <t>PENGELOLAAN REKOMENDASI KEBIJAKAN SOSIAL EKONOMI PEMBANGUNAN TANAMAN PERKEBUNAN</t>
        </is>
      </c>
    </row>
    <row r="59">
      <c r="F59" s="29" t="inlineStr">
        <is>
          <t>PENGELOLAAN PEMBIAYAAN TANAMAN PERKEBUNAN</t>
        </is>
      </c>
    </row>
    <row r="60">
      <c r="F60" s="29" t="inlineStr">
        <is>
          <t>PENGELOLAAN BENIH/ BIBIT TERNAK</t>
        </is>
      </c>
    </row>
    <row r="61">
      <c r="F61" s="29" t="inlineStr">
        <is>
          <t>PENGEMBANGAN KOMODITAS PETERNAKAN</t>
        </is>
      </c>
    </row>
    <row r="62">
      <c r="F62" s="29" t="inlineStr">
        <is>
          <t>PENGELOLAAN PAKAN TERNAK</t>
        </is>
      </c>
    </row>
    <row r="63">
      <c r="F63" s="29" t="inlineStr">
        <is>
          <t>PENGELOLAAN KESEHATAN HEWAN</t>
        </is>
      </c>
    </row>
    <row r="64">
      <c r="F64" s="29" t="inlineStr">
        <is>
          <t>PENGELOLAAN KESEHATAN MASYARAKAT VETERINER</t>
        </is>
      </c>
    </row>
    <row r="65">
      <c r="F65" s="29" t="inlineStr">
        <is>
          <t>PENINGKATAN PENGELOLAAN PASCA PANEN PETERNAKAN</t>
        </is>
      </c>
    </row>
    <row r="66">
      <c r="F66" s="29" t="inlineStr">
        <is>
          <t>PENINGKATAN PENGOLAHAN HASIL KOMODITAS PETERNAKAN</t>
        </is>
      </c>
    </row>
    <row r="67">
      <c r="F67" s="29" t="inlineStr">
        <is>
          <t>PENINGKATAN PEMASARAN HASIL KOMODITAS PETERNAKAN</t>
        </is>
      </c>
    </row>
    <row r="68">
      <c r="F68" s="29" t="inlineStr">
        <is>
          <t>PENGELOLAAN STANDARDISASI DAN PENILAIAN KESESUAIAN KOMODITAS PETERNAKAN</t>
        </is>
      </c>
    </row>
    <row r="69">
      <c r="F69" s="29" t="inlineStr">
        <is>
          <t>PENGELOLAAN STANDARDISASI DAN PENILAIAN KESESUAIAN PASCA PANEN PETERNAKAN</t>
        </is>
      </c>
    </row>
    <row r="70">
      <c r="F70" s="29" t="inlineStr">
        <is>
          <t>PENGELOLAAN STANDARDISASI DAN PENILAIAN KESESUAIAN PRASARANA DAN SARANA PETERNAKAN</t>
        </is>
      </c>
    </row>
    <row r="71">
      <c r="F71" s="29" t="inlineStr">
        <is>
          <t>PENGELOLAAN REKOMENDASI KEBIJAKAN SOSIAL EKONOMI PEMBANGUNAN PETERNAKAN</t>
        </is>
      </c>
    </row>
    <row r="72">
      <c r="F72" s="29" t="inlineStr">
        <is>
          <t>PENGELOLAAN PEMBIAYAAN PETERNAKAN</t>
        </is>
      </c>
    </row>
    <row r="73">
      <c r="F73" s="29" t="inlineStr">
        <is>
          <t>PENGELOLAAN PERIKANAN TANGKAP</t>
        </is>
      </c>
    </row>
    <row r="74">
      <c r="F74" s="29" t="inlineStr">
        <is>
          <t>PENGELOLAAN PERIKANAN BUDI DAYA</t>
        </is>
      </c>
    </row>
    <row r="75">
      <c r="F75" s="29" t="inlineStr">
        <is>
          <t>PENGUATAN DAYA SAING PRODUK PERIKANAN</t>
        </is>
      </c>
    </row>
    <row r="76">
      <c r="F76" s="29" t="inlineStr">
        <is>
          <t>PENGAWASAN PENGELOLAAN SUMBER DAYA PERIKANAN</t>
        </is>
      </c>
    </row>
    <row r="77">
      <c r="F77" s="29" t="inlineStr">
        <is>
          <t>PENGEMBANGAN USAHA BADAN USAHA MILIK NEGARA</t>
        </is>
      </c>
    </row>
    <row r="78">
      <c r="F78" s="29" t="inlineStr">
        <is>
          <t>INISIATIF BISNIS STRATEGIS BADAN USAHA MILIK NEGARA</t>
        </is>
      </c>
    </row>
    <row r="79">
      <c r="F79" s="29" t="inlineStr">
        <is>
          <t>PENGUATAN DAYA SAING DAN SINERGI BADAN USAHA MILIK NEGARA</t>
        </is>
      </c>
    </row>
    <row r="80">
      <c r="F80" s="29" t="inlineStr">
        <is>
          <t>PENGUATAN KINERJA BADAN USAHA MILIK NEGARA</t>
        </is>
      </c>
    </row>
    <row r="81">
      <c r="F81" s="29" t="inlineStr">
        <is>
          <t>PENCIPTAAN PERTUMBUHAN BERKELANJUTAN BADAN USAHA MILIK NEGARA</t>
        </is>
      </c>
    </row>
    <row r="82">
      <c r="F82" s="29" t="inlineStr">
        <is>
          <t>RESTRUKTURISASI BADAN USAHA MILIK NEGARA</t>
        </is>
      </c>
    </row>
    <row r="83">
      <c r="F83" s="29" t="inlineStr">
        <is>
          <t>PENGELOLAAN HUKUM DAN PERATURAN PERUNDANG-UNDANGAN BADAN USAHA MILIK NEGARA</t>
        </is>
      </c>
    </row>
    <row r="84">
      <c r="F84" s="29" t="inlineStr">
        <is>
          <t>MANAJEMEN SUMBER DAYA MANUSIA BADAN USAHA MILIK NEGARA</t>
        </is>
      </c>
    </row>
    <row r="85">
      <c r="F85" s="29" t="inlineStr">
        <is>
          <t>TEKNOLOGI DAN INFORMASI BADAN USAHA MILIK NEGARA</t>
        </is>
      </c>
    </row>
    <row r="86">
      <c r="F86" s="29" t="inlineStr">
        <is>
          <t>KEUANGAN BADAN USAHA MILIK NEGARA</t>
        </is>
      </c>
    </row>
    <row r="87">
      <c r="F87" s="29" t="inlineStr">
        <is>
          <t>MANAJEMEN RISIKO BADAN USAHA MILIK NEGARA</t>
        </is>
      </c>
    </row>
    <row r="88">
      <c r="F88" s="29" t="inlineStr">
        <is>
          <t>PENGELOLAAN BADAN USAHA KAWASAN</t>
        </is>
      </c>
    </row>
    <row r="89">
      <c r="F89" s="29" t="inlineStr">
        <is>
          <t>PENGEMBANGAN IKLIM PENANAMAN MODAL</t>
        </is>
      </c>
    </row>
    <row r="90">
      <c r="F90" s="29" t="inlineStr">
        <is>
          <t>KERJA SAMA PENANAMAN MODAL</t>
        </is>
      </c>
    </row>
    <row r="91">
      <c r="F91" s="29" t="inlineStr">
        <is>
          <t>PROMOSI PENANAMAN MODAL</t>
        </is>
      </c>
    </row>
    <row r="92">
      <c r="F92" s="29" t="inlineStr">
        <is>
          <t>PENGENDALIAN PELAKSANAAN PENANAMAN MODAL</t>
        </is>
      </c>
    </row>
    <row r="93">
      <c r="F93" s="29" t="inlineStr">
        <is>
          <t>HILIRISASI INVESTASI STRATEGIS</t>
        </is>
      </c>
    </row>
    <row r="94">
      <c r="F94" s="29" t="inlineStr">
        <is>
          <t>PENGELOLAAN PERIZINAN BERUSAHA BERBASIS RISIKO</t>
        </is>
      </c>
    </row>
    <row r="95">
      <c r="F95" s="29" t="inlineStr">
        <is>
          <t>PEMBINAAN KOPERASI</t>
        </is>
      </c>
    </row>
    <row r="96">
      <c r="F96" s="29" t="inlineStr">
        <is>
          <t>PENGELOLAAN PRODUKSI DAN PEMASARAN KOPERASI</t>
        </is>
      </c>
    </row>
    <row r="97">
      <c r="F97" s="29" t="inlineStr">
        <is>
          <t>PEMBERDAYAAN DAN PEMBIAYAAN KOPERASI</t>
        </is>
      </c>
    </row>
    <row r="98">
      <c r="F98" s="29" t="inlineStr">
        <is>
          <t>PENGAWASAN KOPERASI</t>
        </is>
      </c>
    </row>
    <row r="99">
      <c r="F99" s="29" t="inlineStr">
        <is>
          <t>USAHA MIKRO</t>
        </is>
      </c>
    </row>
    <row r="100">
      <c r="F100" s="29" t="inlineStr">
        <is>
          <t>USAHA KECIL DAN MENENGAH</t>
        </is>
      </c>
    </row>
    <row r="101">
      <c r="F101" s="29" t="inlineStr">
        <is>
          <t>KEWIRAUSAHAAN</t>
        </is>
      </c>
    </row>
    <row r="102">
      <c r="F102" s="29" t="inlineStr">
        <is>
          <t>SUMBERDAYA DAN KELEMBAGAAN PARIWISATA</t>
        </is>
      </c>
    </row>
    <row r="103">
      <c r="F103" s="29" t="inlineStr">
        <is>
          <t>DESTINASI PARIWISATA</t>
        </is>
      </c>
    </row>
    <row r="104">
      <c r="F104" s="29" t="inlineStr">
        <is>
          <t>INDUSTRI PARIWISATA</t>
        </is>
      </c>
    </row>
    <row r="105">
      <c r="F105" s="29" t="inlineStr">
        <is>
          <t>PEMASARAN PARIWISATA</t>
        </is>
      </c>
    </row>
    <row r="106">
      <c r="F106" s="29" t="inlineStr">
        <is>
          <t>PENYELENGGARAAN KEGIATAN (EVENTS)</t>
        </is>
      </c>
    </row>
    <row r="107">
      <c r="F107" s="29" t="inlineStr">
        <is>
          <t>KEBIJAKAN STRATEGIS PARIWISATA</t>
        </is>
      </c>
    </row>
    <row r="108">
      <c r="F108" s="29" t="inlineStr">
        <is>
          <t>PENGELOLAAN PEMBANGUNAN INFRASTRUKTUR BIDANG PUPR</t>
        </is>
      </c>
    </row>
    <row r="109">
      <c r="F109" s="29" t="inlineStr">
        <is>
          <t>PENGELOLAAN PEREKAYASAAN TEKNOLOGI DAN LAYANAN ADMINISTRATIF BIDANG PUPR</t>
        </is>
      </c>
    </row>
    <row r="110">
      <c r="F110" s="29" t="inlineStr">
        <is>
          <t>PENGELOLAAN SUMBER DAYA MANUSIA BIDANG PUPR</t>
        </is>
      </c>
    </row>
    <row r="111">
      <c r="F111" s="29" t="inlineStr">
        <is>
          <t>PENGELOLAAN KERJA SAMA DAN PEMBIAYAAN INFRASTRUKTUR BIDANG PUPR</t>
        </is>
      </c>
    </row>
    <row r="112">
      <c r="F112" s="29" t="inlineStr">
        <is>
          <t>PENGELOLAAN FASILITASI INFRASTRUKTUR DAERAH BIDANG PUPR</t>
        </is>
      </c>
    </row>
    <row r="113">
      <c r="F113" s="29" t="inlineStr">
        <is>
          <t>FASILITASI PERENCANAAN TEKNIS PERWUJUDAN KAWASAN TRANSMIGRASI</t>
        </is>
      </c>
    </row>
    <row r="114">
      <c r="F114" s="29" t="inlineStr">
        <is>
          <t>FASILITASI PEMBANGUNAN DAN PENGEMBANGAN SARANA DAN PRASARANA SERTA JARINGAN KONEKTIVITAS INTRA KAWASAN TRANSMIGRASI, DAN ANTARA KAWASAN TRANSMIGRASI DENGAN KAWASAN SEKITAR</t>
        </is>
      </c>
    </row>
    <row r="115">
      <c r="F115" s="29" t="inlineStr">
        <is>
          <t>FASILITASI PENATAAN PERSEBARAN PENDUDUK DI KAWASAN TRANSMIGRASI</t>
        </is>
      </c>
    </row>
    <row r="116">
      <c r="F116" s="29" t="inlineStr">
        <is>
          <t>FASILITASI PENGEMBANGAN SUMBER DAYA MANUSIA DAN PEMBERDAYAAN MASYARAKAT TRANSMIGRASI</t>
        </is>
      </c>
    </row>
    <row r="117">
      <c r="F117" s="29" t="inlineStr">
        <is>
          <t>FASILITASI PENGEMBANGAN SUMBER DAYA ALAM DAN LINGKUNGAN KAWASAN TRANSMIGRASI</t>
        </is>
      </c>
    </row>
    <row r="118">
      <c r="F118" s="29" t="inlineStr">
        <is>
          <t>FASILITASI PENGEMBANGAN SOSIAL BUDAYA DAN KELEMBAGAAN MASYARAKAT TRANSMIGRASI</t>
        </is>
      </c>
    </row>
    <row r="119">
      <c r="F119" s="29" t="inlineStr">
        <is>
          <t>FASILITASI PENGEMBANGAN EKONOMI DAN INVESTASI DI KAWASAN TRANSMIGRASI</t>
        </is>
      </c>
    </row>
    <row r="120">
      <c r="F120" s="29" t="inlineStr">
        <is>
          <t>PELAYANAN TRANSPORTASI</t>
        </is>
      </c>
    </row>
    <row r="121">
      <c r="F121" s="29" t="inlineStr">
        <is>
          <t>PENGELOLAAN KESELAMATAN DAN KEAMANAN TRANSPORTASI</t>
        </is>
      </c>
    </row>
    <row r="122">
      <c r="F122" s="29" t="inlineStr">
        <is>
          <t>PENGELOLAAN SARANA DAN PRASARANA TRANSPORTASI</t>
        </is>
      </c>
    </row>
    <row r="123">
      <c r="F123" s="29" t="inlineStr">
        <is>
          <t>AKSESIBILITAS DAN KONEKTIVITAS TRANSPORTASI</t>
        </is>
      </c>
    </row>
    <row r="124">
      <c r="F124" s="29" t="inlineStr">
        <is>
          <t>PENGELOLAAN SDM TRANSPORTASI</t>
        </is>
      </c>
    </row>
    <row r="125">
      <c r="F125" s="29" t="inlineStr">
        <is>
          <t>MANAJEMEN PEMBIAYAAN INFRASTRUKTUR TRANSPORTASI NON APBN</t>
        </is>
      </c>
    </row>
    <row r="126">
      <c r="F126" s="29" t="inlineStr">
        <is>
          <t>PENGELOLAAN TRANSPORTASI BERKELANJUTAN</t>
        </is>
      </c>
    </row>
    <row r="127">
      <c r="F127" s="29" t="inlineStr">
        <is>
          <t>PENATAAN BANGUNAN GEDUNG</t>
        </is>
      </c>
    </row>
    <row r="128">
      <c r="F128" s="29" t="inlineStr">
        <is>
          <t>PENGEMBANGAN KAWASAN PERMUKIMAN</t>
        </is>
      </c>
    </row>
    <row r="129">
      <c r="F129" s="29" t="inlineStr">
        <is>
          <t>PENGEMBANGAN SARANA PRASARANA STRATEGIS</t>
        </is>
      </c>
    </row>
    <row r="130">
      <c r="F130" s="29" t="inlineStr">
        <is>
          <t>PENYELENGGARAAN PERUMAHAN</t>
        </is>
      </c>
    </row>
    <row r="131">
      <c r="F131" s="29" t="inlineStr">
        <is>
          <t>PERENCANAAN TEKNIS PERWUJUDAN DESA BERKEMBANG DAN DESA MANDIRI SERTA KAWASAN PERDESAAN SERTA KAWASAN PERDESAAN</t>
        </is>
      </c>
    </row>
    <row r="132">
      <c r="F132" s="29" t="inlineStr">
        <is>
          <t>PENGEMBANGAN SARANA DAN PRASARANA DESA DAN PERDESAAN SERTA KAWASAN PERDESAAN</t>
        </is>
      </c>
    </row>
    <row r="133">
      <c r="F133" s="29" t="inlineStr">
        <is>
          <t>PENGEMBANGAN SUMBER DAYA ALAM DAN LINGKUNGAN DESA DAN PERDESAAN SERTA KAWASAN PERDESAAN</t>
        </is>
      </c>
    </row>
    <row r="134">
      <c r="F134" s="29" t="inlineStr">
        <is>
          <t>PENGEMBANGAN SUMBER DAYA MANUSIA DAN PEMBERDAYAAN MASYARAKAT DESA DAN PERDESAAN SERTA KAWASAN PERDESAAN</t>
        </is>
      </c>
    </row>
    <row r="135">
      <c r="F135" s="29" t="inlineStr">
        <is>
          <t>PENGEMBANGAN SOSIAL BUDAYA DAN KELEMBAGAAN DESA DAN PERDESAAN SERTA KAWASAN PERDESAAN</t>
        </is>
      </c>
    </row>
    <row r="136">
      <c r="F136" s="29" t="inlineStr">
        <is>
          <t>PENGEMBANGAN EKONOMI DAN INVESTASI DESA DAN PERDESAAN SERTA KAWASAN PERDESAAN</t>
        </is>
      </c>
    </row>
    <row r="137">
      <c r="F137" s="29" t="inlineStr">
        <is>
          <t>PENGGUNAAN DAN PENGELOLAAN DANA DESA</t>
        </is>
      </c>
    </row>
    <row r="138">
      <c r="F138" s="29" t="inlineStr">
        <is>
          <t>PENYERASIAN DAN PENYUSUNAN KEBIJAKAN, RENCANA DAN PROGRAM PERCEPATAN PEMBANGUNAN DAERAH TERTINGGAL DAN DAERAH KHUSUS</t>
        </is>
      </c>
    </row>
    <row r="139">
      <c r="F139" s="29" t="inlineStr">
        <is>
          <t>PENYERASIAN DAN FASILITASI PENGEMBANGAN SARANA DAN PRASARANA DAERAH TERTINGGAL</t>
        </is>
      </c>
    </row>
    <row r="140">
      <c r="F140" s="29" t="inlineStr">
        <is>
          <t>PENYERASIAN DAN FASILITASI PENGEMBANGAN SUMBER DAYA ALAM DAN LINGKUNGAN DAERAH TERTINGGAL</t>
        </is>
      </c>
    </row>
    <row r="141">
      <c r="F141" s="29" t="inlineStr">
        <is>
          <t>PENYERASIAN DAN FASILITASI PENGEMBANGAN SUMBER DAYA MANUSIA DAN PEMBERDAYAAN MASYARAKAT DAERAH TERTINGGAL</t>
        </is>
      </c>
    </row>
    <row r="142">
      <c r="F142" s="29" t="inlineStr">
        <is>
          <t>PENYERASIAN DAN FASILITASI PENGEMBANGAN SOSIAL BUDAYA DAN KELEMBAGAAN DAERAH TERTINGGAL</t>
        </is>
      </c>
    </row>
    <row r="143">
      <c r="F143" s="29" t="inlineStr">
        <is>
          <t>PENYERASIAN DAN FASILITASI PENGEMBANGAN EKONOMI DAN INVESTASI DAERAH TERTINGGAL</t>
        </is>
      </c>
    </row>
    <row r="144">
      <c r="F144" s="29" t="inlineStr">
        <is>
          <t>PENYERASIAN DAN FASILITASI PEMBANGUNAN DAERAH KHUSUS</t>
        </is>
      </c>
    </row>
    <row r="145">
      <c r="F145" s="29" t="inlineStr">
        <is>
          <t>PERENCANAAN TATA RUANG DAN PEMANFAATAN RUANG</t>
        </is>
      </c>
    </row>
    <row r="146">
      <c r="F146" s="29" t="inlineStr">
        <is>
          <t>PENYEDIAAN INFRASTRUKTUR DASAR GEOSPASIAL TEMATIK PERTANAHAN DAN RUANG</t>
        </is>
      </c>
    </row>
    <row r="147">
      <c r="F147" s="29" t="inlineStr">
        <is>
          <t>KEPASTIAN HAK ATAS TANAH DAN RUANG</t>
        </is>
      </c>
    </row>
    <row r="148">
      <c r="F148" s="29" t="inlineStr">
        <is>
          <t>PENYELENGGARA REFORMA AGRARIA</t>
        </is>
      </c>
    </row>
    <row r="149">
      <c r="F149" s="29" t="inlineStr">
        <is>
          <t>PENGADAAN TANAH DAN PENCADANGAN TANAH</t>
        </is>
      </c>
    </row>
    <row r="150">
      <c r="F150" s="29" t="inlineStr">
        <is>
          <t>PENGEMBANGAN EKONOMI PERTANAHAN</t>
        </is>
      </c>
    </row>
    <row r="151">
      <c r="F151" s="29" t="inlineStr">
        <is>
          <t>PENGENDALIAN DAN PENERTIBAN RUANG</t>
        </is>
      </c>
    </row>
    <row r="152">
      <c r="F152" s="29" t="inlineStr">
        <is>
          <t>PENGENDALIAN PENGUASAAN DAN PEMANFAATAN TANAH</t>
        </is>
      </c>
    </row>
    <row r="153">
      <c r="F153" s="29" t="inlineStr">
        <is>
          <t>PENANGANAN SENGKETA KONFLIK DAN PERKARA PERTANAHAN</t>
        </is>
      </c>
    </row>
    <row r="154">
      <c r="F154" s="29" t="inlineStr">
        <is>
          <t>PENGENDALIAN PENDUDUK</t>
        </is>
      </c>
    </row>
    <row r="155">
      <c r="F155" s="29" t="inlineStr">
        <is>
          <t>KELUARGA BERENCANA DAN KESEHATAN REPRODUKSI</t>
        </is>
      </c>
    </row>
    <row r="156">
      <c r="F156" s="29" t="inlineStr">
        <is>
          <t>PEMBANGUNAN KELUARGA DAN KELUARGA SEJAHTERA</t>
        </is>
      </c>
    </row>
    <row r="157">
      <c r="F157" s="29" t="inlineStr">
        <is>
          <t>PEMBERDAYAAN DAN PERAN MASYARAKAT</t>
        </is>
      </c>
    </row>
    <row r="158">
      <c r="F158" s="29" t="inlineStr">
        <is>
          <t>PENDATAAN KELUARGA</t>
        </is>
      </c>
    </row>
    <row r="159">
      <c r="F159" s="29" t="inlineStr">
        <is>
          <t>PENGEMBANGAN DAN PEMBERDAYAAN SUMBER DAYA MANUSIA KESEHATAN</t>
        </is>
      </c>
    </row>
    <row r="160">
      <c r="F160" s="29" t="inlineStr">
        <is>
          <t>PENGELOLAAN KEFARMASIAN</t>
        </is>
      </c>
    </row>
    <row r="161">
      <c r="F161" s="29" t="inlineStr">
        <is>
          <t>PENGELOLAAN ALAT KESEHATAN</t>
        </is>
      </c>
    </row>
    <row r="162">
      <c r="F162" s="29" t="inlineStr">
        <is>
          <t>PENGELOLAAN PELAYANAN KESEHATAN</t>
        </is>
      </c>
    </row>
    <row r="163">
      <c r="F163" s="29" t="inlineStr">
        <is>
          <t>PENCEGAHAN DAN PENGENDALIAN PENYAKIT</t>
        </is>
      </c>
    </row>
    <row r="164">
      <c r="F164" s="29" t="inlineStr">
        <is>
          <t>PENGELOLAAN KESEHATAN MASYARAKAT</t>
        </is>
      </c>
    </row>
    <row r="165">
      <c r="F165" s="29" t="inlineStr">
        <is>
          <t>PEMBERANTASAN PENYALAHGUNAAN DAN PEREDARAN GELAP NARKOBA (P4GN)</t>
        </is>
      </c>
    </row>
    <row r="166">
      <c r="F166" s="29" t="inlineStr">
        <is>
          <t>PENGAWASAN OBAT DAN MAKANAN</t>
        </is>
      </c>
    </row>
    <row r="167">
      <c r="F167" s="29" t="inlineStr">
        <is>
          <t>PENYELENGGARAAN REHABILITAS SOSIAL</t>
        </is>
      </c>
    </row>
    <row r="168">
      <c r="F168" s="29" t="inlineStr">
        <is>
          <t>PENYELENGGARAAN JAMINAN SOSIAL</t>
        </is>
      </c>
    </row>
    <row r="169">
      <c r="F169" s="29" t="inlineStr">
        <is>
          <t>PENYELENGGARAAN PERLINDUNGAN SOSIAL</t>
        </is>
      </c>
    </row>
    <row r="170">
      <c r="F170" s="29" t="inlineStr">
        <is>
          <t>PENYELENGGARAAN PEMBERDAYAAN SOSIAL</t>
        </is>
      </c>
    </row>
    <row r="171">
      <c r="F171" s="29" t="inlineStr">
        <is>
          <t>SISTEM PENGELOLAAN DATA TERPADU KESEJAHTERAAN SOSIAL</t>
        </is>
      </c>
    </row>
    <row r="172">
      <c r="F172" s="29" t="inlineStr">
        <is>
          <t>PENYELENGGARAAN PENANGGULANGAN BENCANA</t>
        </is>
      </c>
    </row>
    <row r="173">
      <c r="F173" s="29" t="inlineStr">
        <is>
          <t>KESETARAAN GENDER</t>
        </is>
      </c>
    </row>
    <row r="174">
      <c r="F174" s="29" t="inlineStr">
        <is>
          <t>PEMENUHAN HAK ANAK</t>
        </is>
      </c>
    </row>
    <row r="175">
      <c r="F175" s="29" t="inlineStr">
        <is>
          <t>PERLINDUNGAN HAK PEREMPUAN</t>
        </is>
      </c>
    </row>
    <row r="176">
      <c r="F176" s="29" t="inlineStr">
        <is>
          <t>PERLINDUNGAN KHUSUS ANAK</t>
        </is>
      </c>
    </row>
    <row r="177">
      <c r="F177" s="29" t="inlineStr">
        <is>
          <t>PENYEDIA LAYANAN BAGI ANAK YANG MEMERLUKAN PERLINDUNGAN KHUSUS DAN PEREMPUAN KORBAN KEKERASAN YANG MEMERLUKAN KOORDINASI LINTAS PROVINSI, TINGKAT NASIONAL, DAN INTERNASIONAL</t>
        </is>
      </c>
    </row>
    <row r="178">
      <c r="F178" s="29" t="inlineStr">
        <is>
          <t>PENYELENGGARAAN PERATURAN PERUNDANG-UNDANGAN</t>
        </is>
      </c>
    </row>
    <row r="179">
      <c r="F179" s="29" t="inlineStr">
        <is>
          <t>ADMINISTRASI HUKUM UMUM</t>
        </is>
      </c>
    </row>
    <row r="180">
      <c r="F180" s="29" t="inlineStr">
        <is>
          <t>PEMASYARAKATAN</t>
        </is>
      </c>
    </row>
    <row r="181">
      <c r="F181" s="29" t="inlineStr">
        <is>
          <t>KEIMIGRASIAN</t>
        </is>
      </c>
    </row>
    <row r="182">
      <c r="F182" s="29" t="inlineStr">
        <is>
          <t>PENGELOLAAN KEKAYAAN INTELEKTUAL</t>
        </is>
      </c>
    </row>
    <row r="183">
      <c r="F183" s="29" t="inlineStr">
        <is>
          <t>PENYIDIKAN</t>
        </is>
      </c>
    </row>
    <row r="184">
      <c r="F184" s="29" t="inlineStr">
        <is>
          <t>PERLINDUNGAN SAKSI DAN KORBAN</t>
        </is>
      </c>
    </row>
    <row r="185">
      <c r="F185" s="29" t="inlineStr">
        <is>
          <t>PENCEGAHAN DAN PEMBERANTASAN TPPU DAN TPPT</t>
        </is>
      </c>
    </row>
    <row r="186">
      <c r="F186" s="29" t="inlineStr">
        <is>
          <t>PERADILAN</t>
        </is>
      </c>
    </row>
    <row r="187">
      <c r="F187" s="29" t="inlineStr">
        <is>
          <t>PENUNTUTAN</t>
        </is>
      </c>
    </row>
    <row r="188">
      <c r="F188" s="29" t="inlineStr">
        <is>
          <t>PEMELIHARAAN KEAMANAN DAN KETERTIBAN MASYARAKAT</t>
        </is>
      </c>
    </row>
    <row r="189">
      <c r="F189" s="29" t="inlineStr">
        <is>
          <t>PENEGAKAN HUKUM</t>
        </is>
      </c>
    </row>
    <row r="190">
      <c r="F190" s="29" t="inlineStr">
        <is>
          <t>PERLINDUNGAN, PENGAYOMAN DAN PELAYANAN MASYARAKAT</t>
        </is>
      </c>
    </row>
    <row r="191">
      <c r="F191" s="29" t="inlineStr">
        <is>
          <t>PENANGGULANGAN KEJAHATAN TRANSNASIONAL DAN TERORISME</t>
        </is>
      </c>
    </row>
    <row r="192">
      <c r="F192" s="29" t="inlineStr">
        <is>
          <t>PERLINDUNGAN HAM</t>
        </is>
      </c>
    </row>
    <row r="193">
      <c r="F193" s="29" t="inlineStr">
        <is>
          <t>PEMAJUAN HAM</t>
        </is>
      </c>
    </row>
    <row r="194">
      <c r="F194" s="29" t="inlineStr">
        <is>
          <t>PENEGAKAN HAM</t>
        </is>
      </c>
    </row>
    <row r="195">
      <c r="F195" s="29" t="inlineStr">
        <is>
          <t>PEMENUHAN HAM</t>
        </is>
      </c>
    </row>
    <row r="196">
      <c r="F196" s="29" t="inlineStr">
        <is>
          <t>PENDIDIK DAN TENAGA KEPENDIDIKAN</t>
        </is>
      </c>
    </row>
    <row r="197">
      <c r="F197" s="29" t="inlineStr">
        <is>
          <t>PENDIDIKAN FORMAL PADA PENDIDIKAN ANAK USIA DINI, PENDIDIKAN DASAR, DAN PENDIDIKAN MENENGAH</t>
        </is>
      </c>
    </row>
    <row r="198">
      <c r="F198" s="29" t="inlineStr">
        <is>
          <t>PENDIDIKAN NON FORMAL</t>
        </is>
      </c>
    </row>
    <row r="199">
      <c r="F199" s="29" t="inlineStr">
        <is>
          <t>PENDIDIKAN TINGGI</t>
        </is>
      </c>
    </row>
    <row r="200">
      <c r="F200" s="29" t="inlineStr">
        <is>
          <t>PENGELOLAAN DAN PENGEMBANGAN SUBSTANSI PENDIDIKAN</t>
        </is>
      </c>
    </row>
    <row r="201">
      <c r="F201" s="29" t="inlineStr">
        <is>
          <t>PENJAMINAN MUTU DAN AKREDITASI SATUAN PENDIDIKAN</t>
        </is>
      </c>
    </row>
    <row r="202">
      <c r="F202" s="29" t="inlineStr">
        <is>
          <t>PEMBINAAN PELATIHAN VOKASI DAN PRODUKTIVITAS</t>
        </is>
      </c>
    </row>
    <row r="203">
      <c r="F203" s="29" t="inlineStr">
        <is>
          <t>PENINGKATAN PENEMPATAN TENAGA KERJA DAN PERLUASAN KESEMPATAN KERJA</t>
        </is>
      </c>
    </row>
    <row r="204">
      <c r="F204" s="29" t="inlineStr">
        <is>
          <t>PENGEMBANGAN PEMBINAAN HUBUNGAN INDUSTRIAL DAN JAMINAN SOSIAL TENAGA KERJA</t>
        </is>
      </c>
    </row>
    <row r="205">
      <c r="F205" s="29" t="inlineStr">
        <is>
          <t>PEMBINAAN PENGAWASAN KETENAGAKERJAAN DAN KESELAMATAN DAN KESEHATAN KERJA</t>
        </is>
      </c>
    </row>
    <row r="206">
      <c r="F206" s="29" t="inlineStr">
        <is>
          <t>PENGELOLAAN PELINDUNGAN PEKERJA MIGRAN</t>
        </is>
      </c>
    </row>
    <row r="207">
      <c r="F207" s="29" t="inlineStr">
        <is>
          <t>REKOMENDASI KEBIJAKAN BERBASIS RISET</t>
        </is>
      </c>
    </row>
    <row r="208">
      <c r="F208" s="29" t="inlineStr">
        <is>
          <t>RISET DAN INOVASI</t>
        </is>
      </c>
    </row>
    <row r="209">
      <c r="F209" s="29" t="inlineStr">
        <is>
          <t>PENGUATAN EKOSISTEM RISET DAN INOVASI</t>
        </is>
      </c>
    </row>
    <row r="210">
      <c r="F210" s="29" t="inlineStr">
        <is>
          <t>PEMBERDAYAAN PEMUDA</t>
        </is>
      </c>
    </row>
    <row r="211">
      <c r="F211" s="29" t="inlineStr">
        <is>
          <t>PENGEMBANGAN PEMUDA</t>
        </is>
      </c>
    </row>
    <row r="212">
      <c r="F212" s="29" t="inlineStr">
        <is>
          <t>PEMBUDAYAAN OLAHRAGA</t>
        </is>
      </c>
    </row>
    <row r="213">
      <c r="F213" s="29" t="inlineStr">
        <is>
          <t>PENINGKATAN PRESTASI OLAHRAGA</t>
        </is>
      </c>
    </row>
    <row r="214">
      <c r="F214" s="29" t="inlineStr">
        <is>
          <t>PENGELOLAAN MINYAK</t>
        </is>
      </c>
    </row>
    <row r="215">
      <c r="F215" s="29" t="inlineStr">
        <is>
          <t>PENGELOLAAN GAS BUMI</t>
        </is>
      </c>
    </row>
    <row r="216">
      <c r="F216" s="29" t="inlineStr">
        <is>
          <t>PENGELOLAAN MINERAL</t>
        </is>
      </c>
    </row>
    <row r="217">
      <c r="F217" s="29" t="inlineStr">
        <is>
          <t>PENGELOLAAN BATUBARA</t>
        </is>
      </c>
    </row>
    <row r="218">
      <c r="F218" s="29" t="inlineStr">
        <is>
          <t>PENGELOLAAN GEOLOGI</t>
        </is>
      </c>
    </row>
    <row r="219">
      <c r="F219" s="29" t="inlineStr">
        <is>
          <t>PENGELOLAAN ENERGI BARU</t>
        </is>
      </c>
    </row>
    <row r="220">
      <c r="F220" s="29" t="inlineStr">
        <is>
          <t>PENGELOLAAN ENERGI TERBARUKAN</t>
        </is>
      </c>
    </row>
    <row r="221">
      <c r="F221" s="29" t="inlineStr">
        <is>
          <t>PENGELOLAAN ENERGI TAK TERBARUKAN</t>
        </is>
      </c>
    </row>
    <row r="222">
      <c r="F222" s="29" t="inlineStr">
        <is>
          <t>PERENCANAAN KEHUTANAN YANG BERKELANJUTAN</t>
        </is>
      </c>
    </row>
    <row r="223">
      <c r="F223" s="29" t="inlineStr">
        <is>
          <t>PENINGKATAN DAYA SAING INDUSTRI PRIMER HASIL HUTAN</t>
        </is>
      </c>
    </row>
    <row r="224">
      <c r="F224" s="29" t="inlineStr">
        <is>
          <t>PENGENDALIAN KEBAKARAN HUTAN DAN LAHAN</t>
        </is>
      </c>
    </row>
    <row r="225">
      <c r="F225" s="29" t="inlineStr">
        <is>
          <t>PENINGKATAN DAYA DUKUNG DAERAH ALIRAN SUNGAI</t>
        </is>
      </c>
    </row>
    <row r="226">
      <c r="F226" s="29" t="inlineStr">
        <is>
          <t>PENINGKATAN REHABILITASI HUTAN</t>
        </is>
      </c>
    </row>
    <row r="227">
      <c r="F227" s="29" t="inlineStr">
        <is>
          <t>PENYELENGGARAAN PEMANTAPAN KAWASAN HUTAN</t>
        </is>
      </c>
    </row>
    <row r="228">
      <c r="F228" s="29" t="inlineStr">
        <is>
          <t>PENGELOLAAN LAUT</t>
        </is>
      </c>
    </row>
    <row r="229">
      <c r="F229" s="29" t="inlineStr">
        <is>
          <t>PENGELOLAAN RUANG LAUT</t>
        </is>
      </c>
    </row>
    <row r="230">
      <c r="F230" s="29" t="inlineStr">
        <is>
          <t>PELINDUNGAN LINGKUNGAN LAUT</t>
        </is>
      </c>
    </row>
    <row r="231">
      <c r="F231" s="29" t="inlineStr">
        <is>
          <t>PENGUATAN DAYA SAING PRODUK KELAUTAN</t>
        </is>
      </c>
    </row>
    <row r="232">
      <c r="F232" s="29" t="inlineStr">
        <is>
          <t>PENGAWASAN PENGELOLAAN SUMBER DAYA KELAUTAN</t>
        </is>
      </c>
    </row>
    <row r="233">
      <c r="F233" s="29" t="inlineStr">
        <is>
          <t>PENYULUHAN DAN PENGEMBANGAN SUMBER DAYA MANUSIA KELAUTAN</t>
        </is>
      </c>
    </row>
    <row r="234">
      <c r="F234" s="29" t="inlineStr">
        <is>
          <t>PENGAWASAN DAN PENGENDALIAN MUTU DAN KEAMANAN HASIL KELAUTAN</t>
        </is>
      </c>
    </row>
    <row r="235">
      <c r="F235" s="29" t="inlineStr">
        <is>
          <t>PENATAAN LINGKUNGAN HIDUP SECARA BERKELANJUTAN</t>
        </is>
      </c>
    </row>
    <row r="236">
      <c r="F236" s="29" t="inlineStr">
        <is>
          <t>PELESTARIAN LINGKUNGAN HIDUP</t>
        </is>
      </c>
    </row>
    <row r="237">
      <c r="F237" s="29" t="inlineStr">
        <is>
          <t>PENGENDALIAN PENCEMARAN DAN KERUSAKAN LINGKUNGAN</t>
        </is>
      </c>
    </row>
    <row r="238">
      <c r="F238" s="29" t="inlineStr">
        <is>
          <t>PENGELOLAAN SAMPAH</t>
        </is>
      </c>
    </row>
    <row r="239">
      <c r="F239" s="29" t="inlineStr">
        <is>
          <t>PENGELOLAAN LIMBAH BAHAN BERBAHAYA DAN BERACUN</t>
        </is>
      </c>
    </row>
    <row r="240">
      <c r="F240" s="29" t="inlineStr">
        <is>
          <t>PENGENDALIAN PERUBAHAN IKLIM</t>
        </is>
      </c>
    </row>
    <row r="241">
      <c r="F241" s="29" t="inlineStr">
        <is>
          <t>PENYELENGGARAAN KEMITRAAN LINGKUNGAN</t>
        </is>
      </c>
    </row>
    <row r="242">
      <c r="F242" s="29" t="inlineStr">
        <is>
          <t>PEMAHAMAN DAN LAYANAN KEAGAMAAN</t>
        </is>
      </c>
    </row>
    <row r="243">
      <c r="F243" s="29" t="inlineStr">
        <is>
          <t>PEMELIHARAAN KERUKUNAN UMAT BERAGAMA</t>
        </is>
      </c>
    </row>
    <row r="244">
      <c r="F244" s="29" t="inlineStr">
        <is>
          <t>OPTIMALISASI POTENSI EKONOMI KEAGAMAAN</t>
        </is>
      </c>
    </row>
    <row r="245">
      <c r="F245" s="29" t="inlineStr">
        <is>
          <t>PENJAMINAN PRODUK HALAL</t>
        </is>
      </c>
    </row>
    <row r="246">
      <c r="F246" s="29" t="inlineStr">
        <is>
          <t>PENINGKATAN KUALITAS PENDIDIKAN AGAMA DAN KEAGAMAAN</t>
        </is>
      </c>
    </row>
    <row r="247">
      <c r="F247" s="29" t="inlineStr">
        <is>
          <t>PENINGKATAN AKSES DAN MUTU PENDIDIKAN MADRASAH</t>
        </is>
      </c>
    </row>
    <row r="248">
      <c r="F248" s="29" t="inlineStr">
        <is>
          <t>PENINGKATAN AKSES, MUTU, RELEVANSI DAN DAYA SAING PENDIDIKAN TINGGI KEAGAMAAN</t>
        </is>
      </c>
    </row>
    <row r="249">
      <c r="F249" s="29" t="inlineStr">
        <is>
          <t>PENINGKATAN MUTU PESANTREN</t>
        </is>
      </c>
    </row>
    <row r="250">
      <c r="F250" s="29" t="inlineStr">
        <is>
          <t>PENINGKATAN KUALITAS PENYELENGGARAAN HAJI DAN UMRAH</t>
        </is>
      </c>
    </row>
    <row r="251">
      <c r="F251" s="29" t="inlineStr">
        <is>
          <t>PENGELOLAAN PROGRAM KEBUDAYAAN</t>
        </is>
      </c>
    </row>
    <row r="252">
      <c r="F252" s="29" t="inlineStr">
        <is>
          <t>PENGELOLAAN PROGRAM KEBAHASAAN DAN KESASTRAAN</t>
        </is>
      </c>
    </row>
    <row r="253">
      <c r="F253" s="29" t="inlineStr">
        <is>
          <t>PERIZINAN KEBUDAYAAN</t>
        </is>
      </c>
    </row>
    <row r="254">
      <c r="F254" s="29" t="inlineStr">
        <is>
          <t>PENGELOLAAN BANTUAN KEBUDAYAAN DAN KEBAHASAAN</t>
        </is>
      </c>
    </row>
    <row r="255">
      <c r="F255" s="29" t="inlineStr">
        <is>
          <t>PENGELOLAAN KOLEKSI PERPUSTAKAAN DAN AKSES INFORMASI</t>
        </is>
      </c>
    </row>
    <row r="256">
      <c r="F256" s="29" t="inlineStr">
        <is>
          <t>PENINGKATAN KUALITAS PERPUSTAKAAN</t>
        </is>
      </c>
    </row>
    <row r="257">
      <c r="F257" s="29" t="inlineStr">
        <is>
          <t>POLITIK DAN PEMERINTAHAN UMUM</t>
        </is>
      </c>
    </row>
    <row r="258">
      <c r="F258" s="29" t="inlineStr">
        <is>
          <t>OTONOMI DAERAH</t>
        </is>
      </c>
    </row>
    <row r="259">
      <c r="F259" s="29" t="inlineStr">
        <is>
          <t>PEMBINAAN ADMINISTRASI KEWILAYAHAN</t>
        </is>
      </c>
    </row>
    <row r="260">
      <c r="F260" s="29" t="inlineStr">
        <is>
          <t>PEMBINAAN PEMERINTAHAN DESA</t>
        </is>
      </c>
    </row>
    <row r="261">
      <c r="F261" s="29" t="inlineStr">
        <is>
          <t>PEMBINAAN URUSAN PEMERINTAHAN DAN PEMBANGUNAN DAERAH</t>
        </is>
      </c>
    </row>
    <row r="262">
      <c r="F262" s="29" t="inlineStr">
        <is>
          <t>PEMBINAAN KEUANGAN DAERAH</t>
        </is>
      </c>
    </row>
    <row r="263">
      <c r="F263" s="29" t="inlineStr">
        <is>
          <t>KEPENDUDUKAN DAN PENCATATAN SIPIL</t>
        </is>
      </c>
    </row>
    <row r="264">
      <c r="F264" s="29" t="inlineStr">
        <is>
          <t>PERENCANAAN DAN PENGANGGARAN APBN</t>
        </is>
      </c>
    </row>
    <row r="265">
      <c r="F265" s="29" t="inlineStr">
        <is>
          <t>PENGELOLAAN KAS NEGARA</t>
        </is>
      </c>
    </row>
    <row r="266">
      <c r="F266" s="29" t="inlineStr">
        <is>
          <t>PENGELOLAAN PENERIMAAN DAN PENDAPATAN NEGARA</t>
        </is>
      </c>
    </row>
    <row r="267">
      <c r="F267" s="29" t="inlineStr">
        <is>
          <t>PENGELOLAAN PENGELUARAN DAN BELANJA NEGARA</t>
        </is>
      </c>
    </row>
    <row r="268">
      <c r="F268" s="29" t="inlineStr">
        <is>
          <t>PENGELOLAAN PEMBIAYAAN</t>
        </is>
      </c>
    </row>
    <row r="269">
      <c r="F269" s="29" t="inlineStr">
        <is>
          <t>PENGELOLAAN KEKAYAAN NEGARA</t>
        </is>
      </c>
    </row>
    <row r="270">
      <c r="F270" s="29" t="inlineStr">
        <is>
          <t>MONITORING DAN EVALUASI ANGGARAN</t>
        </is>
      </c>
    </row>
    <row r="271">
      <c r="F271" s="29" t="inlineStr">
        <is>
          <t>AKUNTANSI DAN PELAPORAN KEUANGAN</t>
        </is>
      </c>
    </row>
    <row r="272">
      <c r="F272" s="29" t="inlineStr">
        <is>
          <t>PERUBAHAN APBN DAN REVISI ANGGARAN</t>
        </is>
      </c>
    </row>
    <row r="273">
      <c r="F273" s="29" t="inlineStr">
        <is>
          <t>PENGELOLAAN FISKAL LAINNYA</t>
        </is>
      </c>
    </row>
    <row r="274">
      <c r="F274" s="29" t="inlineStr">
        <is>
          <t>PENGADAAN BARANG/JASA PEMERINTAH</t>
        </is>
      </c>
    </row>
    <row r="275">
      <c r="F275" s="29" t="inlineStr">
        <is>
          <t>PENGELOLAAN SUMBER DAYA DAN PERANGKAT INFORMATIKA</t>
        </is>
      </c>
    </row>
    <row r="276">
      <c r="F276" s="29" t="inlineStr">
        <is>
          <t>PENATAKELOLAAN APLIKASI INFORMATIKA</t>
        </is>
      </c>
    </row>
    <row r="277">
      <c r="F277" s="29" t="inlineStr">
        <is>
          <t>PENGELOLAAN INFORMASI PUBLIK</t>
        </is>
      </c>
    </row>
    <row r="278">
      <c r="F278" s="29" t="inlineStr">
        <is>
          <t>PENGELOLAAN DATA STATISTIK</t>
        </is>
      </c>
    </row>
    <row r="279">
      <c r="F279" s="29" t="inlineStr">
        <is>
          <t>PENGELOLAAN DATA GEOSPASIAL</t>
        </is>
      </c>
    </row>
    <row r="280">
      <c r="F280" s="29" t="inlineStr">
        <is>
          <t>PENYIARAN RADIO PUBLIK</t>
        </is>
      </c>
    </row>
    <row r="281">
      <c r="F281" s="29" t="inlineStr">
        <is>
          <t>PENYIARAN TELEVISI PUBLIK</t>
        </is>
      </c>
    </row>
    <row r="282">
      <c r="F282" s="29" t="inlineStr">
        <is>
          <t>MANAJEMEN KEAMANAN INFORMASI</t>
        </is>
      </c>
    </row>
    <row r="283">
      <c r="F283" s="29" t="inlineStr">
        <is>
          <t>PENGELOLAAN SUMBER DAYA DAN PERANGKAT POS</t>
        </is>
      </c>
    </row>
    <row r="284">
      <c r="F284" s="29" t="inlineStr">
        <is>
          <t>PENGELOLAAN KOMUNIKASI PUBLIK</t>
        </is>
      </c>
    </row>
    <row r="285">
      <c r="F285" s="29" t="inlineStr">
        <is>
          <t>PERENCANAAN PEMBANGUNAN</t>
        </is>
      </c>
    </row>
    <row r="286">
      <c r="F286" s="29" t="inlineStr">
        <is>
          <t>PENGANGGARAN PEMBANGUNAN</t>
        </is>
      </c>
    </row>
    <row r="287">
      <c r="F287" s="29" t="inlineStr">
        <is>
          <t>PENGENDALIAN PEMBANGUNAN</t>
        </is>
      </c>
    </row>
    <row r="288">
      <c r="F288" s="29" t="inlineStr">
        <is>
          <t>PRAKARSA STRATEGIS (ENABLER)</t>
        </is>
      </c>
    </row>
    <row r="289">
      <c r="F289" s="29" t="inlineStr">
        <is>
          <t>PENATAAN SISTEM TATA LAKSANA</t>
        </is>
      </c>
    </row>
    <row r="290">
      <c r="F290" s="29" t="inlineStr">
        <is>
          <t>PENATAAN SISTEM KELEMBAGAAN</t>
        </is>
      </c>
    </row>
    <row r="291">
      <c r="F291" s="29" t="inlineStr">
        <is>
          <t>PENATAAN SUMBER DAYA MANUSIA APARATUR</t>
        </is>
      </c>
    </row>
    <row r="292">
      <c r="F292" s="29" t="inlineStr">
        <is>
          <t>PENINGKATAN KUALITAS REFORMASI BIROKRASI, PENGAWASAN, DAN AKUNTABILITAS KINERJA</t>
        </is>
      </c>
    </row>
    <row r="293">
      <c r="F293" s="29" t="inlineStr">
        <is>
          <t>PENINGKATAN KUALITAS PELAYANAN PUBLIK</t>
        </is>
      </c>
    </row>
    <row r="294">
      <c r="F294" s="29" t="inlineStr">
        <is>
          <t>PENYELENGGARAAN KEARSIPAN</t>
        </is>
      </c>
    </row>
    <row r="295">
      <c r="F295" s="29" t="inlineStr">
        <is>
          <t>PENYELENGGARAAN HUBUNGAN KELEMBAGAAN DAN PEMBERIAN ANALISIS KEBIJAKAN PADA PRESIDEN DAN WAKIL PRESIDEN</t>
        </is>
      </c>
    </row>
    <row r="296">
      <c r="F296" s="29" t="inlineStr">
        <is>
          <t>PEMBERIAN ANALISIS PENDAPAT HUKUM DAN RANCANGAN PERATURAN PERUNDANG-UNDANGAN</t>
        </is>
      </c>
    </row>
    <row r="297">
      <c r="F297" s="29" t="inlineStr">
        <is>
          <t>PENYELENGGARAAN KOORDINASI KERJA SAMA TEKNIK LUAR NEGERI DAN PENANGANAN ADMINISTRASI PERJALANAN DINAS LUAR NEGERI</t>
        </is>
      </c>
    </row>
    <row r="298">
      <c r="F298" s="29" t="inlineStr">
        <is>
          <t>PENANGANAN PENETAPAN KEPUTUSAN DALAM KEWENANGAN PRESIDEN</t>
        </is>
      </c>
    </row>
    <row r="299">
      <c r="F299" s="29" t="inlineStr">
        <is>
          <t>PENYELENGGARAAN KEGIATAN PRESIDEN DAN WAKIL PRESIDEN MELALUI DUKUNGAN KERUMAHTANGGAAN, KEPROTOKOLAN, PERS MEDIA, DOKUMENTASI DAN DISEMINASI INFORMASI, SERTA KOORDINASI PENGAMANAN</t>
        </is>
      </c>
    </row>
    <row r="300">
      <c r="F300" s="29" t="inlineStr">
        <is>
          <t>PENGENDALIAN PROGRAM PRIORITAS NASIONAL</t>
        </is>
      </c>
    </row>
    <row r="301">
      <c r="F301" s="29" t="inlineStr">
        <is>
          <t>PENGELOLAAN ISU STRATEGIS</t>
        </is>
      </c>
    </row>
    <row r="302">
      <c r="F302" s="29" t="inlineStr">
        <is>
          <t>PENGELOLAAN KOMUNIKASI POLITIK PRESIDEN</t>
        </is>
      </c>
    </row>
    <row r="303">
      <c r="F303" s="29" t="inlineStr">
        <is>
          <t>DUKUNGAN TEKNIS DAN ADMINISTRASI KSP</t>
        </is>
      </c>
    </row>
    <row r="304">
      <c r="F304" s="29" t="inlineStr">
        <is>
          <t>DUKUNGAN MANAJEMEN KABINET KEPADA PRESIDEN DAN WAKIL PRESIDEN DALAM PENYELENGGARAAN PEMERINTAHAN</t>
        </is>
      </c>
    </row>
    <row r="305">
      <c r="F305" s="29" t="inlineStr">
        <is>
          <t>PENGEMBANGAN NILAI-NILAI KEBANGSAAN</t>
        </is>
      </c>
    </row>
    <row r="306">
      <c r="F306" s="29" t="inlineStr">
        <is>
          <t>OPTIMALISASI REKOMENDASI KEBIJAKAN PERDAGAGAN</t>
        </is>
      </c>
    </row>
    <row r="307">
      <c r="F307" s="29" t="inlineStr">
        <is>
          <t>PENGELOLAAN PELAYANAN KESEHATAN</t>
        </is>
      </c>
    </row>
    <row r="308">
      <c r="F308" s="29" t="n"/>
    </row>
    <row r="309">
      <c r="F309" s="29" t="n"/>
    </row>
    <row r="310">
      <c r="F310" s="29" t="n"/>
    </row>
    <row r="311">
      <c r="F311" s="29" t="n"/>
    </row>
    <row r="312">
      <c r="F312" s="29" t="n"/>
    </row>
    <row r="313">
      <c r="F313" s="29" t="n"/>
    </row>
    <row r="314">
      <c r="F314" s="29" t="n"/>
    </row>
    <row r="315">
      <c r="F315" s="29" t="n"/>
    </row>
    <row r="316">
      <c r="F316" s="29" t="n"/>
    </row>
    <row r="317">
      <c r="F317" s="29" t="n"/>
    </row>
    <row r="318">
      <c r="F318" s="29" t="n"/>
    </row>
    <row r="319">
      <c r="F319" s="29" t="n"/>
    </row>
    <row r="320">
      <c r="F320" s="29" t="n"/>
    </row>
    <row r="321">
      <c r="F321" s="29" t="n"/>
    </row>
    <row r="322">
      <c r="F322" s="29" t="n"/>
    </row>
    <row r="323">
      <c r="F323" s="29" t="n"/>
    </row>
    <row r="324">
      <c r="F324" s="29" t="n"/>
    </row>
    <row r="325">
      <c r="F325" s="29" t="n"/>
    </row>
    <row r="326">
      <c r="F326" s="29" t="n"/>
    </row>
    <row r="327">
      <c r="F327" s="29" t="n"/>
    </row>
    <row r="328">
      <c r="F328" s="29" t="n"/>
    </row>
    <row r="329">
      <c r="F329" s="29" t="n"/>
    </row>
    <row r="330">
      <c r="F330" s="29" t="n"/>
    </row>
    <row r="331">
      <c r="F331" s="29" t="n"/>
    </row>
    <row r="332">
      <c r="F332" s="29" t="n"/>
    </row>
    <row r="333">
      <c r="F333" s="29" t="n"/>
    </row>
    <row r="334">
      <c r="F334" s="29" t="n"/>
    </row>
    <row r="335">
      <c r="F335" s="29" t="n"/>
    </row>
    <row r="336">
      <c r="F336" s="29" t="n"/>
    </row>
    <row r="337">
      <c r="F337" s="29" t="n"/>
    </row>
    <row r="338">
      <c r="F338" s="29" t="n"/>
    </row>
    <row r="339">
      <c r="F339" s="29" t="n"/>
    </row>
    <row r="340">
      <c r="F340" s="29" t="n"/>
    </row>
    <row r="341">
      <c r="F341" s="29" t="n"/>
    </row>
    <row r="342">
      <c r="F342" s="29" t="n"/>
    </row>
    <row r="343">
      <c r="F343" s="29" t="n"/>
    </row>
    <row r="344">
      <c r="F344" s="29" t="n"/>
    </row>
    <row r="345">
      <c r="F345" s="29" t="n"/>
    </row>
    <row r="346">
      <c r="F346" s="29" t="n"/>
    </row>
    <row r="347">
      <c r="F347" s="29" t="n"/>
    </row>
    <row r="348">
      <c r="F348" s="29" t="n"/>
    </row>
    <row r="349">
      <c r="F349" s="29" t="n"/>
    </row>
    <row r="350">
      <c r="F350" s="29" t="n"/>
    </row>
    <row r="351">
      <c r="F351" s="29" t="n"/>
    </row>
    <row r="352">
      <c r="F352" s="29" t="n"/>
    </row>
    <row r="353">
      <c r="F353" s="29" t="n"/>
    </row>
    <row r="354">
      <c r="F354" s="29" t="n"/>
    </row>
    <row r="355">
      <c r="F355" s="29" t="n"/>
    </row>
    <row r="356">
      <c r="F356" s="29" t="n"/>
    </row>
    <row r="357">
      <c r="F357" s="29" t="n"/>
    </row>
    <row r="358">
      <c r="F358" s="29" t="n"/>
    </row>
    <row r="359">
      <c r="F359" s="29" t="n"/>
    </row>
    <row r="360">
      <c r="F360" s="29" t="n"/>
    </row>
    <row r="361">
      <c r="F361" s="29" t="n"/>
    </row>
    <row r="362">
      <c r="F362" s="29" t="n"/>
    </row>
    <row r="363">
      <c r="F363" s="29" t="n"/>
    </row>
    <row r="364">
      <c r="F364" s="29" t="n"/>
    </row>
    <row r="365">
      <c r="F365" s="29" t="n"/>
    </row>
    <row r="366">
      <c r="F366" s="29" t="n"/>
    </row>
    <row r="367">
      <c r="F367" s="29" t="n"/>
    </row>
    <row r="368">
      <c r="F368" s="29" t="n"/>
    </row>
    <row r="369">
      <c r="F369" s="29" t="n"/>
    </row>
    <row r="370">
      <c r="F370" s="29" t="n"/>
    </row>
    <row r="371">
      <c r="F371" s="29" t="n"/>
    </row>
    <row r="372">
      <c r="F372" s="29" t="n"/>
    </row>
    <row r="373">
      <c r="F373" s="29" t="n"/>
    </row>
    <row r="374">
      <c r="F374" s="29" t="n"/>
    </row>
    <row r="375">
      <c r="F375" s="29" t="n"/>
    </row>
    <row r="376">
      <c r="F376" s="29" t="n"/>
    </row>
    <row r="377">
      <c r="F377" s="29" t="n"/>
    </row>
    <row r="378">
      <c r="F378" s="29" t="n"/>
    </row>
    <row r="379">
      <c r="F379" s="29" t="n"/>
    </row>
    <row r="380">
      <c r="F380" s="29" t="n"/>
    </row>
    <row r="381">
      <c r="F381" s="29" t="n"/>
    </row>
    <row r="382">
      <c r="F382" s="29" t="n"/>
    </row>
    <row r="383">
      <c r="F383" s="29" t="n"/>
    </row>
    <row r="384">
      <c r="F384" s="29" t="n"/>
    </row>
    <row r="385">
      <c r="F385" s="29" t="n"/>
    </row>
    <row r="386">
      <c r="F386" s="29" t="n"/>
    </row>
    <row r="387">
      <c r="F387" s="29" t="n"/>
    </row>
    <row r="388">
      <c r="F388" s="29" t="n"/>
    </row>
    <row r="389">
      <c r="F389" s="29" t="n"/>
    </row>
    <row r="390">
      <c r="F390" s="29" t="n"/>
    </row>
    <row r="391">
      <c r="F391" s="29" t="n"/>
    </row>
    <row r="392">
      <c r="F392" s="29" t="n"/>
    </row>
    <row r="393">
      <c r="F393" s="29" t="n"/>
    </row>
    <row r="394">
      <c r="F394" s="29" t="n"/>
    </row>
    <row r="395">
      <c r="F395" s="29" t="n"/>
    </row>
    <row r="396">
      <c r="F396" s="29" t="n"/>
    </row>
    <row r="397">
      <c r="F397" s="29" t="n"/>
    </row>
    <row r="398">
      <c r="F398" s="29" t="n"/>
    </row>
    <row r="399">
      <c r="F399" s="29" t="n"/>
    </row>
    <row r="400">
      <c r="F400" s="29" t="n"/>
    </row>
    <row r="401">
      <c r="F401" s="29" t="n"/>
    </row>
    <row r="402">
      <c r="F402" s="29" t="n"/>
    </row>
    <row r="403">
      <c r="F403" s="29" t="n"/>
    </row>
    <row r="404">
      <c r="F404" s="29" t="n"/>
    </row>
    <row r="405">
      <c r="F405" s="29" t="n"/>
    </row>
    <row r="406">
      <c r="F406" s="29" t="n"/>
    </row>
    <row r="407">
      <c r="F407" s="29" t="n"/>
    </row>
    <row r="408">
      <c r="F408" s="29" t="n"/>
    </row>
    <row r="409">
      <c r="F409" s="29" t="n"/>
    </row>
    <row r="410">
      <c r="F410" s="29" t="n"/>
    </row>
    <row r="411">
      <c r="F411" s="29" t="n"/>
    </row>
    <row r="412">
      <c r="F412" s="29" t="n"/>
    </row>
    <row r="413">
      <c r="F413" s="29" t="n"/>
    </row>
    <row r="414">
      <c r="F414" s="29" t="n"/>
    </row>
    <row r="415">
      <c r="F415" s="29" t="n"/>
    </row>
    <row r="416">
      <c r="F416" s="29" t="n"/>
    </row>
    <row r="417">
      <c r="F417" s="29" t="n"/>
    </row>
    <row r="418">
      <c r="F418" s="29" t="n"/>
    </row>
    <row r="419">
      <c r="F419" s="29" t="n"/>
    </row>
    <row r="420">
      <c r="F420" s="29" t="n"/>
    </row>
    <row r="421">
      <c r="F421" s="29" t="n"/>
    </row>
    <row r="422">
      <c r="F422" s="29" t="n"/>
    </row>
    <row r="423">
      <c r="F423" s="29" t="n"/>
    </row>
    <row r="424">
      <c r="F424" s="29" t="n"/>
    </row>
    <row r="425">
      <c r="F425" s="29" t="n"/>
    </row>
    <row r="426">
      <c r="F426" s="29" t="n"/>
    </row>
    <row r="427">
      <c r="F427" s="29" t="n"/>
    </row>
    <row r="428">
      <c r="F428" s="29" t="n"/>
    </row>
    <row r="429">
      <c r="F429" s="29" t="n"/>
    </row>
    <row r="430">
      <c r="F430" s="29" t="n"/>
    </row>
    <row r="431">
      <c r="F431" s="29" t="n"/>
    </row>
    <row r="432">
      <c r="F432" s="29" t="n"/>
    </row>
    <row r="433">
      <c r="F433" s="29" t="n"/>
    </row>
    <row r="434">
      <c r="F434" s="29" t="n"/>
    </row>
    <row r="435">
      <c r="F435" s="29" t="n"/>
    </row>
    <row r="436">
      <c r="F436" s="29" t="n"/>
    </row>
    <row r="437">
      <c r="F437" s="29" t="n"/>
    </row>
    <row r="438">
      <c r="F438" s="29" t="n"/>
    </row>
    <row r="439">
      <c r="F439" s="29" t="n"/>
    </row>
    <row r="440">
      <c r="F440" s="29" t="n"/>
    </row>
    <row r="441">
      <c r="F441" s="29" t="n"/>
    </row>
    <row r="442">
      <c r="F442" s="29" t="n"/>
    </row>
    <row r="443">
      <c r="F443" s="29" t="n"/>
    </row>
    <row r="444">
      <c r="F444" s="29" t="n"/>
    </row>
    <row r="445">
      <c r="F445" s="29" t="n"/>
    </row>
    <row r="446">
      <c r="F446" s="29" t="n"/>
    </row>
    <row r="447">
      <c r="F447" s="29" t="n"/>
    </row>
    <row r="448">
      <c r="F448" s="29" t="n"/>
    </row>
    <row r="449">
      <c r="F449" s="29" t="n"/>
    </row>
    <row r="450">
      <c r="F450" s="29" t="n"/>
    </row>
    <row r="451">
      <c r="F451" s="29" t="n"/>
    </row>
    <row r="452">
      <c r="F452" s="29" t="n"/>
    </row>
    <row r="453">
      <c r="F453" s="29" t="n"/>
    </row>
    <row r="454">
      <c r="F454" s="29" t="n"/>
    </row>
    <row r="455">
      <c r="F455" s="29" t="n"/>
    </row>
    <row r="456">
      <c r="F456" s="29" t="n"/>
    </row>
    <row r="457">
      <c r="F457" s="29" t="n"/>
    </row>
    <row r="458">
      <c r="F458" s="29" t="n"/>
    </row>
    <row r="459">
      <c r="F459" s="29" t="n"/>
    </row>
    <row r="460">
      <c r="F460" s="29" t="n"/>
    </row>
    <row r="461">
      <c r="F461" s="29" t="n"/>
    </row>
    <row r="462">
      <c r="F462" s="29" t="n"/>
    </row>
    <row r="463">
      <c r="F463" s="29" t="n"/>
    </row>
    <row r="464">
      <c r="F464" s="29" t="n"/>
    </row>
    <row r="465">
      <c r="F465" s="29" t="n"/>
    </row>
    <row r="466">
      <c r="F466" s="29" t="n"/>
    </row>
    <row r="467">
      <c r="F467" s="29" t="n"/>
    </row>
    <row r="468">
      <c r="F468" s="29" t="n"/>
    </row>
    <row r="469">
      <c r="F469" s="29" t="n"/>
    </row>
    <row r="470">
      <c r="F470" s="29" t="n"/>
    </row>
    <row r="471">
      <c r="F471" s="29" t="n"/>
    </row>
    <row r="472">
      <c r="F472" s="29" t="n"/>
    </row>
    <row r="473">
      <c r="F473" s="29" t="n"/>
    </row>
    <row r="474">
      <c r="F474" s="29" t="n"/>
    </row>
    <row r="475">
      <c r="F475" s="29" t="n"/>
    </row>
    <row r="476">
      <c r="F476" s="29" t="n"/>
    </row>
    <row r="477">
      <c r="F477" s="29" t="n"/>
    </row>
    <row r="478">
      <c r="F478" s="29" t="n"/>
    </row>
    <row r="479">
      <c r="F479" s="29" t="n"/>
    </row>
    <row r="480">
      <c r="F480" s="29" t="n"/>
    </row>
    <row r="481">
      <c r="F481" s="29" t="n"/>
    </row>
    <row r="482">
      <c r="F482" s="29" t="n"/>
    </row>
    <row r="483">
      <c r="F483" s="29" t="n"/>
    </row>
    <row r="484">
      <c r="F484" s="29" t="n"/>
    </row>
    <row r="485">
      <c r="F485" s="29" t="n"/>
    </row>
    <row r="486">
      <c r="F486" s="29" t="n"/>
    </row>
    <row r="487">
      <c r="F487" s="29" t="n"/>
    </row>
    <row r="488">
      <c r="F488" s="29" t="n"/>
    </row>
    <row r="489">
      <c r="F489" s="29" t="n"/>
    </row>
    <row r="490">
      <c r="F490" s="29" t="n"/>
    </row>
    <row r="491">
      <c r="F491" s="29" t="n"/>
    </row>
    <row r="492">
      <c r="F492" s="29" t="n"/>
    </row>
    <row r="493">
      <c r="F493" s="29" t="n"/>
    </row>
    <row r="494">
      <c r="F494" s="29" t="n"/>
    </row>
    <row r="495">
      <c r="F495" s="29" t="n"/>
    </row>
    <row r="496">
      <c r="F496" s="29" t="n"/>
    </row>
    <row r="497">
      <c r="F497" s="29" t="n"/>
    </row>
    <row r="498">
      <c r="F498" s="29" t="n"/>
    </row>
    <row r="499">
      <c r="F499" s="29" t="n"/>
    </row>
    <row r="500">
      <c r="F500" s="29" t="n"/>
    </row>
    <row r="501">
      <c r="F501" s="29" t="n"/>
    </row>
    <row r="502">
      <c r="F502" s="29" t="n"/>
    </row>
    <row r="503">
      <c r="F503" s="29" t="n"/>
    </row>
    <row r="504">
      <c r="F504" s="29" t="n"/>
    </row>
    <row r="505">
      <c r="F505" s="29" t="n"/>
    </row>
    <row r="506">
      <c r="F506" s="29" t="n"/>
    </row>
    <row r="507">
      <c r="F507" s="29" t="n"/>
    </row>
    <row r="508">
      <c r="F508" s="29" t="n"/>
    </row>
    <row r="509">
      <c r="F509" s="29" t="n"/>
    </row>
    <row r="510">
      <c r="F510" s="29" t="n"/>
    </row>
    <row r="511">
      <c r="F511" s="29" t="n"/>
    </row>
    <row r="512">
      <c r="F512" s="29" t="n"/>
    </row>
    <row r="513">
      <c r="F513" s="29" t="n"/>
    </row>
    <row r="514">
      <c r="F514" s="29" t="n"/>
    </row>
    <row r="515">
      <c r="F515" s="29" t="n"/>
    </row>
    <row r="516">
      <c r="F516" s="29" t="n"/>
    </row>
    <row r="517">
      <c r="F517" s="29" t="n"/>
    </row>
    <row r="518">
      <c r="F518" s="29" t="n"/>
    </row>
    <row r="519">
      <c r="F519" s="29" t="n"/>
    </row>
    <row r="520">
      <c r="F520" s="29" t="n"/>
    </row>
    <row r="521">
      <c r="F521" s="29" t="n"/>
    </row>
    <row r="522">
      <c r="F522" s="29" t="n"/>
    </row>
    <row r="523">
      <c r="F523" s="29" t="n"/>
    </row>
    <row r="524">
      <c r="F524" s="29" t="n"/>
    </row>
    <row r="525">
      <c r="F525" s="29" t="n"/>
    </row>
    <row r="526">
      <c r="F526" s="29" t="n"/>
    </row>
    <row r="527">
      <c r="F527" s="29" t="n"/>
    </row>
    <row r="528">
      <c r="F528" s="29" t="n"/>
    </row>
    <row r="529">
      <c r="F529" s="29" t="n"/>
    </row>
    <row r="530">
      <c r="F530" s="29" t="n"/>
    </row>
    <row r="531">
      <c r="F531" s="29" t="n"/>
    </row>
    <row r="532">
      <c r="F532" s="29" t="n"/>
    </row>
    <row r="533">
      <c r="F533" s="29" t="n"/>
    </row>
    <row r="534">
      <c r="F534" s="29" t="n"/>
    </row>
    <row r="535">
      <c r="F535" s="29" t="n"/>
    </row>
    <row r="536">
      <c r="F536" s="29" t="n"/>
    </row>
    <row r="537">
      <c r="F537" s="29" t="n"/>
    </row>
    <row r="538">
      <c r="F538" s="29" t="n"/>
    </row>
    <row r="539">
      <c r="F539" s="29" t="n"/>
    </row>
    <row r="540">
      <c r="F540" s="29" t="n"/>
    </row>
    <row r="541">
      <c r="F541" s="29" t="n"/>
    </row>
    <row r="542">
      <c r="F542" s="29" t="n"/>
    </row>
    <row r="543">
      <c r="F543" s="29" t="n"/>
    </row>
    <row r="544">
      <c r="F544" s="29" t="n"/>
    </row>
    <row r="545">
      <c r="F545" s="29" t="n"/>
    </row>
    <row r="546">
      <c r="F546" s="29" t="n"/>
    </row>
    <row r="547">
      <c r="F547" s="29" t="n"/>
    </row>
    <row r="548">
      <c r="F548" s="29" t="n"/>
    </row>
    <row r="549">
      <c r="F549" s="29" t="n"/>
    </row>
    <row r="550">
      <c r="F550" s="29" t="n"/>
    </row>
    <row r="551">
      <c r="F551" s="29" t="n"/>
    </row>
    <row r="552">
      <c r="F552" s="29" t="n"/>
    </row>
    <row r="553">
      <c r="F553" s="29" t="n"/>
    </row>
    <row r="554">
      <c r="F554" s="29" t="n"/>
    </row>
    <row r="555">
      <c r="F555" s="29" t="n"/>
    </row>
    <row r="556">
      <c r="F556" s="29" t="n"/>
    </row>
    <row r="557">
      <c r="F557" s="29" t="n"/>
    </row>
    <row r="558">
      <c r="F558" s="29" t="n"/>
    </row>
    <row r="559">
      <c r="F559" s="29" t="n"/>
    </row>
    <row r="560">
      <c r="F560" s="29" t="n"/>
    </row>
    <row r="561">
      <c r="F561" s="29" t="n"/>
    </row>
    <row r="562">
      <c r="F562" s="29" t="n"/>
    </row>
    <row r="563">
      <c r="F563" s="29" t="n"/>
    </row>
    <row r="564">
      <c r="F564" s="29" t="n"/>
    </row>
    <row r="565">
      <c r="F565" s="29" t="n"/>
    </row>
    <row r="566">
      <c r="F566" s="29" t="n"/>
    </row>
    <row r="567">
      <c r="F567" s="29" t="n"/>
    </row>
    <row r="568">
      <c r="F568" s="29" t="n"/>
    </row>
    <row r="569">
      <c r="F569" s="29" t="n"/>
    </row>
    <row r="570">
      <c r="F570" s="29" t="n"/>
    </row>
    <row r="571">
      <c r="F571" s="29" t="n"/>
    </row>
    <row r="572">
      <c r="F572" s="29" t="n"/>
    </row>
    <row r="573">
      <c r="F573" s="29" t="n"/>
    </row>
    <row r="574">
      <c r="F574" s="29" t="n"/>
    </row>
    <row r="575">
      <c r="F575" s="29" t="n"/>
    </row>
    <row r="576">
      <c r="F576" s="29" t="n"/>
    </row>
    <row r="577">
      <c r="F577" s="29" t="n"/>
    </row>
    <row r="578">
      <c r="F578" s="29" t="n"/>
    </row>
    <row r="579">
      <c r="F579" s="29" t="n"/>
    </row>
    <row r="580">
      <c r="F580" s="29" t="n"/>
    </row>
    <row r="581">
      <c r="F581" s="29" t="n"/>
    </row>
    <row r="582">
      <c r="F582" s="29" t="n"/>
    </row>
    <row r="583">
      <c r="F583" s="29" t="n"/>
    </row>
    <row r="584">
      <c r="F584" s="29" t="n"/>
    </row>
    <row r="585">
      <c r="F585" s="29" t="n"/>
    </row>
    <row r="586">
      <c r="F586" s="29" t="n"/>
    </row>
    <row r="587">
      <c r="F587" s="29" t="n"/>
    </row>
    <row r="588">
      <c r="F588" s="29" t="n"/>
    </row>
    <row r="589">
      <c r="F589" s="29" t="n"/>
    </row>
    <row r="590">
      <c r="F590" s="29" t="n"/>
    </row>
    <row r="591">
      <c r="F591" s="29" t="n"/>
    </row>
    <row r="592">
      <c r="F592" s="29" t="n"/>
    </row>
    <row r="593">
      <c r="F593" s="29" t="n"/>
    </row>
    <row r="594">
      <c r="F594" s="29" t="n"/>
    </row>
    <row r="595">
      <c r="F595" s="29" t="n"/>
    </row>
    <row r="596">
      <c r="F596" s="29" t="n"/>
    </row>
    <row r="597">
      <c r="F597" s="29" t="n"/>
    </row>
    <row r="598">
      <c r="F598" s="29" t="n"/>
    </row>
    <row r="599">
      <c r="F599" s="29" t="n"/>
    </row>
    <row r="600">
      <c r="F600" s="29" t="n"/>
    </row>
    <row r="601">
      <c r="F601" s="29" t="n"/>
    </row>
    <row r="602">
      <c r="F602" s="29" t="n"/>
    </row>
    <row r="603">
      <c r="F603" s="29" t="n"/>
    </row>
    <row r="604">
      <c r="F604" s="29" t="n"/>
    </row>
    <row r="605">
      <c r="F605" s="29" t="n"/>
    </row>
    <row r="606">
      <c r="F606" s="29" t="n"/>
    </row>
    <row r="607">
      <c r="F607" s="29" t="n"/>
    </row>
    <row r="608">
      <c r="F608" s="29" t="n"/>
    </row>
    <row r="609">
      <c r="F609" s="29" t="n"/>
    </row>
    <row r="610">
      <c r="F610" s="29" t="n"/>
    </row>
    <row r="611">
      <c r="F611" s="29" t="n"/>
    </row>
    <row r="612">
      <c r="F612" s="29" t="n"/>
    </row>
    <row r="613">
      <c r="F613" s="29" t="n"/>
    </row>
    <row r="614">
      <c r="F614" s="29" t="n"/>
    </row>
    <row r="615">
      <c r="F615" s="29" t="n"/>
    </row>
    <row r="616">
      <c r="F616" s="29" t="n"/>
    </row>
    <row r="617">
      <c r="F617" s="29" t="n"/>
    </row>
    <row r="618">
      <c r="F618" s="29" t="n"/>
    </row>
    <row r="619">
      <c r="F619" s="29" t="n"/>
    </row>
    <row r="620">
      <c r="F620" s="29" t="n"/>
    </row>
    <row r="621">
      <c r="F621" s="29" t="n"/>
    </row>
    <row r="622">
      <c r="F622" s="29" t="n"/>
    </row>
    <row r="623">
      <c r="F623" s="29" t="n"/>
    </row>
    <row r="624">
      <c r="F624" s="29" t="n"/>
    </row>
    <row r="625">
      <c r="F625" s="29" t="n"/>
    </row>
    <row r="626">
      <c r="F626" s="29" t="n"/>
    </row>
    <row r="627">
      <c r="F627" s="29" t="n"/>
    </row>
    <row r="628">
      <c r="F628" s="29" t="n"/>
    </row>
    <row r="629">
      <c r="F629" s="29" t="n"/>
    </row>
    <row r="630">
      <c r="F630" s="29" t="n"/>
    </row>
    <row r="631">
      <c r="F631" s="29" t="n"/>
    </row>
    <row r="632">
      <c r="F632" s="29" t="n"/>
    </row>
    <row r="633">
      <c r="F633" s="29" t="n"/>
    </row>
    <row r="634">
      <c r="F634" s="29" t="n"/>
    </row>
    <row r="635">
      <c r="F635" s="29" t="n"/>
    </row>
    <row r="636">
      <c r="F636" s="29" t="n"/>
    </row>
    <row r="637">
      <c r="F637" s="29" t="n"/>
    </row>
    <row r="638">
      <c r="F638" s="29" t="n"/>
    </row>
    <row r="639">
      <c r="F639" s="29" t="n"/>
    </row>
    <row r="640">
      <c r="F640" s="29" t="n"/>
    </row>
    <row r="641">
      <c r="F641" s="29" t="n"/>
    </row>
    <row r="642">
      <c r="F642" s="29" t="n"/>
    </row>
    <row r="643">
      <c r="F643" s="29" t="n"/>
    </row>
    <row r="644">
      <c r="F644" s="29" t="n"/>
    </row>
    <row r="645">
      <c r="F645" s="29" t="n"/>
    </row>
    <row r="646">
      <c r="F646" s="29" t="n"/>
    </row>
    <row r="647">
      <c r="F647" s="29" t="n"/>
    </row>
    <row r="648">
      <c r="F648" s="29" t="n"/>
    </row>
    <row r="649">
      <c r="F649" s="29" t="n"/>
    </row>
    <row r="650">
      <c r="F650" s="29" t="n"/>
    </row>
    <row r="651">
      <c r="F651" s="29" t="n"/>
    </row>
    <row r="652">
      <c r="F652" s="29" t="n"/>
    </row>
    <row r="653">
      <c r="F653" s="29" t="n"/>
    </row>
    <row r="654">
      <c r="F654" s="29" t="n"/>
    </row>
    <row r="655">
      <c r="F655" s="29" t="n"/>
    </row>
    <row r="656">
      <c r="F656" s="29" t="n"/>
    </row>
    <row r="657">
      <c r="F657" s="29" t="n"/>
    </row>
    <row r="658">
      <c r="F658" s="29" t="n"/>
    </row>
    <row r="659">
      <c r="F659" s="29" t="n"/>
    </row>
    <row r="660">
      <c r="F660" s="29" t="n"/>
    </row>
    <row r="661">
      <c r="F661" s="29" t="n"/>
    </row>
    <row r="662">
      <c r="F662" s="29" t="n"/>
    </row>
    <row r="663">
      <c r="F663" s="29" t="n"/>
    </row>
    <row r="664">
      <c r="F664" s="29" t="n"/>
    </row>
    <row r="665">
      <c r="F665" s="29" t="n"/>
    </row>
    <row r="666">
      <c r="F666" s="29" t="n"/>
    </row>
    <row r="667">
      <c r="F667" s="29" t="n"/>
    </row>
    <row r="668">
      <c r="F668" s="29" t="n"/>
    </row>
    <row r="669">
      <c r="F669" s="29" t="n"/>
    </row>
    <row r="670">
      <c r="F670" s="29" t="n"/>
    </row>
    <row r="671">
      <c r="F671" s="29" t="n"/>
    </row>
    <row r="672">
      <c r="F672" s="29" t="n"/>
    </row>
    <row r="673">
      <c r="F673" s="29" t="n"/>
    </row>
    <row r="674">
      <c r="F674" s="29" t="n"/>
    </row>
    <row r="675">
      <c r="F675" s="29" t="n"/>
    </row>
    <row r="676">
      <c r="F676" s="29" t="n"/>
    </row>
    <row r="677">
      <c r="F677" s="29" t="n"/>
    </row>
    <row r="678">
      <c r="F678" s="29" t="n"/>
    </row>
    <row r="679">
      <c r="F679" s="29" t="n"/>
    </row>
    <row r="680">
      <c r="F680" s="29" t="n"/>
    </row>
    <row r="681">
      <c r="F681" s="29" t="n"/>
    </row>
    <row r="682">
      <c r="F682" s="29" t="n"/>
    </row>
    <row r="683">
      <c r="F683" s="29" t="n"/>
    </row>
    <row r="684">
      <c r="F684" s="29" t="n"/>
    </row>
    <row r="685">
      <c r="F685" s="29" t="n"/>
    </row>
    <row r="686">
      <c r="F686" s="29" t="n"/>
    </row>
    <row r="687">
      <c r="F687" s="29" t="n"/>
    </row>
    <row r="688">
      <c r="F688" s="29" t="n"/>
    </row>
    <row r="689">
      <c r="F689" s="29" t="n"/>
    </row>
    <row r="690">
      <c r="F690" s="29" t="n"/>
    </row>
    <row r="691">
      <c r="F691" s="29" t="n"/>
    </row>
    <row r="692">
      <c r="F692" s="29" t="n"/>
    </row>
    <row r="693">
      <c r="F693" s="29" t="n"/>
    </row>
    <row r="694">
      <c r="F694" s="29" t="n"/>
    </row>
    <row r="695">
      <c r="F695" s="29" t="n"/>
    </row>
    <row r="696">
      <c r="F696" s="29" t="n"/>
    </row>
    <row r="697">
      <c r="F697" s="29" t="n"/>
    </row>
    <row r="698">
      <c r="F698" s="29" t="n"/>
    </row>
    <row r="699">
      <c r="F699" s="29" t="n"/>
    </row>
    <row r="700">
      <c r="F700" s="29" t="n"/>
    </row>
    <row r="701">
      <c r="F701" s="29" t="n"/>
    </row>
    <row r="702">
      <c r="F702" s="29" t="n"/>
    </row>
    <row r="703">
      <c r="F703" s="29" t="n"/>
    </row>
    <row r="704">
      <c r="F704" s="29" t="n"/>
    </row>
    <row r="705">
      <c r="F705" s="29" t="n"/>
    </row>
    <row r="706">
      <c r="F706" s="29" t="n"/>
    </row>
    <row r="707">
      <c r="F707" s="29" t="n"/>
    </row>
    <row r="708">
      <c r="F708" s="29" t="n"/>
    </row>
    <row r="709">
      <c r="F709" s="29" t="n"/>
    </row>
    <row r="710">
      <c r="F710" s="29" t="n"/>
    </row>
    <row r="711">
      <c r="F711" s="29" t="n"/>
    </row>
    <row r="712">
      <c r="F712" s="29" t="n"/>
    </row>
    <row r="713">
      <c r="F713" s="29" t="n"/>
    </row>
    <row r="714">
      <c r="F714" s="29" t="n"/>
    </row>
    <row r="715">
      <c r="F715" s="29" t="n"/>
    </row>
    <row r="716">
      <c r="F716" s="29" t="n"/>
    </row>
    <row r="717">
      <c r="F717" s="29" t="n"/>
    </row>
    <row r="718">
      <c r="F718" s="29" t="n"/>
    </row>
    <row r="719">
      <c r="F719" s="29" t="n"/>
    </row>
    <row r="720">
      <c r="F720" s="29" t="n"/>
    </row>
    <row r="721">
      <c r="F721" s="29" t="n"/>
    </row>
    <row r="722">
      <c r="F722" s="29" t="n"/>
    </row>
    <row r="723">
      <c r="F723" s="29" t="n"/>
    </row>
    <row r="724">
      <c r="F724" s="29" t="n"/>
    </row>
    <row r="725">
      <c r="F725" s="29" t="n"/>
    </row>
    <row r="726">
      <c r="F726" s="29" t="n"/>
    </row>
    <row r="727">
      <c r="F727" s="29" t="n"/>
    </row>
    <row r="728">
      <c r="F728" s="29" t="n"/>
    </row>
    <row r="729">
      <c r="F729" s="29" t="n"/>
    </row>
    <row r="730">
      <c r="F730" s="29" t="n"/>
    </row>
    <row r="731">
      <c r="F731" s="29" t="n"/>
    </row>
    <row r="732">
      <c r="F732" s="29" t="n"/>
    </row>
    <row r="733">
      <c r="F733" s="29" t="n"/>
    </row>
    <row r="734">
      <c r="F734" s="29" t="n"/>
    </row>
    <row r="735">
      <c r="F735" s="29" t="n"/>
    </row>
    <row r="736">
      <c r="F736" s="29" t="n"/>
    </row>
    <row r="737">
      <c r="F737" s="29" t="n"/>
    </row>
    <row r="738">
      <c r="F738" s="29" t="n"/>
    </row>
    <row r="739">
      <c r="F739" s="29" t="n"/>
    </row>
    <row r="740">
      <c r="F740" s="29" t="n"/>
    </row>
    <row r="741">
      <c r="F741" s="29" t="n"/>
    </row>
    <row r="742">
      <c r="F742" s="29" t="n"/>
    </row>
    <row r="743">
      <c r="F743" s="29" t="n"/>
    </row>
    <row r="744">
      <c r="F744" s="29" t="n"/>
    </row>
    <row r="745">
      <c r="F745" s="29" t="n"/>
    </row>
    <row r="746">
      <c r="F746" s="29" t="n"/>
    </row>
    <row r="747">
      <c r="F747" s="29" t="n"/>
    </row>
    <row r="748">
      <c r="F748" s="29" t="n"/>
    </row>
    <row r="749">
      <c r="F749" s="29" t="n"/>
    </row>
    <row r="750">
      <c r="F750" s="29" t="n"/>
    </row>
    <row r="751">
      <c r="F751" s="29" t="n"/>
    </row>
    <row r="752">
      <c r="F752" s="29" t="n"/>
    </row>
    <row r="753">
      <c r="F753" s="29" t="n"/>
    </row>
    <row r="754">
      <c r="F754" s="29" t="n"/>
    </row>
    <row r="755">
      <c r="F755" s="29" t="n"/>
    </row>
    <row r="756">
      <c r="F756" s="29" t="n"/>
    </row>
    <row r="757">
      <c r="F757" s="29" t="n"/>
    </row>
    <row r="758">
      <c r="F758" s="29" t="n"/>
    </row>
    <row r="759">
      <c r="F759" s="29" t="n"/>
    </row>
    <row r="760">
      <c r="F760" s="29" t="n"/>
    </row>
    <row r="761">
      <c r="F761" s="29" t="n"/>
    </row>
    <row r="762">
      <c r="F762" s="29" t="n"/>
    </row>
    <row r="763">
      <c r="F763" s="29" t="n"/>
    </row>
    <row r="764">
      <c r="F764" s="29" t="n"/>
    </row>
    <row r="765">
      <c r="F765" s="29" t="n"/>
    </row>
    <row r="766">
      <c r="F766" s="29" t="n"/>
    </row>
    <row r="767">
      <c r="F767" s="29" t="n"/>
    </row>
    <row r="768">
      <c r="F768" s="29" t="n"/>
    </row>
    <row r="769">
      <c r="F769" s="29" t="n"/>
    </row>
    <row r="770">
      <c r="F770" s="29" t="n"/>
    </row>
    <row r="771">
      <c r="F771" s="29" t="n"/>
    </row>
    <row r="772">
      <c r="F772" s="29" t="n"/>
    </row>
    <row r="773">
      <c r="F773" s="29" t="n"/>
    </row>
    <row r="774">
      <c r="F774" s="29" t="n"/>
    </row>
    <row r="775">
      <c r="F775" s="29" t="n"/>
    </row>
    <row r="776">
      <c r="F776" s="29" t="n"/>
    </row>
    <row r="777">
      <c r="F777" s="29" t="n"/>
    </row>
    <row r="778">
      <c r="F778" s="29" t="n"/>
    </row>
    <row r="779">
      <c r="F779" s="29" t="n"/>
    </row>
    <row r="780">
      <c r="F780" s="29" t="n"/>
    </row>
    <row r="781">
      <c r="F781" s="29" t="n"/>
    </row>
    <row r="782">
      <c r="F782" s="29" t="n"/>
    </row>
    <row r="783">
      <c r="F783" s="29" t="n"/>
    </row>
    <row r="784">
      <c r="F784" s="29" t="n"/>
    </row>
    <row r="785">
      <c r="F785" s="29" t="n"/>
    </row>
    <row r="786">
      <c r="F786" s="29" t="n"/>
    </row>
    <row r="787">
      <c r="F787" s="29" t="n"/>
    </row>
    <row r="788">
      <c r="F788" s="29" t="n"/>
    </row>
    <row r="789">
      <c r="F789" s="29" t="n"/>
    </row>
    <row r="790">
      <c r="F790" s="29" t="n"/>
    </row>
    <row r="791">
      <c r="F791" s="29" t="n"/>
    </row>
    <row r="792">
      <c r="F792" s="29" t="n"/>
    </row>
    <row r="793">
      <c r="F793" s="29" t="n"/>
    </row>
    <row r="794">
      <c r="F794" s="29" t="n"/>
    </row>
    <row r="795">
      <c r="F795" s="29" t="n"/>
    </row>
    <row r="796">
      <c r="F796" s="29" t="n"/>
    </row>
    <row r="797">
      <c r="F797" s="29" t="n"/>
    </row>
    <row r="798">
      <c r="F798" s="29" t="n"/>
    </row>
    <row r="799">
      <c r="F799" s="29" t="n"/>
    </row>
    <row r="800">
      <c r="F800" s="29" t="n"/>
    </row>
    <row r="801">
      <c r="F801" s="29" t="n"/>
    </row>
    <row r="802">
      <c r="F802" s="29" t="n"/>
    </row>
    <row r="803">
      <c r="F803" s="29" t="n"/>
    </row>
    <row r="804">
      <c r="F804" s="29" t="n"/>
    </row>
    <row r="805">
      <c r="F805" s="29" t="n"/>
    </row>
    <row r="806">
      <c r="F806" s="29" t="n"/>
    </row>
    <row r="807">
      <c r="F807" s="29" t="n"/>
    </row>
    <row r="808">
      <c r="F808" s="29" t="n"/>
    </row>
    <row r="809">
      <c r="F809" s="29" t="n"/>
    </row>
    <row r="810">
      <c r="F810" s="29" t="n"/>
    </row>
    <row r="811">
      <c r="F811" s="29" t="n"/>
    </row>
    <row r="812">
      <c r="F812" s="29" t="n"/>
    </row>
    <row r="813">
      <c r="F813" s="29" t="n"/>
    </row>
    <row r="814">
      <c r="F814" s="29" t="n"/>
    </row>
    <row r="815">
      <c r="F815" s="29" t="n"/>
    </row>
    <row r="816">
      <c r="F816" s="29" t="n"/>
    </row>
    <row r="817">
      <c r="F817" s="29" t="n"/>
    </row>
    <row r="818">
      <c r="F818" s="29" t="n"/>
    </row>
    <row r="819">
      <c r="F819" s="29" t="n"/>
    </row>
    <row r="820">
      <c r="F820" s="29" t="n"/>
    </row>
    <row r="821">
      <c r="F821" s="29" t="n"/>
    </row>
    <row r="822">
      <c r="F822" s="29" t="n"/>
    </row>
    <row r="823">
      <c r="F823" s="29" t="n"/>
    </row>
    <row r="824">
      <c r="F824" s="29" t="n"/>
    </row>
    <row r="825">
      <c r="F825" s="29" t="n"/>
    </row>
    <row r="826">
      <c r="F826" s="29" t="n"/>
    </row>
    <row r="827">
      <c r="F827" s="29" t="n"/>
    </row>
    <row r="828">
      <c r="F828" s="29" t="n"/>
    </row>
    <row r="829">
      <c r="F829" s="29" t="n"/>
    </row>
    <row r="830">
      <c r="F830" s="29" t="n"/>
    </row>
    <row r="831">
      <c r="F831" s="29" t="n"/>
    </row>
    <row r="832">
      <c r="F832" s="29" t="n"/>
    </row>
    <row r="833">
      <c r="F833" s="29" t="n"/>
    </row>
    <row r="834">
      <c r="F834" s="29" t="n"/>
    </row>
    <row r="835">
      <c r="F835" s="29" t="n"/>
    </row>
    <row r="836">
      <c r="F836" s="29" t="n"/>
    </row>
    <row r="837">
      <c r="F837" s="29" t="n"/>
    </row>
    <row r="838">
      <c r="F838" s="29" t="n"/>
    </row>
    <row r="839">
      <c r="F839" s="29" t="n"/>
    </row>
    <row r="840">
      <c r="F840" s="29" t="n"/>
    </row>
    <row r="841">
      <c r="F841" s="29" t="n"/>
    </row>
    <row r="842">
      <c r="F842" s="29" t="n"/>
    </row>
    <row r="843">
      <c r="F843" s="29" t="n"/>
    </row>
    <row r="844">
      <c r="F844" s="29" t="n"/>
    </row>
    <row r="845">
      <c r="F845" s="29" t="n"/>
    </row>
    <row r="846">
      <c r="F846" s="29" t="n"/>
    </row>
    <row r="847">
      <c r="F847" s="29" t="n"/>
    </row>
    <row r="848">
      <c r="F848" s="29" t="n"/>
    </row>
    <row r="849">
      <c r="F849" s="29" t="n"/>
    </row>
    <row r="850">
      <c r="F850" s="29" t="n"/>
    </row>
    <row r="851">
      <c r="F851" s="29" t="n"/>
    </row>
    <row r="852">
      <c r="F852" s="29" t="n"/>
    </row>
    <row r="853">
      <c r="F853" s="29" t="n"/>
    </row>
    <row r="854">
      <c r="F854" s="29" t="n"/>
    </row>
    <row r="855">
      <c r="F855" s="29" t="n"/>
    </row>
    <row r="856">
      <c r="F856" s="29" t="n"/>
    </row>
    <row r="857">
      <c r="F857" s="29" t="n"/>
    </row>
    <row r="858">
      <c r="F858" s="29" t="n"/>
    </row>
    <row r="859">
      <c r="F859" s="29" t="n"/>
    </row>
    <row r="860">
      <c r="F860" s="29" t="n"/>
    </row>
    <row r="861">
      <c r="F861" s="29" t="n"/>
    </row>
    <row r="862">
      <c r="F862" s="29" t="n"/>
    </row>
    <row r="863">
      <c r="F863" s="29" t="n"/>
    </row>
    <row r="864">
      <c r="F864" s="29" t="n"/>
    </row>
    <row r="865">
      <c r="F865" s="29" t="n"/>
    </row>
    <row r="866">
      <c r="F866" s="29" t="n"/>
    </row>
    <row r="867">
      <c r="F867" s="29" t="n"/>
    </row>
    <row r="868">
      <c r="F868" s="29" t="n"/>
    </row>
    <row r="869">
      <c r="F869" s="29" t="n"/>
    </row>
    <row r="870">
      <c r="F870" s="29" t="n"/>
    </row>
    <row r="871">
      <c r="F871" s="29" t="n"/>
    </row>
    <row r="872">
      <c r="F872" s="29" t="n"/>
    </row>
    <row r="873">
      <c r="F873" s="29" t="n"/>
    </row>
    <row r="874">
      <c r="F874" s="29" t="n"/>
    </row>
    <row r="875">
      <c r="F875" s="29" t="n"/>
    </row>
    <row r="876">
      <c r="F876" s="29" t="n"/>
    </row>
    <row r="877">
      <c r="F877" s="29" t="n"/>
    </row>
    <row r="878">
      <c r="F878" s="29" t="n"/>
    </row>
    <row r="879">
      <c r="F879" s="29" t="n"/>
    </row>
    <row r="880">
      <c r="F880" s="29" t="n"/>
    </row>
    <row r="881">
      <c r="F881" s="29" t="n"/>
    </row>
    <row r="882">
      <c r="F882" s="29" t="n"/>
    </row>
    <row r="883">
      <c r="F883" s="29" t="n"/>
    </row>
    <row r="884">
      <c r="F884" s="29" t="n"/>
    </row>
    <row r="885">
      <c r="F885" s="29" t="n"/>
    </row>
    <row r="886">
      <c r="F886" s="29" t="n"/>
    </row>
    <row r="887">
      <c r="F887" s="29" t="n"/>
    </row>
    <row r="888">
      <c r="F888" s="29" t="n"/>
    </row>
    <row r="889">
      <c r="F889" s="29" t="n"/>
    </row>
    <row r="890">
      <c r="F890" s="29" t="n"/>
    </row>
    <row r="891">
      <c r="F891" s="29" t="n"/>
    </row>
    <row r="892">
      <c r="F892" s="29" t="n"/>
    </row>
    <row r="893">
      <c r="F893" s="29" t="n"/>
    </row>
    <row r="894">
      <c r="F894" s="29" t="n"/>
    </row>
    <row r="895">
      <c r="F895" s="29" t="n"/>
    </row>
    <row r="896">
      <c r="F896" s="29" t="n"/>
    </row>
    <row r="897">
      <c r="F897" s="29" t="n"/>
    </row>
    <row r="898">
      <c r="F898" s="29" t="n"/>
    </row>
    <row r="899">
      <c r="F899" s="29" t="n"/>
    </row>
    <row r="900">
      <c r="F900" s="29" t="n"/>
    </row>
    <row r="901">
      <c r="F901" s="29" t="n"/>
    </row>
    <row r="902">
      <c r="F902" s="29" t="n"/>
    </row>
    <row r="903">
      <c r="F903" s="29" t="n"/>
    </row>
    <row r="904">
      <c r="F904" s="29" t="n"/>
    </row>
    <row r="905">
      <c r="F905" s="29" t="n"/>
    </row>
    <row r="906">
      <c r="F906" s="29" t="n"/>
    </row>
    <row r="907">
      <c r="F907" s="29" t="n"/>
    </row>
    <row r="908">
      <c r="F908" s="29" t="n"/>
    </row>
    <row r="909">
      <c r="F909" s="29" t="n"/>
    </row>
    <row r="910">
      <c r="F910" s="29" t="n"/>
    </row>
    <row r="911">
      <c r="F911" s="29" t="n"/>
    </row>
    <row r="912">
      <c r="F912" s="29" t="n"/>
    </row>
    <row r="913">
      <c r="F913" s="29" t="n"/>
    </row>
    <row r="914">
      <c r="F914" s="29" t="n"/>
    </row>
    <row r="915">
      <c r="F915" s="29" t="n"/>
    </row>
    <row r="916">
      <c r="F916" s="29" t="n"/>
    </row>
    <row r="917">
      <c r="F917" s="29" t="n"/>
    </row>
    <row r="918">
      <c r="F918" s="29" t="n"/>
    </row>
    <row r="919">
      <c r="F919" s="29" t="n"/>
    </row>
    <row r="920">
      <c r="F920" s="29" t="n"/>
    </row>
    <row r="921">
      <c r="F921" s="29" t="n"/>
    </row>
    <row r="922">
      <c r="F922" s="29" t="n"/>
    </row>
    <row r="923">
      <c r="F923" s="29" t="n"/>
    </row>
    <row r="924">
      <c r="F924" s="29" t="n"/>
    </row>
    <row r="925">
      <c r="F925" s="29" t="n"/>
    </row>
    <row r="926">
      <c r="F926" s="29" t="n"/>
    </row>
    <row r="927">
      <c r="F927" s="29" t="n"/>
    </row>
    <row r="928">
      <c r="F928" s="29" t="n"/>
    </row>
    <row r="929">
      <c r="F929" s="29" t="n"/>
    </row>
    <row r="930">
      <c r="F930" s="29" t="n"/>
    </row>
    <row r="931">
      <c r="F931" s="29" t="n"/>
    </row>
    <row r="932">
      <c r="F932" s="29" t="n"/>
    </row>
    <row r="933">
      <c r="F933" s="29" t="n"/>
    </row>
    <row r="934">
      <c r="F934" s="29" t="n"/>
    </row>
    <row r="935">
      <c r="F935" s="29" t="n"/>
    </row>
    <row r="936">
      <c r="F936" s="29" t="n"/>
    </row>
    <row r="937">
      <c r="F937" s="29" t="n"/>
    </row>
    <row r="938">
      <c r="F938" s="29" t="n"/>
    </row>
    <row r="939">
      <c r="F939" s="29" t="n"/>
    </row>
    <row r="940">
      <c r="F940" s="29" t="n"/>
    </row>
    <row r="941">
      <c r="F941" s="29" t="n"/>
    </row>
    <row r="942">
      <c r="F942" s="29" t="n"/>
    </row>
    <row r="943">
      <c r="F943" s="29" t="n"/>
    </row>
    <row r="944">
      <c r="F944" s="29" t="n"/>
    </row>
    <row r="945">
      <c r="F945" s="29" t="n"/>
    </row>
    <row r="946">
      <c r="F946" s="29" t="n"/>
    </row>
    <row r="947">
      <c r="F947" s="29" t="n"/>
    </row>
    <row r="948">
      <c r="F948" s="29" t="n"/>
    </row>
    <row r="949">
      <c r="F949" s="29" t="n"/>
    </row>
    <row r="950">
      <c r="F950" s="29" t="n"/>
    </row>
    <row r="951">
      <c r="F951" s="29" t="n"/>
    </row>
    <row r="952">
      <c r="F952" s="29" t="n"/>
    </row>
    <row r="953">
      <c r="F953" s="29" t="n"/>
    </row>
    <row r="954">
      <c r="F954" s="29" t="n"/>
    </row>
    <row r="955">
      <c r="F955" s="29" t="n"/>
    </row>
    <row r="956">
      <c r="F956" s="29" t="n"/>
    </row>
    <row r="957">
      <c r="F957" s="29" t="n"/>
    </row>
    <row r="958">
      <c r="F958" s="29" t="n"/>
    </row>
    <row r="959">
      <c r="F959" s="29" t="n"/>
    </row>
    <row r="960">
      <c r="F960" s="29" t="n"/>
    </row>
    <row r="961">
      <c r="F961" s="29" t="n"/>
    </row>
    <row r="962">
      <c r="F962" s="29" t="n"/>
    </row>
    <row r="963">
      <c r="F963" s="29" t="n"/>
    </row>
    <row r="964">
      <c r="F964" s="29" t="n"/>
    </row>
    <row r="965">
      <c r="F965" s="29" t="n"/>
    </row>
    <row r="966">
      <c r="F966" s="29" t="n"/>
    </row>
    <row r="967">
      <c r="F967" s="29" t="n"/>
    </row>
    <row r="968">
      <c r="F968" s="29" t="n"/>
    </row>
    <row r="969">
      <c r="F969" s="29" t="n"/>
    </row>
    <row r="970">
      <c r="F970" s="29" t="n"/>
    </row>
    <row r="971">
      <c r="F971" s="29" t="n"/>
    </row>
    <row r="972">
      <c r="F972" s="29" t="n"/>
    </row>
    <row r="973">
      <c r="F973" s="29" t="n"/>
    </row>
    <row r="974">
      <c r="F974" s="29" t="n"/>
    </row>
    <row r="975">
      <c r="F975" s="29" t="n"/>
    </row>
    <row r="976">
      <c r="F976" s="29" t="n"/>
    </row>
    <row r="977">
      <c r="F977" s="29" t="n"/>
    </row>
    <row r="978">
      <c r="F978" s="29" t="n"/>
    </row>
    <row r="979">
      <c r="F979" s="29" t="n"/>
    </row>
    <row r="980">
      <c r="F980" s="29" t="n"/>
    </row>
    <row r="981">
      <c r="F981" s="29" t="n"/>
    </row>
    <row r="982">
      <c r="F982" s="29" t="n"/>
    </row>
    <row r="983">
      <c r="F983" s="29" t="n"/>
    </row>
    <row r="984">
      <c r="F984" s="29" t="n"/>
    </row>
    <row r="985">
      <c r="F985" s="29" t="n"/>
    </row>
    <row r="986">
      <c r="F986" s="29" t="n"/>
    </row>
    <row r="987">
      <c r="F987" s="29" t="n"/>
    </row>
    <row r="988">
      <c r="F988" s="29" t="n"/>
    </row>
    <row r="989">
      <c r="F989" s="29" t="n"/>
    </row>
    <row r="990">
      <c r="F990" s="29" t="n"/>
    </row>
    <row r="991">
      <c r="F991" s="29" t="n"/>
    </row>
    <row r="992">
      <c r="F992" s="29" t="n"/>
    </row>
    <row r="993">
      <c r="F993" s="29" t="n"/>
    </row>
    <row r="994">
      <c r="F994" s="29" t="n"/>
    </row>
    <row r="995">
      <c r="F995" s="29" t="n"/>
    </row>
    <row r="996">
      <c r="F996" s="29" t="n"/>
    </row>
    <row r="997">
      <c r="F997" s="29" t="n"/>
    </row>
    <row r="998">
      <c r="F998" s="29" t="n"/>
    </row>
    <row r="999">
      <c r="F999" s="29" t="n"/>
    </row>
    <row r="1000">
      <c r="F1000" s="29" t="n"/>
    </row>
  </sheetData>
  <pageMargins left="0.75" right="0.75" top="1" bottom="1" header="0.5" footer="0.5"/>
</worksheet>
</file>

<file path=xl/worksheets/sheet3.xml><?xml version="1.0" encoding="utf-8"?>
<worksheet xmlns="http://schemas.openxmlformats.org/spreadsheetml/2006/main">
  <sheetPr>
    <outlinePr summaryBelow="0" summaryRight="0"/>
    <pageSetUpPr fitToPage="1"/>
  </sheetPr>
  <dimension ref="A1:AS540"/>
  <sheetViews>
    <sheetView workbookViewId="0">
      <pane ySplit="2" topLeftCell="A3" activePane="bottomLeft" state="frozen"/>
      <selection pane="bottomLeft" activeCell="B4" sqref="B4"/>
    </sheetView>
  </sheetViews>
  <sheetFormatPr baseColWidth="8" defaultColWidth="12.63" defaultRowHeight="15.75" customHeight="1"/>
  <cols>
    <col width="24.38" customWidth="1" style="346" min="1" max="1"/>
    <col width="21.38" customWidth="1" style="346" min="2" max="2"/>
    <col width="59.63" customWidth="1" style="346" min="3" max="3"/>
    <col width="35.5" customWidth="1" style="346" min="4" max="4"/>
    <col width="17" customWidth="1" style="346" min="5" max="5"/>
    <col width="34.13" customWidth="1" style="346" min="6" max="6"/>
    <col width="16.75" customWidth="1" style="346" min="7" max="7"/>
    <col width="12.13" customWidth="1" style="346" min="9" max="9"/>
    <col width="13.13" customWidth="1" style="346" min="10" max="10"/>
    <col width="15" customWidth="1" style="346" min="11" max="11"/>
    <col width="14.25" customWidth="1" style="346" min="12" max="12"/>
    <col width="20.13" customWidth="1" style="346" min="13" max="13"/>
    <col width="14.88" customWidth="1" style="346" min="15" max="15"/>
    <col width="17" customWidth="1" style="346" min="16" max="16"/>
    <col width="17.25" customWidth="1" style="346" min="17" max="17"/>
    <col width="24" customWidth="1" style="346" min="18" max="18"/>
    <col width="17.75" customWidth="1" style="346" min="19" max="19"/>
    <col width="16.88" customWidth="1" style="346" min="20" max="20"/>
    <col width="15.38" customWidth="1" style="346" min="23" max="23"/>
    <col width="16.75" customWidth="1" style="346" min="24" max="24"/>
    <col width="15.88" customWidth="1" style="346" min="25" max="25"/>
    <col width="15.5" customWidth="1" style="346" min="26" max="26"/>
    <col width="18.13" customWidth="1" style="346" min="27" max="27"/>
    <col width="14.88" customWidth="1" style="346" min="29" max="29"/>
    <col width="15.5" customWidth="1" style="346" min="30" max="30"/>
  </cols>
  <sheetData>
    <row r="1">
      <c r="A1" s="1" t="inlineStr">
        <is>
          <t>No</t>
        </is>
      </c>
      <c r="B1" s="2" t="inlineStr">
        <is>
          <t>Nama Layanan</t>
        </is>
      </c>
      <c r="C1" s="347" t="inlineStr">
        <is>
          <t>Pemilik Layanan</t>
        </is>
      </c>
      <c r="D1" s="2" t="inlineStr">
        <is>
          <t>Tujuan dan Fungsi Layanan</t>
        </is>
      </c>
      <c r="E1" s="2" t="inlineStr">
        <is>
          <t>Dasar Hukum Layanan</t>
        </is>
      </c>
      <c r="F1" s="2" t="inlineStr">
        <is>
          <t>SOP / Proses Bisnis Layanan</t>
        </is>
      </c>
      <c r="G1" s="2" t="inlineStr">
        <is>
          <t>Referensi Layanan</t>
        </is>
      </c>
      <c r="H1" s="2" t="inlineStr">
        <is>
          <t>Target Layanan</t>
        </is>
      </c>
      <c r="I1" s="3" t="inlineStr">
        <is>
          <t>Data yang dimasukan</t>
        </is>
      </c>
      <c r="J1" s="3" t="inlineStr">
        <is>
          <t>Data yang dihasilkan</t>
        </is>
      </c>
      <c r="K1" s="3" t="inlineStr">
        <is>
          <t>Sifat Data</t>
        </is>
      </c>
      <c r="L1" s="3" t="inlineStr">
        <is>
          <t>Data Pribadi</t>
        </is>
      </c>
      <c r="M1" s="3" t="inlineStr">
        <is>
          <t>Interval update data yang dihasilkan</t>
        </is>
      </c>
      <c r="N1" s="4" t="inlineStr">
        <is>
          <t>Aplikasi Pendukung</t>
        </is>
      </c>
      <c r="O1" s="4" t="inlineStr">
        <is>
          <t>Pengembang</t>
        </is>
      </c>
      <c r="P1" s="4" t="inlineStr">
        <is>
          <t>Pemilik</t>
        </is>
      </c>
      <c r="Q1" s="4" t="inlineStr">
        <is>
          <t>Platform</t>
        </is>
      </c>
      <c r="R1" s="4" t="inlineStr">
        <is>
          <t>Alamat Aplikasi</t>
        </is>
      </c>
      <c r="S1" s="4" t="inlineStr">
        <is>
          <t>Kategori Akses</t>
        </is>
      </c>
      <c r="T1" s="4" t="inlineStr">
        <is>
          <t>Jenis Aplikasi</t>
        </is>
      </c>
      <c r="U1" s="4" t="inlineStr">
        <is>
          <t>Tahun Pembuatan</t>
        </is>
      </c>
      <c r="V1" s="4" t="inlineStr">
        <is>
          <t>Status Aplikasi</t>
        </is>
      </c>
      <c r="W1" s="4" t="inlineStr">
        <is>
          <t>Telah Terintegrasi</t>
        </is>
      </c>
      <c r="X1" s="4" t="inlineStr">
        <is>
          <t>Terintegrasi dengan Aplikasi</t>
        </is>
      </c>
      <c r="Y1" s="4" t="inlineStr">
        <is>
          <t>Mekanisme Integrasi</t>
        </is>
      </c>
      <c r="Z1" s="4" t="inlineStr">
        <is>
          <t>Frekuensi Sinkronisasi</t>
        </is>
      </c>
      <c r="AA1" s="5" t="inlineStr">
        <is>
          <t>Bidang / Unit Kerja</t>
        </is>
      </c>
      <c r="AB1" s="5" t="inlineStr">
        <is>
          <t>OPD</t>
        </is>
      </c>
      <c r="AC1" s="5" t="inlineStr">
        <is>
          <t>Nama</t>
        </is>
      </c>
      <c r="AD1" s="5" t="inlineStr">
        <is>
          <t>No. HP</t>
        </is>
      </c>
      <c r="AE1" s="5" t="inlineStr">
        <is>
          <t>Email</t>
        </is>
      </c>
      <c r="AF1" s="31" t="inlineStr">
        <is>
          <t>Keterkaitan 58 Rencana Aksi</t>
        </is>
      </c>
      <c r="AG1" s="31" t="inlineStr">
        <is>
          <t>Frekuensi Penggunaan Aplikasi</t>
        </is>
      </c>
      <c r="AH1" s="31" t="inlineStr">
        <is>
          <t>TA</t>
        </is>
      </c>
      <c r="AI1" s="7" t="n"/>
      <c r="AJ1" s="7" t="n"/>
      <c r="AK1" s="7" t="n"/>
      <c r="AL1" s="7" t="n"/>
      <c r="AM1" s="7" t="n"/>
      <c r="AN1" s="7" t="n"/>
      <c r="AO1" s="7" t="n"/>
      <c r="AP1" s="7" t="n"/>
      <c r="AQ1" s="7" t="n"/>
      <c r="AR1" s="7" t="n"/>
      <c r="AS1" s="7" t="n"/>
    </row>
    <row r="2">
      <c r="A2" s="8" t="n">
        <v>1</v>
      </c>
      <c r="B2" s="9" t="n">
        <v>2</v>
      </c>
      <c r="C2" s="348" t="n"/>
      <c r="D2" s="9" t="n">
        <v>3</v>
      </c>
      <c r="E2" s="9" t="n">
        <v>4</v>
      </c>
      <c r="F2" s="9" t="n">
        <v>5</v>
      </c>
      <c r="G2" s="9" t="n">
        <v>6</v>
      </c>
      <c r="H2" s="9" t="n">
        <v>7</v>
      </c>
      <c r="I2" s="11" t="n">
        <v>8</v>
      </c>
      <c r="J2" s="11" t="n">
        <v>9</v>
      </c>
      <c r="K2" s="11" t="n">
        <v>10</v>
      </c>
      <c r="L2" s="11" t="n">
        <v>11</v>
      </c>
      <c r="M2" s="11" t="n">
        <v>12</v>
      </c>
      <c r="N2" s="14" t="n">
        <v>13</v>
      </c>
      <c r="O2" s="14" t="n">
        <v>14</v>
      </c>
      <c r="P2" s="14" t="n">
        <v>15</v>
      </c>
      <c r="Q2" s="14" t="n">
        <v>16</v>
      </c>
      <c r="R2" s="14" t="n">
        <v>17</v>
      </c>
      <c r="S2" s="14" t="n">
        <v>18</v>
      </c>
      <c r="T2" s="14" t="n">
        <v>19</v>
      </c>
      <c r="U2" s="14" t="n">
        <v>20</v>
      </c>
      <c r="V2" s="14" t="n">
        <v>21</v>
      </c>
      <c r="W2" s="14" t="n">
        <v>22</v>
      </c>
      <c r="X2" s="14" t="n">
        <v>23</v>
      </c>
      <c r="Y2" s="14" t="n">
        <v>24</v>
      </c>
      <c r="Z2" s="14" t="n">
        <v>25</v>
      </c>
      <c r="AA2" s="15" t="n">
        <v>26</v>
      </c>
      <c r="AB2" s="15" t="n">
        <v>27</v>
      </c>
      <c r="AC2" s="15" t="n">
        <v>28</v>
      </c>
      <c r="AD2" s="15" t="n">
        <v>29</v>
      </c>
      <c r="AE2" s="15" t="n">
        <v>30</v>
      </c>
      <c r="AF2" s="33" t="n">
        <v>31</v>
      </c>
      <c r="AG2" s="33" t="n">
        <v>32</v>
      </c>
      <c r="AH2" s="33" t="n">
        <v>33</v>
      </c>
      <c r="AI2" s="18" t="n"/>
      <c r="AJ2" s="18" t="n"/>
      <c r="AK2" s="18" t="n"/>
      <c r="AL2" s="18" t="n"/>
      <c r="AM2" s="18" t="n"/>
      <c r="AN2" s="18" t="n"/>
      <c r="AO2" s="18" t="n"/>
      <c r="AP2" s="18" t="n"/>
      <c r="AQ2" s="18" t="n"/>
      <c r="AR2" s="18" t="n"/>
      <c r="AS2" s="18" t="n"/>
    </row>
    <row r="3" ht="33.75" customHeight="1" s="346">
      <c r="A3" s="8" t="inlineStr">
        <is>
          <t>Panduan</t>
        </is>
      </c>
      <c r="B3" s="46" t="inlineStr">
        <is>
          <t>Isikan dengan nama layanan yang selenggarakan</t>
        </is>
      </c>
      <c r="D3" s="46" t="inlineStr">
        <is>
          <t>Layanan Pengaduan Masyarakat (LPM) adalah wadah atau sistem yang disediakan oleh instansi pemerintah (atau lembaga publik lainnya) bagi masyarakat untuk menyampaikan keluhan, saran, masukan, aspirasi, hingga laporan atas dugaan penyimpangan atau maladministrasi dalam penyelenggaraan pemerintahan dan pelayanan publik.</t>
        </is>
      </c>
      <c r="E3" s="46" t="inlineStr">
        <is>
          <t>Isikan dengan dasar hukum penyelenggaraan layanan (Isikan dengan peraturan tingkat daerah, jika tidak ada dapat mengacu ke peraturan tingkat pusat)</t>
        </is>
      </c>
      <c r="F3" s="46" t="inlineStr">
        <is>
          <t>isikan dengan link dokumen berbentuk pdf terkait SOP / Proses Bisnis layanan</t>
        </is>
      </c>
      <c r="G3" s="46" t="inlineStr">
        <is>
          <t>Isikan referensi layanan sesuai daftar (Isikan dengan referensi layanan yang mendekati, dapat dilihat pada sheet referensi)</t>
        </is>
      </c>
      <c r="H3" s="46" t="inlineStr">
        <is>
          <t>Isikan dengan penerima layanan</t>
        </is>
      </c>
      <c r="I3" s="46" t="inlineStr">
        <is>
          <t>Isikan dengan input data</t>
        </is>
      </c>
      <c r="J3" s="46" t="inlineStr">
        <is>
          <t>Isikan dengan output data</t>
        </is>
      </c>
      <c r="K3" s="46" t="inlineStr">
        <is>
          <t>Isikan dengan sifat data</t>
        </is>
      </c>
      <c r="L3" s="46" t="inlineStr">
        <is>
          <t>Apakah terdapat Data Pribadi yang digunakan ?</t>
        </is>
      </c>
      <c r="M3" s="46" t="inlineStr">
        <is>
          <t>Pemutakhiran data hasil dari proses layanan</t>
        </is>
      </c>
      <c r="N3" s="46" t="inlineStr">
        <is>
          <t>Masukan nama aplikasi pendukung layanan, jika tidak ada maka isikan dengan "Belum terdapat aplikasi"</t>
        </is>
      </c>
      <c r="O3" s="46" t="inlineStr">
        <is>
          <t>Isikan dengan pengembang aplikasi</t>
        </is>
      </c>
      <c r="P3" s="46" t="inlineStr">
        <is>
          <t>Isikan dengan pemilik aplikasi</t>
        </is>
      </c>
      <c r="Q3" s="46" t="inlineStr">
        <is>
          <t>Isikan dengan platform aplikasi</t>
        </is>
      </c>
      <c r="R3" s="46" t="inlineStr">
        <is>
          <t>Isikan dengan alamat akses aplikasi, jika berbasis mobile isikan dengan link download</t>
        </is>
      </c>
      <c r="S3" s="46" t="inlineStr">
        <is>
          <t>Isikan dengan metode akses aplikasi</t>
        </is>
      </c>
      <c r="T3" s="46" t="inlineStr">
        <is>
          <t>Isikan dengan jenis aplikasi, informasi untuk satu arah, transaksi untuk dua arah)</t>
        </is>
      </c>
      <c r="U3" s="46" t="inlineStr">
        <is>
          <t>Isikan dengan tahun pembuatan</t>
        </is>
      </c>
      <c r="V3" s="46" t="inlineStr">
        <is>
          <t>Isikan dengan status aplikasi</t>
        </is>
      </c>
      <c r="W3" s="46" t="inlineStr">
        <is>
          <t>Apakah aplikasi telah terintegrasi ?</t>
        </is>
      </c>
      <c r="X3" s="46" t="inlineStr">
        <is>
          <t>Terintegrasi dengan aplikasi ? (Isikan dengan nama aplikasi, jika tidak isikan Tidak Terintegrasi</t>
        </is>
      </c>
      <c r="Y3" s="46" t="inlineStr">
        <is>
          <t>Bagaimana proses integrasi berlangsung ?</t>
        </is>
      </c>
      <c r="Z3" s="46" t="inlineStr">
        <is>
          <t>Berapa lama integrasi data/layanan mutakhirkan ?</t>
        </is>
      </c>
      <c r="AA3" s="46" t="inlineStr">
        <is>
          <t>Isikan dengan unit kerja pelaksana layanan</t>
        </is>
      </c>
      <c r="AB3" s="46" t="inlineStr">
        <is>
          <t>Isikan dengan OPD pelaksana layanan</t>
        </is>
      </c>
      <c r="AC3" s="46" t="inlineStr">
        <is>
          <t>Isikan dengan Nama PIC pelaksana layanan</t>
        </is>
      </c>
      <c r="AD3" s="46" t="inlineStr">
        <is>
          <t>Isikan dengan nomor kontak pelaksana layanan</t>
        </is>
      </c>
      <c r="AE3" s="46" t="inlineStr">
        <is>
          <t>Isikan dengan email pelaksana layanan</t>
        </is>
      </c>
      <c r="AF3" s="34" t="inlineStr">
        <is>
          <t>Isikan keterkaitan layanan/probis/data dengan 58 Rencana Aksi. Sebutkan nomor rencana aksi tersebut.</t>
        </is>
      </c>
      <c r="AG3" s="34" t="inlineStr">
        <is>
          <t>Isikan sesuai dengan frekuensi penggunaan aplikasi. Harian / Mingguan / Bulanan / Tahunan / Insidentil</t>
        </is>
      </c>
      <c r="AH3" s="18" t="n"/>
      <c r="AI3" s="18" t="n"/>
      <c r="AJ3" s="18" t="n"/>
      <c r="AK3" s="18" t="n"/>
      <c r="AL3" s="18" t="n"/>
      <c r="AM3" s="18" t="n"/>
      <c r="AN3" s="18" t="n"/>
      <c r="AO3" s="18" t="n"/>
      <c r="AP3" s="18" t="n"/>
      <c r="AQ3" s="18" t="n"/>
      <c r="AR3" s="18" t="n"/>
      <c r="AS3" s="18" t="n"/>
    </row>
    <row r="4">
      <c r="A4" s="8" t="inlineStr">
        <is>
          <t>Contoh</t>
        </is>
      </c>
      <c r="B4" s="46" t="inlineStr">
        <is>
          <t>Layanan Pengaduan Masyarakat</t>
        </is>
      </c>
      <c r="E4" s="46" t="inlineStr">
        <is>
          <t>Undang-Undang Nomor 25 Tahun 2009 tentang Pelayanan Publik</t>
        </is>
      </c>
      <c r="F4" s="46" t="inlineStr">
        <is>
          <t>abcd.pdf</t>
        </is>
      </c>
      <c r="G4" s="46" t="inlineStr">
        <is>
          <t>PENINGKATAN KUALITAS PELAYANAN PUBLIK</t>
        </is>
      </c>
      <c r="H4" s="46" t="inlineStr">
        <is>
          <t>Masyarakat</t>
        </is>
      </c>
      <c r="I4" s="46" t="inlineStr">
        <is>
          <t>Data Pengguna, Data Adun</t>
        </is>
      </c>
      <c r="J4" s="46" t="inlineStr">
        <is>
          <t>Data Aduan Masyarakat</t>
        </is>
      </c>
      <c r="K4" s="46" t="inlineStr">
        <is>
          <t>Tertutup</t>
        </is>
      </c>
      <c r="L4" s="46" t="inlineStr">
        <is>
          <t>Terdapat</t>
        </is>
      </c>
      <c r="M4" s="46" t="inlineStr">
        <is>
          <t>Harian</t>
        </is>
      </c>
      <c r="N4" s="46" t="inlineStr">
        <is>
          <t>SP4N Lapor</t>
        </is>
      </c>
      <c r="O4" s="46" t="inlineStr">
        <is>
          <t>Pusat</t>
        </is>
      </c>
      <c r="P4" s="46" t="inlineStr">
        <is>
          <t>Pusat</t>
        </is>
      </c>
      <c r="Q4" s="46" t="inlineStr">
        <is>
          <t>Website dan Mobile</t>
        </is>
      </c>
      <c r="R4" s="20" t="inlineStr">
        <is>
          <t>https://lapor.go.id/</t>
        </is>
      </c>
      <c r="S4" s="46" t="inlineStr">
        <is>
          <t>Secara Online</t>
        </is>
      </c>
      <c r="T4" s="46" t="inlineStr">
        <is>
          <t>Transaksi</t>
        </is>
      </c>
      <c r="U4" s="46" t="n">
        <v>2018</v>
      </c>
      <c r="V4" s="46" t="inlineStr">
        <is>
          <t>Aktif</t>
        </is>
      </c>
      <c r="W4" s="46" t="inlineStr">
        <is>
          <t>Tidak</t>
        </is>
      </c>
      <c r="X4" s="46" t="inlineStr">
        <is>
          <t>Tidak Terintegrasi</t>
        </is>
      </c>
      <c r="Y4" s="46" t="inlineStr">
        <is>
          <t>Tidak Terintegrasi</t>
        </is>
      </c>
      <c r="Z4" s="46" t="inlineStr">
        <is>
          <t>Tidak Terintegrasi</t>
        </is>
      </c>
      <c r="AA4" s="46" t="inlineStr">
        <is>
          <t>Bidang Informasi Komunikasi Publik</t>
        </is>
      </c>
      <c r="AB4" s="46" t="inlineStr">
        <is>
          <t>Diskominfo</t>
        </is>
      </c>
      <c r="AC4" s="20" t="inlineStr">
        <is>
          <t>Rima Diani, S.Si.Kom</t>
        </is>
      </c>
      <c r="AD4" s="46" t="n">
        <v>123</v>
      </c>
      <c r="AE4" s="46" t="inlineStr">
        <is>
          <t>rima@bandungkab.go.id</t>
        </is>
      </c>
      <c r="AF4" s="330" t="n">
        <v>28</v>
      </c>
      <c r="AG4" s="330" t="inlineStr">
        <is>
          <t>Harian</t>
        </is>
      </c>
      <c r="AH4" s="18" t="n"/>
      <c r="AI4" s="18" t="n"/>
      <c r="AJ4" s="18" t="n"/>
      <c r="AK4" s="18" t="n"/>
      <c r="AL4" s="18" t="n"/>
      <c r="AM4" s="18" t="n"/>
      <c r="AN4" s="18" t="n"/>
      <c r="AO4" s="18" t="n"/>
      <c r="AP4" s="18" t="n"/>
      <c r="AQ4" s="18" t="n"/>
      <c r="AR4" s="18" t="n"/>
      <c r="AS4" s="18" t="n"/>
    </row>
    <row r="5">
      <c r="A5" s="36" t="inlineStr">
        <is>
          <t>Diskominfo</t>
        </is>
      </c>
      <c r="B5" s="38" t="n"/>
      <c r="D5" s="38" t="n"/>
      <c r="E5" s="38" t="n"/>
      <c r="F5" s="38" t="n"/>
      <c r="G5" s="38" t="n"/>
      <c r="H5" s="38" t="n"/>
      <c r="I5" s="38" t="n"/>
      <c r="J5" s="38" t="n"/>
      <c r="K5" s="38" t="n"/>
      <c r="L5" s="38" t="n"/>
      <c r="M5" s="38" t="n"/>
      <c r="N5" s="38" t="n"/>
      <c r="O5" s="38" t="n"/>
      <c r="P5" s="38" t="n"/>
      <c r="Q5" s="38" t="n"/>
      <c r="R5" s="38" t="n"/>
      <c r="S5" s="38" t="n"/>
      <c r="T5" s="38" t="n"/>
      <c r="U5" s="38" t="n"/>
      <c r="V5" s="38" t="n"/>
      <c r="W5" s="38" t="n"/>
      <c r="X5" s="38" t="n"/>
      <c r="Y5" s="38" t="n"/>
      <c r="Z5" s="38" t="n"/>
      <c r="AA5" s="38" t="n"/>
      <c r="AB5" s="38" t="n"/>
      <c r="AC5" s="38" t="n"/>
      <c r="AD5" s="38" t="n"/>
      <c r="AE5" s="38" t="n"/>
      <c r="AF5" s="39" t="n"/>
      <c r="AG5" s="39" t="n"/>
      <c r="AH5" s="319" t="n"/>
      <c r="AI5" s="319" t="n"/>
      <c r="AJ5" s="319" t="n"/>
      <c r="AK5" s="319" t="n"/>
      <c r="AL5" s="319" t="n"/>
      <c r="AM5" s="319" t="n"/>
      <c r="AN5" s="319" t="n"/>
      <c r="AO5" s="319" t="n"/>
      <c r="AP5" s="319" t="n"/>
      <c r="AQ5" s="319" t="n"/>
      <c r="AR5" s="319" t="n"/>
      <c r="AS5" s="319" t="n"/>
    </row>
    <row r="6">
      <c r="A6" s="8" t="n">
        <v>1</v>
      </c>
      <c r="B6" s="41" t="inlineStr">
        <is>
          <t>Layanan Penerbitan Sertifikasi Elektronik</t>
        </is>
      </c>
      <c r="C6" t="inlineStr">
        <is>
          <t>Diskominfo</t>
        </is>
      </c>
      <c r="D6" s="41" t="inlineStr">
        <is>
          <t>layanan bagi para pejabat, Kepala Sekolah, dan Kepala Desa untuk memproleh
Tanda tangan digital yang tersertifikasi BSSN</t>
        </is>
      </c>
      <c r="E6" s="41" t="n"/>
      <c r="F6" s="41" t="n"/>
      <c r="G6" s="46" t="inlineStr">
        <is>
          <t>MANAJEMEN KEAMANAN INFORMASI</t>
        </is>
      </c>
      <c r="H6" s="46" t="inlineStr">
        <is>
          <t>Instansi Pemerintah Lainnya</t>
        </is>
      </c>
      <c r="I6" s="46" t="inlineStr">
        <is>
          <t>Data Tanda Tangan Elektronik</t>
        </is>
      </c>
      <c r="J6" s="46" t="inlineStr">
        <is>
          <t>Data Tanda Tangan Elektronik</t>
        </is>
      </c>
      <c r="K6" s="46" t="inlineStr">
        <is>
          <t>Terbatas</t>
        </is>
      </c>
      <c r="L6" s="46" t="n"/>
      <c r="M6" s="46" t="inlineStr">
        <is>
          <t>Tahunan</t>
        </is>
      </c>
      <c r="N6" s="41" t="n"/>
      <c r="O6" s="46" t="n"/>
      <c r="P6" s="46" t="n"/>
      <c r="Q6" s="46" t="n"/>
      <c r="R6" s="41" t="n"/>
      <c r="S6" s="46" t="n"/>
      <c r="T6" s="46" t="n"/>
      <c r="U6" s="41" t="n"/>
      <c r="V6" s="46" t="n"/>
      <c r="W6" s="46" t="n"/>
      <c r="X6" s="46" t="n"/>
      <c r="Y6" s="46" t="n"/>
      <c r="Z6" s="46" t="n"/>
      <c r="AA6" s="46" t="inlineStr">
        <is>
          <t>Persandian</t>
        </is>
      </c>
      <c r="AB6" s="46" t="inlineStr">
        <is>
          <t>Diskominfo</t>
        </is>
      </c>
      <c r="AC6" s="41" t="n"/>
      <c r="AD6" s="41" t="n"/>
      <c r="AE6" s="41" t="n"/>
      <c r="AF6" s="39" t="n"/>
      <c r="AG6" s="39" t="n"/>
      <c r="AH6" s="24" t="n"/>
      <c r="AI6" s="24" t="n"/>
      <c r="AJ6" s="24" t="n"/>
      <c r="AK6" s="24" t="n"/>
      <c r="AL6" s="24" t="n"/>
      <c r="AM6" s="24" t="n"/>
      <c r="AN6" s="24" t="n"/>
      <c r="AO6" s="24" t="n"/>
      <c r="AP6" s="24" t="n"/>
      <c r="AQ6" s="24" t="n"/>
      <c r="AR6" s="24" t="n"/>
      <c r="AS6" s="24" t="n"/>
    </row>
    <row r="7">
      <c r="A7" s="8" t="n">
        <v>2</v>
      </c>
      <c r="B7" s="41" t="inlineStr">
        <is>
          <t>Layanan Radio Kandaga</t>
        </is>
      </c>
      <c r="C7" t="inlineStr">
        <is>
          <t>Diskominfo</t>
        </is>
      </c>
      <c r="D7" s="41" t="inlineStr">
        <is>
          <t>layanan bagi para pembicara yang telah menyampaiakan informasi melalui Podcast Radio Kandaga</t>
        </is>
      </c>
      <c r="E7" s="41" t="n"/>
      <c r="F7" s="41" t="n"/>
      <c r="G7" s="46" t="inlineStr">
        <is>
          <t>PENYIARAN RADIO PUBLIK</t>
        </is>
      </c>
      <c r="H7" s="46" t="n"/>
      <c r="I7" s="42" t="inlineStr">
        <is>
          <t>Data Siaran atau Podcast</t>
        </is>
      </c>
      <c r="J7" s="43" t="inlineStr">
        <is>
          <t>Data Siaran atau Podcast</t>
        </is>
      </c>
      <c r="K7" s="46" t="inlineStr">
        <is>
          <t>Terbuka</t>
        </is>
      </c>
      <c r="L7" s="46" t="n"/>
      <c r="M7" s="46" t="inlineStr">
        <is>
          <t>Tahunan</t>
        </is>
      </c>
      <c r="N7" s="44" t="inlineStr">
        <is>
          <t>KANDAGA</t>
        </is>
      </c>
      <c r="O7" s="46" t="n"/>
      <c r="P7" s="46" t="n"/>
      <c r="Q7" s="46" t="inlineStr">
        <is>
          <t>Mobile</t>
        </is>
      </c>
      <c r="R7" s="22" t="inlineStr">
        <is>
          <t>https://play.google.com/store/apps/details?id=com.diskominfo.radiokandagabedas&amp;pcampaignid=web_share</t>
        </is>
      </c>
      <c r="S7" s="46" t="n"/>
      <c r="T7" s="46" t="n"/>
      <c r="U7" s="41" t="n"/>
      <c r="V7" s="46" t="n"/>
      <c r="W7" s="46" t="n"/>
      <c r="X7" s="46" t="n"/>
      <c r="Y7" s="46" t="n"/>
      <c r="Z7" s="46" t="n"/>
      <c r="AA7" s="45" t="inlineStr">
        <is>
          <t>Penyelenggaraan Informasi dan Komunikasi Publik</t>
        </is>
      </c>
      <c r="AB7" s="46" t="inlineStr">
        <is>
          <t>Diskominfo</t>
        </is>
      </c>
      <c r="AC7" s="41" t="n"/>
      <c r="AD7" s="41" t="n"/>
      <c r="AE7" s="41" t="n"/>
      <c r="AF7" s="39" t="n"/>
      <c r="AG7" s="39" t="n"/>
      <c r="AH7" s="24" t="n"/>
      <c r="AI7" s="24" t="n"/>
      <c r="AJ7" s="24" t="n"/>
      <c r="AK7" s="24" t="n"/>
      <c r="AL7" s="24" t="n"/>
      <c r="AM7" s="24" t="n"/>
      <c r="AN7" s="24" t="n"/>
      <c r="AO7" s="24" t="n"/>
      <c r="AP7" s="24" t="n"/>
      <c r="AQ7" s="24" t="n"/>
      <c r="AR7" s="24" t="n"/>
      <c r="AS7" s="24" t="n"/>
    </row>
    <row r="8">
      <c r="A8" s="8" t="n">
        <v>3</v>
      </c>
      <c r="B8" s="41" t="inlineStr">
        <is>
          <t>Layanan Data Statisktik Sektoral</t>
        </is>
      </c>
      <c r="C8" t="inlineStr">
        <is>
          <t>Diskominfo</t>
        </is>
      </c>
      <c r="D8" s="41" t="inlineStr">
        <is>
          <t>memudahkan pengambilan keputusan yang akurat dari
instansi pemerintah terkait, dapat dilakukan dengan pengujian terhadap
system dan data sebelumnya dengan pembuatan aplikasi atau system informasi versi beta untuk menghasilkan analisa yang tepat serta sasaran
yang akurat dari produk yang akan dihasilkan melalui produk kompilasi,
produk survey, produk komparasi dan produk lainnya baik dari data sektoral
suatu daerah yang akan digunakan nantinya untun meminimalisir masalah
yang ada</t>
        </is>
      </c>
      <c r="E8" s="41" t="n"/>
      <c r="F8" s="41" t="n"/>
      <c r="G8" s="46" t="inlineStr">
        <is>
          <t>PENGELOLAAN DATA STATISTIK</t>
        </is>
      </c>
      <c r="H8" s="46" t="inlineStr">
        <is>
          <t>Instansi Pemerintah Lainnya</t>
        </is>
      </c>
      <c r="I8" s="46" t="inlineStr">
        <is>
          <t>Data Statistik Sektoral</t>
        </is>
      </c>
      <c r="J8" s="41" t="inlineStr">
        <is>
          <t>Data Statistik Sektoral</t>
        </is>
      </c>
      <c r="K8" s="46" t="inlineStr">
        <is>
          <t>Terbuka</t>
        </is>
      </c>
      <c r="L8" s="46" t="n"/>
      <c r="M8" s="46" t="inlineStr">
        <is>
          <t>Tahunan</t>
        </is>
      </c>
      <c r="N8" s="47" t="inlineStr">
        <is>
          <t>SIMASDA</t>
        </is>
      </c>
      <c r="O8" s="46" t="n"/>
      <c r="P8" s="46" t="n"/>
      <c r="Q8" s="46" t="inlineStr">
        <is>
          <t>Website</t>
        </is>
      </c>
      <c r="R8" s="22" t="inlineStr">
        <is>
          <t>https://simasda.bandungkab.go.id/</t>
        </is>
      </c>
      <c r="S8" s="46" t="n"/>
      <c r="T8" s="46" t="n"/>
      <c r="U8" s="41" t="n"/>
      <c r="V8" s="46" t="n"/>
      <c r="W8" s="46" t="n"/>
      <c r="X8" s="46" t="n"/>
      <c r="Y8" s="46" t="n"/>
      <c r="Z8" s="46" t="n"/>
      <c r="AA8" s="47" t="inlineStr">
        <is>
          <t>Statistik</t>
        </is>
      </c>
      <c r="AB8" s="46" t="inlineStr">
        <is>
          <t>Diskominfo</t>
        </is>
      </c>
      <c r="AC8" s="41" t="n"/>
      <c r="AD8" s="41" t="n"/>
      <c r="AE8" s="41" t="n"/>
      <c r="AF8" s="39" t="n"/>
      <c r="AG8" s="39" t="n"/>
      <c r="AH8" s="24" t="n"/>
      <c r="AI8" s="24" t="n"/>
      <c r="AJ8" s="24" t="n"/>
      <c r="AK8" s="24" t="n"/>
      <c r="AL8" s="24" t="n"/>
      <c r="AM8" s="24" t="n"/>
      <c r="AN8" s="24" t="n"/>
      <c r="AO8" s="24" t="n"/>
      <c r="AP8" s="24" t="n"/>
      <c r="AQ8" s="24" t="n"/>
      <c r="AR8" s="24" t="n"/>
      <c r="AS8" s="24" t="n"/>
    </row>
    <row r="9">
      <c r="A9" s="8" t="n">
        <v>4</v>
      </c>
      <c r="B9" s="41" t="inlineStr">
        <is>
          <t>Layanan Domain dan Sub Domain</t>
        </is>
      </c>
      <c r="C9" t="inlineStr">
        <is>
          <t>Diskominfo</t>
        </is>
      </c>
      <c r="D9" s="41" t="inlineStr">
        <is>
          <t>membangun branding Pemerintah Kabupaten Bandung yaitu bandungkab.go.id</t>
        </is>
      </c>
      <c r="E9" s="41" t="n"/>
      <c r="F9" s="41" t="n"/>
      <c r="G9" s="46" t="inlineStr">
        <is>
          <t>PENATAKELOLAAN APLIKASI INFORMATIKA</t>
        </is>
      </c>
      <c r="H9" s="46" t="inlineStr">
        <is>
          <t>Masyarakat</t>
        </is>
      </c>
      <c r="I9" s="42" t="inlineStr">
        <is>
          <t>Data Domain dan Sub Domain</t>
        </is>
      </c>
      <c r="J9" s="41" t="inlineStr">
        <is>
          <t>Data Domain dan Sub Domain</t>
        </is>
      </c>
      <c r="K9" s="46" t="inlineStr">
        <is>
          <t>Terbatas</t>
        </is>
      </c>
      <c r="L9" s="46" t="n"/>
      <c r="M9" s="46" t="inlineStr">
        <is>
          <t>Tahunan</t>
        </is>
      </c>
      <c r="N9" s="41" t="n"/>
      <c r="O9" s="46" t="n"/>
      <c r="P9" s="46" t="n"/>
      <c r="Q9" s="46" t="n"/>
      <c r="R9" s="41" t="n"/>
      <c r="S9" s="46" t="n"/>
      <c r="T9" s="46" t="n"/>
      <c r="U9" s="41" t="n"/>
      <c r="V9" s="46" t="n"/>
      <c r="W9" s="46" t="n"/>
      <c r="X9" s="46" t="n"/>
      <c r="Y9" s="46" t="n"/>
      <c r="Z9" s="46" t="n"/>
      <c r="AA9" s="47" t="inlineStr">
        <is>
          <t>TIK</t>
        </is>
      </c>
      <c r="AB9" s="46" t="inlineStr">
        <is>
          <t>Diskominfo</t>
        </is>
      </c>
      <c r="AC9" s="41" t="n"/>
      <c r="AD9" s="41" t="n"/>
      <c r="AE9" s="41" t="n"/>
      <c r="AF9" s="39" t="n"/>
      <c r="AG9" s="39" t="n"/>
      <c r="AH9" s="24" t="n"/>
      <c r="AI9" s="24" t="n"/>
      <c r="AJ9" s="24" t="n"/>
      <c r="AK9" s="24" t="n"/>
      <c r="AL9" s="24" t="n"/>
      <c r="AM9" s="24" t="n"/>
      <c r="AN9" s="24" t="n"/>
      <c r="AO9" s="24" t="n"/>
      <c r="AP9" s="24" t="n"/>
      <c r="AQ9" s="24" t="n"/>
      <c r="AR9" s="24" t="n"/>
      <c r="AS9" s="24" t="n"/>
    </row>
    <row r="10">
      <c r="A10" s="8" t="n">
        <v>5</v>
      </c>
      <c r="B10" s="41" t="inlineStr">
        <is>
          <t>Layanan Cpanel</t>
        </is>
      </c>
      <c r="C10" t="inlineStr">
        <is>
          <t>Diskominfo</t>
        </is>
      </c>
      <c r="D10" s="41" t="inlineStr">
        <is>
          <t>menyelenggarakan website Desa dan Website SMP</t>
        </is>
      </c>
      <c r="E10" s="41" t="n"/>
      <c r="F10" s="41" t="n"/>
      <c r="G10" s="46" t="inlineStr">
        <is>
          <t>PENATAKELOLAAN APLIKASI INFORMATIKA</t>
        </is>
      </c>
      <c r="H10" s="46" t="inlineStr">
        <is>
          <t>Masyarakat</t>
        </is>
      </c>
      <c r="I10" s="46" t="inlineStr">
        <is>
          <t>Data Cpanel</t>
        </is>
      </c>
      <c r="J10" s="41" t="inlineStr">
        <is>
          <t>Data Cpanel</t>
        </is>
      </c>
      <c r="K10" s="46" t="inlineStr">
        <is>
          <t>Terbatas</t>
        </is>
      </c>
      <c r="L10" s="46" t="n"/>
      <c r="M10" s="46" t="inlineStr">
        <is>
          <t>Tahunan</t>
        </is>
      </c>
      <c r="N10" s="41" t="n"/>
      <c r="O10" s="46" t="n"/>
      <c r="P10" s="46" t="n"/>
      <c r="Q10" s="46" t="n"/>
      <c r="R10" s="41" t="n"/>
      <c r="S10" s="46" t="n"/>
      <c r="T10" s="46" t="n"/>
      <c r="U10" s="41" t="n"/>
      <c r="V10" s="46" t="n"/>
      <c r="W10" s="46" t="n"/>
      <c r="X10" s="46" t="n"/>
      <c r="Y10" s="46" t="n"/>
      <c r="Z10" s="46" t="n"/>
      <c r="AA10" s="47" t="inlineStr">
        <is>
          <t>TIK</t>
        </is>
      </c>
      <c r="AB10" s="46" t="inlineStr">
        <is>
          <t>Diskominfo</t>
        </is>
      </c>
      <c r="AC10" s="41" t="n"/>
      <c r="AD10" s="41" t="n"/>
      <c r="AE10" s="41" t="n"/>
      <c r="AF10" s="39" t="n"/>
      <c r="AG10" s="39" t="n"/>
      <c r="AH10" s="24" t="n"/>
      <c r="AI10" s="24" t="n"/>
      <c r="AJ10" s="24" t="n"/>
      <c r="AK10" s="24" t="n"/>
      <c r="AL10" s="24" t="n"/>
      <c r="AM10" s="24" t="n"/>
      <c r="AN10" s="24" t="n"/>
      <c r="AO10" s="24" t="n"/>
      <c r="AP10" s="24" t="n"/>
      <c r="AQ10" s="24" t="n"/>
      <c r="AR10" s="24" t="n"/>
      <c r="AS10" s="24" t="n"/>
    </row>
    <row r="11">
      <c r="A11" s="8" t="n">
        <v>6</v>
      </c>
      <c r="B11" s="41" t="inlineStr">
        <is>
          <t>Layanan SSL</t>
        </is>
      </c>
      <c r="C11" t="inlineStr">
        <is>
          <t>Diskominfo</t>
        </is>
      </c>
      <c r="D11" s="41" t="inlineStr">
        <is>
          <t>mengamankan lalu lintas data dari domain bandungkab.go.id beserta subdomainnya</t>
        </is>
      </c>
      <c r="E11" s="41" t="n"/>
      <c r="F11" s="41" t="n"/>
      <c r="G11" s="46" t="inlineStr">
        <is>
          <t>MANAJEMEN KEAMANAN INFORMASI</t>
        </is>
      </c>
      <c r="H11" s="46" t="inlineStr">
        <is>
          <t>Masyarakat</t>
        </is>
      </c>
      <c r="I11" s="48" t="inlineStr">
        <is>
          <t>Data SSL</t>
        </is>
      </c>
      <c r="J11" s="41" t="inlineStr">
        <is>
          <t>Data SSL</t>
        </is>
      </c>
      <c r="K11" s="46" t="inlineStr">
        <is>
          <t>Terbatas</t>
        </is>
      </c>
      <c r="L11" s="46" t="n"/>
      <c r="M11" s="46" t="inlineStr">
        <is>
          <t>Tahunan</t>
        </is>
      </c>
      <c r="N11" s="41" t="n"/>
      <c r="O11" s="46" t="n"/>
      <c r="P11" s="46" t="n"/>
      <c r="Q11" s="46" t="n"/>
      <c r="R11" s="41" t="n"/>
      <c r="S11" s="46" t="n"/>
      <c r="T11" s="46" t="n"/>
      <c r="U11" s="41" t="n"/>
      <c r="V11" s="46" t="n"/>
      <c r="W11" s="46" t="n"/>
      <c r="X11" s="46" t="n"/>
      <c r="Y11" s="46" t="n"/>
      <c r="Z11" s="46" t="n"/>
      <c r="AA11" s="49" t="inlineStr">
        <is>
          <t>TIK</t>
        </is>
      </c>
      <c r="AB11" s="46" t="inlineStr">
        <is>
          <t>Diskominfo</t>
        </is>
      </c>
      <c r="AC11" s="41" t="n"/>
      <c r="AD11" s="41" t="n"/>
      <c r="AE11" s="41" t="n"/>
      <c r="AF11" s="39" t="n"/>
      <c r="AG11" s="39" t="n"/>
      <c r="AH11" s="24" t="n"/>
      <c r="AI11" s="24" t="n"/>
      <c r="AJ11" s="24" t="n"/>
      <c r="AK11" s="24" t="n"/>
      <c r="AL11" s="24" t="n"/>
      <c r="AM11" s="24" t="n"/>
      <c r="AN11" s="24" t="n"/>
      <c r="AO11" s="24" t="n"/>
      <c r="AP11" s="24" t="n"/>
      <c r="AQ11" s="24" t="n"/>
      <c r="AR11" s="24" t="n"/>
      <c r="AS11" s="24" t="n"/>
    </row>
    <row r="12">
      <c r="A12" s="8" t="n">
        <v>7</v>
      </c>
      <c r="B12" s="41" t="inlineStr">
        <is>
          <t>Layanan Pengembangan Aplikasi</t>
        </is>
      </c>
      <c r="C12" t="inlineStr">
        <is>
          <t>Diskominfo</t>
        </is>
      </c>
      <c r="D12" s="41" t="inlineStr">
        <is>
          <t>Layanan Pengembangan Aplikasi: Menyediakan pembuatan aplikasi sesuai kebutuhan pemerintah daerah.</t>
        </is>
      </c>
      <c r="E12" s="41" t="n"/>
      <c r="F12" s="41" t="n"/>
      <c r="G12" s="46" t="inlineStr">
        <is>
          <t>PENATAKELOLAAN APLIKASI INFORMATIKA</t>
        </is>
      </c>
      <c r="H12" s="46" t="inlineStr">
        <is>
          <t>Instansi Pemerintah Lainnya</t>
        </is>
      </c>
      <c r="I12" s="48" t="inlineStr">
        <is>
          <t>Data Aplikasi</t>
        </is>
      </c>
      <c r="J12" s="41" t="inlineStr">
        <is>
          <t>Data Aplikasi</t>
        </is>
      </c>
      <c r="K12" s="46" t="inlineStr">
        <is>
          <t>Terbatas</t>
        </is>
      </c>
      <c r="L12" s="46" t="n"/>
      <c r="M12" s="46" t="inlineStr">
        <is>
          <t>Tahunan</t>
        </is>
      </c>
      <c r="N12" s="41" t="n"/>
      <c r="O12" s="46" t="n"/>
      <c r="P12" s="46" t="n"/>
      <c r="Q12" s="46" t="n"/>
      <c r="R12" s="41" t="n"/>
      <c r="S12" s="46" t="n"/>
      <c r="T12" s="46" t="n"/>
      <c r="U12" s="41" t="n"/>
      <c r="V12" s="46" t="n"/>
      <c r="W12" s="46" t="n"/>
      <c r="X12" s="46" t="n"/>
      <c r="Y12" s="46" t="n"/>
      <c r="Z12" s="46" t="n"/>
      <c r="AA12" s="49" t="inlineStr">
        <is>
          <t>TIK</t>
        </is>
      </c>
      <c r="AB12" s="46" t="inlineStr">
        <is>
          <t>Diskominfo</t>
        </is>
      </c>
      <c r="AC12" s="41" t="n"/>
      <c r="AD12" s="41" t="n"/>
      <c r="AE12" s="41" t="n"/>
      <c r="AF12" s="39" t="n"/>
      <c r="AG12" s="39" t="n"/>
      <c r="AH12" s="24" t="n"/>
      <c r="AI12" s="24" t="n"/>
      <c r="AJ12" s="24" t="n"/>
      <c r="AK12" s="24" t="n"/>
      <c r="AL12" s="24" t="n"/>
      <c r="AM12" s="24" t="n"/>
      <c r="AN12" s="24" t="n"/>
      <c r="AO12" s="24" t="n"/>
      <c r="AP12" s="24" t="n"/>
      <c r="AQ12" s="24" t="n"/>
      <c r="AR12" s="24" t="n"/>
      <c r="AS12" s="24" t="n"/>
    </row>
    <row r="13">
      <c r="A13" s="8" t="n">
        <v>8</v>
      </c>
      <c r="B13" s="41" t="inlineStr">
        <is>
          <t>Layanan Pembinaan dan Fasilitasi KIM</t>
        </is>
      </c>
      <c r="C13" t="inlineStr">
        <is>
          <t>Diskominfo</t>
        </is>
      </c>
      <c r="D13" s="41" t="inlineStr">
        <is>
          <t>Layanan Pembinaan dan Fasilitasi KIM: Mendorong pengembangan kawasan industri melalui pembinaan dan fasilitasi.</t>
        </is>
      </c>
      <c r="E13" s="41" t="n"/>
      <c r="F13" s="41" t="n"/>
      <c r="G13" s="46" t="inlineStr">
        <is>
          <t>PEMBERDAYAAN DAN PERAN MASYARAKAT</t>
        </is>
      </c>
      <c r="H13" s="46" t="inlineStr">
        <is>
          <t>Instansi Pemerintah Lainnya</t>
        </is>
      </c>
      <c r="I13" s="50" t="inlineStr">
        <is>
          <t>Data Peserta KIM</t>
        </is>
      </c>
      <c r="J13" s="41" t="inlineStr">
        <is>
          <t>Data Peserta KIM</t>
        </is>
      </c>
      <c r="K13" s="46" t="inlineStr">
        <is>
          <t>Terbatas</t>
        </is>
      </c>
      <c r="L13" s="46" t="n"/>
      <c r="M13" s="46" t="inlineStr">
        <is>
          <t>Tahunan</t>
        </is>
      </c>
      <c r="N13" s="51" t="inlineStr">
        <is>
          <t>KIM</t>
        </is>
      </c>
      <c r="O13" s="46" t="n"/>
      <c r="P13" s="46" t="n"/>
      <c r="Q13" s="46" t="inlineStr">
        <is>
          <t>Website</t>
        </is>
      </c>
      <c r="R13" s="52" t="inlineStr">
        <is>
          <t>https://kimonline.bandungkab.go.id/ kim/</t>
        </is>
      </c>
      <c r="S13" s="46" t="n"/>
      <c r="T13" s="46" t="n"/>
      <c r="U13" s="41" t="n"/>
      <c r="V13" s="46" t="n"/>
      <c r="W13" s="46" t="n"/>
      <c r="X13" s="46" t="n"/>
      <c r="Y13" s="46" t="n"/>
      <c r="Z13" s="46" t="n"/>
      <c r="AA13" s="46" t="n"/>
      <c r="AB13" s="46" t="inlineStr">
        <is>
          <t>Diskominfo</t>
        </is>
      </c>
      <c r="AC13" s="41" t="n"/>
      <c r="AD13" s="41" t="n"/>
      <c r="AE13" s="41" t="n"/>
      <c r="AF13" s="39" t="n"/>
      <c r="AG13" s="39" t="n"/>
      <c r="AH13" s="24" t="n"/>
      <c r="AI13" s="24" t="n"/>
      <c r="AJ13" s="24" t="n"/>
      <c r="AK13" s="24" t="n"/>
      <c r="AL13" s="24" t="n"/>
      <c r="AM13" s="24" t="n"/>
      <c r="AN13" s="24" t="n"/>
      <c r="AO13" s="24" t="n"/>
      <c r="AP13" s="24" t="n"/>
      <c r="AQ13" s="24" t="n"/>
      <c r="AR13" s="24" t="n"/>
      <c r="AS13" s="24" t="n"/>
    </row>
    <row r="14">
      <c r="A14" s="8" t="n">
        <v>9</v>
      </c>
      <c r="B14" s="41" t="inlineStr">
        <is>
          <t>Layanan Informasi Publik Pejabat Pelaksana Informasi dan Dokumentasi (PPID)</t>
        </is>
      </c>
      <c r="C14" t="inlineStr">
        <is>
          <t>Diskominfo</t>
        </is>
      </c>
      <c r="D14" s="41" t="inlineStr">
        <is>
          <t>Layanan Informasi Publik PPID: Memberikan akses informasi publik dan dokumen pemerintah melalui pejabat pelaksana.</t>
        </is>
      </c>
      <c r="E14" s="41" t="n"/>
      <c r="F14" s="41" t="n"/>
      <c r="G14" s="46" t="inlineStr">
        <is>
          <t>PENGELOLAAN INFORMASI PUBLIK</t>
        </is>
      </c>
      <c r="H14" s="46" t="inlineStr">
        <is>
          <t>Instansi Pemerintah Lainnya</t>
        </is>
      </c>
      <c r="I14" s="42" t="inlineStr">
        <is>
          <t>Data PPID</t>
        </is>
      </c>
      <c r="J14" s="41" t="inlineStr">
        <is>
          <t>Data PPID</t>
        </is>
      </c>
      <c r="K14" s="46" t="inlineStr">
        <is>
          <t>Terbuka</t>
        </is>
      </c>
      <c r="L14" s="46" t="n"/>
      <c r="M14" s="46" t="inlineStr">
        <is>
          <t>Bulanan</t>
        </is>
      </c>
      <c r="N14" s="53" t="inlineStr">
        <is>
          <t>PPID</t>
        </is>
      </c>
      <c r="O14" s="46" t="n"/>
      <c r="P14" s="46" t="n"/>
      <c r="Q14" s="46" t="inlineStr">
        <is>
          <t>Website</t>
        </is>
      </c>
      <c r="R14" s="22" t="inlineStr">
        <is>
          <t>http://ppid.bandungkab.go.id/</t>
        </is>
      </c>
      <c r="S14" s="46" t="n"/>
      <c r="T14" s="46" t="n"/>
      <c r="U14" s="41" t="n"/>
      <c r="V14" s="46" t="n"/>
      <c r="W14" s="46" t="n"/>
      <c r="X14" s="46" t="n"/>
      <c r="Y14" s="46" t="n"/>
      <c r="Z14" s="46" t="n"/>
      <c r="AA14" s="46" t="n"/>
      <c r="AB14" s="46" t="inlineStr">
        <is>
          <t>Diskominfo</t>
        </is>
      </c>
      <c r="AC14" s="41" t="n"/>
      <c r="AD14" s="41" t="n"/>
      <c r="AE14" s="41" t="n"/>
      <c r="AF14" s="39" t="n"/>
      <c r="AG14" s="39" t="n"/>
      <c r="AH14" s="24" t="n"/>
      <c r="AI14" s="24" t="n"/>
      <c r="AJ14" s="24" t="n"/>
      <c r="AK14" s="24" t="n"/>
      <c r="AL14" s="24" t="n"/>
      <c r="AM14" s="24" t="n"/>
      <c r="AN14" s="24" t="n"/>
      <c r="AO14" s="24" t="n"/>
      <c r="AP14" s="24" t="n"/>
      <c r="AQ14" s="24" t="n"/>
      <c r="AR14" s="24" t="n"/>
      <c r="AS14" s="24" t="n"/>
    </row>
    <row r="15">
      <c r="A15" s="8" t="n">
        <v>10</v>
      </c>
      <c r="B15" s="41" t="inlineStr">
        <is>
          <t>Layanan Helpdesk TIK</t>
        </is>
      </c>
      <c r="C15" t="inlineStr">
        <is>
          <t>Diskominfo</t>
        </is>
      </c>
      <c r="D15" s="41" t="inlineStr">
        <is>
          <t>Layanan Helpdesk TIK: Menyediakan bantuan dan dukungan teknis dalam penggunaan teknologi informasi dan komunikasi.</t>
        </is>
      </c>
      <c r="E15" s="41" t="n"/>
      <c r="F15" s="41" t="n"/>
      <c r="G15" s="46" t="inlineStr">
        <is>
          <t>PENATAKELOLAAN APLIKASI INFORMATIKA</t>
        </is>
      </c>
      <c r="H15" s="46" t="inlineStr">
        <is>
          <t>Instansi Pemerintah Lainnya</t>
        </is>
      </c>
      <c r="I15" s="48" t="inlineStr">
        <is>
          <t>Data Helpdesk TIK</t>
        </is>
      </c>
      <c r="J15" s="41" t="inlineStr">
        <is>
          <t>Data Helpdesk TIK</t>
        </is>
      </c>
      <c r="K15" s="46" t="inlineStr">
        <is>
          <t>Terbatas</t>
        </is>
      </c>
      <c r="L15" s="46" t="n"/>
      <c r="M15" s="46" t="inlineStr">
        <is>
          <t>Tahunan</t>
        </is>
      </c>
      <c r="N15" s="41" t="n"/>
      <c r="O15" s="46" t="n"/>
      <c r="P15" s="46" t="n"/>
      <c r="Q15" s="46" t="n"/>
      <c r="R15" s="41" t="n"/>
      <c r="S15" s="46" t="n"/>
      <c r="T15" s="46" t="n"/>
      <c r="U15" s="41" t="n"/>
      <c r="V15" s="46" t="n"/>
      <c r="W15" s="46" t="n"/>
      <c r="X15" s="46" t="n"/>
      <c r="Y15" s="46" t="n"/>
      <c r="Z15" s="46" t="n"/>
      <c r="AA15" s="46" t="n"/>
      <c r="AB15" s="46" t="inlineStr">
        <is>
          <t>Diskominfo</t>
        </is>
      </c>
      <c r="AC15" s="41" t="n"/>
      <c r="AD15" s="41" t="n"/>
      <c r="AE15" s="41" t="n"/>
      <c r="AF15" s="39" t="n"/>
      <c r="AG15" s="39" t="n"/>
      <c r="AH15" s="24" t="n"/>
      <c r="AI15" s="24" t="n"/>
      <c r="AJ15" s="24" t="n"/>
      <c r="AK15" s="24" t="n"/>
      <c r="AL15" s="24" t="n"/>
      <c r="AM15" s="24" t="n"/>
      <c r="AN15" s="24" t="n"/>
      <c r="AO15" s="24" t="n"/>
      <c r="AP15" s="24" t="n"/>
      <c r="AQ15" s="24" t="n"/>
      <c r="AR15" s="24" t="n"/>
      <c r="AS15" s="24" t="n"/>
    </row>
    <row r="16">
      <c r="A16" s="8" t="n">
        <v>11</v>
      </c>
      <c r="B16" s="41" t="inlineStr">
        <is>
          <t>Layanan Pengelolaan Jaringan dan Keamanan TIK</t>
        </is>
      </c>
      <c r="C16" t="inlineStr">
        <is>
          <t>Diskominfo</t>
        </is>
      </c>
      <c r="D16" s="41" t="inlineStr">
        <is>
          <t>Layanan Pengelolaan Jaringan dan Keamanan TIK: Menyediakan pengelolaan jaringan dan keamanan sistem teknologi informasi.</t>
        </is>
      </c>
      <c r="E16" s="41" t="n"/>
      <c r="F16" s="41" t="n"/>
      <c r="G16" s="46" t="inlineStr">
        <is>
          <t>PENATAKELOLAAN APLIKASI INFORMATIKA</t>
        </is>
      </c>
      <c r="H16" s="46" t="inlineStr">
        <is>
          <t>Instansi Pemerintah Lainnya</t>
        </is>
      </c>
      <c r="I16" s="48" t="inlineStr">
        <is>
          <t>Data Jaringan dan Keamanan TIK</t>
        </is>
      </c>
      <c r="J16" s="41" t="inlineStr">
        <is>
          <t>Data Jaringan dan Keamanan TIK</t>
        </is>
      </c>
      <c r="K16" s="46" t="inlineStr">
        <is>
          <t>Terbatas</t>
        </is>
      </c>
      <c r="L16" s="46" t="n"/>
      <c r="M16" s="46" t="inlineStr">
        <is>
          <t>Tahunan</t>
        </is>
      </c>
      <c r="N16" s="41" t="n"/>
      <c r="O16" s="46" t="n"/>
      <c r="P16" s="46" t="n"/>
      <c r="Q16" s="46" t="n"/>
      <c r="R16" s="41" t="n"/>
      <c r="S16" s="46" t="n"/>
      <c r="T16" s="46" t="n"/>
      <c r="U16" s="41" t="n"/>
      <c r="V16" s="46" t="n"/>
      <c r="W16" s="46" t="n"/>
      <c r="X16" s="46" t="n"/>
      <c r="Y16" s="46" t="n"/>
      <c r="Z16" s="46" t="n"/>
      <c r="AA16" s="46" t="n"/>
      <c r="AB16" s="46" t="inlineStr">
        <is>
          <t>Diskominfo</t>
        </is>
      </c>
      <c r="AC16" s="41" t="n"/>
      <c r="AD16" s="41" t="n"/>
      <c r="AE16" s="41" t="n"/>
      <c r="AF16" s="39" t="n"/>
      <c r="AG16" s="39" t="n"/>
      <c r="AH16" s="24" t="n"/>
      <c r="AI16" s="24" t="n"/>
      <c r="AJ16" s="24" t="n"/>
      <c r="AK16" s="24" t="n"/>
      <c r="AL16" s="24" t="n"/>
      <c r="AM16" s="24" t="n"/>
      <c r="AN16" s="24" t="n"/>
      <c r="AO16" s="24" t="n"/>
      <c r="AP16" s="24" t="n"/>
      <c r="AQ16" s="24" t="n"/>
      <c r="AR16" s="24" t="n"/>
      <c r="AS16" s="24" t="n"/>
    </row>
    <row r="17">
      <c r="A17" s="8" t="n">
        <v>12</v>
      </c>
      <c r="B17" s="41" t="inlineStr">
        <is>
          <t>Layanan Portal Aplikasi</t>
        </is>
      </c>
      <c r="C17" t="inlineStr">
        <is>
          <t>Diskominfo</t>
        </is>
      </c>
      <c r="D17" s="41" t="inlineStr">
        <is>
          <t>Layanan Portal Aplikasi: Memberikan akses terpadu ke berbagai aplikasi pemerintah daerah.</t>
        </is>
      </c>
      <c r="E17" s="41" t="n"/>
      <c r="F17" s="41" t="n"/>
      <c r="G17" s="46" t="inlineStr">
        <is>
          <t>PENATAKELOLAAN APLIKASI INFORMATIKA</t>
        </is>
      </c>
      <c r="H17" s="46" t="inlineStr">
        <is>
          <t>Instansi Pemerintah Lainnya</t>
        </is>
      </c>
      <c r="I17" s="54" t="inlineStr">
        <is>
          <t>Data Portal Layanan</t>
        </is>
      </c>
      <c r="J17" s="41" t="inlineStr">
        <is>
          <t>Data Portal Layanan</t>
        </is>
      </c>
      <c r="K17" s="46" t="inlineStr">
        <is>
          <t>Terbuka</t>
        </is>
      </c>
      <c r="L17" s="46" t="n"/>
      <c r="M17" s="46" t="inlineStr">
        <is>
          <t>Tahunan</t>
        </is>
      </c>
      <c r="N17" s="55" t="inlineStr">
        <is>
          <t>PORTAL KAB BANDUNG</t>
        </is>
      </c>
      <c r="O17" s="46" t="n"/>
      <c r="P17" s="46" t="n"/>
      <c r="Q17" s="46" t="inlineStr">
        <is>
          <t>Website</t>
        </is>
      </c>
      <c r="R17" s="22" t="inlineStr">
        <is>
          <t>https://bandungkab.go.id/</t>
        </is>
      </c>
      <c r="S17" s="46" t="n"/>
      <c r="T17" s="46" t="n"/>
      <c r="U17" s="41" t="n"/>
      <c r="V17" s="46" t="n"/>
      <c r="W17" s="46" t="n"/>
      <c r="X17" s="46" t="n"/>
      <c r="Y17" s="46" t="n"/>
      <c r="Z17" s="46" t="n"/>
      <c r="AA17" s="46" t="n"/>
      <c r="AB17" s="46" t="inlineStr">
        <is>
          <t>Diskominfo</t>
        </is>
      </c>
      <c r="AC17" s="41" t="n"/>
      <c r="AD17" s="41" t="n"/>
      <c r="AE17" s="41" t="n"/>
      <c r="AF17" s="39" t="n"/>
      <c r="AG17" s="39" t="n"/>
      <c r="AH17" s="24" t="n"/>
      <c r="AI17" s="24" t="n"/>
      <c r="AJ17" s="24" t="n"/>
      <c r="AK17" s="24" t="n"/>
      <c r="AL17" s="24" t="n"/>
      <c r="AM17" s="24" t="n"/>
      <c r="AN17" s="24" t="n"/>
      <c r="AO17" s="24" t="n"/>
      <c r="AP17" s="24" t="n"/>
      <c r="AQ17" s="24" t="n"/>
      <c r="AR17" s="24" t="n"/>
      <c r="AS17" s="24" t="n"/>
    </row>
    <row r="18">
      <c r="A18" s="8" t="n">
        <v>13</v>
      </c>
      <c r="B18" s="41" t="inlineStr">
        <is>
          <t>Layanan Publikasi Infromasi dan Berita</t>
        </is>
      </c>
      <c r="C18" t="inlineStr">
        <is>
          <t>Diskominfo</t>
        </is>
      </c>
      <c r="D18" s="41" t="inlineStr">
        <is>
          <t>Layanan Publikasi Informasi dan Berita: Menyajikan informasi dan berita terkini terkait pemerintahan daerah.</t>
        </is>
      </c>
      <c r="E18" s="41" t="n"/>
      <c r="F18" s="41" t="n"/>
      <c r="G18" s="46" t="inlineStr">
        <is>
          <t>MANAJEMEN KEAMANAN INFORMASI</t>
        </is>
      </c>
      <c r="H18" s="46" t="inlineStr">
        <is>
          <t>Masyarakat</t>
        </is>
      </c>
      <c r="I18" s="48" t="inlineStr">
        <is>
          <t>Data Publikasi Informasi dan Berita</t>
        </is>
      </c>
      <c r="J18" s="41" t="inlineStr">
        <is>
          <t>Data Publikasi Informasi dan Berita</t>
        </is>
      </c>
      <c r="K18" s="46" t="inlineStr">
        <is>
          <t>Terbuka</t>
        </is>
      </c>
      <c r="L18" s="46" t="n"/>
      <c r="M18" s="46" t="inlineStr">
        <is>
          <t>Tahunan</t>
        </is>
      </c>
      <c r="N18" s="41" t="n"/>
      <c r="O18" s="46" t="n"/>
      <c r="P18" s="46" t="n"/>
      <c r="Q18" s="46" t="n"/>
      <c r="R18" s="41" t="n"/>
      <c r="S18" s="46" t="n"/>
      <c r="T18" s="46" t="n"/>
      <c r="U18" s="41" t="n"/>
      <c r="V18" s="46" t="n"/>
      <c r="W18" s="46" t="n"/>
      <c r="X18" s="46" t="n"/>
      <c r="Y18" s="46" t="n"/>
      <c r="Z18" s="46" t="n"/>
      <c r="AA18" s="46" t="n"/>
      <c r="AB18" s="46" t="inlineStr">
        <is>
          <t>Diskominfo</t>
        </is>
      </c>
      <c r="AC18" s="41" t="n"/>
      <c r="AD18" s="41" t="n"/>
      <c r="AE18" s="41" t="n"/>
      <c r="AF18" s="39" t="n"/>
      <c r="AG18" s="39" t="n"/>
      <c r="AH18" s="24" t="n"/>
      <c r="AI18" s="24" t="n"/>
      <c r="AJ18" s="24" t="n"/>
      <c r="AK18" s="24" t="n"/>
      <c r="AL18" s="24" t="n"/>
      <c r="AM18" s="24" t="n"/>
      <c r="AN18" s="24" t="n"/>
      <c r="AO18" s="24" t="n"/>
      <c r="AP18" s="24" t="n"/>
      <c r="AQ18" s="24" t="n"/>
      <c r="AR18" s="24" t="n"/>
      <c r="AS18" s="24" t="n"/>
    </row>
    <row r="19">
      <c r="A19" s="8" t="n">
        <v>14</v>
      </c>
      <c r="B19" s="41" t="inlineStr">
        <is>
          <t>Layanan Diskusi Publik</t>
        </is>
      </c>
      <c r="C19" t="inlineStr">
        <is>
          <t>Diskominfo</t>
        </is>
      </c>
      <c r="D19" s="41" t="inlineStr">
        <is>
          <t>Layanan Diskusi Publik: Memberikan platform untuk diskusi dan partisipasi masyarakat dalam pengambilan keputusan.</t>
        </is>
      </c>
      <c r="E19" s="41" t="n"/>
      <c r="F19" s="41" t="n"/>
      <c r="G19" s="46" t="inlineStr">
        <is>
          <t>PENGELOLAAN KOMUNIKASI PUBLIK</t>
        </is>
      </c>
      <c r="H19" s="46" t="inlineStr">
        <is>
          <t>Masyarakat</t>
        </is>
      </c>
      <c r="I19" s="48" t="inlineStr">
        <is>
          <t>Data Diskusi Publik</t>
        </is>
      </c>
      <c r="J19" s="41" t="inlineStr">
        <is>
          <t>Data Diskusi Publik</t>
        </is>
      </c>
      <c r="K19" s="46" t="inlineStr">
        <is>
          <t>Terbatas</t>
        </is>
      </c>
      <c r="L19" s="46" t="n"/>
      <c r="M19" s="46" t="inlineStr">
        <is>
          <t>Tahunan</t>
        </is>
      </c>
      <c r="N19" s="41" t="n"/>
      <c r="O19" s="46" t="n"/>
      <c r="P19" s="46" t="n"/>
      <c r="Q19" s="46" t="n"/>
      <c r="R19" s="41" t="n"/>
      <c r="S19" s="46" t="n"/>
      <c r="T19" s="46" t="n"/>
      <c r="U19" s="41" t="n"/>
      <c r="V19" s="46" t="n"/>
      <c r="W19" s="46" t="n"/>
      <c r="X19" s="46" t="n"/>
      <c r="Y19" s="46" t="n"/>
      <c r="Z19" s="46" t="n"/>
      <c r="AA19" s="46" t="n"/>
      <c r="AB19" s="46" t="inlineStr">
        <is>
          <t>Diskominfo</t>
        </is>
      </c>
      <c r="AC19" s="41" t="n"/>
      <c r="AD19" s="41" t="n"/>
      <c r="AE19" s="41" t="n"/>
      <c r="AF19" s="39" t="n"/>
      <c r="AG19" s="39" t="n"/>
      <c r="AH19" s="24" t="n"/>
      <c r="AI19" s="24" t="n"/>
      <c r="AJ19" s="24" t="n"/>
      <c r="AK19" s="24" t="n"/>
      <c r="AL19" s="24" t="n"/>
      <c r="AM19" s="24" t="n"/>
      <c r="AN19" s="24" t="n"/>
      <c r="AO19" s="24" t="n"/>
      <c r="AP19" s="24" t="n"/>
      <c r="AQ19" s="24" t="n"/>
      <c r="AR19" s="24" t="n"/>
      <c r="AS19" s="24" t="n"/>
    </row>
    <row r="20">
      <c r="A20" s="8" t="n">
        <v>15</v>
      </c>
      <c r="B20" s="41" t="inlineStr">
        <is>
          <t>Layanan Pengaduan Masyarakat</t>
        </is>
      </c>
      <c r="C20" t="inlineStr">
        <is>
          <t>Diskominfo</t>
        </is>
      </c>
      <c r="D20" s="41" t="inlineStr">
        <is>
          <t>Layanan Pengaduan Masyarakat: Memfasilitasi masyarakat untuk menyampaikan keluhan dan pengaduan terkait pelayanan publik.</t>
        </is>
      </c>
      <c r="E20" s="41" t="n"/>
      <c r="F20" s="41" t="n"/>
      <c r="G20" s="46" t="inlineStr">
        <is>
          <t>PENINGKATAN KUALITAS PELAYANAN PUBLIK</t>
        </is>
      </c>
      <c r="H20" s="46" t="inlineStr">
        <is>
          <t>Masyarakat</t>
        </is>
      </c>
      <c r="I20" s="48" t="inlineStr">
        <is>
          <t>Data Aduan Masyarakat</t>
        </is>
      </c>
      <c r="J20" s="41" t="inlineStr">
        <is>
          <t>Data Aduan Masyarakat</t>
        </is>
      </c>
      <c r="K20" s="46" t="inlineStr">
        <is>
          <t>Terbuka</t>
        </is>
      </c>
      <c r="L20" s="46" t="n"/>
      <c r="M20" s="46" t="inlineStr">
        <is>
          <t>Bulanan</t>
        </is>
      </c>
      <c r="N20" s="53" t="inlineStr">
        <is>
          <t>SP4N Lapor</t>
        </is>
      </c>
      <c r="O20" s="46" t="n"/>
      <c r="P20" s="46" t="n"/>
      <c r="Q20" s="46" t="n"/>
      <c r="R20" s="41" t="n"/>
      <c r="S20" s="46" t="n"/>
      <c r="T20" s="46" t="n"/>
      <c r="U20" s="41" t="n"/>
      <c r="V20" s="46" t="n"/>
      <c r="W20" s="46" t="n"/>
      <c r="X20" s="46" t="n"/>
      <c r="Y20" s="46" t="n"/>
      <c r="Z20" s="46" t="n"/>
      <c r="AA20" s="46" t="n"/>
      <c r="AB20" s="46" t="inlineStr">
        <is>
          <t>Diskominfo</t>
        </is>
      </c>
      <c r="AC20" s="41" t="n"/>
      <c r="AD20" s="41" t="n"/>
      <c r="AE20" s="41" t="n"/>
      <c r="AF20" s="39" t="n"/>
      <c r="AG20" s="39" t="n"/>
      <c r="AH20" s="24" t="n"/>
      <c r="AI20" s="24" t="n"/>
      <c r="AJ20" s="24" t="n"/>
      <c r="AK20" s="24" t="n"/>
      <c r="AL20" s="24" t="n"/>
      <c r="AM20" s="24" t="n"/>
      <c r="AN20" s="24" t="n"/>
      <c r="AO20" s="24" t="n"/>
      <c r="AP20" s="24" t="n"/>
      <c r="AQ20" s="24" t="n"/>
      <c r="AR20" s="24" t="n"/>
      <c r="AS20" s="24" t="n"/>
    </row>
    <row r="21">
      <c r="A21" s="8" t="n">
        <v>16</v>
      </c>
      <c r="B21" s="41" t="inlineStr">
        <is>
          <t>Layanan Smart CIty</t>
        </is>
      </c>
      <c r="C21" t="inlineStr">
        <is>
          <t>Diskominfo</t>
        </is>
      </c>
      <c r="D21" s="41" t="inlineStr">
        <is>
          <t>Layanan Smart City: Mengintegrasikan teknologi untuk meningkatkan efisiensi dan kualitas hidup warga dalam konteks perkotaan.</t>
        </is>
      </c>
      <c r="E21" s="41" t="n"/>
      <c r="F21" s="41" t="n"/>
      <c r="G21" s="46" t="inlineStr">
        <is>
          <t>PENINGKATAN KUALITAS PELAYANAN PUBLIK</t>
        </is>
      </c>
      <c r="H21" s="46" t="inlineStr">
        <is>
          <t>Masyarakat</t>
        </is>
      </c>
      <c r="I21" s="48" t="inlineStr">
        <is>
          <t>Data Smart City</t>
        </is>
      </c>
      <c r="J21" s="41" t="inlineStr">
        <is>
          <t>Data Smart City</t>
        </is>
      </c>
      <c r="K21" s="46" t="inlineStr">
        <is>
          <t>Terbuka</t>
        </is>
      </c>
      <c r="L21" s="46" t="n"/>
      <c r="M21" s="46" t="inlineStr">
        <is>
          <t>Tahunan</t>
        </is>
      </c>
      <c r="N21" s="53" t="inlineStr">
        <is>
          <t>SMART CITY</t>
        </is>
      </c>
      <c r="O21" s="46" t="n"/>
      <c r="P21" s="46" t="n"/>
      <c r="Q21" s="46" t="inlineStr">
        <is>
          <t>Website</t>
        </is>
      </c>
      <c r="R21" s="22" t="inlineStr">
        <is>
          <t>https://smartcity.bandungkab.go.id/</t>
        </is>
      </c>
      <c r="S21" s="46" t="n"/>
      <c r="T21" s="46" t="n"/>
      <c r="U21" s="41" t="n"/>
      <c r="V21" s="46" t="n"/>
      <c r="W21" s="46" t="n"/>
      <c r="X21" s="46" t="n"/>
      <c r="Y21" s="46" t="n"/>
      <c r="Z21" s="46" t="n"/>
      <c r="AA21" s="46" t="n"/>
      <c r="AB21" s="46" t="inlineStr">
        <is>
          <t>Diskominfo</t>
        </is>
      </c>
      <c r="AC21" s="41" t="n"/>
      <c r="AD21" s="41" t="n"/>
      <c r="AE21" s="41" t="n"/>
      <c r="AF21" s="39" t="n"/>
      <c r="AG21" s="39" t="n"/>
      <c r="AH21" s="24" t="n"/>
      <c r="AI21" s="24" t="n"/>
      <c r="AJ21" s="24" t="n"/>
      <c r="AK21" s="24" t="n"/>
      <c r="AL21" s="24" t="n"/>
      <c r="AM21" s="24" t="n"/>
      <c r="AN21" s="24" t="n"/>
      <c r="AO21" s="24" t="n"/>
      <c r="AP21" s="24" t="n"/>
      <c r="AQ21" s="24" t="n"/>
      <c r="AR21" s="24" t="n"/>
      <c r="AS21" s="24" t="n"/>
    </row>
    <row r="22">
      <c r="A22" s="56" t="inlineStr">
        <is>
          <t>BAGIAN PERENCKEU</t>
        </is>
      </c>
      <c r="B22" s="58" t="n"/>
      <c r="D22" s="58" t="n"/>
      <c r="E22" s="58" t="n"/>
      <c r="F22" s="58" t="n"/>
      <c r="G22" s="58" t="n"/>
      <c r="H22" s="58" t="n"/>
      <c r="I22" s="58" t="n"/>
      <c r="J22" s="58" t="n"/>
      <c r="K22" s="58" t="n"/>
      <c r="L22" s="58" t="n"/>
      <c r="M22" s="58" t="n"/>
      <c r="N22" s="58" t="n"/>
      <c r="O22" s="58" t="n"/>
      <c r="P22" s="58" t="n"/>
      <c r="Q22" s="58" t="n"/>
      <c r="R22" s="58" t="n"/>
      <c r="S22" s="58" t="n"/>
      <c r="T22" s="58" t="n"/>
      <c r="U22" s="58" t="n"/>
      <c r="V22" s="58" t="n"/>
      <c r="W22" s="58" t="n"/>
      <c r="X22" s="58" t="n"/>
      <c r="Y22" s="58" t="n"/>
      <c r="Z22" s="58" t="n"/>
      <c r="AA22" s="58" t="n"/>
      <c r="AB22" s="58" t="n"/>
      <c r="AC22" s="58" t="n"/>
      <c r="AD22" s="58" t="n"/>
      <c r="AE22" s="58" t="n"/>
      <c r="AF22" s="288" t="n"/>
      <c r="AG22" s="288" t="n"/>
      <c r="AH22" s="284" t="n"/>
      <c r="AI22" s="284" t="n"/>
      <c r="AJ22" s="284" t="n"/>
      <c r="AK22" s="284" t="n"/>
      <c r="AL22" s="284" t="n"/>
      <c r="AM22" s="284" t="n"/>
      <c r="AN22" s="284" t="n"/>
      <c r="AO22" s="284" t="n"/>
      <c r="AP22" s="284" t="n"/>
      <c r="AQ22" s="284" t="n"/>
      <c r="AR22" s="284" t="n"/>
      <c r="AS22" s="284" t="n"/>
    </row>
    <row r="23">
      <c r="A23" s="62" t="n">
        <v>1</v>
      </c>
      <c r="B23" s="63" t="inlineStr">
        <is>
          <t>Layanan Sistem Informasi Tindak Lanjut Hasil Layanan Terpadu</t>
        </is>
      </c>
      <c r="C23" t="inlineStr">
        <is>
          <t>BAGIAN PERENCKEU</t>
        </is>
      </c>
      <c r="D23" s="63" t="inlineStr">
        <is>
          <t>Layanan Sistem Informasi Tindak Lanjut Hasil Layanan Terpadu mengacu pada sistem informasi berbasis web untuk mengelola dan memantau proses tindak lanjut (TL) hasil rekomendasi pemeriksaan oleh lembaga seperti Badan Pemeriksa Keuangan (BPK), agar prosesnya menjadi lebih efisien, transparan, dan akuntabel melalui digitalisasi data dan komunikasi online secara real-time antara BPK dan entitas yang diperiksa.</t>
        </is>
      </c>
      <c r="E23" s="63" t="inlineStr">
        <is>
          <t>Undang-Undang Nomor 25 Tahun 2009 tentang Pelayanan Publik, Peraturan Pemerintah Nomor 96 Tahun 2012</t>
        </is>
      </c>
      <c r="F23" s="288" t="n"/>
      <c r="G23" s="64" t="inlineStr">
        <is>
          <t>PENINGKATAN KUALITAS PELAYANAN PUBLIK</t>
        </is>
      </c>
      <c r="H23" s="64" t="inlineStr">
        <is>
          <t>Instansi Pemerintah Lainnya</t>
        </is>
      </c>
      <c r="I23" s="64" t="inlineStr">
        <is>
          <t>Data Evidence Tindak Lanjut yang Direkomendasikan</t>
        </is>
      </c>
      <c r="J23" s="64" t="inlineStr">
        <is>
          <t>Data Hasil Tindak Lanjut</t>
        </is>
      </c>
      <c r="K23" s="64" t="inlineStr">
        <is>
          <t>Terbatas</t>
        </is>
      </c>
      <c r="L23" s="64" t="inlineStr">
        <is>
          <t>Tidak terdapat</t>
        </is>
      </c>
      <c r="M23" s="64" t="inlineStr">
        <is>
          <t>Tahunan</t>
        </is>
      </c>
      <c r="N23" s="65" t="inlineStr">
        <is>
          <t>SIMASLAHAT</t>
        </is>
      </c>
      <c r="O23" s="64" t="inlineStr">
        <is>
          <t>Pihak Ke 3</t>
        </is>
      </c>
      <c r="P23" s="64" t="inlineStr">
        <is>
          <t>Kab. Bandung</t>
        </is>
      </c>
      <c r="Q23" s="64" t="inlineStr">
        <is>
          <t>Website</t>
        </is>
      </c>
      <c r="R23" s="66" t="inlineStr">
        <is>
          <t>https://simaslahat.bandungkab.go.id</t>
        </is>
      </c>
      <c r="S23" s="64" t="inlineStr">
        <is>
          <t>Secara Online</t>
        </is>
      </c>
      <c r="T23" s="64" t="inlineStr">
        <is>
          <t>Transaksi</t>
        </is>
      </c>
      <c r="U23" s="64" t="n">
        <v>2022</v>
      </c>
      <c r="V23" s="64" t="inlineStr">
        <is>
          <t>Aktif</t>
        </is>
      </c>
      <c r="W23" s="64" t="inlineStr">
        <is>
          <t>Tidak</t>
        </is>
      </c>
      <c r="X23" s="64" t="inlineStr">
        <is>
          <t>Tidak Terintegrasi</t>
        </is>
      </c>
      <c r="Y23" s="64" t="inlineStr">
        <is>
          <t>Tidak Terintegrasi</t>
        </is>
      </c>
      <c r="Z23" s="64" t="inlineStr">
        <is>
          <t>Tidak Terintegrasi</t>
        </is>
      </c>
      <c r="AA23" s="64" t="inlineStr">
        <is>
          <t>Bagian Perencanaan dan Keuangan</t>
        </is>
      </c>
      <c r="AB23" s="64" t="inlineStr">
        <is>
          <t>Setda</t>
        </is>
      </c>
      <c r="AC23" s="63" t="inlineStr">
        <is>
          <t>VERRYNOVYANDI SADIKIN, SE., MM</t>
        </is>
      </c>
      <c r="AD23" s="63" t="n">
        <v>895327038135</v>
      </c>
      <c r="AE23" s="63" t="inlineStr">
        <is>
          <t>setdakab.bdg@gmail.com</t>
        </is>
      </c>
      <c r="AF23" s="67" t="inlineStr">
        <is>
          <t>-</t>
        </is>
      </c>
      <c r="AG23" s="68" t="inlineStr">
        <is>
          <t>Tahunan</t>
        </is>
      </c>
      <c r="AH23" s="284" t="n"/>
      <c r="AI23" s="284" t="n"/>
      <c r="AJ23" s="284" t="n"/>
      <c r="AK23" s="284" t="n"/>
      <c r="AL23" s="284" t="n"/>
      <c r="AM23" s="284" t="n"/>
      <c r="AN23" s="284" t="n"/>
      <c r="AO23" s="284" t="n"/>
      <c r="AP23" s="284" t="n"/>
      <c r="AQ23" s="284" t="n"/>
      <c r="AR23" s="284" t="n"/>
      <c r="AS23" s="284" t="n"/>
    </row>
    <row r="24">
      <c r="A24" s="62" t="n">
        <v>2</v>
      </c>
      <c r="B24" s="63" t="inlineStr">
        <is>
          <t>Layanan Pengaduan Masyarakat</t>
        </is>
      </c>
      <c r="C24" t="inlineStr">
        <is>
          <t>BAGIAN PERENCKEU</t>
        </is>
      </c>
      <c r="D24" s="63" t="inlineStr">
        <is>
          <t>Layanan Pengaduan Masyarakat (LPM) adalah wadah atau sistem yang disediakan oleh instansi pemerintah (atau lembaga publik lainnya) bagi masyarakat untuk menyampaikan keluhan, saran, masukan, aspirasi, hingga laporan atas dugaan penyimpangan atau maladministrasi dalam penyelenggaraan pemerintahan dan pelayanan publik.</t>
        </is>
      </c>
      <c r="E24" s="63" t="inlineStr">
        <is>
          <t>Undang-Undang Nomor 25 Tahun 2009 tentang Pelayanan Publik</t>
        </is>
      </c>
      <c r="F24" s="288" t="n"/>
      <c r="G24" s="64" t="inlineStr">
        <is>
          <t>PENINGKATAN KUALITAS PELAYANAN PUBLIK</t>
        </is>
      </c>
      <c r="H24" s="64" t="inlineStr">
        <is>
          <t>Masyarakat</t>
        </is>
      </c>
      <c r="I24" s="64" t="inlineStr">
        <is>
          <t>Data Pengguna, Data Adun</t>
        </is>
      </c>
      <c r="J24" s="64" t="inlineStr">
        <is>
          <t>Data Aduan Masyarakat</t>
        </is>
      </c>
      <c r="K24" s="64" t="inlineStr">
        <is>
          <t>Terbatas</t>
        </is>
      </c>
      <c r="L24" s="64" t="inlineStr">
        <is>
          <t>Terdapat</t>
        </is>
      </c>
      <c r="M24" s="64" t="inlineStr">
        <is>
          <t>Harian</t>
        </is>
      </c>
      <c r="N24" s="65" t="inlineStr">
        <is>
          <t>SP4N Lapor</t>
        </is>
      </c>
      <c r="O24" s="64" t="inlineStr">
        <is>
          <t>Pusat</t>
        </is>
      </c>
      <c r="P24" s="64" t="inlineStr">
        <is>
          <t>Pusat</t>
        </is>
      </c>
      <c r="Q24" s="64" t="inlineStr">
        <is>
          <t>Website</t>
        </is>
      </c>
      <c r="R24" s="66" t="inlineStr">
        <is>
          <t>https://lapor.go.id/</t>
        </is>
      </c>
      <c r="S24" s="64" t="inlineStr">
        <is>
          <t>Secara Online</t>
        </is>
      </c>
      <c r="T24" s="64" t="inlineStr">
        <is>
          <t>Informasi</t>
        </is>
      </c>
      <c r="U24" s="64" t="n">
        <v>2018</v>
      </c>
      <c r="V24" s="64" t="inlineStr">
        <is>
          <t>Aktif</t>
        </is>
      </c>
      <c r="W24" s="64" t="inlineStr">
        <is>
          <t>Tidak</t>
        </is>
      </c>
      <c r="X24" s="64" t="inlineStr">
        <is>
          <t>Tidak Terintegrasi</t>
        </is>
      </c>
      <c r="Y24" s="64" t="inlineStr">
        <is>
          <t>Tidak Terintegrasi</t>
        </is>
      </c>
      <c r="Z24" s="64" t="inlineStr">
        <is>
          <t>Tidak Terintegrasi</t>
        </is>
      </c>
      <c r="AA24" s="64" t="inlineStr">
        <is>
          <t>Bidang Informasi Komunikasi Publik</t>
        </is>
      </c>
      <c r="AB24" s="64" t="inlineStr">
        <is>
          <t>Diskominfo</t>
        </is>
      </c>
      <c r="AC24" s="63" t="inlineStr">
        <is>
          <t>ALIPHIO DYAKSHA PUTRA, A.Md.Ak.</t>
        </is>
      </c>
      <c r="AD24" s="63" t="n">
        <v>8988005270</v>
      </c>
      <c r="AE24" s="63" t="inlineStr">
        <is>
          <t>setdakab.bdg@gmail.com</t>
        </is>
      </c>
      <c r="AF24" s="67" t="inlineStr">
        <is>
          <t>-</t>
        </is>
      </c>
      <c r="AG24" s="68" t="inlineStr">
        <is>
          <t>Insidentil</t>
        </is>
      </c>
      <c r="AH24" s="284" t="n"/>
      <c r="AI24" s="284" t="n"/>
      <c r="AJ24" s="284" t="n"/>
      <c r="AK24" s="284" t="n"/>
      <c r="AL24" s="284" t="n"/>
      <c r="AM24" s="284" t="n"/>
      <c r="AN24" s="284" t="n"/>
      <c r="AO24" s="284" t="n"/>
      <c r="AP24" s="284" t="n"/>
      <c r="AQ24" s="284" t="n"/>
      <c r="AR24" s="284" t="n"/>
      <c r="AS24" s="284" t="n"/>
    </row>
    <row r="25">
      <c r="A25" s="62" t="n">
        <v>3</v>
      </c>
      <c r="B25" s="63" t="inlineStr">
        <is>
          <t>Layanan Data Sektoral</t>
        </is>
      </c>
      <c r="C25" t="inlineStr">
        <is>
          <t>BAGIAN PERENCKEU</t>
        </is>
      </c>
      <c r="D25" s="63" t="inlineStr">
        <is>
          <t>Layanan data sektoral adalah statistik yang dihasilkan oleh instansi pemerintah pusat atau daerah sesuai dengan tugas dan fungsi masing-masing, yang bertujuan untuk memenuhi kebutuhan internal instansi tersebut dalam penyelenggaraan pemerintahan dan pembangunan.</t>
        </is>
      </c>
      <c r="E25" s="63" t="inlineStr">
        <is>
          <t>PERATURAN BADAN PUSAT STATISTIK NOMOR 3 TAHUN 2022 TENTANG EVALUASI PENYELENGGARAAN STATISTIK SEKTORAL</t>
        </is>
      </c>
      <c r="F25" s="288" t="n"/>
      <c r="G25" s="64" t="inlineStr">
        <is>
          <t>PENGELOLAAN DATA STATISTIK</t>
        </is>
      </c>
      <c r="H25" s="64" t="inlineStr">
        <is>
          <t>Instansi Pemerintah Lainnya</t>
        </is>
      </c>
      <c r="I25" s="64" t="inlineStr">
        <is>
          <t>Data Sektoral</t>
        </is>
      </c>
      <c r="J25" s="64" t="inlineStr">
        <is>
          <t>Data Sektoral</t>
        </is>
      </c>
      <c r="K25" s="64" t="inlineStr">
        <is>
          <t>Terbatas</t>
        </is>
      </c>
      <c r="L25" s="64" t="inlineStr">
        <is>
          <t>Tidak terdapat</t>
        </is>
      </c>
      <c r="M25" s="64" t="inlineStr">
        <is>
          <t>Tahunan</t>
        </is>
      </c>
      <c r="N25" s="65" t="inlineStr">
        <is>
          <t>SIMASDA</t>
        </is>
      </c>
      <c r="O25" s="64" t="inlineStr">
        <is>
          <t>Pihak Ke 3</t>
        </is>
      </c>
      <c r="P25" s="64" t="inlineStr">
        <is>
          <t>Kab. Bandung</t>
        </is>
      </c>
      <c r="Q25" s="64" t="inlineStr">
        <is>
          <t>Website</t>
        </is>
      </c>
      <c r="R25" s="66" t="inlineStr">
        <is>
          <t>https://simasda.bandungkab.go.id/</t>
        </is>
      </c>
      <c r="S25" s="64" t="inlineStr">
        <is>
          <t>Secara Online</t>
        </is>
      </c>
      <c r="T25" s="64" t="inlineStr">
        <is>
          <t>Informasi</t>
        </is>
      </c>
      <c r="U25" s="64" t="n">
        <v>2022</v>
      </c>
      <c r="V25" s="64" t="inlineStr">
        <is>
          <t>Aktif</t>
        </is>
      </c>
      <c r="W25" s="64" t="inlineStr">
        <is>
          <t>Ya</t>
        </is>
      </c>
      <c r="X25" s="64" t="inlineStr">
        <is>
          <t>Terintegrasi dengan Bedas, E-Walidata dan Satu Data Kab Bandung</t>
        </is>
      </c>
      <c r="Y25" s="64" t="inlineStr">
        <is>
          <t>Database to Database</t>
        </is>
      </c>
      <c r="Z25" s="64" t="inlineStr">
        <is>
          <t>Realtime</t>
        </is>
      </c>
      <c r="AA25" s="64" t="inlineStr">
        <is>
          <t>Bidang Statistik</t>
        </is>
      </c>
      <c r="AB25" s="64" t="inlineStr">
        <is>
          <t>Diskominfo</t>
        </is>
      </c>
      <c r="AC25" s="63" t="inlineStr">
        <is>
          <t>DHANTI AURILIA PRATIWI, M.Stat</t>
        </is>
      </c>
      <c r="AD25" s="63" t="n">
        <v>81904085710</v>
      </c>
      <c r="AE25" s="63" t="inlineStr">
        <is>
          <t>setdakab.bdg@gmail.com</t>
        </is>
      </c>
      <c r="AF25" s="288" t="n"/>
      <c r="AG25" s="288" t="n"/>
      <c r="AH25" s="284" t="n"/>
      <c r="AI25" s="284" t="n"/>
      <c r="AJ25" s="284" t="n"/>
      <c r="AK25" s="284" t="n"/>
      <c r="AL25" s="284" t="n"/>
      <c r="AM25" s="284" t="n"/>
      <c r="AN25" s="284" t="n"/>
      <c r="AO25" s="284" t="n"/>
      <c r="AP25" s="284" t="n"/>
      <c r="AQ25" s="284" t="n"/>
      <c r="AR25" s="284" t="n"/>
      <c r="AS25" s="284" t="n"/>
    </row>
    <row r="26">
      <c r="A26" s="62" t="n">
        <v>4</v>
      </c>
      <c r="B26" s="63" t="inlineStr">
        <is>
          <t>Layanan Rekonsiliasi Pajak Pusat</t>
        </is>
      </c>
      <c r="C26" t="inlineStr">
        <is>
          <t>BAGIAN PERENCKEU</t>
        </is>
      </c>
      <c r="D26" s="63" t="inlineStr">
        <is>
          <t>Rekonsiliasi pajak pusat atas belanja daerah adalah proses penyesuaian atau pencocokan antara jumlah pajak yang harus dibayarkan oleh pemerintah daerah kepada pemerintah pusat dengan total belanja yang telah dilakukan oleh pemerintah daerah dalam kerangka Anggaran Pendapatan dan Belanja Daerah (APBD)</t>
        </is>
      </c>
      <c r="E26" s="63" t="inlineStr">
        <is>
          <t>PERBUP Nomor 165 Tahun 2021 dan PERBUP Nomor 289 Tahun 2022</t>
        </is>
      </c>
      <c r="F26" s="288" t="n"/>
      <c r="G26" s="64" t="inlineStr">
        <is>
          <t>AKUNTANSI DAN PELAPORAN KEUANGAN</t>
        </is>
      </c>
      <c r="H26" s="64" t="inlineStr">
        <is>
          <t>Instansi Pemerintah Lainnya</t>
        </is>
      </c>
      <c r="I26" s="64" t="inlineStr">
        <is>
          <t>Data Pajak Pusat (ID Billing &amp; NTPN)</t>
        </is>
      </c>
      <c r="J26" s="64" t="inlineStr">
        <is>
          <t>Rekap Data Pajak Pusat</t>
        </is>
      </c>
      <c r="K26" s="64" t="inlineStr">
        <is>
          <t>Terbatas</t>
        </is>
      </c>
      <c r="L26" s="64" t="inlineStr">
        <is>
          <t>Tidak terdapat</t>
        </is>
      </c>
      <c r="M26" s="64" t="inlineStr">
        <is>
          <t>Bulanan</t>
        </is>
      </c>
      <c r="N26" s="65" t="inlineStr">
        <is>
          <t>SIREKON</t>
        </is>
      </c>
      <c r="O26" s="67" t="inlineStr">
        <is>
          <t>Diskominfo</t>
        </is>
      </c>
      <c r="P26" s="67" t="inlineStr">
        <is>
          <t>Kab. Bandung</t>
        </is>
      </c>
      <c r="Q26" s="67" t="inlineStr">
        <is>
          <t>Website</t>
        </is>
      </c>
      <c r="R26" s="66" t="inlineStr">
        <is>
          <t>https://sirekonpajak.bandungkab.go.id/</t>
        </is>
      </c>
      <c r="S26" s="64" t="inlineStr">
        <is>
          <t>Secara Online</t>
        </is>
      </c>
      <c r="T26" s="64" t="inlineStr">
        <is>
          <t>Informasi</t>
        </is>
      </c>
      <c r="U26" s="64" t="n">
        <v>2020</v>
      </c>
      <c r="V26" s="64" t="inlineStr">
        <is>
          <t>Aktif</t>
        </is>
      </c>
      <c r="W26" s="64" t="inlineStr">
        <is>
          <t>Tidak</t>
        </is>
      </c>
      <c r="X26" s="64" t="inlineStr">
        <is>
          <t>Tidak Terintegrasi</t>
        </is>
      </c>
      <c r="Y26" s="64" t="inlineStr">
        <is>
          <t>Tidak Terintegrasi</t>
        </is>
      </c>
      <c r="Z26" s="64" t="inlineStr">
        <is>
          <t>Tidak Terintegrasi</t>
        </is>
      </c>
      <c r="AA26" s="64" t="inlineStr">
        <is>
          <t>Bagian Perencanaan dan Keuangan</t>
        </is>
      </c>
      <c r="AB26" s="64" t="inlineStr">
        <is>
          <t>Setda</t>
        </is>
      </c>
      <c r="AC26" s="63" t="inlineStr">
        <is>
          <t>VERRYNOVYANDI SADIKIN, SE., MM</t>
        </is>
      </c>
      <c r="AD26" s="63" t="n">
        <v>895327038135</v>
      </c>
      <c r="AE26" s="63" t="inlineStr">
        <is>
          <t>setdakab.bdg@gmail.com</t>
        </is>
      </c>
      <c r="AF26" s="67" t="inlineStr">
        <is>
          <t>-</t>
        </is>
      </c>
      <c r="AG26" s="68" t="inlineStr">
        <is>
          <t>Bulanan</t>
        </is>
      </c>
      <c r="AH26" s="284" t="n"/>
      <c r="AI26" s="284" t="n"/>
      <c r="AJ26" s="284" t="n"/>
      <c r="AK26" s="284" t="n"/>
      <c r="AL26" s="284" t="n"/>
      <c r="AM26" s="284" t="n"/>
      <c r="AN26" s="284" t="n"/>
      <c r="AO26" s="284" t="n"/>
      <c r="AP26" s="284" t="n"/>
      <c r="AQ26" s="284" t="n"/>
      <c r="AR26" s="284" t="n"/>
      <c r="AS26" s="284" t="n"/>
    </row>
    <row r="27">
      <c r="A27" s="62" t="n">
        <v>5</v>
      </c>
      <c r="B27" s="63" t="inlineStr">
        <is>
          <t>Layanan Pajak</t>
        </is>
      </c>
      <c r="C27" t="inlineStr">
        <is>
          <t>BAGIAN PERENCKEU</t>
        </is>
      </c>
      <c r="D27" s="63" t="inlineStr">
        <is>
          <t>Fungsi layanan pajak meliputi pengumpulan pajak daerah, pengelolaan data wajib pajak, pengawasan kepatuhan, serta penyediaan kemudahan pembayaran menggunakan aplikasi digital yang mendukung optimalisasi penerimaan pajak dan peningkatan kualitas pelayanan kepada masyarakat.</t>
        </is>
      </c>
      <c r="E27" s="63" t="inlineStr">
        <is>
          <t>UU No. 1 Tahun 2022</t>
        </is>
      </c>
      <c r="F27" s="288" t="n"/>
      <c r="G27" s="64" t="inlineStr">
        <is>
          <t>AKUNTANSI DAN PELAPORAN KEUANGAN</t>
        </is>
      </c>
      <c r="H27" s="64" t="inlineStr">
        <is>
          <t>Instansi Pemerintah Lainnya</t>
        </is>
      </c>
      <c r="I27" s="64" t="inlineStr">
        <is>
          <t>Data Pajak</t>
        </is>
      </c>
      <c r="J27" s="64" t="inlineStr">
        <is>
          <t>ID Billing</t>
        </is>
      </c>
      <c r="K27" s="64" t="inlineStr">
        <is>
          <t>Terbatas</t>
        </is>
      </c>
      <c r="L27" s="64" t="inlineStr">
        <is>
          <t>Terdapat</t>
        </is>
      </c>
      <c r="M27" s="64" t="inlineStr">
        <is>
          <t>Harian</t>
        </is>
      </c>
      <c r="N27" s="65" t="inlineStr">
        <is>
          <t>Coretax</t>
        </is>
      </c>
      <c r="O27" s="67" t="inlineStr">
        <is>
          <t>Pusat</t>
        </is>
      </c>
      <c r="P27" s="67" t="inlineStr">
        <is>
          <t>Pusat</t>
        </is>
      </c>
      <c r="Q27" s="64" t="inlineStr">
        <is>
          <t>Website</t>
        </is>
      </c>
      <c r="R27" s="66" t="inlineStr">
        <is>
          <t>coretaxdjp.pajak.go.id</t>
        </is>
      </c>
      <c r="S27" s="64" t="inlineStr">
        <is>
          <t>Secara Online</t>
        </is>
      </c>
      <c r="T27" s="64" t="inlineStr">
        <is>
          <t>Informasi</t>
        </is>
      </c>
      <c r="U27" s="64" t="n">
        <v>2025</v>
      </c>
      <c r="V27" s="64" t="inlineStr">
        <is>
          <t>Aktif</t>
        </is>
      </c>
      <c r="W27" s="64" t="inlineStr">
        <is>
          <t>Tidak</t>
        </is>
      </c>
      <c r="X27" s="64" t="inlineStr">
        <is>
          <t>Tidak Terintegrasi</t>
        </is>
      </c>
      <c r="Y27" s="64" t="inlineStr">
        <is>
          <t>Tidak Terintegrasi</t>
        </is>
      </c>
      <c r="Z27" s="64" t="inlineStr">
        <is>
          <t>Tidak Terintegrasi</t>
        </is>
      </c>
      <c r="AA27" s="64" t="inlineStr">
        <is>
          <t>Bagian Perencanaan dan Keuangan</t>
        </is>
      </c>
      <c r="AB27" s="64" t="inlineStr">
        <is>
          <t>Setda</t>
        </is>
      </c>
      <c r="AC27" s="63" t="inlineStr">
        <is>
          <t>VERRYNOVYANDI SADIKIN, SE., MM</t>
        </is>
      </c>
      <c r="AD27" s="63" t="n">
        <v>895327038135</v>
      </c>
      <c r="AE27" s="63" t="inlineStr">
        <is>
          <t>setdakab.bdg@gmail.com</t>
        </is>
      </c>
      <c r="AF27" s="67" t="inlineStr">
        <is>
          <t>-</t>
        </is>
      </c>
      <c r="AG27" s="68" t="inlineStr">
        <is>
          <t>Harian</t>
        </is>
      </c>
      <c r="AH27" s="284" t="n"/>
      <c r="AI27" s="284" t="n"/>
      <c r="AJ27" s="284" t="n"/>
      <c r="AK27" s="284" t="n"/>
      <c r="AL27" s="284" t="n"/>
      <c r="AM27" s="284" t="n"/>
      <c r="AN27" s="284" t="n"/>
      <c r="AO27" s="284" t="n"/>
      <c r="AP27" s="284" t="n"/>
      <c r="AQ27" s="284" t="n"/>
      <c r="AR27" s="284" t="n"/>
      <c r="AS27" s="284" t="n"/>
    </row>
    <row r="28">
      <c r="A28" s="62" t="n">
        <v>6</v>
      </c>
      <c r="B28" s="63" t="inlineStr">
        <is>
          <t>Layanan Pajak Daerah</t>
        </is>
      </c>
      <c r="C28" t="inlineStr">
        <is>
          <t>BAGIAN PERENCKEU</t>
        </is>
      </c>
      <c r="D28" s="63" t="inlineStr">
        <is>
          <t>Pajak daerah yang ada digunakan untuk membiayai semua kepentingan umum. Termasuk untuk membuka lapangan kerja baru, sehingga terjadi pemerataan pendapatan agar kesenjangan ekonomi antara yang kaya dan miskin tidak terlalu menonjol. Pajak daerah diharapkan dapat meningkatkan pemerataan di setiap daerah.</t>
        </is>
      </c>
      <c r="E28" s="63" t="inlineStr">
        <is>
          <t>Undang-Undang Nomor 28 Tahun 2009 tentang Pajak Daerah dan Retribusi Daerah (UU PDRD)</t>
        </is>
      </c>
      <c r="F28" s="288" t="n"/>
      <c r="G28" s="64" t="inlineStr">
        <is>
          <t>AKUNTANSI DAN PELAPORAN KEUANGAN</t>
        </is>
      </c>
      <c r="H28" s="64" t="inlineStr">
        <is>
          <t>Instansi Pemerintah Lainnya</t>
        </is>
      </c>
      <c r="I28" s="64" t="inlineStr">
        <is>
          <t>Data Pajak Daerah</t>
        </is>
      </c>
      <c r="J28" s="64" t="inlineStr">
        <is>
          <t>Data Rekap Pajak Daerah</t>
        </is>
      </c>
      <c r="K28" s="64" t="inlineStr">
        <is>
          <t>Terbatas</t>
        </is>
      </c>
      <c r="L28" s="64" t="inlineStr">
        <is>
          <t>Tidak terdapat</t>
        </is>
      </c>
      <c r="M28" s="64" t="inlineStr">
        <is>
          <t>Harian</t>
        </is>
      </c>
      <c r="N28" s="65" t="inlineStr">
        <is>
          <t>E-SPTPD</t>
        </is>
      </c>
      <c r="O28" s="67" t="inlineStr">
        <is>
          <t>Diskominfo</t>
        </is>
      </c>
      <c r="P28" s="67" t="inlineStr">
        <is>
          <t>Kab. Bandung</t>
        </is>
      </c>
      <c r="Q28" s="67" t="inlineStr">
        <is>
          <t>Website</t>
        </is>
      </c>
      <c r="R28" s="66" t="inlineStr">
        <is>
          <t>https://e-sptpd.bandungkab.go.id/</t>
        </is>
      </c>
      <c r="S28" s="64" t="inlineStr">
        <is>
          <t>Secara Online</t>
        </is>
      </c>
      <c r="T28" s="64" t="inlineStr">
        <is>
          <t>Informasi</t>
        </is>
      </c>
      <c r="U28" s="64" t="n">
        <v>2019</v>
      </c>
      <c r="V28" s="64" t="inlineStr">
        <is>
          <t>Aktif</t>
        </is>
      </c>
      <c r="W28" s="64" t="inlineStr">
        <is>
          <t>Tidak</t>
        </is>
      </c>
      <c r="X28" s="64" t="inlineStr">
        <is>
          <t>Tidak Terintegrasi</t>
        </is>
      </c>
      <c r="Y28" s="64" t="inlineStr">
        <is>
          <t>Tidak Terintegrasi</t>
        </is>
      </c>
      <c r="Z28" s="64" t="inlineStr">
        <is>
          <t>Tidak Terintegrasi</t>
        </is>
      </c>
      <c r="AA28" s="64" t="inlineStr">
        <is>
          <t>Bagian Perencanaan dan Keuangan</t>
        </is>
      </c>
      <c r="AB28" s="64" t="inlineStr">
        <is>
          <t>Setda, Bapenda</t>
        </is>
      </c>
      <c r="AC28" s="63" t="inlineStr">
        <is>
          <t>VERRYNOVYANDI SADIKIN, SE., MM</t>
        </is>
      </c>
      <c r="AD28" s="63" t="n">
        <v>895327038135</v>
      </c>
      <c r="AE28" s="63" t="inlineStr">
        <is>
          <t>setdakab.bdg@gmail.com</t>
        </is>
      </c>
      <c r="AF28" s="67" t="inlineStr">
        <is>
          <t>-</t>
        </is>
      </c>
      <c r="AG28" s="68" t="inlineStr">
        <is>
          <t>Harian</t>
        </is>
      </c>
      <c r="AH28" s="284" t="n"/>
      <c r="AI28" s="284" t="n"/>
      <c r="AJ28" s="284" t="n"/>
      <c r="AK28" s="284" t="n"/>
      <c r="AL28" s="284" t="n"/>
      <c r="AM28" s="284" t="n"/>
      <c r="AN28" s="284" t="n"/>
      <c r="AO28" s="284" t="n"/>
      <c r="AP28" s="284" t="n"/>
      <c r="AQ28" s="284" t="n"/>
      <c r="AR28" s="284" t="n"/>
      <c r="AS28" s="284" t="n"/>
    </row>
    <row r="29">
      <c r="A29" s="62" t="n">
        <v>7</v>
      </c>
      <c r="B29" s="63" t="inlineStr">
        <is>
          <t>Layanan Transaksi</t>
        </is>
      </c>
      <c r="C29" t="inlineStr">
        <is>
          <t>BAGIAN PERENCKEU</t>
        </is>
      </c>
      <c r="D29" s="63" t="inlineStr">
        <is>
          <t>Fungsi utama layanan transaksi di Kabupaten Bandung adalah untuk memudahkan masyarakat dalam memenuhi kewajiban pembayaran pajak daerah dan mendukung efisiensi pengelolaan pajak oleh pemerintah daerah. Layanan ini meliputi berbagai fasilitas dan sistem, seperti pengesahan STNK, pembayaran PKB, dan pemanfaatan teknologi untuk pelaporan data transaksi usaha secara online.</t>
        </is>
      </c>
      <c r="E29" s="63" t="inlineStr">
        <is>
          <t>Peraturan Bupati (Perbup) Kabupaten Bandung Nomor 22 Tahun 2018 tentang Implementasi Transaksi Non Tunai, yang telah beberapa kali diubah dengan Perbup Nomor 6 Tahun 2020 dan Perbup Nomor 15 Tahun 2020.</t>
        </is>
      </c>
      <c r="F29" s="288" t="n"/>
      <c r="G29" s="64" t="inlineStr">
        <is>
          <t>AKUNTANSI DAN PELAPORAN KEUANGAN</t>
        </is>
      </c>
      <c r="H29" s="64" t="inlineStr">
        <is>
          <t>Instansi Pemerintah Lainnya</t>
        </is>
      </c>
      <c r="I29" s="64" t="inlineStr">
        <is>
          <t>Data Transaksi</t>
        </is>
      </c>
      <c r="J29" s="64" t="inlineStr">
        <is>
          <t>Data Rekening Koran</t>
        </is>
      </c>
      <c r="K29" s="64" t="inlineStr">
        <is>
          <t>Terbatas</t>
        </is>
      </c>
      <c r="L29" s="64" t="inlineStr">
        <is>
          <t>Tidak terdapat</t>
        </is>
      </c>
      <c r="M29" s="64" t="inlineStr">
        <is>
          <t>Lainnya</t>
        </is>
      </c>
      <c r="N29" s="65" t="inlineStr">
        <is>
          <t>IBC (Internet Banking Corporate)</t>
        </is>
      </c>
      <c r="O29" s="64" t="inlineStr">
        <is>
          <t>Pihak Ke 3</t>
        </is>
      </c>
      <c r="P29" s="64" t="inlineStr">
        <is>
          <t>Pihak Ke 3 (Lisensi)</t>
        </is>
      </c>
      <c r="Q29" s="64" t="inlineStr">
        <is>
          <t>Desktop</t>
        </is>
      </c>
      <c r="R29" s="67" t="inlineStr">
        <is>
          <t>Aplikasi dari BJB</t>
        </is>
      </c>
      <c r="S29" s="64" t="inlineStr">
        <is>
          <t>Secara Online</t>
        </is>
      </c>
      <c r="T29" s="64" t="inlineStr">
        <is>
          <t>Transaksi</t>
        </is>
      </c>
      <c r="U29" s="64" t="n">
        <v>2019</v>
      </c>
      <c r="V29" s="64" t="inlineStr">
        <is>
          <t>Aktif</t>
        </is>
      </c>
      <c r="W29" s="64" t="inlineStr">
        <is>
          <t>Tidak</t>
        </is>
      </c>
      <c r="X29" s="64" t="inlineStr">
        <is>
          <t>Tidak Terintegrasi</t>
        </is>
      </c>
      <c r="Y29" s="64" t="inlineStr">
        <is>
          <t>Tidak Terintegrasi</t>
        </is>
      </c>
      <c r="Z29" s="64" t="inlineStr">
        <is>
          <t>Tidak Terintegrasi</t>
        </is>
      </c>
      <c r="AA29" s="64" t="inlineStr">
        <is>
          <t>Bagian Perencanaan dan Keuangan</t>
        </is>
      </c>
      <c r="AB29" s="64" t="inlineStr">
        <is>
          <t>Setda</t>
        </is>
      </c>
      <c r="AC29" s="63" t="inlineStr">
        <is>
          <t>VERRYNOVYANDI SADIKIN, SE., MM</t>
        </is>
      </c>
      <c r="AD29" s="63" t="n">
        <v>895327038135</v>
      </c>
      <c r="AE29" s="63" t="inlineStr">
        <is>
          <t>setdakab.bdg@gmail.com</t>
        </is>
      </c>
      <c r="AF29" s="67" t="inlineStr">
        <is>
          <t>-</t>
        </is>
      </c>
      <c r="AG29" s="68" t="inlineStr">
        <is>
          <t>Harian</t>
        </is>
      </c>
      <c r="AH29" s="284" t="n"/>
      <c r="AI29" s="284" t="n"/>
      <c r="AJ29" s="284" t="n"/>
      <c r="AK29" s="284" t="n"/>
      <c r="AL29" s="284" t="n"/>
      <c r="AM29" s="284" t="n"/>
      <c r="AN29" s="284" t="n"/>
      <c r="AO29" s="284" t="n"/>
      <c r="AP29" s="284" t="n"/>
      <c r="AQ29" s="284" t="n"/>
      <c r="AR29" s="284" t="n"/>
      <c r="AS29" s="284" t="n"/>
    </row>
    <row r="30">
      <c r="A30" s="62" t="n">
        <v>8</v>
      </c>
      <c r="B30" s="63" t="inlineStr">
        <is>
          <t>Layanan Penatausahaan Keuangan</t>
        </is>
      </c>
      <c r="C30" t="inlineStr">
        <is>
          <t>BAGIAN PERENCKEU</t>
        </is>
      </c>
      <c r="D30" s="63" t="inlineStr">
        <is>
          <t>Fungsi layanan penatausahaan keuangan di Kabupaten Bandung adalah mencatat dan menyimpan semua transaksi penerimaan dan pengeluaran kas daerah secara akurat dan tertib untuk penyusunan laporan keuangan, pengendalian APBD, serta penyediaan data dan informasi keuangan yang dapat dipertanggungjawabkan. Penatausahaan ini mendukung efektivitas pengelolaan keuangan daerah dan memastikan transparansi serta akuntabilitas dalam penggunaan dana publik.</t>
        </is>
      </c>
      <c r="E30" s="63" t="inlineStr">
        <is>
          <t>Peraturan Bupati (Perbup) Kabupaten Bandung Nomor 48 Tahun 2025 tentang Perubahan Atas Peraturan Bupati Nomor 83 Tahun 2024</t>
        </is>
      </c>
      <c r="F30" s="288" t="n"/>
      <c r="G30" s="64" t="inlineStr">
        <is>
          <t>AKUNTANSI DAN PELAPORAN KEUANGAN</t>
        </is>
      </c>
      <c r="H30" s="64" t="inlineStr">
        <is>
          <t>Instansi Pemerintah Lainnya</t>
        </is>
      </c>
      <c r="I30" s="64" t="inlineStr">
        <is>
          <t>Data APBD</t>
        </is>
      </c>
      <c r="J30" s="64" t="inlineStr">
        <is>
          <t>Data APBD</t>
        </is>
      </c>
      <c r="K30" s="64" t="inlineStr">
        <is>
          <t>Tertutup</t>
        </is>
      </c>
      <c r="L30" s="64" t="inlineStr">
        <is>
          <t>Terdapat</t>
        </is>
      </c>
      <c r="M30" s="64" t="inlineStr">
        <is>
          <t>Lainnya</t>
        </is>
      </c>
      <c r="N30" s="65" t="inlineStr">
        <is>
          <t>SIPD</t>
        </is>
      </c>
      <c r="O30" s="64" t="inlineStr">
        <is>
          <t>Pusat</t>
        </is>
      </c>
      <c r="P30" s="64" t="inlineStr">
        <is>
          <t>Pusat</t>
        </is>
      </c>
      <c r="Q30" s="64" t="inlineStr">
        <is>
          <t>Website</t>
        </is>
      </c>
      <c r="R30" s="66" t="inlineStr">
        <is>
          <t>SIPD.kemendagri.go.id</t>
        </is>
      </c>
      <c r="S30" s="64" t="inlineStr">
        <is>
          <t>Secara Online</t>
        </is>
      </c>
      <c r="T30" s="64" t="inlineStr">
        <is>
          <t>Transaksi</t>
        </is>
      </c>
      <c r="U30" s="64" t="n">
        <v>2021</v>
      </c>
      <c r="V30" s="64" t="inlineStr">
        <is>
          <t>Aktif</t>
        </is>
      </c>
      <c r="W30" s="64" t="inlineStr">
        <is>
          <t>Tidak</t>
        </is>
      </c>
      <c r="X30" s="64" t="inlineStr">
        <is>
          <t>Tidak Terintegrasi</t>
        </is>
      </c>
      <c r="Y30" s="64" t="inlineStr">
        <is>
          <t>Tidak Terintegrasi</t>
        </is>
      </c>
      <c r="Z30" s="64" t="inlineStr">
        <is>
          <t>Tidak Terintegrasi</t>
        </is>
      </c>
      <c r="AA30" s="64" t="inlineStr">
        <is>
          <t>Bagian Perencanaan dan Keuangan</t>
        </is>
      </c>
      <c r="AB30" s="64" t="inlineStr">
        <is>
          <t>Setda</t>
        </is>
      </c>
      <c r="AC30" s="63" t="inlineStr">
        <is>
          <t>VERRYNOVYANDI SADIKIN, SE., MM</t>
        </is>
      </c>
      <c r="AD30" s="63" t="n">
        <v>895327038135</v>
      </c>
      <c r="AE30" s="63" t="inlineStr">
        <is>
          <t>setdakab.bdg@gmail.com</t>
        </is>
      </c>
      <c r="AF30" s="67" t="inlineStr">
        <is>
          <t>-</t>
        </is>
      </c>
      <c r="AG30" s="68" t="inlineStr">
        <is>
          <t>Harian</t>
        </is>
      </c>
      <c r="AH30" s="284" t="n"/>
      <c r="AI30" s="284" t="n"/>
      <c r="AJ30" s="284" t="n"/>
      <c r="AK30" s="284" t="n"/>
      <c r="AL30" s="284" t="n"/>
      <c r="AM30" s="284" t="n"/>
      <c r="AN30" s="284" t="n"/>
      <c r="AO30" s="284" t="n"/>
      <c r="AP30" s="284" t="n"/>
      <c r="AQ30" s="284" t="n"/>
      <c r="AR30" s="284" t="n"/>
      <c r="AS30" s="284" t="n"/>
    </row>
    <row r="31">
      <c r="A31" s="62" t="n">
        <v>10</v>
      </c>
      <c r="B31" s="63" t="inlineStr">
        <is>
          <t>Layanan Tata Naskah Dinas</t>
        </is>
      </c>
      <c r="C31" t="inlineStr">
        <is>
          <t>BAGIAN PERENCKEU</t>
        </is>
      </c>
      <c r="D31" s="63" t="inlineStr">
        <is>
          <t>Fungsi utama layanan Tata Naskah Dinas (TND) di Kabupaten Bandung adalah untuk menciptakan kelancaran komunikasi tertulis yang efektif dan efisien, memastikan keotentikan, keterpercayaan, kepastian, dan akuntabilitas informasi, serta mendukung terwujudnya tata kelola pemerintahan yang baik (good governance) melalui penerapan penggunaan naskah dinas secara elektronik. TND juga berfungsi sebagai sarana untuk mengatur jenis dan penyusunan naskah dinas, penggunaan lambang negara dan cap dinas, serta penggunaan bahasa Indonesia yang sesuai dalam komunikasi resmi.</t>
        </is>
      </c>
      <c r="E31" s="63" t="inlineStr">
        <is>
          <t>Peraturan Bupati (PERBUP) Nomor 82 Tahun 2024 tentang Pedoman Tata Naskah Dinas di Lingkungan Pemerintah Kabupaten Bandung.</t>
        </is>
      </c>
      <c r="F31" s="288" t="n"/>
      <c r="G31" s="64" t="inlineStr">
        <is>
          <t>PENATAAN SISTEM TATA LAKSANA</t>
        </is>
      </c>
      <c r="H31" s="64" t="inlineStr">
        <is>
          <t>Instansi Pemerintah Lainnya</t>
        </is>
      </c>
      <c r="I31" s="64" t="inlineStr">
        <is>
          <t>Naskah Surat</t>
        </is>
      </c>
      <c r="J31" s="64" t="inlineStr">
        <is>
          <t>Surat yang dilegalisasi</t>
        </is>
      </c>
      <c r="K31" s="64" t="inlineStr">
        <is>
          <t>Terbatas</t>
        </is>
      </c>
      <c r="L31" s="64" t="inlineStr">
        <is>
          <t>Tidak terdapat</t>
        </is>
      </c>
      <c r="M31" s="64" t="inlineStr">
        <is>
          <t>Harian</t>
        </is>
      </c>
      <c r="N31" s="65" t="inlineStr">
        <is>
          <t>SULTAN (e-office)</t>
        </is>
      </c>
      <c r="O31" s="64" t="inlineStr">
        <is>
          <t>Diskominfo</t>
        </is>
      </c>
      <c r="P31" s="64" t="inlineStr">
        <is>
          <t>Kab. Bandung</t>
        </is>
      </c>
      <c r="Q31" s="64" t="inlineStr">
        <is>
          <t>Website dan Mobile</t>
        </is>
      </c>
      <c r="R31" s="66" t="inlineStr">
        <is>
          <t>https://sultan.bandungkab.go.id/</t>
        </is>
      </c>
      <c r="S31" s="64" t="inlineStr">
        <is>
          <t>Secara Online</t>
        </is>
      </c>
      <c r="T31" s="64" t="inlineStr">
        <is>
          <t>Informasi</t>
        </is>
      </c>
      <c r="U31" s="64" t="n">
        <v>2025</v>
      </c>
      <c r="V31" s="64" t="inlineStr">
        <is>
          <t>Aktif</t>
        </is>
      </c>
      <c r="W31" s="64" t="inlineStr">
        <is>
          <t>Ya</t>
        </is>
      </c>
      <c r="X31" s="64" t="inlineStr">
        <is>
          <t>Terintegrasi dengan SIPPHADE, dll</t>
        </is>
      </c>
      <c r="Y31" s="64" t="inlineStr">
        <is>
          <t>Web Service</t>
        </is>
      </c>
      <c r="Z31" s="64" t="inlineStr">
        <is>
          <t>Realtime</t>
        </is>
      </c>
      <c r="AA31" s="64" t="inlineStr">
        <is>
          <t>Semua Bagian</t>
        </is>
      </c>
      <c r="AB31" s="64" t="inlineStr">
        <is>
          <t>Setda</t>
        </is>
      </c>
      <c r="AC31" s="63" t="inlineStr">
        <is>
          <t>ALIPHIO DYAKSHA PUTRA, A.Md.Ak.</t>
        </is>
      </c>
      <c r="AD31" s="63" t="n">
        <v>8988005270</v>
      </c>
      <c r="AE31" s="63" t="inlineStr">
        <is>
          <t>setdakab.bdg@gmail.com</t>
        </is>
      </c>
      <c r="AF31" s="67" t="inlineStr">
        <is>
          <t>-</t>
        </is>
      </c>
      <c r="AG31" s="68" t="inlineStr">
        <is>
          <t>Harian</t>
        </is>
      </c>
      <c r="AH31" s="284" t="n"/>
      <c r="AI31" s="284" t="n"/>
      <c r="AJ31" s="284" t="n"/>
      <c r="AK31" s="284" t="n"/>
      <c r="AL31" s="284" t="n"/>
      <c r="AM31" s="284" t="n"/>
      <c r="AN31" s="284" t="n"/>
      <c r="AO31" s="284" t="n"/>
      <c r="AP31" s="284" t="n"/>
      <c r="AQ31" s="284" t="n"/>
      <c r="AR31" s="284" t="n"/>
      <c r="AS31" s="284" t="n"/>
    </row>
    <row r="32">
      <c r="A32" s="62" t="n">
        <v>11</v>
      </c>
      <c r="B32" s="63" t="inlineStr">
        <is>
          <t>Layanan Perencanaan BMD</t>
        </is>
      </c>
      <c r="C32" t="inlineStr">
        <is>
          <t>BAGIAN PERENCKEU</t>
        </is>
      </c>
      <c r="D32" s="63" t="inlineStr">
        <is>
          <t>Untuk mengidentifikasi kebutuhan aset, merencanakan pengadaan, pemanfaatan, pemeliharaan, dan pengelolaan aset agar sesuai dengan tugas dan fungsi SKPD, mendukung pelayanan publik, dan memastikan pengelolaan yang akuntabel dan transparan sesuai regulasi. Layanan ini bertujuan untuk menciptakan pengelolaan aset yang efisien dan efektif, mencegah pemborosan, serta mengoptimalkan penggunaan aset daerah untuk pembangunan.</t>
        </is>
      </c>
      <c r="E32" s="63" t="inlineStr">
        <is>
          <t>Undang-Undang Nomor 1 Tahun 2004 tentang Perbendaharaan Negara, Peraturan Pemerintah Nomor 27 Tahun 2014 tentang Pengelolaan BMD.</t>
        </is>
      </c>
      <c r="F32" s="288" t="n"/>
      <c r="G32" s="64" t="inlineStr">
        <is>
          <t>PERENCANAAN PEMBANGUNAN</t>
        </is>
      </c>
      <c r="H32" s="64" t="inlineStr">
        <is>
          <t>Instansi Pemerintah Lainnya</t>
        </is>
      </c>
      <c r="I32" s="64" t="inlineStr">
        <is>
          <t>Data Kebutuhan Aset</t>
        </is>
      </c>
      <c r="J32" s="64" t="inlineStr">
        <is>
          <t>Pengadaan Aset</t>
        </is>
      </c>
      <c r="K32" s="64" t="inlineStr">
        <is>
          <t>Terbatas</t>
        </is>
      </c>
      <c r="L32" s="64" t="inlineStr">
        <is>
          <t>Tidak terdapat</t>
        </is>
      </c>
      <c r="M32" s="64" t="inlineStr">
        <is>
          <t>Tahunan</t>
        </is>
      </c>
      <c r="N32" s="65" t="inlineStr">
        <is>
          <t>E-Planning BMD</t>
        </is>
      </c>
      <c r="O32" s="64" t="inlineStr">
        <is>
          <t>OPD</t>
        </is>
      </c>
      <c r="P32" s="64" t="inlineStr">
        <is>
          <t>Kab. Bandung</t>
        </is>
      </c>
      <c r="Q32" s="64" t="inlineStr">
        <is>
          <t>Website</t>
        </is>
      </c>
      <c r="R32" s="66" t="inlineStr">
        <is>
          <t>sshsbu.e-planningbmd.id</t>
        </is>
      </c>
      <c r="S32" s="64" t="inlineStr">
        <is>
          <t>Secara Online</t>
        </is>
      </c>
      <c r="T32" s="64" t="inlineStr">
        <is>
          <t>Informasi</t>
        </is>
      </c>
      <c r="U32" s="288" t="n"/>
      <c r="V32" s="64" t="inlineStr">
        <is>
          <t>Aktif</t>
        </is>
      </c>
      <c r="W32" s="64" t="inlineStr">
        <is>
          <t>Tidak</t>
        </is>
      </c>
      <c r="X32" s="64" t="inlineStr">
        <is>
          <t>Tidak Terintegrasi</t>
        </is>
      </c>
      <c r="Y32" s="64" t="inlineStr">
        <is>
          <t>Tidak Terintegrasi</t>
        </is>
      </c>
      <c r="Z32" s="64" t="inlineStr">
        <is>
          <t>Tidak Terintegrasi</t>
        </is>
      </c>
      <c r="AA32" s="64" t="inlineStr">
        <is>
          <t>Bagian Perencanaan dan Keuangan</t>
        </is>
      </c>
      <c r="AB32" s="64" t="inlineStr">
        <is>
          <t>BKAD</t>
        </is>
      </c>
      <c r="AC32" s="63" t="inlineStr">
        <is>
          <t>YATI KURNIATI, SE., M.K.P.</t>
        </is>
      </c>
      <c r="AD32" s="63" t="n">
        <v>81321814674</v>
      </c>
      <c r="AE32" s="63" t="inlineStr">
        <is>
          <t>bagianprogramsetdakab.bandung@gmail.com</t>
        </is>
      </c>
      <c r="AF32" s="67" t="inlineStr">
        <is>
          <t>-</t>
        </is>
      </c>
      <c r="AG32" s="68" t="inlineStr">
        <is>
          <t>Tahunan</t>
        </is>
      </c>
      <c r="AH32" s="284" t="n"/>
      <c r="AI32" s="284" t="n"/>
      <c r="AJ32" s="284" t="n"/>
      <c r="AK32" s="284" t="n"/>
      <c r="AL32" s="284" t="n"/>
      <c r="AM32" s="284" t="n"/>
      <c r="AN32" s="284" t="n"/>
      <c r="AO32" s="284" t="n"/>
      <c r="AP32" s="284" t="n"/>
      <c r="AQ32" s="284" t="n"/>
      <c r="AR32" s="284" t="n"/>
      <c r="AS32" s="284" t="n"/>
    </row>
    <row r="33">
      <c r="A33" s="62" t="n">
        <v>12</v>
      </c>
      <c r="B33" s="63" t="inlineStr">
        <is>
          <t>Layanan Statistik</t>
        </is>
      </c>
      <c r="C33" t="inlineStr">
        <is>
          <t>BAGIAN PERENCKEU</t>
        </is>
      </c>
      <c r="D33" s="63" t="inlineStr">
        <is>
          <t>Indonesia Data Hub merupakan one stop collaboration platform yang bertujuan untuk meningkatkan literasi data dan value of statistics serta mendukung interoperabilitas data dan kolaborasi eksplorasi terhadap data.</t>
        </is>
      </c>
      <c r="E33" s="63" t="inlineStr">
        <is>
          <t>Undang-Undang Nomor 16 Tahun 1997 tentang Statistik sebagai dasar umum, serta Peraturan Presiden Nomor 86 Tahun 2007 dan Peraturan Kepala Badan Pusat Statistik (BPS) Nomor 78 Tahun 2020 yang mengatur pelayanan statistik terpadu di tingkat pusat.</t>
        </is>
      </c>
      <c r="F33" s="288" t="n"/>
      <c r="G33" s="64" t="inlineStr">
        <is>
          <t>PENGELOLAAN DATA STATISTIK</t>
        </is>
      </c>
      <c r="H33" s="64" t="inlineStr">
        <is>
          <t>Instansi Pemerintah Lainnya</t>
        </is>
      </c>
      <c r="I33" s="64" t="inlineStr">
        <is>
          <t>Metadata dan Standar Data Statistik</t>
        </is>
      </c>
      <c r="J33" s="64" t="inlineStr">
        <is>
          <t>Metadata dan Standar Data Statistik</t>
        </is>
      </c>
      <c r="K33" s="64" t="inlineStr">
        <is>
          <t>Terbuka</t>
        </is>
      </c>
      <c r="L33" s="64" t="inlineStr">
        <is>
          <t>Tidak terdapat</t>
        </is>
      </c>
      <c r="M33" s="64" t="inlineStr">
        <is>
          <t>Lainnya</t>
        </is>
      </c>
      <c r="N33" s="65" t="inlineStr">
        <is>
          <t>INDAH</t>
        </is>
      </c>
      <c r="O33" s="64" t="inlineStr">
        <is>
          <t>Pusat</t>
        </is>
      </c>
      <c r="P33" s="64" t="inlineStr">
        <is>
          <t>Pusat</t>
        </is>
      </c>
      <c r="Q33" s="64" t="inlineStr">
        <is>
          <t>Website</t>
        </is>
      </c>
      <c r="R33" s="66" t="inlineStr">
        <is>
          <t>https://indah.bps.go.id/</t>
        </is>
      </c>
      <c r="S33" s="64" t="inlineStr">
        <is>
          <t>Secara Online</t>
        </is>
      </c>
      <c r="T33" s="64" t="inlineStr">
        <is>
          <t>Informasi</t>
        </is>
      </c>
      <c r="U33" s="64" t="n">
        <v>2019</v>
      </c>
      <c r="V33" s="64" t="inlineStr">
        <is>
          <t>Aktif</t>
        </is>
      </c>
      <c r="W33" s="64" t="inlineStr">
        <is>
          <t>Ya</t>
        </is>
      </c>
      <c r="X33" s="64" t="inlineStr">
        <is>
          <t>Terintegrasi dengan Aplikasi Romantik</t>
        </is>
      </c>
      <c r="Y33" s="64" t="inlineStr">
        <is>
          <t>Web Service</t>
        </is>
      </c>
      <c r="Z33" s="64" t="inlineStr">
        <is>
          <t>Realtime</t>
        </is>
      </c>
      <c r="AA33" s="64" t="inlineStr">
        <is>
          <t>Bagian Perencanaan dan Keuangan</t>
        </is>
      </c>
      <c r="AB33" s="64" t="inlineStr">
        <is>
          <t>Setda</t>
        </is>
      </c>
      <c r="AC33" s="63" t="inlineStr">
        <is>
          <t>DHANTI AURILIA PRATIWI, M.Stat</t>
        </is>
      </c>
      <c r="AD33" s="63" t="n">
        <v>81904085710</v>
      </c>
      <c r="AE33" s="63" t="inlineStr">
        <is>
          <t>setdakab.bdg@gmail.com</t>
        </is>
      </c>
      <c r="AF33" s="67" t="inlineStr">
        <is>
          <t>-</t>
        </is>
      </c>
      <c r="AG33" s="68" t="inlineStr">
        <is>
          <t>Tahunan</t>
        </is>
      </c>
      <c r="AH33" s="284" t="n"/>
      <c r="AI33" s="284" t="n"/>
      <c r="AJ33" s="284" t="n"/>
      <c r="AK33" s="284" t="n"/>
      <c r="AL33" s="284" t="n"/>
      <c r="AM33" s="284" t="n"/>
      <c r="AN33" s="284" t="n"/>
      <c r="AO33" s="284" t="n"/>
      <c r="AP33" s="284" t="n"/>
      <c r="AQ33" s="284" t="n"/>
      <c r="AR33" s="284" t="n"/>
      <c r="AS33" s="284" t="n"/>
    </row>
    <row r="34">
      <c r="A34" s="62" t="n">
        <v>13</v>
      </c>
      <c r="B34" s="63" t="inlineStr">
        <is>
          <t>Layanan Informasi Pengawasan SAKIP, SPIP, MR</t>
        </is>
      </c>
      <c r="C34" t="inlineStr">
        <is>
          <t>BAGIAN PERENCKEU</t>
        </is>
      </c>
      <c r="D34" s="63" t="inlineStr">
        <is>
          <t>Fungsinya adalah menyediakan data dan laporan pengawasan yang terintegrasi untuk mendukung perbaikan tata kelola, meningkatkan transparansi, mengurangi potensi penyimpangan, dan memperkuat pengambilan keputusan berbasis bukti dalam rangka mewujudkan pemerintahan yang efektif, efisien, dan akuntabel.</t>
        </is>
      </c>
      <c r="E34" s="63" t="inlineStr">
        <is>
          <t>Nomor 60 Tahun 2008 tentang Sistem Pengendalian Intern Pemerintah (SPIP), Peraturan Presiden (Perpres) Nomor 29 Tahun 2014 tentang Sistem Akuntabilitas Kinerja Instansi Pemerintah (SAKIP).</t>
        </is>
      </c>
      <c r="F34" s="288" t="n"/>
      <c r="G34" s="64" t="inlineStr">
        <is>
          <t>PENINGKATAN KUALITAS PELAYANAN PUBLIK</t>
        </is>
      </c>
      <c r="H34" s="64" t="inlineStr">
        <is>
          <t>Instansi Pemerintah Lainnya</t>
        </is>
      </c>
      <c r="I34" s="64" t="inlineStr">
        <is>
          <t>Data Evidence SAKIP, SPIP, MR</t>
        </is>
      </c>
      <c r="J34" s="64" t="inlineStr">
        <is>
          <t>Nilai SAKIP dan MR</t>
        </is>
      </c>
      <c r="K34" s="64" t="inlineStr">
        <is>
          <t>Terbatas</t>
        </is>
      </c>
      <c r="L34" s="64" t="inlineStr">
        <is>
          <t>Tidak terdapat</t>
        </is>
      </c>
      <c r="M34" s="64" t="inlineStr">
        <is>
          <t>Tahunan</t>
        </is>
      </c>
      <c r="N34" s="65" t="inlineStr">
        <is>
          <t>SIMWAS</t>
        </is>
      </c>
      <c r="O34" s="64" t="inlineStr">
        <is>
          <t>Pihak Ke 3</t>
        </is>
      </c>
      <c r="P34" s="64" t="inlineStr">
        <is>
          <t>Kab. Bandung</t>
        </is>
      </c>
      <c r="Q34" s="64" t="inlineStr">
        <is>
          <t>Website</t>
        </is>
      </c>
      <c r="R34" s="70" t="inlineStr">
        <is>
          <t>simwas.bandungkab.go.id</t>
        </is>
      </c>
      <c r="S34" s="64" t="inlineStr">
        <is>
          <t>Secara Online</t>
        </is>
      </c>
      <c r="T34" s="64" t="inlineStr">
        <is>
          <t>Transaksi</t>
        </is>
      </c>
      <c r="U34" s="64" t="n">
        <v>2022</v>
      </c>
      <c r="V34" s="64" t="inlineStr">
        <is>
          <t>Aktif</t>
        </is>
      </c>
      <c r="W34" s="64" t="inlineStr">
        <is>
          <t>Tidak</t>
        </is>
      </c>
      <c r="X34" s="64" t="inlineStr">
        <is>
          <t>Tidak Terintegrasi</t>
        </is>
      </c>
      <c r="Y34" s="64" t="inlineStr">
        <is>
          <t>Tidak Terintegrasi</t>
        </is>
      </c>
      <c r="Z34" s="64" t="inlineStr">
        <is>
          <t>Tidak Terintegrasi</t>
        </is>
      </c>
      <c r="AA34" s="64" t="inlineStr">
        <is>
          <t>Bagian Perencanaan dan Keuangan</t>
        </is>
      </c>
      <c r="AB34" s="64" t="inlineStr">
        <is>
          <t>Setda, Inspektorat</t>
        </is>
      </c>
      <c r="AC34" s="63" t="inlineStr">
        <is>
          <t>DEBI RIANA S.STP., M.Si.</t>
        </is>
      </c>
      <c r="AD34" s="63" t="n">
        <v>8127392553</v>
      </c>
      <c r="AE34" s="63" t="inlineStr">
        <is>
          <t>setdakab.bdg@gmail.com</t>
        </is>
      </c>
      <c r="AF34" s="67" t="inlineStr">
        <is>
          <t>mungkin berkaitan dengan 27</t>
        </is>
      </c>
      <c r="AG34" s="68" t="inlineStr">
        <is>
          <t>Tahunan</t>
        </is>
      </c>
      <c r="AH34" s="284" t="n"/>
      <c r="AI34" s="284" t="n"/>
      <c r="AJ34" s="284" t="n"/>
      <c r="AK34" s="284" t="n"/>
      <c r="AL34" s="284" t="n"/>
      <c r="AM34" s="284" t="n"/>
      <c r="AN34" s="284" t="n"/>
      <c r="AO34" s="284" t="n"/>
      <c r="AP34" s="284" t="n"/>
      <c r="AQ34" s="284" t="n"/>
      <c r="AR34" s="284" t="n"/>
      <c r="AS34" s="284" t="n"/>
    </row>
    <row r="35">
      <c r="A35" s="62" t="n">
        <v>14</v>
      </c>
      <c r="B35" s="63" t="inlineStr">
        <is>
          <t>Layanan Informasi Data, Pengendalian, Evaluasi, dan Pelaporan</t>
        </is>
      </c>
      <c r="C35" t="inlineStr">
        <is>
          <t>BAGIAN PERENCKEU</t>
        </is>
      </c>
      <c r="D35" s="63" t="inlineStr">
        <is>
          <t>Mencakup penyediaan dan pengelolaan data dan informasi pembangunan, pemantauan dan pengendalian pelaksanaan program/kegiatan, serta penyusunan laporan hasil evaluasi untuk mendukung perumusan kebijakan dan pengambilan keputusan. Layanan ini bertugas menganalisis data, mengoordinasikan evaluasi, dan menyusun pelaporan program pembangunan daerah.</t>
        </is>
      </c>
      <c r="E35" s="63" t="inlineStr">
        <is>
          <t>Undang-Undang Nomor 14 Tahun 2008 tentang Keterbukaan Informasi Publik, Undang-Undang Nomor 25 Tahun 2009 tentang Pelayanan Publik.</t>
        </is>
      </c>
      <c r="F35" s="288" t="n"/>
      <c r="G35" s="64" t="inlineStr">
        <is>
          <t>PENINGKATAN KUALITAS REFORMASI BIROKRASI, PENGAWASAN, DAN AKUNTABILITAS KINERJA</t>
        </is>
      </c>
      <c r="H35" s="64" t="inlineStr">
        <is>
          <t>Instansi Pemerintah Lainnya</t>
        </is>
      </c>
      <c r="I35" s="64" t="inlineStr">
        <is>
          <t>Data Kinerja dan Realisasi Anggaran</t>
        </is>
      </c>
      <c r="J35" s="64" t="inlineStr">
        <is>
          <t>Data Capaian Kinerja dan Realisasi Anggaran</t>
        </is>
      </c>
      <c r="K35" s="64" t="inlineStr">
        <is>
          <t>Terbatas</t>
        </is>
      </c>
      <c r="L35" s="64" t="inlineStr">
        <is>
          <t>Tidak terdapat</t>
        </is>
      </c>
      <c r="M35" s="64" t="inlineStr">
        <is>
          <t>Lainnya</t>
        </is>
      </c>
      <c r="N35" s="65" t="inlineStr">
        <is>
          <t>SIDALMONEP</t>
        </is>
      </c>
      <c r="O35" s="64" t="inlineStr">
        <is>
          <t>OPD</t>
        </is>
      </c>
      <c r="P35" s="64" t="inlineStr">
        <is>
          <t>Kab. Bandung</t>
        </is>
      </c>
      <c r="Q35" s="64" t="inlineStr">
        <is>
          <t>Website</t>
        </is>
      </c>
      <c r="R35" s="66" t="inlineStr">
        <is>
          <t>sidalmonep.bandungkab.go.id/</t>
        </is>
      </c>
      <c r="S35" s="64" t="inlineStr">
        <is>
          <t>Secara Online</t>
        </is>
      </c>
      <c r="T35" s="64" t="inlineStr">
        <is>
          <t>Informasi</t>
        </is>
      </c>
      <c r="U35" s="64" t="n">
        <v>2021</v>
      </c>
      <c r="V35" s="64" t="inlineStr">
        <is>
          <t>Aktif</t>
        </is>
      </c>
      <c r="W35" s="67" t="inlineStr">
        <is>
          <t>Tidak</t>
        </is>
      </c>
      <c r="X35" s="64" t="inlineStr">
        <is>
          <t>SIPD</t>
        </is>
      </c>
      <c r="Y35" s="64" t="inlineStr">
        <is>
          <t>API</t>
        </is>
      </c>
      <c r="Z35" s="64" t="inlineStr">
        <is>
          <t>Realtime</t>
        </is>
      </c>
      <c r="AA35" s="64" t="inlineStr">
        <is>
          <t>Bagian Perencanaan dan Keuangan</t>
        </is>
      </c>
      <c r="AB35" s="64" t="inlineStr">
        <is>
          <t>Setda, Bapperida</t>
        </is>
      </c>
      <c r="AC35" s="63" t="inlineStr">
        <is>
          <t>YATI KURNIATI, SE., M.K.P.</t>
        </is>
      </c>
      <c r="AD35" s="63" t="n">
        <v>81321814674</v>
      </c>
      <c r="AE35" s="63" t="inlineStr">
        <is>
          <t>bagianprogramsetdakab.bandung@gmail.com</t>
        </is>
      </c>
      <c r="AF35" s="67" t="inlineStr">
        <is>
          <t>-</t>
        </is>
      </c>
      <c r="AG35" s="68" t="inlineStr">
        <is>
          <t>Tahunan</t>
        </is>
      </c>
      <c r="AH35" s="284" t="n"/>
      <c r="AI35" s="284" t="n"/>
      <c r="AJ35" s="284" t="n"/>
      <c r="AK35" s="284" t="n"/>
      <c r="AL35" s="284" t="n"/>
      <c r="AM35" s="284" t="n"/>
      <c r="AN35" s="284" t="n"/>
      <c r="AO35" s="284" t="n"/>
      <c r="AP35" s="284" t="n"/>
      <c r="AQ35" s="284" t="n"/>
      <c r="AR35" s="284" t="n"/>
      <c r="AS35" s="284" t="n"/>
    </row>
    <row r="36">
      <c r="A36" s="71" t="inlineStr">
        <is>
          <t>BAGIAN UMUM</t>
        </is>
      </c>
      <c r="B36" s="58" t="n"/>
      <c r="D36" s="58" t="n"/>
      <c r="E36" s="58" t="n"/>
      <c r="F36" s="58" t="n"/>
      <c r="G36" s="58" t="n"/>
      <c r="H36" s="58" t="n"/>
      <c r="I36" s="58" t="n"/>
      <c r="J36" s="58" t="n"/>
      <c r="K36" s="58" t="n"/>
      <c r="L36" s="58" t="n"/>
      <c r="M36" s="58" t="n"/>
      <c r="N36" s="72" t="n"/>
      <c r="O36" s="58" t="n"/>
      <c r="P36" s="58" t="n"/>
      <c r="Q36" s="58" t="n"/>
      <c r="R36" s="58" t="n"/>
      <c r="S36" s="58" t="n"/>
      <c r="T36" s="58" t="n"/>
      <c r="U36" s="58" t="n"/>
      <c r="V36" s="58" t="n"/>
      <c r="W36" s="58" t="n"/>
      <c r="X36" s="58" t="n"/>
      <c r="Y36" s="58" t="n"/>
      <c r="Z36" s="58" t="n"/>
      <c r="AA36" s="58" t="n"/>
      <c r="AB36" s="58" t="n"/>
      <c r="AC36" s="58" t="n"/>
      <c r="AD36" s="58" t="n"/>
      <c r="AE36" s="58" t="n"/>
      <c r="AF36" s="288" t="n"/>
      <c r="AG36" s="288" t="n"/>
      <c r="AH36" s="284" t="n"/>
      <c r="AI36" s="284" t="n"/>
      <c r="AJ36" s="284" t="n"/>
      <c r="AK36" s="284" t="n"/>
      <c r="AL36" s="284" t="n"/>
      <c r="AM36" s="284" t="n"/>
      <c r="AN36" s="284" t="n"/>
      <c r="AO36" s="284" t="n"/>
      <c r="AP36" s="284" t="n"/>
      <c r="AQ36" s="284" t="n"/>
      <c r="AR36" s="284" t="n"/>
      <c r="AS36" s="284" t="n"/>
    </row>
    <row r="37">
      <c r="A37" s="73" t="n">
        <v>15</v>
      </c>
      <c r="B37" s="63" t="inlineStr">
        <is>
          <t>Layanan Pengelolaan Administrasi Kepegawaian</t>
        </is>
      </c>
      <c r="C37" t="inlineStr">
        <is>
          <t>BAGIAN UMUM</t>
        </is>
      </c>
      <c r="D37" s="67" t="inlineStr">
        <is>
          <t>mengelola administrasi, pengembangan, dan pelayanan pegawai secara efektif untuk mendukung kinerja Sekretariat Daerah. Fungsinya meliputi penyiapan bahan kebijakan, manajemen mutasi, kenaikan pangkat, pensiun, disiplin, hingga pengembangan kompetensi pegawai</t>
        </is>
      </c>
      <c r="E37" s="67" t="inlineStr">
        <is>
          <t>Undang-Undang Nomor 20 Tahun 2023 tentang Aparatur Sipil Negara</t>
        </is>
      </c>
      <c r="F37" s="288" t="n"/>
      <c r="G37" s="67" t="inlineStr">
        <is>
          <t>PENATAAN SUMBER DAYA MANUSIA APARATUR</t>
        </is>
      </c>
      <c r="H37" s="67" t="inlineStr">
        <is>
          <t>Pegawai</t>
        </is>
      </c>
      <c r="I37" s="67" t="inlineStr">
        <is>
          <t>Data Kepegawaian</t>
        </is>
      </c>
      <c r="J37" s="67" t="inlineStr">
        <is>
          <t>Data Kepegawaian</t>
        </is>
      </c>
      <c r="K37" s="67" t="inlineStr">
        <is>
          <t>Terbatas</t>
        </is>
      </c>
      <c r="L37" s="67" t="inlineStr">
        <is>
          <t>Terdapat</t>
        </is>
      </c>
      <c r="M37" s="67" t="inlineStr">
        <is>
          <t>Harian</t>
        </is>
      </c>
      <c r="N37" s="74" t="inlineStr">
        <is>
          <t>SIMPEL BKPSDM</t>
        </is>
      </c>
      <c r="O37" s="67" t="inlineStr">
        <is>
          <t>Diskominfo</t>
        </is>
      </c>
      <c r="P37" s="67" t="inlineStr">
        <is>
          <t>Kab. Bandung</t>
        </is>
      </c>
      <c r="Q37" s="67" t="inlineStr">
        <is>
          <t>Website</t>
        </is>
      </c>
      <c r="R37" s="75" t="inlineStr">
        <is>
          <t>https://simpelbkpsdm.bandungkab.go.id/</t>
        </is>
      </c>
      <c r="S37" s="67" t="inlineStr">
        <is>
          <t>Secara Online</t>
        </is>
      </c>
      <c r="T37" s="67" t="inlineStr">
        <is>
          <t>Informasi</t>
        </is>
      </c>
      <c r="U37" s="288" t="n"/>
      <c r="V37" s="67" t="inlineStr">
        <is>
          <t>Aktif</t>
        </is>
      </c>
      <c r="W37" s="67" t="inlineStr">
        <is>
          <t>Ya</t>
        </is>
      </c>
      <c r="X37" s="67" t="inlineStr">
        <is>
          <t>Terintegrasi</t>
        </is>
      </c>
      <c r="Y37" s="67" t="inlineStr">
        <is>
          <t>Database to Database</t>
        </is>
      </c>
      <c r="Z37" s="67" t="inlineStr">
        <is>
          <t>Realtime</t>
        </is>
      </c>
      <c r="AA37" s="67" t="inlineStr">
        <is>
          <t>Bagian Umum</t>
        </is>
      </c>
      <c r="AB37" s="67" t="inlineStr">
        <is>
          <t>Setda</t>
        </is>
      </c>
      <c r="AC37" s="67" t="inlineStr">
        <is>
          <t>Iman Herman Sudrajat, S.IP.</t>
        </is>
      </c>
      <c r="AD37" s="288" t="n"/>
      <c r="AE37" s="67" t="inlineStr">
        <is>
          <t>bag_umum@bandungkab.go.id</t>
        </is>
      </c>
      <c r="AF37" s="68" t="n">
        <v>28</v>
      </c>
      <c r="AG37" s="68" t="inlineStr">
        <is>
          <t>Harian</t>
        </is>
      </c>
      <c r="AH37" s="284" t="n"/>
      <c r="AI37" s="284" t="n"/>
      <c r="AJ37" s="284" t="n"/>
      <c r="AK37" s="284" t="n"/>
      <c r="AL37" s="284" t="n"/>
      <c r="AM37" s="284" t="n"/>
      <c r="AN37" s="284" t="n"/>
      <c r="AO37" s="284" t="n"/>
      <c r="AP37" s="284" t="n"/>
      <c r="AQ37" s="284" t="n"/>
      <c r="AR37" s="284" t="n"/>
      <c r="AS37" s="284" t="n"/>
    </row>
    <row r="38">
      <c r="A38" s="73" t="n">
        <v>16</v>
      </c>
      <c r="B38" s="63" t="inlineStr">
        <is>
          <t>Layanan Surat Masuk dan Penomoran Surat Keluar</t>
        </is>
      </c>
      <c r="C38" t="inlineStr">
        <is>
          <t>BAGIAN UMUM</t>
        </is>
      </c>
      <c r="D38" s="67" t="inlineStr">
        <is>
          <t>mengelola tata usaha, surat-menyurat, dan arsip secara tertib, aman, dan efisien. Fungsinya meliputi pengendalian naskah dinas masuk/keluar, penataan kearsipan, serta memfasilitasi administrasi pimpinan, staf ahli, dan perangkat daerah guna mendukung kelancaran kebijakan</t>
        </is>
      </c>
      <c r="E38" s="67" t="inlineStr">
        <is>
          <t>Peraturan Bupati (PERBUP) Nomor 82 Tahun 2024 tentang Pedoman Tata Naskah Dinas di Lingkungan Pemerintah Kabupaten Bandung.</t>
        </is>
      </c>
      <c r="F38" s="288" t="n"/>
      <c r="G38" s="67" t="inlineStr">
        <is>
          <t>PENINGKATAN KUALITAS PELAYANAN PUBLIK</t>
        </is>
      </c>
      <c r="H38" s="67" t="inlineStr">
        <is>
          <t>Instansi Pemerintah Lainnya</t>
        </is>
      </c>
      <c r="I38" s="67" t="inlineStr">
        <is>
          <t>Surat Masuk. Naskah Dinas</t>
        </is>
      </c>
      <c r="J38" s="67" t="inlineStr">
        <is>
          <t>Nomor Surat</t>
        </is>
      </c>
      <c r="K38" s="67" t="inlineStr">
        <is>
          <t>Terbatas</t>
        </is>
      </c>
      <c r="L38" s="67" t="inlineStr">
        <is>
          <t>Tidak terdapat</t>
        </is>
      </c>
      <c r="M38" s="67" t="inlineStr">
        <is>
          <t>Harian</t>
        </is>
      </c>
      <c r="N38" s="74" t="inlineStr">
        <is>
          <t>SULTAN (E-Office)</t>
        </is>
      </c>
      <c r="O38" s="67" t="inlineStr">
        <is>
          <t>Diskominfo</t>
        </is>
      </c>
      <c r="P38" s="67" t="inlineStr">
        <is>
          <t>Kab. Bandung</t>
        </is>
      </c>
      <c r="Q38" s="67" t="inlineStr">
        <is>
          <t>Website</t>
        </is>
      </c>
      <c r="R38" s="75" t="inlineStr">
        <is>
          <t>https://sultan.bandungkab.go.id/</t>
        </is>
      </c>
      <c r="S38" s="67" t="inlineStr">
        <is>
          <t>Secara Online</t>
        </is>
      </c>
      <c r="T38" s="67" t="inlineStr">
        <is>
          <t>Informasi</t>
        </is>
      </c>
      <c r="U38" s="288" t="n"/>
      <c r="V38" s="67" t="inlineStr">
        <is>
          <t>Aktif</t>
        </is>
      </c>
      <c r="W38" s="67" t="inlineStr">
        <is>
          <t>Ya</t>
        </is>
      </c>
      <c r="X38" s="67" t="inlineStr">
        <is>
          <t>Terintegrasi</t>
        </is>
      </c>
      <c r="Y38" s="67" t="inlineStr">
        <is>
          <t>Database to Database</t>
        </is>
      </c>
      <c r="Z38" s="67" t="inlineStr">
        <is>
          <t>Realtime</t>
        </is>
      </c>
      <c r="AA38" s="67" t="inlineStr">
        <is>
          <t>Bagian Umum</t>
        </is>
      </c>
      <c r="AB38" s="67" t="inlineStr">
        <is>
          <t>Setda</t>
        </is>
      </c>
      <c r="AC38" s="67" t="inlineStr">
        <is>
          <t>Iman Herman Sudrajat, S.IP.</t>
        </is>
      </c>
      <c r="AD38" s="288" t="n"/>
      <c r="AE38" s="67" t="inlineStr">
        <is>
          <t>bag_umum@bandungkab.go.id</t>
        </is>
      </c>
      <c r="AF38" s="68" t="n">
        <v>28</v>
      </c>
      <c r="AG38" s="68" t="inlineStr">
        <is>
          <t>Harian</t>
        </is>
      </c>
      <c r="AH38" s="284" t="n"/>
      <c r="AI38" s="284" t="n"/>
      <c r="AJ38" s="284" t="n"/>
      <c r="AK38" s="284" t="n"/>
      <c r="AL38" s="284" t="n"/>
      <c r="AM38" s="284" t="n"/>
      <c r="AN38" s="284" t="n"/>
      <c r="AO38" s="284" t="n"/>
      <c r="AP38" s="284" t="n"/>
      <c r="AQ38" s="284" t="n"/>
      <c r="AR38" s="284" t="n"/>
      <c r="AS38" s="284" t="n"/>
    </row>
    <row r="39">
      <c r="A39" s="73" t="n">
        <v>16</v>
      </c>
      <c r="B39" s="63" t="inlineStr">
        <is>
          <t>Layanan Piagam Penghargaan Bupati Bandung</t>
        </is>
      </c>
      <c r="C39" t="inlineStr">
        <is>
          <t>BAGIAN UMUM</t>
        </is>
      </c>
      <c r="D39" s="67" t="inlineStr">
        <is>
          <t>Layanan Fasilitasi Piagam Penghargaan Bupati berupa administrasi penerbitan, penyiapan naskah, dan pendokumentasian piagam penghargaan Bupati Bandung</t>
        </is>
      </c>
      <c r="E39" s="67" t="inlineStr">
        <is>
          <t>Peraturan Bupati (PERBUP) Nomor 82 Tahun 2024 tentang Pedoman Tata Naskah Dinas di Lingkungan Pemerintah Kabupaten Bandung.</t>
        </is>
      </c>
      <c r="F39" s="288" t="n"/>
      <c r="G39" s="67" t="inlineStr">
        <is>
          <t>PENINGKATAN KUALITAS PELAYANAN PUBLIK</t>
        </is>
      </c>
      <c r="H39" s="67" t="inlineStr">
        <is>
          <t>Instansi Pemerintah Lainnya</t>
        </is>
      </c>
      <c r="I39" s="67" t="inlineStr">
        <is>
          <t>Permohonan Piagam</t>
        </is>
      </c>
      <c r="J39" s="76" t="inlineStr">
        <is>
          <t>Naskah dan Dokumen Piagam</t>
        </is>
      </c>
      <c r="K39" s="67" t="inlineStr">
        <is>
          <t>Terbatas</t>
        </is>
      </c>
      <c r="L39" s="67" t="inlineStr">
        <is>
          <t>Tidak terdapat</t>
        </is>
      </c>
      <c r="M39" s="67" t="inlineStr">
        <is>
          <t>Lainnya</t>
        </is>
      </c>
      <c r="N39" s="74" t="inlineStr">
        <is>
          <t>Microsoft Excel</t>
        </is>
      </c>
      <c r="O39" s="67" t="inlineStr">
        <is>
          <t>OPD</t>
        </is>
      </c>
      <c r="P39" s="67" t="inlineStr">
        <is>
          <t>Kab. Bandung</t>
        </is>
      </c>
      <c r="Q39" s="67" t="inlineStr">
        <is>
          <t>Desktop</t>
        </is>
      </c>
      <c r="R39" s="67" t="inlineStr">
        <is>
          <t>-</t>
        </is>
      </c>
      <c r="S39" s="67" t="inlineStr">
        <is>
          <t>Secara Offline</t>
        </is>
      </c>
      <c r="T39" s="67" t="inlineStr">
        <is>
          <t>Informasi</t>
        </is>
      </c>
      <c r="U39" s="288" t="n"/>
      <c r="V39" s="67" t="inlineStr">
        <is>
          <t>Aktif</t>
        </is>
      </c>
      <c r="W39" s="67" t="inlineStr">
        <is>
          <t>Tidak</t>
        </is>
      </c>
      <c r="X39" s="64" t="inlineStr">
        <is>
          <t>Tidak Terintegrasi</t>
        </is>
      </c>
      <c r="Y39" s="67" t="inlineStr">
        <is>
          <t>Tidak Terintegrasi</t>
        </is>
      </c>
      <c r="Z39" s="67" t="inlineStr">
        <is>
          <t>Tidak Terintegrasi</t>
        </is>
      </c>
      <c r="AA39" s="67" t="inlineStr">
        <is>
          <t>Bagian Umum</t>
        </is>
      </c>
      <c r="AB39" s="67" t="inlineStr">
        <is>
          <t>Setda</t>
        </is>
      </c>
      <c r="AC39" s="67" t="inlineStr">
        <is>
          <t>Iman Herman Sudrajat, S.IP.</t>
        </is>
      </c>
      <c r="AD39" s="288" t="n"/>
      <c r="AE39" s="67" t="inlineStr">
        <is>
          <t>bag_umum@bandungkab.go.id</t>
        </is>
      </c>
      <c r="AF39" s="68" t="n">
        <v>28</v>
      </c>
      <c r="AG39" s="68" t="inlineStr">
        <is>
          <t>Harian</t>
        </is>
      </c>
      <c r="AH39" s="284" t="n"/>
      <c r="AI39" s="284" t="n"/>
      <c r="AJ39" s="284" t="n"/>
      <c r="AK39" s="284" t="n"/>
      <c r="AL39" s="284" t="n"/>
      <c r="AM39" s="284" t="n"/>
      <c r="AN39" s="284" t="n"/>
      <c r="AO39" s="284" t="n"/>
      <c r="AP39" s="284" t="n"/>
      <c r="AQ39" s="284" t="n"/>
      <c r="AR39" s="284" t="n"/>
      <c r="AS39" s="284" t="n"/>
    </row>
    <row r="40">
      <c r="A40" s="71" t="inlineStr">
        <is>
          <t>BAGIAN ORGANISASI</t>
        </is>
      </c>
      <c r="B40" s="58" t="n"/>
      <c r="D40" s="58" t="n"/>
      <c r="E40" s="58" t="n"/>
      <c r="F40" s="58" t="n"/>
      <c r="G40" s="58" t="n"/>
      <c r="H40" s="58" t="n"/>
      <c r="I40" s="58" t="n"/>
      <c r="J40" s="58" t="n"/>
      <c r="K40" s="58" t="n"/>
      <c r="L40" s="58" t="n"/>
      <c r="M40" s="58" t="n"/>
      <c r="N40" s="72" t="n"/>
      <c r="O40" s="58" t="n"/>
      <c r="P40" s="58" t="n"/>
      <c r="Q40" s="58" t="n"/>
      <c r="R40" s="58" t="n"/>
      <c r="S40" s="58" t="n"/>
      <c r="T40" s="58" t="n"/>
      <c r="U40" s="58" t="n"/>
      <c r="V40" s="58" t="n"/>
      <c r="W40" s="58" t="n"/>
      <c r="X40" s="58" t="n"/>
      <c r="Y40" s="58" t="n"/>
      <c r="Z40" s="58" t="n"/>
      <c r="AA40" s="58" t="n"/>
      <c r="AB40" s="58" t="n"/>
      <c r="AC40" s="58" t="n"/>
      <c r="AD40" s="58" t="n"/>
      <c r="AE40" s="58" t="n"/>
      <c r="AF40" s="288" t="n"/>
      <c r="AG40" s="288" t="n"/>
      <c r="AH40" s="284" t="n"/>
      <c r="AI40" s="284" t="n"/>
      <c r="AJ40" s="284" t="n"/>
      <c r="AK40" s="284" t="n"/>
      <c r="AL40" s="284" t="n"/>
      <c r="AM40" s="284" t="n"/>
      <c r="AN40" s="284" t="n"/>
      <c r="AO40" s="284" t="n"/>
      <c r="AP40" s="284" t="n"/>
      <c r="AQ40" s="284" t="n"/>
      <c r="AR40" s="284" t="n"/>
      <c r="AS40" s="284" t="n"/>
    </row>
    <row r="41">
      <c r="A41" s="73" t="n">
        <v>17</v>
      </c>
      <c r="B41" s="63" t="inlineStr">
        <is>
          <t>Layanan Informasi Akuntabilitas Kinerja</t>
        </is>
      </c>
      <c r="C41" t="inlineStr">
        <is>
          <t>BAGIAN ORGANISASI</t>
        </is>
      </c>
      <c r="D41" s="63" t="inlineStr">
        <is>
          <t>Layanan Sistem Informasi Akuntabilitas Kinerja adalah sebuah sistem elektronik yang digunakan oleh instansi pemerintah untuk mengelola, mengukur, dan melaporkan kinerja secara terukur dan transparan. Sistem ini bertujuan untuk mewujudkan pemerintahan yang akuntabel, efektif, dan efisien, serta memberikan pertanggungjawaban atas penggunaan anggaran dan pencapaian tujuan organisasi kepada masyarakat.</t>
        </is>
      </c>
      <c r="E41" s="63" t="inlineStr">
        <is>
          <t>Peraturan Presiden Nomor 29 Tahun 2014 tentang Sistem Akuntabilitas Kinerja Instansi Pemerintah, serta peraturan pelaksanaannya seperti Peraturan Menteri Pendayagunaan Aparatur Negara dan Reformasi Birokrasi Nomor 88 Tahun 2021 tentang Evaluasi Akuntabilitas Kinerja Instansi Pemerintah</t>
        </is>
      </c>
      <c r="F41" s="288" t="n"/>
      <c r="G41" s="64" t="inlineStr">
        <is>
          <t>PENINGKATAN KUALITAS REFORMASI BIROKRASI, PENGAWASAN, DAN AKUNTABILITAS KINERJA</t>
        </is>
      </c>
      <c r="H41" s="64" t="inlineStr">
        <is>
          <t>Instansi Pemerintah Lainnya</t>
        </is>
      </c>
      <c r="I41" s="64" t="inlineStr">
        <is>
          <t>Data Akuntabilitas Kinerja</t>
        </is>
      </c>
      <c r="J41" s="64" t="inlineStr">
        <is>
          <t>Data Akuntabilitas Kinerja</t>
        </is>
      </c>
      <c r="K41" s="64" t="inlineStr">
        <is>
          <t>Terbatas</t>
        </is>
      </c>
      <c r="L41" s="64" t="inlineStr">
        <is>
          <t>Tidak terdapat</t>
        </is>
      </c>
      <c r="M41" s="64" t="inlineStr">
        <is>
          <t>Tahunan</t>
        </is>
      </c>
      <c r="N41" s="65" t="inlineStr">
        <is>
          <t>SIAKANG</t>
        </is>
      </c>
      <c r="O41" s="64" t="inlineStr">
        <is>
          <t>OPD</t>
        </is>
      </c>
      <c r="P41" s="64" t="inlineStr">
        <is>
          <t>Kab. Bandung</t>
        </is>
      </c>
      <c r="Q41" s="64" t="inlineStr">
        <is>
          <t>Website dan Mobile</t>
        </is>
      </c>
      <c r="R41" s="66" t="inlineStr">
        <is>
          <t>siakang.bandungkab.go.id</t>
        </is>
      </c>
      <c r="S41" s="64" t="inlineStr">
        <is>
          <t>Secara Online</t>
        </is>
      </c>
      <c r="T41" s="64" t="inlineStr">
        <is>
          <t>Informasi</t>
        </is>
      </c>
      <c r="U41" s="64" t="n">
        <v>2023</v>
      </c>
      <c r="V41" s="64" t="inlineStr">
        <is>
          <t>Aktif</t>
        </is>
      </c>
      <c r="W41" s="64" t="inlineStr">
        <is>
          <t>Tidak</t>
        </is>
      </c>
      <c r="X41" s="64" t="inlineStr">
        <is>
          <t>Tidak Terintegrasi</t>
        </is>
      </c>
      <c r="Y41" s="64" t="inlineStr">
        <is>
          <t>Tidak Terintegrasi</t>
        </is>
      </c>
      <c r="Z41" s="64" t="inlineStr">
        <is>
          <t>Tidak Terintegrasi</t>
        </is>
      </c>
      <c r="AA41" s="64" t="inlineStr">
        <is>
          <t>Bagian Organisasi</t>
        </is>
      </c>
      <c r="AB41" s="64" t="inlineStr">
        <is>
          <t>Setda</t>
        </is>
      </c>
      <c r="AC41" s="66" t="inlineStr">
        <is>
          <t>IRMA PURNAMA, S.STP, M.Tr.A.P</t>
        </is>
      </c>
      <c r="AD41" s="63" t="n">
        <v>85218888714</v>
      </c>
      <c r="AE41" s="63" t="inlineStr">
        <is>
          <t>setdakab.bdg@gmail.com</t>
        </is>
      </c>
      <c r="AF41" s="288" t="n"/>
      <c r="AG41" s="288" t="n"/>
      <c r="AH41" s="284" t="n"/>
      <c r="AI41" s="284" t="n"/>
      <c r="AJ41" s="284" t="n"/>
      <c r="AK41" s="284" t="n"/>
      <c r="AL41" s="284" t="n"/>
      <c r="AM41" s="284" t="n"/>
      <c r="AN41" s="284" t="n"/>
      <c r="AO41" s="284" t="n"/>
      <c r="AP41" s="284" t="n"/>
      <c r="AQ41" s="284" t="n"/>
      <c r="AR41" s="284" t="n"/>
      <c r="AS41" s="284" t="n"/>
    </row>
    <row r="42">
      <c r="A42" s="62" t="n">
        <v>18</v>
      </c>
      <c r="B42" s="63" t="inlineStr">
        <is>
          <t>Layanan Reformasi Birokrasi</t>
        </is>
      </c>
      <c r="C42" t="inlineStr">
        <is>
          <t>BAGIAN ORGANISASI</t>
        </is>
      </c>
      <c r="D42" s="63" t="inlineStr">
        <is>
          <t>Fungsi utama layanan Reformasi Birokrasi (RB) di Kabupaten Bandung adalah meningkatkan birokrasi yang bersih dan akuntabel, pelayanan publik yang prima, serta efektivitas kelembagaan agar menjadi organisasi yang adaptif, inovatif, dan berintegritas tinggi dalam melayani masyarakat. Tujuannya adalah menciptakan aparatur negara yang profesional, profesional, dan sejahtera, yang bekerja dengan integritas tinggi untuk memberikan pelayanan terbaik kepada masyarakat.</t>
        </is>
      </c>
      <c r="E42" s="63" t="inlineStr">
        <is>
          <t>Perpres No. 81 Tahun 2010 tentang Grand Design RB, Perbup No. 286 Tahun 2022 tentang Roadmap Reformasi Birokrasi Kabupaten Bandung.</t>
        </is>
      </c>
      <c r="F42" s="288" t="n"/>
      <c r="G42" s="64" t="inlineStr">
        <is>
          <t>PROTOKOL DAN KONSULER</t>
        </is>
      </c>
      <c r="H42" s="64" t="inlineStr">
        <is>
          <t>Instansi Pemerintah Lainnya</t>
        </is>
      </c>
      <c r="I42" s="64" t="inlineStr">
        <is>
          <t>Data Capaian dan Evidence setiap Indikator RB</t>
        </is>
      </c>
      <c r="J42" s="64" t="inlineStr">
        <is>
          <t>Indeks Reformasi Birokrasi (IRB)</t>
        </is>
      </c>
      <c r="K42" s="64" t="inlineStr">
        <is>
          <t>Terbatas</t>
        </is>
      </c>
      <c r="L42" s="64" t="inlineStr">
        <is>
          <t>Tidak terdapat</t>
        </is>
      </c>
      <c r="M42" s="64" t="inlineStr">
        <is>
          <t>Tahunan</t>
        </is>
      </c>
      <c r="N42" s="65" t="inlineStr">
        <is>
          <t>SURABI</t>
        </is>
      </c>
      <c r="O42" s="64" t="inlineStr">
        <is>
          <t>Provinsi</t>
        </is>
      </c>
      <c r="P42" s="64" t="inlineStr">
        <is>
          <t>Provinsi</t>
        </is>
      </c>
      <c r="Q42" s="64" t="inlineStr">
        <is>
          <t>Website dan Mobile</t>
        </is>
      </c>
      <c r="R42" s="66" t="inlineStr">
        <is>
          <t>https://surabi.jabarprov.go.id/</t>
        </is>
      </c>
      <c r="S42" s="64" t="inlineStr">
        <is>
          <t>Secara Online</t>
        </is>
      </c>
      <c r="T42" s="64" t="inlineStr">
        <is>
          <t>Informasi</t>
        </is>
      </c>
      <c r="U42" s="64" t="n">
        <v>2023</v>
      </c>
      <c r="V42" s="64" t="inlineStr">
        <is>
          <t>Aktif</t>
        </is>
      </c>
      <c r="W42" s="64" t="inlineStr">
        <is>
          <t>Tidak</t>
        </is>
      </c>
      <c r="X42" s="64" t="inlineStr">
        <is>
          <t>Tidak Terintegrasi</t>
        </is>
      </c>
      <c r="Y42" s="64" t="inlineStr">
        <is>
          <t>Tidak Terintegrasi</t>
        </is>
      </c>
      <c r="Z42" s="64" t="inlineStr">
        <is>
          <t>Tidak Terintegrasi</t>
        </is>
      </c>
      <c r="AA42" s="64" t="inlineStr">
        <is>
          <t>Bagian Organisasi</t>
        </is>
      </c>
      <c r="AB42" s="64" t="inlineStr">
        <is>
          <t>Setda</t>
        </is>
      </c>
      <c r="AC42" s="66" t="inlineStr">
        <is>
          <t>IRMA PURNAMA, S.STP, M.Tr.A.P</t>
        </is>
      </c>
      <c r="AD42" s="63" t="n">
        <v>85218888714</v>
      </c>
      <c r="AE42" s="63" t="inlineStr">
        <is>
          <t>setdakab.bdg@gmail.com</t>
        </is>
      </c>
      <c r="AF42" s="288" t="n"/>
      <c r="AG42" s="288" t="n"/>
      <c r="AH42" s="284" t="n"/>
      <c r="AI42" s="284" t="n"/>
      <c r="AJ42" s="284" t="n"/>
      <c r="AK42" s="284" t="n"/>
      <c r="AL42" s="284" t="n"/>
      <c r="AM42" s="284" t="n"/>
      <c r="AN42" s="284" t="n"/>
      <c r="AO42" s="284" t="n"/>
      <c r="AP42" s="284" t="n"/>
      <c r="AQ42" s="284" t="n"/>
      <c r="AR42" s="284" t="n"/>
      <c r="AS42" s="284" t="n"/>
    </row>
    <row r="43">
      <c r="A43" s="62" t="n">
        <v>19</v>
      </c>
      <c r="B43" s="63" t="inlineStr">
        <is>
          <t>Layanan Survey Kepuasan Masyarakat</t>
        </is>
      </c>
      <c r="C43" t="inlineStr">
        <is>
          <t>BAGIAN ORGANISASI</t>
        </is>
      </c>
      <c r="D43" s="63" t="inlineStr">
        <is>
          <t>Fungsi utama layanan Survey Kepuasan Masyarakat (SKM) di Kabupaten Bandung adalah mengukur tingkat kepuasan masyarakat terhadap kualitas layanan publik yang diberikan oleh instansi pemerintah daerah, guna mengidentifikasi kelemahan dan kekurangan untuk selanjutnya menetapkan kebijakan dan tindakan perbaikan yang bertujuan meningkatkan kualitas pelayanan di masa mendatang.</t>
        </is>
      </c>
      <c r="E43" s="63" t="inlineStr">
        <is>
          <t>Undang-Undang Nomor 25 Tahun 2009 tentang Pelayanan Publik dan Peraturan Menteri Pendayagunaan Aparatur Negara dan Reformasi Birokrasi (PermenPAN-RB) Nomor 14 Tahun 2017 tentang Pedoman Penyusunan Survei Kepuasan Masyarakat Unit Penyelenggara Pelayanan Publik.</t>
        </is>
      </c>
      <c r="F43" s="288" t="n"/>
      <c r="G43" s="64" t="inlineStr">
        <is>
          <t>PENINGKATAN KUALITAS PELAYANAN PUBLIK</t>
        </is>
      </c>
      <c r="H43" s="64" t="inlineStr">
        <is>
          <t>Masyarakat</t>
        </is>
      </c>
      <c r="I43" s="64" t="inlineStr">
        <is>
          <t>Hasil Survei Kepuasan Masyarakat</t>
        </is>
      </c>
      <c r="J43" s="64" t="inlineStr">
        <is>
          <t>Nilai Survei Kepuasan Masyarakat</t>
        </is>
      </c>
      <c r="K43" s="64" t="inlineStr">
        <is>
          <t>Terbatas</t>
        </is>
      </c>
      <c r="L43" s="64" t="inlineStr">
        <is>
          <t>Terdapat</t>
        </is>
      </c>
      <c r="M43" s="64" t="inlineStr">
        <is>
          <t>Lainnya</t>
        </is>
      </c>
      <c r="N43" s="65" t="inlineStr">
        <is>
          <t>E-SKM</t>
        </is>
      </c>
      <c r="O43" s="64" t="inlineStr">
        <is>
          <t>Diskominfo</t>
        </is>
      </c>
      <c r="P43" s="64" t="inlineStr">
        <is>
          <t>Kab. Bandung</t>
        </is>
      </c>
      <c r="Q43" s="64" t="inlineStr">
        <is>
          <t>Website dan Mobile</t>
        </is>
      </c>
      <c r="R43" s="66" t="inlineStr">
        <is>
          <t>https://skm.bandungkab.go.id/</t>
        </is>
      </c>
      <c r="S43" s="64" t="inlineStr">
        <is>
          <t>Secara Online</t>
        </is>
      </c>
      <c r="T43" s="64" t="inlineStr">
        <is>
          <t>Informasi</t>
        </is>
      </c>
      <c r="U43" s="64" t="n">
        <v>2021</v>
      </c>
      <c r="V43" s="64" t="inlineStr">
        <is>
          <t>Aktif</t>
        </is>
      </c>
      <c r="W43" s="64" t="inlineStr">
        <is>
          <t>Tidak</t>
        </is>
      </c>
      <c r="X43" s="64" t="inlineStr">
        <is>
          <t>Tidak Terintegrasi</t>
        </is>
      </c>
      <c r="Y43" s="64" t="inlineStr">
        <is>
          <t>Tidak Terintegrasi</t>
        </is>
      </c>
      <c r="Z43" s="64" t="inlineStr">
        <is>
          <t>Tidak Terintegrasi</t>
        </is>
      </c>
      <c r="AA43" s="64" t="inlineStr">
        <is>
          <t>Bagian Organisasi</t>
        </is>
      </c>
      <c r="AB43" s="64" t="inlineStr">
        <is>
          <t>Setda</t>
        </is>
      </c>
      <c r="AC43" s="63" t="inlineStr">
        <is>
          <t>RAFSANJANI M. AMIN, S.STP</t>
        </is>
      </c>
      <c r="AD43" s="63" t="n">
        <v>82190093518</v>
      </c>
      <c r="AE43" s="63" t="inlineStr">
        <is>
          <t>setdakab.bdg@gmail.com</t>
        </is>
      </c>
      <c r="AF43" s="288" t="n"/>
      <c r="AG43" s="288" t="n"/>
      <c r="AH43" s="284" t="n"/>
      <c r="AI43" s="284" t="n"/>
      <c r="AJ43" s="284" t="n"/>
      <c r="AK43" s="284" t="n"/>
      <c r="AL43" s="284" t="n"/>
      <c r="AM43" s="284" t="n"/>
      <c r="AN43" s="284" t="n"/>
      <c r="AO43" s="284" t="n"/>
      <c r="AP43" s="284" t="n"/>
      <c r="AQ43" s="284" t="n"/>
      <c r="AR43" s="284" t="n"/>
      <c r="AS43" s="284" t="n"/>
    </row>
    <row r="44">
      <c r="A44" s="62" t="n">
        <v>20</v>
      </c>
      <c r="B44" s="63" t="inlineStr">
        <is>
          <t>Layanan Tambahan Penghasilan ASN</t>
        </is>
      </c>
      <c r="C44" t="inlineStr">
        <is>
          <t>BAGIAN ORGANISASI</t>
        </is>
      </c>
      <c r="D44" s="63" t="inlineStr">
        <is>
          <t>Tujuannya untuk menyusun Kepbup besaran TPP-ASN dan Memberi kemudahan dalam penyusunan TPP-ASN dan mengontrol realisasi TPP setiap Perangkat Daerah</t>
        </is>
      </c>
      <c r="E44" s="63" t="inlineStr">
        <is>
          <t>Pasal 58-PP 12/2019 Tentang PENGELOLAAN KEUANGAN DAERAH,
 Permendagri 14/2025 Tentang PEDOMAN PENYUSUNAN ANGGARAN PENDAPATAN DAN BELANJA DAERAH TAHUN ANGGARAN 2026
 Kepmendagri 900.1.3.2-1287 Tahun 2024 Tentang Tata Cara Persetujuan Menteri Dalam Negeri Terhadap Pemberian Tambahan Penghasilan Pegawai Aparatur Sipil Negara di Pemerintah Daerah</t>
        </is>
      </c>
      <c r="F44" s="288" t="n"/>
      <c r="G44" s="64" t="inlineStr">
        <is>
          <t>PENINGKATAN KUALITAS REFORMASI BIROKRASI, PENGAWASAN, DAN AKUNTABILITAS KINERJA</t>
        </is>
      </c>
      <c r="H44" s="64" t="inlineStr">
        <is>
          <t>Pegawai</t>
        </is>
      </c>
      <c r="I44" s="64" t="inlineStr">
        <is>
          <t>Data Jabatan, Jumlah Pegawai dan Pagu Anggaran</t>
        </is>
      </c>
      <c r="J44" s="64" t="inlineStr">
        <is>
          <t>Keputusan Bupati Tentang Besaran TPP-ASN</t>
        </is>
      </c>
      <c r="K44" s="64" t="inlineStr">
        <is>
          <t>Terbatas</t>
        </is>
      </c>
      <c r="L44" s="64" t="inlineStr">
        <is>
          <t>Terdapat</t>
        </is>
      </c>
      <c r="M44" s="64" t="inlineStr">
        <is>
          <t>Bulanan</t>
        </is>
      </c>
      <c r="N44" s="65" t="inlineStr">
        <is>
          <t>SITAMPAN</t>
        </is>
      </c>
      <c r="O44" s="64" t="inlineStr">
        <is>
          <t>Pihak Ke 3</t>
        </is>
      </c>
      <c r="P44" s="64" t="inlineStr">
        <is>
          <t>Kab. Bandung</t>
        </is>
      </c>
      <c r="Q44" s="64" t="inlineStr">
        <is>
          <t>Website dan Mobile</t>
        </is>
      </c>
      <c r="R44" s="66" t="inlineStr">
        <is>
          <t>https://sitampan-insaba.web.app/</t>
        </is>
      </c>
      <c r="S44" s="64" t="inlineStr">
        <is>
          <t>Secara Online</t>
        </is>
      </c>
      <c r="T44" s="64" t="inlineStr">
        <is>
          <t>Transaksi</t>
        </is>
      </c>
      <c r="U44" s="64" t="n">
        <v>2025</v>
      </c>
      <c r="V44" s="64" t="inlineStr">
        <is>
          <t>Aktif</t>
        </is>
      </c>
      <c r="W44" s="64" t="inlineStr">
        <is>
          <t>Tidak</t>
        </is>
      </c>
      <c r="X44" s="64" t="inlineStr">
        <is>
          <t>Belum Terintegrasi</t>
        </is>
      </c>
      <c r="Y44" s="64" t="inlineStr">
        <is>
          <t>Tidak Terintegrasi</t>
        </is>
      </c>
      <c r="Z44" s="64" t="inlineStr">
        <is>
          <t>Realtime</t>
        </is>
      </c>
      <c r="AA44" s="64" t="inlineStr">
        <is>
          <t>Bagian Organisasi</t>
        </is>
      </c>
      <c r="AB44" s="64" t="inlineStr">
        <is>
          <t>Setda</t>
        </is>
      </c>
      <c r="AC44" s="66" t="inlineStr">
        <is>
          <t>IRMA PURNAMA, S.STP, M.Tr.A.P</t>
        </is>
      </c>
      <c r="AD44" s="63" t="n">
        <v>85218888714</v>
      </c>
      <c r="AE44" s="63" t="inlineStr">
        <is>
          <t>setdakab.bdg@gmail.com</t>
        </is>
      </c>
      <c r="AF44" s="288" t="n"/>
      <c r="AG44" s="288" t="n"/>
      <c r="AH44" s="284" t="n"/>
      <c r="AI44" s="284" t="n"/>
      <c r="AJ44" s="284" t="n"/>
      <c r="AK44" s="284" t="n"/>
      <c r="AL44" s="284" t="n"/>
      <c r="AM44" s="284" t="n"/>
      <c r="AN44" s="284" t="n"/>
      <c r="AO44" s="284" t="n"/>
      <c r="AP44" s="284" t="n"/>
      <c r="AQ44" s="284" t="n"/>
      <c r="AR44" s="284" t="n"/>
      <c r="AS44" s="284" t="n"/>
    </row>
    <row r="45">
      <c r="A45" s="71" t="inlineStr">
        <is>
          <t>BAGIAN PROKOPIM</t>
        </is>
      </c>
      <c r="B45" s="58" t="n"/>
      <c r="D45" s="58" t="n"/>
      <c r="E45" s="58" t="n"/>
      <c r="F45" s="58" t="n"/>
      <c r="G45" s="58" t="n"/>
      <c r="H45" s="58" t="n"/>
      <c r="I45" s="58" t="n"/>
      <c r="J45" s="58" t="n"/>
      <c r="K45" s="58" t="n"/>
      <c r="L45" s="58" t="n"/>
      <c r="M45" s="58" t="n"/>
      <c r="N45" s="72" t="n"/>
      <c r="O45" s="58" t="n"/>
      <c r="P45" s="58" t="n"/>
      <c r="Q45" s="58" t="n"/>
      <c r="R45" s="58" t="n"/>
      <c r="S45" s="58" t="n"/>
      <c r="T45" s="58" t="n"/>
      <c r="U45" s="58" t="n"/>
      <c r="V45" s="58" t="n"/>
      <c r="W45" s="58" t="n"/>
      <c r="X45" s="58" t="n"/>
      <c r="Y45" s="58" t="n"/>
      <c r="Z45" s="58" t="n"/>
      <c r="AA45" s="58" t="n"/>
      <c r="AB45" s="58" t="n"/>
      <c r="AC45" s="58" t="n"/>
      <c r="AD45" s="58" t="n"/>
      <c r="AE45" s="58" t="n"/>
      <c r="AF45" s="288" t="n"/>
      <c r="AG45" s="288" t="n"/>
      <c r="AH45" s="284" t="n"/>
      <c r="AI45" s="284" t="n"/>
      <c r="AJ45" s="284" t="n"/>
      <c r="AK45" s="284" t="n"/>
      <c r="AL45" s="284" t="n"/>
      <c r="AM45" s="284" t="n"/>
      <c r="AN45" s="284" t="n"/>
      <c r="AO45" s="284" t="n"/>
      <c r="AP45" s="284" t="n"/>
      <c r="AQ45" s="284" t="n"/>
      <c r="AR45" s="284" t="n"/>
      <c r="AS45" s="284" t="n"/>
    </row>
    <row r="46">
      <c r="A46" s="73" t="n">
        <v>20</v>
      </c>
      <c r="B46" s="63" t="inlineStr">
        <is>
          <t>Layanan Informasi Agenda Pimpinan</t>
        </is>
      </c>
      <c r="C46" t="inlineStr">
        <is>
          <t>BAGIAN PROKOPIM</t>
        </is>
      </c>
      <c r="D46" s="63" t="inlineStr">
        <is>
          <t>Fungsi Utama layanan agenda pimpinan adalah agar PD dan ASN di pemerintah kabupaten bandung dapat dengan mudah melihat detail jadwal Bapak Bupati dan mengajukan permohonan untuk mengundang Bapak Bupati</t>
        </is>
      </c>
      <c r="E46" s="288" t="n"/>
      <c r="F46" s="288" t="n"/>
      <c r="G46" s="64" t="inlineStr">
        <is>
          <t>PENINGKATAN KUALITAS PELAYANAN PUBLIK</t>
        </is>
      </c>
      <c r="H46" s="64" t="inlineStr">
        <is>
          <t>Pegawai</t>
        </is>
      </c>
      <c r="I46" s="64" t="inlineStr">
        <is>
          <t>Data Pengajuan Agenda</t>
        </is>
      </c>
      <c r="J46" s="64" t="inlineStr">
        <is>
          <t>Data Agenda Pimpinan</t>
        </is>
      </c>
      <c r="K46" s="64" t="inlineStr">
        <is>
          <t>Terbatas</t>
        </is>
      </c>
      <c r="L46" s="64" t="inlineStr">
        <is>
          <t>Tidak terdapat</t>
        </is>
      </c>
      <c r="M46" s="64" t="inlineStr">
        <is>
          <t>Harian</t>
        </is>
      </c>
      <c r="N46" s="65" t="inlineStr">
        <is>
          <t>SIAGAN BEDAS</t>
        </is>
      </c>
      <c r="O46" s="64" t="inlineStr">
        <is>
          <t>Diskominfo</t>
        </is>
      </c>
      <c r="P46" s="64" t="inlineStr">
        <is>
          <t>Kab. Bandung</t>
        </is>
      </c>
      <c r="Q46" s="64" t="inlineStr">
        <is>
          <t>Website dan Mobile</t>
        </is>
      </c>
      <c r="R46" s="66" t="inlineStr">
        <is>
          <t>https://play.google.com/store/apps/details?id=com.diskominfo.siagan_bedas&amp;hl=id</t>
        </is>
      </c>
      <c r="S46" s="64" t="inlineStr">
        <is>
          <t>Secara Online</t>
        </is>
      </c>
      <c r="T46" s="64" t="inlineStr">
        <is>
          <t>Informasi</t>
        </is>
      </c>
      <c r="U46" s="77" t="n">
        <v>2023</v>
      </c>
      <c r="V46" s="64" t="inlineStr">
        <is>
          <t>Aktif</t>
        </is>
      </c>
      <c r="W46" s="64" t="inlineStr">
        <is>
          <t>Tidak</t>
        </is>
      </c>
      <c r="X46" s="64" t="inlineStr">
        <is>
          <t>Tidak Terintegrasi</t>
        </is>
      </c>
      <c r="Y46" s="64" t="inlineStr">
        <is>
          <t>Tidak Terintegrasi</t>
        </is>
      </c>
      <c r="Z46" s="64" t="inlineStr">
        <is>
          <t>Tidak Terintegrasi</t>
        </is>
      </c>
      <c r="AA46" s="64" t="inlineStr">
        <is>
          <t>Bagian Prokopim</t>
        </is>
      </c>
      <c r="AB46" s="64" t="inlineStr">
        <is>
          <t>Setda</t>
        </is>
      </c>
      <c r="AC46" s="67" t="inlineStr">
        <is>
          <t>Ira</t>
        </is>
      </c>
      <c r="AD46" s="77" t="n">
        <v>85294019899</v>
      </c>
      <c r="AE46" s="67" t="inlineStr">
        <is>
          <t>-</t>
        </is>
      </c>
      <c r="AF46" s="67" t="inlineStr">
        <is>
          <t>-</t>
        </is>
      </c>
      <c r="AG46" s="68" t="inlineStr">
        <is>
          <t>Harian</t>
        </is>
      </c>
      <c r="AH46" s="284" t="n"/>
      <c r="AI46" s="284" t="n"/>
      <c r="AJ46" s="284" t="n"/>
      <c r="AK46" s="284" t="n"/>
      <c r="AL46" s="284" t="n"/>
      <c r="AM46" s="284" t="n"/>
      <c r="AN46" s="284" t="n"/>
      <c r="AO46" s="284" t="n"/>
      <c r="AP46" s="284" t="n"/>
      <c r="AQ46" s="284" t="n"/>
      <c r="AR46" s="284" t="n"/>
      <c r="AS46" s="284" t="n"/>
    </row>
    <row r="47">
      <c r="A47" s="73" t="n">
        <v>21</v>
      </c>
      <c r="B47" s="63" t="inlineStr">
        <is>
          <t>Analisi Media Monitoring</t>
        </is>
      </c>
      <c r="C47" t="inlineStr">
        <is>
          <t>BAGIAN PROKOPIM</t>
        </is>
      </c>
      <c r="D47" s="288" t="n"/>
      <c r="E47" s="288" t="n"/>
      <c r="F47" s="288" t="n"/>
      <c r="G47" s="64" t="inlineStr">
        <is>
          <t>INFORMASI DAN DIPLOMASI PUBLIK</t>
        </is>
      </c>
      <c r="H47" s="64" t="inlineStr">
        <is>
          <t>Pelaku Bisnis</t>
        </is>
      </c>
      <c r="I47" s="64" t="inlineStr">
        <is>
          <t>Data berita dan sosial media</t>
        </is>
      </c>
      <c r="J47" s="64" t="inlineStr">
        <is>
          <t>Statistik Data berita &amp; sosial medi</t>
        </is>
      </c>
      <c r="K47" s="64" t="inlineStr">
        <is>
          <t>Rahasia</t>
        </is>
      </c>
      <c r="L47" s="64" t="inlineStr">
        <is>
          <t>Tidak terdapat</t>
        </is>
      </c>
      <c r="M47" s="64" t="inlineStr">
        <is>
          <t>Harian</t>
        </is>
      </c>
      <c r="N47" s="65" t="inlineStr">
        <is>
          <t>SIMANIS</t>
        </is>
      </c>
      <c r="O47" s="64" t="inlineStr">
        <is>
          <t>Diskominfo</t>
        </is>
      </c>
      <c r="P47" s="64" t="inlineStr">
        <is>
          <t>Kab. Bandung</t>
        </is>
      </c>
      <c r="Q47" s="64" t="inlineStr">
        <is>
          <t>Website</t>
        </is>
      </c>
      <c r="R47" s="78" t="inlineStr">
        <is>
          <t>{{need url}}</t>
        </is>
      </c>
      <c r="S47" s="64" t="inlineStr">
        <is>
          <t>Secara Online</t>
        </is>
      </c>
      <c r="T47" s="64" t="inlineStr">
        <is>
          <t>Informasi</t>
        </is>
      </c>
      <c r="U47" s="77" t="n">
        <v>2024</v>
      </c>
      <c r="V47" s="64" t="inlineStr">
        <is>
          <t>Non Aktif</t>
        </is>
      </c>
      <c r="W47" s="64" t="inlineStr">
        <is>
          <t>Ya</t>
        </is>
      </c>
      <c r="X47" s="64" t="inlineStr">
        <is>
          <t>Web Prokopim</t>
        </is>
      </c>
      <c r="Y47" s="64" t="inlineStr">
        <is>
          <t>API</t>
        </is>
      </c>
      <c r="Z47" s="64" t="inlineStr">
        <is>
          <t>Realtime</t>
        </is>
      </c>
      <c r="AA47" s="64" t="inlineStr">
        <is>
          <t>Bagian Prokopim</t>
        </is>
      </c>
      <c r="AB47" s="64" t="inlineStr">
        <is>
          <t>Setda</t>
        </is>
      </c>
      <c r="AC47" s="67" t="inlineStr">
        <is>
          <t>Vita</t>
        </is>
      </c>
      <c r="AD47" s="67" t="inlineStr">
        <is>
          <t>62 813-1222-9386</t>
        </is>
      </c>
      <c r="AE47" s="288" t="n"/>
      <c r="AF47" s="67" t="inlineStr">
        <is>
          <t>Semua</t>
        </is>
      </c>
      <c r="AG47" s="68" t="inlineStr">
        <is>
          <t>Harian</t>
        </is>
      </c>
      <c r="AH47" s="284" t="n"/>
      <c r="AI47" s="284" t="n"/>
      <c r="AJ47" s="284" t="n"/>
      <c r="AK47" s="284" t="n"/>
      <c r="AL47" s="284" t="n"/>
      <c r="AM47" s="284" t="n"/>
      <c r="AN47" s="284" t="n"/>
      <c r="AO47" s="284" t="n"/>
      <c r="AP47" s="284" t="n"/>
      <c r="AQ47" s="284" t="n"/>
      <c r="AR47" s="284" t="n"/>
      <c r="AS47" s="284" t="n"/>
    </row>
    <row r="48">
      <c r="A48" s="71" t="inlineStr">
        <is>
          <t>BAGIAN TAPEM</t>
        </is>
      </c>
      <c r="B48" s="58" t="n"/>
      <c r="D48" s="58" t="n"/>
      <c r="E48" s="58" t="n"/>
      <c r="F48" s="58" t="n"/>
      <c r="G48" s="58" t="n"/>
      <c r="H48" s="58" t="n"/>
      <c r="I48" s="58" t="n"/>
      <c r="J48" s="58" t="n"/>
      <c r="K48" s="58" t="n"/>
      <c r="L48" s="58" t="n"/>
      <c r="M48" s="58" t="n"/>
      <c r="N48" s="72" t="n"/>
      <c r="O48" s="58" t="n"/>
      <c r="P48" s="58" t="n"/>
      <c r="Q48" s="58" t="n"/>
      <c r="R48" s="58" t="n"/>
      <c r="S48" s="58" t="n"/>
      <c r="T48" s="58" t="n"/>
      <c r="U48" s="58" t="n"/>
      <c r="V48" s="58" t="n"/>
      <c r="W48" s="58" t="n"/>
      <c r="X48" s="58" t="n"/>
      <c r="Y48" s="58" t="n"/>
      <c r="Z48" s="58" t="n"/>
      <c r="AA48" s="58" t="n"/>
      <c r="AB48" s="58" t="n"/>
      <c r="AC48" s="58" t="n"/>
      <c r="AD48" s="58" t="n"/>
      <c r="AE48" s="58" t="n"/>
      <c r="AF48" s="288" t="n"/>
      <c r="AG48" s="288" t="n"/>
      <c r="AH48" s="284" t="n"/>
      <c r="AI48" s="284" t="n"/>
      <c r="AJ48" s="284" t="n"/>
      <c r="AK48" s="284" t="n"/>
      <c r="AL48" s="284" t="n"/>
      <c r="AM48" s="284" t="n"/>
      <c r="AN48" s="284" t="n"/>
      <c r="AO48" s="284" t="n"/>
      <c r="AP48" s="284" t="n"/>
      <c r="AQ48" s="284" t="n"/>
      <c r="AR48" s="284" t="n"/>
      <c r="AS48" s="284" t="n"/>
    </row>
    <row r="49">
      <c r="A49" s="73" t="n">
        <v>21</v>
      </c>
      <c r="B49" s="63" t="inlineStr">
        <is>
          <t>Layanan Informasi Nama Rupabumi</t>
        </is>
      </c>
      <c r="C49" t="inlineStr">
        <is>
          <t>BAGIAN TAPEM</t>
        </is>
      </c>
      <c r="D49" s="63" t="inlineStr">
        <is>
          <t>Fungsi utama layanan aplikasi adalah melaksanakan Penyelenggaraan Nama Rupabumi pada tahapan pendataan Nama Rupabumi dan penelaaahan Nama Rupabumi dengan output berupa Nama Rupabumi baku beserta atributnya sebagai dasar penyusunan Gazeter RI</t>
        </is>
      </c>
      <c r="E49" s="63" t="inlineStr">
        <is>
          <t>PP Nomor 2 Tahun 2021 tentang Penyelenggaraan Nama Rupabumi</t>
        </is>
      </c>
      <c r="F49" s="288" t="n"/>
      <c r="G49" s="64" t="inlineStr">
        <is>
          <t>PEMBINAAN ADMINISTRASI KEWILAYAHAN</t>
        </is>
      </c>
      <c r="H49" s="64" t="inlineStr">
        <is>
          <t>Instansi Pemerintah Lainnya</t>
        </is>
      </c>
      <c r="I49" s="64" t="inlineStr">
        <is>
          <t>Objek Rupabumi buatan dan alami</t>
        </is>
      </c>
      <c r="J49" s="64" t="inlineStr">
        <is>
          <t>Nama Rupabumi Baku</t>
        </is>
      </c>
      <c r="K49" s="64" t="inlineStr">
        <is>
          <t>Terbuka</t>
        </is>
      </c>
      <c r="L49" s="64" t="inlineStr">
        <is>
          <t>Tidak terdapat</t>
        </is>
      </c>
      <c r="M49" s="64" t="inlineStr">
        <is>
          <t>Harian</t>
        </is>
      </c>
      <c r="N49" s="65" t="inlineStr">
        <is>
          <t>SINAR</t>
        </is>
      </c>
      <c r="O49" s="64" t="inlineStr">
        <is>
          <t>Pusat</t>
        </is>
      </c>
      <c r="P49" s="64" t="inlineStr">
        <is>
          <t>Pusat</t>
        </is>
      </c>
      <c r="Q49" s="64" t="inlineStr">
        <is>
          <t>Website dan Mobile</t>
        </is>
      </c>
      <c r="R49" s="66" t="inlineStr">
        <is>
          <t>Sinar.big.go.id</t>
        </is>
      </c>
      <c r="S49" s="64" t="inlineStr">
        <is>
          <t>Secara Online</t>
        </is>
      </c>
      <c r="T49" s="64" t="inlineStr">
        <is>
          <t>Informasi</t>
        </is>
      </c>
      <c r="U49" s="64" t="n">
        <v>2021</v>
      </c>
      <c r="V49" s="64" t="inlineStr">
        <is>
          <t>Aktif</t>
        </is>
      </c>
      <c r="W49" s="64" t="inlineStr">
        <is>
          <t>Tidak</t>
        </is>
      </c>
      <c r="X49" s="64" t="inlineStr">
        <is>
          <t>Tidak Terintegrasi</t>
        </is>
      </c>
      <c r="Y49" s="64" t="inlineStr">
        <is>
          <t>Tidak Terintegrasi</t>
        </is>
      </c>
      <c r="Z49" s="64" t="inlineStr">
        <is>
          <t>Tidak Terintegrasi</t>
        </is>
      </c>
      <c r="AA49" s="64" t="inlineStr">
        <is>
          <t>Tim Pembakuan Nama Rupabumi Kab. Bandung (Sekretariat: Bagian Tata Pemerintahan)</t>
        </is>
      </c>
      <c r="AB49" s="64" t="inlineStr">
        <is>
          <t>Setda</t>
        </is>
      </c>
      <c r="AC49" s="66" t="inlineStr">
        <is>
          <t>Gugum Gumilar, S.STP., M.Si</t>
        </is>
      </c>
      <c r="AD49" s="63" t="inlineStr">
        <is>
          <t>0819-1001-1980</t>
        </is>
      </c>
      <c r="AE49" s="63" t="inlineStr">
        <is>
          <t>admkewilayah@gmail.com</t>
        </is>
      </c>
      <c r="AF49" s="288" t="n"/>
      <c r="AG49" s="288" t="n"/>
      <c r="AH49" s="284" t="n"/>
      <c r="AI49" s="284" t="n"/>
      <c r="AJ49" s="284" t="n"/>
      <c r="AK49" s="284" t="n"/>
      <c r="AL49" s="284" t="n"/>
      <c r="AM49" s="284" t="n"/>
      <c r="AN49" s="284" t="n"/>
      <c r="AO49" s="284" t="n"/>
      <c r="AP49" s="284" t="n"/>
      <c r="AQ49" s="284" t="n"/>
      <c r="AR49" s="284" t="n"/>
      <c r="AS49" s="284" t="n"/>
    </row>
    <row r="50">
      <c r="A50" s="73" t="n">
        <v>22</v>
      </c>
      <c r="B50" s="63" t="inlineStr">
        <is>
          <t>Layanan Laporan Penyelenggaraan Pemerintahan Daerah</t>
        </is>
      </c>
      <c r="C50" t="inlineStr">
        <is>
          <t>BAGIAN TAPEM</t>
        </is>
      </c>
      <c r="D50" s="63" t="inlineStr">
        <is>
          <t>Sebagai sistem aplikasi terpusat yang mempermudah Pemerintah Daerah (Provinsi, Kabupaten, Kota) untuk menyampaikan Laporan Penyelenggaraan Pemerintahan Daerah (LPPD) dan melakukan evaluasi secara online dan real-time, sehingga menghasilkan satu data yang akurat, mengurangi redundansi data, dan mempercepat penyebaran informasi pelaporan</t>
        </is>
      </c>
      <c r="E50" s="63" t="inlineStr">
        <is>
          <t>Peraturan Menteri Dalam Negeri Nomor 19 Tahun 2024 tentang Peraturan Pelaksana Peraturan Pemerintah Nomor 13 Tahun 2019 tentang Laporan dan Evaluasi Penyelenggaraan Pemerintahan Daerah;</t>
        </is>
      </c>
      <c r="F50" s="288" t="n"/>
      <c r="G50" s="64" t="inlineStr">
        <is>
          <t>OTONOMI DAERAH</t>
        </is>
      </c>
      <c r="H50" s="64" t="inlineStr">
        <is>
          <t>Instansi Pemerintah Lainnya</t>
        </is>
      </c>
      <c r="I50" s="288" t="n"/>
      <c r="J50" s="64" t="inlineStr">
        <is>
          <t>Laporan Penyelenggaraan Pemerintahan Daerah (LPPD)</t>
        </is>
      </c>
      <c r="K50" s="64" t="inlineStr">
        <is>
          <t>Terbuka</t>
        </is>
      </c>
      <c r="L50" s="64" t="inlineStr">
        <is>
          <t>Tidak terdapat</t>
        </is>
      </c>
      <c r="M50" s="64" t="inlineStr">
        <is>
          <t>Tahunan</t>
        </is>
      </c>
      <c r="N50" s="65" t="inlineStr">
        <is>
          <t>SILPPD</t>
        </is>
      </c>
      <c r="O50" s="64" t="inlineStr">
        <is>
          <t>Pusat</t>
        </is>
      </c>
      <c r="P50" s="64" t="inlineStr">
        <is>
          <t>Pusat</t>
        </is>
      </c>
      <c r="Q50" s="64" t="inlineStr">
        <is>
          <t>Website dan Mobile</t>
        </is>
      </c>
      <c r="R50" s="66" t="inlineStr">
        <is>
          <t>https://elppd.kemendagri.go.id/</t>
        </is>
      </c>
      <c r="S50" s="64" t="inlineStr">
        <is>
          <t>Secara Online</t>
        </is>
      </c>
      <c r="T50" s="64" t="inlineStr">
        <is>
          <t>Informasi</t>
        </is>
      </c>
      <c r="U50" s="64" t="n">
        <v>2021</v>
      </c>
      <c r="V50" s="64" t="inlineStr">
        <is>
          <t>Aktif</t>
        </is>
      </c>
      <c r="W50" s="64" t="inlineStr">
        <is>
          <t>Tidak</t>
        </is>
      </c>
      <c r="X50" s="64" t="inlineStr">
        <is>
          <t>Tidak Terintegrasi</t>
        </is>
      </c>
      <c r="Y50" s="64" t="inlineStr">
        <is>
          <t>Tidak Terintegrasi</t>
        </is>
      </c>
      <c r="Z50" s="64" t="inlineStr">
        <is>
          <t>Tidak Terintegrasi</t>
        </is>
      </c>
      <c r="AA50" s="64" t="inlineStr">
        <is>
          <t>Bagian Tata Pemerintahan</t>
        </is>
      </c>
      <c r="AB50" s="64" t="inlineStr">
        <is>
          <t>Setda, Disdik, Dinkes, DPUTR, Disperkimtan, Dinsos, Disdamkar, Satpol PP, BPBD, Inspektorat, Disnaker, DP2KBP3A, DLH, Disdukcapil, DPMD, Dishub, Diskominfo, DPMPTSP, Dispora, Disperdagin, Distan, Dispakan, Disbud, DISKOP-UKM, Dispusip, Disparekraf, BKAD, BKPSDM</t>
        </is>
      </c>
      <c r="AC50" s="66" t="inlineStr">
        <is>
          <t>Gugum Gumilar, S.STP., M.Si</t>
        </is>
      </c>
      <c r="AD50" s="63" t="inlineStr">
        <is>
          <t>0819-1001-1980</t>
        </is>
      </c>
      <c r="AE50" s="63" t="inlineStr">
        <is>
          <t>admkewilayah@gmail.com</t>
        </is>
      </c>
      <c r="AF50" s="288" t="n"/>
      <c r="AG50" s="288" t="n"/>
      <c r="AH50" s="284" t="n"/>
      <c r="AI50" s="284" t="n"/>
      <c r="AJ50" s="284" t="n"/>
      <c r="AK50" s="284" t="n"/>
      <c r="AL50" s="284" t="n"/>
      <c r="AM50" s="284" t="n"/>
      <c r="AN50" s="284" t="n"/>
      <c r="AO50" s="284" t="n"/>
      <c r="AP50" s="284" t="n"/>
      <c r="AQ50" s="284" t="n"/>
      <c r="AR50" s="284" t="n"/>
      <c r="AS50" s="284" t="n"/>
    </row>
    <row r="51">
      <c r="A51" s="73" t="n">
        <v>23</v>
      </c>
      <c r="B51" s="63" t="inlineStr">
        <is>
          <t>Layanan Pelaporan Standar Pelayanan Minimal (SPM) Ditjen Bina Pembangunan Daerah Kementerian Dalam Negeri</t>
        </is>
      </c>
      <c r="C51" t="inlineStr">
        <is>
          <t>BAGIAN TAPEM</t>
        </is>
      </c>
      <c r="D51" s="63" t="inlineStr">
        <is>
          <t>Sebagai dasar untuk melakukan monitoring dan evaluasi terpadu, mengelola data dan menganalisis capaian penerapan SPM di daerah, serta menjadi alat untuk mengkoordinasikan implementasi SPM antara pemerintah pusat dan daerah agar pelayanan dasar yang diberikan kepada masyarakat sesuai dengan ketentuan yang berlaku</t>
        </is>
      </c>
      <c r="E51" s="63" t="inlineStr">
        <is>
          <t>Peraturan Menteri Dalam Negeri Nomor 59 Tahun 2021 Tentang Penerapan Standar Pelayanan Minimal</t>
        </is>
      </c>
      <c r="F51" s="288" t="n"/>
      <c r="G51" s="64" t="inlineStr">
        <is>
          <t>OTONOMI DAERAH</t>
        </is>
      </c>
      <c r="H51" s="64" t="inlineStr">
        <is>
          <t>Instansi Pemerintah Lainnya</t>
        </is>
      </c>
      <c r="I51" s="288" t="n"/>
      <c r="J51" s="64" t="inlineStr">
        <is>
          <t>Laporan Penerapan Standar Pelayanan Minimal (SPM)</t>
        </is>
      </c>
      <c r="K51" s="64" t="inlineStr">
        <is>
          <t>Terbuka</t>
        </is>
      </c>
      <c r="L51" s="64" t="inlineStr">
        <is>
          <t>Tidak terdapat</t>
        </is>
      </c>
      <c r="M51" s="64" t="inlineStr">
        <is>
          <t>Lainnya</t>
        </is>
      </c>
      <c r="N51" s="65" t="inlineStr">
        <is>
          <t>e-SPM</t>
        </is>
      </c>
      <c r="O51" s="64" t="inlineStr">
        <is>
          <t>Pusat</t>
        </is>
      </c>
      <c r="P51" s="64" t="inlineStr">
        <is>
          <t>Pusat</t>
        </is>
      </c>
      <c r="Q51" s="64" t="inlineStr">
        <is>
          <t>Website dan Mobile</t>
        </is>
      </c>
      <c r="R51" s="66" t="inlineStr">
        <is>
          <t>https://spm.bangda.kemendagri.go.id/</t>
        </is>
      </c>
      <c r="S51" s="64" t="inlineStr">
        <is>
          <t>Secara Online</t>
        </is>
      </c>
      <c r="T51" s="64" t="inlineStr">
        <is>
          <t>Informasi</t>
        </is>
      </c>
      <c r="U51" s="64" t="n">
        <v>2021</v>
      </c>
      <c r="V51" s="64" t="inlineStr">
        <is>
          <t>Aktif</t>
        </is>
      </c>
      <c r="W51" s="64" t="inlineStr">
        <is>
          <t>Tidak</t>
        </is>
      </c>
      <c r="X51" s="64" t="inlineStr">
        <is>
          <t>Tidak Terintegrasi</t>
        </is>
      </c>
      <c r="Y51" s="64" t="inlineStr">
        <is>
          <t>Tidak Terintegrasi</t>
        </is>
      </c>
      <c r="Z51" s="64" t="inlineStr">
        <is>
          <t>Tidak Terintegrasi</t>
        </is>
      </c>
      <c r="AA51" s="64" t="inlineStr">
        <is>
          <t>Bagian Tata Pemerintahan</t>
        </is>
      </c>
      <c r="AB51" s="64" t="inlineStr">
        <is>
          <t>Setda, Disdik, Dinkes, DPUTR, Disperkimtan, BPBD, Disdamkar, Satpol PP</t>
        </is>
      </c>
      <c r="AC51" s="66" t="inlineStr">
        <is>
          <t>Gugum Gumilar, S.STP., M.Si</t>
        </is>
      </c>
      <c r="AD51" s="63" t="inlineStr">
        <is>
          <t>0819-1001-1980</t>
        </is>
      </c>
      <c r="AE51" s="63" t="inlineStr">
        <is>
          <t>admkewilayah@gmail.com</t>
        </is>
      </c>
      <c r="AF51" s="288" t="n"/>
      <c r="AG51" s="288" t="n"/>
      <c r="AH51" s="284" t="n"/>
      <c r="AI51" s="284" t="n"/>
      <c r="AJ51" s="284" t="n"/>
      <c r="AK51" s="284" t="n"/>
      <c r="AL51" s="284" t="n"/>
      <c r="AM51" s="284" t="n"/>
      <c r="AN51" s="284" t="n"/>
      <c r="AO51" s="284" t="n"/>
      <c r="AP51" s="284" t="n"/>
      <c r="AQ51" s="284" t="n"/>
      <c r="AR51" s="284" t="n"/>
      <c r="AS51" s="284" t="n"/>
    </row>
    <row r="52">
      <c r="A52" s="71" t="inlineStr">
        <is>
          <t>BAGIAN KESRA</t>
        </is>
      </c>
      <c r="B52" s="58" t="n"/>
      <c r="D52" s="58" t="n"/>
      <c r="E52" s="58" t="n"/>
      <c r="F52" s="58" t="n"/>
      <c r="G52" s="58" t="n"/>
      <c r="H52" s="58" t="n"/>
      <c r="I52" s="58" t="n"/>
      <c r="J52" s="58" t="n"/>
      <c r="K52" s="58" t="n"/>
      <c r="L52" s="58" t="n"/>
      <c r="M52" s="58" t="n"/>
      <c r="N52" s="72" t="n"/>
      <c r="O52" s="58" t="n"/>
      <c r="P52" s="58" t="n"/>
      <c r="Q52" s="58" t="n"/>
      <c r="R52" s="58" t="n"/>
      <c r="S52" s="58" t="n"/>
      <c r="T52" s="58" t="n"/>
      <c r="U52" s="58" t="n"/>
      <c r="V52" s="58" t="n"/>
      <c r="W52" s="58" t="n"/>
      <c r="X52" s="58" t="n"/>
      <c r="Y52" s="58" t="n"/>
      <c r="Z52" s="58" t="n"/>
      <c r="AA52" s="58" t="n"/>
      <c r="AB52" s="58" t="n"/>
      <c r="AC52" s="58" t="n"/>
      <c r="AD52" s="58" t="n"/>
      <c r="AE52" s="58" t="n"/>
      <c r="AF52" s="288" t="n"/>
      <c r="AG52" s="288" t="n"/>
      <c r="AH52" s="284" t="n"/>
      <c r="AI52" s="284" t="n"/>
      <c r="AJ52" s="284" t="n"/>
      <c r="AK52" s="284" t="n"/>
      <c r="AL52" s="284" t="n"/>
      <c r="AM52" s="284" t="n"/>
      <c r="AN52" s="284" t="n"/>
      <c r="AO52" s="284" t="n"/>
      <c r="AP52" s="284" t="n"/>
      <c r="AQ52" s="284" t="n"/>
      <c r="AR52" s="284" t="n"/>
      <c r="AS52" s="284" t="n"/>
    </row>
    <row r="53">
      <c r="A53" s="73" t="n">
        <v>31</v>
      </c>
      <c r="B53" s="63" t="inlineStr">
        <is>
          <t>Layanan informasi publik</t>
        </is>
      </c>
      <c r="C53" t="inlineStr">
        <is>
          <t>BAGIAN KESRA</t>
        </is>
      </c>
      <c r="D53" s="64" t="inlineStr">
        <is>
          <t>Keterbukaan informasi publik merupakan sarana dalam mengoptimalkan pengawasan publik terhadap penyelenggaraan negara dan Badan Publik lainnya dan segala sesuatu yang berakibat pada kepentingan publik sebagaimana yang diamanatkan dalam Undang-Undang Nomor 14 Tahun 2008</t>
        </is>
      </c>
      <c r="E53" s="67" t="inlineStr">
        <is>
          <t>Undang-Undang Nomor 14 Tahun 2008</t>
        </is>
      </c>
      <c r="F53" s="288" t="n"/>
      <c r="G53" s="67" t="inlineStr">
        <is>
          <t>PENGELOLAAN INFORMASI PUBLIK</t>
        </is>
      </c>
      <c r="H53" s="67" t="inlineStr">
        <is>
          <t>Pelaku Bisnis</t>
        </is>
      </c>
      <c r="I53" s="68" t="inlineStr">
        <is>
          <t>Data Informasi Publik</t>
        </is>
      </c>
      <c r="J53" s="68" t="inlineStr">
        <is>
          <t>Data Informasi Publik</t>
        </is>
      </c>
      <c r="K53" s="67" t="inlineStr">
        <is>
          <t>Terbatas</t>
        </is>
      </c>
      <c r="L53" s="67" t="inlineStr">
        <is>
          <t>Tidak terdapat</t>
        </is>
      </c>
      <c r="M53" s="67" t="inlineStr">
        <is>
          <t>Lainnya</t>
        </is>
      </c>
      <c r="N53" s="65" t="inlineStr">
        <is>
          <t>PPID</t>
        </is>
      </c>
      <c r="O53" s="67" t="inlineStr">
        <is>
          <t>Diskominfo</t>
        </is>
      </c>
      <c r="P53" s="67" t="inlineStr">
        <is>
          <t>Kab. Bandung</t>
        </is>
      </c>
      <c r="Q53" s="67" t="inlineStr">
        <is>
          <t>Website dan Mobile</t>
        </is>
      </c>
      <c r="R53" s="75" t="inlineStr">
        <is>
          <t>https://ppid.bandungkab.go.id/</t>
        </is>
      </c>
      <c r="S53" s="67" t="inlineStr">
        <is>
          <t>Secara Online</t>
        </is>
      </c>
      <c r="T53" s="67" t="inlineStr">
        <is>
          <t>Informasi</t>
        </is>
      </c>
      <c r="U53" s="288" t="n"/>
      <c r="V53" s="67" t="inlineStr">
        <is>
          <t>Aktif</t>
        </is>
      </c>
      <c r="W53" s="67" t="inlineStr">
        <is>
          <t>Ya</t>
        </is>
      </c>
      <c r="X53" s="184" t="inlineStr">
        <is>
          <t>Tidak Terintegrasi</t>
        </is>
      </c>
      <c r="Y53" s="184" t="inlineStr">
        <is>
          <t>Tidak Terintegrasi</t>
        </is>
      </c>
      <c r="Z53" s="184" t="inlineStr">
        <is>
          <t>Tidak Terintegrasi</t>
        </is>
      </c>
      <c r="AA53" s="68" t="inlineStr">
        <is>
          <t>Bagian Kesra</t>
        </is>
      </c>
      <c r="AB53" s="68" t="inlineStr">
        <is>
          <t>Setda</t>
        </is>
      </c>
      <c r="AC53" s="288" t="n"/>
      <c r="AD53" s="288" t="n"/>
      <c r="AE53" s="288" t="n"/>
      <c r="AF53" s="288" t="n"/>
      <c r="AG53" s="288" t="n"/>
      <c r="AH53" s="284" t="n"/>
      <c r="AI53" s="284" t="n"/>
      <c r="AJ53" s="284" t="n"/>
      <c r="AK53" s="284" t="n"/>
      <c r="AL53" s="284" t="n"/>
      <c r="AM53" s="284" t="n"/>
      <c r="AN53" s="284" t="n"/>
      <c r="AO53" s="284" t="n"/>
      <c r="AP53" s="284" t="n"/>
      <c r="AQ53" s="284" t="n"/>
      <c r="AR53" s="284" t="n"/>
      <c r="AS53" s="284" t="n"/>
    </row>
    <row r="54">
      <c r="A54" s="71" t="inlineStr">
        <is>
          <t>BAGIAN HUKUM</t>
        </is>
      </c>
      <c r="B54" s="58" t="n"/>
      <c r="D54" s="58" t="n"/>
      <c r="E54" s="58" t="n"/>
      <c r="F54" s="58" t="n"/>
      <c r="G54" s="58" t="n"/>
      <c r="H54" s="58" t="n"/>
      <c r="I54" s="58" t="n"/>
      <c r="J54" s="58" t="n"/>
      <c r="K54" s="58" t="n"/>
      <c r="L54" s="58" t="n"/>
      <c r="M54" s="58" t="n"/>
      <c r="N54" s="58" t="n"/>
      <c r="O54" s="58" t="n"/>
      <c r="P54" s="58" t="n"/>
      <c r="Q54" s="58" t="n"/>
      <c r="R54" s="58" t="n"/>
      <c r="S54" s="58" t="n"/>
      <c r="T54" s="58" t="n"/>
      <c r="U54" s="58" t="n"/>
      <c r="V54" s="58" t="n"/>
      <c r="W54" s="58" t="n"/>
      <c r="X54" s="58" t="n"/>
      <c r="Y54" s="58" t="n"/>
      <c r="Z54" s="58" t="n"/>
      <c r="AA54" s="58" t="n"/>
      <c r="AB54" s="58" t="n"/>
      <c r="AC54" s="58" t="n"/>
      <c r="AD54" s="58" t="n"/>
      <c r="AE54" s="58" t="n"/>
      <c r="AF54" s="288" t="n"/>
      <c r="AG54" s="288" t="n"/>
      <c r="AH54" s="284" t="n"/>
      <c r="AI54" s="284" t="n"/>
      <c r="AJ54" s="284" t="n"/>
      <c r="AK54" s="284" t="n"/>
      <c r="AL54" s="284" t="n"/>
      <c r="AM54" s="284" t="n"/>
      <c r="AN54" s="284" t="n"/>
      <c r="AO54" s="284" t="n"/>
      <c r="AP54" s="284" t="n"/>
      <c r="AQ54" s="284" t="n"/>
      <c r="AR54" s="284" t="n"/>
      <c r="AS54" s="284" t="n"/>
    </row>
    <row r="55">
      <c r="A55" s="73" t="n">
        <v>32</v>
      </c>
      <c r="B55" s="63" t="inlineStr">
        <is>
          <t>Layanan Pengajuan Produk Hukum</t>
        </is>
      </c>
      <c r="C55" t="inlineStr">
        <is>
          <t>BAGIAN HUKUM</t>
        </is>
      </c>
      <c r="D55" s="63" t="inlineStr">
        <is>
          <t>Sipphade, yang juga disebut BEDAS Sipphade (akronim dari “Sistem Informasi Penyusunan Produk Hukum Daerah”), adalah sebuah aplikasi digital yang diluncurkan oleh Pemerintah Kabupaten Bandung. Aplikasi ini dirancang untuk:Mempermudah proses pengajuan produk hukum daerah oleh perangkat daerah.</t>
        </is>
      </c>
      <c r="E55" s="63" t="inlineStr">
        <is>
          <t>Undang-Undang Nomor 12 Tahun 2011 tentang Pembentukan Peraturan Perundang-Undangan sebagaimana telah diubah dengan Undang-Undang Nomor 13 Tahun 2022 tentang Perubahan Kedua atas Undang-Undang Nomor 12 Tahun 2011 tentang Pembentukan Peraturan Perundang-Undangan</t>
        </is>
      </c>
      <c r="F55" s="63" t="inlineStr">
        <is>
          <t>-</t>
        </is>
      </c>
      <c r="G55" s="64" t="inlineStr">
        <is>
          <t>PENYELENGGARAAN PERATURAN PERUNDANG-UNDANGAN</t>
        </is>
      </c>
      <c r="H55" s="64" t="inlineStr">
        <is>
          <t>Instansi Pemerintah Lainnya</t>
        </is>
      </c>
      <c r="I55" s="64" t="inlineStr">
        <is>
          <t>Identitas Perangkat Daerah Pengusul</t>
        </is>
      </c>
      <c r="J55" s="64" t="inlineStr">
        <is>
          <t>surat keputusan</t>
        </is>
      </c>
      <c r="K55" s="64" t="inlineStr">
        <is>
          <t>Terbatas</t>
        </is>
      </c>
      <c r="L55" s="64" t="inlineStr">
        <is>
          <t>Tidak terdapat</t>
        </is>
      </c>
      <c r="M55" s="64" t="inlineStr">
        <is>
          <t>Bulanan</t>
        </is>
      </c>
      <c r="N55" s="80" t="inlineStr">
        <is>
          <t>SIPPHADE</t>
        </is>
      </c>
      <c r="O55" s="64" t="inlineStr">
        <is>
          <t>Diskominfo</t>
        </is>
      </c>
      <c r="P55" s="64" t="inlineStr">
        <is>
          <t>Kab. Bandung</t>
        </is>
      </c>
      <c r="Q55" s="64" t="inlineStr">
        <is>
          <t>Website</t>
        </is>
      </c>
      <c r="R55" s="66" t="inlineStr">
        <is>
          <t>https://sipphade.bandungkab.go.id/</t>
        </is>
      </c>
      <c r="S55" s="64" t="inlineStr">
        <is>
          <t>Secara Online</t>
        </is>
      </c>
      <c r="T55" s="64" t="inlineStr">
        <is>
          <t>Informasi</t>
        </is>
      </c>
      <c r="U55" s="64" t="n">
        <v>2024</v>
      </c>
      <c r="V55" s="64" t="inlineStr">
        <is>
          <t>Aktif</t>
        </is>
      </c>
      <c r="W55" s="64" t="inlineStr">
        <is>
          <t>Ya</t>
        </is>
      </c>
      <c r="X55" s="64" t="inlineStr">
        <is>
          <t>TERINTERGRASI DENGAN E OFFICE DAN BSRE</t>
        </is>
      </c>
      <c r="Y55" s="64" t="inlineStr">
        <is>
          <t>Database to Database</t>
        </is>
      </c>
      <c r="Z55" s="64" t="inlineStr">
        <is>
          <t>Realtime</t>
        </is>
      </c>
      <c r="AA55" s="81" t="inlineStr">
        <is>
          <t>Bagian Hukum Sekretariat Daerah Kabupaten Bandung</t>
        </is>
      </c>
      <c r="AB55" s="64" t="inlineStr">
        <is>
          <t>Setda</t>
        </is>
      </c>
      <c r="AC55" s="82" t="inlineStr">
        <is>
          <t>DADAN SUNANDAR, SH</t>
        </is>
      </c>
      <c r="AD55" s="63" t="n">
        <v>85721347799</v>
      </c>
      <c r="AE55" s="63" t="inlineStr">
        <is>
          <t>baghukum17@gmail.com</t>
        </is>
      </c>
      <c r="AF55" s="288" t="n"/>
      <c r="AG55" s="288" t="n"/>
      <c r="AH55" s="284" t="n"/>
      <c r="AI55" s="284" t="n"/>
      <c r="AJ55" s="284" t="n"/>
      <c r="AK55" s="284" t="n"/>
      <c r="AL55" s="284" t="n"/>
      <c r="AM55" s="284" t="n"/>
      <c r="AN55" s="284" t="n"/>
      <c r="AO55" s="284" t="n"/>
      <c r="AP55" s="284" t="n"/>
      <c r="AQ55" s="284" t="n"/>
      <c r="AR55" s="284" t="n"/>
      <c r="AS55" s="284" t="n"/>
    </row>
    <row r="56">
      <c r="A56" s="73" t="n">
        <v>33</v>
      </c>
      <c r="B56" s="63" t="inlineStr">
        <is>
          <t>Layanan Penanganan litigasi Hukum bedas</t>
        </is>
      </c>
      <c r="C56" t="inlineStr">
        <is>
          <t>BAGIAN HUKUM</t>
        </is>
      </c>
      <c r="D56" s="83" t="inlineStr">
        <is>
          <t>Sistem Penanganan litigasi Hukum bedas</t>
        </is>
      </c>
      <c r="E56" s="63" t="inlineStr">
        <is>
          <t>-</t>
        </is>
      </c>
      <c r="F56" s="63" t="inlineStr">
        <is>
          <t>-</t>
        </is>
      </c>
      <c r="G56" s="64" t="inlineStr">
        <is>
          <t>ADMINISTRASI HUKUM UMUM</t>
        </is>
      </c>
      <c r="H56" s="64" t="inlineStr">
        <is>
          <t>Masyarakat</t>
        </is>
      </c>
      <c r="I56" s="64" t="inlineStr">
        <is>
          <t>para pihak yang berperkara</t>
        </is>
      </c>
      <c r="J56" s="64" t="inlineStr">
        <is>
          <t>panggilan sidang</t>
        </is>
      </c>
      <c r="K56" s="64" t="inlineStr">
        <is>
          <t>Terbuka</t>
        </is>
      </c>
      <c r="L56" s="64" t="inlineStr">
        <is>
          <t>Terdapat</t>
        </is>
      </c>
      <c r="M56" s="64" t="inlineStr">
        <is>
          <t>Bulanan</t>
        </is>
      </c>
      <c r="N56" s="80" t="inlineStr">
        <is>
          <t>SIPATUHBEDAS</t>
        </is>
      </c>
      <c r="O56" s="64" t="inlineStr">
        <is>
          <t>Diskominfo</t>
        </is>
      </c>
      <c r="P56" s="64" t="inlineStr">
        <is>
          <t>Kab. Bandung</t>
        </is>
      </c>
      <c r="Q56" s="64" t="inlineStr">
        <is>
          <t>Website</t>
        </is>
      </c>
      <c r="R56" s="66" t="inlineStr">
        <is>
          <t>https://sipatuhbedas.bandungkab.go.id/</t>
        </is>
      </c>
      <c r="S56" s="64" t="inlineStr">
        <is>
          <t>Secara Online</t>
        </is>
      </c>
      <c r="T56" s="64" t="inlineStr">
        <is>
          <t>Informasi</t>
        </is>
      </c>
      <c r="U56" s="64" t="n">
        <v>2023</v>
      </c>
      <c r="V56" s="64" t="inlineStr">
        <is>
          <t>Aktif</t>
        </is>
      </c>
      <c r="W56" s="64" t="inlineStr">
        <is>
          <t>Ya</t>
        </is>
      </c>
      <c r="X56" s="64" t="inlineStr">
        <is>
          <t>-</t>
        </is>
      </c>
      <c r="Y56" s="64" t="inlineStr">
        <is>
          <t>Database to Database</t>
        </is>
      </c>
      <c r="Z56" s="64" t="inlineStr">
        <is>
          <t>Bulanan</t>
        </is>
      </c>
      <c r="AA56" s="64" t="inlineStr">
        <is>
          <t>bagian Hukum Sekretariat Daerah Kabupaten Bandung</t>
        </is>
      </c>
      <c r="AB56" s="64" t="inlineStr">
        <is>
          <t>Setda</t>
        </is>
      </c>
      <c r="AC56" s="83" t="inlineStr">
        <is>
          <t>ZAENAL MUTTAQIN,SH</t>
        </is>
      </c>
      <c r="AD56" s="63" t="n">
        <v>8127585399</v>
      </c>
      <c r="AE56" s="63" t="inlineStr">
        <is>
          <t>zaenal1972.zm@gmail.com</t>
        </is>
      </c>
      <c r="AF56" s="288" t="n"/>
      <c r="AG56" s="288" t="n"/>
      <c r="AH56" s="284" t="n"/>
      <c r="AI56" s="284" t="n"/>
      <c r="AJ56" s="284" t="n"/>
      <c r="AK56" s="284" t="n"/>
      <c r="AL56" s="284" t="n"/>
      <c r="AM56" s="284" t="n"/>
      <c r="AN56" s="284" t="n"/>
      <c r="AO56" s="284" t="n"/>
      <c r="AP56" s="284" t="n"/>
      <c r="AQ56" s="284" t="n"/>
      <c r="AR56" s="284" t="n"/>
      <c r="AS56" s="284" t="n"/>
    </row>
    <row r="57">
      <c r="A57" s="71" t="inlineStr">
        <is>
          <t>BAGIAN KERJA SAMA</t>
        </is>
      </c>
      <c r="B57" s="58" t="n"/>
      <c r="D57" s="58" t="n"/>
      <c r="E57" s="58" t="n"/>
      <c r="F57" s="58" t="n"/>
      <c r="G57" s="58" t="n"/>
      <c r="H57" s="58" t="n"/>
      <c r="I57" s="58" t="n"/>
      <c r="J57" s="58" t="n"/>
      <c r="K57" s="58" t="n"/>
      <c r="L57" s="58" t="n"/>
      <c r="M57" s="58" t="n"/>
      <c r="N57" s="58" t="n"/>
      <c r="O57" s="58" t="n"/>
      <c r="P57" s="58" t="n"/>
      <c r="Q57" s="58" t="n"/>
      <c r="R57" s="58" t="n"/>
      <c r="S57" s="58" t="n"/>
      <c r="T57" s="58" t="n"/>
      <c r="U57" s="58" t="n"/>
      <c r="V57" s="58" t="n"/>
      <c r="W57" s="58" t="n"/>
      <c r="X57" s="58" t="n"/>
      <c r="Y57" s="58" t="n"/>
      <c r="Z57" s="58" t="n"/>
      <c r="AA57" s="58" t="n"/>
      <c r="AB57" s="58" t="n"/>
      <c r="AC57" s="58" t="n"/>
      <c r="AD57" s="58" t="n"/>
      <c r="AE57" s="58" t="n"/>
      <c r="AF57" s="288" t="n"/>
      <c r="AG57" s="288" t="n"/>
      <c r="AH57" s="284" t="n"/>
      <c r="AI57" s="284" t="n"/>
      <c r="AJ57" s="284" t="n"/>
      <c r="AK57" s="284" t="n"/>
      <c r="AL57" s="284" t="n"/>
      <c r="AM57" s="284" t="n"/>
      <c r="AN57" s="284" t="n"/>
      <c r="AO57" s="284" t="n"/>
      <c r="AP57" s="284" t="n"/>
      <c r="AQ57" s="284" t="n"/>
      <c r="AR57" s="284" t="n"/>
      <c r="AS57" s="284" t="n"/>
    </row>
    <row r="58">
      <c r="A58" s="73" t="n">
        <v>34</v>
      </c>
      <c r="B58" s="63" t="inlineStr">
        <is>
          <t>Layanan Fasilitasi Kerja Sama Daerah</t>
        </is>
      </c>
      <c r="C58" t="inlineStr">
        <is>
          <t>BAGIAN KERJA SAMA</t>
        </is>
      </c>
      <c r="D58" s="63" t="inlineStr">
        <is>
          <t>Mempercepat transformasi digital dalam tata kelola pemerintahan dan penyusunan peraturan perundang-undangan.</t>
        </is>
      </c>
      <c r="E58" s="63" t="inlineStr">
        <is>
          <t>PP No 28 Tahun 2018 tentang Kerja Sama Daerah. Permendagri No 22 Tahun 2020 tentang Tata Cara Kerja Sama Daerah dengan Daerah Lain dan Kerja Sama Daerah dengan Pihak Ketiga, Permendagri No 25 Tahun 2020 tentang Tata Cara Kerja Sama Daerah dengan Pemerintah Daerah di Luar Negeri dan Kerja Sama Daerah dengan Lembaga di Luar Negeri</t>
        </is>
      </c>
      <c r="F58" s="63" t="inlineStr">
        <is>
          <t>Ada sesuai Keputusan Sekretaris Dearah No.415.4/KEP.25-KSM/2023 tentang Penetapan Standar Operasional Prosedur Kerja Sama Daerah di Lingkungan Pemerintah Kabupaten Bandung</t>
        </is>
      </c>
      <c r="G58" s="64" t="inlineStr">
        <is>
          <t>PENINGKATAN KUALITAS PELAYANAN PUBLIK</t>
        </is>
      </c>
      <c r="H58" s="64" t="inlineStr">
        <is>
          <t>Pelaku Bisnis, Masyarakat, Pegawai, Instansi Pemerintah Lainnya</t>
        </is>
      </c>
      <c r="I58" s="64" t="inlineStr">
        <is>
          <t>Data Pengguna, data persyaratan permohonan kerja sama, laporan dan perencanaan</t>
        </is>
      </c>
      <c r="J58" s="64" t="inlineStr">
        <is>
          <t>Data kerja sama, data permohonan, data perencanaan dan data laporan</t>
        </is>
      </c>
      <c r="K58" s="64" t="inlineStr">
        <is>
          <t>Terbatas</t>
        </is>
      </c>
      <c r="L58" s="64" t="inlineStr">
        <is>
          <t>Terdapat</t>
        </is>
      </c>
      <c r="M58" s="64" t="inlineStr">
        <is>
          <t>Lainnya</t>
        </is>
      </c>
      <c r="N58" s="65" t="inlineStr">
        <is>
          <t>SiBERKAH</t>
        </is>
      </c>
      <c r="O58" s="64" t="inlineStr">
        <is>
          <t>Diskominfo</t>
        </is>
      </c>
      <c r="P58" s="64" t="inlineStr">
        <is>
          <t>Kab. Bandung</t>
        </is>
      </c>
      <c r="Q58" s="64" t="inlineStr">
        <is>
          <t>Website dan Mobile</t>
        </is>
      </c>
      <c r="R58" s="66" t="inlineStr">
        <is>
          <t>kerjasama.bandungkab.go.id</t>
        </is>
      </c>
      <c r="S58" s="64" t="inlineStr">
        <is>
          <t>Secara Online</t>
        </is>
      </c>
      <c r="T58" s="64" t="inlineStr">
        <is>
          <t>Informasi</t>
        </is>
      </c>
      <c r="U58" s="64" t="n">
        <v>2022</v>
      </c>
      <c r="V58" s="64" t="inlineStr">
        <is>
          <t>Aktif</t>
        </is>
      </c>
      <c r="W58" s="64" t="inlineStr">
        <is>
          <t>Ya</t>
        </is>
      </c>
      <c r="X58" s="64" t="inlineStr">
        <is>
          <t>BDS</t>
        </is>
      </c>
      <c r="Y58" s="64" t="inlineStr">
        <is>
          <t>Web Service</t>
        </is>
      </c>
      <c r="Z58" s="64" t="inlineStr">
        <is>
          <t>Realtime</t>
        </is>
      </c>
      <c r="AA58" s="64" t="inlineStr">
        <is>
          <t>Bagian Kerja Sama SETDA</t>
        </is>
      </c>
      <c r="AB58" s="64" t="inlineStr">
        <is>
          <t>Setda</t>
        </is>
      </c>
      <c r="AC58" s="63" t="inlineStr">
        <is>
          <t>Ir. Elis Kusmawati,MM</t>
        </is>
      </c>
      <c r="AD58" s="63" t="n">
        <v>85322543009</v>
      </c>
      <c r="AE58" s="63" t="inlineStr">
        <is>
          <t>kerjasamabandungkab@gmail.com</t>
        </is>
      </c>
      <c r="AF58" s="288" t="n"/>
      <c r="AG58" s="67" t="inlineStr">
        <is>
          <t>harian</t>
        </is>
      </c>
      <c r="AH58" s="216" t="inlineStr">
        <is>
          <t>data kerjasama daerah dengan daerah atau daerah dengan pihak ketiga perangkat daerah sudah punya admin sendiri pengguna mitra kerja dan perangkat daerah, kabupaten lain Mitra kerja itu perangkat daerah lain dan oerguruan tinggi</t>
        </is>
      </c>
    </row>
    <row r="59">
      <c r="A59" s="85" t="inlineStr">
        <is>
          <t>BAGIAN PEREKONOMIAN</t>
        </is>
      </c>
      <c r="B59" s="58" t="n"/>
      <c r="D59" s="58" t="n"/>
      <c r="E59" s="58" t="n"/>
      <c r="F59" s="58" t="n"/>
      <c r="G59" s="58" t="n"/>
      <c r="H59" s="58" t="n"/>
      <c r="I59" s="58" t="n"/>
      <c r="J59" s="58" t="n"/>
      <c r="K59" s="58" t="n"/>
      <c r="L59" s="58" t="n"/>
      <c r="M59" s="58" t="n"/>
      <c r="N59" s="58" t="n"/>
      <c r="O59" s="58" t="n"/>
      <c r="P59" s="58" t="n"/>
      <c r="Q59" s="58" t="n"/>
      <c r="R59" s="58" t="n"/>
      <c r="S59" s="58" t="n"/>
      <c r="T59" s="58" t="n"/>
      <c r="U59" s="58" t="n"/>
      <c r="V59" s="58" t="n"/>
      <c r="W59" s="58" t="n"/>
      <c r="X59" s="58" t="n"/>
      <c r="Y59" s="58" t="n"/>
      <c r="Z59" s="58" t="n"/>
      <c r="AA59" s="58" t="n"/>
      <c r="AB59" s="58" t="n"/>
      <c r="AC59" s="58" t="n"/>
      <c r="AD59" s="58" t="n"/>
      <c r="AE59" s="58" t="n"/>
      <c r="AF59" s="288" t="n"/>
      <c r="AG59" s="288" t="n"/>
      <c r="AH59" s="284" t="n"/>
      <c r="AI59" s="284" t="n"/>
      <c r="AJ59" s="284" t="n"/>
      <c r="AK59" s="284" t="n"/>
      <c r="AL59" s="284" t="n"/>
      <c r="AM59" s="284" t="n"/>
      <c r="AN59" s="284" t="n"/>
      <c r="AO59" s="284" t="n"/>
      <c r="AP59" s="284" t="n"/>
      <c r="AQ59" s="284" t="n"/>
      <c r="AR59" s="284" t="n"/>
      <c r="AS59" s="284" t="n"/>
    </row>
    <row r="60">
      <c r="A60" s="73" t="n">
        <v>35</v>
      </c>
      <c r="B60" s="63" t="inlineStr">
        <is>
          <t>Layanan informasi data terkait penyerapan KUR untuk UMKM Kabupaten Bandung</t>
        </is>
      </c>
      <c r="C60" t="inlineStr">
        <is>
          <t>BAGIAN PEREKONOMIAN</t>
        </is>
      </c>
      <c r="D60" s="63" t="inlineStr">
        <is>
          <t>Meningkatkan kapasitas SDM (sumber daya manusia) yang merancang produk hukum.</t>
        </is>
      </c>
      <c r="E60" s="63" t="inlineStr">
        <is>
          <t>keputusan bupati bandung nomor 500/KEP..671-Perek/2017 tentang pembentukan tim inflasi darah kabupaten bandung</t>
        </is>
      </c>
      <c r="F60" s="288" t="n"/>
      <c r="G60" s="64" t="inlineStr">
        <is>
          <t>USAHA KECIL DAN MENENGAH</t>
        </is>
      </c>
      <c r="H60" s="64" t="inlineStr">
        <is>
          <t>Instansi Pemerintah Lainnya</t>
        </is>
      </c>
      <c r="I60" s="64" t="inlineStr">
        <is>
          <t>dataUMKM yang membutuhkan KUR</t>
        </is>
      </c>
      <c r="J60" s="64" t="inlineStr">
        <is>
          <t>data UMKM yang telah menerima KUR</t>
        </is>
      </c>
      <c r="K60" s="64" t="inlineStr">
        <is>
          <t>Terbuka</t>
        </is>
      </c>
      <c r="L60" s="64" t="inlineStr">
        <is>
          <t>Terdapat</t>
        </is>
      </c>
      <c r="M60" s="64" t="inlineStr">
        <is>
          <t>Harian</t>
        </is>
      </c>
      <c r="N60" s="86" t="inlineStr">
        <is>
          <t>SIKP</t>
        </is>
      </c>
      <c r="O60" s="64" t="inlineStr">
        <is>
          <t>Pusat</t>
        </is>
      </c>
      <c r="P60" s="64" t="inlineStr">
        <is>
          <t>Pusat</t>
        </is>
      </c>
      <c r="Q60" s="64" t="inlineStr">
        <is>
          <t>Website</t>
        </is>
      </c>
      <c r="R60" s="66" t="inlineStr">
        <is>
          <t>https://sikp.kemenkeu.go.id/login</t>
        </is>
      </c>
      <c r="S60" s="64" t="inlineStr">
        <is>
          <t>Secara Online</t>
        </is>
      </c>
      <c r="T60" s="64" t="inlineStr">
        <is>
          <t>Informasi</t>
        </is>
      </c>
      <c r="U60" s="64" t="n">
        <v>2017</v>
      </c>
      <c r="V60" s="64" t="inlineStr">
        <is>
          <t>Aktif</t>
        </is>
      </c>
      <c r="W60" s="64" t="inlineStr">
        <is>
          <t>Tidak</t>
        </is>
      </c>
      <c r="X60" s="64" t="inlineStr">
        <is>
          <t>Tidak Terintegrasi</t>
        </is>
      </c>
      <c r="Y60" s="288" t="n"/>
      <c r="Z60" s="64" t="inlineStr">
        <is>
          <t>Mingguan</t>
        </is>
      </c>
      <c r="AA60" s="64" t="inlineStr">
        <is>
          <t>bagian perekonomian</t>
        </is>
      </c>
      <c r="AB60" s="288" t="n"/>
      <c r="AC60" s="63" t="inlineStr">
        <is>
          <t>herrier mustari</t>
        </is>
      </c>
      <c r="AD60" s="288" t="n"/>
      <c r="AE60" s="63" t="inlineStr">
        <is>
          <t>usmankaryana1961@gmail.com</t>
        </is>
      </c>
      <c r="AF60" s="288" t="n"/>
      <c r="AG60" s="288" t="n"/>
      <c r="AH60" s="284" t="n"/>
      <c r="AI60" s="284" t="n"/>
      <c r="AJ60" s="284" t="n"/>
      <c r="AK60" s="284" t="n"/>
      <c r="AL60" s="284" t="n"/>
      <c r="AM60" s="284" t="n"/>
      <c r="AN60" s="284" t="n"/>
      <c r="AO60" s="284" t="n"/>
      <c r="AP60" s="284" t="n"/>
      <c r="AQ60" s="284" t="n"/>
      <c r="AR60" s="284" t="n"/>
      <c r="AS60" s="284" t="n"/>
    </row>
    <row r="61">
      <c r="A61" s="73" t="n">
        <v>36</v>
      </c>
      <c r="B61" s="82" t="inlineStr">
        <is>
          <t>Layanan informasi dan penginputan realisasi terkait program percepatan keuangan daerah</t>
        </is>
      </c>
      <c r="C61" t="inlineStr">
        <is>
          <t>BAGIAN PEREKONOMIAN</t>
        </is>
      </c>
      <c r="D61" s="288" t="n"/>
      <c r="E61" s="63" t="inlineStr">
        <is>
          <t>keputusan bupati bandung nomor 539/Kep.481-Perek/2021 tentang pembentukan tim percepatan akses keuangan daerah kabupaten bandung</t>
        </is>
      </c>
      <c r="F61" s="288" t="n"/>
      <c r="G61" s="64" t="inlineStr">
        <is>
          <t>PEMBINAAN KEUANGAN DAERAH</t>
        </is>
      </c>
      <c r="H61" s="64" t="inlineStr">
        <is>
          <t>Instansi Pemerintah Lainnya</t>
        </is>
      </c>
      <c r="I61" s="64" t="inlineStr">
        <is>
          <t>target dan realisasi program percepatan akses keuangan daerah</t>
        </is>
      </c>
      <c r="J61" s="64" t="inlineStr">
        <is>
          <t>realisasi program percepatan akses keuangan daerah</t>
        </is>
      </c>
      <c r="K61" s="64" t="inlineStr">
        <is>
          <t>Terbuka</t>
        </is>
      </c>
      <c r="L61" s="64" t="inlineStr">
        <is>
          <t>Tidak terdapat</t>
        </is>
      </c>
      <c r="M61" s="64" t="inlineStr">
        <is>
          <t>Bulanan</t>
        </is>
      </c>
      <c r="N61" s="80" t="inlineStr">
        <is>
          <t>SITPAKD</t>
        </is>
      </c>
      <c r="O61" s="64" t="inlineStr">
        <is>
          <t>Pusat</t>
        </is>
      </c>
      <c r="P61" s="64" t="inlineStr">
        <is>
          <t>Pusat</t>
        </is>
      </c>
      <c r="Q61" s="64" t="inlineStr">
        <is>
          <t>Website</t>
        </is>
      </c>
      <c r="R61" s="66" t="inlineStr">
        <is>
          <t>https://sitpakd.ojk.go.id/Account/Login</t>
        </is>
      </c>
      <c r="S61" s="64" t="inlineStr">
        <is>
          <t>Secara Online</t>
        </is>
      </c>
      <c r="T61" s="64" t="inlineStr">
        <is>
          <t>Informasi</t>
        </is>
      </c>
      <c r="U61" s="64" t="n">
        <v>2021</v>
      </c>
      <c r="V61" s="64" t="inlineStr">
        <is>
          <t>Aktif</t>
        </is>
      </c>
      <c r="W61" s="64" t="inlineStr">
        <is>
          <t>Tidak</t>
        </is>
      </c>
      <c r="X61" s="64" t="inlineStr">
        <is>
          <t>Tidak Terintegrasi</t>
        </is>
      </c>
      <c r="Y61" s="288" t="n"/>
      <c r="Z61" s="64" t="inlineStr">
        <is>
          <t>Mingguan</t>
        </is>
      </c>
      <c r="AA61" s="64" t="inlineStr">
        <is>
          <t>bagian perekonomian</t>
        </is>
      </c>
      <c r="AB61" s="64" t="inlineStr">
        <is>
          <t>Setda</t>
        </is>
      </c>
      <c r="AC61" s="63" t="inlineStr">
        <is>
          <t>herrier mustari</t>
        </is>
      </c>
      <c r="AD61" s="288" t="n"/>
      <c r="AE61" s="63" t="inlineStr">
        <is>
          <t>usmankaryana1961@gmail.com</t>
        </is>
      </c>
      <c r="AF61" s="288" t="n"/>
      <c r="AG61" s="288" t="n"/>
      <c r="AH61" s="284" t="n"/>
      <c r="AI61" s="284" t="n"/>
      <c r="AJ61" s="284" t="n"/>
      <c r="AK61" s="284" t="n"/>
      <c r="AL61" s="284" t="n"/>
      <c r="AM61" s="284" t="n"/>
      <c r="AN61" s="284" t="n"/>
      <c r="AO61" s="284" t="n"/>
      <c r="AP61" s="284" t="n"/>
      <c r="AQ61" s="284" t="n"/>
      <c r="AR61" s="284" t="n"/>
      <c r="AS61" s="284" t="n"/>
    </row>
    <row r="62">
      <c r="A62" s="73" t="n">
        <v>37</v>
      </c>
      <c r="B62" s="63" t="inlineStr">
        <is>
          <t>Layanan penginputan rencana kerja anggaran, laporan hasil kegiatan dan realisasi DBHCHT</t>
        </is>
      </c>
      <c r="C62" t="inlineStr">
        <is>
          <t>BAGIAN PEREKONOMIAN</t>
        </is>
      </c>
      <c r="D62" s="63" t="inlineStr">
        <is>
          <t>Meningkatkan kualitas produk hukum agar sesuai tujuan seperti kepastian hukum, manfaat, dan keadilan bagi pemangku kepentingan</t>
        </is>
      </c>
      <c r="E62" s="67" t="inlineStr">
        <is>
          <t>KEPUTUSAN BUPATI BANDUNG NOMOR : 900.1.14.3/KEP.746-PEREK/2024 Penetapan Pagu Alokasi Dana Bagi Hasil Cukai Hasil Tembakau Bagian Pemerintah Daerah Kabupaten Bandung Tahun Anggaran 2025 dan KEPUTUSAN BUPATI BANDUNG NOMOR : 000.8.1.1/KEP.738-PEREK/202 TIM KOORDINASI PENGELOLAAN DANA BAGI HASIL CUKAI HASIL TEMBAKAU
 DAERAH KABUPATEN BANDUNG TAHUN 2025</t>
        </is>
      </c>
      <c r="F62" s="288" t="n"/>
      <c r="G62" s="64" t="inlineStr">
        <is>
          <t>PENINGKATAN KUALITAS REFORMASI BIROKRASI, PENGAWASAN, DAN AKUNTABILITAS KINERJA</t>
        </is>
      </c>
      <c r="H62" s="64" t="inlineStr">
        <is>
          <t>Instansi Pemerintah Lainnya</t>
        </is>
      </c>
      <c r="I62" s="64" t="inlineStr">
        <is>
          <t>realisasi dan laporan hasil kegiatan DBHCHT</t>
        </is>
      </c>
      <c r="J62" s="64" t="inlineStr">
        <is>
          <t>realisasi dan laporan hasil kegiatan DBHCHT</t>
        </is>
      </c>
      <c r="K62" s="64" t="inlineStr">
        <is>
          <t>Terbuka</t>
        </is>
      </c>
      <c r="L62" s="64" t="inlineStr">
        <is>
          <t>Tidak terdapat</t>
        </is>
      </c>
      <c r="M62" s="64" t="inlineStr">
        <is>
          <t>Bulanan</t>
        </is>
      </c>
      <c r="N62" s="80" t="inlineStr">
        <is>
          <t>e-DBHCHT</t>
        </is>
      </c>
      <c r="O62" s="64" t="inlineStr">
        <is>
          <t>Provinsi</t>
        </is>
      </c>
      <c r="P62" s="64" t="inlineStr">
        <is>
          <t>Provinsi</t>
        </is>
      </c>
      <c r="Q62" s="64" t="inlineStr">
        <is>
          <t>Website</t>
        </is>
      </c>
      <c r="R62" s="66" t="inlineStr">
        <is>
          <t>https://www.appsheet.com/Account/Login?appName=DBHCHT%20App&amp;FullScope=False&amp;provider=google&amp;returnUrl=https%3A%2F%2Fwww.appsheet.com%2Fstart%2F93891b63-df85-4aa1-a7bf-d007dfa96cf8%3Fplatform%3Ddesktop#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t>
        </is>
      </c>
      <c r="S62" s="64" t="inlineStr">
        <is>
          <t>Secara Online</t>
        </is>
      </c>
      <c r="T62" s="64" t="inlineStr">
        <is>
          <t>Informasi</t>
        </is>
      </c>
      <c r="U62" s="288" t="n"/>
      <c r="V62" s="64" t="inlineStr">
        <is>
          <t>Aktif</t>
        </is>
      </c>
      <c r="W62" s="64" t="inlineStr">
        <is>
          <t>Tidak</t>
        </is>
      </c>
      <c r="X62" s="64" t="inlineStr">
        <is>
          <t>Tidak Terintegrasi</t>
        </is>
      </c>
      <c r="Y62" s="288" t="n"/>
      <c r="Z62" s="64" t="inlineStr">
        <is>
          <t>Realtime</t>
        </is>
      </c>
      <c r="AA62" s="64" t="inlineStr">
        <is>
          <t>bagian perekonomian</t>
        </is>
      </c>
      <c r="AB62" s="64" t="inlineStr">
        <is>
          <t>Setda</t>
        </is>
      </c>
      <c r="AC62" s="63" t="inlineStr">
        <is>
          <t>selly rossela</t>
        </is>
      </c>
      <c r="AD62" s="288" t="n"/>
      <c r="AE62" s="288" t="n"/>
      <c r="AF62" s="288" t="n"/>
      <c r="AG62" s="288" t="n"/>
      <c r="AH62" s="284" t="n"/>
      <c r="AI62" s="284" t="n"/>
      <c r="AJ62" s="284" t="n"/>
      <c r="AK62" s="284" t="n"/>
      <c r="AL62" s="284" t="n"/>
      <c r="AM62" s="284" t="n"/>
      <c r="AN62" s="284" t="n"/>
      <c r="AO62" s="284" t="n"/>
      <c r="AP62" s="284" t="n"/>
      <c r="AQ62" s="284" t="n"/>
      <c r="AR62" s="284" t="n"/>
      <c r="AS62" s="284" t="n"/>
    </row>
    <row r="63">
      <c r="A63" s="73" t="n">
        <v>38</v>
      </c>
      <c r="B63" s="63" t="inlineStr">
        <is>
          <t>Layanan penginputan rencana kerja anggaran, laporan hasil kegiatan dan realisasi DBHCHT</t>
        </is>
      </c>
      <c r="C63" t="inlineStr">
        <is>
          <t>BAGIAN PEREKONOMIAN</t>
        </is>
      </c>
      <c r="D63" s="63" t="inlineStr">
        <is>
          <t>1. Meningkatkan Efektivitas dan Efisiensi kerja Pimpinan.
 2. Mempermudah koordinasi eksternal.
 3. Transparansi dan akuntabilitas.
 4. Dokumentasi dan arsip digital.
 5. Mendukung pengambilan keputusan.
 6. Memudahkan akses dan mobilitas.</t>
        </is>
      </c>
      <c r="E63" s="67" t="inlineStr">
        <is>
          <t>KEPUTUSAN BUPATI BANDUNG NOMOR : 900.1.14.3/KEP.746-PEREK/2024 Penetapan Pagu Alokasi Dana Bagi Hasil Cukai Hasil Tembakau Bagian Pemerintah Daerah Kabupaten Bandung Tahun Anggaran 2025 dan KEPUTUSAN BUPATI BANDUNG NOMOR : 000.8.1.1/KEP.738-PEREK/202 TIM KOORDINASI PENGELOLAAN DANA BAGI HASIL CUKAI HASIL TEMBAKAU
 DAERAH KABUPATEN BANDUNG TAHUN 2025</t>
        </is>
      </c>
      <c r="F63" s="288" t="n"/>
      <c r="G63" s="64" t="inlineStr">
        <is>
          <t>PENINGKATAN KUALITAS REFORMASI BIROKRASI, PENGAWASAN, DAN AKUNTABILITAS KINERJA</t>
        </is>
      </c>
      <c r="H63" s="64" t="inlineStr">
        <is>
          <t>Instansi Pemerintah Lainnya</t>
        </is>
      </c>
      <c r="I63" s="64" t="inlineStr">
        <is>
          <t>realisasi dan laporan hasil kegiatan DBHCHT</t>
        </is>
      </c>
      <c r="J63" s="64" t="inlineStr">
        <is>
          <t>realisasi dan laporan hasil kegiatan DBHCHT</t>
        </is>
      </c>
      <c r="K63" s="64" t="inlineStr">
        <is>
          <t>Terbuka</t>
        </is>
      </c>
      <c r="L63" s="64" t="inlineStr">
        <is>
          <t>Tidak terdapat</t>
        </is>
      </c>
      <c r="M63" s="64" t="inlineStr">
        <is>
          <t>Bulanan</t>
        </is>
      </c>
      <c r="N63" s="80" t="inlineStr">
        <is>
          <t>SIKD</t>
        </is>
      </c>
      <c r="O63" s="64" t="inlineStr">
        <is>
          <t>Pusat</t>
        </is>
      </c>
      <c r="P63" s="64" t="inlineStr">
        <is>
          <t>Pusat</t>
        </is>
      </c>
      <c r="Q63" s="64" t="inlineStr">
        <is>
          <t>Website</t>
        </is>
      </c>
      <c r="R63" s="66" t="inlineStr">
        <is>
          <t>https://sikd.djpk.kemenkeu.go.id/lapordbh/</t>
        </is>
      </c>
      <c r="S63" s="64" t="inlineStr">
        <is>
          <t>Secara Online</t>
        </is>
      </c>
      <c r="T63" s="64" t="inlineStr">
        <is>
          <t>Informasi</t>
        </is>
      </c>
      <c r="U63" s="288" t="n"/>
      <c r="V63" s="64" t="inlineStr">
        <is>
          <t>Aktif</t>
        </is>
      </c>
      <c r="W63" s="64" t="inlineStr">
        <is>
          <t>Tidak</t>
        </is>
      </c>
      <c r="X63" s="64" t="inlineStr">
        <is>
          <t>Tidak Terintegrasi</t>
        </is>
      </c>
      <c r="Y63" s="288" t="n"/>
      <c r="Z63" s="64" t="inlineStr">
        <is>
          <t>Realtime</t>
        </is>
      </c>
      <c r="AA63" s="64" t="inlineStr">
        <is>
          <t>bagian perekonomian</t>
        </is>
      </c>
      <c r="AB63" s="64" t="inlineStr">
        <is>
          <t>Setda</t>
        </is>
      </c>
      <c r="AC63" s="63" t="inlineStr">
        <is>
          <t>selly rossela</t>
        </is>
      </c>
      <c r="AD63" s="288" t="n"/>
      <c r="AE63" s="288" t="n"/>
      <c r="AF63" s="288" t="n"/>
      <c r="AG63" s="288" t="n"/>
      <c r="AH63" s="284" t="n"/>
      <c r="AI63" s="284" t="n"/>
      <c r="AJ63" s="284" t="n"/>
      <c r="AK63" s="284" t="n"/>
      <c r="AL63" s="284" t="n"/>
      <c r="AM63" s="284" t="n"/>
      <c r="AN63" s="284" t="n"/>
      <c r="AO63" s="284" t="n"/>
      <c r="AP63" s="284" t="n"/>
      <c r="AQ63" s="284" t="n"/>
      <c r="AR63" s="284" t="n"/>
      <c r="AS63" s="284" t="n"/>
    </row>
    <row r="64">
      <c r="A64" s="73" t="n">
        <v>39</v>
      </c>
      <c r="B64" s="63" t="inlineStr">
        <is>
          <t>Layanan Informasi pemerintah Daerah</t>
        </is>
      </c>
      <c r="C64" t="inlineStr">
        <is>
          <t>BAGIAN PEREKONOMIAN</t>
        </is>
      </c>
      <c r="D64" s="63" t="inlineStr">
        <is>
          <t>1. Meningkatkan Efektivitas dan Efisiensi kerja Pimpinan.
 2. Mempermudah koordinasi eksternal.
 3. Transparansi dan akuntabilitas.
 4. Dokumentasi dan arsip digital.
 5. Mendukung pengambilan keputusan.
 6. Memudahkan akses dan mobilitas.</t>
        </is>
      </c>
      <c r="E64" s="87" t="inlineStr">
        <is>
          <t>Pasal 391 Undang-Undang Nomor 23 Tahun 2014 tentang Pemerintahan Daerah</t>
        </is>
      </c>
      <c r="F64" s="288" t="n"/>
      <c r="G64" s="64" t="inlineStr">
        <is>
          <t>PENINGKATAN KUALITAS REFORMASI BIROKRASI, PENGAWASAN, DAN AKUNTABILITAS KINERJA</t>
        </is>
      </c>
      <c r="H64" s="64" t="inlineStr">
        <is>
          <t>Pegawai</t>
        </is>
      </c>
      <c r="I64" s="64" t="inlineStr">
        <is>
          <t>data realisasi keuangan dan anggaran</t>
        </is>
      </c>
      <c r="J64" s="64" t="inlineStr">
        <is>
          <t>data realisasi keuangan dan anggaran</t>
        </is>
      </c>
      <c r="K64" s="64" t="inlineStr">
        <is>
          <t>Terbatas</t>
        </is>
      </c>
      <c r="L64" s="64" t="inlineStr">
        <is>
          <t>Terdapat</t>
        </is>
      </c>
      <c r="M64" s="64" t="inlineStr">
        <is>
          <t>Lainnya</t>
        </is>
      </c>
      <c r="N64" s="80" t="inlineStr">
        <is>
          <t>SIPD</t>
        </is>
      </c>
      <c r="O64" s="64" t="inlineStr">
        <is>
          <t>Pusat</t>
        </is>
      </c>
      <c r="P64" s="64" t="inlineStr">
        <is>
          <t>Pusat</t>
        </is>
      </c>
      <c r="Q64" s="64" t="inlineStr">
        <is>
          <t>Website</t>
        </is>
      </c>
      <c r="R64" s="66" t="inlineStr">
        <is>
          <t>https://SIPD.kemendagri.go.id/auth/login</t>
        </is>
      </c>
      <c r="S64" s="288" t="n"/>
      <c r="T64" s="288" t="n"/>
      <c r="U64" s="288" t="n"/>
      <c r="V64" s="288" t="n"/>
      <c r="W64" s="288" t="n"/>
      <c r="X64" s="64" t="inlineStr">
        <is>
          <t>Tidak Terintegrasi</t>
        </is>
      </c>
      <c r="Y64" s="288" t="n"/>
      <c r="Z64" s="288" t="n"/>
      <c r="AA64" s="64" t="inlineStr">
        <is>
          <t>bagian perekonomian</t>
        </is>
      </c>
      <c r="AB64" s="64" t="inlineStr">
        <is>
          <t>Setda</t>
        </is>
      </c>
      <c r="AC64" s="88" t="inlineStr">
        <is>
          <t>HERRIER MUSTARI, MM</t>
        </is>
      </c>
      <c r="AD64" s="288" t="n"/>
      <c r="AE64" s="288" t="n"/>
      <c r="AF64" s="288" t="n"/>
      <c r="AG64" s="288" t="n"/>
      <c r="AH64" s="284" t="n"/>
      <c r="AI64" s="284" t="n"/>
      <c r="AJ64" s="284" t="n"/>
      <c r="AK64" s="284" t="n"/>
      <c r="AL64" s="284" t="n"/>
      <c r="AM64" s="284" t="n"/>
      <c r="AN64" s="284" t="n"/>
      <c r="AO64" s="284" t="n"/>
      <c r="AP64" s="284" t="n"/>
      <c r="AQ64" s="284" t="n"/>
      <c r="AR64" s="284" t="n"/>
      <c r="AS64" s="284" t="n"/>
    </row>
    <row r="65">
      <c r="A65" s="73" t="n">
        <v>40</v>
      </c>
      <c r="B65" s="63" t="inlineStr">
        <is>
          <t>Layanan realisasi pengendalian inflasi per triwulan</t>
        </is>
      </c>
      <c r="C65" t="inlineStr">
        <is>
          <t>BAGIAN PEREKONOMIAN</t>
        </is>
      </c>
      <c r="D65" s="63" t="inlineStr">
        <is>
          <t>1. Meningkatkan Efektivitas dan Efisiensi kerja Pimpinan.
 2. Mempermudah koordinasi eksternal.
 3. Transparansi dan akuntabilitas.
 4. Dokumentasi dan arsip digital.
 5. Mendukung pengambilan keputusan.
 6. Memudahkan akses dan mobilitas.</t>
        </is>
      </c>
      <c r="E65" s="63" t="inlineStr">
        <is>
          <t>keputusan bupati bandung nomor 500/KEP.671-Perek/2017 tentang pembentukan tim inflasi Daerah</t>
        </is>
      </c>
      <c r="F65" s="288" t="n"/>
      <c r="G65" s="64" t="inlineStr">
        <is>
          <t>PENINGKATAN KUALITAS REFORMASI BIROKRASI, PENGAWASAN, DAN AKUNTABILITAS KINERJA</t>
        </is>
      </c>
      <c r="H65" s="64" t="inlineStr">
        <is>
          <t>Instansi Pemerintah Lainnya</t>
        </is>
      </c>
      <c r="I65" s="64" t="inlineStr">
        <is>
          <t>laporan pertriwulan pengendalian inflasi daerah</t>
        </is>
      </c>
      <c r="J65" s="64" t="inlineStr">
        <is>
          <t>laporan pertriwulan pengendalian inflasi daerah</t>
        </is>
      </c>
      <c r="K65" s="64" t="inlineStr">
        <is>
          <t>Terbuka</t>
        </is>
      </c>
      <c r="L65" s="64" t="inlineStr">
        <is>
          <t>Tidak terdapat</t>
        </is>
      </c>
      <c r="M65" s="64" t="inlineStr">
        <is>
          <t>Bulanan</t>
        </is>
      </c>
      <c r="N65" s="80" t="inlineStr">
        <is>
          <t>TPIN</t>
        </is>
      </c>
      <c r="O65" s="64" t="inlineStr">
        <is>
          <t>Pusat</t>
        </is>
      </c>
      <c r="P65" s="64" t="inlineStr">
        <is>
          <t>Pusat</t>
        </is>
      </c>
      <c r="Q65" s="64" t="inlineStr">
        <is>
          <t>Website</t>
        </is>
      </c>
      <c r="R65" s="66" t="inlineStr">
        <is>
          <t>https://tpin.id/login</t>
        </is>
      </c>
      <c r="S65" s="288" t="n"/>
      <c r="T65" s="288" t="n"/>
      <c r="U65" s="288" t="n"/>
      <c r="V65" s="288" t="n"/>
      <c r="W65" s="288" t="n"/>
      <c r="X65" s="64" t="inlineStr">
        <is>
          <t>Tidak Terintegrasi</t>
        </is>
      </c>
      <c r="Y65" s="288" t="n"/>
      <c r="Z65" s="288" t="n"/>
      <c r="AA65" s="64" t="inlineStr">
        <is>
          <t>bagian perekonomian</t>
        </is>
      </c>
      <c r="AB65" s="64" t="inlineStr">
        <is>
          <t>Setda</t>
        </is>
      </c>
      <c r="AC65" s="63" t="inlineStr">
        <is>
          <t>MUHAMAD IFAN HERMANTO, S.E</t>
        </is>
      </c>
      <c r="AD65" s="288" t="n"/>
      <c r="AE65" s="288" t="n"/>
      <c r="AF65" s="288" t="n"/>
      <c r="AG65" s="288" t="n"/>
      <c r="AH65" s="284" t="n"/>
      <c r="AI65" s="284" t="n"/>
      <c r="AJ65" s="284" t="n"/>
      <c r="AK65" s="284" t="n"/>
      <c r="AL65" s="284" t="n"/>
      <c r="AM65" s="284" t="n"/>
      <c r="AN65" s="284" t="n"/>
      <c r="AO65" s="284" t="n"/>
      <c r="AP65" s="284" t="n"/>
      <c r="AQ65" s="284" t="n"/>
      <c r="AR65" s="284" t="n"/>
      <c r="AS65" s="284" t="n"/>
    </row>
    <row r="66">
      <c r="A66" s="73" t="n">
        <v>41</v>
      </c>
      <c r="B66" s="63" t="inlineStr">
        <is>
          <t>Layanan laporan realisasi proram reformasi birokrasi di tiap bagian</t>
        </is>
      </c>
      <c r="C66" t="inlineStr">
        <is>
          <t>BAGIAN PEREKONOMIAN</t>
        </is>
      </c>
      <c r="D66" s="63" t="inlineStr">
        <is>
          <t>1. Meningkatkan Efektivitas dan Efisiensi kerja Pimpinan.
 2. Mempermudah koordinasi eksternal.
 3. Transparansi dan akuntabilitas.
 4. Dokumentasi dan arsip digital.
 5. Mendukung pengambilan keputusan.
 6. Memudahkan akses dan mobilitas.</t>
        </is>
      </c>
      <c r="E66" s="288" t="n"/>
      <c r="F66" s="288" t="n"/>
      <c r="G66" s="64" t="inlineStr">
        <is>
          <t>PENINGKATAN KUALITAS REFORMASI BIROKRASI, PENGAWASAN, DAN AKUNTABILITAS KINERJA</t>
        </is>
      </c>
      <c r="H66" s="64" t="inlineStr">
        <is>
          <t>Instansi Pemerintah Lainnya</t>
        </is>
      </c>
      <c r="I66" s="288" t="n"/>
      <c r="J66" s="288" t="n"/>
      <c r="K66" s="64" t="inlineStr">
        <is>
          <t>Terbuka</t>
        </is>
      </c>
      <c r="L66" s="64" t="inlineStr">
        <is>
          <t>Tidak terdapat</t>
        </is>
      </c>
      <c r="M66" s="64" t="inlineStr">
        <is>
          <t>Lainnya</t>
        </is>
      </c>
      <c r="N66" s="80" t="inlineStr">
        <is>
          <t>PORTALRB</t>
        </is>
      </c>
      <c r="O66" s="64" t="inlineStr">
        <is>
          <t>Pusat</t>
        </is>
      </c>
      <c r="P66" s="64" t="inlineStr">
        <is>
          <t>Pusat</t>
        </is>
      </c>
      <c r="Q66" s="64" t="inlineStr">
        <is>
          <t>Website</t>
        </is>
      </c>
      <c r="R66" s="66" t="inlineStr">
        <is>
          <t>https://www.portalrb.id/</t>
        </is>
      </c>
      <c r="S66" s="64" t="inlineStr">
        <is>
          <t>Secara Online</t>
        </is>
      </c>
      <c r="T66" s="64" t="inlineStr">
        <is>
          <t>Informasi</t>
        </is>
      </c>
      <c r="U66" s="288" t="n"/>
      <c r="V66" s="64" t="inlineStr">
        <is>
          <t>Aktif</t>
        </is>
      </c>
      <c r="W66" s="288" t="n"/>
      <c r="X66" s="64" t="inlineStr">
        <is>
          <t>Tidak Terintegrasi</t>
        </is>
      </c>
      <c r="Y66" s="288" t="n"/>
      <c r="Z66" s="64" t="inlineStr">
        <is>
          <t>Realtime</t>
        </is>
      </c>
      <c r="AA66" s="64" t="inlineStr">
        <is>
          <t>bagian perekonomian</t>
        </is>
      </c>
      <c r="AB66" s="64" t="inlineStr">
        <is>
          <t>Setda</t>
        </is>
      </c>
      <c r="AC66" s="63" t="inlineStr">
        <is>
          <t>MUHAMAD IFAN HERMANTO, S.E</t>
        </is>
      </c>
      <c r="AD66" s="288" t="n"/>
      <c r="AE66" s="288" t="n"/>
      <c r="AF66" s="288" t="n"/>
      <c r="AG66" s="288" t="n"/>
      <c r="AH66" s="284" t="n"/>
      <c r="AI66" s="284" t="n"/>
      <c r="AJ66" s="284" t="n"/>
      <c r="AK66" s="284" t="n"/>
      <c r="AL66" s="284" t="n"/>
      <c r="AM66" s="284" t="n"/>
      <c r="AN66" s="284" t="n"/>
      <c r="AO66" s="284" t="n"/>
      <c r="AP66" s="284" t="n"/>
      <c r="AQ66" s="284" t="n"/>
      <c r="AR66" s="284" t="n"/>
      <c r="AS66" s="284" t="n"/>
    </row>
    <row r="67">
      <c r="A67" s="73" t="n">
        <v>43</v>
      </c>
      <c r="B67" s="63" t="inlineStr">
        <is>
          <t>Layanan analisis kebutuhan jabatan dan analisis beban kerja</t>
        </is>
      </c>
      <c r="C67" t="inlineStr">
        <is>
          <t>BAGIAN PEREKONOMIAN</t>
        </is>
      </c>
      <c r="D67" s="63" t="inlineStr">
        <is>
          <t>1. Meningkatkan Efektivitas dan Efisiensi kerja Pimpinan.
 2. Mempermudah koordinasi eksternal.
 3. Transparansi dan akuntabilitas.
 4. Dokumentasi dan arsip digital.
 5. Mendukung pengambilan keputusan.
 6. Memudahkan akses dan mobilitas.</t>
        </is>
      </c>
      <c r="E67" s="63" t="inlineStr">
        <is>
          <t>keputusan sekretaris daerah nomor 800/Kep.29-Umum/2022 tentang pembentukan tim penyusunan analisis jabatan (ANJAB)analisis beban kerja (ABK) evaluasi jabatan (EVJAB) dan standar kompetensi jabatan ASN pada sekretariat daerah kabupaten bandung</t>
        </is>
      </c>
      <c r="F67" s="288" t="n"/>
      <c r="G67" s="64" t="inlineStr">
        <is>
          <t>PENINGKATAN KUALITAS REFORMASI BIROKRASI, PENGAWASAN, DAN AKUNTABILITAS KINERJA</t>
        </is>
      </c>
      <c r="H67" s="64" t="inlineStr">
        <is>
          <t>Pegawai</t>
        </is>
      </c>
      <c r="I67" s="64" t="inlineStr">
        <is>
          <t>hasil analisis jabatan, beban kinerja dan evaluasi jabatan</t>
        </is>
      </c>
      <c r="J67" s="64" t="inlineStr">
        <is>
          <t>hasil analisis jabatan, beban kinerja dan evaluasi jabatan</t>
        </is>
      </c>
      <c r="K67" s="64" t="inlineStr">
        <is>
          <t>Terbuka</t>
        </is>
      </c>
      <c r="L67" s="64" t="inlineStr">
        <is>
          <t>Tidak terdapat</t>
        </is>
      </c>
      <c r="M67" s="64" t="inlineStr">
        <is>
          <t>Lainnya</t>
        </is>
      </c>
      <c r="N67" s="80" t="inlineStr">
        <is>
          <t>BISAKERJA</t>
        </is>
      </c>
      <c r="O67" s="64" t="inlineStr">
        <is>
          <t>OPD</t>
        </is>
      </c>
      <c r="P67" s="64" t="inlineStr">
        <is>
          <t>Kab. Bandung</t>
        </is>
      </c>
      <c r="Q67" s="64" t="inlineStr">
        <is>
          <t>Website</t>
        </is>
      </c>
      <c r="R67" s="66" t="inlineStr">
        <is>
          <t>https://bisakerja.bandungkab.go.id/login</t>
        </is>
      </c>
      <c r="S67" s="64" t="inlineStr">
        <is>
          <t>Secara Online</t>
        </is>
      </c>
      <c r="T67" s="64" t="inlineStr">
        <is>
          <t>Informasi</t>
        </is>
      </c>
      <c r="U67" s="288" t="n"/>
      <c r="V67" s="64" t="inlineStr">
        <is>
          <t>Aktif</t>
        </is>
      </c>
      <c r="W67" s="288" t="n"/>
      <c r="X67" s="64" t="inlineStr">
        <is>
          <t>Tidak Terintegrasi</t>
        </is>
      </c>
      <c r="Y67" s="288" t="n"/>
      <c r="Z67" s="64" t="inlineStr">
        <is>
          <t>Realtime</t>
        </is>
      </c>
      <c r="AA67" s="64" t="inlineStr">
        <is>
          <t>bagian perekonomian</t>
        </is>
      </c>
      <c r="AB67" s="64" t="inlineStr">
        <is>
          <t>Setda</t>
        </is>
      </c>
      <c r="AC67" s="63" t="inlineStr">
        <is>
          <t>LIES BETTY HIDAYANTI, SE</t>
        </is>
      </c>
      <c r="AD67" s="288" t="n"/>
      <c r="AE67" s="288" t="n"/>
      <c r="AF67" s="288" t="n"/>
      <c r="AG67" s="288" t="n"/>
      <c r="AH67" s="284" t="n"/>
      <c r="AI67" s="284" t="n"/>
      <c r="AJ67" s="284" t="n"/>
      <c r="AK67" s="284" t="n"/>
      <c r="AL67" s="284" t="n"/>
      <c r="AM67" s="284" t="n"/>
      <c r="AN67" s="284" t="n"/>
      <c r="AO67" s="284" t="n"/>
      <c r="AP67" s="284" t="n"/>
      <c r="AQ67" s="284" t="n"/>
      <c r="AR67" s="284" t="n"/>
      <c r="AS67" s="284" t="n"/>
    </row>
    <row r="68">
      <c r="A68" s="73" t="n">
        <v>44</v>
      </c>
      <c r="B68" s="63" t="inlineStr">
        <is>
          <t>Layanan Laporan Keuangan BUMD</t>
        </is>
      </c>
      <c r="C68" t="inlineStr">
        <is>
          <t>BAGIAN PEREKONOMIAN</t>
        </is>
      </c>
      <c r="D68" s="63" t="inlineStr">
        <is>
          <t>1. Meningkatkan Efektivitas dan Efisiensi kerja Pimpinan.
 2. Mempermudah koordinasi eksternal.
 3. Transparansi dan akuntabilitas.
 4. Dokumentasi dan arsip digital.
 5. Mendukung pengambilan keputusan.
 6. Memudahkan akses dan mobilitas.</t>
        </is>
      </c>
      <c r="E68" s="89" t="inlineStr">
        <is>
          <t>Peraturan Pemerintah Nomor 54 Tahun 2017 tentang Badan Usaha Milik Daerah (BUMD)</t>
        </is>
      </c>
      <c r="F68" s="288" t="n"/>
      <c r="G68" s="64" t="inlineStr">
        <is>
          <t>PENINGKATAN KUALITAS REFORMASI BIROKRASI, PENGAWASAN, DAN AKUNTABILITAS KINERJA</t>
        </is>
      </c>
      <c r="H68" s="64" t="inlineStr">
        <is>
          <t>Instansi Pemerintah Lainnya</t>
        </is>
      </c>
      <c r="I68" s="64" t="inlineStr">
        <is>
          <t>Laporan Keuangan BUMD</t>
        </is>
      </c>
      <c r="J68" s="64" t="inlineStr">
        <is>
          <t>Laporan Keuangan BUMD</t>
        </is>
      </c>
      <c r="K68" s="64" t="inlineStr">
        <is>
          <t>Terbatas</t>
        </is>
      </c>
      <c r="L68" s="64" t="inlineStr">
        <is>
          <t>Tidak terdapat</t>
        </is>
      </c>
      <c r="M68" s="64" t="inlineStr">
        <is>
          <t>Bulanan</t>
        </is>
      </c>
      <c r="N68" s="80" t="inlineStr">
        <is>
          <t>e-BUMD</t>
        </is>
      </c>
      <c r="O68" s="64" t="inlineStr">
        <is>
          <t>Pusat</t>
        </is>
      </c>
      <c r="P68" s="64" t="inlineStr">
        <is>
          <t>Pusat</t>
        </is>
      </c>
      <c r="Q68" s="64" t="inlineStr">
        <is>
          <t>Website</t>
        </is>
      </c>
      <c r="R68" s="66" t="inlineStr">
        <is>
          <t>http://e-bumd.com//dashboard</t>
        </is>
      </c>
      <c r="S68" s="64" t="inlineStr">
        <is>
          <t>Secara Online</t>
        </is>
      </c>
      <c r="T68" s="64" t="inlineStr">
        <is>
          <t>Informasi</t>
        </is>
      </c>
      <c r="U68" s="288" t="n"/>
      <c r="V68" s="64" t="inlineStr">
        <is>
          <t>Aktif</t>
        </is>
      </c>
      <c r="W68" s="64" t="inlineStr">
        <is>
          <t>Tidak</t>
        </is>
      </c>
      <c r="X68" s="64" t="inlineStr">
        <is>
          <t>Tidak Terintegrasi</t>
        </is>
      </c>
      <c r="Y68" s="288" t="n"/>
      <c r="Z68" s="64" t="inlineStr">
        <is>
          <t>Bulanan</t>
        </is>
      </c>
      <c r="AA68" s="64" t="inlineStr">
        <is>
          <t>bagian perekonomian</t>
        </is>
      </c>
      <c r="AB68" s="64" t="inlineStr">
        <is>
          <t>Setda</t>
        </is>
      </c>
      <c r="AC68" s="63" t="inlineStr">
        <is>
          <t>ROBBY IRAWAN, S.Sos</t>
        </is>
      </c>
      <c r="AD68" s="288" t="n"/>
      <c r="AE68" s="288" t="n"/>
      <c r="AF68" s="288" t="n"/>
      <c r="AG68" s="288" t="n"/>
      <c r="AH68" s="284" t="n"/>
      <c r="AI68" s="284" t="n"/>
      <c r="AJ68" s="284" t="n"/>
      <c r="AK68" s="284" t="n"/>
      <c r="AL68" s="284" t="n"/>
      <c r="AM68" s="284" t="n"/>
      <c r="AN68" s="284" t="n"/>
      <c r="AO68" s="284" t="n"/>
      <c r="AP68" s="284" t="n"/>
      <c r="AQ68" s="284" t="n"/>
      <c r="AR68" s="284" t="n"/>
      <c r="AS68" s="284" t="n"/>
    </row>
    <row r="69">
      <c r="A69" s="71" t="inlineStr">
        <is>
          <t>BAGIAN ADBANG</t>
        </is>
      </c>
      <c r="B69" s="58" t="n"/>
      <c r="D69" s="58" t="n"/>
      <c r="E69" s="58" t="n"/>
      <c r="F69" s="58" t="n"/>
      <c r="G69" s="58" t="n"/>
      <c r="H69" s="58" t="n"/>
      <c r="I69" s="58" t="n"/>
      <c r="J69" s="58" t="n"/>
      <c r="K69" s="58" t="n"/>
      <c r="L69" s="58" t="n"/>
      <c r="M69" s="58" t="n"/>
      <c r="N69" s="58" t="n"/>
      <c r="O69" s="58" t="n"/>
      <c r="P69" s="58" t="n"/>
      <c r="Q69" s="58" t="n"/>
      <c r="R69" s="58" t="n"/>
      <c r="S69" s="58" t="n"/>
      <c r="T69" s="58" t="n"/>
      <c r="U69" s="58" t="n"/>
      <c r="V69" s="58" t="n"/>
      <c r="W69" s="58" t="n"/>
      <c r="X69" s="58" t="n"/>
      <c r="Y69" s="58" t="n"/>
      <c r="Z69" s="58" t="n"/>
      <c r="AA69" s="58" t="n"/>
      <c r="AB69" s="58" t="n"/>
      <c r="AC69" s="58" t="n"/>
      <c r="AD69" s="58" t="n"/>
      <c r="AE69" s="58" t="n"/>
      <c r="AF69" s="288" t="n"/>
      <c r="AG69" s="288" t="n"/>
      <c r="AH69" s="90" t="n"/>
      <c r="AI69" s="284" t="n"/>
      <c r="AJ69" s="284" t="n"/>
      <c r="AK69" s="284" t="n"/>
      <c r="AL69" s="284" t="n"/>
      <c r="AM69" s="284" t="n"/>
      <c r="AN69" s="284" t="n"/>
      <c r="AO69" s="284" t="n"/>
      <c r="AP69" s="284" t="n"/>
      <c r="AQ69" s="284" t="n"/>
      <c r="AR69" s="284" t="n"/>
      <c r="AS69" s="284" t="n"/>
    </row>
    <row r="70">
      <c r="A70" s="73" t="n">
        <v>45</v>
      </c>
      <c r="B70" s="63" t="inlineStr">
        <is>
          <t>Layanan Administrasi Pembangunan</t>
        </is>
      </c>
      <c r="C70" t="inlineStr">
        <is>
          <t>BAGIAN ADBANG</t>
        </is>
      </c>
      <c r="D70" s="63" t="inlineStr">
        <is>
          <t>Membantu memfasilitasi perangkat daerah dalam informasi yang berkaitan dengan kegiatan pembangunan fisik/non fisik di lingkup Pemerintah Daerah Kabupaten Bandung yang bertujuan untuk mendorong terciptanya mekanisme informasi pembangunan yang berkualitas dan tertib administrasi</t>
        </is>
      </c>
      <c r="E70" s="63" t="inlineStr">
        <is>
          <t>PP No. 26 Tahun 2006 Tentang Tata Cara Pengendalian dan Evaluasi Pelaksanaan Rencana Pembangunan; PP No. 38 Tahun 2019 Tantang Inovasi Daerah; Perpres No. 95 Tahun 2018 Tentang Sistem Pemerintahan Berbasis Elektronik; Peraturan Bupati No 281 Tahun 2023 Tentang Penerapan Inovasi Berupa Pelaksanaan Monitoring Kegiatan Pembangunan Daerah Melalui Sistem Informasi Manajemen Administrasi Pembangunan; Peraturan Bupati No. 281 Tahun 2023 Tentang Penerapan Inovasi Berupa Pelaksanaan Monitoring Kegiatan Pembangunan Daerah Melalui Sistem Informasi Manajemen Administrasi Pembangunan; Keputusan Bupati Bandung No. 500.12/KEP.754-ADBANG/2024 Tentang Penetapan Pengelola Sistem Informasi Manajemen Administrasi Pembangunan Kabupaten Bandung.</t>
        </is>
      </c>
      <c r="F70" s="66" t="inlineStr">
        <is>
          <t>SOP Simbangun: https://drive.google.com/drive/folders/1uT9c4NGjI41uZyGgKpyquckLoM2rSaQa?usp=sharing</t>
        </is>
      </c>
      <c r="G70" s="64" t="inlineStr">
        <is>
          <t>PENINGKATAN KUALITAS PELAYANAN PUBLIK</t>
        </is>
      </c>
      <c r="H70" s="64" t="inlineStr">
        <is>
          <t>Instansi Pemerintah Lainnya</t>
        </is>
      </c>
      <c r="I70" s="64" t="inlineStr">
        <is>
          <t>Data Tenaga Ahli, Data Tenaga Terampil, Data Badan Usaha, Data Quarry, Data Lab. Uji Konstruksi, Data Sewa Alat, Data Paket Pekerjaan, Data Progres Paket Pekerjaan, BPJS</t>
        </is>
      </c>
      <c r="J70" s="64" t="inlineStr">
        <is>
          <t>Kurva-S, Diagram Rekap Data, Tagging Kordinat Lokasi dan Dokumentasi</t>
        </is>
      </c>
      <c r="K70" s="64" t="inlineStr">
        <is>
          <t>Terbatas</t>
        </is>
      </c>
      <c r="L70" s="64" t="inlineStr">
        <is>
          <t>Tidak terdapat</t>
        </is>
      </c>
      <c r="M70" s="64" t="inlineStr">
        <is>
          <t>Lainnya</t>
        </is>
      </c>
      <c r="N70" s="65" t="inlineStr">
        <is>
          <t>SIMBANGUN</t>
        </is>
      </c>
      <c r="O70" s="64" t="inlineStr">
        <is>
          <t>Pihak Ke 3</t>
        </is>
      </c>
      <c r="P70" s="64" t="inlineStr">
        <is>
          <t>Kab. Bandung</t>
        </is>
      </c>
      <c r="Q70" s="64" t="inlineStr">
        <is>
          <t>Website</t>
        </is>
      </c>
      <c r="R70" s="66" t="inlineStr">
        <is>
          <t>https://simbangun.bandungkab.go.id</t>
        </is>
      </c>
      <c r="S70" s="64" t="inlineStr">
        <is>
          <t>Secara Online</t>
        </is>
      </c>
      <c r="T70" s="64" t="inlineStr">
        <is>
          <t>Informasi</t>
        </is>
      </c>
      <c r="U70" s="64" t="n">
        <v>2022</v>
      </c>
      <c r="V70" s="64" t="inlineStr">
        <is>
          <t>Aktif</t>
        </is>
      </c>
      <c r="W70" s="64" t="inlineStr">
        <is>
          <t>Tidak</t>
        </is>
      </c>
      <c r="X70" s="64" t="inlineStr">
        <is>
          <t>Link ke Amel, sireka</t>
        </is>
      </c>
      <c r="Y70" s="64" t="inlineStr">
        <is>
          <t>Tidak Terintegrasi</t>
        </is>
      </c>
      <c r="Z70" s="64" t="inlineStr">
        <is>
          <t>Realtime</t>
        </is>
      </c>
      <c r="AA70" s="64" t="inlineStr">
        <is>
          <t>Bagian Administrasi Pembangunan</t>
        </is>
      </c>
      <c r="AB70" s="64" t="inlineStr">
        <is>
          <t>Setda</t>
        </is>
      </c>
      <c r="AC70" s="63" t="inlineStr">
        <is>
          <t>Wawan Purwanto, ST.</t>
        </is>
      </c>
      <c r="AD70" s="63" t="n">
        <v>8122233244</v>
      </c>
      <c r="AE70" s="63" t="inlineStr">
        <is>
          <t>wawan.purwanto3@gmail.com</t>
        </is>
      </c>
      <c r="AF70" s="67" t="inlineStr">
        <is>
          <t>-</t>
        </is>
      </c>
      <c r="AG70" s="68" t="inlineStr">
        <is>
          <t>Harian</t>
        </is>
      </c>
      <c r="AH70" s="91" t="inlineStr">
        <is>
          <t>OPD, Kecamatan</t>
        </is>
      </c>
      <c r="AI70" s="92" t="n"/>
      <c r="AJ70" s="92" t="n"/>
      <c r="AK70" s="92" t="n"/>
      <c r="AL70" s="92" t="n"/>
      <c r="AM70" s="92" t="n"/>
      <c r="AN70" s="92" t="n"/>
      <c r="AO70" s="92" t="n"/>
      <c r="AP70" s="92" t="n"/>
      <c r="AQ70" s="92" t="n"/>
      <c r="AR70" s="92" t="n"/>
      <c r="AS70" s="284" t="n"/>
    </row>
    <row r="71">
      <c r="A71" s="73" t="n">
        <v>46</v>
      </c>
      <c r="B71" s="67" t="inlineStr">
        <is>
          <t>Layanan Evaluasi Pelaporan Program Pembangunan</t>
        </is>
      </c>
      <c r="C71" t="inlineStr">
        <is>
          <t>BAGIAN ADBANG</t>
        </is>
      </c>
      <c r="D71" s="67" t="inlineStr">
        <is>
          <t>Untuk mengevaluasi pencapaian hasil dari program pembangunan yang telah dilaksanakan. Ini melibatkan analisis terhadap kinerja program, dampak terhadap masyarakat, efisiensi penggunaan sumber daya, dan ketaatan terhadap peraturan.</t>
        </is>
      </c>
      <c r="E71" s="63" t="inlineStr">
        <is>
          <t>Peraturan Pemerintah Nomor 13
 Tahun 2019 dan Peraturan Menteri Dalam Negeri No. 18 Tahun 2020</t>
        </is>
      </c>
      <c r="F71" s="288" t="n"/>
      <c r="G71" s="67" t="inlineStr">
        <is>
          <t>PENINGKATAN KUALITAS PELAYANAN PUBLIK</t>
        </is>
      </c>
      <c r="H71" s="67" t="inlineStr">
        <is>
          <t>Instansi Pemerintah Lainnya</t>
        </is>
      </c>
      <c r="I71" s="67" t="inlineStr">
        <is>
          <t>Data Evaluasi Program Pembangunan</t>
        </is>
      </c>
      <c r="J71" s="67" t="inlineStr">
        <is>
          <t>LKPJ, Tugas Perbantuan, DAK</t>
        </is>
      </c>
      <c r="K71" s="67" t="inlineStr">
        <is>
          <t>Terbatas</t>
        </is>
      </c>
      <c r="L71" s="67" t="inlineStr">
        <is>
          <t>Tidak terdapat</t>
        </is>
      </c>
      <c r="M71" s="67" t="inlineStr">
        <is>
          <t>Tahunan</t>
        </is>
      </c>
      <c r="N71" s="93" t="inlineStr">
        <is>
          <t>e-LKPJ</t>
        </is>
      </c>
      <c r="O71" s="67" t="inlineStr">
        <is>
          <t>Pihak Ke 3</t>
        </is>
      </c>
      <c r="P71" s="67" t="inlineStr">
        <is>
          <t>Pihak Ke 3 (Lisensi)</t>
        </is>
      </c>
      <c r="Q71" s="67" t="inlineStr">
        <is>
          <t>Website</t>
        </is>
      </c>
      <c r="R71" s="75" t="inlineStr">
        <is>
          <t>https://e-lkpj.id/bandungkab/web/index.php?r=dashboard%2Flogin</t>
        </is>
      </c>
      <c r="S71" s="67" t="inlineStr">
        <is>
          <t>Secara Online</t>
        </is>
      </c>
      <c r="T71" s="67" t="inlineStr">
        <is>
          <t>Informasi</t>
        </is>
      </c>
      <c r="U71" s="68" t="n">
        <v>2020</v>
      </c>
      <c r="V71" s="67" t="inlineStr">
        <is>
          <t>Aktif</t>
        </is>
      </c>
      <c r="W71" s="67" t="inlineStr">
        <is>
          <t>Tidak</t>
        </is>
      </c>
      <c r="X71" s="184" t="inlineStr">
        <is>
          <t>Tidak Terintegrasi</t>
        </is>
      </c>
      <c r="Y71" s="67" t="inlineStr">
        <is>
          <t>Tidak Terintegrasi</t>
        </is>
      </c>
      <c r="Z71" s="67" t="inlineStr">
        <is>
          <t>Tidak Terintegrasi</t>
        </is>
      </c>
      <c r="AA71" s="64" t="inlineStr">
        <is>
          <t>Bagian Administrasi Pembangunan</t>
        </is>
      </c>
      <c r="AB71" s="68" t="inlineStr">
        <is>
          <t>Setda</t>
        </is>
      </c>
      <c r="AC71" s="63" t="inlineStr">
        <is>
          <t>Wawan Purwanto, ST.</t>
        </is>
      </c>
      <c r="AD71" s="63" t="n">
        <v>8122233244</v>
      </c>
      <c r="AE71" s="63" t="inlineStr">
        <is>
          <t>wawan.purwanto3@gmail.com</t>
        </is>
      </c>
      <c r="AF71" s="67" t="inlineStr">
        <is>
          <t>-</t>
        </is>
      </c>
      <c r="AG71" s="68" t="inlineStr">
        <is>
          <t>Tahunan</t>
        </is>
      </c>
      <c r="AH71" s="91" t="inlineStr">
        <is>
          <t>OPD</t>
        </is>
      </c>
      <c r="AI71" s="92" t="n"/>
      <c r="AJ71" s="92" t="n"/>
      <c r="AK71" s="92" t="n"/>
      <c r="AL71" s="92" t="n"/>
      <c r="AM71" s="92" t="n"/>
      <c r="AN71" s="92" t="n"/>
      <c r="AO71" s="92" t="n"/>
      <c r="AP71" s="92" t="n"/>
      <c r="AQ71" s="92" t="n"/>
      <c r="AR71" s="92" t="n"/>
      <c r="AS71" s="284" t="n"/>
    </row>
    <row r="72">
      <c r="A72" s="71" t="inlineStr">
        <is>
          <t>BAGIAN BARJAS</t>
        </is>
      </c>
      <c r="B72" s="58" t="n"/>
      <c r="D72" s="58" t="n"/>
      <c r="E72" s="58" t="n"/>
      <c r="F72" s="58" t="n"/>
      <c r="G72" s="58" t="n"/>
      <c r="H72" s="58" t="n"/>
      <c r="I72" s="58" t="n"/>
      <c r="J72" s="58" t="n"/>
      <c r="K72" s="58" t="n"/>
      <c r="L72" s="58" t="n"/>
      <c r="M72" s="58" t="n"/>
      <c r="N72" s="58" t="n"/>
      <c r="O72" s="58" t="n"/>
      <c r="P72" s="58" t="n"/>
      <c r="Q72" s="58" t="n"/>
      <c r="R72" s="58" t="n"/>
      <c r="S72" s="58" t="n"/>
      <c r="T72" s="58" t="n"/>
      <c r="U72" s="58" t="n"/>
      <c r="V72" s="58" t="n"/>
      <c r="W72" s="58" t="n"/>
      <c r="X72" s="58" t="n"/>
      <c r="Y72" s="58" t="n"/>
      <c r="Z72" s="58" t="n"/>
      <c r="AA72" s="58" t="n"/>
      <c r="AB72" s="58" t="n"/>
      <c r="AC72" s="58" t="n"/>
      <c r="AD72" s="58" t="n"/>
      <c r="AE72" s="58" t="n"/>
      <c r="AF72" s="288" t="n"/>
      <c r="AG72" s="68" t="inlineStr">
        <is>
          <t>Tahunan</t>
        </is>
      </c>
      <c r="AH72" s="284" t="n"/>
      <c r="AI72" s="284" t="n"/>
      <c r="AJ72" s="284" t="n"/>
      <c r="AK72" s="284" t="n"/>
      <c r="AL72" s="284" t="n"/>
      <c r="AM72" s="284" t="n"/>
      <c r="AN72" s="284" t="n"/>
      <c r="AO72" s="284" t="n"/>
      <c r="AP72" s="284" t="n"/>
      <c r="AQ72" s="284" t="n"/>
      <c r="AR72" s="284" t="n"/>
      <c r="AS72" s="284" t="n"/>
    </row>
    <row r="73">
      <c r="A73" s="73" t="n">
        <v>48</v>
      </c>
      <c r="B73" s="63" t="inlineStr">
        <is>
          <t>Layanan Pengadaaan Barang dan Jasa</t>
        </is>
      </c>
      <c r="C73" t="inlineStr">
        <is>
          <t>BAGIAN BARJAS</t>
        </is>
      </c>
      <c r="D73" s="63" t="inlineStr">
        <is>
          <t>meningkatkan kualitas layanan,
 kapasitas dan keamanan informasi dalam
 penyelenggaraan layanan pengadaan Barang/Jasa
 secara elektronik dan memfasilitasi pelaksanaan Pengadaan Barang/Jasa secara elektronik</t>
        </is>
      </c>
      <c r="E73" s="63" t="inlineStr">
        <is>
          <t>Perpres Nomor 46 Tahun 2025 tentang Perubahan Kedua atas Peraturan Presiden Nomor 16 Tahun 2018 tentang Pengadaan Barang/Jasa Pemerintah</t>
        </is>
      </c>
      <c r="F73" s="66" t="inlineStr">
        <is>
          <t>https://drive.google.com/file/d/1bfEasna0yACDkjKfdw6Q1Zy2Ku88gtKx/view?usp=sharing</t>
        </is>
      </c>
      <c r="G73" s="64" t="inlineStr">
        <is>
          <t>PENINGKATAN KUALITAS PELAYANAN PUBLIK</t>
        </is>
      </c>
      <c r="H73" s="64" t="inlineStr">
        <is>
          <t>Pelaku Bisnis</t>
        </is>
      </c>
      <c r="I73" s="64" t="inlineStr">
        <is>
          <t>Proses Pengadaan Barang/Jasa Tender dan Non Tender, Akun PA/KPA, PPK dan Penyedia</t>
        </is>
      </c>
      <c r="J73" s="64" t="inlineStr">
        <is>
          <t>Data Pengadaan Barang/Jasa yang dilaksakan secara Tender dan Non Tender</t>
        </is>
      </c>
      <c r="K73" s="64" t="inlineStr">
        <is>
          <t>Terbuka</t>
        </is>
      </c>
      <c r="L73" s="64" t="inlineStr">
        <is>
          <t>Tidak terdapat</t>
        </is>
      </c>
      <c r="M73" s="64" t="inlineStr">
        <is>
          <t>Lainnya</t>
        </is>
      </c>
      <c r="N73" s="65" t="inlineStr">
        <is>
          <t>SPSE</t>
        </is>
      </c>
      <c r="O73" s="64" t="inlineStr">
        <is>
          <t>Pusat</t>
        </is>
      </c>
      <c r="P73" s="64" t="inlineStr">
        <is>
          <t>Pusat</t>
        </is>
      </c>
      <c r="Q73" s="64" t="inlineStr">
        <is>
          <t>Website</t>
        </is>
      </c>
      <c r="R73" s="66" t="inlineStr">
        <is>
          <t>https://spse.inaproc.id/bandungkab</t>
        </is>
      </c>
      <c r="S73" s="64" t="inlineStr">
        <is>
          <t>Secara Online</t>
        </is>
      </c>
      <c r="T73" s="64" t="inlineStr">
        <is>
          <t>Informasi</t>
        </is>
      </c>
      <c r="U73" s="64" t="n">
        <v>2013</v>
      </c>
      <c r="V73" s="64" t="inlineStr">
        <is>
          <t>Aktif</t>
        </is>
      </c>
      <c r="W73" s="64" t="inlineStr">
        <is>
          <t>Tidak</t>
        </is>
      </c>
      <c r="X73" s="64" t="inlineStr">
        <is>
          <t>Tidak Terintegrasi</t>
        </is>
      </c>
      <c r="Y73" s="64" t="inlineStr">
        <is>
          <t>Tidak Terintegrasi</t>
        </is>
      </c>
      <c r="Z73" s="64" t="inlineStr">
        <is>
          <t>Tidak Terintegrasi</t>
        </is>
      </c>
      <c r="AA73" s="64" t="inlineStr">
        <is>
          <t>Bagian Pengadaan Barang/Jasa</t>
        </is>
      </c>
      <c r="AB73" s="64" t="inlineStr">
        <is>
          <t>Setda</t>
        </is>
      </c>
      <c r="AC73" s="63" t="inlineStr">
        <is>
          <t>Ana Suryana, ST., MM.</t>
        </is>
      </c>
      <c r="AD73" s="63" t="n">
        <v>85220648981</v>
      </c>
      <c r="AE73" s="63" t="inlineStr">
        <is>
          <t>helpdesk.bandung.kab@gmail.com</t>
        </is>
      </c>
      <c r="AF73" s="200" t="n"/>
      <c r="AG73" s="68" t="inlineStr">
        <is>
          <t>Tahunan</t>
        </is>
      </c>
      <c r="AH73" s="284" t="n"/>
      <c r="AI73" s="284" t="n"/>
      <c r="AJ73" s="284" t="n"/>
      <c r="AK73" s="284" t="n"/>
      <c r="AL73" s="284" t="n"/>
      <c r="AM73" s="284" t="n"/>
      <c r="AN73" s="284" t="n"/>
      <c r="AO73" s="284" t="n"/>
      <c r="AP73" s="284" t="n"/>
      <c r="AQ73" s="284" t="n"/>
      <c r="AR73" s="284" t="n"/>
      <c r="AS73" s="284" t="n"/>
    </row>
    <row r="74">
      <c r="A74" s="71" t="inlineStr">
        <is>
          <t>BAGIAN SDA</t>
        </is>
      </c>
      <c r="B74" s="58" t="n"/>
      <c r="D74" s="58" t="n"/>
      <c r="E74" s="58" t="n"/>
      <c r="F74" s="58" t="n"/>
      <c r="G74" s="58" t="n"/>
      <c r="H74" s="58" t="n"/>
      <c r="I74" s="58" t="n"/>
      <c r="J74" s="58" t="n"/>
      <c r="K74" s="58" t="n"/>
      <c r="L74" s="58" t="n"/>
      <c r="M74" s="58" t="n"/>
      <c r="N74" s="58" t="n"/>
      <c r="O74" s="58" t="n"/>
      <c r="P74" s="58" t="n"/>
      <c r="Q74" s="58" t="n"/>
      <c r="R74" s="58" t="n"/>
      <c r="S74" s="58" t="n"/>
      <c r="T74" s="58" t="n"/>
      <c r="U74" s="58" t="n"/>
      <c r="V74" s="58" t="n"/>
      <c r="W74" s="58" t="n"/>
      <c r="X74" s="58" t="n"/>
      <c r="Y74" s="58" t="n"/>
      <c r="Z74" s="58" t="n"/>
      <c r="AA74" s="58" t="n"/>
      <c r="AB74" s="58" t="n"/>
      <c r="AC74" s="58" t="n"/>
      <c r="AD74" s="58" t="n"/>
      <c r="AE74" s="58" t="n"/>
      <c r="AF74" s="200" t="n"/>
      <c r="AG74" s="200" t="n"/>
      <c r="AH74" s="284" t="n"/>
      <c r="AI74" s="284" t="n"/>
      <c r="AJ74" s="284" t="n"/>
      <c r="AK74" s="284" t="n"/>
      <c r="AL74" s="284" t="n"/>
      <c r="AM74" s="284" t="n"/>
      <c r="AN74" s="284" t="n"/>
      <c r="AO74" s="284" t="n"/>
      <c r="AP74" s="284" t="n"/>
      <c r="AQ74" s="284" t="n"/>
      <c r="AR74" s="284" t="n"/>
      <c r="AS74" s="284" t="n"/>
    </row>
    <row r="75">
      <c r="A75" s="73" t="n">
        <v>49</v>
      </c>
      <c r="B75" s="63" t="inlineStr">
        <is>
          <t>Layanan Satgas Percepatan Penyelenggaraan MBG Kabupaten Bandung</t>
        </is>
      </c>
      <c r="C75" t="inlineStr">
        <is>
          <t>BAGIAN SDA</t>
        </is>
      </c>
      <c r="D75" s="63" t="inlineStr">
        <is>
          <t>1. Mengatur, mendokumentasikan, dan menyimpan seluruh dokumen 
 administrasi yang berkaitan dengan pelaksanaan program, seperti 
 notulen rapat, surat-menyurat, laporan, dan arsip lainnya;
 2. Memfasilitasi komunikasi dan koordinasi antar anggota Satuan 
 Tugas serta dengan pihak-pihak terkait lainnya agar informasi 
 tersampaikan dengan baik dan tepat waktu;
 3. Menyusun dan mengatur jadwal rapat, kunjungan lapangan, dan 
 kegiatan Satuan Tugas lainnya, serta memastikan pelaksanaan 
 kegiatan sesuai dengan jadwal yang ditetapkan;
 4. Membantu dalam penyusunan laporan pelaksanaan program, yang 
 akan disampaikan kepada pembina atau pengarah;
 5. Menyiapkan agenda rapat, mengundang peserta rapat, menyiapkan 
 bahan rapat, dan mencatat hasil rapat sebagai bahan tindak lanjut;
 6. Menjaga dan mengelola arsip data program makan siang bergizi 
 gratis untuk memudahkan akses informasi dan dokumentasi yang 
 dibutuhkan Satuan Tugas; dan
 7. Membantu dalam pengumpulan dan pendataan kebutuhan, 
 capaian, dan kendala pelaksanaan program makan siang bergizi 
 gratis.</t>
        </is>
      </c>
      <c r="E75" s="67" t="inlineStr">
        <is>
          <t>KEPUTUSAN BUPATI BANDUNG NOMOR : 000.8.1.1/KEP.465-HUK/2025 PEMBENTUKAN SATUAN TUGAS PERCEPATAN PENYELENGGARAAN 
 PROGRAM MAKAN SIANG BERGIZI GRATIS KABUPATEN BANDUNG</t>
        </is>
      </c>
      <c r="F75" s="288" t="n"/>
      <c r="G75" s="64" t="inlineStr">
        <is>
          <t>PENGENDALIAN PROGRAM PRIORITAS NASIONAL</t>
        </is>
      </c>
      <c r="H75" s="64" t="inlineStr">
        <is>
          <t>Instansi Pemerintah Lainnya</t>
        </is>
      </c>
      <c r="I75" s="64" t="inlineStr">
        <is>
          <t>Data Koordinasi dan Fasilitasi Pelaksanaan Program Pemerintah Daerah</t>
        </is>
      </c>
      <c r="J75" s="63" t="inlineStr">
        <is>
          <t>SK Pembentukan Satgas MBG Kabupaten BandungDokumen rencana kerja / rencana aksi percepatan penyelenggaraan MBG, Notulen atau berita acara rapat koordinasi Satgas MBG, Laporan pelaksanaan kegiatan Satgas, Laporan monitoring dan evaluasi pelaksanaan MBG, Rekomendasi kebijakan atau tindak lanjut percepatan MBG dan Data progres pelaksanaan program MBG di Kabupaten Bandung</t>
        </is>
      </c>
      <c r="K75" s="64" t="inlineStr">
        <is>
          <t>Terbuka</t>
        </is>
      </c>
      <c r="L75" s="64" t="inlineStr">
        <is>
          <t>Tidak terdapat</t>
        </is>
      </c>
      <c r="M75" s="64" t="inlineStr">
        <is>
          <t>Mingguan</t>
        </is>
      </c>
      <c r="N75" s="80" t="inlineStr">
        <is>
          <t>Dashboard Satgas MBG</t>
        </is>
      </c>
      <c r="O75" s="64" t="inlineStr">
        <is>
          <t>Diskominfo</t>
        </is>
      </c>
      <c r="P75" s="64" t="inlineStr">
        <is>
          <t>Kab. Bandung</t>
        </is>
      </c>
      <c r="Q75" s="64" t="inlineStr">
        <is>
          <t>Website dan Mobile</t>
        </is>
      </c>
      <c r="R75" s="66" t="inlineStr">
        <is>
          <t>https://aplikasi.bandungkab.go.id/publik/dashboard-pendataan-profil-sppg-aktif-untuk-satgas-mbg</t>
        </is>
      </c>
      <c r="S75" s="64" t="inlineStr">
        <is>
          <t>Secara Online</t>
        </is>
      </c>
      <c r="T75" s="64" t="inlineStr">
        <is>
          <t>Informasi</t>
        </is>
      </c>
      <c r="U75" s="77" t="n">
        <v>2025</v>
      </c>
      <c r="V75" s="64" t="inlineStr">
        <is>
          <t>Aktif</t>
        </is>
      </c>
      <c r="W75" s="64" t="inlineStr">
        <is>
          <t>Tidak</t>
        </is>
      </c>
      <c r="X75" s="64" t="inlineStr">
        <is>
          <t>Terintegrasi (Dashboard Pimpinan)</t>
        </is>
      </c>
      <c r="Y75" s="67" t="inlineStr">
        <is>
          <t>Database to Database</t>
        </is>
      </c>
      <c r="Z75" s="64" t="inlineStr">
        <is>
          <t>Realtime</t>
        </is>
      </c>
      <c r="AA75" s="64" t="inlineStr">
        <is>
          <t>bagian SDA</t>
        </is>
      </c>
      <c r="AB75" s="64" t="inlineStr">
        <is>
          <t>Setda, Inspektorat, Disdik, Dinkes, DPUTR</t>
        </is>
      </c>
      <c r="AC75" s="66" t="inlineStr">
        <is>
          <t>RUSLI BAIJURI,AP.M.KP</t>
        </is>
      </c>
      <c r="AD75" s="288" t="n"/>
      <c r="AE75" s="67" t="inlineStr">
        <is>
          <t>bagsdasetdakabbandung@gmail.com</t>
        </is>
      </c>
      <c r="AF75" s="76" t="inlineStr">
        <is>
          <t>Prioritas Nasional</t>
        </is>
      </c>
      <c r="AG75" s="68" t="inlineStr">
        <is>
          <t>Harian</t>
        </is>
      </c>
      <c r="AH75" s="216" t="inlineStr">
        <is>
          <t>Desa, Kecamatan &amp; Kabupaten</t>
        </is>
      </c>
      <c r="AK75" s="92" t="n"/>
      <c r="AL75" s="92" t="n"/>
      <c r="AM75" s="92" t="n"/>
      <c r="AN75" s="92" t="n"/>
      <c r="AO75" s="92" t="n"/>
      <c r="AP75" s="92" t="n"/>
      <c r="AQ75" s="92" t="n"/>
      <c r="AR75" s="92" t="n"/>
      <c r="AS75" s="284" t="n"/>
    </row>
    <row r="76">
      <c r="A76" s="73" t="n">
        <v>50</v>
      </c>
      <c r="B76" s="63" t="inlineStr">
        <is>
          <t>Layanan penginputan rencana kerja anggaran, laporan hasil kegiatan dan realisasi DBHCHT</t>
        </is>
      </c>
      <c r="C76" t="inlineStr">
        <is>
          <t>BAGIAN SDA</t>
        </is>
      </c>
      <c r="D76" s="63" t="inlineStr">
        <is>
          <t>Meningkatkan kualitas produk hukum agar sesuai tujuan seperti kepastian hukum, manfaat, dan keadilan bagi pemangku kepentingan</t>
        </is>
      </c>
      <c r="E76" s="67" t="inlineStr">
        <is>
          <t>KEPUTUSAN BUPATI BANDUNG NOMOR : 900.1.14.3/KEP.657-PEREK/2025 PENETAPAN PAGU ALOKASI DANA BAGI HASIL CUKAI HASIL TEMBAKAU
 BAGIAN PEMERINTAH KABUPATEN BANDUNG TAHUN ANGGARAN 2026</t>
        </is>
      </c>
      <c r="F76" s="288" t="n"/>
      <c r="G76" s="64" t="inlineStr">
        <is>
          <t>PENINGKATAN KUALITAS REFORMASI BIROKRASI, PENGAWASAN, DAN AKUNTABILITAS KINERJA</t>
        </is>
      </c>
      <c r="H76" s="64" t="inlineStr">
        <is>
          <t>Instansi Pemerintah Lainnya</t>
        </is>
      </c>
      <c r="I76" s="64" t="inlineStr">
        <is>
          <t>realisasi dan laporan hasil kegiatan DBHCHT</t>
        </is>
      </c>
      <c r="J76" s="64" t="inlineStr">
        <is>
          <t>realisasi dan laporan hasil kegiatan DBHCHT</t>
        </is>
      </c>
      <c r="K76" s="64" t="inlineStr">
        <is>
          <t>Terbuka</t>
        </is>
      </c>
      <c r="L76" s="64" t="inlineStr">
        <is>
          <t>Tidak terdapat</t>
        </is>
      </c>
      <c r="M76" s="64" t="inlineStr">
        <is>
          <t>Bulanan</t>
        </is>
      </c>
      <c r="N76" s="65" t="inlineStr">
        <is>
          <t>e-DBHCHT</t>
        </is>
      </c>
      <c r="O76" s="64" t="inlineStr">
        <is>
          <t>Provinsi</t>
        </is>
      </c>
      <c r="P76" s="64" t="inlineStr">
        <is>
          <t>Provinsi</t>
        </is>
      </c>
      <c r="Q76" s="64" t="inlineStr">
        <is>
          <t>Website</t>
        </is>
      </c>
      <c r="R76" s="66" t="inlineStr">
        <is>
          <t>https://www.appsheet.com/Account/Login?appName=DBHCHT%20App&amp;FullScope=False&amp;provider=google&amp;returnUrl=https%3A%2F%2Fwww.appsheet.com%2Fstart%2F93891b63-df85-4aa1-a7bf-d007dfa96cf8%3Fplatform%3Ddesktop#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t>
        </is>
      </c>
      <c r="S76" s="64" t="inlineStr">
        <is>
          <t>Secara Online</t>
        </is>
      </c>
      <c r="T76" s="64" t="inlineStr">
        <is>
          <t>Informasi</t>
        </is>
      </c>
      <c r="U76" s="67" t="inlineStr">
        <is>
          <t>-</t>
        </is>
      </c>
      <c r="V76" s="64" t="inlineStr">
        <is>
          <t>Aktif</t>
        </is>
      </c>
      <c r="W76" s="64" t="inlineStr">
        <is>
          <t>Tidak</t>
        </is>
      </c>
      <c r="X76" s="64" t="inlineStr">
        <is>
          <t>Tidak Terintegrasi</t>
        </is>
      </c>
      <c r="Y76" s="67" t="inlineStr">
        <is>
          <t>Manual</t>
        </is>
      </c>
      <c r="Z76" s="64" t="inlineStr">
        <is>
          <t>Realtime</t>
        </is>
      </c>
      <c r="AA76" s="64" t="inlineStr">
        <is>
          <t>bagian SDA</t>
        </is>
      </c>
      <c r="AB76" s="64" t="inlineStr">
        <is>
          <t>Setda, Dinkes, Disnaker, Dinsos, Disperdagin, Distan, Satpol PP</t>
        </is>
      </c>
      <c r="AC76" s="66" t="inlineStr">
        <is>
          <t>RUSLI BAIJURI,AP.M.KP</t>
        </is>
      </c>
      <c r="AD76" s="288" t="n"/>
      <c r="AE76" s="67" t="inlineStr">
        <is>
          <t>bagsdasetdakabbandung@gmail.com</t>
        </is>
      </c>
      <c r="AF76" s="288" t="n"/>
      <c r="AG76" s="288" t="n"/>
      <c r="AH76" s="284" t="n"/>
      <c r="AI76" s="284" t="n"/>
      <c r="AJ76" s="284" t="n"/>
      <c r="AK76" s="284" t="n"/>
      <c r="AL76" s="284" t="n"/>
      <c r="AM76" s="284" t="n"/>
      <c r="AN76" s="284" t="n"/>
      <c r="AO76" s="284" t="n"/>
      <c r="AP76" s="284" t="n"/>
      <c r="AQ76" s="284" t="n"/>
      <c r="AR76" s="284" t="n"/>
      <c r="AS76" s="284" t="n"/>
    </row>
    <row r="77">
      <c r="A77" s="71" t="inlineStr">
        <is>
          <t>SETWAN</t>
        </is>
      </c>
      <c r="B77" s="58" t="n"/>
      <c r="D77" s="58" t="n"/>
      <c r="E77" s="58" t="n"/>
      <c r="F77" s="58" t="n"/>
      <c r="G77" s="58" t="n"/>
      <c r="H77" s="58" t="n"/>
      <c r="I77" s="58" t="n"/>
      <c r="J77" s="58" t="n"/>
      <c r="K77" s="58" t="n"/>
      <c r="L77" s="58" t="n"/>
      <c r="M77" s="58" t="n"/>
      <c r="N77" s="58" t="n"/>
      <c r="O77" s="58" t="n"/>
      <c r="P77" s="58" t="n"/>
      <c r="Q77" s="58" t="n"/>
      <c r="R77" s="58" t="n"/>
      <c r="S77" s="58" t="n"/>
      <c r="T77" s="58" t="n"/>
      <c r="U77" s="58" t="n"/>
      <c r="V77" s="58" t="n"/>
      <c r="W77" s="58" t="n"/>
      <c r="X77" s="58" t="n"/>
      <c r="Y77" s="58" t="n"/>
      <c r="Z77" s="58" t="n"/>
      <c r="AA77" s="58" t="n"/>
      <c r="AB77" s="58" t="n"/>
      <c r="AC77" s="58" t="n"/>
      <c r="AD77" s="58" t="n"/>
      <c r="AE77" s="58" t="n"/>
      <c r="AF77" s="200" t="n"/>
      <c r="AG77" s="200" t="n"/>
      <c r="AH77" s="284" t="n"/>
      <c r="AI77" s="284" t="n"/>
      <c r="AJ77" s="284" t="n"/>
      <c r="AK77" s="284" t="n"/>
      <c r="AL77" s="284" t="n"/>
      <c r="AM77" s="284" t="n"/>
      <c r="AN77" s="284" t="n"/>
      <c r="AO77" s="284" t="n"/>
      <c r="AP77" s="284" t="n"/>
      <c r="AQ77" s="284" t="n"/>
      <c r="AR77" s="284" t="n"/>
      <c r="AS77" s="284" t="n"/>
    </row>
    <row r="78">
      <c r="A78" s="182" t="n">
        <v>1</v>
      </c>
      <c r="B78" s="178" t="inlineStr">
        <is>
          <t>Layanan Penyerapan Asiparasi Masyarakat Kepada DPRD</t>
        </is>
      </c>
      <c r="C78" t="inlineStr">
        <is>
          <t>SETWAN</t>
        </is>
      </c>
      <c r="D78" s="178" t="inlineStr">
        <is>
          <t>Layanan Penyerapan Aspirasi Masyarakat kepada DPRD memungkinkan warga Kabupaten Bandung untuk mengungkapkan aspirasi, usulan, dan kekhawatiran mereka kepada DPRD. Warga Kabupaten Bandung dapat dengan mudah menulis pesan atau mengirimkan keluhan terkait isu-isu seperti infrastruktur, pendidikan,kesehatan, lingkungan, dan lainnya.</t>
        </is>
      </c>
      <c r="E78" s="178" t="inlineStr">
        <is>
          <t>Peraturan Bupati Bandung Nomor 245 Tahun 2023 Tentang Layanan Aspirasi Masyarakat Secara Elektronik Melalui DPRD Bedas Mendengar Rakyat Bandung (D'Benderang)</t>
        </is>
      </c>
      <c r="F78" s="70" t="inlineStr">
        <is>
          <t>https://drive.google.com/file/d/1Xev2F7vScZDTlBaqHqPh8lzFUMNB_y8a/view?usp=sharing</t>
        </is>
      </c>
      <c r="G78" s="184" t="inlineStr">
        <is>
          <t>PENINGKATAN KUALITAS PELAYANAN PUBLIK</t>
        </is>
      </c>
      <c r="H78" s="184" t="inlineStr">
        <is>
          <t>Masyarakat</t>
        </is>
      </c>
      <c r="I78" s="184" t="inlineStr">
        <is>
          <t>Data Pengaduan dan Aspirasi Masyarakat</t>
        </is>
      </c>
      <c r="J78" s="178" t="inlineStr">
        <is>
          <t>Data Pengaduan dan Aspirasi Masyarakat</t>
        </is>
      </c>
      <c r="K78" s="184" t="inlineStr">
        <is>
          <t>Terbuka</t>
        </is>
      </c>
      <c r="L78" s="184" t="inlineStr">
        <is>
          <t>Terdapat</t>
        </is>
      </c>
      <c r="M78" s="184" t="inlineStr">
        <is>
          <t>Harian</t>
        </is>
      </c>
      <c r="N78" s="97" t="inlineStr">
        <is>
          <t>D'benderang</t>
        </is>
      </c>
      <c r="O78" s="184" t="inlineStr">
        <is>
          <t>Diskominfo</t>
        </is>
      </c>
      <c r="P78" s="184" t="inlineStr">
        <is>
          <t>Kab. Bandung</t>
        </is>
      </c>
      <c r="Q78" s="184" t="inlineStr">
        <is>
          <t>Website</t>
        </is>
      </c>
      <c r="R78" s="288" t="n"/>
      <c r="S78" s="184" t="inlineStr">
        <is>
          <t>Secara Online</t>
        </is>
      </c>
      <c r="T78" s="184" t="inlineStr">
        <is>
          <t>Transaksi</t>
        </is>
      </c>
      <c r="U78" s="98" t="n">
        <v>2022</v>
      </c>
      <c r="V78" s="184" t="inlineStr">
        <is>
          <t>Maintenance</t>
        </is>
      </c>
      <c r="W78" s="184" t="inlineStr">
        <is>
          <t>Tidak</t>
        </is>
      </c>
      <c r="X78" s="288" t="n"/>
      <c r="Y78" s="288" t="n"/>
      <c r="Z78" s="184" t="inlineStr">
        <is>
          <t>Lainnya</t>
        </is>
      </c>
      <c r="AA78" s="184" t="inlineStr">
        <is>
          <t>Bagian Umum</t>
        </is>
      </c>
      <c r="AB78" s="184" t="inlineStr">
        <is>
          <t>Setwan</t>
        </is>
      </c>
      <c r="AC78" s="178" t="inlineStr">
        <is>
          <t>Hilmy Farhan</t>
        </is>
      </c>
      <c r="AD78" s="178" t="n">
        <v>816379600</v>
      </c>
      <c r="AE78" s="288" t="n"/>
      <c r="AF78" s="288" t="n"/>
      <c r="AG78" s="67" t="inlineStr">
        <is>
          <t>Harian</t>
        </is>
      </c>
      <c r="AH78" s="284" t="n"/>
      <c r="AI78" s="284" t="n"/>
      <c r="AJ78" s="284" t="n"/>
      <c r="AK78" s="284" t="n"/>
      <c r="AL78" s="284" t="n"/>
      <c r="AM78" s="284" t="n"/>
      <c r="AN78" s="284" t="n"/>
      <c r="AO78" s="284" t="n"/>
      <c r="AP78" s="284" t="n"/>
      <c r="AQ78" s="284" t="n"/>
      <c r="AR78" s="284" t="n"/>
      <c r="AS78" s="284" t="n"/>
    </row>
    <row r="79">
      <c r="A79" s="182" t="n">
        <v>2</v>
      </c>
      <c r="B79" s="178" t="inlineStr">
        <is>
          <t>Layanan Sistem Informasi Hukum DPRD</t>
        </is>
      </c>
      <c r="C79" t="inlineStr">
        <is>
          <t>SETWAN</t>
        </is>
      </c>
      <c r="D79" s="178" t="inlineStr">
        <is>
          <t>Layanan Sistem Informasi Hukum DPRD merupakan layanan yang berada di Sekretariat DPRD yang memiliki manfaat agar seluruh masyarakat di kabupaten Bandung maupun Indonesia dapat mengakses seluruh produk hukum Peraturan Daerah (Perda), Peraturan DPRD, Surat Keputusan Pimpinan DPRD dan Surat Keputusan Sekretaris DPRD yang telah ditetapkan.</t>
        </is>
      </c>
      <c r="E79" s="178" t="inlineStr">
        <is>
          <t>Peraturan Presiden Nomor 33 Tahun 2012 tentang Jaringan Dokumentasi dan Informasi Hukum Nasional</t>
        </is>
      </c>
      <c r="F79" s="288" t="n"/>
      <c r="G79" s="184" t="inlineStr">
        <is>
          <t>HUKUM DAN PERJANJIAN INTERNASIONAL</t>
        </is>
      </c>
      <c r="H79" s="184" t="inlineStr">
        <is>
          <t>Masyarakat</t>
        </is>
      </c>
      <c r="I79" s="184" t="inlineStr">
        <is>
          <t>Data Keputusan dan Peraturan DPRD</t>
        </is>
      </c>
      <c r="J79" s="184" t="inlineStr">
        <is>
          <t>Data Keputusan dan Peraturan DPRD</t>
        </is>
      </c>
      <c r="K79" s="184" t="inlineStr">
        <is>
          <t>Terbuka</t>
        </is>
      </c>
      <c r="L79" s="184" t="inlineStr">
        <is>
          <t>Tidak terdapat</t>
        </is>
      </c>
      <c r="M79" s="184" t="inlineStr">
        <is>
          <t>Harian</t>
        </is>
      </c>
      <c r="N79" s="97" t="inlineStr">
        <is>
          <t>Bersih DPRD</t>
        </is>
      </c>
      <c r="O79" s="184" t="inlineStr">
        <is>
          <t>Diskominfo</t>
        </is>
      </c>
      <c r="P79" s="184" t="inlineStr">
        <is>
          <t>Kab. Bandung</t>
        </is>
      </c>
      <c r="Q79" s="184" t="inlineStr">
        <is>
          <t>Website</t>
        </is>
      </c>
      <c r="R79" s="70" t="inlineStr">
        <is>
          <t>https://jdihdprd.bandungkab.go.id/</t>
        </is>
      </c>
      <c r="S79" s="184" t="inlineStr">
        <is>
          <t>Secara Online</t>
        </is>
      </c>
      <c r="T79" s="184" t="inlineStr">
        <is>
          <t>Informasi</t>
        </is>
      </c>
      <c r="U79" s="98" t="n">
        <v>2022</v>
      </c>
      <c r="V79" s="184" t="inlineStr">
        <is>
          <t>Aktif</t>
        </is>
      </c>
      <c r="W79" s="184" t="inlineStr">
        <is>
          <t>Ya</t>
        </is>
      </c>
      <c r="X79" s="184" t="inlineStr">
        <is>
          <t>JDIH</t>
        </is>
      </c>
      <c r="Y79" s="184" t="inlineStr">
        <is>
          <t>API</t>
        </is>
      </c>
      <c r="Z79" s="184" t="inlineStr">
        <is>
          <t>Harian</t>
        </is>
      </c>
      <c r="AA79" s="184" t="inlineStr">
        <is>
          <t>Bagian Persidangan dan Perundang-undangan</t>
        </is>
      </c>
      <c r="AB79" s="184" t="inlineStr">
        <is>
          <t>Setwan</t>
        </is>
      </c>
      <c r="AC79" s="178" t="inlineStr">
        <is>
          <t>HAIFA NUR GHAIDA, S.I.Kom</t>
        </is>
      </c>
      <c r="AD79" s="178" t="n">
        <v>81313077230</v>
      </c>
      <c r="AE79" s="288" t="n"/>
      <c r="AF79" s="288" t="n"/>
      <c r="AG79" s="67" t="inlineStr">
        <is>
          <t>Harian</t>
        </is>
      </c>
      <c r="AH79" s="284" t="n"/>
      <c r="AI79" s="284" t="n"/>
      <c r="AJ79" s="284" t="n"/>
      <c r="AK79" s="284" t="n"/>
      <c r="AL79" s="284" t="n"/>
      <c r="AM79" s="284" t="n"/>
      <c r="AN79" s="284" t="n"/>
      <c r="AO79" s="284" t="n"/>
      <c r="AP79" s="284" t="n"/>
      <c r="AQ79" s="284" t="n"/>
      <c r="AR79" s="284" t="n"/>
      <c r="AS79" s="284" t="n"/>
    </row>
    <row r="80">
      <c r="A80" s="99" t="n">
        <v>3</v>
      </c>
      <c r="B80" s="100" t="inlineStr">
        <is>
          <t>Layanan Penerimaan Tamu DPRD</t>
        </is>
      </c>
      <c r="C80" t="inlineStr">
        <is>
          <t>SETWAN</t>
        </is>
      </c>
      <c r="D80" s="100" t="inlineStr">
        <is>
          <t>Layanan Penerimaan Tamu DPRD merupakan Layanan penerimaan kunjungan Tamu baik DPRD maupun Sekretariat DPRD ke Kantor Sekretariat DPRD Kabupaten Bandung dalam rangka kunjungan kerja dan studi komparasi.</t>
        </is>
      </c>
      <c r="E80" s="100" t="inlineStr">
        <is>
          <t>Peraturan Bupati Bandung Nomor 49 Tahun 2016 Tentang Pengelolaan Tamu Dinas di Lingkungan Pemerintah Kabupaten Bandung</t>
        </is>
      </c>
      <c r="F80" s="286" t="n"/>
      <c r="G80" s="102" t="inlineStr">
        <is>
          <t>INFORMASI DAN DIPLOMASI PUBLIK</t>
        </is>
      </c>
      <c r="H80" s="102" t="inlineStr">
        <is>
          <t>Instansi Pemerintah Lainnya</t>
        </is>
      </c>
      <c r="I80" s="102" t="inlineStr">
        <is>
          <t>Data Kunjungan Tamu DPRD</t>
        </is>
      </c>
      <c r="J80" s="102" t="inlineStr">
        <is>
          <t>Data Kunjungan Tamu DPRD</t>
        </is>
      </c>
      <c r="K80" s="102" t="inlineStr">
        <is>
          <t>Terbuka</t>
        </is>
      </c>
      <c r="L80" s="286" t="n"/>
      <c r="M80" s="286" t="n"/>
      <c r="N80" s="286" t="n"/>
      <c r="O80" s="102" t="inlineStr">
        <is>
          <t>Diskominfo</t>
        </is>
      </c>
      <c r="P80" s="102" t="inlineStr">
        <is>
          <t>Kab. Bandung</t>
        </is>
      </c>
      <c r="Q80" s="286" t="n"/>
      <c r="R80" s="70" t="inlineStr">
        <is>
          <t>https://aplikasi.bandungkab.go.id/publik/dashboard-kunjungan-dprd-kab-bandung</t>
        </is>
      </c>
      <c r="S80" s="102" t="inlineStr">
        <is>
          <t>Secara Online</t>
        </is>
      </c>
      <c r="T80" s="102" t="inlineStr">
        <is>
          <t>Transaksi</t>
        </is>
      </c>
      <c r="U80" s="104" t="n">
        <v>2025</v>
      </c>
      <c r="V80" s="102" t="inlineStr">
        <is>
          <t>Aktif</t>
        </is>
      </c>
      <c r="W80" s="102" t="inlineStr">
        <is>
          <t>Ya</t>
        </is>
      </c>
      <c r="X80" s="102" t="inlineStr">
        <is>
          <t>Dashboard Kabupaten Bandung</t>
        </is>
      </c>
      <c r="Y80" s="102" t="inlineStr">
        <is>
          <t>API</t>
        </is>
      </c>
      <c r="Z80" s="102" t="inlineStr">
        <is>
          <t>Harian</t>
        </is>
      </c>
      <c r="AA80" s="184" t="inlineStr">
        <is>
          <t>Bagian Umum</t>
        </is>
      </c>
      <c r="AB80" s="184" t="inlineStr">
        <is>
          <t>Setwan</t>
        </is>
      </c>
      <c r="AC80" s="178" t="inlineStr">
        <is>
          <t>NOOR DINA CAMELIA, S.I.Kom</t>
        </is>
      </c>
      <c r="AD80" s="178" t="n">
        <v>895385108021</v>
      </c>
      <c r="AE80" s="288" t="n"/>
      <c r="AF80" s="288" t="n"/>
      <c r="AG80" s="67" t="inlineStr">
        <is>
          <t>Harian</t>
        </is>
      </c>
      <c r="AH80" s="284" t="n"/>
      <c r="AI80" s="284" t="n"/>
      <c r="AJ80" s="284" t="n"/>
      <c r="AK80" s="284" t="n"/>
      <c r="AL80" s="284" t="n"/>
      <c r="AM80" s="284" t="n"/>
      <c r="AN80" s="284" t="n"/>
      <c r="AO80" s="284" t="n"/>
      <c r="AP80" s="284" t="n"/>
      <c r="AQ80" s="284" t="n"/>
      <c r="AR80" s="284" t="n"/>
      <c r="AS80" s="284" t="n"/>
    </row>
    <row r="81">
      <c r="A81" s="99" t="n">
        <v>4</v>
      </c>
      <c r="B81" s="100" t="inlineStr">
        <is>
          <t>Layanan MCU DPRD</t>
        </is>
      </c>
      <c r="C81" t="inlineStr">
        <is>
          <t>SETWAN</t>
        </is>
      </c>
      <c r="D81" s="100" t="inlineStr">
        <is>
          <t>Layanan MCU DPRD merupakan layanan pemeriksaan kesehatan kepada Anggota DPRD yang bertujuan untuk mengetahui status kesehatan di luar cakupan pelayanan kesehatan yang diberikan oleh Badan penyelenggara Jaminan Sosial Kesehatan</t>
        </is>
      </c>
      <c r="E81" s="100" t="inlineStr">
        <is>
          <t>Peraturan Pemerintah Republik Indonesia Nomor 18 Tahun 2017 Tentang Hak Keuangan dan Administratif Pimpinan dan Anggota DPRD</t>
        </is>
      </c>
      <c r="F81" s="286" t="n"/>
      <c r="G81" s="102" t="inlineStr">
        <is>
          <t>INFORMASI DAN DIPLOMASI PUBLIK</t>
        </is>
      </c>
      <c r="H81" s="102" t="inlineStr">
        <is>
          <t>Instansi Pemerintah Lainnya</t>
        </is>
      </c>
      <c r="I81" s="102" t="inlineStr">
        <is>
          <t>Data MCU DPRD</t>
        </is>
      </c>
      <c r="J81" s="102" t="inlineStr">
        <is>
          <t>Data MCU DPRD</t>
        </is>
      </c>
      <c r="K81" s="102" t="inlineStr">
        <is>
          <t>Terbatas</t>
        </is>
      </c>
      <c r="L81" s="102" t="inlineStr">
        <is>
          <t>Terdapat</t>
        </is>
      </c>
      <c r="M81" s="102" t="inlineStr">
        <is>
          <t>Tahunan</t>
        </is>
      </c>
      <c r="N81" s="286" t="n"/>
      <c r="O81" s="286" t="n"/>
      <c r="P81" s="286" t="n"/>
      <c r="Q81" s="286" t="n"/>
      <c r="R81" s="286" t="n"/>
      <c r="S81" s="102" t="inlineStr">
        <is>
          <t>Secara Offline</t>
        </is>
      </c>
      <c r="T81" s="102" t="inlineStr">
        <is>
          <t>Transaksi</t>
        </is>
      </c>
      <c r="U81" s="286" t="n"/>
      <c r="V81" s="286" t="n"/>
      <c r="W81" s="286" t="n"/>
      <c r="X81" s="286" t="n"/>
      <c r="Y81" s="286" t="n"/>
      <c r="Z81" s="286" t="n"/>
      <c r="AA81" s="184" t="inlineStr">
        <is>
          <t>Bagian Program dan Keuangan</t>
        </is>
      </c>
      <c r="AB81" s="184" t="inlineStr">
        <is>
          <t>Setwan</t>
        </is>
      </c>
      <c r="AC81" s="178" t="inlineStr">
        <is>
          <t>THIA RAHMAWATI, S.E</t>
        </is>
      </c>
      <c r="AD81" s="178" t="n">
        <v>81322007652</v>
      </c>
      <c r="AE81" s="288" t="n"/>
      <c r="AF81" s="288" t="n"/>
      <c r="AG81" s="67" t="inlineStr">
        <is>
          <t>Tahunan</t>
        </is>
      </c>
      <c r="AH81" s="284" t="n"/>
      <c r="AI81" s="284" t="n"/>
      <c r="AJ81" s="284" t="n"/>
      <c r="AK81" s="284" t="n"/>
      <c r="AL81" s="284" t="n"/>
      <c r="AM81" s="284" t="n"/>
      <c r="AN81" s="284" t="n"/>
      <c r="AO81" s="284" t="n"/>
      <c r="AP81" s="284" t="n"/>
      <c r="AQ81" s="284" t="n"/>
      <c r="AR81" s="284" t="n"/>
      <c r="AS81" s="284" t="n"/>
    </row>
    <row r="82">
      <c r="A82" s="71" t="inlineStr">
        <is>
          <t>INSPEKTORAT</t>
        </is>
      </c>
      <c r="B82" s="58" t="n"/>
      <c r="D82" s="58" t="n"/>
      <c r="E82" s="58" t="n"/>
      <c r="F82" s="58" t="n"/>
      <c r="G82" s="58" t="n"/>
      <c r="H82" s="58" t="n"/>
      <c r="I82" s="58" t="n"/>
      <c r="J82" s="58" t="n"/>
      <c r="K82" s="58" t="n"/>
      <c r="L82" s="58" t="n"/>
      <c r="M82" s="58" t="n"/>
      <c r="N82" s="58" t="n"/>
      <c r="O82" s="58" t="n"/>
      <c r="P82" s="58" t="n"/>
      <c r="Q82" s="58" t="n"/>
      <c r="R82" s="58" t="n"/>
      <c r="S82" s="58" t="n"/>
      <c r="T82" s="58" t="n"/>
      <c r="U82" s="58" t="n"/>
      <c r="V82" s="58" t="n"/>
      <c r="W82" s="58" t="n"/>
      <c r="X82" s="58" t="n"/>
      <c r="Y82" s="58" t="n"/>
      <c r="Z82" s="58" t="n"/>
      <c r="AA82" s="58" t="n"/>
      <c r="AB82" s="58" t="n"/>
      <c r="AC82" s="58" t="n"/>
      <c r="AD82" s="58" t="n"/>
      <c r="AE82" s="58" t="n"/>
      <c r="AF82" s="200" t="n"/>
      <c r="AG82" s="200" t="n"/>
      <c r="AH82" s="284" t="n"/>
      <c r="AI82" s="284" t="n"/>
      <c r="AJ82" s="284" t="n"/>
      <c r="AK82" s="284" t="n"/>
      <c r="AL82" s="284" t="n"/>
      <c r="AM82" s="284" t="n"/>
      <c r="AN82" s="284" t="n"/>
      <c r="AO82" s="284" t="n"/>
      <c r="AP82" s="284" t="n"/>
      <c r="AQ82" s="284" t="n"/>
      <c r="AR82" s="284" t="n"/>
      <c r="AS82" s="284" t="n"/>
    </row>
    <row r="83">
      <c r="A83" s="182" t="n">
        <v>1</v>
      </c>
      <c r="B83" s="178" t="inlineStr">
        <is>
          <t>Pengawasan real-time perkembangan proyek pembangunan fisik</t>
        </is>
      </c>
      <c r="C83" t="inlineStr">
        <is>
          <t>INSPEKTORAT</t>
        </is>
      </c>
      <c r="D83" s="178" t="inlineStr">
        <is>
          <t>Pengawasan real-time perkembangan proyek pembangunan fisik, mulai dari perencanaan hingga serah terima. Aplikasi ini juga mendukung Bupati dalam memantau proyek secara langsung serta berfungsi sebagai alat pelaksanaan probity audit oleh APIP.</t>
        </is>
      </c>
      <c r="E83" s="178" t="inlineStr">
        <is>
          <t>Peraturan Pemerintah Nomor 12 Tahun 2017 tentang
 Pembinaan dan Pengawasan Penyelenggaraan
 Pemerintahan Daerah</t>
        </is>
      </c>
      <c r="F83" s="70" t="inlineStr">
        <is>
          <t>https://drive.google.com/file/d/1YdxVCrqCKB2IhPmEjmI3enR0CnpLLtYZ/view?usp=sharing</t>
        </is>
      </c>
      <c r="G83" s="184" t="inlineStr">
        <is>
          <t>PENINGKATAN KUALITAS REFORMASI BIROKRASI, PENGAWASAN, DAN AKUNTABILITAS KINERJA</t>
        </is>
      </c>
      <c r="H83" s="184" t="inlineStr">
        <is>
          <t>Instansi Pemerintah Lainnya</t>
        </is>
      </c>
      <c r="I83" s="184" t="inlineStr">
        <is>
          <t>Database Objek Pemeriksaan, Data Inputan Laporan Hasil Pemeriksaan</t>
        </is>
      </c>
      <c r="J83" s="178" t="inlineStr">
        <is>
          <t>Laporan perkembangan proyek strategis secara real-time dan Dasbor monitoring</t>
        </is>
      </c>
      <c r="K83" s="184" t="inlineStr">
        <is>
          <t>Terbatas</t>
        </is>
      </c>
      <c r="L83" s="184" t="inlineStr">
        <is>
          <t>Tidak terdapat</t>
        </is>
      </c>
      <c r="M83" s="184" t="inlineStr">
        <is>
          <t>Bulanan</t>
        </is>
      </c>
      <c r="N83" s="97" t="inlineStr">
        <is>
          <t>SIMPRODAS</t>
        </is>
      </c>
      <c r="O83" s="184" t="inlineStr">
        <is>
          <t>Diskominfo</t>
        </is>
      </c>
      <c r="P83" s="184" t="inlineStr">
        <is>
          <t>Kab. Bandung</t>
        </is>
      </c>
      <c r="Q83" s="184" t="inlineStr">
        <is>
          <t>Website dan Mobile</t>
        </is>
      </c>
      <c r="R83" s="70" t="inlineStr">
        <is>
          <t>https://simprodas.bandungkab.go.id/</t>
        </is>
      </c>
      <c r="S83" s="184" t="inlineStr">
        <is>
          <t>Secara Online</t>
        </is>
      </c>
      <c r="T83" s="184" t="inlineStr">
        <is>
          <t>Transaksi</t>
        </is>
      </c>
      <c r="U83" s="98" t="n">
        <v>2024</v>
      </c>
      <c r="V83" s="184" t="inlineStr">
        <is>
          <t>Aktif</t>
        </is>
      </c>
      <c r="W83" s="184" t="inlineStr">
        <is>
          <t>Tidak</t>
        </is>
      </c>
      <c r="X83" s="184" t="inlineStr">
        <is>
          <t>tidak terintegrasi</t>
        </is>
      </c>
      <c r="Y83" s="184" t="inlineStr">
        <is>
          <t>Tidak Terintegrasi</t>
        </is>
      </c>
      <c r="Z83" s="184" t="inlineStr">
        <is>
          <t>Tidak Terintegrasi</t>
        </is>
      </c>
      <c r="AA83" s="184" t="inlineStr">
        <is>
          <t>Inspektur Pembantu IV</t>
        </is>
      </c>
      <c r="AB83" s="184" t="inlineStr">
        <is>
          <t>Inspektorat</t>
        </is>
      </c>
      <c r="AC83" s="178" t="inlineStr">
        <is>
          <t>Naufal Rifki Pratama</t>
        </is>
      </c>
      <c r="AD83" s="98" t="n">
        <v>81776601960</v>
      </c>
      <c r="AE83" s="178" t="inlineStr">
        <is>
          <t>-</t>
        </is>
      </c>
      <c r="AF83" s="77" t="n">
        <v>37</v>
      </c>
      <c r="AG83" s="68" t="inlineStr">
        <is>
          <t>Bulanan</t>
        </is>
      </c>
      <c r="AH83" s="284" t="n"/>
      <c r="AI83" s="284" t="n"/>
      <c r="AJ83" s="284" t="n"/>
      <c r="AK83" s="284" t="n"/>
      <c r="AL83" s="284" t="n"/>
      <c r="AM83" s="284" t="n"/>
      <c r="AN83" s="284" t="n"/>
      <c r="AO83" s="284" t="n"/>
      <c r="AP83" s="284" t="n"/>
      <c r="AQ83" s="284" t="n"/>
      <c r="AR83" s="284" t="n"/>
      <c r="AS83" s="284" t="n"/>
    </row>
    <row r="84">
      <c r="A84" s="182" t="n">
        <v>2</v>
      </c>
      <c r="B84" s="178" t="inlineStr">
        <is>
          <t>Pelayanan konsultasi pada APIP</t>
        </is>
      </c>
      <c r="C84" t="inlineStr">
        <is>
          <t>INSPEKTORAT</t>
        </is>
      </c>
      <c r="D84" s="178" t="inlineStr">
        <is>
          <t>Untuk membuat dan mengatur janji temu (sebagai layanan konsultasi)</t>
        </is>
      </c>
      <c r="E84" s="288" t="n"/>
      <c r="F84" s="70" t="inlineStr">
        <is>
          <t>https://drive.google.com/file/d/1hfZl5u33jLRHizH-t5QZsOhlwNoiUSfh/view?usp=sharing</t>
        </is>
      </c>
      <c r="G84" s="184" t="inlineStr">
        <is>
          <t>PENINGKATAN KUALITAS PELAYANAN PUBLIK</t>
        </is>
      </c>
      <c r="H84" s="184" t="inlineStr">
        <is>
          <t>Instansi Pemerintah Lainnya</t>
        </is>
      </c>
      <c r="I84" s="184" t="inlineStr">
        <is>
          <t>Data Konsultasi Permasalahan</t>
        </is>
      </c>
      <c r="J84" s="184" t="inlineStr">
        <is>
          <t>Data Solusi Permasalahan</t>
        </is>
      </c>
      <c r="K84" s="184" t="inlineStr">
        <is>
          <t>Tertutup</t>
        </is>
      </c>
      <c r="L84" s="184" t="inlineStr">
        <is>
          <t>Tidak terdapat</t>
        </is>
      </c>
      <c r="M84" s="184" t="inlineStr">
        <is>
          <t>Mingguan</t>
        </is>
      </c>
      <c r="N84" s="105" t="inlineStr">
        <is>
          <t>SANTAI</t>
        </is>
      </c>
      <c r="O84" s="184" t="inlineStr">
        <is>
          <t>OPD</t>
        </is>
      </c>
      <c r="P84" s="184" t="inlineStr">
        <is>
          <t>Pihak Ke 3 (Lisensi)</t>
        </is>
      </c>
      <c r="Q84" s="184" t="inlineStr">
        <is>
          <t>Website</t>
        </is>
      </c>
      <c r="R84" s="70" t="inlineStr">
        <is>
          <t>https://calendly.com/inspekkabbdg/santai-saranatanyaapipinteraktif</t>
        </is>
      </c>
      <c r="S84" s="184" t="inlineStr">
        <is>
          <t>Secara Online</t>
        </is>
      </c>
      <c r="T84" s="184" t="inlineStr">
        <is>
          <t>Transaksi</t>
        </is>
      </c>
      <c r="U84" s="98" t="n">
        <v>2025</v>
      </c>
      <c r="V84" s="184" t="inlineStr">
        <is>
          <t>Aktif</t>
        </is>
      </c>
      <c r="W84" s="184" t="inlineStr">
        <is>
          <t>Tidak</t>
        </is>
      </c>
      <c r="X84" s="184" t="inlineStr">
        <is>
          <t>tidak terintegrasi</t>
        </is>
      </c>
      <c r="Y84" s="184" t="inlineStr">
        <is>
          <t>Tidak Terintegrasi</t>
        </is>
      </c>
      <c r="Z84" s="184" t="inlineStr">
        <is>
          <t>Tidak Terintegrasi</t>
        </is>
      </c>
      <c r="AA84" s="184" t="inlineStr">
        <is>
          <t>Sekertariat Inspektorat Daerah</t>
        </is>
      </c>
      <c r="AB84" s="184" t="inlineStr">
        <is>
          <t>Inspektorat</t>
        </is>
      </c>
      <c r="AC84" s="178" t="inlineStr">
        <is>
          <t>Yuda Maulid</t>
        </is>
      </c>
      <c r="AD84" s="98" t="n">
        <v>82117986701</v>
      </c>
      <c r="AE84" s="178" t="inlineStr">
        <is>
          <t>-</t>
        </is>
      </c>
      <c r="AF84" s="67" t="inlineStr">
        <is>
          <t>mungkin berkaitan dengan 27</t>
        </is>
      </c>
      <c r="AG84" s="68" t="inlineStr">
        <is>
          <t>Harian</t>
        </is>
      </c>
      <c r="AH84" s="284" t="n"/>
      <c r="AI84" s="284" t="n"/>
      <c r="AJ84" s="284" t="n"/>
      <c r="AK84" s="284" t="n"/>
      <c r="AL84" s="284" t="n"/>
      <c r="AM84" s="284" t="n"/>
      <c r="AN84" s="284" t="n"/>
      <c r="AO84" s="284" t="n"/>
      <c r="AP84" s="284" t="n"/>
      <c r="AQ84" s="284" t="n"/>
      <c r="AR84" s="284" t="n"/>
      <c r="AS84" s="284" t="n"/>
    </row>
    <row r="85">
      <c r="A85" s="182" t="n">
        <v>3</v>
      </c>
      <c r="B85" s="178" t="inlineStr">
        <is>
          <t>ZI</t>
        </is>
      </c>
      <c r="C85" t="inlineStr">
        <is>
          <t>INSPEKTORAT</t>
        </is>
      </c>
      <c r="D85" s="178" t="inlineStr">
        <is>
          <t>Meningkatkan kualitas substansi dan pemahaman SDM TPI (Tim Penilai Internal) dalam pembangunan Zona Integritas (ZI) agar hasil evaluasi internal lebih baik dan sesuai kriteria WBK/WBBM. Melaksanakan monitoring, evaluasi, serta penyusunan dokumen</t>
        </is>
      </c>
      <c r="E85" s="178" t="inlineStr">
        <is>
          <t>PermenPANRB 90/2021 tentang Pembangunan dan Evaluasi ZI Menuju WBK/WBBM.</t>
        </is>
      </c>
      <c r="F85" s="288" t="n"/>
      <c r="G85" s="184" t="inlineStr">
        <is>
          <t>PENINGKATAN KUALITAS REFORMASI BIROKRASI, PENGAWASAN, DAN AKUNTABILITAS KINERJA</t>
        </is>
      </c>
      <c r="H85" s="184" t="inlineStr">
        <is>
          <t>Instansi Pemerintah Lainnya</t>
        </is>
      </c>
      <c r="I85" s="184" t="inlineStr">
        <is>
          <t>LHE (Laporan Hasil Evaluasi)</t>
        </is>
      </c>
      <c r="J85" s="178" t="inlineStr">
        <is>
          <t>Nilai Zona Integritas 2025</t>
        </is>
      </c>
      <c r="K85" s="184" t="inlineStr">
        <is>
          <t>Tertutup</t>
        </is>
      </c>
      <c r="L85" s="184" t="inlineStr">
        <is>
          <t>Terdapat</t>
        </is>
      </c>
      <c r="M85" s="184" t="inlineStr">
        <is>
          <t>Lainnya</t>
        </is>
      </c>
      <c r="N85" s="97" t="inlineStr">
        <is>
          <t>BERSIH</t>
        </is>
      </c>
      <c r="O85" s="184" t="inlineStr">
        <is>
          <t>Pihak Ke 3</t>
        </is>
      </c>
      <c r="P85" s="184" t="inlineStr">
        <is>
          <t>Kab. Bandung</t>
        </is>
      </c>
      <c r="Q85" s="184" t="inlineStr">
        <is>
          <t>Website</t>
        </is>
      </c>
      <c r="R85" s="178" t="inlineStr">
        <is>
          <t>Belum Launching</t>
        </is>
      </c>
      <c r="S85" s="184" t="inlineStr">
        <is>
          <t>Secara Online</t>
        </is>
      </c>
      <c r="T85" s="184" t="inlineStr">
        <is>
          <t>Transaksi</t>
        </is>
      </c>
      <c r="U85" s="178" t="inlineStr">
        <is>
          <t>Belum Launching</t>
        </is>
      </c>
      <c r="V85" s="184" t="inlineStr">
        <is>
          <t>Non Aktif</t>
        </is>
      </c>
      <c r="W85" s="184" t="inlineStr">
        <is>
          <t>Tidak</t>
        </is>
      </c>
      <c r="X85" s="184" t="inlineStr">
        <is>
          <t>tidak terintegrasi</t>
        </is>
      </c>
      <c r="Y85" s="184" t="inlineStr">
        <is>
          <t>Tidak Terintegrasi</t>
        </is>
      </c>
      <c r="Z85" s="184" t="inlineStr">
        <is>
          <t>Tidak Terintegrasi</t>
        </is>
      </c>
      <c r="AA85" s="184" t="inlineStr">
        <is>
          <t>Inspektur Pembantu III</t>
        </is>
      </c>
      <c r="AB85" s="184" t="inlineStr">
        <is>
          <t>Inspektorat</t>
        </is>
      </c>
      <c r="AC85" s="178" t="inlineStr">
        <is>
          <t>Wiwin</t>
        </is>
      </c>
      <c r="AD85" s="98" t="n">
        <v>82130540674</v>
      </c>
      <c r="AE85" s="178" t="inlineStr">
        <is>
          <t>-</t>
        </is>
      </c>
      <c r="AF85" s="76" t="inlineStr">
        <is>
          <t>-</t>
        </is>
      </c>
      <c r="AG85" s="68" t="inlineStr">
        <is>
          <t>Tahunan</t>
        </is>
      </c>
      <c r="AH85" s="284" t="n"/>
      <c r="AI85" s="284" t="n"/>
      <c r="AJ85" s="284" t="n"/>
      <c r="AK85" s="284" t="n"/>
      <c r="AL85" s="284" t="n"/>
      <c r="AM85" s="284" t="n"/>
      <c r="AN85" s="284" t="n"/>
      <c r="AO85" s="284" t="n"/>
      <c r="AP85" s="284" t="n"/>
      <c r="AQ85" s="284" t="n"/>
      <c r="AR85" s="284" t="n"/>
      <c r="AS85" s="284" t="n"/>
    </row>
    <row r="86">
      <c r="A86" s="182" t="n">
        <v>4</v>
      </c>
      <c r="B86" s="178" t="inlineStr">
        <is>
          <t>Penilaian Managemen Resiko</t>
        </is>
      </c>
      <c r="C86" t="inlineStr">
        <is>
          <t>INSPEKTORAT</t>
        </is>
      </c>
      <c r="D86" s="178" t="inlineStr">
        <is>
          <t>Alat bantu digital yang memfasilitasi monitoring, evaluasi, dan pelaporan kinerja secara elektronik. Untuk mendukung pelaksanaan tugas pengawasan secara optimal, cepat, dan akurat.</t>
        </is>
      </c>
      <c r="E86" s="178" t="inlineStr">
        <is>
          <t>Permenpan RB Nomor 88 Tahun 2021 tentang Petunjuk Teknis Penyusunan Penilaian SAKIP;</t>
        </is>
      </c>
      <c r="F86" s="200" t="n"/>
      <c r="G86" s="184" t="inlineStr">
        <is>
          <t>PENINGKATAN KUALITAS REFORMASI BIROKRASI, PENGAWASAN, DAN AKUNTABILITAS KINERJA</t>
        </is>
      </c>
      <c r="H86" s="184" t="inlineStr">
        <is>
          <t>Instansi Pemerintah Lainnya</t>
        </is>
      </c>
      <c r="I86" s="184" t="inlineStr">
        <is>
          <t>Dokumen pendukung SAKIP</t>
        </is>
      </c>
      <c r="J86" s="178" t="inlineStr">
        <is>
          <t>Hasil evaluasi SAKIP</t>
        </is>
      </c>
      <c r="K86" s="184" t="inlineStr">
        <is>
          <t>Tertutup</t>
        </is>
      </c>
      <c r="L86" s="184" t="inlineStr">
        <is>
          <t>Terdapat</t>
        </is>
      </c>
      <c r="M86" s="184" t="inlineStr">
        <is>
          <t>Tahunan</t>
        </is>
      </c>
      <c r="N86" s="97" t="inlineStr">
        <is>
          <t>SIMWAS</t>
        </is>
      </c>
      <c r="O86" s="184" t="inlineStr">
        <is>
          <t>Pihak Ke 3</t>
        </is>
      </c>
      <c r="P86" s="184" t="inlineStr">
        <is>
          <t>Kab. Bandung</t>
        </is>
      </c>
      <c r="Q86" s="184" t="inlineStr">
        <is>
          <t>Website</t>
        </is>
      </c>
      <c r="R86" s="70" t="inlineStr">
        <is>
          <t>simwas.bandungkab.go.id</t>
        </is>
      </c>
      <c r="S86" s="184" t="inlineStr">
        <is>
          <t>Secara Online</t>
        </is>
      </c>
      <c r="T86" s="184" t="inlineStr">
        <is>
          <t>Transaksi</t>
        </is>
      </c>
      <c r="U86" s="98" t="n">
        <v>2025</v>
      </c>
      <c r="V86" s="184" t="inlineStr">
        <is>
          <t>Aktif</t>
        </is>
      </c>
      <c r="W86" s="184" t="inlineStr">
        <is>
          <t>Tidak</t>
        </is>
      </c>
      <c r="X86" s="184" t="inlineStr">
        <is>
          <t>tidak Terintegrasi</t>
        </is>
      </c>
      <c r="Y86" s="184" t="inlineStr">
        <is>
          <t>Tidak Terintegrasi</t>
        </is>
      </c>
      <c r="Z86" s="184" t="inlineStr">
        <is>
          <t>Tidak Terintegrasi</t>
        </is>
      </c>
      <c r="AA86" s="184" t="inlineStr">
        <is>
          <t>Inspektur Pembantu IV</t>
        </is>
      </c>
      <c r="AB86" s="184" t="inlineStr">
        <is>
          <t>Inspektorat</t>
        </is>
      </c>
      <c r="AC86" s="76" t="inlineStr">
        <is>
          <t>Ratna</t>
        </is>
      </c>
      <c r="AD86" s="106" t="n">
        <v>8132016216</v>
      </c>
      <c r="AE86" s="76" t="inlineStr">
        <is>
          <t>-</t>
        </is>
      </c>
      <c r="AF86" s="67" t="inlineStr">
        <is>
          <t>mungkin berkaitan dengan 27</t>
        </is>
      </c>
      <c r="AG86" s="68" t="inlineStr">
        <is>
          <t>Tahunan</t>
        </is>
      </c>
      <c r="AH86" s="284" t="n"/>
      <c r="AI86" s="284" t="n"/>
      <c r="AJ86" s="284" t="n"/>
      <c r="AK86" s="284" t="n"/>
      <c r="AL86" s="284" t="n"/>
      <c r="AM86" s="284" t="n"/>
      <c r="AN86" s="284" t="n"/>
      <c r="AO86" s="284" t="n"/>
      <c r="AP86" s="284" t="n"/>
      <c r="AQ86" s="284" t="n"/>
      <c r="AR86" s="284" t="n"/>
      <c r="AS86" s="284" t="n"/>
    </row>
    <row r="87">
      <c r="A87" s="182" t="n">
        <v>5</v>
      </c>
      <c r="B87" s="178" t="inlineStr">
        <is>
          <t>Pengawasan Tindak Lanjut Pemeriksaan APIP</t>
        </is>
      </c>
      <c r="C87" t="inlineStr">
        <is>
          <t>INSPEKTORAT</t>
        </is>
      </c>
      <c r="D87" s="178" t="inlineStr">
        <is>
          <t>Sistem Layanan untuk proses monitoring dan evaluasi tindak lanjut atas Laporan Hasil Pemeriksaan untuk Objek Pemeriksaan seperti, Perangkat Daerah, Kecamatan, Sekolah, Puskesmas, dsb.</t>
        </is>
      </c>
      <c r="E87" s="178" t="inlineStr">
        <is>
          <t>PERBUP NO 77 TAHUN 2023PEDOMAN PEMANTAUAN PELAKSANAAN TINDAK LANJUT REKOMENDASI HASIL PEMERIKSAAN APARAT PENG AW AS AN INTERN PEMERINTAH DI LINGKUNGAN PEMERINTAH DAERAH KABUPATEN BANDUNG</t>
        </is>
      </c>
      <c r="F87" s="288" t="n"/>
      <c r="G87" s="184" t="inlineStr">
        <is>
          <t>PENINGKATAN KUALITAS REFORMASI BIROKRASI, PENGAWASAN, DAN AKUNTABILITAS KINERJA</t>
        </is>
      </c>
      <c r="H87" s="184" t="inlineStr">
        <is>
          <t>Instansi Pemerintah Lainnya</t>
        </is>
      </c>
      <c r="I87" s="184" t="inlineStr">
        <is>
          <t>Database Objek Pemeriksaan, Data Inputan Laporan Hasil Pemeriksaan</t>
        </is>
      </c>
      <c r="J87" s="178" t="inlineStr">
        <is>
          <t>Persentase Tindak Lanjut atas Laporan Hasil Pemeriksaan</t>
        </is>
      </c>
      <c r="K87" s="184" t="inlineStr">
        <is>
          <t>Rahasia</t>
        </is>
      </c>
      <c r="L87" s="184" t="inlineStr">
        <is>
          <t>Terdapat</t>
        </is>
      </c>
      <c r="M87" s="184" t="inlineStr">
        <is>
          <t>Lainnya</t>
        </is>
      </c>
      <c r="N87" s="97" t="inlineStr">
        <is>
          <t>SIMASLAHAT</t>
        </is>
      </c>
      <c r="O87" s="184" t="inlineStr">
        <is>
          <t>Pihak Ke 3</t>
        </is>
      </c>
      <c r="P87" s="184" t="inlineStr">
        <is>
          <t>Kab. Bandung</t>
        </is>
      </c>
      <c r="Q87" s="184" t="inlineStr">
        <is>
          <t>Website</t>
        </is>
      </c>
      <c r="R87" s="70" t="inlineStr">
        <is>
          <t>https://simaslahat.bandungkab.go.id/</t>
        </is>
      </c>
      <c r="S87" s="184" t="inlineStr">
        <is>
          <t>Secara Online</t>
        </is>
      </c>
      <c r="T87" s="184" t="inlineStr">
        <is>
          <t>Transaksi</t>
        </is>
      </c>
      <c r="U87" s="184" t="n">
        <v>2022</v>
      </c>
      <c r="V87" s="184" t="inlineStr">
        <is>
          <t>Aktif</t>
        </is>
      </c>
      <c r="W87" s="184" t="inlineStr">
        <is>
          <t>Tidak</t>
        </is>
      </c>
      <c r="X87" s="184" t="inlineStr">
        <is>
          <t>Tidak Terintegrasi</t>
        </is>
      </c>
      <c r="Y87" s="184" t="inlineStr">
        <is>
          <t>Tidak Terintegrasi</t>
        </is>
      </c>
      <c r="Z87" s="184" t="inlineStr">
        <is>
          <t>Tidak Terintegrasi</t>
        </is>
      </c>
      <c r="AA87" s="184" t="inlineStr">
        <is>
          <t>Sub Bagian Analisis dan Evaluasi</t>
        </is>
      </c>
      <c r="AB87" s="184" t="inlineStr">
        <is>
          <t>Inspektorat</t>
        </is>
      </c>
      <c r="AC87" s="178" t="inlineStr">
        <is>
          <t>Rani</t>
        </is>
      </c>
      <c r="AD87" s="178" t="inlineStr">
        <is>
          <t>813-2247-5890</t>
        </is>
      </c>
      <c r="AE87" s="178" t="inlineStr">
        <is>
          <t>-</t>
        </is>
      </c>
      <c r="AF87" s="288" t="n"/>
      <c r="AG87" s="68" t="inlineStr">
        <is>
          <t>Bulanan</t>
        </is>
      </c>
      <c r="AH87" s="284" t="n"/>
      <c r="AI87" s="284" t="n"/>
      <c r="AJ87" s="284" t="n"/>
      <c r="AK87" s="284" t="n"/>
      <c r="AL87" s="284" t="n"/>
      <c r="AM87" s="284" t="n"/>
      <c r="AN87" s="284" t="n"/>
      <c r="AO87" s="284" t="n"/>
      <c r="AP87" s="284" t="n"/>
      <c r="AQ87" s="284" t="n"/>
      <c r="AR87" s="284" t="n"/>
      <c r="AS87" s="284" t="n"/>
    </row>
    <row r="88">
      <c r="A88" s="107" t="n">
        <v>6</v>
      </c>
      <c r="B88" s="108" t="inlineStr">
        <is>
          <t>Peilaian Sistem Akuntabilitas Kinerja Instansi Pemerintah (SAKIP)</t>
        </is>
      </c>
      <c r="C88" t="inlineStr">
        <is>
          <t>INSPEKTORAT</t>
        </is>
      </c>
      <c r="D88" s="108" t="inlineStr">
        <is>
          <t>Meningkatkan efisiensi pengawasan, pengelolaan data pengawasan yang terintegrasi, transparan, akuntabel, serta mendukung perencanaan, pelaksanaan, pelaporan, dan evaluasi kinerja APIP</t>
        </is>
      </c>
      <c r="E88" s="108" t="inlineStr">
        <is>
          <t>PermenPANRB 53/2014 tentang Perjanjian Kinerja dan Pelaporan Kinerja.
 PermenPANRB 88/2021 tentang Evaluasi AKIP.</t>
        </is>
      </c>
      <c r="F88" s="111" t="n"/>
      <c r="G88" s="110" t="inlineStr">
        <is>
          <t>PENINGKATAN KUALITAS REFORMASI BIROKRASI, PENGAWASAN, DAN AKUNTABILITAS KINERJA</t>
        </is>
      </c>
      <c r="H88" s="110" t="inlineStr">
        <is>
          <t>Instansi Pemerintah Lainnya</t>
        </is>
      </c>
      <c r="I88" s="110" t="inlineStr">
        <is>
          <t>Data kinerja perangkat daerah.</t>
        </is>
      </c>
      <c r="J88" s="108" t="inlineStr">
        <is>
          <t>Laporan evaluasi kinerja</t>
        </is>
      </c>
      <c r="K88" s="110" t="inlineStr">
        <is>
          <t>Rahasia</t>
        </is>
      </c>
      <c r="L88" s="110" t="inlineStr">
        <is>
          <t>Terdapat</t>
        </is>
      </c>
      <c r="M88" s="110" t="inlineStr">
        <is>
          <t>Lainnya</t>
        </is>
      </c>
      <c r="N88" s="72" t="n"/>
      <c r="O88" s="110" t="inlineStr">
        <is>
          <t>Pihak Ke 3</t>
        </is>
      </c>
      <c r="P88" s="110" t="inlineStr">
        <is>
          <t>Kab. Bandung</t>
        </is>
      </c>
      <c r="Q88" s="110" t="inlineStr">
        <is>
          <t>Website</t>
        </is>
      </c>
      <c r="R88" s="111" t="n"/>
      <c r="S88" s="110" t="inlineStr">
        <is>
          <t>Secara Online</t>
        </is>
      </c>
      <c r="T88" s="111" t="n"/>
      <c r="U88" s="111" t="n"/>
      <c r="V88" s="110" t="inlineStr">
        <is>
          <t>Aktif</t>
        </is>
      </c>
      <c r="W88" s="110" t="inlineStr">
        <is>
          <t>Ya</t>
        </is>
      </c>
      <c r="X88" s="110" t="inlineStr">
        <is>
          <t>SIMWAS</t>
        </is>
      </c>
      <c r="Y88" s="111" t="n"/>
      <c r="Z88" s="110" t="inlineStr">
        <is>
          <t>Lainnya</t>
        </is>
      </c>
      <c r="AA88" s="110" t="inlineStr">
        <is>
          <t>Inspektur Pembantu I</t>
        </is>
      </c>
      <c r="AB88" s="110" t="inlineStr">
        <is>
          <t>Inspektorat</t>
        </is>
      </c>
      <c r="AC88" s="108" t="inlineStr">
        <is>
          <t>Ilham Nurhidayat</t>
        </is>
      </c>
      <c r="AD88" s="112" t="n">
        <v>8.95358e+16</v>
      </c>
      <c r="AE88" s="108" t="inlineStr">
        <is>
          <t>-</t>
        </is>
      </c>
      <c r="AF88" s="113" t="inlineStr">
        <is>
          <t>mungkin berkaitan dengan 27</t>
        </is>
      </c>
      <c r="AG88" s="114" t="inlineStr">
        <is>
          <t>Tahunan</t>
        </is>
      </c>
      <c r="AH88" s="115" t="n"/>
      <c r="AI88" s="115" t="n"/>
      <c r="AJ88" s="115" t="n"/>
      <c r="AK88" s="115" t="n"/>
      <c r="AL88" s="115" t="n"/>
      <c r="AM88" s="115" t="n"/>
      <c r="AN88" s="115" t="n"/>
      <c r="AO88" s="115" t="n"/>
      <c r="AP88" s="115" t="n"/>
      <c r="AQ88" s="115" t="n"/>
      <c r="AR88" s="115" t="n"/>
      <c r="AS88" s="284" t="n"/>
    </row>
    <row r="89">
      <c r="A89" s="182" t="n">
        <v>7</v>
      </c>
      <c r="B89" s="178" t="inlineStr">
        <is>
          <t>Whistleblower System</t>
        </is>
      </c>
      <c r="C89" t="inlineStr">
        <is>
          <t>INSPEKTORAT</t>
        </is>
      </c>
      <c r="D89" s="178" t="inlineStr">
        <is>
          <t>Penanganan pengaduan tindak pidana korupsi di lingkungan Pemerintah Daerah</t>
        </is>
      </c>
      <c r="E89" s="178" t="inlineStr">
        <is>
          <t>MenPANRB Nomor 8/M.PAN-RB/06/2012 tentang Sistem Penanganan Pengaduan (Whistleblower System)</t>
        </is>
      </c>
      <c r="F89" s="288" t="n"/>
      <c r="G89" s="184" t="inlineStr">
        <is>
          <t>PENINGKATAN KUALITAS REFORMASI BIROKRASI, PENGAWASAN, DAN AKUNTABILITAS KINERJA</t>
        </is>
      </c>
      <c r="H89" s="184" t="inlineStr">
        <is>
          <t>Masyarakat</t>
        </is>
      </c>
      <c r="I89" s="184" t="inlineStr">
        <is>
          <t>Laporan/pengaduan dugaan tindak pidana korupsi</t>
        </is>
      </c>
      <c r="J89" s="178" t="inlineStr">
        <is>
          <t>Laporan hasil penanganan</t>
        </is>
      </c>
      <c r="K89" s="184" t="inlineStr">
        <is>
          <t>Rahasia</t>
        </is>
      </c>
      <c r="L89" s="184" t="inlineStr">
        <is>
          <t>Terdapat</t>
        </is>
      </c>
      <c r="M89" s="184" t="inlineStr">
        <is>
          <t>Lainnya</t>
        </is>
      </c>
      <c r="N89" s="97" t="inlineStr">
        <is>
          <t>BDS</t>
        </is>
      </c>
      <c r="O89" s="184" t="inlineStr">
        <is>
          <t>Diskominfo</t>
        </is>
      </c>
      <c r="P89" s="184" t="inlineStr">
        <is>
          <t>Kab. Bandung</t>
        </is>
      </c>
      <c r="Q89" s="184" t="inlineStr">
        <is>
          <t>Website</t>
        </is>
      </c>
      <c r="R89" s="178" t="inlineStr">
        <is>
          <t>website (BEDAS Digital Services)</t>
        </is>
      </c>
      <c r="S89" s="184" t="inlineStr">
        <is>
          <t>Secara Online</t>
        </is>
      </c>
      <c r="T89" s="184" t="inlineStr">
        <is>
          <t>Informasi</t>
        </is>
      </c>
      <c r="U89" s="98" t="n">
        <v>2024</v>
      </c>
      <c r="V89" s="184" t="inlineStr">
        <is>
          <t>Aktif</t>
        </is>
      </c>
      <c r="W89" s="184" t="inlineStr">
        <is>
          <t>Tidak</t>
        </is>
      </c>
      <c r="X89" s="184" t="inlineStr">
        <is>
          <t>Tidak Terintegrasi</t>
        </is>
      </c>
      <c r="Y89" s="184" t="inlineStr">
        <is>
          <t>Tidak Terintegrasi</t>
        </is>
      </c>
      <c r="Z89" s="184" t="inlineStr">
        <is>
          <t>Lainnya</t>
        </is>
      </c>
      <c r="AA89" s="184" t="inlineStr">
        <is>
          <t>Inspektur Pembantu Khusus</t>
        </is>
      </c>
      <c r="AB89" s="184" t="inlineStr">
        <is>
          <t>Inspektorat</t>
        </is>
      </c>
      <c r="AC89" s="178" t="inlineStr">
        <is>
          <t>Aan</t>
        </is>
      </c>
      <c r="AD89" s="98" t="n">
        <v>87881227210</v>
      </c>
      <c r="AE89" s="178" t="inlineStr">
        <is>
          <t>-</t>
        </is>
      </c>
      <c r="AF89" s="67" t="inlineStr">
        <is>
          <t>-</t>
        </is>
      </c>
      <c r="AG89" s="68" t="inlineStr">
        <is>
          <t>Insidentil</t>
        </is>
      </c>
      <c r="AH89" s="284" t="n"/>
      <c r="AI89" s="284" t="n"/>
      <c r="AJ89" s="284" t="n"/>
      <c r="AK89" s="284" t="n"/>
      <c r="AL89" s="284" t="n"/>
      <c r="AM89" s="284" t="n"/>
      <c r="AN89" s="284" t="n"/>
      <c r="AO89" s="284" t="n"/>
      <c r="AP89" s="284" t="n"/>
      <c r="AQ89" s="284" t="n"/>
      <c r="AR89" s="284" t="n"/>
      <c r="AS89" s="284" t="n"/>
    </row>
    <row r="90">
      <c r="A90" s="71" t="inlineStr">
        <is>
          <t>DISDIK</t>
        </is>
      </c>
      <c r="B90" s="58" t="n"/>
      <c r="D90" s="58" t="n"/>
      <c r="E90" s="58" t="n"/>
      <c r="F90" s="58" t="n"/>
      <c r="G90" s="58" t="n"/>
      <c r="H90" s="58" t="n"/>
      <c r="I90" s="58" t="n"/>
      <c r="J90" s="58" t="n"/>
      <c r="K90" s="58" t="n"/>
      <c r="L90" s="58" t="n"/>
      <c r="M90" s="58" t="n"/>
      <c r="N90" s="58" t="n"/>
      <c r="O90" s="58" t="n"/>
      <c r="P90" s="58" t="n"/>
      <c r="Q90" s="58" t="n"/>
      <c r="R90" s="58" t="n"/>
      <c r="S90" s="58" t="n"/>
      <c r="T90" s="58" t="n"/>
      <c r="U90" s="58" t="n"/>
      <c r="V90" s="58" t="n"/>
      <c r="W90" s="58" t="n"/>
      <c r="X90" s="58" t="n"/>
      <c r="Y90" s="58" t="n"/>
      <c r="Z90" s="58" t="n"/>
      <c r="AA90" s="58" t="n"/>
      <c r="AB90" s="58" t="n"/>
      <c r="AC90" s="58" t="n"/>
      <c r="AD90" s="58" t="n"/>
      <c r="AE90" s="58" t="n"/>
      <c r="AF90" s="200" t="n"/>
      <c r="AG90" s="200" t="n"/>
      <c r="AH90" s="284" t="n"/>
      <c r="AI90" s="284" t="n"/>
      <c r="AJ90" s="284" t="n"/>
      <c r="AK90" s="284" t="n"/>
      <c r="AL90" s="284" t="n"/>
      <c r="AM90" s="284" t="n"/>
      <c r="AN90" s="284" t="n"/>
      <c r="AO90" s="284" t="n"/>
      <c r="AP90" s="284" t="n"/>
      <c r="AQ90" s="284" t="n"/>
      <c r="AR90" s="284" t="n"/>
      <c r="AS90" s="284" t="n"/>
    </row>
    <row r="91">
      <c r="A91" s="116" t="n">
        <v>9</v>
      </c>
      <c r="B91" s="178" t="inlineStr">
        <is>
          <t>Standar Pelayanan Penerbitan Suket Pengganti Ijazah/STTB</t>
        </is>
      </c>
      <c r="C91" t="inlineStr">
        <is>
          <t>DISDIK</t>
        </is>
      </c>
      <c r="D91" s="178" t="inlineStr">
        <is>
          <t>Layanan masyarakat untuk mendapatkan surat keterangan pengganti ijazah/STTB apabila dokumen tersebut hilang, terdapat kesalahan penulisan, atau rusak.</t>
        </is>
      </c>
      <c r="E91" s="184" t="inlineStr">
        <is>
          <t>Undang-Undang Nomor 25 Tahun 2009 tentang Pelayanan Publik</t>
        </is>
      </c>
      <c r="F91" s="178" t="inlineStr">
        <is>
          <t>LAMPIRAN KEPUTUSAN KEPALA DINAS PENDIDIKAN : 9. Standar Pelayanan Penerbitan Suket Pengganti Ijazah/STTB</t>
        </is>
      </c>
      <c r="G91" s="184" t="inlineStr">
        <is>
          <t>PENINGKATAN KUALITAS PELAYANAN PUBLIK</t>
        </is>
      </c>
      <c r="H91" s="184" t="inlineStr">
        <is>
          <t>Masyarakat</t>
        </is>
      </c>
      <c r="I91" s="184" t="inlineStr">
        <is>
          <t>Dokumen yang diperlukan</t>
        </is>
      </c>
      <c r="J91" s="178" t="inlineStr">
        <is>
          <t>Surat Keterangan Pengganti</t>
        </is>
      </c>
      <c r="K91" s="184" t="inlineStr">
        <is>
          <t>Tertutup</t>
        </is>
      </c>
      <c r="L91" s="184" t="inlineStr">
        <is>
          <t>Terdapat</t>
        </is>
      </c>
      <c r="M91" s="184" t="inlineStr">
        <is>
          <t>Lainnya</t>
        </is>
      </c>
      <c r="N91" s="97" t="inlineStr">
        <is>
          <t>Sukizah</t>
        </is>
      </c>
      <c r="O91" s="184" t="inlineStr">
        <is>
          <t>Diskominfo</t>
        </is>
      </c>
      <c r="P91" s="184" t="inlineStr">
        <is>
          <t>Kab. Bandung</t>
        </is>
      </c>
      <c r="Q91" s="184" t="inlineStr">
        <is>
          <t>Website dan Mobile</t>
        </is>
      </c>
      <c r="R91" s="70" t="inlineStr">
        <is>
          <t>simpeldisdik.bandungkab.go.id/Sukizah</t>
        </is>
      </c>
      <c r="S91" s="184" t="inlineStr">
        <is>
          <t>Secara Online</t>
        </is>
      </c>
      <c r="T91" s="184" t="inlineStr">
        <is>
          <t>Transaksi</t>
        </is>
      </c>
      <c r="U91" s="98" t="n">
        <v>2024</v>
      </c>
      <c r="V91" s="184" t="inlineStr">
        <is>
          <t>Aktif</t>
        </is>
      </c>
      <c r="W91" s="184" t="inlineStr">
        <is>
          <t>Ya</t>
        </is>
      </c>
      <c r="X91" s="184" t="inlineStr">
        <is>
          <t>Simpel BKPSDM</t>
        </is>
      </c>
      <c r="Y91" s="184" t="inlineStr">
        <is>
          <t>Database to Database</t>
        </is>
      </c>
      <c r="Z91" s="184" t="inlineStr">
        <is>
          <t>Lainnya</t>
        </is>
      </c>
      <c r="AA91" s="184" t="inlineStr">
        <is>
          <t>Sekretariat</t>
        </is>
      </c>
      <c r="AB91" s="184" t="inlineStr">
        <is>
          <t>Disdik</t>
        </is>
      </c>
      <c r="AC91" s="178" t="inlineStr">
        <is>
          <t>Faturochman Nuroni</t>
        </is>
      </c>
      <c r="AD91" s="178" t="n">
        <v>85117111582</v>
      </c>
      <c r="AE91" s="178" t="inlineStr">
        <is>
          <t>-</t>
        </is>
      </c>
      <c r="AF91" s="288" t="n"/>
      <c r="AG91" s="68" t="inlineStr">
        <is>
          <t>Insidentil</t>
        </is>
      </c>
      <c r="AH91" s="284" t="n"/>
      <c r="AI91" s="284" t="n"/>
      <c r="AJ91" s="284" t="n"/>
      <c r="AK91" s="284" t="n"/>
      <c r="AL91" s="284" t="n"/>
      <c r="AM91" s="284" t="n"/>
      <c r="AN91" s="284" t="n"/>
      <c r="AO91" s="284" t="n"/>
      <c r="AP91" s="284" t="n"/>
      <c r="AQ91" s="284" t="n"/>
      <c r="AR91" s="284" t="n"/>
      <c r="AS91" s="284" t="n"/>
    </row>
    <row r="92">
      <c r="A92" s="116" t="n">
        <v>13</v>
      </c>
      <c r="B92" s="178" t="inlineStr">
        <is>
          <t>Standar Pelayanan Fasilitasi Data Pokok Pendidikan (Dapodik)</t>
        </is>
      </c>
      <c r="C92" t="inlineStr">
        <is>
          <t>DISDIK</t>
        </is>
      </c>
      <c r="D92" s="178" t="inlineStr">
        <is>
          <t>Layanan masyarakat terkait status verifikasi di Dapodik seperti Penugasan Pendidik dan Tenaga Kependidikan, Peserta Didik, Kondisi Bangunan, Mutasi PTK, Manajemen Dapodik Sekolah, Validasi Akun Dapodik Sekolah, Sinkronisasi Data Dapodik, dll.</t>
        </is>
      </c>
      <c r="E92" s="184" t="inlineStr">
        <is>
          <t>Undang-Undang Nomor 25 Tahun 2009 tentang Pelayanan Publik</t>
        </is>
      </c>
      <c r="F92" s="178" t="inlineStr">
        <is>
          <t>LAMPIRAN KEPUTUSAN KEPALA DINAS PENDIDIKAN : 13. Standar Pelayanan Fasilitasi Data Pokok Pendidikan (Dapodik)</t>
        </is>
      </c>
      <c r="G92" s="184" t="inlineStr">
        <is>
          <t>PENINGKATAN KUALITAS PELAYANAN PUBLIK</t>
        </is>
      </c>
      <c r="H92" s="184" t="inlineStr">
        <is>
          <t>Masyarakat</t>
        </is>
      </c>
      <c r="I92" s="184" t="inlineStr">
        <is>
          <t>Surat pengantar/tugas</t>
        </is>
      </c>
      <c r="J92" s="178" t="inlineStr">
        <is>
          <t>Sinkronisasi atau verifikasi data</t>
        </is>
      </c>
      <c r="K92" s="184" t="inlineStr">
        <is>
          <t>Tertutup</t>
        </is>
      </c>
      <c r="L92" s="184" t="inlineStr">
        <is>
          <t>Tidak terdapat</t>
        </is>
      </c>
      <c r="M92" s="184" t="inlineStr">
        <is>
          <t>Bulanan</t>
        </is>
      </c>
      <c r="N92" s="97" t="inlineStr">
        <is>
          <t>Dapodik</t>
        </is>
      </c>
      <c r="O92" s="184" t="inlineStr">
        <is>
          <t>Pusat</t>
        </is>
      </c>
      <c r="P92" s="184" t="inlineStr">
        <is>
          <t>Pusat</t>
        </is>
      </c>
      <c r="Q92" s="184" t="inlineStr">
        <is>
          <t>Website</t>
        </is>
      </c>
      <c r="R92" s="70" t="inlineStr">
        <is>
          <t>https://dapo.kemendikdasmen.go.id/</t>
        </is>
      </c>
      <c r="S92" s="184" t="inlineStr">
        <is>
          <t>Secara Online</t>
        </is>
      </c>
      <c r="T92" s="184" t="inlineStr">
        <is>
          <t>Informasi</t>
        </is>
      </c>
      <c r="U92" s="178" t="inlineStr">
        <is>
          <t>[Belum tahu]</t>
        </is>
      </c>
      <c r="V92" s="184" t="inlineStr">
        <is>
          <t>Aktif</t>
        </is>
      </c>
      <c r="W92" s="288" t="n"/>
      <c r="X92" s="184" t="inlineStr">
        <is>
          <t>-</t>
        </is>
      </c>
      <c r="Y92" s="288" t="n"/>
      <c r="Z92" s="184" t="inlineStr">
        <is>
          <t>Bulanan</t>
        </is>
      </c>
      <c r="AA92" s="184" t="inlineStr">
        <is>
          <t>SD, SMP</t>
        </is>
      </c>
      <c r="AB92" s="184" t="inlineStr">
        <is>
          <t>Disdik</t>
        </is>
      </c>
      <c r="AC92" s="178" t="inlineStr">
        <is>
          <t>SD : Erik Sugiarto
 SMP : Lina Sarlina</t>
        </is>
      </c>
      <c r="AD92" s="178" t="n">
        <v>85117111582</v>
      </c>
      <c r="AE92" s="178" t="inlineStr">
        <is>
          <t>-</t>
        </is>
      </c>
      <c r="AF92" s="288" t="n"/>
      <c r="AG92" s="68" t="inlineStr">
        <is>
          <t>Insidentil</t>
        </is>
      </c>
      <c r="AH92" s="284" t="n"/>
      <c r="AI92" s="284" t="n"/>
      <c r="AJ92" s="284" t="n"/>
      <c r="AK92" s="284" t="n"/>
      <c r="AL92" s="284" t="n"/>
      <c r="AM92" s="284" t="n"/>
      <c r="AN92" s="284" t="n"/>
      <c r="AO92" s="284" t="n"/>
      <c r="AP92" s="284" t="n"/>
      <c r="AQ92" s="284" t="n"/>
      <c r="AR92" s="284" t="n"/>
      <c r="AS92" s="284" t="n"/>
    </row>
    <row r="93">
      <c r="A93" s="116" t="n">
        <v>14</v>
      </c>
      <c r="B93" s="178" t="inlineStr">
        <is>
          <t>Penyediaan Website Untuk Sekolah-sekolah di kabupaten Bandung</t>
        </is>
      </c>
      <c r="C93" t="inlineStr">
        <is>
          <t>DISDIK</t>
        </is>
      </c>
      <c r="D93" s="178" t="inlineStr">
        <is>
          <t>Layanan bagi lembaga/yayasan PAUD, SD, SMP dan PNF yang ingin melakukan pembuatan website sebagai media Informasi dan Branding</t>
        </is>
      </c>
      <c r="E93" s="184" t="inlineStr">
        <is>
          <t>Undang-Undang Nomor 25 Tahun 2009 tentang Pelayanan Publik</t>
        </is>
      </c>
      <c r="F93" s="288" t="n"/>
      <c r="G93" s="184" t="inlineStr">
        <is>
          <t>PENINGKATAN KUALITAS PELAYANAN PUBLIK</t>
        </is>
      </c>
      <c r="H93" s="184" t="inlineStr">
        <is>
          <t>Instansi Pemerintah Lainnya</t>
        </is>
      </c>
      <c r="I93" s="184" t="inlineStr">
        <is>
          <t>Data Sekolah</t>
        </is>
      </c>
      <c r="J93" s="178" t="inlineStr">
        <is>
          <t>Informasi Tampilan Data Sekolah</t>
        </is>
      </c>
      <c r="K93" s="184" t="inlineStr">
        <is>
          <t>Tertutup</t>
        </is>
      </c>
      <c r="L93" s="184" t="inlineStr">
        <is>
          <t>Tidak terdapat</t>
        </is>
      </c>
      <c r="M93" s="184" t="inlineStr">
        <is>
          <t>Lainnya</t>
        </is>
      </c>
      <c r="N93" s="97" t="inlineStr">
        <is>
          <t>Multisite Edu</t>
        </is>
      </c>
      <c r="O93" s="184" t="inlineStr">
        <is>
          <t>Diskominfo</t>
        </is>
      </c>
      <c r="P93" s="184" t="inlineStr">
        <is>
          <t>Kab. Bandung</t>
        </is>
      </c>
      <c r="Q93" s="184" t="inlineStr">
        <is>
          <t>Desktop</t>
        </is>
      </c>
      <c r="R93" s="70" t="inlineStr">
        <is>
          <t>simpeldisdik.bandungkab.go.id/MultisiteEdu</t>
        </is>
      </c>
      <c r="S93" s="184" t="inlineStr">
        <is>
          <t>Secara Online</t>
        </is>
      </c>
      <c r="T93" s="184" t="inlineStr">
        <is>
          <t>Informasi</t>
        </is>
      </c>
      <c r="U93" s="184" t="n">
        <v>2024</v>
      </c>
      <c r="V93" s="184" t="inlineStr">
        <is>
          <t>Aktif</t>
        </is>
      </c>
      <c r="W93" s="184" t="inlineStr">
        <is>
          <t>Tidak</t>
        </is>
      </c>
      <c r="X93" s="184" t="inlineStr">
        <is>
          <t>-</t>
        </is>
      </c>
      <c r="Y93" s="184" t="inlineStr">
        <is>
          <t>Tidak Terintegrasi</t>
        </is>
      </c>
      <c r="Z93" s="184" t="inlineStr">
        <is>
          <t>Tidak Terintegrasi</t>
        </is>
      </c>
      <c r="AA93" s="184" t="inlineStr">
        <is>
          <t>Sekretariat</t>
        </is>
      </c>
      <c r="AB93" s="184" t="inlineStr">
        <is>
          <t>Disdik</t>
        </is>
      </c>
      <c r="AC93" s="178" t="inlineStr">
        <is>
          <t>Raza Candra Anwar S.T</t>
        </is>
      </c>
      <c r="AD93" s="178" t="n">
        <v>85768637781</v>
      </c>
      <c r="AE93" s="178" t="inlineStr">
        <is>
          <t>razacandraanwar@gmail.com</t>
        </is>
      </c>
      <c r="AF93" s="288" t="n"/>
      <c r="AG93" s="68" t="inlineStr">
        <is>
          <t>Insidentil</t>
        </is>
      </c>
      <c r="AH93" s="284" t="n"/>
      <c r="AI93" s="284" t="n"/>
      <c r="AJ93" s="284" t="n"/>
      <c r="AK93" s="284" t="n"/>
      <c r="AL93" s="284" t="n"/>
      <c r="AM93" s="284" t="n"/>
      <c r="AN93" s="284" t="n"/>
      <c r="AO93" s="284" t="n"/>
      <c r="AP93" s="284" t="n"/>
      <c r="AQ93" s="284" t="n"/>
      <c r="AR93" s="284" t="n"/>
      <c r="AS93" s="284" t="n"/>
    </row>
    <row r="94">
      <c r="A94" s="182" t="n">
        <v>16</v>
      </c>
      <c r="B94" s="178" t="inlineStr">
        <is>
          <t>Layanan SPMBE</t>
        </is>
      </c>
      <c r="C94" t="inlineStr">
        <is>
          <t>DISDIK</t>
        </is>
      </c>
      <c r="D94" s="178" t="inlineStr">
        <is>
          <t>Sistem Penerimaan Murid Baru. Layanan terhadap masyarakat dalam rangka penerima siswa baru untuk jenjang pendidikan dasar dan menengah.</t>
        </is>
      </c>
      <c r="E94" s="178" t="inlineStr">
        <is>
          <t>Peraturan Menteri Pendidikan Dasar dan Menengah Nomor 3 Tahun 2025 tentang Sistem Penerimaan Murid Baru (Permendikdasmen No. 3 Tahun 2025)</t>
        </is>
      </c>
      <c r="F94" s="288" t="n"/>
      <c r="G94" s="184" t="inlineStr">
        <is>
          <t>PENDIDIKAN FORMAL PADA PENDIDIKAN ANAK USIA DINI, PENDIDIKAN DASAR, DAN PENDIDIKAN MENENGAH</t>
        </is>
      </c>
      <c r="H94" s="184" t="inlineStr">
        <is>
          <t>Masyarakat</t>
        </is>
      </c>
      <c r="I94" s="184" t="inlineStr">
        <is>
          <t>Data calon siswa</t>
        </is>
      </c>
      <c r="J94" s="178" t="inlineStr">
        <is>
          <t>Data Siswa baru</t>
        </is>
      </c>
      <c r="K94" s="184" t="inlineStr">
        <is>
          <t>Tertutup</t>
        </is>
      </c>
      <c r="L94" s="184" t="inlineStr">
        <is>
          <t>Terdapat</t>
        </is>
      </c>
      <c r="M94" s="184" t="inlineStr">
        <is>
          <t>Lainnya</t>
        </is>
      </c>
      <c r="N94" s="97" t="inlineStr">
        <is>
          <t>SPMBE</t>
        </is>
      </c>
      <c r="O94" s="184" t="inlineStr">
        <is>
          <t>Diskominfo</t>
        </is>
      </c>
      <c r="P94" s="184" t="inlineStr">
        <is>
          <t>Kab. Bandung</t>
        </is>
      </c>
      <c r="Q94" s="184" t="inlineStr">
        <is>
          <t>Website</t>
        </is>
      </c>
      <c r="R94" s="70" t="inlineStr">
        <is>
          <t>https://spmb.bandungkab.go.id/</t>
        </is>
      </c>
      <c r="S94" s="184" t="inlineStr">
        <is>
          <t>Secara Online</t>
        </is>
      </c>
      <c r="T94" s="184" t="inlineStr">
        <is>
          <t>Informasi</t>
        </is>
      </c>
      <c r="U94" s="98" t="n">
        <v>2025</v>
      </c>
      <c r="V94" s="184" t="inlineStr">
        <is>
          <t>Aktif</t>
        </is>
      </c>
      <c r="W94" s="184" t="inlineStr">
        <is>
          <t>Tidak</t>
        </is>
      </c>
      <c r="X94" s="184" t="inlineStr">
        <is>
          <t>-</t>
        </is>
      </c>
      <c r="Y94" s="288" t="n"/>
      <c r="Z94" s="288" t="n"/>
      <c r="AA94" s="184" t="inlineStr">
        <is>
          <t>SD, SMP</t>
        </is>
      </c>
      <c r="AB94" s="184" t="inlineStr">
        <is>
          <t>Disdik</t>
        </is>
      </c>
      <c r="AC94" s="178" t="inlineStr">
        <is>
          <t>SD : 
 SMP :</t>
        </is>
      </c>
      <c r="AD94" s="178" t="n">
        <v>87869520475</v>
      </c>
      <c r="AE94" s="184" t="inlineStr">
        <is>
          <t>-</t>
        </is>
      </c>
      <c r="AF94" s="288" t="n"/>
      <c r="AG94" s="68" t="inlineStr">
        <is>
          <t>Insidentil</t>
        </is>
      </c>
      <c r="AH94" s="284" t="n"/>
      <c r="AI94" s="284" t="n"/>
      <c r="AJ94" s="284" t="n"/>
      <c r="AK94" s="284" t="n"/>
      <c r="AL94" s="284" t="n"/>
      <c r="AM94" s="284" t="n"/>
      <c r="AN94" s="284" t="n"/>
      <c r="AO94" s="284" t="n"/>
      <c r="AP94" s="284" t="n"/>
      <c r="AQ94" s="284" t="n"/>
      <c r="AR94" s="284" t="n"/>
      <c r="AS94" s="284" t="n"/>
    </row>
    <row r="95">
      <c r="A95" s="71" t="inlineStr">
        <is>
          <t>DINKES</t>
        </is>
      </c>
      <c r="B95" s="58" t="n"/>
      <c r="D95" s="58" t="n"/>
      <c r="E95" s="58" t="n"/>
      <c r="F95" s="58" t="n"/>
      <c r="G95" s="58" t="n"/>
      <c r="H95" s="58" t="n"/>
      <c r="I95" s="58" t="n"/>
      <c r="J95" s="58" t="n"/>
      <c r="K95" s="58" t="n"/>
      <c r="L95" s="58" t="n"/>
      <c r="M95" s="58" t="n"/>
      <c r="N95" s="58" t="n"/>
      <c r="O95" s="58" t="n"/>
      <c r="P95" s="58" t="n"/>
      <c r="Q95" s="58" t="n"/>
      <c r="R95" s="58" t="n"/>
      <c r="S95" s="58" t="n"/>
      <c r="T95" s="58" t="n"/>
      <c r="U95" s="58" t="n"/>
      <c r="V95" s="58" t="n"/>
      <c r="W95" s="58" t="n"/>
      <c r="X95" s="58" t="n"/>
      <c r="Y95" s="58" t="n"/>
      <c r="Z95" s="58" t="n"/>
      <c r="AA95" s="58" t="n"/>
      <c r="AB95" s="58" t="n"/>
      <c r="AC95" s="58" t="n"/>
      <c r="AD95" s="58" t="n"/>
      <c r="AE95" s="58" t="n"/>
      <c r="AF95" s="200" t="n"/>
      <c r="AG95" s="200" t="n"/>
      <c r="AH95" s="284" t="n"/>
      <c r="AI95" s="284" t="n"/>
      <c r="AJ95" s="284" t="n"/>
      <c r="AK95" s="284" t="n"/>
      <c r="AL95" s="284" t="n"/>
      <c r="AM95" s="284" t="n"/>
      <c r="AN95" s="284" t="n"/>
      <c r="AO95" s="284" t="n"/>
      <c r="AP95" s="284" t="n"/>
      <c r="AQ95" s="284" t="n"/>
      <c r="AR95" s="284" t="n"/>
      <c r="AS95" s="284" t="n"/>
    </row>
    <row r="96">
      <c r="A96" s="116" t="n">
        <v>1</v>
      </c>
      <c r="B96" s="117" t="inlineStr">
        <is>
          <t>Layanan Perizinan Perorangan</t>
        </is>
      </c>
      <c r="C96" t="inlineStr">
        <is>
          <t>DINKES</t>
        </is>
      </c>
      <c r="D96" s="117" t="inlineStr">
        <is>
          <t>Untuk mengeluarkan rekomendasi surat izin praktik bagi tenaga kesehatan</t>
        </is>
      </c>
      <c r="E96" s="120" t="n"/>
      <c r="F96" s="120" t="n"/>
      <c r="G96" s="119" t="inlineStr">
        <is>
          <t>PENGEMBANGAN DAN PEMBERDAYAAN SUMBER DAYA MANUSIA KESEHATAN</t>
        </is>
      </c>
      <c r="H96" s="119" t="inlineStr">
        <is>
          <t>Masyarakat</t>
        </is>
      </c>
      <c r="I96" s="119" t="inlineStr">
        <is>
          <t>verif pemohon registrasi fasyankes</t>
        </is>
      </c>
      <c r="J96" s="117" t="inlineStr">
        <is>
          <t>Data Rekomendasi Perizinan Perorangan Nakes</t>
        </is>
      </c>
      <c r="K96" s="119" t="inlineStr">
        <is>
          <t>Terbuka</t>
        </is>
      </c>
      <c r="L96" s="119" t="inlineStr">
        <is>
          <t>Terdapat</t>
        </is>
      </c>
      <c r="M96" s="119" t="inlineStr">
        <is>
          <t>Harian</t>
        </is>
      </c>
      <c r="N96" s="97" t="inlineStr">
        <is>
          <t>SAMIRINDU</t>
        </is>
      </c>
      <c r="O96" s="119" t="inlineStr">
        <is>
          <t>OPD</t>
        </is>
      </c>
      <c r="P96" s="119" t="inlineStr">
        <is>
          <t>Kab. Bandung</t>
        </is>
      </c>
      <c r="Q96" s="119" t="inlineStr">
        <is>
          <t>Website</t>
        </is>
      </c>
      <c r="R96" s="70" t="inlineStr">
        <is>
          <t>dpmptsp.bandungkab.go.id</t>
        </is>
      </c>
      <c r="S96" s="119" t="inlineStr">
        <is>
          <t>Secara Online</t>
        </is>
      </c>
      <c r="T96" s="119" t="inlineStr">
        <is>
          <t>Informasi</t>
        </is>
      </c>
      <c r="U96" s="120" t="n"/>
      <c r="V96" s="119" t="inlineStr">
        <is>
          <t>Aktif</t>
        </is>
      </c>
      <c r="W96" s="119" t="inlineStr">
        <is>
          <t>Tidak</t>
        </is>
      </c>
      <c r="X96" s="120" t="n"/>
      <c r="Y96" s="119" t="inlineStr">
        <is>
          <t>Manual</t>
        </is>
      </c>
      <c r="Z96" s="119" t="inlineStr">
        <is>
          <t>Harian</t>
        </is>
      </c>
      <c r="AA96" s="119" t="inlineStr">
        <is>
          <t>Bidang Sumber Daya Kesehatan</t>
        </is>
      </c>
      <c r="AB96" s="119" t="inlineStr">
        <is>
          <t>Dinkes</t>
        </is>
      </c>
      <c r="AC96" s="117" t="inlineStr">
        <is>
          <t>Arnaningsih</t>
        </is>
      </c>
      <c r="AD96" s="117" t="n">
        <v>82120399599</v>
      </c>
      <c r="AE96" s="117" t="inlineStr">
        <is>
          <t>perijinandinkes@gmail.com</t>
        </is>
      </c>
      <c r="AF96" s="120" t="n"/>
      <c r="AG96" s="120" t="n"/>
      <c r="AH96" s="121" t="n"/>
      <c r="AI96" s="121" t="n"/>
      <c r="AJ96" s="121" t="n"/>
      <c r="AK96" s="121" t="n"/>
      <c r="AL96" s="121" t="n"/>
      <c r="AM96" s="121" t="n"/>
      <c r="AN96" s="121" t="n"/>
      <c r="AO96" s="121" t="n"/>
      <c r="AP96" s="121" t="n"/>
      <c r="AQ96" s="121" t="n"/>
      <c r="AR96" s="121" t="n"/>
      <c r="AS96" s="284" t="n"/>
    </row>
    <row r="97">
      <c r="A97" s="116" t="n">
        <v>2</v>
      </c>
      <c r="B97" s="117" t="inlineStr">
        <is>
          <t>Layanan PSC 119 (Public Safety Center)</t>
        </is>
      </c>
      <c r="C97" t="inlineStr">
        <is>
          <t>DINKES</t>
        </is>
      </c>
      <c r="D97" s="117" t="inlineStr">
        <is>
          <t>Untuk menangani kegawatdaruratan dan rujukan medis</t>
        </is>
      </c>
      <c r="E97" s="120" t="n"/>
      <c r="F97" s="120" t="n"/>
      <c r="G97" s="119" t="inlineStr">
        <is>
          <t>PENGELOLAAN PELAYANAN KESEHATAN</t>
        </is>
      </c>
      <c r="H97" s="119" t="inlineStr">
        <is>
          <t>Masyarakat</t>
        </is>
      </c>
      <c r="I97" s="119" t="inlineStr">
        <is>
          <t>Rujukan Kasus Gawat Darurat</t>
        </is>
      </c>
      <c r="J97" s="117" t="inlineStr">
        <is>
          <t>Data Kasus Gawat Darurat Pra Hospital</t>
        </is>
      </c>
      <c r="K97" s="119" t="inlineStr">
        <is>
          <t>Tertutup</t>
        </is>
      </c>
      <c r="L97" s="119" t="inlineStr">
        <is>
          <t>Terdapat</t>
        </is>
      </c>
      <c r="M97" s="119" t="inlineStr">
        <is>
          <t>Harian</t>
        </is>
      </c>
      <c r="N97" s="97" t="inlineStr">
        <is>
          <t>PSC Kemenkes</t>
        </is>
      </c>
      <c r="O97" s="119" t="inlineStr">
        <is>
          <t>Pusat</t>
        </is>
      </c>
      <c r="P97" s="119" t="inlineStr">
        <is>
          <t>Pusat</t>
        </is>
      </c>
      <c r="Q97" s="119" t="inlineStr">
        <is>
          <t>Website</t>
        </is>
      </c>
      <c r="R97" s="122" t="inlineStr">
        <is>
          <t>psc.kemkes.go.id</t>
        </is>
      </c>
      <c r="S97" s="119" t="inlineStr">
        <is>
          <t>Secara Online</t>
        </is>
      </c>
      <c r="T97" s="119" t="inlineStr">
        <is>
          <t>Informasi</t>
        </is>
      </c>
      <c r="U97" s="123" t="n">
        <v>2026</v>
      </c>
      <c r="V97" s="119" t="inlineStr">
        <is>
          <t>Aktif</t>
        </is>
      </c>
      <c r="W97" s="119" t="inlineStr">
        <is>
          <t>Tidak</t>
        </is>
      </c>
      <c r="X97" s="120" t="n"/>
      <c r="Y97" s="119" t="inlineStr">
        <is>
          <t>Manual</t>
        </is>
      </c>
      <c r="Z97" s="119" t="inlineStr">
        <is>
          <t>Harian</t>
        </is>
      </c>
      <c r="AA97" s="119" t="inlineStr">
        <is>
          <t>Bidang Pelayanan Kesehatan</t>
        </is>
      </c>
      <c r="AB97" s="119" t="inlineStr">
        <is>
          <t>Dinkes</t>
        </is>
      </c>
      <c r="AC97" s="117" t="inlineStr">
        <is>
          <t>Ekawati Triyani</t>
        </is>
      </c>
      <c r="AD97" s="117" t="n">
        <v>811976661</v>
      </c>
      <c r="AE97" s="117" t="inlineStr">
        <is>
          <t>psc119bandungkab@gmail.com</t>
        </is>
      </c>
      <c r="AF97" s="120" t="n"/>
      <c r="AG97" s="120" t="n"/>
      <c r="AH97" s="121" t="n"/>
      <c r="AI97" s="121" t="n"/>
      <c r="AJ97" s="121" t="n"/>
      <c r="AK97" s="121" t="n"/>
      <c r="AL97" s="121" t="n"/>
      <c r="AM97" s="121" t="n"/>
      <c r="AN97" s="121" t="n"/>
      <c r="AO97" s="121" t="n"/>
      <c r="AP97" s="121" t="n"/>
      <c r="AQ97" s="121" t="n"/>
      <c r="AR97" s="121" t="n"/>
      <c r="AS97" s="284" t="n"/>
    </row>
    <row r="98">
      <c r="A98" s="116" t="n">
        <v>3</v>
      </c>
      <c r="B98" s="117" t="inlineStr">
        <is>
          <t>Layanan Kesehatan Ibu dan Bayi Baru Lahir</t>
        </is>
      </c>
      <c r="C98" t="inlineStr">
        <is>
          <t>DINKES</t>
        </is>
      </c>
      <c r="D98" s="117" t="inlineStr">
        <is>
          <t>Untuk membantu menurunkan AKI dan AKB serta melakuakan informasi rujukan pada kasus kegawatdaruratan ibu dan bayi baru lahir</t>
        </is>
      </c>
      <c r="E98" s="120" t="n"/>
      <c r="F98" s="120" t="n"/>
      <c r="G98" s="119" t="inlineStr">
        <is>
          <t>PENGELOLAAN PELAYANAN KESEHATAN</t>
        </is>
      </c>
      <c r="H98" s="119" t="inlineStr">
        <is>
          <t>Masyarakat</t>
        </is>
      </c>
      <c r="I98" s="119" t="inlineStr">
        <is>
          <t>Rujukan Kasus Maternal Neonatal</t>
        </is>
      </c>
      <c r="J98" s="117" t="inlineStr">
        <is>
          <t>Data Panggilan Masuk Rujukan dan RS Rujukan</t>
        </is>
      </c>
      <c r="K98" s="119" t="inlineStr">
        <is>
          <t>Tertutup</t>
        </is>
      </c>
      <c r="L98" s="119" t="inlineStr">
        <is>
          <t>Terdapat</t>
        </is>
      </c>
      <c r="M98" s="119" t="inlineStr">
        <is>
          <t>Harian</t>
        </is>
      </c>
      <c r="N98" s="97" t="inlineStr">
        <is>
          <t>PSC Kemenkes</t>
        </is>
      </c>
      <c r="O98" s="119" t="inlineStr">
        <is>
          <t>Pusat</t>
        </is>
      </c>
      <c r="P98" s="119" t="inlineStr">
        <is>
          <t>Pusat</t>
        </is>
      </c>
      <c r="Q98" s="119" t="inlineStr">
        <is>
          <t>Website</t>
        </is>
      </c>
      <c r="R98" s="122" t="inlineStr">
        <is>
          <t>psc.kemkes.go.id</t>
        </is>
      </c>
      <c r="S98" s="119" t="inlineStr">
        <is>
          <t>Secara Online</t>
        </is>
      </c>
      <c r="T98" s="119" t="inlineStr">
        <is>
          <t>Informasi</t>
        </is>
      </c>
      <c r="U98" s="123" t="n">
        <v>2026</v>
      </c>
      <c r="V98" s="119" t="inlineStr">
        <is>
          <t>Aktif</t>
        </is>
      </c>
      <c r="W98" s="119" t="inlineStr">
        <is>
          <t>Tidak</t>
        </is>
      </c>
      <c r="X98" s="120" t="n"/>
      <c r="Y98" s="119" t="inlineStr">
        <is>
          <t>Manual</t>
        </is>
      </c>
      <c r="Z98" s="119" t="inlineStr">
        <is>
          <t>Harian</t>
        </is>
      </c>
      <c r="AA98" s="119" t="inlineStr">
        <is>
          <t>Bidang Pelayanan Kesehatan</t>
        </is>
      </c>
      <c r="AB98" s="119" t="inlineStr">
        <is>
          <t>Dinkes</t>
        </is>
      </c>
      <c r="AC98" s="117" t="inlineStr">
        <is>
          <t>Ekawati Triyani</t>
        </is>
      </c>
      <c r="AD98" s="117" t="n">
        <v>811976661</v>
      </c>
      <c r="AE98" s="117" t="inlineStr">
        <is>
          <t>psc119bandungkab@gmail.com</t>
        </is>
      </c>
      <c r="AF98" s="120" t="n"/>
      <c r="AG98" s="120" t="n"/>
      <c r="AH98" s="121" t="n"/>
      <c r="AI98" s="121" t="n"/>
      <c r="AJ98" s="121" t="n"/>
      <c r="AK98" s="121" t="n"/>
      <c r="AL98" s="121" t="n"/>
      <c r="AM98" s="121" t="n"/>
      <c r="AN98" s="121" t="n"/>
      <c r="AO98" s="121" t="n"/>
      <c r="AP98" s="121" t="n"/>
      <c r="AQ98" s="121" t="n"/>
      <c r="AR98" s="121" t="n"/>
      <c r="AS98" s="284" t="n"/>
    </row>
    <row r="99">
      <c r="A99" s="182" t="n">
        <v>4</v>
      </c>
      <c r="B99" s="178" t="inlineStr">
        <is>
          <t>Layanan Pendaftaran Pemeriksaan Laboratorium Kesehatan</t>
        </is>
      </c>
      <c r="C99" t="inlineStr">
        <is>
          <t>DINKES</t>
        </is>
      </c>
      <c r="D99" s="178" t="inlineStr">
        <is>
          <t>Untuk mengambil sampel dan pemeriksaan laboratorium klinis</t>
        </is>
      </c>
      <c r="E99" s="288" t="n"/>
      <c r="F99" s="288" t="n"/>
      <c r="G99" s="288" t="n"/>
      <c r="H99" s="288" t="n"/>
      <c r="I99" s="288" t="n"/>
      <c r="J99" s="178" t="inlineStr">
        <is>
          <t>Data Riwayat Pasien</t>
        </is>
      </c>
      <c r="K99" s="288" t="n"/>
      <c r="L99" s="288" t="n"/>
      <c r="M99" s="288" t="n"/>
      <c r="N99" s="97" t="inlineStr">
        <is>
          <t>SILABKES</t>
        </is>
      </c>
      <c r="O99" s="184" t="inlineStr">
        <is>
          <t>Pihak Ke 3</t>
        </is>
      </c>
      <c r="P99" s="288" t="n"/>
      <c r="Q99" s="184" t="inlineStr">
        <is>
          <t>Desktop</t>
        </is>
      </c>
      <c r="R99" s="288" t="n"/>
      <c r="S99" s="288" t="n"/>
      <c r="T99" s="288" t="n"/>
      <c r="U99" s="288" t="n"/>
      <c r="V99" s="288" t="n"/>
      <c r="W99" s="288" t="n"/>
      <c r="X99" s="288" t="n"/>
      <c r="Y99" s="288" t="n"/>
      <c r="Z99" s="288" t="n"/>
      <c r="AA99" s="288" t="n"/>
      <c r="AB99" s="288" t="n"/>
      <c r="AC99" s="288" t="n"/>
      <c r="AD99" s="288" t="n"/>
      <c r="AE99" s="288" t="n"/>
      <c r="AF99" s="288" t="n"/>
      <c r="AG99" s="288" t="n"/>
      <c r="AH99" s="284" t="n"/>
      <c r="AI99" s="284" t="n"/>
      <c r="AJ99" s="284" t="n"/>
      <c r="AK99" s="284" t="n"/>
      <c r="AL99" s="284" t="n"/>
      <c r="AM99" s="284" t="n"/>
      <c r="AN99" s="284" t="n"/>
      <c r="AO99" s="284" t="n"/>
      <c r="AP99" s="284" t="n"/>
      <c r="AQ99" s="284" t="n"/>
      <c r="AR99" s="284" t="n"/>
      <c r="AS99" s="284" t="n"/>
    </row>
    <row r="100">
      <c r="A100" s="116" t="n">
        <v>5</v>
      </c>
      <c r="B100" s="117" t="inlineStr">
        <is>
          <t>Layanan Surveilans Puskesmas dan Dinkes</t>
        </is>
      </c>
      <c r="C100" t="inlineStr">
        <is>
          <t>DINKES</t>
        </is>
      </c>
      <c r="D100" s="117" t="inlineStr">
        <is>
          <t>Untuk mendeteksi secara dini kejadian luar biasa dan wabah di suatu wilayah</t>
        </is>
      </c>
      <c r="E100" s="120" t="n"/>
      <c r="F100" s="120" t="n"/>
      <c r="G100" s="119" t="inlineStr">
        <is>
          <t>PENCEGAHAN DAN PENGENDALIAN PENYAKIT</t>
        </is>
      </c>
      <c r="H100" s="119" t="inlineStr">
        <is>
          <t>Masyarakat</t>
        </is>
      </c>
      <c r="I100" s="120" t="n"/>
      <c r="J100" s="117" t="inlineStr">
        <is>
          <t>Data Peringatan Potensi KLB dan Wabah</t>
        </is>
      </c>
      <c r="K100" s="119" t="inlineStr">
        <is>
          <t>Tertutup</t>
        </is>
      </c>
      <c r="L100" s="119" t="inlineStr">
        <is>
          <t>Terdapat</t>
        </is>
      </c>
      <c r="M100" s="119" t="inlineStr">
        <is>
          <t>Mingguan</t>
        </is>
      </c>
      <c r="N100" s="97" t="inlineStr">
        <is>
          <t>APLIKASI Sistem Kewaspadaan Dini dan Respon</t>
        </is>
      </c>
      <c r="O100" s="119" t="inlineStr">
        <is>
          <t>Pusat</t>
        </is>
      </c>
      <c r="P100" s="119" t="inlineStr">
        <is>
          <t>Pusat</t>
        </is>
      </c>
      <c r="Q100" s="119" t="inlineStr">
        <is>
          <t>Website</t>
        </is>
      </c>
      <c r="R100" s="70" t="inlineStr">
        <is>
          <t>skdr.kemkes.go.id</t>
        </is>
      </c>
      <c r="S100" s="119" t="inlineStr">
        <is>
          <t>Secara Online</t>
        </is>
      </c>
      <c r="T100" s="119" t="inlineStr">
        <is>
          <t>Informasi</t>
        </is>
      </c>
      <c r="U100" s="123" t="n">
        <v>2015</v>
      </c>
      <c r="V100" s="119" t="inlineStr">
        <is>
          <t>Aktif</t>
        </is>
      </c>
      <c r="W100" s="119" t="inlineStr">
        <is>
          <t>Ya</t>
        </is>
      </c>
      <c r="X100" s="120" t="n"/>
      <c r="Y100" s="119" t="inlineStr">
        <is>
          <t>API</t>
        </is>
      </c>
      <c r="Z100" s="119" t="inlineStr">
        <is>
          <t>Realtime</t>
        </is>
      </c>
      <c r="AA100" s="119" t="inlineStr">
        <is>
          <t>Bidang Pengendalian dan Pencegahan Penyakit</t>
        </is>
      </c>
      <c r="AB100" s="119" t="inlineStr">
        <is>
          <t>Dinkes</t>
        </is>
      </c>
      <c r="AC100" s="117" t="inlineStr">
        <is>
          <t>Stella Wirasto Dwiputra</t>
        </is>
      </c>
      <c r="AD100" s="117" t="n">
        <v>87822419136</v>
      </c>
      <c r="AE100" s="117" t="inlineStr">
        <is>
          <t>survimkabbandung@gmail.com</t>
        </is>
      </c>
      <c r="AF100" s="120" t="n"/>
      <c r="AG100" s="120" t="n"/>
      <c r="AH100" s="121" t="n"/>
      <c r="AI100" s="121" t="n"/>
      <c r="AJ100" s="121" t="n"/>
      <c r="AK100" s="121" t="n"/>
      <c r="AL100" s="121" t="n"/>
      <c r="AM100" s="121" t="n"/>
      <c r="AN100" s="121" t="n"/>
      <c r="AO100" s="121" t="n"/>
      <c r="AP100" s="121" t="n"/>
      <c r="AQ100" s="121" t="n"/>
      <c r="AR100" s="121" t="n"/>
      <c r="AS100" s="284" t="n"/>
    </row>
    <row r="101">
      <c r="A101" s="124" t="n">
        <v>6</v>
      </c>
      <c r="B101" s="125" t="inlineStr">
        <is>
          <t>Layanan Pelaporan Skrining Faktor Resiko Penyakit Tidak Menular</t>
        </is>
      </c>
      <c r="C101" t="inlineStr">
        <is>
          <t>DINKES</t>
        </is>
      </c>
      <c r="D101" s="125" t="inlineStr">
        <is>
          <t>Untuk melaporkan kegiatan skrining faktor resiko</t>
        </is>
      </c>
      <c r="E101" s="127" t="n"/>
      <c r="F101" s="127" t="n"/>
      <c r="G101" s="127" t="n"/>
      <c r="H101" s="127" t="n"/>
      <c r="I101" s="127" t="n"/>
      <c r="J101" s="125" t="inlineStr">
        <is>
          <t>Data Pelaporan Kegiatan PTM</t>
        </is>
      </c>
      <c r="K101" s="127" t="n"/>
      <c r="L101" s="127" t="n"/>
      <c r="M101" s="127" t="n"/>
      <c r="N101" s="97" t="inlineStr">
        <is>
          <t>SIPTM</t>
        </is>
      </c>
      <c r="O101" s="128" t="inlineStr">
        <is>
          <t>Pusat</t>
        </is>
      </c>
      <c r="P101" s="128" t="inlineStr">
        <is>
          <t>Pusat</t>
        </is>
      </c>
      <c r="Q101" s="128" t="inlineStr">
        <is>
          <t>Website</t>
        </is>
      </c>
      <c r="R101" s="70" t="inlineStr">
        <is>
          <t>https://surveilans-pptm.kemkes.go.id/</t>
        </is>
      </c>
      <c r="S101" s="127" t="n"/>
      <c r="T101" s="127" t="n"/>
      <c r="U101" s="127" t="n"/>
      <c r="V101" s="128" t="inlineStr">
        <is>
          <t>Non Aktif</t>
        </is>
      </c>
      <c r="W101" s="127" t="n"/>
      <c r="X101" s="127" t="n"/>
      <c r="Y101" s="127" t="n"/>
      <c r="Z101" s="127" t="n"/>
      <c r="AA101" s="127" t="n"/>
      <c r="AB101" s="127" t="n"/>
      <c r="AC101" s="127" t="n"/>
      <c r="AD101" s="127" t="n"/>
      <c r="AE101" s="127" t="n"/>
      <c r="AF101" s="127" t="n"/>
      <c r="AG101" s="127" t="n"/>
      <c r="AH101" s="129" t="n"/>
      <c r="AI101" s="129" t="n"/>
      <c r="AJ101" s="129" t="n"/>
      <c r="AK101" s="129" t="n"/>
      <c r="AL101" s="129" t="n"/>
      <c r="AM101" s="129" t="n"/>
      <c r="AN101" s="129" t="n"/>
      <c r="AO101" s="129" t="n"/>
      <c r="AP101" s="129" t="n"/>
      <c r="AQ101" s="129" t="n"/>
      <c r="AR101" s="129" t="n"/>
      <c r="AS101" s="284" t="n"/>
    </row>
    <row r="102">
      <c r="A102" s="116" t="n">
        <v>7</v>
      </c>
      <c r="B102" s="117" t="inlineStr">
        <is>
          <t>Layanan Program Imunisasi</t>
        </is>
      </c>
      <c r="C102" t="inlineStr">
        <is>
          <t>DINKES</t>
        </is>
      </c>
      <c r="D102" s="117" t="inlineStr">
        <is>
          <t>Untuk memberikan pelayanan imunisasi pada bayi, balita dan wanita usia subur</t>
        </is>
      </c>
      <c r="E102" s="117" t="inlineStr">
        <is>
          <t>Surat Edaran Kementerian Kesehatan nomor : HK.02.02/C/5961/2022 tentang Penggunaan Aplikasi Sehat Indonesiaku (ASIK) untuk Imunisasi rutin</t>
        </is>
      </c>
      <c r="F102" s="120" t="n"/>
      <c r="G102" s="119" t="inlineStr">
        <is>
          <t>PENCEGAHAN DAN PENGENDALIAN PENYAKIT</t>
        </is>
      </c>
      <c r="H102" s="119" t="inlineStr">
        <is>
          <t>Masyarakat</t>
        </is>
      </c>
      <c r="I102" s="120" t="n"/>
      <c r="J102" s="117" t="inlineStr">
        <is>
          <t>Data Imunisasi</t>
        </is>
      </c>
      <c r="K102" s="119" t="inlineStr">
        <is>
          <t>Tertutup</t>
        </is>
      </c>
      <c r="L102" s="119" t="inlineStr">
        <is>
          <t>Terdapat</t>
        </is>
      </c>
      <c r="M102" s="119" t="inlineStr">
        <is>
          <t>Harian</t>
        </is>
      </c>
      <c r="N102" s="97" t="inlineStr">
        <is>
          <t>SEHAT INDONESIAKU</t>
        </is>
      </c>
      <c r="O102" s="119" t="inlineStr">
        <is>
          <t>Pusat</t>
        </is>
      </c>
      <c r="P102" s="119" t="inlineStr">
        <is>
          <t>Pusat</t>
        </is>
      </c>
      <c r="Q102" s="119" t="inlineStr">
        <is>
          <t>Website</t>
        </is>
      </c>
      <c r="R102" s="122" t="inlineStr">
        <is>
          <t>https://sehatindonesiaku.kemkes.go.id</t>
        </is>
      </c>
      <c r="S102" s="119" t="inlineStr">
        <is>
          <t>Secara Online</t>
        </is>
      </c>
      <c r="T102" s="119" t="inlineStr">
        <is>
          <t>Informasi</t>
        </is>
      </c>
      <c r="U102" s="123" t="n">
        <v>2023</v>
      </c>
      <c r="V102" s="119" t="inlineStr">
        <is>
          <t>Aktif</t>
        </is>
      </c>
      <c r="W102" s="119" t="inlineStr">
        <is>
          <t>Ya</t>
        </is>
      </c>
      <c r="X102" s="120" t="n"/>
      <c r="Y102" s="119" t="inlineStr">
        <is>
          <t>API</t>
        </is>
      </c>
      <c r="Z102" s="119" t="inlineStr">
        <is>
          <t>Harian</t>
        </is>
      </c>
      <c r="AA102" s="119" t="inlineStr">
        <is>
          <t>Bidang Pengendalian dan Pencegahan Penyakit</t>
        </is>
      </c>
      <c r="AB102" s="119" t="inlineStr">
        <is>
          <t>Dinkes</t>
        </is>
      </c>
      <c r="AC102" s="117" t="inlineStr">
        <is>
          <t>Endang Sunandar</t>
        </is>
      </c>
      <c r="AD102" s="117" t="n">
        <v>81313125931</v>
      </c>
      <c r="AE102" s="117" t="inlineStr">
        <is>
          <t>survimkabbandung@gmail.com</t>
        </is>
      </c>
      <c r="AF102" s="120" t="n"/>
      <c r="AG102" s="120" t="n"/>
      <c r="AH102" s="121" t="n"/>
      <c r="AI102" s="121" t="n"/>
      <c r="AJ102" s="121" t="n"/>
      <c r="AK102" s="121" t="n"/>
      <c r="AL102" s="121" t="n"/>
      <c r="AM102" s="121" t="n"/>
      <c r="AN102" s="121" t="n"/>
      <c r="AO102" s="121" t="n"/>
      <c r="AP102" s="121" t="n"/>
      <c r="AQ102" s="121" t="n"/>
      <c r="AR102" s="121" t="n"/>
      <c r="AS102" s="284" t="n"/>
    </row>
    <row r="103">
      <c r="A103" s="182" t="n">
        <v>8</v>
      </c>
      <c r="B103" s="178" t="inlineStr">
        <is>
          <t>Layanan Pelaporan Penggunaan Sediaan Narkotika dan Psikotropika</t>
        </is>
      </c>
      <c r="C103" t="inlineStr">
        <is>
          <t>DINKES</t>
        </is>
      </c>
      <c r="D103" s="178" t="inlineStr">
        <is>
          <t>Untuk melaporkan penggunaan sediaan narkotika dan psikotropika dari seluruh unit pelayanan (apotek, klinik dan rumah sakit) instalasi farmasi kabupatek/kota, dinas kesehatan kabupaten/ kota dan dinas kesehatan provinsi seluruh indonesia</t>
        </is>
      </c>
      <c r="E103" s="288" t="n"/>
      <c r="F103" s="288" t="n"/>
      <c r="G103" s="288" t="n"/>
      <c r="H103" s="288" t="n"/>
      <c r="I103" s="288" t="n"/>
      <c r="J103" s="178" t="inlineStr">
        <is>
          <t>Data Laporan Penggunaan Sediaan NAPSA Nasional</t>
        </is>
      </c>
      <c r="K103" s="288" t="n"/>
      <c r="L103" s="288" t="n"/>
      <c r="M103" s="288" t="n"/>
      <c r="N103" s="97" t="inlineStr">
        <is>
          <t>SIPNAP</t>
        </is>
      </c>
      <c r="O103" s="184" t="inlineStr">
        <is>
          <t>Pusat</t>
        </is>
      </c>
      <c r="P103" s="184" t="inlineStr">
        <is>
          <t>Pusat</t>
        </is>
      </c>
      <c r="Q103" s="184" t="inlineStr">
        <is>
          <t>Website</t>
        </is>
      </c>
      <c r="R103" s="70" t="inlineStr">
        <is>
          <t>sipnap.kemkes.go.id</t>
        </is>
      </c>
      <c r="S103" s="288" t="n"/>
      <c r="T103" s="288" t="n"/>
      <c r="U103" s="288" t="n"/>
      <c r="V103" s="288" t="n"/>
      <c r="W103" s="288" t="n"/>
      <c r="X103" s="288" t="n"/>
      <c r="Y103" s="288" t="n"/>
      <c r="Z103" s="288" t="n"/>
      <c r="AA103" s="288" t="n"/>
      <c r="AB103" s="288" t="n"/>
      <c r="AC103" s="288" t="n"/>
      <c r="AD103" s="288" t="n"/>
      <c r="AE103" s="288" t="n"/>
      <c r="AF103" s="288" t="n"/>
      <c r="AG103" s="288" t="n"/>
      <c r="AH103" s="284" t="n"/>
      <c r="AI103" s="284" t="n"/>
      <c r="AJ103" s="284" t="n"/>
      <c r="AK103" s="284" t="n"/>
      <c r="AL103" s="284" t="n"/>
      <c r="AM103" s="284" t="n"/>
      <c r="AN103" s="284" t="n"/>
      <c r="AO103" s="284" t="n"/>
      <c r="AP103" s="284" t="n"/>
      <c r="AQ103" s="284" t="n"/>
      <c r="AR103" s="284" t="n"/>
      <c r="AS103" s="284" t="n"/>
    </row>
    <row r="104">
      <c r="A104" s="182" t="n">
        <v>9</v>
      </c>
      <c r="B104" s="178" t="inlineStr">
        <is>
          <t>Layanan Monitoring dan Pembinaan Fasilitas Pelayanan Kefarmasian</t>
        </is>
      </c>
      <c r="C104" t="inlineStr">
        <is>
          <t>DINKES</t>
        </is>
      </c>
      <c r="D104" s="178" t="inlineStr">
        <is>
          <t>Untuk menjadi salah satu dasar pelaksanaan pembinaan dan pengawasan pelayanan kefarmasian di Fasyankes</t>
        </is>
      </c>
      <c r="E104" s="288" t="n"/>
      <c r="F104" s="288" t="n"/>
      <c r="G104" s="288" t="n"/>
      <c r="H104" s="288" t="n"/>
      <c r="I104" s="288" t="n"/>
      <c r="J104" s="178" t="inlineStr">
        <is>
          <t>Data Kegiatan Pelayanan Kefarmasian</t>
        </is>
      </c>
      <c r="K104" s="288" t="n"/>
      <c r="L104" s="288" t="n"/>
      <c r="M104" s="288" t="n"/>
      <c r="N104" s="97" t="inlineStr">
        <is>
          <t>SIMONA</t>
        </is>
      </c>
      <c r="O104" s="288" t="n"/>
      <c r="P104" s="288" t="n"/>
      <c r="Q104" s="288" t="n"/>
      <c r="R104" s="288" t="n"/>
      <c r="S104" s="288" t="n"/>
      <c r="T104" s="288" t="n"/>
      <c r="U104" s="288" t="n"/>
      <c r="V104" s="288" t="n"/>
      <c r="W104" s="288" t="n"/>
      <c r="X104" s="288" t="n"/>
      <c r="Y104" s="288" t="n"/>
      <c r="Z104" s="288" t="n"/>
      <c r="AA104" s="288" t="n"/>
      <c r="AB104" s="288" t="n"/>
      <c r="AC104" s="288" t="n"/>
      <c r="AD104" s="288" t="n"/>
      <c r="AE104" s="288" t="n"/>
      <c r="AF104" s="288" t="n"/>
      <c r="AG104" s="288" t="n"/>
      <c r="AH104" s="284" t="n"/>
      <c r="AI104" s="284" t="n"/>
      <c r="AJ104" s="284" t="n"/>
      <c r="AK104" s="284" t="n"/>
      <c r="AL104" s="284" t="n"/>
      <c r="AM104" s="284" t="n"/>
      <c r="AN104" s="284" t="n"/>
      <c r="AO104" s="284" t="n"/>
      <c r="AP104" s="284" t="n"/>
      <c r="AQ104" s="284" t="n"/>
      <c r="AR104" s="284" t="n"/>
      <c r="AS104" s="284" t="n"/>
    </row>
    <row r="105">
      <c r="A105" s="182" t="n">
        <v>10</v>
      </c>
      <c r="B105" s="178" t="inlineStr">
        <is>
          <t>Layanan Perekaman Data RM Pasien Elektronik</t>
        </is>
      </c>
      <c r="C105" t="inlineStr">
        <is>
          <t>DINKES</t>
        </is>
      </c>
      <c r="D105" s="178" t="inlineStr">
        <is>
          <t>Untuk mencatat data rekam medis pasien yang berkunjung ke puskesmas</t>
        </is>
      </c>
      <c r="E105" s="288" t="n"/>
      <c r="F105" s="288" t="n"/>
      <c r="G105" s="288" t="n"/>
      <c r="H105" s="288" t="n"/>
      <c r="I105" s="288" t="n"/>
      <c r="J105" s="178" t="inlineStr">
        <is>
          <t>Data Rekam Medis</t>
        </is>
      </c>
      <c r="K105" s="288" t="n"/>
      <c r="L105" s="288" t="n"/>
      <c r="M105" s="288" t="n"/>
      <c r="N105" s="97" t="inlineStr">
        <is>
          <t>SIMPUS</t>
        </is>
      </c>
      <c r="O105" s="288" t="n"/>
      <c r="P105" s="288" t="n"/>
      <c r="Q105" s="288" t="n"/>
      <c r="R105" s="288" t="n"/>
      <c r="S105" s="288" t="n"/>
      <c r="T105" s="288" t="n"/>
      <c r="U105" s="288" t="n"/>
      <c r="V105" s="288" t="n"/>
      <c r="W105" s="288" t="n"/>
      <c r="X105" s="288" t="n"/>
      <c r="Y105" s="288" t="n"/>
      <c r="Z105" s="288" t="n"/>
      <c r="AA105" s="288" t="n"/>
      <c r="AB105" s="288" t="n"/>
      <c r="AC105" s="288" t="n"/>
      <c r="AD105" s="288" t="n"/>
      <c r="AE105" s="288" t="n"/>
      <c r="AF105" s="288" t="n"/>
      <c r="AG105" s="288" t="n"/>
      <c r="AH105" s="284" t="n"/>
      <c r="AI105" s="284" t="n"/>
      <c r="AJ105" s="284" t="n"/>
      <c r="AK105" s="284" t="n"/>
      <c r="AL105" s="284" t="n"/>
      <c r="AM105" s="284" t="n"/>
      <c r="AN105" s="284" t="n"/>
      <c r="AO105" s="284" t="n"/>
      <c r="AP105" s="284" t="n"/>
      <c r="AQ105" s="284" t="n"/>
      <c r="AR105" s="284" t="n"/>
      <c r="AS105" s="284" t="n"/>
    </row>
    <row r="106">
      <c r="A106" s="116" t="n">
        <v>11</v>
      </c>
      <c r="B106" s="117" t="inlineStr">
        <is>
          <t>Layanan Pendataan Tuberkulosis</t>
        </is>
      </c>
      <c r="C106" t="inlineStr">
        <is>
          <t>DINKES</t>
        </is>
      </c>
      <c r="D106" s="117" t="inlineStr">
        <is>
          <t>Untuk memantau keadaan pasien TBC</t>
        </is>
      </c>
      <c r="E106" s="120" t="n"/>
      <c r="F106" s="120" t="n"/>
      <c r="G106" s="119" t="inlineStr">
        <is>
          <t>PENCEGAHAN DAN PENGENDALIAN PENYAKIT</t>
        </is>
      </c>
      <c r="H106" s="119" t="inlineStr">
        <is>
          <t>Masyarakat</t>
        </is>
      </c>
      <c r="I106" s="120" t="n"/>
      <c r="J106" s="117" t="inlineStr">
        <is>
          <t>Data Pasien TBC</t>
        </is>
      </c>
      <c r="K106" s="119" t="inlineStr">
        <is>
          <t>Terbatas</t>
        </is>
      </c>
      <c r="L106" s="119" t="inlineStr">
        <is>
          <t>Terdapat</t>
        </is>
      </c>
      <c r="M106" s="119" t="inlineStr">
        <is>
          <t>Harian</t>
        </is>
      </c>
      <c r="N106" s="97" t="inlineStr">
        <is>
          <t>Sistem Informasi Tuberkulosis (SITB)</t>
        </is>
      </c>
      <c r="O106" s="119" t="inlineStr">
        <is>
          <t>Pusat</t>
        </is>
      </c>
      <c r="P106" s="119" t="inlineStr">
        <is>
          <t>Pusat</t>
        </is>
      </c>
      <c r="Q106" s="119" t="inlineStr">
        <is>
          <t>Website</t>
        </is>
      </c>
      <c r="R106" s="70" t="inlineStr">
        <is>
          <t>https://sitb.kemkes.go.id/</t>
        </is>
      </c>
      <c r="S106" s="119" t="inlineStr">
        <is>
          <t>Secara Online</t>
        </is>
      </c>
      <c r="T106" s="119" t="inlineStr">
        <is>
          <t>Informasi</t>
        </is>
      </c>
      <c r="U106" s="120" t="n"/>
      <c r="V106" s="119" t="inlineStr">
        <is>
          <t>Aktif</t>
        </is>
      </c>
      <c r="W106" s="119" t="inlineStr">
        <is>
          <t>Ya</t>
        </is>
      </c>
      <c r="X106" s="120" t="n"/>
      <c r="Y106" s="119" t="inlineStr">
        <is>
          <t>Manual</t>
        </is>
      </c>
      <c r="Z106" s="119" t="inlineStr">
        <is>
          <t>Realtime</t>
        </is>
      </c>
      <c r="AA106" s="119" t="inlineStr">
        <is>
          <t>Bidang Pengendalian dan Pencegahan Penyakit</t>
        </is>
      </c>
      <c r="AB106" s="119" t="inlineStr">
        <is>
          <t>Dinkes</t>
        </is>
      </c>
      <c r="AC106" s="117" t="inlineStr">
        <is>
          <t>dr.Lucy</t>
        </is>
      </c>
      <c r="AD106" s="117" t="n">
        <v>81322836363</v>
      </c>
      <c r="AE106" s="117" t="inlineStr">
        <is>
          <t>seksipmptmkabupatenbandung@gmail.com</t>
        </is>
      </c>
      <c r="AF106" s="120" t="n"/>
      <c r="AG106" s="120" t="n"/>
      <c r="AH106" s="121" t="n"/>
      <c r="AI106" s="121" t="n"/>
      <c r="AJ106" s="121" t="n"/>
      <c r="AK106" s="121" t="n"/>
      <c r="AL106" s="121" t="n"/>
      <c r="AM106" s="121" t="n"/>
      <c r="AN106" s="121" t="n"/>
      <c r="AO106" s="121" t="n"/>
      <c r="AP106" s="121" t="n"/>
      <c r="AQ106" s="121" t="n"/>
      <c r="AR106" s="121" t="n"/>
      <c r="AS106" s="284" t="n"/>
    </row>
    <row r="107">
      <c r="A107" s="116" t="n">
        <v>12</v>
      </c>
      <c r="B107" s="117" t="inlineStr">
        <is>
          <t>Layanan Penanggulangan Penderita Malaria</t>
        </is>
      </c>
      <c r="C107" t="inlineStr">
        <is>
          <t>DINKES</t>
        </is>
      </c>
      <c r="D107" s="117" t="inlineStr">
        <is>
          <t>Untuk melaporkan penderita malaria</t>
        </is>
      </c>
      <c r="E107" s="120" t="n"/>
      <c r="F107" s="120" t="n"/>
      <c r="G107" s="119" t="inlineStr">
        <is>
          <t>PENCEGAHAN DAN PENGENDALIAN PENYAKIT</t>
        </is>
      </c>
      <c r="H107" s="119" t="inlineStr">
        <is>
          <t>Masyarakat</t>
        </is>
      </c>
      <c r="I107" s="120" t="n"/>
      <c r="J107" s="117" t="inlineStr">
        <is>
          <t>Data Pasien Penderita Malaria</t>
        </is>
      </c>
      <c r="K107" s="119" t="inlineStr">
        <is>
          <t>Terbatas</t>
        </is>
      </c>
      <c r="L107" s="119" t="inlineStr">
        <is>
          <t>Terdapat</t>
        </is>
      </c>
      <c r="M107" s="119" t="inlineStr">
        <is>
          <t>Harian</t>
        </is>
      </c>
      <c r="N107" s="97" t="inlineStr">
        <is>
          <t>ESISMAL</t>
        </is>
      </c>
      <c r="O107" s="119" t="inlineStr">
        <is>
          <t>Pusat</t>
        </is>
      </c>
      <c r="P107" s="119" t="inlineStr">
        <is>
          <t>Pusat</t>
        </is>
      </c>
      <c r="Q107" s="119" t="inlineStr">
        <is>
          <t>Website</t>
        </is>
      </c>
      <c r="R107" s="70" t="inlineStr">
        <is>
          <t>sismal.kemkes.go.id</t>
        </is>
      </c>
      <c r="S107" s="119" t="inlineStr">
        <is>
          <t>Secara Online</t>
        </is>
      </c>
      <c r="T107" s="119" t="inlineStr">
        <is>
          <t>Informasi</t>
        </is>
      </c>
      <c r="U107" s="120" t="n"/>
      <c r="V107" s="119" t="inlineStr">
        <is>
          <t>Aktif</t>
        </is>
      </c>
      <c r="W107" s="119" t="inlineStr">
        <is>
          <t>Ya</t>
        </is>
      </c>
      <c r="X107" s="120" t="n"/>
      <c r="Y107" s="119" t="inlineStr">
        <is>
          <t>Manual</t>
        </is>
      </c>
      <c r="Z107" s="119" t="inlineStr">
        <is>
          <t>Realtime</t>
        </is>
      </c>
      <c r="AA107" s="119" t="inlineStr">
        <is>
          <t>Bidang Pengendalian dan Pencegahan Penyakit</t>
        </is>
      </c>
      <c r="AB107" s="119" t="inlineStr">
        <is>
          <t>Dinkes</t>
        </is>
      </c>
      <c r="AC107" s="117" t="inlineStr">
        <is>
          <t>Ratna Wulan Sari</t>
        </is>
      </c>
      <c r="AD107" s="117" t="n">
        <v>81223266494</v>
      </c>
      <c r="AE107" s="117" t="inlineStr">
        <is>
          <t>seksipmptmkabupatenbandung@gmail.com</t>
        </is>
      </c>
      <c r="AF107" s="120" t="n"/>
      <c r="AG107" s="120" t="n"/>
      <c r="AH107" s="121" t="n"/>
      <c r="AI107" s="121" t="n"/>
      <c r="AJ107" s="121" t="n"/>
      <c r="AK107" s="121" t="n"/>
      <c r="AL107" s="121" t="n"/>
      <c r="AM107" s="121" t="n"/>
      <c r="AN107" s="121" t="n"/>
      <c r="AO107" s="121" t="n"/>
      <c r="AP107" s="121" t="n"/>
      <c r="AQ107" s="121" t="n"/>
      <c r="AR107" s="121" t="n"/>
      <c r="AS107" s="284" t="n"/>
    </row>
    <row r="108">
      <c r="A108" s="116" t="n">
        <v>13</v>
      </c>
      <c r="B108" s="117" t="inlineStr">
        <is>
          <t>Layanan Penyakit Tular Vektor, Zoonotik dan DBD</t>
        </is>
      </c>
      <c r="C108" t="inlineStr">
        <is>
          <t>DINKES</t>
        </is>
      </c>
      <c r="D108" s="117" t="inlineStr">
        <is>
          <t>Untuk mempersiapkan kewaspadaan dini terhadap penyakit tulat vektor dan zoonotik</t>
        </is>
      </c>
      <c r="E108" s="120" t="n"/>
      <c r="F108" s="120" t="n"/>
      <c r="G108" s="119" t="inlineStr">
        <is>
          <t>PENCEGAHAN DAN PENGENDALIAN PENYAKIT</t>
        </is>
      </c>
      <c r="H108" s="119" t="inlineStr">
        <is>
          <t>Masyarakat</t>
        </is>
      </c>
      <c r="I108" s="120" t="n"/>
      <c r="J108" s="117" t="inlineStr">
        <is>
          <t>Data Penyakit Tular Vektor dan Zoonotik</t>
        </is>
      </c>
      <c r="K108" s="119" t="inlineStr">
        <is>
          <t>Terbatas</t>
        </is>
      </c>
      <c r="L108" s="119" t="inlineStr">
        <is>
          <t>Terdapat</t>
        </is>
      </c>
      <c r="M108" s="119" t="inlineStr">
        <is>
          <t>Harian</t>
        </is>
      </c>
      <c r="N108" s="97" t="inlineStr">
        <is>
          <t>SILANTOR</t>
        </is>
      </c>
      <c r="O108" s="119" t="inlineStr">
        <is>
          <t>Pusat</t>
        </is>
      </c>
      <c r="P108" s="119" t="inlineStr">
        <is>
          <t>Pusat</t>
        </is>
      </c>
      <c r="Q108" s="119" t="inlineStr">
        <is>
          <t>Website</t>
        </is>
      </c>
      <c r="R108" s="70" t="inlineStr">
        <is>
          <t>silantor.kemkes.go.id</t>
        </is>
      </c>
      <c r="S108" s="119" t="inlineStr">
        <is>
          <t>Secara Online</t>
        </is>
      </c>
      <c r="T108" s="119" t="inlineStr">
        <is>
          <t>Informasi</t>
        </is>
      </c>
      <c r="U108" s="120" t="n"/>
      <c r="V108" s="119" t="inlineStr">
        <is>
          <t>Aktif</t>
        </is>
      </c>
      <c r="W108" s="119" t="inlineStr">
        <is>
          <t>Ya</t>
        </is>
      </c>
      <c r="X108" s="120" t="n"/>
      <c r="Y108" s="119" t="inlineStr">
        <is>
          <t>Manual</t>
        </is>
      </c>
      <c r="Z108" s="119" t="inlineStr">
        <is>
          <t>Realtime</t>
        </is>
      </c>
      <c r="AA108" s="119" t="inlineStr">
        <is>
          <t>Bidang Pengendalian dan Pencegahan Penyakit</t>
        </is>
      </c>
      <c r="AB108" s="119" t="inlineStr">
        <is>
          <t>Dinkes</t>
        </is>
      </c>
      <c r="AC108" s="117" t="inlineStr">
        <is>
          <t>Ratna Wulan Sari</t>
        </is>
      </c>
      <c r="AD108" s="117" t="n">
        <v>81223266494</v>
      </c>
      <c r="AE108" s="117" t="inlineStr">
        <is>
          <t>seksipmptmkabupatenbandung@gmail.com</t>
        </is>
      </c>
      <c r="AF108" s="120" t="n"/>
      <c r="AG108" s="120" t="n"/>
      <c r="AH108" s="121" t="n"/>
      <c r="AI108" s="121" t="n"/>
      <c r="AJ108" s="121" t="n"/>
      <c r="AK108" s="121" t="n"/>
      <c r="AL108" s="121" t="n"/>
      <c r="AM108" s="121" t="n"/>
      <c r="AN108" s="121" t="n"/>
      <c r="AO108" s="121" t="n"/>
      <c r="AP108" s="121" t="n"/>
      <c r="AQ108" s="121" t="n"/>
      <c r="AR108" s="121" t="n"/>
      <c r="AS108" s="284" t="n"/>
    </row>
    <row r="109">
      <c r="A109" s="182" t="n">
        <v>14</v>
      </c>
      <c r="B109" s="178" t="inlineStr">
        <is>
          <t>Layanan Pendataan Tenaga Fasyankes Kabupaten Bandung</t>
        </is>
      </c>
      <c r="C109" t="inlineStr">
        <is>
          <t>DINKES</t>
        </is>
      </c>
      <c r="D109" s="178" t="inlineStr">
        <is>
          <t>Untuk mencatat data semua tenaga kesehatan dan non kesehatan yang bekerja di fasilitas pelayanan kesehatan kabupaten Bandung</t>
        </is>
      </c>
      <c r="E109" s="288" t="n"/>
      <c r="F109" s="288" t="n"/>
      <c r="G109" s="288" t="n"/>
      <c r="H109" s="288" t="n"/>
      <c r="I109" s="288" t="n"/>
      <c r="J109" s="178" t="inlineStr">
        <is>
          <t>Data Nakes dan Non Kesehatan Fasyankes</t>
        </is>
      </c>
      <c r="K109" s="288" t="n"/>
      <c r="L109" s="288" t="n"/>
      <c r="M109" s="288" t="n"/>
      <c r="N109" s="97" t="inlineStr">
        <is>
          <t>SISDMK</t>
        </is>
      </c>
      <c r="O109" s="288" t="n"/>
      <c r="P109" s="288" t="n"/>
      <c r="Q109" s="288" t="n"/>
      <c r="R109" s="288" t="n"/>
      <c r="S109" s="288" t="n"/>
      <c r="T109" s="288" t="n"/>
      <c r="U109" s="288" t="n"/>
      <c r="V109" s="288" t="n"/>
      <c r="W109" s="288" t="n"/>
      <c r="X109" s="288" t="n"/>
      <c r="Y109" s="288" t="n"/>
      <c r="Z109" s="288" t="n"/>
      <c r="AA109" s="288" t="n"/>
      <c r="AB109" s="288" t="n"/>
      <c r="AC109" s="178" t="inlineStr">
        <is>
          <t>Dewi</t>
        </is>
      </c>
      <c r="AD109" s="288" t="n"/>
      <c r="AE109" s="288" t="n"/>
      <c r="AF109" s="288" t="n"/>
      <c r="AG109" s="288" t="n"/>
      <c r="AH109" s="284" t="n"/>
      <c r="AI109" s="284" t="n"/>
      <c r="AJ109" s="284" t="n"/>
      <c r="AK109" s="284" t="n"/>
      <c r="AL109" s="284" t="n"/>
      <c r="AM109" s="284" t="n"/>
      <c r="AN109" s="284" t="n"/>
      <c r="AO109" s="284" t="n"/>
      <c r="AP109" s="284" t="n"/>
      <c r="AQ109" s="284" t="n"/>
      <c r="AR109" s="284" t="n"/>
      <c r="AS109" s="284" t="n"/>
    </row>
    <row r="110">
      <c r="A110" s="182" t="n">
        <v>15</v>
      </c>
      <c r="B110" s="178" t="inlineStr">
        <is>
          <t>Layanan Perencanaan Kebutuhan Tenaga Fasyankes Kabupaten Bandung</t>
        </is>
      </c>
      <c r="C110" t="inlineStr">
        <is>
          <t>DINKES</t>
        </is>
      </c>
      <c r="D110" s="178" t="inlineStr">
        <is>
          <t>Untuk merencanakan jumlah kebutuhan tenaga kesehatan di fasyankes pemerintah kabupaten bandung</t>
        </is>
      </c>
      <c r="E110" s="288" t="n"/>
      <c r="F110" s="288" t="n"/>
      <c r="G110" s="288" t="n"/>
      <c r="H110" s="288" t="n"/>
      <c r="I110" s="288" t="n"/>
      <c r="J110" s="178" t="inlineStr">
        <is>
          <t>Data Formasi Nakes Fayankes</t>
        </is>
      </c>
      <c r="K110" s="288" t="n"/>
      <c r="L110" s="288" t="n"/>
      <c r="M110" s="288" t="n"/>
      <c r="N110" s="97" t="inlineStr">
        <is>
          <t>RENBUT</t>
        </is>
      </c>
      <c r="O110" s="288" t="n"/>
      <c r="P110" s="288" t="n"/>
      <c r="Q110" s="288" t="n"/>
      <c r="R110" s="288" t="n"/>
      <c r="S110" s="288" t="n"/>
      <c r="T110" s="288" t="n"/>
      <c r="U110" s="288" t="n"/>
      <c r="V110" s="288" t="n"/>
      <c r="W110" s="288" t="n"/>
      <c r="X110" s="288" t="n"/>
      <c r="Y110" s="288" t="n"/>
      <c r="Z110" s="288" t="n"/>
      <c r="AA110" s="288" t="n"/>
      <c r="AB110" s="288" t="n"/>
      <c r="AC110" s="178" t="inlineStr">
        <is>
          <t>Sari</t>
        </is>
      </c>
      <c r="AD110" s="288" t="n"/>
      <c r="AE110" s="288" t="n"/>
      <c r="AF110" s="288" t="n"/>
      <c r="AG110" s="288" t="n"/>
      <c r="AH110" s="284" t="n"/>
      <c r="AI110" s="284" t="n"/>
      <c r="AJ110" s="284" t="n"/>
      <c r="AK110" s="284" t="n"/>
      <c r="AL110" s="284" t="n"/>
      <c r="AM110" s="284" t="n"/>
      <c r="AN110" s="284" t="n"/>
      <c r="AO110" s="284" t="n"/>
      <c r="AP110" s="284" t="n"/>
      <c r="AQ110" s="284" t="n"/>
      <c r="AR110" s="284" t="n"/>
      <c r="AS110" s="284" t="n"/>
    </row>
    <row r="111">
      <c r="A111" s="116" t="n">
        <v>16</v>
      </c>
      <c r="B111" s="117" t="inlineStr">
        <is>
          <t>Layanan Pencegahan dan Pengendalian HIV AIDS</t>
        </is>
      </c>
      <c r="C111" t="inlineStr">
        <is>
          <t>DINKES</t>
        </is>
      </c>
      <c r="D111" s="117" t="inlineStr">
        <is>
          <t>Untuk melaksanakan upaya-upaya pencegahan dan pengendalian penyakit HIV</t>
        </is>
      </c>
      <c r="E111" s="120" t="n"/>
      <c r="F111" s="120" t="n"/>
      <c r="G111" s="119" t="inlineStr">
        <is>
          <t>PENCEGAHAN DAN PENGENDALIAN PENYAKIT</t>
        </is>
      </c>
      <c r="H111" s="119" t="inlineStr">
        <is>
          <t>Masyarakat</t>
        </is>
      </c>
      <c r="I111" s="120" t="n"/>
      <c r="J111" s="117" t="inlineStr">
        <is>
          <t>Data Penderita Penyakit HIV AIDS</t>
        </is>
      </c>
      <c r="K111" s="119" t="inlineStr">
        <is>
          <t>Terbatas</t>
        </is>
      </c>
      <c r="L111" s="119" t="inlineStr">
        <is>
          <t>Terdapat</t>
        </is>
      </c>
      <c r="M111" s="119" t="inlineStr">
        <is>
          <t>Harian</t>
        </is>
      </c>
      <c r="N111" s="97" t="inlineStr">
        <is>
          <t>SIHA</t>
        </is>
      </c>
      <c r="O111" s="119" t="inlineStr">
        <is>
          <t>Pusat</t>
        </is>
      </c>
      <c r="P111" s="119" t="inlineStr">
        <is>
          <t>Pusat</t>
        </is>
      </c>
      <c r="Q111" s="119" t="inlineStr">
        <is>
          <t>Website</t>
        </is>
      </c>
      <c r="R111" s="70" t="inlineStr">
        <is>
          <t>https://sihapims2.kemkes.go.id</t>
        </is>
      </c>
      <c r="S111" s="119" t="inlineStr">
        <is>
          <t>Secara Online</t>
        </is>
      </c>
      <c r="T111" s="119" t="inlineStr">
        <is>
          <t>Informasi</t>
        </is>
      </c>
      <c r="U111" s="120" t="n"/>
      <c r="V111" s="119" t="inlineStr">
        <is>
          <t>Aktif</t>
        </is>
      </c>
      <c r="W111" s="119" t="inlineStr">
        <is>
          <t>Ya</t>
        </is>
      </c>
      <c r="X111" s="120" t="n"/>
      <c r="Y111" s="119" t="inlineStr">
        <is>
          <t>Manual</t>
        </is>
      </c>
      <c r="Z111" s="119" t="inlineStr">
        <is>
          <t>Realtime</t>
        </is>
      </c>
      <c r="AA111" s="119" t="inlineStr">
        <is>
          <t>Bidang Pengendalian dan Pencegahan Penyakit</t>
        </is>
      </c>
      <c r="AB111" s="119" t="inlineStr">
        <is>
          <t>Dinkes</t>
        </is>
      </c>
      <c r="AC111" s="117" t="inlineStr">
        <is>
          <t>Ratna Wulan Sari</t>
        </is>
      </c>
      <c r="AD111" s="117" t="n">
        <v>81223266494</v>
      </c>
      <c r="AE111" s="117" t="inlineStr">
        <is>
          <t>seksipmptmkabupatenbandung@gmail.com</t>
        </is>
      </c>
      <c r="AF111" s="120" t="n"/>
      <c r="AG111" s="120" t="n"/>
      <c r="AH111" s="121" t="n"/>
      <c r="AI111" s="121" t="n"/>
      <c r="AJ111" s="121" t="n"/>
      <c r="AK111" s="121" t="n"/>
      <c r="AL111" s="121" t="n"/>
      <c r="AM111" s="121" t="n"/>
      <c r="AN111" s="121" t="n"/>
      <c r="AO111" s="121" t="n"/>
      <c r="AP111" s="121" t="n"/>
      <c r="AQ111" s="121" t="n"/>
      <c r="AR111" s="121" t="n"/>
      <c r="AS111" s="284" t="n"/>
    </row>
    <row r="112">
      <c r="A112" s="99" t="n">
        <v>17</v>
      </c>
      <c r="B112" s="100" t="inlineStr">
        <is>
          <t>Layanan Pembayaran Jaminan Kesehatan</t>
        </is>
      </c>
      <c r="C112" t="inlineStr">
        <is>
          <t>DINKES</t>
        </is>
      </c>
      <c r="D112" s="100" t="inlineStr">
        <is>
          <t>Untuk melaksanakan pembayaran tagihan iuran jaminan kesehatan peserta PBI</t>
        </is>
      </c>
      <c r="E112" s="286" t="n"/>
      <c r="F112" s="286" t="n"/>
      <c r="G112" s="286" t="n"/>
      <c r="H112" s="286" t="n"/>
      <c r="I112" s="286" t="n"/>
      <c r="J112" s="100" t="inlineStr">
        <is>
          <t>Data Pembayaran Jaminan Kesehatan PBI</t>
        </is>
      </c>
      <c r="K112" s="286" t="n"/>
      <c r="L112" s="286" t="n"/>
      <c r="M112" s="286" t="n"/>
      <c r="N112" s="286" t="n"/>
      <c r="O112" s="286" t="n"/>
      <c r="P112" s="286" t="n"/>
      <c r="Q112" s="286" t="n"/>
      <c r="R112" s="286" t="n"/>
      <c r="S112" s="286" t="n"/>
      <c r="T112" s="286" t="n"/>
      <c r="U112" s="286" t="n"/>
      <c r="V112" s="286" t="n"/>
      <c r="W112" s="286" t="n"/>
      <c r="X112" s="286" t="n"/>
      <c r="Y112" s="286" t="n"/>
      <c r="Z112" s="286" t="n"/>
      <c r="AA112" s="288" t="n"/>
      <c r="AB112" s="288" t="n"/>
      <c r="AC112" s="288" t="n"/>
      <c r="AD112" s="288" t="n"/>
      <c r="AE112" s="288" t="n"/>
      <c r="AF112" s="288" t="n"/>
      <c r="AG112" s="288" t="n"/>
      <c r="AH112" s="284" t="n"/>
      <c r="AI112" s="284" t="n"/>
      <c r="AJ112" s="284" t="n"/>
      <c r="AK112" s="284" t="n"/>
      <c r="AL112" s="284" t="n"/>
      <c r="AM112" s="284" t="n"/>
      <c r="AN112" s="284" t="n"/>
      <c r="AO112" s="284" t="n"/>
      <c r="AP112" s="284" t="n"/>
      <c r="AQ112" s="284" t="n"/>
      <c r="AR112" s="284" t="n"/>
      <c r="AS112" s="284" t="n"/>
    </row>
    <row r="113">
      <c r="A113" s="182" t="n">
        <v>18</v>
      </c>
      <c r="B113" s="178" t="inlineStr">
        <is>
          <t>Layanan Komdat dan Microsite</t>
        </is>
      </c>
      <c r="C113" t="inlineStr">
        <is>
          <t>DINKES</t>
        </is>
      </c>
      <c r="D113" s="178" t="inlineStr">
        <is>
          <t>Untuk mengetahui data kegiatan Germas dan posyandu aktif</t>
        </is>
      </c>
      <c r="E113" s="288" t="n"/>
      <c r="F113" s="288" t="n"/>
      <c r="G113" s="288" t="n"/>
      <c r="H113" s="288" t="n"/>
      <c r="I113" s="288" t="n"/>
      <c r="J113" s="178" t="inlineStr">
        <is>
          <t>Data Posyandu Aktif &amp; Kegiatan Germas</t>
        </is>
      </c>
      <c r="K113" s="288" t="n"/>
      <c r="L113" s="288" t="n"/>
      <c r="M113" s="288" t="n"/>
      <c r="N113" s="97" t="inlineStr">
        <is>
          <t>KOMDAT &amp; MICROSITE</t>
        </is>
      </c>
      <c r="O113" s="288" t="n"/>
      <c r="P113" s="288" t="n"/>
      <c r="Q113" s="288" t="n"/>
      <c r="R113" s="288" t="n"/>
      <c r="S113" s="288" t="n"/>
      <c r="T113" s="288" t="n"/>
      <c r="U113" s="288" t="n"/>
      <c r="V113" s="288" t="n"/>
      <c r="W113" s="288" t="n"/>
      <c r="X113" s="288" t="n"/>
      <c r="Y113" s="288" t="n"/>
      <c r="Z113" s="288" t="n"/>
      <c r="AA113" s="288" t="n"/>
      <c r="AB113" s="288" t="n"/>
      <c r="AC113" s="288" t="n"/>
      <c r="AD113" s="288" t="n"/>
      <c r="AE113" s="288" t="n"/>
      <c r="AF113" s="288" t="n"/>
      <c r="AG113" s="288" t="n"/>
      <c r="AH113" s="284" t="n"/>
      <c r="AI113" s="284" t="n"/>
      <c r="AJ113" s="284" t="n"/>
      <c r="AK113" s="284" t="n"/>
      <c r="AL113" s="284" t="n"/>
      <c r="AM113" s="284" t="n"/>
      <c r="AN113" s="284" t="n"/>
      <c r="AO113" s="284" t="n"/>
      <c r="AP113" s="284" t="n"/>
      <c r="AQ113" s="284" t="n"/>
      <c r="AR113" s="284" t="n"/>
      <c r="AS113" s="284" t="n"/>
    </row>
    <row r="114">
      <c r="A114" s="182" t="n">
        <v>19</v>
      </c>
      <c r="B114" s="178" t="inlineStr">
        <is>
          <t>Pelaporan data realisasi hasil pemantauan pelaksanaan Renja _K/L</t>
        </is>
      </c>
      <c r="C114" t="inlineStr">
        <is>
          <t>DINKES</t>
        </is>
      </c>
      <c r="D114" s="178" t="inlineStr">
        <is>
          <t>untuk Pelaporan data realisasi hasil pemantauan pelaksanaan Renja _K/L</t>
        </is>
      </c>
      <c r="E114" s="288" t="n"/>
      <c r="F114" s="288" t="n"/>
      <c r="G114" s="288" t="n"/>
      <c r="H114" s="288" t="n"/>
      <c r="I114" s="288" t="n"/>
      <c r="J114" s="178" t="inlineStr">
        <is>
          <t>Data TFU ( Tempat Fasilitas Umum )</t>
        </is>
      </c>
      <c r="K114" s="288" t="n"/>
      <c r="L114" s="288" t="n"/>
      <c r="M114" s="288" t="n"/>
      <c r="N114" s="97" t="inlineStr">
        <is>
          <t>E-MONEV TFU</t>
        </is>
      </c>
      <c r="O114" s="288" t="n"/>
      <c r="P114" s="288" t="n"/>
      <c r="Q114" s="288" t="n"/>
      <c r="R114" s="288" t="n"/>
      <c r="S114" s="288" t="n"/>
      <c r="T114" s="288" t="n"/>
      <c r="U114" s="288" t="n"/>
      <c r="V114" s="288" t="n"/>
      <c r="W114" s="288" t="n"/>
      <c r="X114" s="288" t="n"/>
      <c r="Y114" s="288" t="n"/>
      <c r="Z114" s="288" t="n"/>
      <c r="AA114" s="288" t="n"/>
      <c r="AB114" s="288" t="n"/>
      <c r="AC114" s="288" t="n"/>
      <c r="AD114" s="288" t="n"/>
      <c r="AE114" s="288" t="n"/>
      <c r="AF114" s="288" t="n"/>
      <c r="AG114" s="288" t="n"/>
      <c r="AH114" s="284" t="n"/>
      <c r="AI114" s="284" t="n"/>
      <c r="AJ114" s="284" t="n"/>
      <c r="AK114" s="284" t="n"/>
      <c r="AL114" s="284" t="n"/>
      <c r="AM114" s="284" t="n"/>
      <c r="AN114" s="284" t="n"/>
      <c r="AO114" s="284" t="n"/>
      <c r="AP114" s="284" t="n"/>
      <c r="AQ114" s="284" t="n"/>
      <c r="AR114" s="284" t="n"/>
      <c r="AS114" s="284" t="n"/>
    </row>
    <row r="115">
      <c r="A115" s="182" t="n">
        <v>20</v>
      </c>
      <c r="B115" s="178" t="inlineStr">
        <is>
          <t>Pencatatan dan pelaporan status gizi</t>
        </is>
      </c>
      <c r="C115" t="inlineStr">
        <is>
          <t>DINKES</t>
        </is>
      </c>
      <c r="D115" s="178" t="inlineStr">
        <is>
          <t>untuk memperoleh informasi status gizi individu dan kinerja program gizi secara cepat, akurat, teratur dan berkelanjutan untuk penyusunan perencanaan dan perumusan kebijakan gizi</t>
        </is>
      </c>
      <c r="E115" s="288" t="n"/>
      <c r="F115" s="288" t="n"/>
      <c r="G115" s="288" t="n"/>
      <c r="H115" s="288" t="n"/>
      <c r="I115" s="288" t="n"/>
      <c r="J115" s="178" t="inlineStr">
        <is>
          <t>Data Gizi</t>
        </is>
      </c>
      <c r="K115" s="288" t="n"/>
      <c r="L115" s="288" t="n"/>
      <c r="M115" s="288" t="n"/>
      <c r="N115" s="97" t="inlineStr">
        <is>
          <t>Sigizi Terpadu</t>
        </is>
      </c>
      <c r="O115" s="288" t="n"/>
      <c r="P115" s="288" t="n"/>
      <c r="Q115" s="288" t="n"/>
      <c r="R115" s="288" t="n"/>
      <c r="S115" s="288" t="n"/>
      <c r="T115" s="288" t="n"/>
      <c r="U115" s="288" t="n"/>
      <c r="V115" s="288" t="n"/>
      <c r="W115" s="288" t="n"/>
      <c r="X115" s="288" t="n"/>
      <c r="Y115" s="288" t="n"/>
      <c r="Z115" s="288" t="n"/>
      <c r="AA115" s="288" t="n"/>
      <c r="AB115" s="288" t="n"/>
      <c r="AC115" s="288" t="n"/>
      <c r="AD115" s="288" t="n"/>
      <c r="AE115" s="288" t="n"/>
      <c r="AF115" s="288" t="n"/>
      <c r="AG115" s="288" t="n"/>
      <c r="AH115" s="284" t="n"/>
      <c r="AI115" s="284" t="n"/>
      <c r="AJ115" s="284" t="n"/>
      <c r="AK115" s="284" t="n"/>
      <c r="AL115" s="284" t="n"/>
      <c r="AM115" s="284" t="n"/>
      <c r="AN115" s="284" t="n"/>
      <c r="AO115" s="284" t="n"/>
      <c r="AP115" s="284" t="n"/>
      <c r="AQ115" s="284" t="n"/>
      <c r="AR115" s="284" t="n"/>
      <c r="AS115" s="284" t="n"/>
    </row>
    <row r="116">
      <c r="A116" s="182" t="n">
        <v>21</v>
      </c>
      <c r="B116" s="178" t="inlineStr">
        <is>
          <t>Sistem Monitoring Inventaris Logistik Kesehatan Secara Elektronik</t>
        </is>
      </c>
      <c r="C116" t="inlineStr">
        <is>
          <t>DINKES</t>
        </is>
      </c>
      <c r="D116" s="178" t="inlineStr">
        <is>
          <t>membantu dalam mencatat dan memantau pemesanan, distribusi, dan logistik vaksin, obat dan alat kesehatan secara real-time</t>
        </is>
      </c>
      <c r="E116" s="288" t="n"/>
      <c r="F116" s="288" t="n"/>
      <c r="G116" s="288" t="n"/>
      <c r="H116" s="184" t="inlineStr">
        <is>
          <t>Instansi Pemerintah Lainnya</t>
        </is>
      </c>
      <c r="I116" s="288" t="n"/>
      <c r="J116" s="288" t="n"/>
      <c r="K116" s="288" t="n"/>
      <c r="L116" s="288" t="n"/>
      <c r="M116" s="184" t="inlineStr">
        <is>
          <t>Harian</t>
        </is>
      </c>
      <c r="N116" s="97" t="inlineStr">
        <is>
          <t>SMILE HEALTH</t>
        </is>
      </c>
      <c r="O116" s="184" t="inlineStr">
        <is>
          <t>Pusat</t>
        </is>
      </c>
      <c r="P116" s="184" t="inlineStr">
        <is>
          <t>Pusat</t>
        </is>
      </c>
      <c r="Q116" s="184" t="inlineStr">
        <is>
          <t>Website dan Mobile</t>
        </is>
      </c>
      <c r="R116" s="70" t="inlineStr">
        <is>
          <t>https://smile.kemkes.go.id/</t>
        </is>
      </c>
      <c r="S116" s="184" t="inlineStr">
        <is>
          <t>Secara Online</t>
        </is>
      </c>
      <c r="T116" s="288" t="n"/>
      <c r="U116" s="288" t="n"/>
      <c r="V116" s="184" t="inlineStr">
        <is>
          <t>Aktif</t>
        </is>
      </c>
      <c r="W116" s="184" t="inlineStr">
        <is>
          <t>Ya</t>
        </is>
      </c>
      <c r="X116" s="184" t="inlineStr">
        <is>
          <t>SITB, SIHA</t>
        </is>
      </c>
      <c r="Y116" s="288" t="n"/>
      <c r="Z116" s="184" t="inlineStr">
        <is>
          <t>Realtime</t>
        </is>
      </c>
      <c r="AA116" s="184" t="inlineStr">
        <is>
          <t>Farmasi</t>
        </is>
      </c>
      <c r="AB116" s="288" t="n"/>
      <c r="AC116" s="288" t="n"/>
      <c r="AD116" s="288" t="n"/>
      <c r="AE116" s="288" t="n"/>
      <c r="AF116" s="288" t="n"/>
      <c r="AG116" s="288" t="n"/>
      <c r="AH116" s="284" t="n"/>
      <c r="AI116" s="284" t="n"/>
      <c r="AJ116" s="284" t="n"/>
      <c r="AK116" s="284" t="n"/>
      <c r="AL116" s="284" t="n"/>
      <c r="AM116" s="284" t="n"/>
      <c r="AN116" s="284" t="n"/>
      <c r="AO116" s="284" t="n"/>
      <c r="AP116" s="284" t="n"/>
      <c r="AQ116" s="284" t="n"/>
      <c r="AR116" s="284" t="n"/>
      <c r="AS116" s="284" t="n"/>
    </row>
    <row r="117">
      <c r="A117" s="71" t="inlineStr">
        <is>
          <t>DPUTR</t>
        </is>
      </c>
      <c r="B117" s="58" t="n"/>
      <c r="D117" s="58" t="n"/>
      <c r="E117" s="58" t="n"/>
      <c r="F117" s="58" t="n"/>
      <c r="G117" s="58" t="n"/>
      <c r="H117" s="58" t="n"/>
      <c r="I117" s="58" t="n"/>
      <c r="J117" s="58" t="n"/>
      <c r="K117" s="58" t="n"/>
      <c r="L117" s="58" t="n"/>
      <c r="M117" s="58" t="n"/>
      <c r="N117" s="58" t="n"/>
      <c r="O117" s="58" t="n"/>
      <c r="P117" s="58" t="n"/>
      <c r="Q117" s="58" t="n"/>
      <c r="R117" s="58" t="n"/>
      <c r="S117" s="58" t="n"/>
      <c r="T117" s="58" t="n"/>
      <c r="U117" s="58" t="n"/>
      <c r="V117" s="58" t="n"/>
      <c r="W117" s="58" t="n"/>
      <c r="X117" s="58" t="n"/>
      <c r="Y117" s="58" t="n"/>
      <c r="Z117" s="58" t="n"/>
      <c r="AA117" s="58" t="n"/>
      <c r="AB117" s="58" t="n"/>
      <c r="AC117" s="58" t="n"/>
      <c r="AD117" s="58" t="n"/>
      <c r="AE117" s="58" t="n"/>
      <c r="AF117" s="200" t="n"/>
      <c r="AG117" s="200" t="n"/>
      <c r="AH117" s="284" t="n"/>
      <c r="AI117" s="284" t="n"/>
      <c r="AJ117" s="284" t="n"/>
      <c r="AK117" s="284" t="n"/>
      <c r="AL117" s="284" t="n"/>
      <c r="AM117" s="284" t="n"/>
      <c r="AN117" s="284" t="n"/>
      <c r="AO117" s="284" t="n"/>
      <c r="AP117" s="284" t="n"/>
      <c r="AQ117" s="284" t="n"/>
      <c r="AR117" s="284" t="n"/>
      <c r="AS117" s="284" t="n"/>
    </row>
    <row r="118">
      <c r="A118" s="182" t="n">
        <v>1</v>
      </c>
      <c r="B118" s="178" t="inlineStr">
        <is>
          <t>SIJALAK (Sistem Informasi Jalan dan Jembatan Kabupaten Bandung)</t>
        </is>
      </c>
      <c r="C118" t="inlineStr">
        <is>
          <t>DPUTR</t>
        </is>
      </c>
      <c r="D118" s="178" t="inlineStr">
        <is>
          <t>Si Jalak merupakan sebuah platform digital inovatif yang bertujuan
 untuk mempermudah masyarakat dalam melaporkan kondisi kerusakan
 infrastruktur publik, seperti jalan raya, jembatan, saluran air, dan tembok penahan.</t>
        </is>
      </c>
      <c r="E118" s="178" t="inlineStr">
        <is>
          <t>Peraturan Daerah Nomor 23 Tahun 2016 tentang Penyelenggaraan Jalan</t>
        </is>
      </c>
      <c r="F118" s="184" t="inlineStr">
        <is>
          <t>Belum Tersedia</t>
        </is>
      </c>
      <c r="G118" s="184" t="inlineStr">
        <is>
          <t>PENGELOLAAN PEMBANGUNAN INFRASTRUKTUR BIDANG PUPR</t>
        </is>
      </c>
      <c r="H118" s="184" t="inlineStr">
        <is>
          <t>Masyarakat</t>
        </is>
      </c>
      <c r="I118" s="178" t="inlineStr">
        <is>
          <t>Data Pelapor dan Aduan Lokasi Kerusakan Jalan, Jembatan, Saluran Tepi Jalan dan Tembok Penahan Tanah</t>
        </is>
      </c>
      <c r="J118" s="178" t="inlineStr">
        <is>
          <t>Data Hasil Pelaporan dan Aduan Masyarakat Terkait Kerusakan Jalan, Jembatan, Saluran Tepi Jalan dan Tembok Penahan Tanah</t>
        </is>
      </c>
      <c r="K118" s="184" t="inlineStr">
        <is>
          <t>Terbuka</t>
        </is>
      </c>
      <c r="L118" s="184" t="inlineStr">
        <is>
          <t>Terdapat</t>
        </is>
      </c>
      <c r="M118" s="184" t="inlineStr">
        <is>
          <t>Harian</t>
        </is>
      </c>
      <c r="N118" s="130" t="inlineStr">
        <is>
          <t>SI PUTRA (sijalak)</t>
        </is>
      </c>
      <c r="O118" s="184" t="inlineStr">
        <is>
          <t>Pihak Ke 3</t>
        </is>
      </c>
      <c r="P118" s="184" t="inlineStr">
        <is>
          <t>Kab. Bandung</t>
        </is>
      </c>
      <c r="Q118" s="184" t="inlineStr">
        <is>
          <t>Website dan Mobile</t>
        </is>
      </c>
      <c r="R118" s="70" t="inlineStr">
        <is>
          <t>https://sijalak-kab-bandung.com/</t>
        </is>
      </c>
      <c r="S118" s="184" t="inlineStr">
        <is>
          <t>Secara Online</t>
        </is>
      </c>
      <c r="T118" s="184" t="inlineStr">
        <is>
          <t>Transaksi</t>
        </is>
      </c>
      <c r="U118" s="184" t="n">
        <v>2024</v>
      </c>
      <c r="V118" s="184" t="inlineStr">
        <is>
          <t>Aktif</t>
        </is>
      </c>
      <c r="W118" s="184" t="inlineStr">
        <is>
          <t>Tidak</t>
        </is>
      </c>
      <c r="X118" s="184" t="inlineStr">
        <is>
          <t>Tidak Terintegrasi</t>
        </is>
      </c>
      <c r="Y118" s="184" t="inlineStr">
        <is>
          <t>Tidak Terintegrasi</t>
        </is>
      </c>
      <c r="Z118" s="184" t="inlineStr">
        <is>
          <t>Tidak Terintegrasi</t>
        </is>
      </c>
      <c r="AA118" s="184" t="inlineStr">
        <is>
          <t>Bidang Jalan</t>
        </is>
      </c>
      <c r="AB118" s="184" t="inlineStr">
        <is>
          <t>DPUTR</t>
        </is>
      </c>
      <c r="AC118" s="178" t="inlineStr">
        <is>
          <t>Luthfi Jauhari, S.T</t>
        </is>
      </c>
      <c r="AD118" s="184" t="n">
        <v>81290730949</v>
      </c>
      <c r="AE118" s="288" t="n"/>
      <c r="AF118" s="68" t="n">
        <v>39</v>
      </c>
      <c r="AG118" s="68" t="inlineStr">
        <is>
          <t>Harian</t>
        </is>
      </c>
      <c r="AH118" s="284" t="n"/>
      <c r="AI118" s="284" t="n"/>
      <c r="AJ118" s="284" t="n"/>
      <c r="AK118" s="284" t="n"/>
      <c r="AL118" s="284" t="n"/>
      <c r="AM118" s="284" t="n"/>
      <c r="AN118" s="284" t="n"/>
      <c r="AO118" s="284" t="n"/>
      <c r="AP118" s="284" t="n"/>
      <c r="AQ118" s="284" t="n"/>
      <c r="AR118" s="284" t="n"/>
      <c r="AS118" s="284" t="n"/>
    </row>
    <row r="119">
      <c r="A119" s="182" t="n">
        <v>2</v>
      </c>
      <c r="B119" s="178" t="inlineStr">
        <is>
          <t>SIBEDAS PBG</t>
        </is>
      </c>
      <c r="C119" t="inlineStr">
        <is>
          <t>DPUTR</t>
        </is>
      </c>
      <c r="D119" s="178" t="inlineStr">
        <is>
          <t>SIBEDAS PBG merupakan dashboard untuk memonitoring berkas permohonan Persetujuan Bangunan Gedung (PBG). Pada Dashboard juga terdapat fitur yang digunakan untuk mempermudah melihat pemetaan persebaran karena tersajikan dalam bentuk peta. SIBEDAS PBG bertujuan untuk memonitoring setiap berkas PBG berdasarkan satus permohonan seperti belum diverifikasi, perbaikan ulang, verifikasi ulang dan selesai verifikasi. Selain itu SIBEDAS PBG untuk mempermudah melihat pemetaan persebaran karena tersajikan dalam bentuk peta serta untuk mempermudah merekap data.</t>
        </is>
      </c>
      <c r="E119" s="178" t="inlineStr">
        <is>
          <t>Permen PUPR Nomor 22 Tahun 2021 tentang Pedoman Teknis Pendataan Bangunan Gedung</t>
        </is>
      </c>
      <c r="F119" s="131" t="inlineStr">
        <is>
          <t>https://drive.google.com/drive/folders/187_7CPT7sxhjamsZJOlN2T4qhrxFpoWq?hl=id</t>
        </is>
      </c>
      <c r="G119" s="184" t="inlineStr">
        <is>
          <t>PENATAAN BANGUNAN GEDUNG</t>
        </is>
      </c>
      <c r="H119" s="184" t="inlineStr">
        <is>
          <t>Masyarakat</t>
        </is>
      </c>
      <c r="I119" s="184" t="inlineStr">
        <is>
          <t>Data Pemohon dan Kelengkapan Berkas PBG</t>
        </is>
      </c>
      <c r="J119" s="184" t="inlineStr">
        <is>
          <t>Data Tahapan Progres Permohonan PBG</t>
        </is>
      </c>
      <c r="K119" s="184" t="inlineStr">
        <is>
          <t>Terbatas</t>
        </is>
      </c>
      <c r="L119" s="184" t="inlineStr">
        <is>
          <t>Terdapat</t>
        </is>
      </c>
      <c r="M119" s="184" t="inlineStr">
        <is>
          <t>Harian</t>
        </is>
      </c>
      <c r="N119" s="130" t="inlineStr">
        <is>
          <t>SI PUTRA (sibedaspbg)</t>
        </is>
      </c>
      <c r="O119" s="184" t="inlineStr">
        <is>
          <t>Pihak Ke 3</t>
        </is>
      </c>
      <c r="P119" s="184" t="inlineStr">
        <is>
          <t>Kab. Bandung</t>
        </is>
      </c>
      <c r="Q119" s="184" t="inlineStr">
        <is>
          <t>Website dan Mobile</t>
        </is>
      </c>
      <c r="R119" s="70" t="inlineStr">
        <is>
          <t>https://sibedaspbg.bandungkab.go.id/</t>
        </is>
      </c>
      <c r="S119" s="184" t="inlineStr">
        <is>
          <t>Secara Online</t>
        </is>
      </c>
      <c r="T119" s="184" t="inlineStr">
        <is>
          <t>Informasi</t>
        </is>
      </c>
      <c r="U119" s="184" t="n">
        <v>2022</v>
      </c>
      <c r="V119" s="184" t="inlineStr">
        <is>
          <t>Aktif</t>
        </is>
      </c>
      <c r="W119" s="184" t="inlineStr">
        <is>
          <t>Ya</t>
        </is>
      </c>
      <c r="X119" s="184" t="inlineStr">
        <is>
          <t>Dashboard Pimpinan</t>
        </is>
      </c>
      <c r="Y119" s="184" t="inlineStr">
        <is>
          <t>Database to Database</t>
        </is>
      </c>
      <c r="Z119" s="184" t="inlineStr">
        <is>
          <t>Harian</t>
        </is>
      </c>
      <c r="AA119" s="184" t="inlineStr">
        <is>
          <t>Bidang Bangunan Gedung dan Pengembangan Permukiman</t>
        </is>
      </c>
      <c r="AB119" s="184" t="inlineStr">
        <is>
          <t>DPUTR</t>
        </is>
      </c>
      <c r="AC119" s="178" t="inlineStr">
        <is>
          <t>Dirgantara Putra Mappaono, ST</t>
        </is>
      </c>
      <c r="AD119" s="184" t="n">
        <v>81318911897</v>
      </c>
      <c r="AE119" s="178" t="inlineStr">
        <is>
          <t>dirgantaraaapm@gmail.com</t>
        </is>
      </c>
      <c r="AF119" s="64" t="inlineStr">
        <is>
          <t>34,37, dan 42</t>
        </is>
      </c>
      <c r="AG119" s="64" t="inlineStr">
        <is>
          <t>Harian</t>
        </is>
      </c>
      <c r="AH119" s="284" t="n"/>
      <c r="AI119" s="284" t="n"/>
      <c r="AJ119" s="284" t="n"/>
      <c r="AK119" s="284" t="n"/>
      <c r="AL119" s="284" t="n"/>
      <c r="AM119" s="284" t="n"/>
      <c r="AN119" s="284" t="n"/>
      <c r="AO119" s="284" t="n"/>
      <c r="AP119" s="284" t="n"/>
      <c r="AQ119" s="284" t="n"/>
      <c r="AR119" s="284" t="n"/>
      <c r="AS119" s="284" t="n"/>
    </row>
    <row r="120">
      <c r="A120" s="182" t="n">
        <v>3</v>
      </c>
      <c r="B120" s="178" t="inlineStr">
        <is>
          <t>LINKTREE PENGADUAN DPUTR KAB. BANDUNG</t>
        </is>
      </c>
      <c r="C120" t="inlineStr">
        <is>
          <t>DPUTR</t>
        </is>
      </c>
      <c r="D120" s="178" t="inlineStr">
        <is>
          <t>LINKTREE menjadi wadah yang dapat memonitoring sekaligus memberikan informasi penyelesaian pengaduan untuk kepentingan dinas. LINKTREE Pengaduan DPUTR bertujuan untuk memonitoring setiap pengaduan secara elektronik sehingga memudahkan masyarakat dan untuk mempermudah setiap bidang dalam proses penyelesaian pengaduan serta untuk mempermudah merekap data.</t>
        </is>
      </c>
      <c r="E120" s="178" t="inlineStr">
        <is>
          <t>Undang-Undang Nomor 25 Tahun 2009 tentang Pelayanan Publik</t>
        </is>
      </c>
      <c r="F120" s="131" t="inlineStr">
        <is>
          <t>https://drive.google.com/drive/folders/1zpVBSJQx0K3N4_wyw8qZeOJVWGrdlDAe?hl=ID</t>
        </is>
      </c>
      <c r="G120" s="184" t="inlineStr">
        <is>
          <t>PENINGKATAN KUALITAS PELAYANAN PUBLIK</t>
        </is>
      </c>
      <c r="H120" s="184" t="inlineStr">
        <is>
          <t>Masyarakat</t>
        </is>
      </c>
      <c r="I120" s="184" t="inlineStr">
        <is>
          <t>Data Pengguna, Data Aduan</t>
        </is>
      </c>
      <c r="J120" s="184" t="inlineStr">
        <is>
          <t>Data Aduan Masyarakat</t>
        </is>
      </c>
      <c r="K120" s="184" t="inlineStr">
        <is>
          <t>Terbuka</t>
        </is>
      </c>
      <c r="L120" s="184" t="inlineStr">
        <is>
          <t>Terdapat</t>
        </is>
      </c>
      <c r="M120" s="184" t="inlineStr">
        <is>
          <t>Harian</t>
        </is>
      </c>
      <c r="N120" s="130" t="inlineStr">
        <is>
          <t>SI PUTRA (pengaduan)</t>
        </is>
      </c>
      <c r="O120" s="184" t="inlineStr">
        <is>
          <t>Pihak Ke 3</t>
        </is>
      </c>
      <c r="P120" s="184" t="inlineStr">
        <is>
          <t>Kab. Bandung</t>
        </is>
      </c>
      <c r="Q120" s="184" t="inlineStr">
        <is>
          <t>Website dan Mobile</t>
        </is>
      </c>
      <c r="R120" s="70" t="inlineStr">
        <is>
          <t>linktr.ee/PENGADUAN_DPUTR_KABBDG</t>
        </is>
      </c>
      <c r="S120" s="184" t="inlineStr">
        <is>
          <t>Secara Online</t>
        </is>
      </c>
      <c r="T120" s="184" t="inlineStr">
        <is>
          <t>Transaksi</t>
        </is>
      </c>
      <c r="U120" s="184" t="n">
        <v>2022</v>
      </c>
      <c r="V120" s="184" t="inlineStr">
        <is>
          <t>Aktif</t>
        </is>
      </c>
      <c r="W120" s="184" t="inlineStr">
        <is>
          <t>Tidak</t>
        </is>
      </c>
      <c r="X120" s="184" t="inlineStr">
        <is>
          <t>Tidak Terintegrasi</t>
        </is>
      </c>
      <c r="Y120" s="184" t="inlineStr">
        <is>
          <t>Tidak Terintegrasi</t>
        </is>
      </c>
      <c r="Z120" s="184" t="inlineStr">
        <is>
          <t>Tidak Terintegrasi</t>
        </is>
      </c>
      <c r="AA120" s="184" t="inlineStr">
        <is>
          <t>Bidang dan UPTD</t>
        </is>
      </c>
      <c r="AB120" s="184" t="inlineStr">
        <is>
          <t>DPUTR</t>
        </is>
      </c>
      <c r="AC120" s="178" t="inlineStr">
        <is>
          <t>Operator Bidang dan UPTD</t>
        </is>
      </c>
      <c r="AD120" s="288" t="n"/>
      <c r="AE120" s="288" t="n"/>
      <c r="AF120" s="288" t="n"/>
      <c r="AG120" s="64" t="inlineStr">
        <is>
          <t>Harian</t>
        </is>
      </c>
      <c r="AH120" s="284" t="n"/>
      <c r="AI120" s="284" t="n"/>
      <c r="AJ120" s="284" t="n"/>
      <c r="AK120" s="284" t="n"/>
      <c r="AL120" s="284" t="n"/>
      <c r="AM120" s="284" t="n"/>
      <c r="AN120" s="284" t="n"/>
      <c r="AO120" s="284" t="n"/>
      <c r="AP120" s="284" t="n"/>
      <c r="AQ120" s="284" t="n"/>
      <c r="AR120" s="284" t="n"/>
      <c r="AS120" s="284" t="n"/>
    </row>
    <row r="121">
      <c r="A121" s="182" t="n">
        <v>4</v>
      </c>
      <c r="B121" s="178" t="inlineStr">
        <is>
          <t>SIPEDAS (Sistem Informasi Pemetaan Drainase)</t>
        </is>
      </c>
      <c r="C121" t="inlineStr">
        <is>
          <t>DPUTR</t>
        </is>
      </c>
      <c r="D121" s="178" t="inlineStr">
        <is>
          <t>SIPEDAS merupakan sistem informasi elektronik untuk menyediakan data pemetaan dan memantau pembangunan saluran drainase, sanitasi dan persampahan.</t>
        </is>
      </c>
      <c r="E121" s="132" t="inlineStr">
        <is>
          <t>Permen PUPR Nomor 12 Tahun 2014 tentang Penyelenggaraan Sistem Drainase Perkotaan</t>
        </is>
      </c>
      <c r="F121" s="184" t="inlineStr">
        <is>
          <t>Belum Tersedia</t>
        </is>
      </c>
      <c r="G121" s="184" t="inlineStr">
        <is>
          <t>PENGELOLAAN PEMBANGUNAN INFRASTRUKTUR BIDANG PUPR</t>
        </is>
      </c>
      <c r="H121" s="184" t="inlineStr">
        <is>
          <t>Instansi Pemerintah Lainnya</t>
        </is>
      </c>
      <c r="I121" s="184" t="inlineStr">
        <is>
          <t>Data Perencanaan Pembangunan dan Pemeliharaan Saluran Drainase</t>
        </is>
      </c>
      <c r="J121" s="184" t="inlineStr">
        <is>
          <t>Capaian dan Kondisi Saluran Drainase</t>
        </is>
      </c>
      <c r="K121" s="184" t="inlineStr">
        <is>
          <t>Terbatas</t>
        </is>
      </c>
      <c r="L121" s="184" t="inlineStr">
        <is>
          <t>Terdapat</t>
        </is>
      </c>
      <c r="M121" s="184" t="inlineStr">
        <is>
          <t>Bulanan</t>
        </is>
      </c>
      <c r="N121" s="130" t="inlineStr">
        <is>
          <t>SI PUTRA (sipedas)</t>
        </is>
      </c>
      <c r="O121" s="184" t="inlineStr">
        <is>
          <t>Pihak Ke 3</t>
        </is>
      </c>
      <c r="P121" s="184" t="inlineStr">
        <is>
          <t>Kab. Bandung</t>
        </is>
      </c>
      <c r="Q121" s="184" t="inlineStr">
        <is>
          <t>Website dan Mobile</t>
        </is>
      </c>
      <c r="R121" s="70" t="inlineStr">
        <is>
          <t>https://sites.google.com/view/aplikasi-sipedas-drainase/home</t>
        </is>
      </c>
      <c r="S121" s="184" t="inlineStr">
        <is>
          <t>Secara Online</t>
        </is>
      </c>
      <c r="T121" s="184" t="inlineStr">
        <is>
          <t>Informasi</t>
        </is>
      </c>
      <c r="U121" s="184" t="n">
        <v>2024</v>
      </c>
      <c r="V121" s="184" t="inlineStr">
        <is>
          <t>Aktif</t>
        </is>
      </c>
      <c r="W121" s="184" t="inlineStr">
        <is>
          <t>Tidak</t>
        </is>
      </c>
      <c r="X121" s="184" t="inlineStr">
        <is>
          <t>Tidak Terintegrasi</t>
        </is>
      </c>
      <c r="Y121" s="184" t="inlineStr">
        <is>
          <t>Tidak Terintegrasi</t>
        </is>
      </c>
      <c r="Z121" s="184" t="inlineStr">
        <is>
          <t>Tidak Terintegrasi</t>
        </is>
      </c>
      <c r="AA121" s="184" t="inlineStr">
        <is>
          <t>Bidang Drainase dan Penyedia Infrastruktur Persampahan</t>
        </is>
      </c>
      <c r="AB121" s="184" t="inlineStr">
        <is>
          <t>DPUTR</t>
        </is>
      </c>
      <c r="AC121" s="178" t="inlineStr">
        <is>
          <t>Roni Romansa</t>
        </is>
      </c>
      <c r="AD121" s="184" t="n">
        <v>85860661778</v>
      </c>
      <c r="AE121" s="178" t="inlineStr">
        <is>
          <t>roni.romansa78@gmail.com</t>
        </is>
      </c>
      <c r="AF121" s="68" t="n">
        <v>47</v>
      </c>
      <c r="AG121" s="64" t="inlineStr">
        <is>
          <t>Bulanan</t>
        </is>
      </c>
      <c r="AH121" s="284" t="n"/>
      <c r="AI121" s="284" t="n"/>
      <c r="AJ121" s="284" t="n"/>
      <c r="AK121" s="284" t="n"/>
      <c r="AL121" s="284" t="n"/>
      <c r="AM121" s="284" t="n"/>
      <c r="AN121" s="284" t="n"/>
      <c r="AO121" s="284" t="n"/>
      <c r="AP121" s="284" t="n"/>
      <c r="AQ121" s="284" t="n"/>
      <c r="AR121" s="284" t="n"/>
      <c r="AS121" s="284" t="n"/>
    </row>
    <row r="122">
      <c r="A122" s="182" t="n">
        <v>5</v>
      </c>
      <c r="B122" s="178" t="inlineStr">
        <is>
          <t>SIJAGA (Sistem Informasi Jaringan Irigasi)</t>
        </is>
      </c>
      <c r="C122" t="inlineStr">
        <is>
          <t>DPUTR</t>
        </is>
      </c>
      <c r="D122" s="178" t="inlineStr">
        <is>
          <t>Si Jaga merupakan aplikasi yang menyediakan data pengelolaan jaringan irigasi di Kabupaten Bandung. Aplikasi ini memanfaatkan teknologi GIS (Geographic Information System) untuk memberikan tampilan peta jaringan irigasi dan informasi terkait aset-aset irigasi seperti bendungan, saluran, pintu air, dan sebagainya.</t>
        </is>
      </c>
      <c r="E122" s="178" t="inlineStr">
        <is>
          <t>Permen PUPR Nomor 12 Tahun 2015 tentang Eksploitasi dan Pemeliharaan Jaringan Irigasi</t>
        </is>
      </c>
      <c r="F122" s="70" t="inlineStr">
        <is>
          <t>https://drive.google.com/drive/folders/1foPXyzm-sQ7KaSp-qTysnVqAWt_Dif53?hl=id</t>
        </is>
      </c>
      <c r="G122" s="184" t="inlineStr">
        <is>
          <t>PENGELOLAAN IRIGASI PERTANIAN, KONSERVASI AIR DAN LINGKUNGAN HIDUP</t>
        </is>
      </c>
      <c r="H122" s="184" t="inlineStr">
        <is>
          <t>Masyarakat</t>
        </is>
      </c>
      <c r="I122" s="184" t="inlineStr">
        <is>
          <t>Data Aduan/
 Pelaporan Jaringan Irigasi</t>
        </is>
      </c>
      <c r="J122" s="184" t="inlineStr">
        <is>
          <t>Data Hasil Aduan/
 Pelaporan Masyarakat</t>
        </is>
      </c>
      <c r="K122" s="184" t="inlineStr">
        <is>
          <t>Terbuka</t>
        </is>
      </c>
      <c r="L122" s="184" t="inlineStr">
        <is>
          <t>Terdapat</t>
        </is>
      </c>
      <c r="M122" s="184" t="inlineStr">
        <is>
          <t>Harian</t>
        </is>
      </c>
      <c r="N122" s="130" t="inlineStr">
        <is>
          <t>SI PUTRA (sijaga)</t>
        </is>
      </c>
      <c r="O122" s="184" t="inlineStr">
        <is>
          <t>Pihak Ke 3</t>
        </is>
      </c>
      <c r="P122" s="184" t="inlineStr">
        <is>
          <t>Kab. Bandung</t>
        </is>
      </c>
      <c r="Q122" s="184" t="inlineStr">
        <is>
          <t>Website dan Mobile</t>
        </is>
      </c>
      <c r="R122" s="70" t="inlineStr">
        <is>
          <t>https://sijaga.kabbdg.com/</t>
        </is>
      </c>
      <c r="S122" s="184" t="inlineStr">
        <is>
          <t>Secara Online</t>
        </is>
      </c>
      <c r="T122" s="184" t="inlineStr">
        <is>
          <t>Transaksi</t>
        </is>
      </c>
      <c r="U122" s="184" t="n">
        <v>2024</v>
      </c>
      <c r="V122" s="184" t="inlineStr">
        <is>
          <t>Maintenance</t>
        </is>
      </c>
      <c r="W122" s="184" t="inlineStr">
        <is>
          <t>Tidak</t>
        </is>
      </c>
      <c r="X122" s="184" t="inlineStr">
        <is>
          <t>Tidak Terintegrasi</t>
        </is>
      </c>
      <c r="Y122" s="184" t="inlineStr">
        <is>
          <t>Tidak Terintegrasi</t>
        </is>
      </c>
      <c r="Z122" s="184" t="inlineStr">
        <is>
          <t>Tidak Terintegrasi</t>
        </is>
      </c>
      <c r="AA122" s="184" t="inlineStr">
        <is>
          <t>Bidang Pengelolaan Sumber Daya Air dan Penyediaan Air Minum</t>
        </is>
      </c>
      <c r="AB122" s="184" t="inlineStr">
        <is>
          <t>DPUTR</t>
        </is>
      </c>
      <c r="AC122" s="178" t="inlineStr">
        <is>
          <t>Dian Noorcahya Permana, S.T.</t>
        </is>
      </c>
      <c r="AD122" s="184" t="n">
        <v>89681575101</v>
      </c>
      <c r="AE122" s="178" t="inlineStr">
        <is>
          <t>dian.noorcahya1221@gmail.com</t>
        </is>
      </c>
      <c r="AF122" s="68" t="n">
        <v>47</v>
      </c>
      <c r="AG122" s="64" t="inlineStr">
        <is>
          <t>Harian</t>
        </is>
      </c>
      <c r="AH122" s="284" t="n"/>
      <c r="AI122" s="284" t="n"/>
      <c r="AJ122" s="284" t="n"/>
      <c r="AK122" s="284" t="n"/>
      <c r="AL122" s="284" t="n"/>
      <c r="AM122" s="284" t="n"/>
      <c r="AN122" s="284" t="n"/>
      <c r="AO122" s="284" t="n"/>
      <c r="AP122" s="284" t="n"/>
      <c r="AQ122" s="284" t="n"/>
      <c r="AR122" s="284" t="n"/>
      <c r="AS122" s="284" t="n"/>
    </row>
    <row r="123">
      <c r="A123" s="182" t="n">
        <v>6</v>
      </c>
      <c r="B123" s="178" t="inlineStr">
        <is>
          <t>SIBEDAS JAKON</t>
        </is>
      </c>
      <c r="C123" t="inlineStr">
        <is>
          <t>DPUTR</t>
        </is>
      </c>
      <c r="D123" s="178" t="inlineStr">
        <is>
          <t>SIBEDAS JAKON merupakan aplikasi yang memberikan informasi mengenai paket pekerjaan, penyedia jasa konstruksi, tenaga terampil bersertifikat, dan lain sebagainya.</t>
        </is>
      </c>
      <c r="E123" s="178" t="inlineStr">
        <is>
          <t>Permen PUPR Nomor 22 Tahun 2018 tentang Pembangunan Gedung Negara</t>
        </is>
      </c>
      <c r="F123" s="131" t="inlineStr">
        <is>
          <t>https://drive.google.com/drive/folders/1sHKD9PH8GG_yqtIurnieYvG1qyHCbekF?hl=id</t>
        </is>
      </c>
      <c r="G123" s="184" t="inlineStr">
        <is>
          <t>PENINGKATAN KUALITAS PELAYANAN PUBLIK</t>
        </is>
      </c>
      <c r="H123" s="184" t="inlineStr">
        <is>
          <t>Masyarakat</t>
        </is>
      </c>
      <c r="I123" s="184" t="inlineStr">
        <is>
          <t>Data Peserta Bimtek Tenaga Terampil Konstruksi</t>
        </is>
      </c>
      <c r="J123" s="184" t="inlineStr">
        <is>
          <t>Data Tenaga Terampil Konstruksi yang Bersertifikat</t>
        </is>
      </c>
      <c r="K123" s="184" t="inlineStr">
        <is>
          <t>Terbatas</t>
        </is>
      </c>
      <c r="L123" s="184" t="inlineStr">
        <is>
          <t>Terdapat</t>
        </is>
      </c>
      <c r="M123" s="184" t="inlineStr">
        <is>
          <t>Bulanan</t>
        </is>
      </c>
      <c r="N123" s="130" t="inlineStr">
        <is>
          <t>SI PUTRA (sibedas jakon)</t>
        </is>
      </c>
      <c r="O123" s="184" t="inlineStr">
        <is>
          <t>Pihak Ke 3</t>
        </is>
      </c>
      <c r="P123" s="184" t="inlineStr">
        <is>
          <t>Kab. Bandung</t>
        </is>
      </c>
      <c r="Q123" s="184" t="inlineStr">
        <is>
          <t>Website dan Mobile</t>
        </is>
      </c>
      <c r="R123" s="70" t="inlineStr">
        <is>
          <t>https://sibedasjakon.bandungkab.go.id/</t>
        </is>
      </c>
      <c r="S123" s="184" t="inlineStr">
        <is>
          <t>Secara Online</t>
        </is>
      </c>
      <c r="T123" s="184" t="inlineStr">
        <is>
          <t>Informasi</t>
        </is>
      </c>
      <c r="U123" s="184" t="n">
        <v>2022</v>
      </c>
      <c r="V123" s="184" t="inlineStr">
        <is>
          <t>Aktif</t>
        </is>
      </c>
      <c r="W123" s="184" t="inlineStr">
        <is>
          <t>Tidak</t>
        </is>
      </c>
      <c r="X123" s="184" t="inlineStr">
        <is>
          <t>Tidak Terintegrasi</t>
        </is>
      </c>
      <c r="Y123" s="184" t="inlineStr">
        <is>
          <t>Tidak Terintegrasi</t>
        </is>
      </c>
      <c r="Z123" s="184" t="inlineStr">
        <is>
          <t>Tidak Terintegrasi</t>
        </is>
      </c>
      <c r="AA123" s="184" t="inlineStr">
        <is>
          <t>Bidang Pengembangan Jasa Konstruksi</t>
        </is>
      </c>
      <c r="AB123" s="184" t="inlineStr">
        <is>
          <t>DPUTR</t>
        </is>
      </c>
      <c r="AC123" s="178" t="inlineStr">
        <is>
          <t>Fuat Ardi Jaya, S.T.</t>
        </is>
      </c>
      <c r="AD123" s="133" t="n">
        <v>89649072891</v>
      </c>
      <c r="AE123" s="178" t="inlineStr">
        <is>
          <t>fuatardi222@gmail.com</t>
        </is>
      </c>
      <c r="AF123" s="68" t="n">
        <v>13</v>
      </c>
      <c r="AG123" s="64" t="inlineStr">
        <is>
          <t>Bulanan</t>
        </is>
      </c>
      <c r="AH123" s="284" t="n"/>
      <c r="AI123" s="284" t="n"/>
      <c r="AJ123" s="284" t="n"/>
      <c r="AK123" s="284" t="n"/>
      <c r="AL123" s="284" t="n"/>
      <c r="AM123" s="284" t="n"/>
      <c r="AN123" s="284" t="n"/>
      <c r="AO123" s="284" t="n"/>
      <c r="AP123" s="284" t="n"/>
      <c r="AQ123" s="284" t="n"/>
      <c r="AR123" s="284" t="n"/>
      <c r="AS123" s="284" t="n"/>
    </row>
    <row r="124">
      <c r="A124" s="182" t="n">
        <v>7</v>
      </c>
      <c r="B124" s="178" t="inlineStr">
        <is>
          <t>Dashboard Persampahan</t>
        </is>
      </c>
      <c r="C124" t="inlineStr">
        <is>
          <t>DPUTR</t>
        </is>
      </c>
      <c r="D124" s="178" t="inlineStr">
        <is>
          <t>Dashboard Persampahan bertujuan untuk menyediakan platform efisien dan terpadu dalam mengumpulkan, merekam, dan memantau data pemilahan, penanganan dan volume sampah sebelum masuk ke Tempat Pembuangan Akhir (TPA)</t>
        </is>
      </c>
      <c r="E124" s="178" t="inlineStr">
        <is>
          <t>Peraturan Bupati Bandung Nomor 25 Tahun 2010 tentang Pengelolaan Sampah</t>
        </is>
      </c>
      <c r="F124" s="184" t="inlineStr">
        <is>
          <t>Belum Tersedia</t>
        </is>
      </c>
      <c r="G124" s="184" t="inlineStr">
        <is>
          <t>PENGELOLAAN SAMPAH</t>
        </is>
      </c>
      <c r="H124" s="184" t="inlineStr">
        <is>
          <t>Masyarakat</t>
        </is>
      </c>
      <c r="I124" s="184" t="inlineStr">
        <is>
          <t>Data Jenis dan Volume Sampah dari Masyarakat</t>
        </is>
      </c>
      <c r="J124" s="184" t="inlineStr">
        <is>
          <t>Data Hasil Pemilahan dan Banyaknya Sampah yang Terkumpul dari Masyarakat</t>
        </is>
      </c>
      <c r="K124" s="184" t="inlineStr">
        <is>
          <t>Terbuka</t>
        </is>
      </c>
      <c r="L124" s="184" t="inlineStr">
        <is>
          <t>Tidak terdapat</t>
        </is>
      </c>
      <c r="M124" s="184" t="inlineStr">
        <is>
          <t>Mingguan</t>
        </is>
      </c>
      <c r="N124" s="130" t="inlineStr">
        <is>
          <t>SI PUTRA (sibedasok)</t>
        </is>
      </c>
      <c r="O124" s="184" t="inlineStr">
        <is>
          <t>Pihak Ke 3</t>
        </is>
      </c>
      <c r="P124" s="184" t="inlineStr">
        <is>
          <t>Kab. Bandung</t>
        </is>
      </c>
      <c r="Q124" s="184" t="inlineStr">
        <is>
          <t>Website dan Mobile</t>
        </is>
      </c>
      <c r="R124" s="70" t="inlineStr">
        <is>
          <t>https://linktr.ee/SIBEDASOK</t>
        </is>
      </c>
      <c r="S124" s="184" t="inlineStr">
        <is>
          <t>Secara Online</t>
        </is>
      </c>
      <c r="T124" s="184" t="inlineStr">
        <is>
          <t>Informasi</t>
        </is>
      </c>
      <c r="U124" s="184" t="n">
        <v>2024</v>
      </c>
      <c r="V124" s="184" t="inlineStr">
        <is>
          <t>Aktif</t>
        </is>
      </c>
      <c r="W124" s="184" t="inlineStr">
        <is>
          <t>Tidak</t>
        </is>
      </c>
      <c r="X124" s="184" t="inlineStr">
        <is>
          <t>Tidak Terintegrasi</t>
        </is>
      </c>
      <c r="Y124" s="184" t="inlineStr">
        <is>
          <t>Tidak Terintegrasi</t>
        </is>
      </c>
      <c r="Z124" s="184" t="inlineStr">
        <is>
          <t>Tidak Terintegrasi</t>
        </is>
      </c>
      <c r="AA124" s="184" t="inlineStr">
        <is>
          <t>Bidang Drainase dan Penyedia Infrastruktur Persampahan</t>
        </is>
      </c>
      <c r="AB124" s="184" t="inlineStr">
        <is>
          <t>DPUTR</t>
        </is>
      </c>
      <c r="AC124" s="178" t="inlineStr">
        <is>
          <t>H. Imam Yudha Pratama, S.T., M.T., M.M.</t>
        </is>
      </c>
      <c r="AD124" s="184" t="n">
        <v>81221971903</v>
      </c>
      <c r="AE124" s="178" t="inlineStr">
        <is>
          <t>imamprogdbm@gmail.com</t>
        </is>
      </c>
      <c r="AF124" s="68" t="inlineStr">
        <is>
          <t>41 dan 46</t>
        </is>
      </c>
      <c r="AG124" s="64" t="inlineStr">
        <is>
          <t>Bulanan</t>
        </is>
      </c>
      <c r="AH124" s="284" t="n"/>
      <c r="AI124" s="284" t="n"/>
      <c r="AJ124" s="284" t="n"/>
      <c r="AK124" s="284" t="n"/>
      <c r="AL124" s="284" t="n"/>
      <c r="AM124" s="284" t="n"/>
      <c r="AN124" s="284" t="n"/>
      <c r="AO124" s="284" t="n"/>
      <c r="AP124" s="284" t="n"/>
      <c r="AQ124" s="284" t="n"/>
      <c r="AR124" s="284" t="n"/>
      <c r="AS124" s="284" t="n"/>
    </row>
    <row r="125">
      <c r="A125" s="99" t="n">
        <v>8</v>
      </c>
      <c r="B125" s="100" t="inlineStr">
        <is>
          <t>Drainase Vertikal</t>
        </is>
      </c>
      <c r="C125" t="inlineStr">
        <is>
          <t>DPUTR</t>
        </is>
      </c>
      <c r="D125" s="100" t="inlineStr">
        <is>
          <t>Drainase Vertikal adalah model drainase yang menggunakan gravitasi untuk membantu infiltrasi air ke dalam tanah.</t>
        </is>
      </c>
      <c r="E125" s="134" t="inlineStr">
        <is>
          <t>Permen PUPR Nomor 12 Tahun 2014 tentang Penyelenggaraan Sistem Drainase Perkotaan</t>
        </is>
      </c>
      <c r="F125" s="70" t="inlineStr">
        <is>
          <t>https://drive.google.com/drive/folders/1dJpV-zPgcGeUPh1r03v0LvnCMsf7y8oq?hl=id</t>
        </is>
      </c>
      <c r="G125" s="102" t="inlineStr">
        <is>
          <t>PENGELOLAAN PEMBANGUNAN INFRASTRUKTUR BIDANG PUPR</t>
        </is>
      </c>
      <c r="H125" s="102" t="inlineStr">
        <is>
          <t>Masyarakat</t>
        </is>
      </c>
      <c r="I125" s="102" t="inlineStr">
        <is>
          <t>Beton Poros, Tangki Resapan, Perforated Pipe, Agregat Kelas A, Geotextile/
 Geomembran</t>
        </is>
      </c>
      <c r="J125" s="102" t="inlineStr">
        <is>
          <t>Sumur Resapan, Beton Berpori</t>
        </is>
      </c>
      <c r="K125" s="102" t="inlineStr">
        <is>
          <t>Terbuka</t>
        </is>
      </c>
      <c r="L125" s="102" t="inlineStr">
        <is>
          <t>Tidak terdapat</t>
        </is>
      </c>
      <c r="M125" s="102" t="inlineStr">
        <is>
          <t>Tahunan</t>
        </is>
      </c>
      <c r="N125" s="102" t="inlineStr">
        <is>
          <t>Belum Tersedia</t>
        </is>
      </c>
      <c r="O125" s="286" t="n"/>
      <c r="P125" s="286" t="n"/>
      <c r="Q125" s="286" t="n"/>
      <c r="R125" s="286" t="n"/>
      <c r="S125" s="102" t="inlineStr">
        <is>
          <t>Secara Offline</t>
        </is>
      </c>
      <c r="T125" s="102" t="inlineStr">
        <is>
          <t>Informasi</t>
        </is>
      </c>
      <c r="U125" s="102" t="n">
        <v>2022</v>
      </c>
      <c r="V125" s="102" t="inlineStr">
        <is>
          <t>Aktif</t>
        </is>
      </c>
      <c r="W125" s="102" t="inlineStr">
        <is>
          <t>Tidak</t>
        </is>
      </c>
      <c r="X125" s="102" t="inlineStr">
        <is>
          <t>Tidak Terintegrasi</t>
        </is>
      </c>
      <c r="Y125" s="102" t="inlineStr">
        <is>
          <t>Tidak Terintegrasi</t>
        </is>
      </c>
      <c r="Z125" s="102" t="inlineStr">
        <is>
          <t>Tidak Terintegrasi</t>
        </is>
      </c>
      <c r="AA125" s="102" t="inlineStr">
        <is>
          <t>Bidang Drainase dan Penyedia Infrastruktur Persampahan</t>
        </is>
      </c>
      <c r="AB125" s="102" t="inlineStr">
        <is>
          <t>DPUTR</t>
        </is>
      </c>
      <c r="AC125" s="100" t="inlineStr">
        <is>
          <t>Roni Romansa</t>
        </is>
      </c>
      <c r="AD125" s="102" t="n">
        <v>85860661778</v>
      </c>
      <c r="AE125" s="100" t="inlineStr">
        <is>
          <t>roni.romansa78@gmail.com</t>
        </is>
      </c>
      <c r="AF125" s="135" t="n">
        <v>47</v>
      </c>
      <c r="AG125" s="136" t="inlineStr">
        <is>
          <t>Tahunan</t>
        </is>
      </c>
      <c r="AH125" s="137" t="n"/>
      <c r="AI125" s="137" t="n"/>
      <c r="AJ125" s="137" t="n"/>
      <c r="AK125" s="137" t="n"/>
      <c r="AL125" s="137" t="n"/>
      <c r="AM125" s="137" t="n"/>
      <c r="AN125" s="137" t="n"/>
      <c r="AO125" s="137" t="n"/>
      <c r="AP125" s="137" t="n"/>
      <c r="AQ125" s="137" t="n"/>
      <c r="AR125" s="137" t="n"/>
      <c r="AS125" s="284" t="n"/>
    </row>
    <row r="126">
      <c r="A126" s="99" t="n">
        <v>9</v>
      </c>
      <c r="B126" s="100" t="inlineStr">
        <is>
          <t>Eco Enzim</t>
        </is>
      </c>
      <c r="C126" t="inlineStr">
        <is>
          <t>DPUTR</t>
        </is>
      </c>
      <c r="D126" s="100" t="inlineStr">
        <is>
          <t>Eco Enzim ini adalah cairan multifungsi yang dihasilkan dari proses fermentasi selama 3 bulan dengan bahan sederhana, gula merah/tetes tebu, limbah atau sampah organik dengan menggunakan komposisi 1:3:10</t>
        </is>
      </c>
      <c r="E126" s="102" t="inlineStr">
        <is>
          <t>-</t>
        </is>
      </c>
      <c r="F126" s="102" t="inlineStr">
        <is>
          <t>Belum Tersedia</t>
        </is>
      </c>
      <c r="G126" s="102" t="inlineStr">
        <is>
          <t>PENGELOLAAN PEREKAYASAAN TEKNOLOGI DAN LAYANAN ADMINISTRATIF BIDANG PUPR</t>
        </is>
      </c>
      <c r="H126" s="102" t="inlineStr">
        <is>
          <t>Masyarakat</t>
        </is>
      </c>
      <c r="I126" s="102" t="inlineStr">
        <is>
          <t>Air Bersih, Gula Merah Tebu Asli, Sampah Dapur Organik (Sisa Buah dan Sayuran), Timbangan, Wadah Plastik dan Penutupnya, Pengaduk</t>
        </is>
      </c>
      <c r="J126" s="102" t="inlineStr">
        <is>
          <t>Pupuk Organik</t>
        </is>
      </c>
      <c r="K126" s="102" t="inlineStr">
        <is>
          <t>Terbuka</t>
        </is>
      </c>
      <c r="L126" s="102" t="inlineStr">
        <is>
          <t>Tidak terdapat</t>
        </is>
      </c>
      <c r="M126" s="102" t="inlineStr">
        <is>
          <t>Bulanan</t>
        </is>
      </c>
      <c r="N126" s="102" t="inlineStr">
        <is>
          <t>Belum Tersedia</t>
        </is>
      </c>
      <c r="O126" s="286" t="n"/>
      <c r="P126" s="286" t="n"/>
      <c r="Q126" s="286" t="n"/>
      <c r="R126" s="286" t="n"/>
      <c r="S126" s="102" t="inlineStr">
        <is>
          <t>Secara Offline</t>
        </is>
      </c>
      <c r="T126" s="102" t="inlineStr">
        <is>
          <t>Informasi</t>
        </is>
      </c>
      <c r="U126" s="102" t="n">
        <v>2022</v>
      </c>
      <c r="V126" s="102" t="inlineStr">
        <is>
          <t>Aktif</t>
        </is>
      </c>
      <c r="W126" s="102" t="inlineStr">
        <is>
          <t>Tidak</t>
        </is>
      </c>
      <c r="X126" s="102" t="inlineStr">
        <is>
          <t>Tidak Terintegrasi</t>
        </is>
      </c>
      <c r="Y126" s="102" t="inlineStr">
        <is>
          <t>Tidak Terintegrasi</t>
        </is>
      </c>
      <c r="Z126" s="102" t="inlineStr">
        <is>
          <t>Tidak Terintegrasi</t>
        </is>
      </c>
      <c r="AA126" s="102" t="inlineStr">
        <is>
          <t>Bidang Drainase dan Penyedia Infrastruktur Persampahan</t>
        </is>
      </c>
      <c r="AB126" s="102" t="inlineStr">
        <is>
          <t>DPUTR</t>
        </is>
      </c>
      <c r="AC126" s="100" t="inlineStr">
        <is>
          <t>Fitrisina Sukandar</t>
        </is>
      </c>
      <c r="AD126" s="102" t="n">
        <v>81223591974</v>
      </c>
      <c r="AE126" s="100" t="inlineStr">
        <is>
          <t>fitrisinha@gmail.com</t>
        </is>
      </c>
      <c r="AF126" s="286" t="n"/>
      <c r="AG126" s="136" t="inlineStr">
        <is>
          <t>Bulanan</t>
        </is>
      </c>
      <c r="AH126" s="137" t="n"/>
      <c r="AI126" s="137" t="n"/>
      <c r="AJ126" s="137" t="n"/>
      <c r="AK126" s="137" t="n"/>
      <c r="AL126" s="137" t="n"/>
      <c r="AM126" s="137" t="n"/>
      <c r="AN126" s="137" t="n"/>
      <c r="AO126" s="137" t="n"/>
      <c r="AP126" s="137" t="n"/>
      <c r="AQ126" s="137" t="n"/>
      <c r="AR126" s="137" t="n"/>
      <c r="AS126" s="284" t="n"/>
    </row>
    <row r="127">
      <c r="A127" s="99" t="n">
        <v>10</v>
      </c>
      <c r="B127" s="100" t="inlineStr">
        <is>
          <t>SIPERA (Sistem Informasi Pemetaan Ruang Real Time)</t>
        </is>
      </c>
      <c r="C127" t="inlineStr">
        <is>
          <t>DPUTR</t>
        </is>
      </c>
      <c r="D127" s="100" t="inlineStr">
        <is>
          <t>- Meningkatkan transparansi pelayanan publik pada permohonan dokumen Keterangan Rencana Kota (KRK)
 - Meningkatkan efektivitas dan efisiensi dalam proses pelaksanaan penyelenggaraan dokumen Keterangan Rencana Kota (KRK)
 - Memudahkan pengecekan progres dokumen Keterangan Rencana Kota (KRK) bagi pemohon
 - Meningkatkan pelaksanaan analisis terhadap permohonan dokumen Keterangan Rencana Kota (KRK)</t>
        </is>
      </c>
      <c r="E127" s="100" t="inlineStr">
        <is>
          <t>- Undang-Undang Nomor 26 Tahun 2007 tentang Penataan Ruang
 - Peraturan Pemerintah Nomor 21 Tahun 2021 tentang Penyelenggaraan Penataan Ruang
 - Peraturan Menteri Agraria dan Tata Ruang/Kepala Badan Pertanahan Nasional Republik Indonesia Nomor 13 Tahun 2021 tentang Pelaksanaan Kesesuaian Kegiatan Pemanfaatan Ruang dan Sinkronisasi Program Pemanfaatan Ruang</t>
        </is>
      </c>
      <c r="F127" s="102" t="inlineStr">
        <is>
          <t>Belum Tersedia</t>
        </is>
      </c>
      <c r="G127" s="102" t="inlineStr">
        <is>
          <t>PERENCANAAN TATA RUANG DAN PEMANFAATAN RUANG</t>
        </is>
      </c>
      <c r="H127" s="102" t="inlineStr">
        <is>
          <t>Masyarakat, Pelaku Bisnis</t>
        </is>
      </c>
      <c r="I127" s="100" t="inlineStr">
        <is>
          <t>- Pemohon membuat akun pada website SIPERA
 - Pemohon mengisi data (informasi diri, perusahaan, lahan, dll) dan input dokumen sesuai dengan rencana kegiatan yang akan dilaksanakan
 - Pemohon melakukan submit terhadap pendaftaran yang sudah lengkap
 - Verifikator melakukan pengecekan kelengkapan berkas, apabilan dinyatakan lengkap maka dilanjutkan ke proses analisis, jika kurang lengkap maka akan dikembalikan kepada pemohon untuk dilengkapi
 - Petugas analisis melakukan analisis terhadap rencana kegiatan yang akan dilaksanakan oleh pemohon
 - Pemohon melakukan pengecekan progres melalui website SIPERA
 - Produk dokumen Keterangan Rencana Kota (KRK) terbit
 - Pemohon mengambil dokumen Keterangan Rencana Kota (KRK) di Dinas Pekerjaan Umum dan Tata Ruang Kabupaten Bandung</t>
        </is>
      </c>
      <c r="J127" s="100" t="inlineStr">
        <is>
          <t>Dokumen Keterangan Rencana Kota (KRK)</t>
        </is>
      </c>
      <c r="K127" s="102" t="inlineStr">
        <is>
          <t>Terbuka</t>
        </is>
      </c>
      <c r="L127" s="102" t="inlineStr">
        <is>
          <t>Terdapat</t>
        </is>
      </c>
      <c r="M127" s="102" t="inlineStr">
        <is>
          <t>Bulanan</t>
        </is>
      </c>
      <c r="N127" s="102" t="inlineStr">
        <is>
          <t>Belum Tersedia</t>
        </is>
      </c>
      <c r="O127" s="102" t="inlineStr">
        <is>
          <t>Pihak Ke 3</t>
        </is>
      </c>
      <c r="P127" s="102" t="inlineStr">
        <is>
          <t>Kab. Bandung</t>
        </is>
      </c>
      <c r="Q127" s="102" t="inlineStr">
        <is>
          <t>Website</t>
        </is>
      </c>
      <c r="R127" s="100" t="inlineStr">
        <is>
          <t>https://www.sipera.getsurvey.id/ (Pemohon)
 https://bandung.getsurvey.id/home (Admin)</t>
        </is>
      </c>
      <c r="S127" s="102" t="inlineStr">
        <is>
          <t>Secara Online</t>
        </is>
      </c>
      <c r="T127" s="102" t="inlineStr">
        <is>
          <t>Transaksi</t>
        </is>
      </c>
      <c r="U127" s="102" t="n">
        <v>2025</v>
      </c>
      <c r="V127" s="102" t="inlineStr">
        <is>
          <t>Aktif</t>
        </is>
      </c>
      <c r="W127" s="102" t="inlineStr">
        <is>
          <t>Tidak</t>
        </is>
      </c>
      <c r="X127" s="102" t="inlineStr">
        <is>
          <t>Tidak Terintegrasi</t>
        </is>
      </c>
      <c r="Y127" s="102" t="inlineStr">
        <is>
          <t>Tidak Terintegrasi</t>
        </is>
      </c>
      <c r="Z127" s="102" t="inlineStr">
        <is>
          <t>Tidak Terintegrasi</t>
        </is>
      </c>
      <c r="AA127" s="184" t="inlineStr">
        <is>
          <t>Bidang Tata Ruang</t>
        </is>
      </c>
      <c r="AB127" s="184" t="inlineStr">
        <is>
          <t>DPUTR</t>
        </is>
      </c>
      <c r="AC127" s="178" t="inlineStr">
        <is>
          <t>Muhammad Fahreza, S.P.W.</t>
        </is>
      </c>
      <c r="AD127" s="138" t="n">
        <v>81221751770</v>
      </c>
      <c r="AE127" s="184" t="inlineStr">
        <is>
          <t>mfahreza30@gmail.com</t>
        </is>
      </c>
      <c r="AF127" s="68" t="n">
        <v>37</v>
      </c>
      <c r="AG127" s="64" t="inlineStr">
        <is>
          <t>Bulanan</t>
        </is>
      </c>
      <c r="AH127" s="284" t="n"/>
      <c r="AI127" s="284" t="n"/>
      <c r="AJ127" s="284" t="n"/>
      <c r="AK127" s="284" t="n"/>
      <c r="AL127" s="284" t="n"/>
      <c r="AM127" s="284" t="n"/>
      <c r="AN127" s="284" t="n"/>
      <c r="AO127" s="284" t="n"/>
      <c r="AP127" s="284" t="n"/>
      <c r="AQ127" s="284" t="n"/>
      <c r="AR127" s="284" t="n"/>
      <c r="AS127" s="284" t="n"/>
    </row>
    <row r="128">
      <c r="A128" s="99" t="n">
        <v>11</v>
      </c>
      <c r="B128" s="100" t="inlineStr">
        <is>
          <t>MADU NAON (Media Edukasi Pembuatan Poligon KML)</t>
        </is>
      </c>
      <c r="C128" t="inlineStr">
        <is>
          <t>DPUTR</t>
        </is>
      </c>
      <c r="D128" s="100" t="inlineStr">
        <is>
          <t>- Memberikan edukasi cara pembuatan poligon KML bagi masyarakat umum
 - Meningkatkan efisiensi dan efektivitas petugas dalam melaksanakan pelayanan publik
 - Meningkatkan transparansi pelayanan publik
 - Memudahkan masyarakat dalam membuat poligon KML secara mandiri
 - Mempercepat proses pendaftaran dokumen Keterangan Rencana Kota (KRK) dan dokumen Kesesuaian Kegiatan Pemanfaatan Ruang (KKPR) Non-Berusaha</t>
        </is>
      </c>
      <c r="E128" s="100" t="inlineStr">
        <is>
          <t>- Undang-Undang Nomor 26 Tahun 2007 tentang Penataan Ruang
 - Peraturan Pemerintah Nomor 21 Tahun 2021 tentang Penyelenggaraan Penataan Ruang
 - Peraturan Menteri Agraria dan Tata Ruang/Kepala Badan Pertanahan Nasional Republik Indonesia Nomor 13 Tahun 2021 tentang Pelaksanaan Kesesuaian Kegiatan Pemanfaatan Ruang dan Sinkronisasi Program Pemanfaatan Ruang</t>
        </is>
      </c>
      <c r="F128" s="102" t="inlineStr">
        <is>
          <t>Belum Tersedia</t>
        </is>
      </c>
      <c r="G128" s="102" t="inlineStr">
        <is>
          <t>PERENCANAAN TATA RUANG DAN PEMANFAATAN RUANG</t>
        </is>
      </c>
      <c r="H128" s="102" t="inlineStr">
        <is>
          <t>Masyarakat</t>
        </is>
      </c>
      <c r="I128" s="139" t="inlineStr">
        <is>
          <t>- Masyarakat melakukan scan barcode yang akan mengarahkan ke tempat penyimpanan digital media informasinya pada Google Drive
 - Masyarakat mengunduh dokumen media edukasi pembuatan poligon KML
 - Dokumen media informasi edukasi pembuatan poligon KML berbentuk digital
 - Masyarakat memilih perangkat yang akan digunakan dalam membuat poligon KML
 - Masyarakat membuat poligon KML dengan mengikuti media edukasi pembuatan poligon KML
 - Poligon KML disimpan dalam bentuk digital di penyimpanan perangkat
 - Poligon KML siap dikirimkan kepada petugas permohonan dokumen Keterangan Rencana Kota (KRK) atau diinput dalan sistem pendaftaran dokumen Kesesuaian Kegiatan Pemanfaatan Ruang (KKPR) Non-Berusaha</t>
        </is>
      </c>
      <c r="J128" s="100" t="inlineStr">
        <is>
          <t>- Dokumen Kesesuaian Kegiatan Pemanfaatan Ruang (KKPR) Non-Berusaha</t>
        </is>
      </c>
      <c r="K128" s="102" t="inlineStr">
        <is>
          <t>Terbuka</t>
        </is>
      </c>
      <c r="L128" s="102" t="inlineStr">
        <is>
          <t>Terdapat</t>
        </is>
      </c>
      <c r="M128" s="102" t="inlineStr">
        <is>
          <t>Bulanan</t>
        </is>
      </c>
      <c r="N128" s="102" t="inlineStr">
        <is>
          <t>Belum Tersedia</t>
        </is>
      </c>
      <c r="O128" s="102" t="inlineStr">
        <is>
          <t>Pihak Ke 3</t>
        </is>
      </c>
      <c r="P128" s="102" t="inlineStr">
        <is>
          <t>Kab. Bandung</t>
        </is>
      </c>
      <c r="Q128" s="102" t="inlineStr">
        <is>
          <t>Mobile</t>
        </is>
      </c>
      <c r="R128" s="100" t="inlineStr">
        <is>
          <t>Barcode atau link yang mengarah pada media edukasi pembuatan poligon KML</t>
        </is>
      </c>
      <c r="S128" s="102" t="inlineStr">
        <is>
          <t>Secara Online</t>
        </is>
      </c>
      <c r="T128" s="102" t="inlineStr">
        <is>
          <t>Transaksi</t>
        </is>
      </c>
      <c r="U128" s="102" t="n">
        <v>2025</v>
      </c>
      <c r="V128" s="102" t="inlineStr">
        <is>
          <t>Aktif</t>
        </is>
      </c>
      <c r="W128" s="102" t="inlineStr">
        <is>
          <t>Tidak</t>
        </is>
      </c>
      <c r="X128" s="102" t="inlineStr">
        <is>
          <t>Tidak Terintegrasi</t>
        </is>
      </c>
      <c r="Y128" s="102" t="inlineStr">
        <is>
          <t>Tidak Terintegrasi</t>
        </is>
      </c>
      <c r="Z128" s="102" t="inlineStr">
        <is>
          <t>Tidak Terintegrasi</t>
        </is>
      </c>
      <c r="AA128" s="184" t="inlineStr">
        <is>
          <t>Bidang Tata Ruang</t>
        </is>
      </c>
      <c r="AB128" s="184" t="inlineStr">
        <is>
          <t>DPUTR</t>
        </is>
      </c>
      <c r="AC128" s="178" t="inlineStr">
        <is>
          <t>M.SYAIFUDDIN AL-FAQIH A.Md.</t>
        </is>
      </c>
      <c r="AD128" s="138" t="n">
        <v>82136118779</v>
      </c>
      <c r="AE128" s="184" t="inlineStr">
        <is>
          <t>syaifuddin.alfaqih@gmail.com</t>
        </is>
      </c>
      <c r="AF128" s="68" t="n">
        <v>37</v>
      </c>
      <c r="AG128" s="64" t="inlineStr">
        <is>
          <t>Bulanan</t>
        </is>
      </c>
      <c r="AH128" s="284" t="n"/>
      <c r="AI128" s="284" t="n"/>
      <c r="AJ128" s="284" t="n"/>
      <c r="AK128" s="284" t="n"/>
      <c r="AL128" s="284" t="n"/>
      <c r="AM128" s="284" t="n"/>
      <c r="AN128" s="284" t="n"/>
      <c r="AO128" s="284" t="n"/>
      <c r="AP128" s="284" t="n"/>
      <c r="AQ128" s="284" t="n"/>
      <c r="AR128" s="284" t="n"/>
      <c r="AS128" s="284" t="n"/>
    </row>
    <row r="129">
      <c r="A129" s="71" t="inlineStr">
        <is>
          <t>DISPERKIMTAN</t>
        </is>
      </c>
      <c r="B129" s="58" t="n"/>
      <c r="D129" s="58" t="n"/>
      <c r="E129" s="58" t="n"/>
      <c r="F129" s="58" t="n"/>
      <c r="G129" s="58" t="n"/>
      <c r="H129" s="58" t="n"/>
      <c r="I129" s="58" t="n"/>
      <c r="J129" s="58" t="n"/>
      <c r="K129" s="58" t="n"/>
      <c r="L129" s="58" t="n"/>
      <c r="M129" s="58" t="n"/>
      <c r="N129" s="58" t="n"/>
      <c r="O129" s="58" t="n"/>
      <c r="P129" s="58" t="n"/>
      <c r="Q129" s="58" t="n"/>
      <c r="R129" s="58" t="n"/>
      <c r="S129" s="58" t="n"/>
      <c r="T129" s="58" t="n"/>
      <c r="U129" s="58" t="n"/>
      <c r="V129" s="58" t="n"/>
      <c r="W129" s="58" t="n"/>
      <c r="X129" s="58" t="n"/>
      <c r="Y129" s="58" t="n"/>
      <c r="Z129" s="58" t="n"/>
      <c r="AA129" s="58" t="n"/>
      <c r="AB129" s="58" t="n"/>
      <c r="AC129" s="58" t="n"/>
      <c r="AD129" s="58" t="n"/>
      <c r="AE129" s="58" t="n"/>
      <c r="AF129" s="200" t="n"/>
      <c r="AG129" s="200" t="n"/>
      <c r="AH129" s="284" t="n"/>
      <c r="AI129" s="284" t="n"/>
      <c r="AJ129" s="284" t="n"/>
      <c r="AK129" s="284" t="n"/>
      <c r="AL129" s="284" t="n"/>
      <c r="AM129" s="284" t="n"/>
      <c r="AN129" s="284" t="n"/>
      <c r="AO129" s="284" t="n"/>
      <c r="AP129" s="284" t="n"/>
      <c r="AQ129" s="284" t="n"/>
      <c r="AR129" s="284" t="n"/>
      <c r="AS129" s="284" t="n"/>
    </row>
    <row r="130">
      <c r="A130" s="182" t="n">
        <v>1</v>
      </c>
      <c r="B130" s="178" t="inlineStr">
        <is>
          <t>Layanan Informasi Perumahan</t>
        </is>
      </c>
      <c r="C130" t="inlineStr">
        <is>
          <t>DISPERKIMTAN</t>
        </is>
      </c>
      <c r="D130" s="178" t="inlineStr">
        <is>
          <t>memberikan layanan informasi perumahan yang sudah dan akan melaksanakan serah terima PSU perumahan Kabupaten Bandung</t>
        </is>
      </c>
      <c r="E130" s="178" t="inlineStr">
        <is>
          <t>1. Undang - Undang Nomor 1 Tahun 2011 tentang Perumahan dan Kawasan Permukiman
 2. Peraturan Pemerintah Nomor 12 Tahun 2021 tentang Perumahan Atas Peraturan Pemerintah Nomor 14 Tahun 2016 tentang Penyelenggaraan Perumahan dan Kawasan Permukiman
 3. Peraturan Menteri Dalam Negeri Nomor 9 Tahun 2009 Tentang Pedoman Penyerahan Prasarana, Sarana, dan Utilitas Perumahan dan Permukiman di Daerah
 4. Peraturan Daerah Kabupaten Bandung Nomor 5 Tahun 2020 dan Peraturan Bupati Nomor 5 TahunTentang Penyediaan, Penyerahan dan Pengelolaan Prasarana, Sarana dan Utilitas Umum Perumahan dan Permukiman
 5. Peraturan Bupati Bandung Nomor 4 Tahun 2021 tentang Peratura Pelaksanaan Peraturan Daerah Nomor 5 Tahun 2020 tentang Penyediaan, Penyerahan, dan Pengelolaan Prasarana, Sarana, dan Utilitas Umum Perumahan dan Permukiman</t>
        </is>
      </c>
      <c r="F130" s="70" t="inlineStr">
        <is>
          <t>https://drive.google.com/file/d/1kvVSSjFHbdSKP4vPWzb0wDWs5x8kMCbU/view?usp=sharing</t>
        </is>
      </c>
      <c r="G130" s="184" t="inlineStr">
        <is>
          <t>PENYELENGGARAAN PERUMAHAN</t>
        </is>
      </c>
      <c r="H130" s="184" t="inlineStr">
        <is>
          <t>Masyarakat</t>
        </is>
      </c>
      <c r="I130" s="68" t="inlineStr">
        <is>
          <t>Data Pelapor dan Kejadian</t>
        </is>
      </c>
      <c r="J130" s="178" t="inlineStr">
        <is>
          <t>Data Perumahan
 Data Fasos Fasum</t>
        </is>
      </c>
      <c r="K130" s="184" t="inlineStr">
        <is>
          <t>Terbatas</t>
        </is>
      </c>
      <c r="L130" s="184" t="inlineStr">
        <is>
          <t>Terdapat</t>
        </is>
      </c>
      <c r="M130" s="184" t="inlineStr">
        <is>
          <t>Tahunan</t>
        </is>
      </c>
      <c r="N130" s="97" t="inlineStr">
        <is>
          <t>SIPIKAT</t>
        </is>
      </c>
      <c r="O130" s="184" t="inlineStr">
        <is>
          <t>Diskominfo</t>
        </is>
      </c>
      <c r="P130" s="184" t="inlineStr">
        <is>
          <t>Kab. Bandung</t>
        </is>
      </c>
      <c r="Q130" s="184" t="inlineStr">
        <is>
          <t>Website</t>
        </is>
      </c>
      <c r="R130" s="70" t="inlineStr">
        <is>
          <t>https://aplikasi.bandungkab.com/publik/landing-page-aplikasi-sipikat</t>
        </is>
      </c>
      <c r="S130" s="184" t="inlineStr">
        <is>
          <t>Secara Online</t>
        </is>
      </c>
      <c r="T130" s="184" t="inlineStr">
        <is>
          <t>Informasi</t>
        </is>
      </c>
      <c r="U130" s="184" t="n">
        <v>2025</v>
      </c>
      <c r="V130" s="184" t="inlineStr">
        <is>
          <t>Aktif</t>
        </is>
      </c>
      <c r="W130" s="288" t="n"/>
      <c r="X130" s="288" t="n"/>
      <c r="Y130" s="288" t="n"/>
      <c r="Z130" s="288" t="n"/>
      <c r="AA130" s="184" t="inlineStr">
        <is>
          <t>Bidang PSU</t>
        </is>
      </c>
      <c r="AB130" s="184" t="inlineStr">
        <is>
          <t>Disperkimtan</t>
        </is>
      </c>
      <c r="AC130" s="288" t="n"/>
      <c r="AD130" s="288" t="n"/>
      <c r="AE130" s="288" t="n"/>
      <c r="AF130" s="288" t="n"/>
      <c r="AG130" s="288" t="n"/>
      <c r="AH130" s="284" t="n"/>
      <c r="AI130" s="284" t="n"/>
      <c r="AJ130" s="284" t="n"/>
      <c r="AK130" s="284" t="n"/>
      <c r="AL130" s="284" t="n"/>
      <c r="AM130" s="284" t="n"/>
      <c r="AN130" s="284" t="n"/>
      <c r="AO130" s="284" t="n"/>
      <c r="AP130" s="284" t="n"/>
      <c r="AQ130" s="284" t="n"/>
      <c r="AR130" s="284" t="n"/>
      <c r="AS130" s="284" t="n"/>
    </row>
    <row r="131">
      <c r="A131" s="71" t="inlineStr">
        <is>
          <t>DINSOS</t>
        </is>
      </c>
      <c r="B131" s="58" t="n"/>
      <c r="D131" s="58" t="n"/>
      <c r="E131" s="58" t="n"/>
      <c r="F131" s="58" t="n"/>
      <c r="G131" s="58" t="n"/>
      <c r="H131" s="58" t="n"/>
      <c r="I131" s="58" t="n"/>
      <c r="J131" s="58" t="n"/>
      <c r="K131" s="58" t="n"/>
      <c r="L131" s="58" t="n"/>
      <c r="M131" s="58" t="n"/>
      <c r="N131" s="58" t="n"/>
      <c r="O131" s="58" t="n"/>
      <c r="P131" s="58" t="n"/>
      <c r="Q131" s="58" t="n"/>
      <c r="R131" s="58" t="n"/>
      <c r="S131" s="58" t="n"/>
      <c r="T131" s="58" t="n"/>
      <c r="U131" s="58" t="n"/>
      <c r="V131" s="58" t="n"/>
      <c r="W131" s="58" t="n"/>
      <c r="X131" s="58" t="n"/>
      <c r="Y131" s="58" t="n"/>
      <c r="Z131" s="58" t="n"/>
      <c r="AA131" s="58" t="n"/>
      <c r="AB131" s="58" t="n"/>
      <c r="AC131" s="58" t="n"/>
      <c r="AD131" s="58" t="n"/>
      <c r="AE131" s="58" t="n"/>
      <c r="AF131" s="200" t="n"/>
      <c r="AG131" s="200" t="n"/>
      <c r="AH131" s="284" t="n"/>
      <c r="AI131" s="284" t="n"/>
      <c r="AJ131" s="284" t="n"/>
      <c r="AK131" s="284" t="n"/>
      <c r="AL131" s="284" t="n"/>
      <c r="AM131" s="284" t="n"/>
      <c r="AN131" s="284" t="n"/>
      <c r="AO131" s="284" t="n"/>
      <c r="AP131" s="284" t="n"/>
      <c r="AQ131" s="284" t="n"/>
      <c r="AR131" s="284" t="n"/>
      <c r="AS131" s="284" t="n"/>
    </row>
    <row r="132">
      <c r="A132" s="182" t="n">
        <v>1</v>
      </c>
      <c r="B132" s="178" t="inlineStr">
        <is>
          <t>Surat Keterangan Tidak Mampu (SKTM) Online</t>
        </is>
      </c>
      <c r="C132" t="inlineStr">
        <is>
          <t>DINSOS</t>
        </is>
      </c>
      <c r="D132" s="178" t="inlineStr">
        <is>
          <t>Surat Keterangan Tidak Mampu (SKTM) adalah surat resmi yang dikeluarkan oleh pemerintah desa/kelurahan Dinas Sosial yang menerangkan bahwa seseorang atau keluarga berada dalam kondisi ekonomi kurang mampu. SKTM biasanya digunakan sebagai syarat untuk mendapatkan keringanan biaya, bantuan sosial, atau akses layanan tertentu dari pemerintah maupun lembaga lain.</t>
        </is>
      </c>
      <c r="E132" s="178" t="inlineStr">
        <is>
          <t>- Peraturan Bupati Bandung Nomor 318 Tahun 2022 tentang Pusat Kesejahteraan Sosial Penanganan Kemiskinan
 - Peraturan Bupati Bandung No 50 Tahun 2018 Tentang Surat Keterangan Tidak Mampu (SKTM)</t>
        </is>
      </c>
      <c r="F132" s="70" t="inlineStr">
        <is>
          <t>https://drive.google.com/file/d/1Ramy4vxff2nlZwmQYryTo4j9HIjXgRt2/view?usp=sharing</t>
        </is>
      </c>
      <c r="G132" s="184" t="inlineStr">
        <is>
          <t>PENYELENGGARAAN PERLINDUNGAN SOSIAL</t>
        </is>
      </c>
      <c r="H132" s="184" t="inlineStr">
        <is>
          <t>Masyarakat</t>
        </is>
      </c>
      <c r="I132" s="184" t="inlineStr">
        <is>
          <t>Berkas
 persyaratan
 pengajuan
 rekomendasi
 SKTM</t>
        </is>
      </c>
      <c r="J132" s="178" t="inlineStr">
        <is>
          <t>Berkas
 rekomendasi
 SKTM</t>
        </is>
      </c>
      <c r="K132" s="184" t="inlineStr">
        <is>
          <t>Tertutup</t>
        </is>
      </c>
      <c r="L132" s="184" t="inlineStr">
        <is>
          <t>Terdapat</t>
        </is>
      </c>
      <c r="M132" s="184" t="inlineStr">
        <is>
          <t>Bulanan</t>
        </is>
      </c>
      <c r="N132" s="97" t="inlineStr">
        <is>
          <t>DIBEDASKEN</t>
        </is>
      </c>
      <c r="O132" s="184" t="inlineStr">
        <is>
          <t>OPD</t>
        </is>
      </c>
      <c r="P132" s="184" t="inlineStr">
        <is>
          <t>Kab. Bandung</t>
        </is>
      </c>
      <c r="Q132" s="184" t="inlineStr">
        <is>
          <t>Website dan Mobile</t>
        </is>
      </c>
      <c r="R132" s="70" t="inlineStr">
        <is>
          <t>https://dibedasken.bandungkab.go.id/</t>
        </is>
      </c>
      <c r="S132" s="184" t="inlineStr">
        <is>
          <t>Secara Online</t>
        </is>
      </c>
      <c r="T132" s="184" t="inlineStr">
        <is>
          <t>Transaksi</t>
        </is>
      </c>
      <c r="U132" s="184" t="n">
        <v>2021</v>
      </c>
      <c r="V132" s="184" t="inlineStr">
        <is>
          <t>Aktif</t>
        </is>
      </c>
      <c r="W132" s="184" t="inlineStr">
        <is>
          <t>Tidak</t>
        </is>
      </c>
      <c r="X132" s="184" t="inlineStr">
        <is>
          <t>Tidak Terintegrasi</t>
        </is>
      </c>
      <c r="Y132" s="184" t="inlineStr">
        <is>
          <t>Tidak Terintegrasi</t>
        </is>
      </c>
      <c r="Z132" s="184" t="inlineStr">
        <is>
          <t>Tidak Terintegrasi</t>
        </is>
      </c>
      <c r="AA132" s="184" t="inlineStr">
        <is>
          <t>Bidang Perlindungan dan Jaminan Sosial</t>
        </is>
      </c>
      <c r="AB132" s="184" t="inlineStr">
        <is>
          <t>Dinsos</t>
        </is>
      </c>
      <c r="AC132" s="178" t="inlineStr">
        <is>
          <t>M. Fitrian Ramadan, S.Psi., MM</t>
        </is>
      </c>
      <c r="AD132" s="178" t="n">
        <v>8994413332</v>
      </c>
      <c r="AE132" s="178" t="inlineStr">
        <is>
          <t>programdinsoskabbdg@gmail.com</t>
        </is>
      </c>
      <c r="AF132" s="77" t="n">
        <v>10</v>
      </c>
      <c r="AG132" s="68" t="inlineStr">
        <is>
          <t>Setiap Saat</t>
        </is>
      </c>
      <c r="AH132" s="284" t="n"/>
      <c r="AI132" s="284" t="n"/>
      <c r="AJ132" s="284" t="n"/>
      <c r="AK132" s="284" t="n"/>
      <c r="AL132" s="284" t="n"/>
      <c r="AM132" s="284" t="n"/>
      <c r="AN132" s="284" t="n"/>
      <c r="AO132" s="284" t="n"/>
      <c r="AP132" s="284" t="n"/>
      <c r="AQ132" s="284" t="n"/>
      <c r="AR132" s="284" t="n"/>
      <c r="AS132" s="284" t="n"/>
    </row>
    <row r="133">
      <c r="A133" s="99" t="n">
        <v>4</v>
      </c>
      <c r="B133" s="100" t="inlineStr">
        <is>
          <t>Rekomendasi ke Rumah Sakit Jiwa</t>
        </is>
      </c>
      <c r="C133" t="inlineStr">
        <is>
          <t>DINSOS</t>
        </is>
      </c>
      <c r="D133" s="100" t="inlineStr">
        <is>
          <t>Rekomendasi ke Rumah Sakit Jiwa adalah suatu bentuk layanan administratif dan sosial berupa pemberian surat atau dokumen rujukan resmi oleh instansi berwenang dalam hal ini Dinas Sosial atau lembaga terkait, yang menyatakan bahwa seseorang memerlukan pemeriksaan, perawatan, atau rehabilitasi kesehatan jiwa di Rumah Sakit Jiwa berdasarkan hasil asesmen awal sosial maupun kondisi yang teridentifikasi di lapangan.</t>
        </is>
      </c>
      <c r="E133" s="100" t="inlineStr">
        <is>
          <t>- Peraturan Pemerintah Nomor 39 Tahun 2012 tentang Penyelenggaraan Kesejahteraan Sosial
 - Peraturan Pemerintah Nomor 2 Tahun 2018 tentang Standar Pelayanan Minimal
 - Peraturan Menteri Sosial Nomor 9 Tahun 2018 tentang Standar Teknis Pelayanan Dasar pada Standar Pelayanan Minimal Bidang Sosial di Daerah Provinsi dan di Daerah Kabupaten/ Kota</t>
        </is>
      </c>
      <c r="F133" s="70" t="inlineStr">
        <is>
          <t>https://drive.google.com/file/d/1Ramy4vxff2nlZwmQYryTo4j9HIjXgRt2/view?usp=sharing</t>
        </is>
      </c>
      <c r="G133" s="102" t="inlineStr">
        <is>
          <t>PENYELENGGARAAN REHABILITAS SOSIAL</t>
        </is>
      </c>
      <c r="H133" s="102" t="inlineStr">
        <is>
          <t>Masyarakat</t>
        </is>
      </c>
      <c r="I133" s="102" t="inlineStr">
        <is>
          <t>Data Diri Klien</t>
        </is>
      </c>
      <c r="J133" s="100" t="inlineStr">
        <is>
          <t>Berkas Rekomendasi Untuk Ke Rumah Sakit Jiwa</t>
        </is>
      </c>
      <c r="K133" s="102" t="inlineStr">
        <is>
          <t>Tertutup</t>
        </is>
      </c>
      <c r="L133" s="102" t="inlineStr">
        <is>
          <t>Terdapat</t>
        </is>
      </c>
      <c r="M133" s="102" t="inlineStr">
        <is>
          <t>Tahunan</t>
        </is>
      </c>
      <c r="N133" s="100" t="inlineStr">
        <is>
          <t>-</t>
        </is>
      </c>
      <c r="O133" s="286" t="n"/>
      <c r="P133" s="286" t="n"/>
      <c r="Q133" s="286" t="n"/>
      <c r="R133" s="286" t="n"/>
      <c r="S133" s="102" t="inlineStr">
        <is>
          <t>Secara Offline</t>
        </is>
      </c>
      <c r="T133" s="286" t="n"/>
      <c r="U133" s="286" t="n"/>
      <c r="V133" s="286" t="n"/>
      <c r="W133" s="286" t="n"/>
      <c r="X133" s="286" t="n"/>
      <c r="Y133" s="286" t="n"/>
      <c r="Z133" s="286" t="n"/>
      <c r="AA133" s="184" t="inlineStr">
        <is>
          <t>Bidang Rehabilitasi Sosial</t>
        </is>
      </c>
      <c r="AB133" s="184" t="inlineStr">
        <is>
          <t>Dinsos</t>
        </is>
      </c>
      <c r="AC133" s="178" t="inlineStr">
        <is>
          <t>Erna Beti Rustiati, S.Sos., M.Si.</t>
        </is>
      </c>
      <c r="AD133" s="178" t="n">
        <v>81214287537</v>
      </c>
      <c r="AE133" s="178" t="inlineStr">
        <is>
          <t>programdinsoskabbdg@gmail.com</t>
        </is>
      </c>
      <c r="AF133" s="77" t="n">
        <v>10</v>
      </c>
      <c r="AG133" s="68" t="inlineStr">
        <is>
          <t>Insidentil</t>
        </is>
      </c>
      <c r="AH133" s="284" t="n"/>
      <c r="AI133" s="284" t="n"/>
      <c r="AJ133" s="284" t="n"/>
      <c r="AK133" s="284" t="n"/>
      <c r="AL133" s="284" t="n"/>
      <c r="AM133" s="284" t="n"/>
      <c r="AN133" s="284" t="n"/>
      <c r="AO133" s="284" t="n"/>
      <c r="AP133" s="284" t="n"/>
      <c r="AQ133" s="284" t="n"/>
      <c r="AR133" s="284" t="n"/>
      <c r="AS133" s="284" t="n"/>
    </row>
    <row r="134">
      <c r="A134" s="99" t="n">
        <v>5</v>
      </c>
      <c r="B134" s="100" t="inlineStr">
        <is>
          <t>Rekomendasi Calon Orang Tua Angkat (COTA)</t>
        </is>
      </c>
      <c r="C134" t="inlineStr">
        <is>
          <t>DINSOS</t>
        </is>
      </c>
      <c r="D134" s="100" t="inlineStr">
        <is>
          <t>Rekomendasi Calon Orang Tua Angkat (COTA) adalah dokumen atau surat keterangan resmi yang diterbitkan oleh instansi yang berwenang, khususnya Dinas Sosial, sebagai hasil penilaian dan pertimbangan sosial terhadap kelayakan seseorang atau pasangan suami istri untuk menjadi orang tua angkat berdasarkan hasil asesmen sosial, administratif, dan psikologis sesuai ketentuan peraturan perundang-undangan.</t>
        </is>
      </c>
      <c r="E134" s="100" t="inlineStr">
        <is>
          <t>- Undang-Undang RI Nomor 35 Tahun 2014 tentang Perlindungan Anak
 - Peraturan Pemerintah Nomor 54 Tahun 2007 tentang Pelakasanaan Pengangkatan Anak
 - Peraturan Menteri Sosial Nomor 9 Tahun 2018 tentang Standar Teknis Pelayanan Dasar pada Standar Pelayanan Minimal Bidang Sosial di Daerah Provinsi dan di Daerah Kabupaten/ Kota 
 - Permensos RI Nomor 4 tahun 2020 tentang Rehabilitasi Sosial Dasar bagi Anak Terlantar
 - Peraturan Menteri Sosial Republik Indonesia Nomor 110/HUK/2009 tentang Persyaratan Pengangkatan Anak</t>
        </is>
      </c>
      <c r="F134" s="70" t="inlineStr">
        <is>
          <t>https://drive.google.com/file/d/1Ramy4vxff2nlZwmQYryTo4j9HIjXgRt2/view?usp=sharing</t>
        </is>
      </c>
      <c r="G134" s="102" t="inlineStr">
        <is>
          <t>PENYELENGGARAAN REHABILITAS SOSIAL</t>
        </is>
      </c>
      <c r="H134" s="102" t="inlineStr">
        <is>
          <t>Masyarakat</t>
        </is>
      </c>
      <c r="I134" s="102" t="inlineStr">
        <is>
          <t>Data Diri Calon Orang Tua Asuh dan Calon Anak Asuh</t>
        </is>
      </c>
      <c r="J134" s="100" t="inlineStr">
        <is>
          <t>Berkas Rekomendasi COTA</t>
        </is>
      </c>
      <c r="K134" s="102" t="inlineStr">
        <is>
          <t>Tertutup</t>
        </is>
      </c>
      <c r="L134" s="102" t="inlineStr">
        <is>
          <t>Terdapat</t>
        </is>
      </c>
      <c r="M134" s="102" t="inlineStr">
        <is>
          <t>Tahunan</t>
        </is>
      </c>
      <c r="N134" s="286" t="n"/>
      <c r="O134" s="286" t="n"/>
      <c r="P134" s="286" t="n"/>
      <c r="Q134" s="286" t="n"/>
      <c r="R134" s="286" t="n"/>
      <c r="S134" s="102" t="inlineStr">
        <is>
          <t>Secara Offline</t>
        </is>
      </c>
      <c r="T134" s="286" t="n"/>
      <c r="U134" s="286" t="n"/>
      <c r="V134" s="286" t="n"/>
      <c r="W134" s="286" t="n"/>
      <c r="X134" s="286" t="n"/>
      <c r="Y134" s="286" t="n"/>
      <c r="Z134" s="286" t="n"/>
      <c r="AA134" s="184" t="inlineStr">
        <is>
          <t>Bidang Rehabilitasi Sosial</t>
        </is>
      </c>
      <c r="AB134" s="184" t="inlineStr">
        <is>
          <t>Dinsos</t>
        </is>
      </c>
      <c r="AC134" s="178" t="inlineStr">
        <is>
          <t>Erna Beti Rustiati, S.Sos., M.Si.</t>
        </is>
      </c>
      <c r="AD134" s="178" t="n">
        <v>81214287537</v>
      </c>
      <c r="AE134" s="178" t="inlineStr">
        <is>
          <t>programdinsoskabbdg@gmail.com</t>
        </is>
      </c>
      <c r="AF134" s="77" t="n">
        <v>10</v>
      </c>
      <c r="AG134" s="68" t="inlineStr">
        <is>
          <t>Insidentil</t>
        </is>
      </c>
      <c r="AH134" s="284" t="n"/>
      <c r="AI134" s="284" t="n"/>
      <c r="AJ134" s="284" t="n"/>
      <c r="AK134" s="284" t="n"/>
      <c r="AL134" s="284" t="n"/>
      <c r="AM134" s="284" t="n"/>
      <c r="AN134" s="284" t="n"/>
      <c r="AO134" s="284" t="n"/>
      <c r="AP134" s="284" t="n"/>
      <c r="AQ134" s="284" t="n"/>
      <c r="AR134" s="284" t="n"/>
      <c r="AS134" s="284" t="n"/>
    </row>
    <row r="135">
      <c r="A135" s="99" t="n">
        <v>6</v>
      </c>
      <c r="B135" s="100" t="inlineStr">
        <is>
          <t>Layanan Keterlantaran dan Disabilitas</t>
        </is>
      </c>
      <c r="C135" t="inlineStr">
        <is>
          <t>DINSOS</t>
        </is>
      </c>
      <c r="D135" s="100" t="inlineStr">
        <is>
          <t>Layanan Keterlantaran dan Disabilitas adalah rangkaian pelayanan sosial yang diselenggarakan oleh pemerintah atau lembaga pelayanan sosial untuk memberikan perlindungan, pemenuhan kebutuhan dasar, rehabilitasi sosial, serta pemberdayaan kepada individu atau kelompok masyarakat yang mengalami kondisi keterlantaran dan/atau penyandang disabilitas, guna meningkatkan kesejahteraan sosial, kemandirian, serta fungsi sosialnya dalam kehidupan bermasyarakat.</t>
        </is>
      </c>
      <c r="E135" s="100" t="inlineStr">
        <is>
          <t>- Undang-Undang RI Nomor 35 Tahun 2014 tentang Perlindungan Anak
 - Undang- Undang RI Nomor 18 Tahun 2016 Tentang Penyandang Disabilitas
 - Permensos RI Nomor 25 Tahun 2012 tentang Standar Rehabilitasi Sosial Penyandang Disabilitas oleh Lembaga di Bidang Kesejahteraan Sosial
 - Permensos RI Nomor 5 Tahun 2018 tentang Standar Nasional Rehabilitasi Sosial Lanjut Usia
 - Peraturan Menteri Sosial Nomor 9 Tahun 2018 tentang Standar Teknis Pelayanan Dasar pada Standar Pelayanan Minimal Bidang Sosial di Daerah Provinsi dan di Daerah Kabupaten/ Kota</t>
        </is>
      </c>
      <c r="F135" s="70" t="inlineStr">
        <is>
          <t>https://drive.google.com/file/d/1Ramy4vxff2nlZwmQYryTo4j9HIjXgRt2/view?usp=sharing</t>
        </is>
      </c>
      <c r="G135" s="102" t="inlineStr">
        <is>
          <t>PENYELENGGARAAN REHABILITAS SOSIAL</t>
        </is>
      </c>
      <c r="H135" s="102" t="inlineStr">
        <is>
          <t>Masyarakat</t>
        </is>
      </c>
      <c r="I135" s="102" t="inlineStr">
        <is>
          <t>Data Diri Klien</t>
        </is>
      </c>
      <c r="J135" s="100" t="inlineStr">
        <is>
          <t>Surat Pengantar dan Proses Reunifikasi</t>
        </is>
      </c>
      <c r="K135" s="102" t="inlineStr">
        <is>
          <t>Tertutup</t>
        </is>
      </c>
      <c r="L135" s="102" t="inlineStr">
        <is>
          <t>Terdapat</t>
        </is>
      </c>
      <c r="M135" s="102" t="inlineStr">
        <is>
          <t>Tahunan</t>
        </is>
      </c>
      <c r="N135" s="286" t="n"/>
      <c r="O135" s="286" t="n"/>
      <c r="P135" s="286" t="n"/>
      <c r="Q135" s="286" t="n"/>
      <c r="R135" s="286" t="n"/>
      <c r="S135" s="102" t="inlineStr">
        <is>
          <t>Secara Offline</t>
        </is>
      </c>
      <c r="T135" s="286" t="n"/>
      <c r="U135" s="286" t="n"/>
      <c r="V135" s="286" t="n"/>
      <c r="W135" s="286" t="n"/>
      <c r="X135" s="286" t="n"/>
      <c r="Y135" s="286" t="n"/>
      <c r="Z135" s="286" t="n"/>
      <c r="AA135" s="184" t="inlineStr">
        <is>
          <t>Bidang Rehabilitasi Sosial</t>
        </is>
      </c>
      <c r="AB135" s="184" t="inlineStr">
        <is>
          <t>Dinsos</t>
        </is>
      </c>
      <c r="AC135" s="178" t="inlineStr">
        <is>
          <t>Dedik Dwi Marika, S.Sos</t>
        </is>
      </c>
      <c r="AD135" s="178" t="n">
        <v>81298832008</v>
      </c>
      <c r="AE135" s="178" t="inlineStr">
        <is>
          <t>programdinsoskabbdg@gmail.com</t>
        </is>
      </c>
      <c r="AF135" s="77" t="n">
        <v>10</v>
      </c>
      <c r="AG135" s="68" t="inlineStr">
        <is>
          <t>Insidentil</t>
        </is>
      </c>
      <c r="AH135" s="284" t="n"/>
      <c r="AI135" s="284" t="n"/>
      <c r="AJ135" s="284" t="n"/>
      <c r="AK135" s="284" t="n"/>
      <c r="AL135" s="284" t="n"/>
      <c r="AM135" s="284" t="n"/>
      <c r="AN135" s="284" t="n"/>
      <c r="AO135" s="284" t="n"/>
      <c r="AP135" s="284" t="n"/>
      <c r="AQ135" s="284" t="n"/>
      <c r="AR135" s="284" t="n"/>
      <c r="AS135" s="284" t="n"/>
    </row>
    <row r="136">
      <c r="A136" s="99" t="n">
        <v>7</v>
      </c>
      <c r="B136" s="100" t="inlineStr">
        <is>
          <t>Layanan Tuna Sosial</t>
        </is>
      </c>
      <c r="C136" t="inlineStr">
        <is>
          <t>DINSOS</t>
        </is>
      </c>
      <c r="D136" s="100" t="inlineStr">
        <is>
          <t>Layanan Tuna Sosial adalah rangkaian pelayanan kesejahteraan sosial yang diberikan kepada individu atau kelompok masyarakat yang mengalami hambatan fungsi sosial akibat perilaku sosial menyimpang, kerentanan sosial, atau kondisi sosial tertentu sehingga memerlukan pembinaan, rehabilitasi sosial, perlindungan, dan pemberdayaan agar mampu kembali melaksanakan fungsi sosialnya secara wajar dalam kehidupan bermasyarakat.</t>
        </is>
      </c>
      <c r="E136" s="100" t="inlineStr">
        <is>
          <t>Peraturan Menteri Sosial Nomor 9 Tahun 2018 tentang Standar Teknis Pelayanan Dasar pada Standar Pelayanan Minimal Bidang Sosial di Daerah Provinsi dan di Daerah Kabupaten/ Kota</t>
        </is>
      </c>
      <c r="F136" s="70" t="inlineStr">
        <is>
          <t>https://drive.google.com/file/d/1Ramy4vxff2nlZwmQYryTo4j9HIjXgRt2/view?usp=sharing</t>
        </is>
      </c>
      <c r="G136" s="102" t="inlineStr">
        <is>
          <t>PENYELENGGARAAN REHABILITAS SOSIAL</t>
        </is>
      </c>
      <c r="H136" s="102" t="inlineStr">
        <is>
          <t>Masyarakat</t>
        </is>
      </c>
      <c r="I136" s="102" t="inlineStr">
        <is>
          <t>Data Diri Klien</t>
        </is>
      </c>
      <c r="J136" s="100" t="inlineStr">
        <is>
          <t>Pelayanan konsultasi dari Tim Pekerja Sosial bagi korban tindak kekerasan dan pendampingan keluarga</t>
        </is>
      </c>
      <c r="K136" s="102" t="inlineStr">
        <is>
          <t>Tertutup</t>
        </is>
      </c>
      <c r="L136" s="102" t="inlineStr">
        <is>
          <t>Terdapat</t>
        </is>
      </c>
      <c r="M136" s="102" t="inlineStr">
        <is>
          <t>Tahunan</t>
        </is>
      </c>
      <c r="N136" s="286" t="n"/>
      <c r="O136" s="286" t="n"/>
      <c r="P136" s="286" t="n"/>
      <c r="Q136" s="286" t="n"/>
      <c r="R136" s="286" t="n"/>
      <c r="S136" s="102" t="inlineStr">
        <is>
          <t>Secara Offline</t>
        </is>
      </c>
      <c r="T136" s="286" t="n"/>
      <c r="U136" s="286" t="n"/>
      <c r="V136" s="286" t="n"/>
      <c r="W136" s="286" t="n"/>
      <c r="X136" s="286" t="n"/>
      <c r="Y136" s="286" t="n"/>
      <c r="Z136" s="286" t="n"/>
      <c r="AA136" s="184" t="inlineStr">
        <is>
          <t>Bidang Rehabilitasi Sosial</t>
        </is>
      </c>
      <c r="AB136" s="184" t="inlineStr">
        <is>
          <t>Dinsos</t>
        </is>
      </c>
      <c r="AC136" s="178" t="inlineStr">
        <is>
          <t>Imam Soewardi, S.Sos</t>
        </is>
      </c>
      <c r="AD136" s="178" t="n">
        <v>81220580948</v>
      </c>
      <c r="AE136" s="178" t="inlineStr">
        <is>
          <t>programdinsoskabbdg@gmail.com</t>
        </is>
      </c>
      <c r="AF136" s="77" t="n">
        <v>10</v>
      </c>
      <c r="AG136" s="68" t="inlineStr">
        <is>
          <t>Insidentil</t>
        </is>
      </c>
      <c r="AH136" s="284" t="n"/>
      <c r="AI136" s="284" t="n"/>
      <c r="AJ136" s="284" t="n"/>
      <c r="AK136" s="284" t="n"/>
      <c r="AL136" s="284" t="n"/>
      <c r="AM136" s="284" t="n"/>
      <c r="AN136" s="284" t="n"/>
      <c r="AO136" s="284" t="n"/>
      <c r="AP136" s="284" t="n"/>
      <c r="AQ136" s="284" t="n"/>
      <c r="AR136" s="284" t="n"/>
      <c r="AS136" s="284" t="n"/>
    </row>
    <row r="137">
      <c r="A137" s="99" t="n">
        <v>8</v>
      </c>
      <c r="B137" s="100" t="inlineStr">
        <is>
          <t>Rekomendasi Pengumpulan Uang dan Barang (PUB)</t>
        </is>
      </c>
      <c r="C137" t="inlineStr">
        <is>
          <t>DINSOS</t>
        </is>
      </c>
      <c r="D137" s="100" t="inlineStr">
        <is>
          <t>Rekomendasi Pengumpulan Uang dan Barang (PUB) adalah dokumen atau surat keterangan resmi yang diterbitkan oleh instansi pemerintah yang berwenang, khususnya Dinas Sosial, sebagai bentuk persetujuan dan pertimbangan administratif terhadap permohonan kegiatan pengumpulan uang dan/atau barang dari masyarakat yang dilakukan oleh individu, lembaga, atau organisasi untuk tujuan sosial, kemanusiaan, keagamaan, atau kesejahteraan sosial sesuai dengan ketentuan peraturan perundang-undangan.</t>
        </is>
      </c>
      <c r="E137" s="100" t="inlineStr">
        <is>
          <t>- Undang-Undang Nomor 9 Tahun 1961 tentang Pengumpulan Uang atau Barang
 - Undang-undang Nomor 28 Tahun 2004 tentang Perubahan atas Undang undang RI Nomor 16 Tahun 2001 tentang Yayasan
 - Peraturan Pemerintah Nomor 29 Tahun 1980 tentang Pelaksanaan Pengumpulan Uang atau Barang
 - Peraturan Menteri Sosial Nomor 8 Tahun 2021 tentang Pengumpulan Uang atau Barang</t>
        </is>
      </c>
      <c r="F137" s="70" t="inlineStr">
        <is>
          <t>https://drive.google.com/file/d/1Ramy4vxff2nlZwmQYryTo4j9HIjXgRt2/view?usp=sharing</t>
        </is>
      </c>
      <c r="G137" s="102" t="inlineStr">
        <is>
          <t>PENYELENGGARAAN PEMBERDAYAAN SOSIAL</t>
        </is>
      </c>
      <c r="H137" s="102" t="inlineStr">
        <is>
          <t>Masyarakat</t>
        </is>
      </c>
      <c r="I137" s="102" t="inlineStr">
        <is>
          <t>Data Lembaga Kesejahteraan Sosial</t>
        </is>
      </c>
      <c r="J137" s="100" t="inlineStr">
        <is>
          <t>Surat Rekomendasi/Pengantar Pengumpulan Uang dan Barang</t>
        </is>
      </c>
      <c r="K137" s="102" t="inlineStr">
        <is>
          <t>Tertutup</t>
        </is>
      </c>
      <c r="L137" s="102" t="inlineStr">
        <is>
          <t>Terdapat</t>
        </is>
      </c>
      <c r="M137" s="102" t="inlineStr">
        <is>
          <t>Tahunan</t>
        </is>
      </c>
      <c r="N137" s="286" t="n"/>
      <c r="O137" s="286" t="n"/>
      <c r="P137" s="286" t="n"/>
      <c r="Q137" s="286" t="n"/>
      <c r="R137" s="286" t="n"/>
      <c r="S137" s="102" t="inlineStr">
        <is>
          <t>Secara Offline</t>
        </is>
      </c>
      <c r="T137" s="286" t="n"/>
      <c r="U137" s="286" t="n"/>
      <c r="V137" s="286" t="n"/>
      <c r="W137" s="286" t="n"/>
      <c r="X137" s="286" t="n"/>
      <c r="Y137" s="286" t="n"/>
      <c r="Z137" s="286" t="n"/>
      <c r="AA137" s="184" t="inlineStr">
        <is>
          <t>Bidang Pemberdayaan Sosial</t>
        </is>
      </c>
      <c r="AB137" s="184" t="inlineStr">
        <is>
          <t>Dinsos</t>
        </is>
      </c>
      <c r="AC137" s="70" t="inlineStr">
        <is>
          <t>Sri Soviyani, S.ST</t>
        </is>
      </c>
      <c r="AD137" s="178" t="n">
        <v>81221019185</v>
      </c>
      <c r="AE137" s="178" t="inlineStr">
        <is>
          <t>programdinsoskabbdg@gmail.com</t>
        </is>
      </c>
      <c r="AF137" s="77" t="n">
        <v>10</v>
      </c>
      <c r="AG137" s="68" t="inlineStr">
        <is>
          <t>Insidentil</t>
        </is>
      </c>
      <c r="AH137" s="284" t="n"/>
      <c r="AI137" s="284" t="n"/>
      <c r="AJ137" s="284" t="n"/>
      <c r="AK137" s="284" t="n"/>
      <c r="AL137" s="284" t="n"/>
      <c r="AM137" s="284" t="n"/>
      <c r="AN137" s="284" t="n"/>
      <c r="AO137" s="284" t="n"/>
      <c r="AP137" s="284" t="n"/>
      <c r="AQ137" s="284" t="n"/>
      <c r="AR137" s="284" t="n"/>
      <c r="AS137" s="284" t="n"/>
    </row>
    <row r="138">
      <c r="A138" s="99" t="n">
        <v>9</v>
      </c>
      <c r="B138" s="140" t="inlineStr">
        <is>
          <t>Layanan Bantuan Sosial Kebutuhan Logistik Bencana</t>
        </is>
      </c>
      <c r="C138" t="inlineStr">
        <is>
          <t>DINSOS</t>
        </is>
      </c>
      <c r="D138" s="100" t="inlineStr">
        <is>
          <t>Layanan Bantuan Sosial Kebutuhan Logistik Bencana adalah bentuk pelayanan sosial yang diberikan oleh pemerintah kepada masyarakat terdampak bencana melalui penyediaan dan penyaluran bantuan kebutuhan dasar berupa logistik secara cepat, tepat sasaran, dan terkoordinasi guna memenuhi kebutuhan hidup dasar korban bencana serta mengurangi risiko kerentanan sosial selama masa tanggap darurat dan pemulihan awal.</t>
        </is>
      </c>
      <c r="E138" s="100" t="inlineStr">
        <is>
          <t>Peraturan Menteri Sosial Nomor 9 Tahun 2018 tentang Standar Teknis Pelayanan Dasar pada Standar Pelayanan Minimal Bidang Sosial di Daerah Provinsi dan di Daerah Kabupaten/ Kota</t>
        </is>
      </c>
      <c r="F138" s="70" t="inlineStr">
        <is>
          <t>https://drive.google.com/file/d/1Ramy4vxff2nlZwmQYryTo4j9HIjXgRt2/view?usp=sharing</t>
        </is>
      </c>
      <c r="G138" s="102" t="inlineStr">
        <is>
          <t>PENYELENGGARAAN PERLINDUNGAN SOSIAL</t>
        </is>
      </c>
      <c r="H138" s="102" t="inlineStr">
        <is>
          <t>Masyarakat</t>
        </is>
      </c>
      <c r="I138" s="102" t="inlineStr">
        <is>
          <t>Data Diri Korban Bencana Alam dan Sosial</t>
        </is>
      </c>
      <c r="J138" s="100" t="inlineStr">
        <is>
          <t>Bantuan Logistik untuk Korban Bencana &amp; Berita Acara Serah Terima (BAST)</t>
        </is>
      </c>
      <c r="K138" s="102" t="inlineStr">
        <is>
          <t>Tertutup</t>
        </is>
      </c>
      <c r="L138" s="102" t="inlineStr">
        <is>
          <t>Terdapat</t>
        </is>
      </c>
      <c r="M138" s="102" t="inlineStr">
        <is>
          <t>Tahunan</t>
        </is>
      </c>
      <c r="N138" s="286" t="n"/>
      <c r="O138" s="286" t="n"/>
      <c r="P138" s="286" t="n"/>
      <c r="Q138" s="286" t="n"/>
      <c r="R138" s="286" t="n"/>
      <c r="S138" s="102" t="inlineStr">
        <is>
          <t>Secara Offline</t>
        </is>
      </c>
      <c r="T138" s="286" t="n"/>
      <c r="U138" s="286" t="n"/>
      <c r="V138" s="286" t="n"/>
      <c r="W138" s="286" t="n"/>
      <c r="X138" s="286" t="n"/>
      <c r="Y138" s="286" t="n"/>
      <c r="Z138" s="286" t="n"/>
      <c r="AA138" s="184" t="inlineStr">
        <is>
          <t>Bidang Penanganan Bencana</t>
        </is>
      </c>
      <c r="AB138" s="184" t="inlineStr">
        <is>
          <t>Dinsos</t>
        </is>
      </c>
      <c r="AC138" s="178" t="inlineStr">
        <is>
          <t>Herminingsih, S.Pd</t>
        </is>
      </c>
      <c r="AD138" s="178" t="n">
        <v>81394252300</v>
      </c>
      <c r="AE138" s="178" t="inlineStr">
        <is>
          <t>programdinsoskabbdg@gmail.com</t>
        </is>
      </c>
      <c r="AF138" s="77" t="n">
        <v>10</v>
      </c>
      <c r="AG138" s="68" t="inlineStr">
        <is>
          <t>Insidentil</t>
        </is>
      </c>
      <c r="AH138" s="284" t="n"/>
      <c r="AI138" s="284" t="n"/>
      <c r="AJ138" s="284" t="n"/>
      <c r="AK138" s="284" t="n"/>
      <c r="AL138" s="284" t="n"/>
      <c r="AM138" s="284" t="n"/>
      <c r="AN138" s="284" t="n"/>
      <c r="AO138" s="284" t="n"/>
      <c r="AP138" s="284" t="n"/>
      <c r="AQ138" s="284" t="n"/>
      <c r="AR138" s="284" t="n"/>
      <c r="AS138" s="284" t="n"/>
    </row>
    <row r="139">
      <c r="A139" s="71" t="inlineStr">
        <is>
          <t>DISNAKER</t>
        </is>
      </c>
      <c r="B139" s="58" t="n"/>
      <c r="D139" s="58" t="n"/>
      <c r="E139" s="58" t="n"/>
      <c r="F139" s="58" t="n"/>
      <c r="G139" s="58" t="n"/>
      <c r="H139" s="58" t="n"/>
      <c r="I139" s="58" t="n"/>
      <c r="J139" s="58" t="n"/>
      <c r="K139" s="58" t="n"/>
      <c r="L139" s="58" t="n"/>
      <c r="M139" s="58" t="n"/>
      <c r="N139" s="58" t="n"/>
      <c r="O139" s="58" t="n"/>
      <c r="P139" s="58" t="n"/>
      <c r="Q139" s="58" t="n"/>
      <c r="R139" s="58" t="n"/>
      <c r="S139" s="58" t="n"/>
      <c r="T139" s="58" t="n"/>
      <c r="U139" s="58" t="n"/>
      <c r="V139" s="58" t="n"/>
      <c r="W139" s="58" t="n"/>
      <c r="X139" s="58" t="n"/>
      <c r="Y139" s="58" t="n"/>
      <c r="Z139" s="58" t="n"/>
      <c r="AA139" s="58" t="n"/>
      <c r="AB139" s="58" t="n"/>
      <c r="AC139" s="58" t="n"/>
      <c r="AD139" s="58" t="n"/>
      <c r="AE139" s="58" t="n"/>
      <c r="AF139" s="200" t="n"/>
      <c r="AG139" s="200" t="n"/>
      <c r="AH139" s="284" t="n"/>
      <c r="AI139" s="284" t="n"/>
      <c r="AJ139" s="284" t="n"/>
      <c r="AK139" s="284" t="n"/>
      <c r="AL139" s="284" t="n"/>
      <c r="AM139" s="284" t="n"/>
      <c r="AN139" s="284" t="n"/>
      <c r="AO139" s="284" t="n"/>
      <c r="AP139" s="284" t="n"/>
      <c r="AQ139" s="284" t="n"/>
      <c r="AR139" s="284" t="n"/>
      <c r="AS139" s="284" t="n"/>
    </row>
    <row r="140">
      <c r="A140" s="182" t="n">
        <v>1</v>
      </c>
      <c r="B140" s="178" t="inlineStr">
        <is>
          <t>Layanan AK1</t>
        </is>
      </c>
      <c r="C140" t="inlineStr">
        <is>
          <t>DISNAKER</t>
        </is>
      </c>
      <c r="D140" s="178" t="inlineStr">
        <is>
          <t>Layanan AK1: Meningkatkan akses dan pelayanan terkait Ketenagakerjaan untuk mendukung keberlanjutan karir pekerja.</t>
        </is>
      </c>
      <c r="E140" s="178" t="inlineStr">
        <is>
          <t>Permenaker 18 Tahun 2024 tentang Penempatan Tenaga Kerja Dalam Negeri</t>
        </is>
      </c>
      <c r="F140" s="70" t="inlineStr">
        <is>
          <t>https://drive.google.com/drive/folders/1Uinu-ZgkI_8xZeYLw7yaEW1HRhG7prDv?usp=drive_link</t>
        </is>
      </c>
      <c r="G140" s="184" t="inlineStr">
        <is>
          <t>PENINGKATAN KUALITAS PELAYANAN PUBLIK</t>
        </is>
      </c>
      <c r="H140" s="184" t="inlineStr">
        <is>
          <t>Masyarakat</t>
        </is>
      </c>
      <c r="I140" s="184" t="inlineStr">
        <is>
          <t>Data Pencari Kerja</t>
        </is>
      </c>
      <c r="J140" s="178" t="inlineStr">
        <is>
          <t>Kartu AK 1</t>
        </is>
      </c>
      <c r="K140" s="184" t="inlineStr">
        <is>
          <t>Terbuka</t>
        </is>
      </c>
      <c r="L140" s="184" t="inlineStr">
        <is>
          <t>Terdapat</t>
        </is>
      </c>
      <c r="M140" s="184" t="inlineStr">
        <is>
          <t>Harian</t>
        </is>
      </c>
      <c r="N140" s="97" t="inlineStr">
        <is>
          <t>SIAP KERJA</t>
        </is>
      </c>
      <c r="O140" s="184" t="inlineStr">
        <is>
          <t>Pusat</t>
        </is>
      </c>
      <c r="P140" s="184" t="inlineStr">
        <is>
          <t>Pusat</t>
        </is>
      </c>
      <c r="Q140" s="184" t="inlineStr">
        <is>
          <t>Website dan Mobile</t>
        </is>
      </c>
      <c r="R140" s="70" t="inlineStr">
        <is>
          <t>siapkerja.kemnaker.go.id</t>
        </is>
      </c>
      <c r="S140" s="184" t="inlineStr">
        <is>
          <t>Secara Online</t>
        </is>
      </c>
      <c r="T140" s="184" t="inlineStr">
        <is>
          <t>Transaksi</t>
        </is>
      </c>
      <c r="U140" s="184" t="n">
        <v>2023</v>
      </c>
      <c r="V140" s="184" t="inlineStr">
        <is>
          <t>Aktif</t>
        </is>
      </c>
      <c r="W140" s="184" t="inlineStr">
        <is>
          <t>Tidak</t>
        </is>
      </c>
      <c r="X140" s="131" t="inlineStr">
        <is>
          <t>https://dashnaker.bandungkab.go.id/login</t>
        </is>
      </c>
      <c r="Y140" s="184" t="inlineStr">
        <is>
          <t>Database to Database</t>
        </is>
      </c>
      <c r="Z140" s="184" t="inlineStr">
        <is>
          <t>Harian</t>
        </is>
      </c>
      <c r="AA140" s="184" t="inlineStr">
        <is>
          <t>Bidang Penempatan Tenaga Kerja</t>
        </is>
      </c>
      <c r="AB140" s="184" t="inlineStr">
        <is>
          <t>Disnaker</t>
        </is>
      </c>
      <c r="AC140" s="178" t="inlineStr">
        <is>
          <t>Panji Subakti</t>
        </is>
      </c>
      <c r="AD140" s="178" t="n">
        <v>85759713013</v>
      </c>
      <c r="AE140" s="178" t="inlineStr">
        <is>
          <t>bidangpenempatan04@gmail.com</t>
        </is>
      </c>
      <c r="AF140" s="68" t="n">
        <v>28</v>
      </c>
      <c r="AG140" s="68" t="inlineStr">
        <is>
          <t>Harian</t>
        </is>
      </c>
      <c r="AH140" s="216" t="inlineStr">
        <is>
          <t>masyarakat</t>
        </is>
      </c>
      <c r="AI140" s="92" t="n"/>
      <c r="AJ140" s="92" t="n"/>
      <c r="AK140" s="92" t="n"/>
      <c r="AL140" s="92" t="n"/>
      <c r="AM140" s="92" t="n"/>
      <c r="AN140" s="92" t="n"/>
      <c r="AO140" s="92" t="n"/>
      <c r="AP140" s="92" t="n"/>
      <c r="AQ140" s="92" t="n"/>
      <c r="AR140" s="92" t="n"/>
      <c r="AS140" s="284" t="n"/>
    </row>
    <row r="141">
      <c r="A141" s="182" t="n">
        <v>3</v>
      </c>
      <c r="B141" s="178" t="inlineStr">
        <is>
          <t>Layanan Informasi Lowongan Pekerjaan</t>
        </is>
      </c>
      <c r="C141" t="inlineStr">
        <is>
          <t>DISNAKER</t>
        </is>
      </c>
      <c r="D141" s="178" t="inlineStr">
        <is>
          <t>Layanan Informasi Lowongan Pekerjaan: Memberikan informasi terkini mengenai peluang pekerjaan untuk membantu pengangguran atau pencari kerja.</t>
        </is>
      </c>
      <c r="E141" s="178" t="inlineStr">
        <is>
          <t>Undang-Undang Nomor 13 Tahun 2003 tentang Ketenagakerjaan Pasal 31 s.d. 34 Pemerintah bertanggung jawab menyediakan informasi pasar kerja serta bursa kerja untuk masyarakat, Undang-Undang Nomor 25 Tahun 2009 tentang Pelayanan Publik, Mengatur kewajiban instansi pemerintah dalam memberikan pelayanan publik yang cepat, tepat, transparan, dan akuntabel, termasuk layanan informasi lowongan kerja</t>
        </is>
      </c>
      <c r="F141" s="178" t="inlineStr">
        <is>
          <t>Belum tersedia</t>
        </is>
      </c>
      <c r="G141" s="184" t="inlineStr">
        <is>
          <t>PENINGKATAN KUALITAS PELAYANAN PUBLIK</t>
        </is>
      </c>
      <c r="H141" s="184" t="inlineStr">
        <is>
          <t>Pelaku Bisnis, Masyarakat</t>
        </is>
      </c>
      <c r="I141" s="184" t="inlineStr">
        <is>
          <t>Data Informasi Lowongan Kerja</t>
        </is>
      </c>
      <c r="J141" s="178" t="inlineStr">
        <is>
          <t>Data Lowongan Kerja, Data penempatan</t>
        </is>
      </c>
      <c r="K141" s="184" t="inlineStr">
        <is>
          <t>Terbuka</t>
        </is>
      </c>
      <c r="L141" s="184" t="inlineStr">
        <is>
          <t>Terdapat</t>
        </is>
      </c>
      <c r="M141" s="184" t="inlineStr">
        <is>
          <t>Harian</t>
        </is>
      </c>
      <c r="N141" s="97" t="inlineStr">
        <is>
          <t>Dashnaker Plus</t>
        </is>
      </c>
      <c r="O141" s="184" t="inlineStr">
        <is>
          <t>Diskominfo</t>
        </is>
      </c>
      <c r="P141" s="184" t="inlineStr">
        <is>
          <t>Kab. Bandung</t>
        </is>
      </c>
      <c r="Q141" s="184" t="inlineStr">
        <is>
          <t>Website</t>
        </is>
      </c>
      <c r="R141" s="70" t="inlineStr">
        <is>
          <t>https://dashnaker.bandungkab.go.id/login</t>
        </is>
      </c>
      <c r="S141" s="184" t="inlineStr">
        <is>
          <t>Secara Online</t>
        </is>
      </c>
      <c r="T141" s="184" t="inlineStr">
        <is>
          <t>Informasi</t>
        </is>
      </c>
      <c r="U141" s="184" t="n">
        <v>2021</v>
      </c>
      <c r="V141" s="184" t="inlineStr">
        <is>
          <t>Aktif</t>
        </is>
      </c>
      <c r="W141" s="184" t="inlineStr">
        <is>
          <t>Ya</t>
        </is>
      </c>
      <c r="X141" s="131" t="inlineStr">
        <is>
          <t>http://siapkerja.kemnaker.go.id/</t>
        </is>
      </c>
      <c r="Y141" s="184" t="inlineStr">
        <is>
          <t>Database to Database</t>
        </is>
      </c>
      <c r="Z141" s="184" t="inlineStr">
        <is>
          <t>Harian</t>
        </is>
      </c>
      <c r="AA141" s="184" t="inlineStr">
        <is>
          <t>Bidang Perencanaan Tenaga Kerja dan Informasi Pasar Kerja</t>
        </is>
      </c>
      <c r="AB141" s="184" t="inlineStr">
        <is>
          <t>Disnaker</t>
        </is>
      </c>
      <c r="AC141" s="178" t="inlineStr">
        <is>
          <t>Yogie Noor Hidayat, S.I.Kom</t>
        </is>
      </c>
      <c r="AD141" s="178" t="n">
        <v>81809627007</v>
      </c>
      <c r="AE141" s="178" t="inlineStr">
        <is>
          <t>bidjamsosdisnaker@gmail.com</t>
        </is>
      </c>
      <c r="AF141" s="68" t="n">
        <v>28</v>
      </c>
      <c r="AG141" s="68" t="inlineStr">
        <is>
          <t>Harian</t>
        </is>
      </c>
      <c r="AH141" s="216" t="inlineStr">
        <is>
          <t>masyarakat dan perushaan</t>
        </is>
      </c>
      <c r="AJ141" s="92" t="n"/>
      <c r="AK141" s="92" t="n"/>
      <c r="AL141" s="92" t="n"/>
      <c r="AM141" s="92" t="n"/>
      <c r="AN141" s="92" t="n"/>
      <c r="AO141" s="92" t="n"/>
      <c r="AP141" s="92" t="n"/>
      <c r="AQ141" s="92" t="n"/>
      <c r="AR141" s="92" t="n"/>
      <c r="AS141" s="284" t="n"/>
    </row>
    <row r="142">
      <c r="A142" s="124" t="n">
        <v>5</v>
      </c>
      <c r="B142" s="125" t="inlineStr">
        <is>
          <t>Layanan Pengajuan dan Registrasi Transmigrasi</t>
        </is>
      </c>
      <c r="C142" t="inlineStr">
        <is>
          <t>DISNAKER</t>
        </is>
      </c>
      <c r="D142" s="125" t="inlineStr">
        <is>
          <t>Layanan Pengajuan dan Registrasi Transmigrasi: Memfasilitasi proses pendaftaran dan registrasi bagi individu yang ingin mengikuti program transmigrasi.</t>
        </is>
      </c>
      <c r="E142" s="125" t="inlineStr">
        <is>
          <t>Undang-Undang Nomor 29 Tahun 2009 tentang Perubahan atas UU No. 15 Tahun 1997 tentang Ketransmigrasian.
 Peraturan Pemerintah Nomor 3 Tahun 2014 tentang Pelaksanaan UU No. 15 Tahun 1997 tentang Ketransmigrasian.
 Peraturan Menteri Tenaga Kerja dan Transmigrasi Nomor 25 Tahun 2009 tentang Tingkat Perkembangan Permukiman Transmigrasi dan Kesejahteraan Transmigran.
 Peraturan Menteri Tenaga Kerja dan Transmigrasi Nomor 9 Tahun 2012 tentang Pedoman Pengelolaan Data dan Informasi Ketransmigrasian.</t>
        </is>
      </c>
      <c r="F142" s="125" t="inlineStr">
        <is>
          <t>Belum tersedia</t>
        </is>
      </c>
      <c r="G142" s="128" t="inlineStr">
        <is>
          <t>PENINGKATAN KUALITAS PELAYANAN PUBLIK</t>
        </is>
      </c>
      <c r="H142" s="128" t="inlineStr">
        <is>
          <t>Masyarakat</t>
        </is>
      </c>
      <c r="I142" s="128" t="inlineStr">
        <is>
          <t>Data Pemohon</t>
        </is>
      </c>
      <c r="J142" s="125" t="inlineStr">
        <is>
          <t>Data Animo</t>
        </is>
      </c>
      <c r="K142" s="128" t="inlineStr">
        <is>
          <t>Terbuka</t>
        </is>
      </c>
      <c r="L142" s="128" t="inlineStr">
        <is>
          <t>Terdapat</t>
        </is>
      </c>
      <c r="M142" s="128" t="inlineStr">
        <is>
          <t>Harian</t>
        </is>
      </c>
      <c r="N142" s="97" t="inlineStr">
        <is>
          <t>SIBARDUKTRANS</t>
        </is>
      </c>
      <c r="O142" s="128" t="inlineStr">
        <is>
          <t>Pusat</t>
        </is>
      </c>
      <c r="P142" s="128" t="inlineStr">
        <is>
          <t>Pusat</t>
        </is>
      </c>
      <c r="Q142" s="128" t="inlineStr">
        <is>
          <t>Website</t>
        </is>
      </c>
      <c r="R142" s="70" t="inlineStr">
        <is>
          <t>sibarduktrans.transmigrasi.go.id</t>
        </is>
      </c>
      <c r="S142" s="128" t="inlineStr">
        <is>
          <t>Secara Online</t>
        </is>
      </c>
      <c r="T142" s="128" t="inlineStr">
        <is>
          <t>Informasi</t>
        </is>
      </c>
      <c r="U142" s="128" t="n">
        <v>2024</v>
      </c>
      <c r="V142" s="128" t="inlineStr">
        <is>
          <t>Aktif</t>
        </is>
      </c>
      <c r="W142" s="128" t="inlineStr">
        <is>
          <t>Tidak</t>
        </is>
      </c>
      <c r="X142" s="128" t="inlineStr">
        <is>
          <t>Tidak Terintegrasi</t>
        </is>
      </c>
      <c r="Y142" s="128" t="inlineStr">
        <is>
          <t>Tidak Terintegrasi</t>
        </is>
      </c>
      <c r="Z142" s="128" t="inlineStr">
        <is>
          <t>Tidak Terintegrasi</t>
        </is>
      </c>
      <c r="AA142" s="128" t="inlineStr">
        <is>
          <t>Bidang Penempatan Tenagga Kerja</t>
        </is>
      </c>
      <c r="AB142" s="128" t="inlineStr">
        <is>
          <t>Disnaker</t>
        </is>
      </c>
      <c r="AC142" s="125" t="inlineStr">
        <is>
          <t>Jana Silniodi</t>
        </is>
      </c>
      <c r="AD142" s="125" t="n">
        <v>8122423955</v>
      </c>
      <c r="AE142" s="125" t="inlineStr">
        <is>
          <t>bidangpenempatan04@gmail.com</t>
        </is>
      </c>
      <c r="AF142" s="141" t="n">
        <v>28</v>
      </c>
      <c r="AG142" s="141" t="inlineStr">
        <is>
          <t>Harian</t>
        </is>
      </c>
      <c r="AH142" s="129" t="n"/>
      <c r="AI142" s="129" t="n"/>
      <c r="AJ142" s="129" t="n"/>
      <c r="AK142" s="129" t="n"/>
      <c r="AL142" s="129" t="n"/>
      <c r="AM142" s="129" t="n"/>
      <c r="AN142" s="129" t="n"/>
      <c r="AO142" s="129" t="n"/>
      <c r="AP142" s="129" t="n"/>
      <c r="AQ142" s="129" t="n"/>
      <c r="AR142" s="129" t="n"/>
      <c r="AS142" s="284" t="n"/>
    </row>
    <row r="143">
      <c r="A143" s="182" t="n">
        <v>9</v>
      </c>
      <c r="B143" s="178" t="inlineStr">
        <is>
          <t>Layanan Aduan Perselisihan Perusahaan</t>
        </is>
      </c>
      <c r="C143" t="inlineStr">
        <is>
          <t>DISNAKER</t>
        </is>
      </c>
      <c r="D143" s="178" t="inlineStr">
        <is>
          <t>Layanan Aduan Perselisihan Perusahaan: Menyediakan saluran untuk penyelesaian konflik antara pekerja dan perusahaan.</t>
        </is>
      </c>
      <c r="E143" s="178" t="inlineStr">
        <is>
          <t>Undang-Undang Nomor 2 Tahun 2004 tentang Penyelesaian Perselisihan Hubungan Industrial jo. Permenaker No 17 tentang Pengangkatan &amp; Pemberhentian Mediator Hubungan Industrial dan Tata Kerja Mediasi jo. Peraturan Bupati Bandung Nomor Tahun 2023 tentang Tugas, Fungsi dan Tata Kerja Dinas Ketenagakerjaan jo. Peraturan Bupati Nomor 16 Tahun 2025 tentang Perubahan Atas Peraturan Bupati Bandung Nomor 91 Tahun 2023 tentang Tugas, Fungsi dan Tata Kerja Dinas Ketenagakerjaan</t>
        </is>
      </c>
      <c r="F143" s="70" t="inlineStr">
        <is>
          <t>https://drive.google.com/file/d/1RN-b5_l9kJj-scl7TBdLekEgqnmJB0Ym/view?usp=drive_link</t>
        </is>
      </c>
      <c r="G143" s="184" t="inlineStr">
        <is>
          <t>PENINGKATAN KUALITAS PELAYANAN PUBLIK</t>
        </is>
      </c>
      <c r="H143" s="184" t="inlineStr">
        <is>
          <t>Pelaku Bisnis, Masyarakat</t>
        </is>
      </c>
      <c r="I143" s="184" t="inlineStr">
        <is>
          <t>Identitas Para Pihak, Jenis Perselisihan, Waktu Penanganan, Hasil Penyelesaian Perselisihan</t>
        </is>
      </c>
      <c r="J143" s="178" t="inlineStr">
        <is>
          <t>data penyelesaian perselisihan hubungan industrial</t>
        </is>
      </c>
      <c r="K143" s="184" t="inlineStr">
        <is>
          <t>Tertutup</t>
        </is>
      </c>
      <c r="L143" s="184" t="inlineStr">
        <is>
          <t>Terdapat</t>
        </is>
      </c>
      <c r="M143" s="184" t="inlineStr">
        <is>
          <t>Bulanan</t>
        </is>
      </c>
      <c r="N143" s="130" t="inlineStr">
        <is>
          <t>SP4N Lapor</t>
        </is>
      </c>
      <c r="O143" s="184" t="inlineStr">
        <is>
          <t>Pusat</t>
        </is>
      </c>
      <c r="P143" s="184" t="inlineStr">
        <is>
          <t>Pusat</t>
        </is>
      </c>
      <c r="Q143" s="184" t="inlineStr">
        <is>
          <t>Website dan Mobile</t>
        </is>
      </c>
      <c r="R143" s="131" t="inlineStr">
        <is>
          <t>https://lapor.go.id/</t>
        </is>
      </c>
      <c r="S143" s="184" t="inlineStr">
        <is>
          <t>Secara Online</t>
        </is>
      </c>
      <c r="T143" s="184" t="inlineStr">
        <is>
          <t>Transaksi</t>
        </is>
      </c>
      <c r="U143" s="184" t="n">
        <v>2018</v>
      </c>
      <c r="V143" s="184" t="inlineStr">
        <is>
          <t>Aktif</t>
        </is>
      </c>
      <c r="W143" s="184" t="inlineStr">
        <is>
          <t>Tidak</t>
        </is>
      </c>
      <c r="X143" s="184" t="inlineStr">
        <is>
          <t>Tidak Terintegrasi</t>
        </is>
      </c>
      <c r="Y143" s="184" t="inlineStr">
        <is>
          <t>Tidak Terintegrasi</t>
        </is>
      </c>
      <c r="Z143" s="184" t="inlineStr">
        <is>
          <t>Tidak Terintegrasi</t>
        </is>
      </c>
      <c r="AA143" s="184" t="inlineStr">
        <is>
          <t>Bidang Hubungan Industrial</t>
        </is>
      </c>
      <c r="AB143" s="184" t="inlineStr">
        <is>
          <t>Disnaker</t>
        </is>
      </c>
      <c r="AC143" s="178" t="inlineStr">
        <is>
          <t>Andra G. P., S.Ikom.</t>
        </is>
      </c>
      <c r="AD143" s="178" t="inlineStr">
        <is>
          <t>0896-6838-6168</t>
        </is>
      </c>
      <c r="AE143" s="178" t="inlineStr">
        <is>
          <t>bidanghi.bandungkab@gmail.com</t>
        </is>
      </c>
      <c r="AF143" s="68" t="n">
        <v>28</v>
      </c>
      <c r="AG143" s="68" t="inlineStr">
        <is>
          <t>Bulanan</t>
        </is>
      </c>
      <c r="AH143" s="216" t="inlineStr">
        <is>
          <t>msyarakat dan perushaan</t>
        </is>
      </c>
      <c r="AJ143" s="92" t="n"/>
      <c r="AK143" s="92" t="n"/>
      <c r="AL143" s="92" t="n"/>
      <c r="AM143" s="92" t="n"/>
      <c r="AN143" s="92" t="n"/>
      <c r="AO143" s="92" t="n"/>
      <c r="AP143" s="92" t="n"/>
      <c r="AQ143" s="92" t="n"/>
      <c r="AR143" s="92" t="n"/>
      <c r="AS143" s="284" t="n"/>
    </row>
    <row r="144">
      <c r="A144" s="71" t="inlineStr">
        <is>
          <t>DP2KBP3A</t>
        </is>
      </c>
      <c r="B144" s="58" t="n"/>
      <c r="D144" s="58" t="n"/>
      <c r="E144" s="58" t="n"/>
      <c r="F144" s="58" t="n"/>
      <c r="G144" s="58" t="n"/>
      <c r="H144" s="58" t="n"/>
      <c r="I144" s="58" t="n"/>
      <c r="J144" s="58" t="n"/>
      <c r="K144" s="58" t="n"/>
      <c r="L144" s="58" t="n"/>
      <c r="M144" s="58" t="n"/>
      <c r="N144" s="58" t="n"/>
      <c r="O144" s="58" t="n"/>
      <c r="P144" s="58" t="n"/>
      <c r="Q144" s="58" t="n"/>
      <c r="R144" s="58" t="n"/>
      <c r="S144" s="58" t="n"/>
      <c r="T144" s="58" t="n"/>
      <c r="U144" s="58" t="n"/>
      <c r="V144" s="58" t="n"/>
      <c r="W144" s="58" t="n"/>
      <c r="X144" s="58" t="n"/>
      <c r="Y144" s="58" t="n"/>
      <c r="Z144" s="58" t="n"/>
      <c r="AA144" s="58" t="n"/>
      <c r="AB144" s="58" t="n"/>
      <c r="AC144" s="58" t="n"/>
      <c r="AD144" s="58" t="n"/>
      <c r="AE144" s="58" t="n"/>
      <c r="AF144" s="200" t="n"/>
      <c r="AG144" s="200" t="n"/>
      <c r="AH144" s="284" t="n"/>
      <c r="AI144" s="284" t="n"/>
      <c r="AJ144" s="284" t="n"/>
      <c r="AK144" s="284" t="n"/>
      <c r="AL144" s="284" t="n"/>
      <c r="AM144" s="284" t="n"/>
      <c r="AN144" s="284" t="n"/>
      <c r="AO144" s="284" t="n"/>
      <c r="AP144" s="284" t="n"/>
      <c r="AQ144" s="284" t="n"/>
      <c r="AR144" s="284" t="n"/>
      <c r="AS144" s="284" t="n"/>
    </row>
    <row r="145">
      <c r="A145" s="182" t="n">
        <v>1</v>
      </c>
      <c r="B145" s="178" t="inlineStr">
        <is>
          <t>Layanan Sistem informasi Pelaporan Tindak Kekerasan Perempuan Dan Anak</t>
        </is>
      </c>
      <c r="C145" t="inlineStr">
        <is>
          <t>DP2KBP3A</t>
        </is>
      </c>
      <c r="D145" s="178" t="inlineStr">
        <is>
          <t>Memberikan Layanan Data Korban kekerasan Terhadap Perempuan dan Anak</t>
        </is>
      </c>
      <c r="E145" s="178" t="inlineStr">
        <is>
          <t>- Undang-Undang Nomor 23 Tahun 2004 Tentang Penghapusan KDRT
 - Peraturan Daerah Kabupaten Bandung Nomor 20 Tahun 2016 Tentang Perlindungan Hak Anak Di Daerah Kabupaten Bandung</t>
        </is>
      </c>
      <c r="F145" s="70" t="inlineStr">
        <is>
          <t>https://drive.google.com/file/d/13kiJLOSVRFOj2CqIpMMxJSxRVwkT4VuN/view?usp=drive_link</t>
        </is>
      </c>
      <c r="G145" s="184" t="inlineStr">
        <is>
          <t>PENINGKATAN KUALITAS PELAYANAN PUBLIK</t>
        </is>
      </c>
      <c r="H145" s="184" t="inlineStr">
        <is>
          <t>Masyarakat</t>
        </is>
      </c>
      <c r="I145" s="184" t="inlineStr">
        <is>
          <t>Data Korban,Progres Pendampingan</t>
        </is>
      </c>
      <c r="J145" s="178" t="inlineStr">
        <is>
          <t>Progres Pendampingan</t>
        </is>
      </c>
      <c r="K145" s="184" t="inlineStr">
        <is>
          <t>Rahasia</t>
        </is>
      </c>
      <c r="L145" s="184" t="inlineStr">
        <is>
          <t>Terdapat</t>
        </is>
      </c>
      <c r="M145" s="184" t="inlineStr">
        <is>
          <t>Harian</t>
        </is>
      </c>
      <c r="N145" s="97" t="inlineStr">
        <is>
          <t>SIPETIK</t>
        </is>
      </c>
      <c r="O145" s="184" t="inlineStr">
        <is>
          <t>Diskominfo</t>
        </is>
      </c>
      <c r="P145" s="184" t="inlineStr">
        <is>
          <t>Kab. Bandung</t>
        </is>
      </c>
      <c r="Q145" s="184" t="inlineStr">
        <is>
          <t>Website</t>
        </is>
      </c>
      <c r="R145" s="70" t="inlineStr">
        <is>
          <t>https://dp2kbp3a.bandungkab.go.id/ppa/</t>
        </is>
      </c>
      <c r="S145" s="184" t="inlineStr">
        <is>
          <t>Secara Online</t>
        </is>
      </c>
      <c r="T145" s="184" t="inlineStr">
        <is>
          <t>Transaksi</t>
        </is>
      </c>
      <c r="U145" s="98" t="n">
        <v>2023</v>
      </c>
      <c r="V145" s="184" t="inlineStr">
        <is>
          <t>Aktif</t>
        </is>
      </c>
      <c r="W145" s="184" t="inlineStr">
        <is>
          <t>Tidak</t>
        </is>
      </c>
      <c r="X145" s="184" t="inlineStr">
        <is>
          <t>Tidak Terintegrasi</t>
        </is>
      </c>
      <c r="Y145" s="184" t="inlineStr">
        <is>
          <t>Tidak Terintegrasi</t>
        </is>
      </c>
      <c r="Z145" s="184" t="inlineStr">
        <is>
          <t>Tidak Terintegrasi</t>
        </is>
      </c>
      <c r="AA145" s="184" t="inlineStr">
        <is>
          <t>Bidang pemberdayaan Perempuan</t>
        </is>
      </c>
      <c r="AB145" s="184" t="inlineStr">
        <is>
          <t>DP2KBP3A</t>
        </is>
      </c>
      <c r="AC145" s="142" t="inlineStr">
        <is>
          <t>Deti Rosdiani</t>
        </is>
      </c>
      <c r="AD145" s="178" t="n">
        <v>85722205379</v>
      </c>
      <c r="AE145" s="288" t="n"/>
      <c r="AF145" s="77" t="n">
        <v>11</v>
      </c>
      <c r="AG145" s="68" t="inlineStr">
        <is>
          <t>Harian</t>
        </is>
      </c>
      <c r="AH145" s="284" t="n"/>
      <c r="AI145" s="284" t="n"/>
      <c r="AJ145" s="284" t="n"/>
      <c r="AK145" s="284" t="n"/>
      <c r="AL145" s="284" t="n"/>
      <c r="AM145" s="284" t="n"/>
      <c r="AN145" s="284" t="n"/>
      <c r="AO145" s="284" t="n"/>
      <c r="AP145" s="284" t="n"/>
      <c r="AQ145" s="284" t="n"/>
      <c r="AR145" s="284" t="n"/>
      <c r="AS145" s="284" t="n"/>
    </row>
    <row r="146">
      <c r="A146" s="182" t="n">
        <v>2</v>
      </c>
      <c r="B146" s="178" t="inlineStr">
        <is>
          <t>Penyusunan Penganggaran Perencanaan Responsif Gender BErsinergi Dalam Anggaran PengaruStamaan - Gender</t>
        </is>
      </c>
      <c r="C146" t="inlineStr">
        <is>
          <t>DP2KBP3A</t>
        </is>
      </c>
      <c r="D146" s="178" t="inlineStr">
        <is>
          <t>Untuk Mempermudah Instansi Lainya Untuk Mengkases Gender Analysis Pathway dan Gender Budget Statement</t>
        </is>
      </c>
      <c r="E146" s="178" t="inlineStr">
        <is>
          <t>Peraturan Bupati Nomor 24 tahun 2016 Tentang Pedoman Umum Pelaksanaan Pengarustamaan Gender dalam Pembangunan Daerah di Kabupaten bandung</t>
        </is>
      </c>
      <c r="F146" s="70" t="inlineStr">
        <is>
          <t>https://drive.google.com/file/d/1qhJbKAh0RXizTZVD-lHLPJTl4ZBGbOzZ/view?usp=sharing</t>
        </is>
      </c>
      <c r="G146" s="184" t="inlineStr">
        <is>
          <t>KESETARAAN GENDER</t>
        </is>
      </c>
      <c r="H146" s="184" t="inlineStr">
        <is>
          <t>Instansi Pemerintah Lainnya</t>
        </is>
      </c>
      <c r="I146" s="184" t="inlineStr">
        <is>
          <t>Perencanaan Dan Penganggaran Renfonsif Gender</t>
        </is>
      </c>
      <c r="J146" s="178" t="inlineStr">
        <is>
          <t>Data Gender Analisis Patway,Data Gender Budget Statmen</t>
        </is>
      </c>
      <c r="K146" s="184" t="inlineStr">
        <is>
          <t>Terbatas</t>
        </is>
      </c>
      <c r="L146" s="184" t="inlineStr">
        <is>
          <t>Tidak terdapat</t>
        </is>
      </c>
      <c r="M146" s="184" t="inlineStr">
        <is>
          <t>Tahunan</t>
        </is>
      </c>
      <c r="N146" s="97" t="inlineStr">
        <is>
          <t>PPRG BEDAS-G</t>
        </is>
      </c>
      <c r="O146" s="184" t="inlineStr">
        <is>
          <t>Diskominfo</t>
        </is>
      </c>
      <c r="P146" s="184" t="inlineStr">
        <is>
          <t>Kab. Bandung</t>
        </is>
      </c>
      <c r="Q146" s="184" t="inlineStr">
        <is>
          <t>Website</t>
        </is>
      </c>
      <c r="R146" s="70" t="inlineStr">
        <is>
          <t>https://dp2kbp3a.bandungkab.go.id/pprg/</t>
        </is>
      </c>
      <c r="S146" s="184" t="inlineStr">
        <is>
          <t>Secara Online</t>
        </is>
      </c>
      <c r="T146" s="184" t="inlineStr">
        <is>
          <t>Transaksi</t>
        </is>
      </c>
      <c r="U146" s="98" t="n">
        <v>2022</v>
      </c>
      <c r="V146" s="184" t="inlineStr">
        <is>
          <t>Aktif</t>
        </is>
      </c>
      <c r="W146" s="184" t="inlineStr">
        <is>
          <t>Ya</t>
        </is>
      </c>
      <c r="X146" s="184" t="inlineStr">
        <is>
          <t>Terintegrasi dengan aplikasi SIPD</t>
        </is>
      </c>
      <c r="Y146" s="184" t="inlineStr">
        <is>
          <t>Manual</t>
        </is>
      </c>
      <c r="Z146" s="184" t="inlineStr">
        <is>
          <t>Tahunan</t>
        </is>
      </c>
      <c r="AA146" s="184" t="inlineStr">
        <is>
          <t>Bidang pemberdayaan Perempuan</t>
        </is>
      </c>
      <c r="AB146" s="184" t="inlineStr">
        <is>
          <t>DP2KBP3A</t>
        </is>
      </c>
      <c r="AC146" s="178" t="inlineStr">
        <is>
          <t>Raihan Ilhamudin, S. Kep</t>
        </is>
      </c>
      <c r="AD146" s="178" t="n">
        <v>82317985659</v>
      </c>
      <c r="AE146" s="178" t="inlineStr">
        <is>
          <t>raihanilham6@gmail.com</t>
        </is>
      </c>
      <c r="AF146" s="77" t="n">
        <v>11</v>
      </c>
      <c r="AG146" s="68" t="inlineStr">
        <is>
          <t>Tahunan</t>
        </is>
      </c>
      <c r="AH146" s="284" t="n"/>
      <c r="AI146" s="284" t="n"/>
      <c r="AJ146" s="284" t="n"/>
      <c r="AK146" s="284" t="n"/>
      <c r="AL146" s="284" t="n"/>
      <c r="AM146" s="284" t="n"/>
      <c r="AN146" s="284" t="n"/>
      <c r="AO146" s="284" t="n"/>
      <c r="AP146" s="284" t="n"/>
      <c r="AQ146" s="284" t="n"/>
      <c r="AR146" s="284" t="n"/>
      <c r="AS146" s="284" t="n"/>
    </row>
    <row r="147">
      <c r="A147" s="182" t="n">
        <v>3</v>
      </c>
      <c r="B147" s="178" t="inlineStr">
        <is>
          <t>Sistem Informasi Keluarga</t>
        </is>
      </c>
      <c r="C147" t="inlineStr">
        <is>
          <t>DP2KBP3A</t>
        </is>
      </c>
      <c r="D147" s="178" t="inlineStr">
        <is>
          <t>mengumpulkan, mengelola, dan menyajikan data serta informasi yang akurat dan terkini mengenai kependudukan dan keluarga berencana untuk mendukung perencanaan dan intervensi program-program BKKBN, seperti Program Bangga Kencana dan penurunan stunting.</t>
        </is>
      </c>
      <c r="E147" s="178" t="inlineStr">
        <is>
          <t>Undang-Undang Nomor 52 Tahun 2009 tentang Perkembangan
 Kependudukan dan Pembangunan Keluarga, Badan Kependudukan dan Keluarga
 Berencana Nasional memiliki tugas untuk melaksanakan Program Pembangunan
 Keluarga, Kependudukan dan Keluarga Berencana (Bangga Kencana)</t>
        </is>
      </c>
      <c r="F147" s="288" t="n"/>
      <c r="G147" s="184" t="inlineStr">
        <is>
          <t>PENDATAAN KELUARGA</t>
        </is>
      </c>
      <c r="H147" s="184" t="inlineStr">
        <is>
          <t>Masyarakat</t>
        </is>
      </c>
      <c r="I147" s="184" t="inlineStr">
        <is>
          <t>Data Keluarga</t>
        </is>
      </c>
      <c r="J147" s="178" t="inlineStr">
        <is>
          <t>,Data Hasil Pelayanan KB,Data Pendataan Keluarga</t>
        </is>
      </c>
      <c r="K147" s="184" t="inlineStr">
        <is>
          <t>Tertutup</t>
        </is>
      </c>
      <c r="L147" s="184" t="inlineStr">
        <is>
          <t>Terdapat</t>
        </is>
      </c>
      <c r="M147" s="184" t="inlineStr">
        <is>
          <t>Bulanan</t>
        </is>
      </c>
      <c r="N147" s="97" t="inlineStr">
        <is>
          <t>SIGA</t>
        </is>
      </c>
      <c r="O147" s="184" t="inlineStr">
        <is>
          <t>Pusat</t>
        </is>
      </c>
      <c r="P147" s="184" t="inlineStr">
        <is>
          <t>Pusat</t>
        </is>
      </c>
      <c r="Q147" s="184" t="inlineStr">
        <is>
          <t>Website dan Mobile</t>
        </is>
      </c>
      <c r="R147" s="70" t="inlineStr">
        <is>
          <t>https://siga.bkkbn.go.id/</t>
        </is>
      </c>
      <c r="S147" s="184" t="inlineStr">
        <is>
          <t>Secara Online</t>
        </is>
      </c>
      <c r="T147" s="184" t="inlineStr">
        <is>
          <t>Transaksi</t>
        </is>
      </c>
      <c r="U147" s="98" t="n">
        <v>2023</v>
      </c>
      <c r="V147" s="184" t="inlineStr">
        <is>
          <t>Aktif</t>
        </is>
      </c>
      <c r="W147" s="184" t="inlineStr">
        <is>
          <t>Ya</t>
        </is>
      </c>
      <c r="X147" s="184" t="inlineStr">
        <is>
          <t>SIPERINDU</t>
        </is>
      </c>
      <c r="Y147" s="184" t="inlineStr">
        <is>
          <t>API</t>
        </is>
      </c>
      <c r="Z147" s="184" t="inlineStr">
        <is>
          <t>Realtime</t>
        </is>
      </c>
      <c r="AA147" s="184" t="inlineStr">
        <is>
          <t>Bidang Pengendalian Penduduk</t>
        </is>
      </c>
      <c r="AB147" s="184" t="inlineStr">
        <is>
          <t>DP2KBP3A</t>
        </is>
      </c>
      <c r="AC147" s="178" t="inlineStr">
        <is>
          <t>Sangki Sopyan, S. Pd. OR</t>
        </is>
      </c>
      <c r="AD147" s="178" t="n">
        <v>85729245486</v>
      </c>
      <c r="AE147" s="288" t="n"/>
      <c r="AF147" s="77" t="n">
        <v>9</v>
      </c>
      <c r="AG147" s="68" t="inlineStr">
        <is>
          <t>Tahunan</t>
        </is>
      </c>
      <c r="AH147" s="284" t="n"/>
      <c r="AI147" s="284" t="n"/>
      <c r="AJ147" s="284" t="n"/>
      <c r="AK147" s="284" t="n"/>
      <c r="AL147" s="284" t="n"/>
      <c r="AM147" s="284" t="n"/>
      <c r="AN147" s="284" t="n"/>
      <c r="AO147" s="284" t="n"/>
      <c r="AP147" s="284" t="n"/>
      <c r="AQ147" s="284" t="n"/>
      <c r="AR147" s="284" t="n"/>
      <c r="AS147" s="284" t="n"/>
    </row>
    <row r="148">
      <c r="A148" s="182" t="n">
        <v>4</v>
      </c>
      <c r="B148" s="178" t="inlineStr">
        <is>
          <t>Satgas Perlindungan Perempuan dan Anak</t>
        </is>
      </c>
      <c r="C148" t="inlineStr">
        <is>
          <t>DP2KBP3A</t>
        </is>
      </c>
      <c r="D148" s="178" t="inlineStr">
        <is>
          <t>Menciptakan Lingkungan yang Aman Bagi Perempuan dan Anak di Kecamatan dan Desa/Kelurahan dan Memastikan Mendapatkan Hak-Hak untuk Hidup Tumbuh,Berkembang Dan berpartisipasi secara Optimal sesuai harkat dan Martabat Kemanusiaan serta terlindungi dari kekerasan dan diskriminasi</t>
        </is>
      </c>
      <c r="E148" s="178" t="inlineStr">
        <is>
          <t>- Peraturan Daerah Nomor 20 Tahun 2016 Tentang Perlindungan dan Hak Anak
 - Peraturan Daerah Nomor 21 Tahun 2016 Tenang Perlindungan Perempuan</t>
        </is>
      </c>
      <c r="F148" s="70" t="inlineStr">
        <is>
          <t>https://drive.google.com/file/d/16ULKF-_fc7--75zz-4n8WtETaChfDzBD/view?usp=sharing</t>
        </is>
      </c>
      <c r="G148" s="184" t="inlineStr">
        <is>
          <t>PENINGKATAN KUALITAS PELAYANAN PUBLIK</t>
        </is>
      </c>
      <c r="H148" s="184" t="inlineStr">
        <is>
          <t>Masyarakat</t>
        </is>
      </c>
      <c r="I148" s="184" t="inlineStr">
        <is>
          <t>Data Perempuan Kepala Keluarga</t>
        </is>
      </c>
      <c r="J148" s="178" t="inlineStr">
        <is>
          <t>Data Perempuan Kepala Keluarga</t>
        </is>
      </c>
      <c r="K148" s="184" t="inlineStr">
        <is>
          <t>Tertutup</t>
        </is>
      </c>
      <c r="L148" s="184" t="inlineStr">
        <is>
          <t>Terdapat</t>
        </is>
      </c>
      <c r="M148" s="184" t="inlineStr">
        <is>
          <t>Bulanan</t>
        </is>
      </c>
      <c r="N148" s="97" t="inlineStr">
        <is>
          <t>SAPPANA</t>
        </is>
      </c>
      <c r="O148" s="184" t="inlineStr">
        <is>
          <t>Diskominfo</t>
        </is>
      </c>
      <c r="P148" s="184" t="inlineStr">
        <is>
          <t>Kab. Bandung</t>
        </is>
      </c>
      <c r="Q148" s="184" t="inlineStr">
        <is>
          <t>Website</t>
        </is>
      </c>
      <c r="R148" s="70" t="inlineStr">
        <is>
          <t>https://dp2kbp3a.bandungkab.go.id/sappana/</t>
        </is>
      </c>
      <c r="S148" s="184" t="inlineStr">
        <is>
          <t>Secara Online</t>
        </is>
      </c>
      <c r="T148" s="184" t="inlineStr">
        <is>
          <t>Transaksi</t>
        </is>
      </c>
      <c r="U148" s="98" t="n">
        <v>2024</v>
      </c>
      <c r="V148" s="184" t="inlineStr">
        <is>
          <t>Aktif</t>
        </is>
      </c>
      <c r="W148" s="184" t="inlineStr">
        <is>
          <t>Ya</t>
        </is>
      </c>
      <c r="X148" s="184" t="inlineStr">
        <is>
          <t>Terintegrasi dengan SIPETIK</t>
        </is>
      </c>
      <c r="Y148" s="184" t="inlineStr">
        <is>
          <t>Tidak Terintegrasi</t>
        </is>
      </c>
      <c r="Z148" s="184" t="inlineStr">
        <is>
          <t>Tahunan</t>
        </is>
      </c>
      <c r="AA148" s="184" t="inlineStr">
        <is>
          <t>Bidang pemberdayaan Perempuan</t>
        </is>
      </c>
      <c r="AB148" s="184" t="inlineStr">
        <is>
          <t>DP2KBP3A</t>
        </is>
      </c>
      <c r="AC148" s="178" t="inlineStr">
        <is>
          <t>Riki Kardina, S. Ag</t>
        </is>
      </c>
      <c r="AD148" s="178" t="n">
        <v>882001405143</v>
      </c>
      <c r="AE148" s="288" t="n"/>
      <c r="AF148" s="77" t="n">
        <v>11</v>
      </c>
      <c r="AG148" s="68" t="inlineStr">
        <is>
          <t>Bulanan</t>
        </is>
      </c>
      <c r="AH148" s="284" t="n"/>
      <c r="AI148" s="284" t="n"/>
      <c r="AJ148" s="284" t="n"/>
      <c r="AK148" s="284" t="n"/>
      <c r="AL148" s="284" t="n"/>
      <c r="AM148" s="284" t="n"/>
      <c r="AN148" s="284" t="n"/>
      <c r="AO148" s="284" t="n"/>
      <c r="AP148" s="284" t="n"/>
      <c r="AQ148" s="284" t="n"/>
      <c r="AR148" s="284" t="n"/>
      <c r="AS148" s="284" t="n"/>
    </row>
    <row r="149">
      <c r="A149" s="182" t="n">
        <v>5</v>
      </c>
      <c r="B149" s="178" t="inlineStr">
        <is>
          <t>Sistem Informasi Online Perlindungan Perempuan dan Anak</t>
        </is>
      </c>
      <c r="C149" t="inlineStr">
        <is>
          <t>DP2KBP3A</t>
        </is>
      </c>
      <c r="D149" s="178" t="inlineStr">
        <is>
          <t>Pencatatan dan pelaporan kekerasan terhadap perempuan dan anak yang terjadi di wilayah Indonesia, baik untuk warga negara indonesia maupun warga negara asing. SIMFONI PPA bekerja sama dengan instansi pemerintahan di setiap provinsi / kabupaten / kota sehingga aplikasi dapat diakses oleh semua unit layanan penanganan korban kekerasan perempuan dan anak dibawah pada tingkat nasional meliputi provinsi / kabupaten / kota secara up to date.</t>
        </is>
      </c>
      <c r="E149" s="178" t="inlineStr">
        <is>
          <t>Undang-Undang Nomor 23 Tahun 2004 Tentang Penghapusan KDRT</t>
        </is>
      </c>
      <c r="F149" s="70" t="inlineStr">
        <is>
          <t>https://docs.google.com/spreadsheets/d/1f2FpxtXLWyTMlao3H1cM7ZWvZY62FNOP/edit?usp=drivesdk&amp;ouid=101319060553117315214&amp;rtpof=true&amp;sd=true</t>
        </is>
      </c>
      <c r="G149" s="184" t="inlineStr">
        <is>
          <t>PENYEDIA LAYANAN BAGI ANAK YANG MEMERLUKAN PERLINDUNGAN KHUSUS DAN PEREMPUAN KORBAN KEKERASAN YANG MEMERLUKAN KOORDINASI LINTAS PROVINSI, TINGKAT NASIONAL, DAN INTERNASIONAL</t>
        </is>
      </c>
      <c r="H149" s="184" t="inlineStr">
        <is>
          <t>Pegawai</t>
        </is>
      </c>
      <c r="I149" s="184" t="inlineStr">
        <is>
          <t>Data Korban,Progres Pendampingan</t>
        </is>
      </c>
      <c r="J149" s="178" t="inlineStr">
        <is>
          <t>Data Korban Kekerasan Perempuan dan Anak, Progres penanganan Kasus</t>
        </is>
      </c>
      <c r="K149" s="184" t="inlineStr">
        <is>
          <t>Rahasia</t>
        </is>
      </c>
      <c r="L149" s="184" t="inlineStr">
        <is>
          <t>Terdapat</t>
        </is>
      </c>
      <c r="M149" s="184" t="inlineStr">
        <is>
          <t>Lainnya</t>
        </is>
      </c>
      <c r="N149" s="97" t="inlineStr">
        <is>
          <t>Simfoni PPA</t>
        </is>
      </c>
      <c r="O149" s="184" t="inlineStr">
        <is>
          <t>Pusat</t>
        </is>
      </c>
      <c r="P149" s="184" t="inlineStr">
        <is>
          <t>Pusat</t>
        </is>
      </c>
      <c r="Q149" s="184" t="inlineStr">
        <is>
          <t>Website</t>
        </is>
      </c>
      <c r="R149" s="70" t="inlineStr">
        <is>
          <t>https://simfonippa.kemenpppa.go.id/</t>
        </is>
      </c>
      <c r="S149" s="184" t="inlineStr">
        <is>
          <t>Secara Online</t>
        </is>
      </c>
      <c r="T149" s="184" t="inlineStr">
        <is>
          <t>Transaksi</t>
        </is>
      </c>
      <c r="U149" s="98" t="n">
        <v>2019</v>
      </c>
      <c r="V149" s="184" t="inlineStr">
        <is>
          <t>Aktif</t>
        </is>
      </c>
      <c r="W149" s="184" t="inlineStr">
        <is>
          <t>Tidak</t>
        </is>
      </c>
      <c r="X149" s="184" t="inlineStr">
        <is>
          <t>Tidak Terintegrasi</t>
        </is>
      </c>
      <c r="Y149" s="184" t="inlineStr">
        <is>
          <t>Tidak Terintegrasi</t>
        </is>
      </c>
      <c r="Z149" s="184" t="inlineStr">
        <is>
          <t>Tidak Terintegrasi</t>
        </is>
      </c>
      <c r="AA149" s="184" t="inlineStr">
        <is>
          <t>Unit Pelaksana Teknis Daerah Perindungan Perempuan dan Anak</t>
        </is>
      </c>
      <c r="AB149" s="184" t="inlineStr">
        <is>
          <t>DP2KBP3A</t>
        </is>
      </c>
      <c r="AC149" s="178" t="inlineStr">
        <is>
          <t>Dinda Nurul</t>
        </is>
      </c>
      <c r="AD149" s="178" t="n">
        <v>81320344426</v>
      </c>
      <c r="AE149" s="178" t="inlineStr">
        <is>
          <t>dindanurul150@gmail.com</t>
        </is>
      </c>
      <c r="AF149" s="77" t="n">
        <v>11</v>
      </c>
      <c r="AG149" s="68" t="inlineStr">
        <is>
          <t>Insidentil</t>
        </is>
      </c>
      <c r="AH149" s="284" t="n"/>
      <c r="AI149" s="284" t="n"/>
      <c r="AJ149" s="284" t="n"/>
      <c r="AK149" s="284" t="n"/>
      <c r="AL149" s="284" t="n"/>
      <c r="AM149" s="284" t="n"/>
      <c r="AN149" s="284" t="n"/>
      <c r="AO149" s="284" t="n"/>
      <c r="AP149" s="284" t="n"/>
      <c r="AQ149" s="284" t="n"/>
      <c r="AR149" s="284" t="n"/>
      <c r="AS149" s="284" t="n"/>
    </row>
    <row r="150">
      <c r="A150" s="182" t="n">
        <v>6</v>
      </c>
      <c r="B150" s="178" t="inlineStr">
        <is>
          <t>Layanan Bersama Lindungi Anak</t>
        </is>
      </c>
      <c r="C150" t="inlineStr">
        <is>
          <t>DP2KBP3A</t>
        </is>
      </c>
      <c r="D150" s="178" t="inlineStr">
        <is>
          <t>pengumpulan data tekait KLA untuk mengumpulkan bukti dukung program pemenuhan hak anak di kabupaten bandung</t>
        </is>
      </c>
      <c r="E150" s="178" t="inlineStr">
        <is>
          <t>Permen PPA no 4 Tahun 2024 tentang penyelneggaraaan layanan pemenuhan hak anak</t>
        </is>
      </c>
      <c r="F150" s="288" t="n"/>
      <c r="G150" s="184" t="inlineStr">
        <is>
          <t>PEMENUHAN HAK ANAK</t>
        </is>
      </c>
      <c r="H150" s="184" t="inlineStr">
        <is>
          <t>Masyarakat</t>
        </is>
      </c>
      <c r="I150" s="184" t="inlineStr">
        <is>
          <t>eviden pelaksanaan kegiatan</t>
        </is>
      </c>
      <c r="J150" s="178" t="inlineStr">
        <is>
          <t>pemenuhan penilaian KLA</t>
        </is>
      </c>
      <c r="K150" s="184" t="inlineStr">
        <is>
          <t>Terbatas</t>
        </is>
      </c>
      <c r="L150" s="184" t="inlineStr">
        <is>
          <t>Terdapat</t>
        </is>
      </c>
      <c r="M150" s="184" t="inlineStr">
        <is>
          <t>Tahunan</t>
        </is>
      </c>
      <c r="N150" s="97" t="inlineStr">
        <is>
          <t>aplikasi evaluasi KLA</t>
        </is>
      </c>
      <c r="O150" s="184" t="inlineStr">
        <is>
          <t>Diskominfo</t>
        </is>
      </c>
      <c r="P150" s="184" t="inlineStr">
        <is>
          <t>Kab. Bandung</t>
        </is>
      </c>
      <c r="Q150" s="184" t="inlineStr">
        <is>
          <t>Website dan Mobile</t>
        </is>
      </c>
      <c r="R150" s="70" t="inlineStr">
        <is>
          <t>https://dp2kbp3a.bandungkab.go.id/apps/perlindungan-anak/</t>
        </is>
      </c>
      <c r="S150" s="184" t="inlineStr">
        <is>
          <t>Secara Online</t>
        </is>
      </c>
      <c r="T150" s="184" t="inlineStr">
        <is>
          <t>Informasi</t>
        </is>
      </c>
      <c r="U150" s="98" t="n">
        <v>2020</v>
      </c>
      <c r="V150" s="184" t="inlineStr">
        <is>
          <t>Aktif</t>
        </is>
      </c>
      <c r="W150" s="184" t="inlineStr">
        <is>
          <t>Tidak</t>
        </is>
      </c>
      <c r="X150" s="288" t="n"/>
      <c r="Y150" s="288" t="n"/>
      <c r="Z150" s="288" t="n"/>
      <c r="AA150" s="184" t="inlineStr">
        <is>
          <t>Bidang Perlinudngan anak</t>
        </is>
      </c>
      <c r="AB150" s="184" t="inlineStr">
        <is>
          <t>DP2KBP3A</t>
        </is>
      </c>
      <c r="AC150" s="178" t="inlineStr">
        <is>
          <t>Wina Sri Utami</t>
        </is>
      </c>
      <c r="AD150" s="98" t="n">
        <v>8993829204</v>
      </c>
      <c r="AE150" s="178" t="inlineStr">
        <is>
          <t>awinwina4@gmail.com</t>
        </is>
      </c>
      <c r="AF150" s="288" t="n"/>
      <c r="AG150" s="288" t="n"/>
      <c r="AH150" s="284" t="n"/>
      <c r="AI150" s="284" t="n"/>
      <c r="AJ150" s="284" t="n"/>
      <c r="AK150" s="284" t="n"/>
      <c r="AL150" s="284" t="n"/>
      <c r="AM150" s="284" t="n"/>
      <c r="AN150" s="284" t="n"/>
      <c r="AO150" s="284" t="n"/>
      <c r="AP150" s="284" t="n"/>
      <c r="AQ150" s="284" t="n"/>
      <c r="AR150" s="284" t="n"/>
      <c r="AS150" s="284" t="n"/>
    </row>
    <row r="151">
      <c r="A151" s="71" t="inlineStr">
        <is>
          <t>DLH</t>
        </is>
      </c>
      <c r="B151" s="58" t="n"/>
      <c r="D151" s="58" t="n"/>
      <c r="E151" s="58" t="n"/>
      <c r="F151" s="58" t="n"/>
      <c r="G151" s="58" t="n"/>
      <c r="H151" s="58" t="n"/>
      <c r="I151" s="58" t="n"/>
      <c r="J151" s="58" t="n"/>
      <c r="K151" s="58" t="n"/>
      <c r="L151" s="58" t="n"/>
      <c r="M151" s="58" t="n"/>
      <c r="N151" s="58" t="n"/>
      <c r="O151" s="58" t="n"/>
      <c r="P151" s="58" t="n"/>
      <c r="Q151" s="58" t="n"/>
      <c r="R151" s="58" t="n"/>
      <c r="S151" s="58" t="n"/>
      <c r="T151" s="58" t="n"/>
      <c r="U151" s="58" t="n"/>
      <c r="V151" s="58" t="n"/>
      <c r="W151" s="58" t="n"/>
      <c r="X151" s="58" t="n"/>
      <c r="Y151" s="58" t="n"/>
      <c r="Z151" s="58" t="n"/>
      <c r="AA151" s="58" t="n"/>
      <c r="AB151" s="58" t="n"/>
      <c r="AC151" s="58" t="n"/>
      <c r="AD151" s="58" t="n"/>
      <c r="AE151" s="58" t="n"/>
      <c r="AF151" s="200" t="n"/>
      <c r="AG151" s="200" t="n"/>
      <c r="AH151" s="284" t="n"/>
      <c r="AI151" s="284" t="n"/>
      <c r="AJ151" s="284" t="n"/>
      <c r="AK151" s="284" t="n"/>
      <c r="AL151" s="284" t="n"/>
      <c r="AM151" s="284" t="n"/>
      <c r="AN151" s="284" t="n"/>
      <c r="AO151" s="284" t="n"/>
      <c r="AP151" s="284" t="n"/>
      <c r="AQ151" s="284" t="n"/>
      <c r="AR151" s="284" t="n"/>
      <c r="AS151" s="284" t="n"/>
    </row>
    <row r="152">
      <c r="A152" s="182" t="n">
        <v>1</v>
      </c>
      <c r="B152" s="178" t="inlineStr">
        <is>
          <t>Layanan Pengaduan dan/atau Sengketa Bidang Lingkungan Hidup</t>
        </is>
      </c>
      <c r="C152" t="inlineStr">
        <is>
          <t>DLH</t>
        </is>
      </c>
      <c r="D152" s="178" t="inlineStr">
        <is>
          <t>Untuk menghasilkan penanganan pengaduan atau BA pengaduan sengketa Pemerintah Kabupaten Bandung</t>
        </is>
      </c>
      <c r="E152" s="178" t="inlineStr">
        <is>
          <t>Berdasarkan Undang-Undang Republik Indonesia Nomor 32 Tahun 2009 Tentang Perlindungan Dan Pengelolaan Lingkungan Hidup
 Berdasarkan Peraturan Menteri Dalam Negeri Republik Indonesia Nomor 8 Tahun 2023 Tentang Pengelolaan Pengaduan Di Lingkungan Kementerian Dalam Negeri Dan Pemerintahan Daerah</t>
        </is>
      </c>
      <c r="F152" s="178" t="inlineStr">
        <is>
          <t>STANDAR PELAYANAN PADA DINAS LINGKUNGAN HIDUP.pdf</t>
        </is>
      </c>
      <c r="G152" s="184" t="inlineStr">
        <is>
          <t>PENINGKATAN KUALITAS PELAYANAN PUBLIK</t>
        </is>
      </c>
      <c r="H152" s="184" t="inlineStr">
        <is>
          <t>Masyarakat</t>
        </is>
      </c>
      <c r="I152" s="184" t="inlineStr">
        <is>
          <t>Aduan dan/atau sengketa bidang lingkungan hidup</t>
        </is>
      </c>
      <c r="J152" s="178" t="inlineStr">
        <is>
          <t>Data Pelayanan Pengaduan Dan/Atau Sengketa Bidang Lingkungan Hidup</t>
        </is>
      </c>
      <c r="K152" s="184" t="inlineStr">
        <is>
          <t>Terbuka</t>
        </is>
      </c>
      <c r="L152" s="184" t="inlineStr">
        <is>
          <t>Terdapat</t>
        </is>
      </c>
      <c r="M152" s="184" t="inlineStr">
        <is>
          <t>Bulanan</t>
        </is>
      </c>
      <c r="N152" s="97" t="inlineStr">
        <is>
          <t>SP4N Lapor</t>
        </is>
      </c>
      <c r="O152" s="184" t="inlineStr">
        <is>
          <t>Pusat</t>
        </is>
      </c>
      <c r="P152" s="184" t="inlineStr">
        <is>
          <t>Pusat</t>
        </is>
      </c>
      <c r="Q152" s="184" t="inlineStr">
        <is>
          <t>Website</t>
        </is>
      </c>
      <c r="R152" s="70" t="inlineStr">
        <is>
          <t>https://www.lapor.go.id</t>
        </is>
      </c>
      <c r="S152" s="184" t="inlineStr">
        <is>
          <t>Secara Online</t>
        </is>
      </c>
      <c r="T152" s="184" t="inlineStr">
        <is>
          <t>Informasi</t>
        </is>
      </c>
      <c r="U152" s="98" t="n">
        <v>2012</v>
      </c>
      <c r="V152" s="184" t="inlineStr">
        <is>
          <t>Aktif</t>
        </is>
      </c>
      <c r="W152" s="184" t="inlineStr">
        <is>
          <t>Tidak</t>
        </is>
      </c>
      <c r="X152" s="184" t="inlineStr">
        <is>
          <t>tidak terintegrasi</t>
        </is>
      </c>
      <c r="Y152" s="184" t="inlineStr">
        <is>
          <t>Manual</t>
        </is>
      </c>
      <c r="Z152" s="184" t="inlineStr">
        <is>
          <t>Tidak Terintegrasi</t>
        </is>
      </c>
      <c r="AA152" s="184" t="inlineStr">
        <is>
          <t>Bidang Pengendalian Pencemaran dan Penaatan Hukum Lingkungan</t>
        </is>
      </c>
      <c r="AB152" s="184" t="inlineStr">
        <is>
          <t>DLH</t>
        </is>
      </c>
      <c r="AC152" s="178" t="inlineStr">
        <is>
          <t>Muhammad Helmy Sallima Wijaya, S.H.</t>
        </is>
      </c>
      <c r="AD152" s="288" t="n"/>
      <c r="AE152" s="288" t="n"/>
      <c r="AF152" s="288" t="n"/>
      <c r="AG152" s="288" t="n"/>
      <c r="AH152" s="284" t="n"/>
      <c r="AI152" s="284" t="n"/>
      <c r="AJ152" s="284" t="n"/>
      <c r="AK152" s="284" t="n"/>
      <c r="AL152" s="284" t="n"/>
      <c r="AM152" s="284" t="n"/>
      <c r="AN152" s="284" t="n"/>
      <c r="AO152" s="284" t="n"/>
      <c r="AP152" s="284" t="n"/>
      <c r="AQ152" s="284" t="n"/>
      <c r="AR152" s="284" t="n"/>
      <c r="AS152" s="284" t="n"/>
    </row>
    <row r="153">
      <c r="A153" s="182" t="n">
        <v>5</v>
      </c>
      <c r="B153" s="178" t="inlineStr">
        <is>
          <t>Layanan Surat Pengelolaan dan Pamantauan Lingkungan Hidup</t>
        </is>
      </c>
      <c r="C153" t="inlineStr">
        <is>
          <t>DLH</t>
        </is>
      </c>
      <c r="D153" s="178" t="inlineStr">
        <is>
          <t>Untuk menghasilkan Surat Keterangan SPPL, Berita Acara Konsultasi Rencana Teknis
 dan Notulensi Rapat</t>
        </is>
      </c>
      <c r="E153" s="178" t="inlineStr">
        <is>
          <t>Berdasarkan Peraturan Pemerintah Nomor 22 Tahun 2021 tentang Penyelenggaraan Perlindungan dan Pengelolaan Lingkungan Hidup</t>
        </is>
      </c>
      <c r="F153" s="178" t="inlineStr">
        <is>
          <t>STANDAR PELAYANAN PADA DINAS LINGKUNGAN HIDUP.pdf</t>
        </is>
      </c>
      <c r="G153" s="184" t="inlineStr">
        <is>
          <t>PENATAAN LINGKUNGAN HIDUP SECARA BERKELANJUTAN</t>
        </is>
      </c>
      <c r="H153" s="184" t="inlineStr">
        <is>
          <t>Pelaku Bisnis</t>
        </is>
      </c>
      <c r="I153" s="184" t="inlineStr">
        <is>
          <t>Data Pemrakarsa, Dokumen Lingkungan</t>
        </is>
      </c>
      <c r="J153" s="178" t="inlineStr">
        <is>
          <t>Data Pengelolaan Dan Pamantauan Lingkungan Hidup</t>
        </is>
      </c>
      <c r="K153" s="184" t="inlineStr">
        <is>
          <t>Terbatas</t>
        </is>
      </c>
      <c r="L153" s="184" t="inlineStr">
        <is>
          <t>Terdapat</t>
        </is>
      </c>
      <c r="M153" s="184" t="inlineStr">
        <is>
          <t>Lainnya</t>
        </is>
      </c>
      <c r="N153" s="97" t="inlineStr">
        <is>
          <t>Amdalnet</t>
        </is>
      </c>
      <c r="O153" s="184" t="inlineStr">
        <is>
          <t>Pusat</t>
        </is>
      </c>
      <c r="P153" s="184" t="inlineStr">
        <is>
          <t>Pusat</t>
        </is>
      </c>
      <c r="Q153" s="184" t="inlineStr">
        <is>
          <t>Website</t>
        </is>
      </c>
      <c r="R153" s="70" t="inlineStr">
        <is>
          <t>amdalnet.kemenlh.go.id</t>
        </is>
      </c>
      <c r="S153" s="184" t="inlineStr">
        <is>
          <t>Secara Online</t>
        </is>
      </c>
      <c r="T153" s="184" t="inlineStr">
        <is>
          <t>Transaksi</t>
        </is>
      </c>
      <c r="U153" s="288" t="n"/>
      <c r="V153" s="184" t="inlineStr">
        <is>
          <t>Aktif</t>
        </is>
      </c>
      <c r="W153" s="184" t="inlineStr">
        <is>
          <t>Tidak</t>
        </is>
      </c>
      <c r="X153" s="184" t="inlineStr">
        <is>
          <t>tidak terintegrasi</t>
        </is>
      </c>
      <c r="Y153" s="184" t="inlineStr">
        <is>
          <t>Tidak Terintegrasi</t>
        </is>
      </c>
      <c r="Z153" s="184" t="inlineStr">
        <is>
          <t>Tidak Terintegrasi</t>
        </is>
      </c>
      <c r="AA153" s="184" t="inlineStr">
        <is>
          <t>Bidang Tata Lingkungan</t>
        </is>
      </c>
      <c r="AB153" s="184" t="inlineStr">
        <is>
          <t>DLH</t>
        </is>
      </c>
      <c r="AC153" s="178" t="inlineStr">
        <is>
          <t>Iqsan Okiyanto / Andri Taufik</t>
        </is>
      </c>
      <c r="AD153" s="178" t="inlineStr">
        <is>
          <t>085225996451 / 081322181254</t>
        </is>
      </c>
      <c r="AE153" s="178" t="inlineStr">
        <is>
          <t>dlh@bandungkab.go.id</t>
        </is>
      </c>
      <c r="AF153" s="288" t="n"/>
      <c r="AG153" s="288" t="n"/>
      <c r="AH153" s="284" t="n"/>
      <c r="AI153" s="284" t="n"/>
      <c r="AJ153" s="284" t="n"/>
      <c r="AK153" s="284" t="n"/>
      <c r="AL153" s="284" t="n"/>
      <c r="AM153" s="284" t="n"/>
      <c r="AN153" s="284" t="n"/>
      <c r="AO153" s="284" t="n"/>
      <c r="AP153" s="284" t="n"/>
      <c r="AQ153" s="284" t="n"/>
      <c r="AR153" s="284" t="n"/>
      <c r="AS153" s="284" t="n"/>
    </row>
    <row r="154">
      <c r="A154" s="182" t="n">
        <v>8</v>
      </c>
      <c r="B154" s="178" t="inlineStr">
        <is>
          <t>Layanan Laboratorium Lingkungan</t>
        </is>
      </c>
      <c r="C154" t="inlineStr">
        <is>
          <t>DLH</t>
        </is>
      </c>
      <c r="D154" s="178" t="inlineStr">
        <is>
          <t>Untuk menghasilkan Laporan Hasil Uji (LHU) Laboratorium, diantaranya informasi Kualitas Air Tanah, Kualitas Air Permukaan, Kualitas Air Limbah, Kualitas Udara Ambien, Kualitas Udara Emisi dan Pengukuran Tingkat Kebisingan</t>
        </is>
      </c>
      <c r="E154" s="143" t="inlineStr">
        <is>
          <t>Berdasarkan Peraturan Menteri Lingkungan Hidup Dan Kehutanan Republik Indonesia Nomor P.23/MENLHK/SETJEN/KUM.1/10/2020 Tentang Laboratorium Lingkungan Pasal 1 Angka 4 Yaitu Laboratorium Lingkungan Adalah Laboratorium Yang Mempunyai Sertifikat Akreditasi Laboratorium Pengujian Parameter Kualitas Lingkungan Dan Pengambilan Contoh Uji Sesuai Peraturan Serta Mempunyai Identitas Registrasi Yang Memiliki Fungsi Mendukung Pengelolaan Lingkungan Hidup.</t>
        </is>
      </c>
      <c r="F154" s="178" t="inlineStr">
        <is>
          <t>STANDAR PELAYANAN PADA DINAS LINGKUNGAN HIDUP.pdf</t>
        </is>
      </c>
      <c r="G154" s="184" t="inlineStr">
        <is>
          <t>PENINGKATAN KUALITAS PELAYANAN PUBLIK</t>
        </is>
      </c>
      <c r="H154" s="184" t="inlineStr">
        <is>
          <t>Pelaku Bisnis</t>
        </is>
      </c>
      <c r="I154" s="184" t="inlineStr">
        <is>
          <t>Data Uji</t>
        </is>
      </c>
      <c r="J154" s="178" t="inlineStr">
        <is>
          <t>Data Pelayanan Laboratorium Lingkungan</t>
        </is>
      </c>
      <c r="K154" s="184" t="inlineStr">
        <is>
          <t>Terbatas</t>
        </is>
      </c>
      <c r="L154" s="184" t="inlineStr">
        <is>
          <t>Terdapat</t>
        </is>
      </c>
      <c r="M154" s="184" t="inlineStr">
        <is>
          <t>Harian</t>
        </is>
      </c>
      <c r="N154" s="144" t="inlineStr">
        <is>
          <t>E-SKM</t>
        </is>
      </c>
      <c r="O154" s="184" t="inlineStr">
        <is>
          <t>Diskominfo</t>
        </is>
      </c>
      <c r="P154" s="184" t="inlineStr">
        <is>
          <t>Kab. Bandung</t>
        </is>
      </c>
      <c r="Q154" s="184" t="inlineStr">
        <is>
          <t>Website</t>
        </is>
      </c>
      <c r="R154" s="70" t="inlineStr">
        <is>
          <t>https://skm.bandungkab.go.id/</t>
        </is>
      </c>
      <c r="S154" s="184" t="inlineStr">
        <is>
          <t>Secara Online</t>
        </is>
      </c>
      <c r="T154" s="184" t="inlineStr">
        <is>
          <t>Informasi</t>
        </is>
      </c>
      <c r="U154" s="288" t="n"/>
      <c r="V154" s="184" t="inlineStr">
        <is>
          <t>Aktif</t>
        </is>
      </c>
      <c r="W154" s="184" t="inlineStr">
        <is>
          <t>Tidak</t>
        </is>
      </c>
      <c r="X154" s="184" t="inlineStr">
        <is>
          <t>tidak terintegrasi</t>
        </is>
      </c>
      <c r="Y154" s="184" t="inlineStr">
        <is>
          <t>Tidak Terintegrasi</t>
        </is>
      </c>
      <c r="Z154" s="184" t="inlineStr">
        <is>
          <t>Tidak Terintegrasi</t>
        </is>
      </c>
      <c r="AA154" s="184" t="inlineStr">
        <is>
          <t>BLUD</t>
        </is>
      </c>
      <c r="AB154" s="184" t="inlineStr">
        <is>
          <t>DLH</t>
        </is>
      </c>
      <c r="AC154" s="178" t="inlineStr">
        <is>
          <t>Iqsan Okiyanto / Andri Taufik</t>
        </is>
      </c>
      <c r="AD154" s="178" t="inlineStr">
        <is>
          <t>085225996451 / 081322181254</t>
        </is>
      </c>
      <c r="AE154" s="178" t="inlineStr">
        <is>
          <t>dlh@bandungkab.go.id</t>
        </is>
      </c>
      <c r="AF154" s="288" t="n"/>
      <c r="AG154" s="288" t="n"/>
      <c r="AH154" s="284" t="n"/>
      <c r="AI154" s="284" t="n"/>
      <c r="AJ154" s="284" t="n"/>
      <c r="AK154" s="284" t="n"/>
      <c r="AL154" s="284" t="n"/>
      <c r="AM154" s="284" t="n"/>
      <c r="AN154" s="284" t="n"/>
      <c r="AO154" s="284" t="n"/>
      <c r="AP154" s="284" t="n"/>
      <c r="AQ154" s="284" t="n"/>
      <c r="AR154" s="284" t="n"/>
      <c r="AS154" s="284" t="n"/>
    </row>
    <row r="155">
      <c r="A155" s="182" t="n">
        <v>9</v>
      </c>
      <c r="B155" s="178" t="inlineStr">
        <is>
          <t>Layanan Pengangkutan Sampah Wilayah Kabupaten Bandung</t>
        </is>
      </c>
      <c r="C155" t="inlineStr">
        <is>
          <t>DLH</t>
        </is>
      </c>
      <c r="D155" s="178" t="inlineStr">
        <is>
          <t>Menyediakan layanan pengangkutan sampah secara teratur dan efisien di wilayah Kabupaten Bandung guna menjaga kebersihan lingkungan, mencegah pencemaran, dan memastikan pengelolaan sampah yang ramah lingkungan serta sesuai dengan peraturan yang berlaku.</t>
        </is>
      </c>
      <c r="E155" s="178" t="inlineStr">
        <is>
          <t>Berdasarkan Peraturan Daerah Kabupaten Bandung Nomor 1 Tahun 2022 Tentang Pengelolaan Sampah</t>
        </is>
      </c>
      <c r="F155" s="178" t="inlineStr">
        <is>
          <t>STANDAR PELAYANAN PADA DINAS LINGKUNGAN HIDUP.pdf</t>
        </is>
      </c>
      <c r="G155" s="184" t="inlineStr">
        <is>
          <t>PENGELOLAAN SAMPAH</t>
        </is>
      </c>
      <c r="H155" s="184" t="inlineStr">
        <is>
          <t>Masyarakat</t>
        </is>
      </c>
      <c r="I155" s="184" t="inlineStr">
        <is>
          <t>Data Sampah yang diangkut</t>
        </is>
      </c>
      <c r="J155" s="178" t="inlineStr">
        <is>
          <t>Data Pelayanan Pengangkutan Sampah Wilayah Rancaekek
 Data Pelayanan Pengangkutan Sampah Wilayah Soreang
 Data Pelayanan Pengangkutan Sampah Wilayah Ciparay
 Data Pelayanan Pengangkutan Sampah Wilayah Baleendah</t>
        </is>
      </c>
      <c r="K155" s="184" t="inlineStr">
        <is>
          <t>Terbuka</t>
        </is>
      </c>
      <c r="L155" s="184" t="inlineStr">
        <is>
          <t>Tidak terdapat</t>
        </is>
      </c>
      <c r="M155" s="184" t="inlineStr">
        <is>
          <t>Harian</t>
        </is>
      </c>
      <c r="N155" s="97" t="inlineStr">
        <is>
          <t>Sampahkita</t>
        </is>
      </c>
      <c r="O155" s="184" t="inlineStr">
        <is>
          <t>Provinsi</t>
        </is>
      </c>
      <c r="P155" s="184" t="inlineStr">
        <is>
          <t>Provinsi</t>
        </is>
      </c>
      <c r="Q155" s="184" t="inlineStr">
        <is>
          <t>Website</t>
        </is>
      </c>
      <c r="R155" s="70" t="inlineStr">
        <is>
          <t>https://sampahkita.jabarprov.go.id/</t>
        </is>
      </c>
      <c r="S155" s="184" t="inlineStr">
        <is>
          <t>Secara Online</t>
        </is>
      </c>
      <c r="T155" s="184" t="inlineStr">
        <is>
          <t>Informasi</t>
        </is>
      </c>
      <c r="U155" s="288" t="n"/>
      <c r="V155" s="184" t="inlineStr">
        <is>
          <t>Aktif</t>
        </is>
      </c>
      <c r="W155" s="184" t="inlineStr">
        <is>
          <t>Tidak</t>
        </is>
      </c>
      <c r="X155" s="184" t="inlineStr">
        <is>
          <t>tidak terintegrasi</t>
        </is>
      </c>
      <c r="Y155" s="184" t="inlineStr">
        <is>
          <t>Tidak Terintegrasi</t>
        </is>
      </c>
      <c r="Z155" s="184" t="inlineStr">
        <is>
          <t>Tidak Terintegrasi</t>
        </is>
      </c>
      <c r="AA155" s="184" t="inlineStr">
        <is>
          <t>Bidang Pengelolaan Sampah</t>
        </is>
      </c>
      <c r="AB155" s="184" t="inlineStr">
        <is>
          <t>DLH</t>
        </is>
      </c>
      <c r="AC155" s="178" t="inlineStr">
        <is>
          <t>Iqsan Okiyanto / Andri Taufik</t>
        </is>
      </c>
      <c r="AD155" s="178" t="inlineStr">
        <is>
          <t>085225996451 / 081322181254</t>
        </is>
      </c>
      <c r="AE155" s="178" t="inlineStr">
        <is>
          <t>dlh@bandungkab.go.id</t>
        </is>
      </c>
      <c r="AF155" s="68" t="n">
        <v>46</v>
      </c>
      <c r="AG155" s="68" t="inlineStr">
        <is>
          <t>Harian</t>
        </is>
      </c>
      <c r="AH155" s="284" t="n"/>
      <c r="AI155" s="284" t="n"/>
      <c r="AJ155" s="284" t="n"/>
      <c r="AK155" s="284" t="n"/>
      <c r="AL155" s="284" t="n"/>
      <c r="AM155" s="284" t="n"/>
      <c r="AN155" s="284" t="n"/>
      <c r="AO155" s="284" t="n"/>
      <c r="AP155" s="284" t="n"/>
      <c r="AQ155" s="284" t="n"/>
      <c r="AR155" s="284" t="n"/>
      <c r="AS155" s="284" t="n"/>
    </row>
    <row r="156">
      <c r="A156" s="182" t="n">
        <v>10</v>
      </c>
      <c r="B156" s="178" t="inlineStr">
        <is>
          <t>Layanan Pengelolaan dan Pemanfaatan Sampah</t>
        </is>
      </c>
      <c r="C156" t="inlineStr">
        <is>
          <t>DLH</t>
        </is>
      </c>
      <c r="D156" s="178" t="inlineStr">
        <is>
          <t>Untuk menghasilkan materi penyuluhan atau pelatihan, sarana dan prasarana pelatihan, bibit BSF, pembinaan secara berkala dan surat registrasi pengelola sampah/bank sampah
 tematik/TPS3R</t>
        </is>
      </c>
      <c r="E156" s="178" t="inlineStr">
        <is>
          <t>Berdasarkan Peraturan Daerah Kabupaten Bandung Nomor 1 Tahun 2022 Tentang Pengelolaan Sampah</t>
        </is>
      </c>
      <c r="F156" s="178" t="inlineStr">
        <is>
          <t>STANDAR PELAYANAN PADA DINAS LINGKUNGAN HIDUP.pdf</t>
        </is>
      </c>
      <c r="G156" s="184" t="inlineStr">
        <is>
          <t>PENGELOLAAN SAMPAH</t>
        </is>
      </c>
      <c r="H156" s="184" t="inlineStr">
        <is>
          <t>Masyarakat</t>
        </is>
      </c>
      <c r="I156" s="76" t="inlineStr">
        <is>
          <t>Data sampah yang dilakukan pengelolaan</t>
        </is>
      </c>
      <c r="J156" s="178" t="inlineStr">
        <is>
          <t>Data Pelayanan Pengelolaan Dan Pemanfaatan Sampah</t>
        </is>
      </c>
      <c r="K156" s="184" t="inlineStr">
        <is>
          <t>Terbuka</t>
        </is>
      </c>
      <c r="L156" s="184" t="inlineStr">
        <is>
          <t>Tidak terdapat</t>
        </is>
      </c>
      <c r="M156" s="184" t="inlineStr">
        <is>
          <t>Tahunan</t>
        </is>
      </c>
      <c r="N156" s="144" t="inlineStr">
        <is>
          <t>SIPSN</t>
        </is>
      </c>
      <c r="O156" s="184" t="inlineStr">
        <is>
          <t>Pusat</t>
        </is>
      </c>
      <c r="P156" s="184" t="inlineStr">
        <is>
          <t>Pusat</t>
        </is>
      </c>
      <c r="Q156" s="184" t="inlineStr">
        <is>
          <t>Website</t>
        </is>
      </c>
      <c r="R156" s="131" t="inlineStr">
        <is>
          <t>https://sipsn.kemenlh.go.id/sipsn/</t>
        </is>
      </c>
      <c r="S156" s="184" t="inlineStr">
        <is>
          <t>Secara Online</t>
        </is>
      </c>
      <c r="T156" s="184" t="inlineStr">
        <is>
          <t>Informasi</t>
        </is>
      </c>
      <c r="U156" s="288" t="n"/>
      <c r="V156" s="184" t="inlineStr">
        <is>
          <t>Aktif</t>
        </is>
      </c>
      <c r="W156" s="184" t="inlineStr">
        <is>
          <t>Tidak</t>
        </is>
      </c>
      <c r="X156" s="184" t="inlineStr">
        <is>
          <t>tidak terintegrasi</t>
        </is>
      </c>
      <c r="Y156" s="184" t="inlineStr">
        <is>
          <t>Tidak Terintegrasi</t>
        </is>
      </c>
      <c r="Z156" s="184" t="inlineStr">
        <is>
          <t>Tidak Terintegrasi</t>
        </is>
      </c>
      <c r="AA156" s="184" t="inlineStr">
        <is>
          <t>Bidang Pengelolaan Sampah</t>
        </is>
      </c>
      <c r="AB156" s="184" t="inlineStr">
        <is>
          <t>DLH</t>
        </is>
      </c>
      <c r="AC156" s="178" t="inlineStr">
        <is>
          <t>Iqsan Okiyanto / Andri Taufik</t>
        </is>
      </c>
      <c r="AD156" s="178" t="inlineStr">
        <is>
          <t>085225996451 / 081322181254</t>
        </is>
      </c>
      <c r="AE156" s="178" t="inlineStr">
        <is>
          <t>dlh@bandungkab.go.id</t>
        </is>
      </c>
      <c r="AF156" s="68" t="n">
        <v>46</v>
      </c>
      <c r="AG156" s="68" t="inlineStr">
        <is>
          <t>Tahunan</t>
        </is>
      </c>
      <c r="AH156" s="284" t="n"/>
      <c r="AI156" s="284" t="n"/>
      <c r="AJ156" s="284" t="n"/>
      <c r="AK156" s="284" t="n"/>
      <c r="AL156" s="284" t="n"/>
      <c r="AM156" s="284" t="n"/>
      <c r="AN156" s="284" t="n"/>
      <c r="AO156" s="284" t="n"/>
      <c r="AP156" s="284" t="n"/>
      <c r="AQ156" s="284" t="n"/>
      <c r="AR156" s="284" t="n"/>
      <c r="AS156" s="284" t="n"/>
    </row>
    <row r="157">
      <c r="A157" s="182" t="n">
        <v>11</v>
      </c>
      <c r="B157" s="178" t="inlineStr">
        <is>
          <t>Layanan Gep4k Sayang</t>
        </is>
      </c>
      <c r="C157" t="inlineStr">
        <is>
          <t>DLH</t>
        </is>
      </c>
      <c r="D157" s="178" t="inlineStr">
        <is>
          <t>Untuk melayani Gerakan Peduli Penanaman dan Pemeliharaan Pohon Kesayangan (Gep4k Sayang) yang dimana mewajibkan setiap warga Kabupaten Bandung menanam, memiliki, dan memelihara minimal 2 pohon kesayangan seumur hidupnya</t>
        </is>
      </c>
      <c r="E157" s="178" t="inlineStr">
        <is>
          <t>Peraturan Menteri Lingkungan Hidup Dan Kehutanan Republik Indonesia Nomor 23 Tahun 2021 Tentang Pelaksanaan Rehabilitasi Hutan Dan Lahan</t>
        </is>
      </c>
      <c r="F157" s="178" t="inlineStr">
        <is>
          <t>STANDAR PELAYANAN PADA DINAS LINGKUNGAN HIDUP.pdf</t>
        </is>
      </c>
      <c r="G157" s="184" t="inlineStr">
        <is>
          <t>PELESTARIAN LINGKUNGAN HIDUP</t>
        </is>
      </c>
      <c r="H157" s="184" t="inlineStr">
        <is>
          <t>Masyarakat</t>
        </is>
      </c>
      <c r="I157" s="178" t="inlineStr">
        <is>
          <t>Data penanaman pohon</t>
        </is>
      </c>
      <c r="J157" s="178" t="inlineStr">
        <is>
          <t>Data Gerakan Penanaman dan Pemeliharaan Pohon Kesayangan</t>
        </is>
      </c>
      <c r="K157" s="184" t="inlineStr">
        <is>
          <t>Terbuka</t>
        </is>
      </c>
      <c r="L157" s="184" t="inlineStr">
        <is>
          <t>Tidak terdapat</t>
        </is>
      </c>
      <c r="M157" s="184" t="inlineStr">
        <is>
          <t>Bulanan</t>
        </is>
      </c>
      <c r="N157" s="97" t="inlineStr">
        <is>
          <t>GeP4K Sayang</t>
        </is>
      </c>
      <c r="O157" s="184" t="inlineStr">
        <is>
          <t>Diskominfo</t>
        </is>
      </c>
      <c r="P157" s="184" t="inlineStr">
        <is>
          <t>Kab. Bandung</t>
        </is>
      </c>
      <c r="Q157" s="184" t="inlineStr">
        <is>
          <t>Website</t>
        </is>
      </c>
      <c r="R157" s="70" t="inlineStr">
        <is>
          <t>https://gepak.bandungkab.go.id/</t>
        </is>
      </c>
      <c r="S157" s="184" t="inlineStr">
        <is>
          <t>Secara Online</t>
        </is>
      </c>
      <c r="T157" s="184" t="inlineStr">
        <is>
          <t>Informasi</t>
        </is>
      </c>
      <c r="U157" s="98" t="n">
        <v>2025</v>
      </c>
      <c r="V157" s="184" t="inlineStr">
        <is>
          <t>Aktif</t>
        </is>
      </c>
      <c r="W157" s="184" t="inlineStr">
        <is>
          <t>Tidak</t>
        </is>
      </c>
      <c r="X157" s="184" t="inlineStr">
        <is>
          <t>tidak terintegrasi</t>
        </is>
      </c>
      <c r="Y157" s="184" t="inlineStr">
        <is>
          <t>Tidak Terintegrasi</t>
        </is>
      </c>
      <c r="Z157" s="184" t="inlineStr">
        <is>
          <t>Tidak Terintegrasi</t>
        </is>
      </c>
      <c r="AA157" s="184" t="inlineStr">
        <is>
          <t>Bidang Konservasi dan Pengendalian Kerusakan Lingkungan</t>
        </is>
      </c>
      <c r="AB157" s="184" t="inlineStr">
        <is>
          <t>DLH</t>
        </is>
      </c>
      <c r="AC157" s="178" t="inlineStr">
        <is>
          <t>Iqsan Okiyanto / Andri Taufik</t>
        </is>
      </c>
      <c r="AD157" s="178" t="inlineStr">
        <is>
          <t>085225996451 / 081322181254</t>
        </is>
      </c>
      <c r="AE157" s="178" t="inlineStr">
        <is>
          <t>dlh@bandungkab.go.id</t>
        </is>
      </c>
      <c r="AF157" s="68" t="n">
        <v>41</v>
      </c>
      <c r="AG157" s="68" t="inlineStr">
        <is>
          <t>Bulanan</t>
        </is>
      </c>
      <c r="AH157" s="284" t="n"/>
      <c r="AI157" s="284" t="n"/>
      <c r="AJ157" s="284" t="n"/>
      <c r="AK157" s="284" t="n"/>
      <c r="AL157" s="284" t="n"/>
      <c r="AM157" s="284" t="n"/>
      <c r="AN157" s="284" t="n"/>
      <c r="AO157" s="284" t="n"/>
      <c r="AP157" s="284" t="n"/>
      <c r="AQ157" s="284" t="n"/>
      <c r="AR157" s="284" t="n"/>
      <c r="AS157" s="284" t="n"/>
    </row>
    <row r="158">
      <c r="A158" s="182" t="n">
        <v>12</v>
      </c>
      <c r="B158" s="178" t="inlineStr">
        <is>
          <t>Layanan Taman Kehati</t>
        </is>
      </c>
      <c r="C158" t="inlineStr">
        <is>
          <t>DLH</t>
        </is>
      </c>
      <c r="D158" s="178" t="inlineStr">
        <is>
          <t>Untuk mengelola Taman Keanekaragaman Hayati (Taman Kehati) dan mengelola kawasan pencadangan sumber daya alam hayati lokal di luar kawasan hutan yang mempunyai fungsi konservasi insitu dan/atau exsitu</t>
        </is>
      </c>
      <c r="E158" s="178" t="inlineStr">
        <is>
          <t>Peraturan Menteri Lingkungan Hidup Dan Kehutanan Republik Indonesia Nomor 16 Tahun 2024 Tentang Resor Pada Unit Pelaksana Teknis Direktorat Jenderal Konservasi Sumber Daya Alam Dan Ekosistem</t>
        </is>
      </c>
      <c r="F158" s="178" t="inlineStr">
        <is>
          <t>STANDAR PELAYANAN PADA DINAS LINGKUNGAN HIDUP.pdf</t>
        </is>
      </c>
      <c r="G158" s="184" t="inlineStr">
        <is>
          <t>PELESTARIAN LINGKUNGAN HIDUP</t>
        </is>
      </c>
      <c r="H158" s="184" t="inlineStr">
        <is>
          <t>Masyarakat</t>
        </is>
      </c>
      <c r="I158" s="178" t="inlineStr">
        <is>
          <t>Data Taman Kehati</t>
        </is>
      </c>
      <c r="J158" s="178" t="inlineStr">
        <is>
          <t>Data Taman Kehati</t>
        </is>
      </c>
      <c r="K158" s="184" t="inlineStr">
        <is>
          <t>Terbuka</t>
        </is>
      </c>
      <c r="L158" s="184" t="inlineStr">
        <is>
          <t>Tidak terdapat</t>
        </is>
      </c>
      <c r="M158" s="184" t="inlineStr">
        <is>
          <t>Bulanan</t>
        </is>
      </c>
      <c r="N158" s="97" t="inlineStr">
        <is>
          <t>Taman Kehati</t>
        </is>
      </c>
      <c r="O158" s="184" t="inlineStr">
        <is>
          <t>Diskominfo</t>
        </is>
      </c>
      <c r="P158" s="184" t="inlineStr">
        <is>
          <t>Kab. Bandung</t>
        </is>
      </c>
      <c r="Q158" s="184" t="inlineStr">
        <is>
          <t>Website</t>
        </is>
      </c>
      <c r="R158" s="70" t="inlineStr">
        <is>
          <t>Kehati.bandungkab.go.id</t>
        </is>
      </c>
      <c r="S158" s="184" t="inlineStr">
        <is>
          <t>Secara Online</t>
        </is>
      </c>
      <c r="T158" s="184" t="inlineStr">
        <is>
          <t>Informasi</t>
        </is>
      </c>
      <c r="U158" s="98" t="n">
        <v>2021</v>
      </c>
      <c r="V158" s="184" t="inlineStr">
        <is>
          <t>Aktif</t>
        </is>
      </c>
      <c r="W158" s="184" t="inlineStr">
        <is>
          <t>Tidak</t>
        </is>
      </c>
      <c r="X158" s="184" t="inlineStr">
        <is>
          <t>tidak terintegrasi</t>
        </is>
      </c>
      <c r="Y158" s="184" t="inlineStr">
        <is>
          <t>Tidak Terintegrasi</t>
        </is>
      </c>
      <c r="Z158" s="184" t="inlineStr">
        <is>
          <t>Tidak Terintegrasi</t>
        </is>
      </c>
      <c r="AA158" s="184" t="inlineStr">
        <is>
          <t>Bidang Konservasi dan Pengendalian Kerusakan Lingkungan</t>
        </is>
      </c>
      <c r="AB158" s="184" t="inlineStr">
        <is>
          <t>DLH</t>
        </is>
      </c>
      <c r="AC158" s="178" t="inlineStr">
        <is>
          <t>Iqsan Okiyanto / Andri Taufik</t>
        </is>
      </c>
      <c r="AD158" s="178" t="inlineStr">
        <is>
          <t>085225996451 / 081322181254</t>
        </is>
      </c>
      <c r="AE158" s="178" t="inlineStr">
        <is>
          <t>dlh@bandungkab.go.id</t>
        </is>
      </c>
      <c r="AF158" s="68" t="n">
        <v>41</v>
      </c>
      <c r="AG158" s="68" t="inlineStr">
        <is>
          <t>Bulanan</t>
        </is>
      </c>
      <c r="AH158" s="284" t="n"/>
      <c r="AI158" s="284" t="n"/>
      <c r="AJ158" s="284" t="n"/>
      <c r="AK158" s="284" t="n"/>
      <c r="AL158" s="284" t="n"/>
      <c r="AM158" s="284" t="n"/>
      <c r="AN158" s="284" t="n"/>
      <c r="AO158" s="284" t="n"/>
      <c r="AP158" s="284" t="n"/>
      <c r="AQ158" s="284" t="n"/>
      <c r="AR158" s="284" t="n"/>
      <c r="AS158" s="284" t="n"/>
    </row>
    <row r="159">
      <c r="A159" s="71" t="inlineStr">
        <is>
          <t>DISDUKCAPIL</t>
        </is>
      </c>
      <c r="B159" s="58" t="n"/>
      <c r="D159" s="58" t="n"/>
      <c r="E159" s="58" t="n"/>
      <c r="F159" s="58" t="n"/>
      <c r="G159" s="58" t="n"/>
      <c r="H159" s="58" t="n"/>
      <c r="I159" s="58" t="n"/>
      <c r="J159" s="58" t="n"/>
      <c r="K159" s="58" t="n"/>
      <c r="L159" s="58" t="n"/>
      <c r="M159" s="58" t="n"/>
      <c r="N159" s="58" t="n"/>
      <c r="O159" s="58" t="n"/>
      <c r="P159" s="58" t="n"/>
      <c r="Q159" s="58" t="n"/>
      <c r="R159" s="58" t="n"/>
      <c r="S159" s="58" t="n"/>
      <c r="T159" s="58" t="n"/>
      <c r="U159" s="58" t="n"/>
      <c r="V159" s="58" t="n"/>
      <c r="W159" s="58" t="n"/>
      <c r="X159" s="58" t="n"/>
      <c r="Y159" s="58" t="n"/>
      <c r="Z159" s="58" t="n"/>
      <c r="AA159" s="58" t="n"/>
      <c r="AB159" s="58" t="n"/>
      <c r="AC159" s="58" t="n"/>
      <c r="AD159" s="58" t="n"/>
      <c r="AE159" s="58" t="n"/>
      <c r="AF159" s="200" t="n"/>
      <c r="AG159" s="200" t="n"/>
      <c r="AH159" s="284" t="n"/>
      <c r="AI159" s="284" t="n"/>
      <c r="AJ159" s="284" t="n"/>
      <c r="AK159" s="284" t="n"/>
      <c r="AL159" s="284" t="n"/>
      <c r="AM159" s="284" t="n"/>
      <c r="AN159" s="284" t="n"/>
      <c r="AO159" s="284" t="n"/>
      <c r="AP159" s="284" t="n"/>
      <c r="AQ159" s="284" t="n"/>
      <c r="AR159" s="284" t="n"/>
      <c r="AS159" s="284" t="n"/>
    </row>
    <row r="160">
      <c r="A160" s="145" t="n">
        <v>1</v>
      </c>
      <c r="B160" s="146" t="inlineStr">
        <is>
          <t>Pencatatan Biodata</t>
        </is>
      </c>
      <c r="C160" t="inlineStr">
        <is>
          <t>DISDUKCAPIL</t>
        </is>
      </c>
      <c r="D160" s="147" t="inlineStr">
        <is>
          <t>Menjamin ketersediaan data pribadi penduduk yang valid dan terintegrasi dalam database kependudukan nasional.</t>
        </is>
      </c>
      <c r="E160"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F160" s="148" t="inlineStr">
        <is>
          <t>SOP Layanan 2025</t>
        </is>
      </c>
      <c r="G160" s="160" t="inlineStr">
        <is>
          <t>PENINGKATAN KUALITAS PELAYANAN PUBLIK</t>
        </is>
      </c>
      <c r="H160" s="160" t="inlineStr">
        <is>
          <t>Masyarakat</t>
        </is>
      </c>
      <c r="I160" s="160" t="inlineStr">
        <is>
          <t>Data Pelapor</t>
        </is>
      </c>
      <c r="J160" s="160" t="inlineStr">
        <is>
          <t>Data Pelapor</t>
        </is>
      </c>
      <c r="K160" s="160" t="inlineStr">
        <is>
          <t>Tertutup</t>
        </is>
      </c>
      <c r="L160" s="160" t="inlineStr">
        <is>
          <t>Terdapat</t>
        </is>
      </c>
      <c r="M160" s="160" t="inlineStr">
        <is>
          <t>Lainnya</t>
        </is>
      </c>
      <c r="N160" s="150" t="inlineStr">
        <is>
          <t>BDS</t>
        </is>
      </c>
      <c r="O160" s="160" t="inlineStr">
        <is>
          <t>Pusat</t>
        </is>
      </c>
      <c r="P160" s="160" t="inlineStr">
        <is>
          <t>Pusat</t>
        </is>
      </c>
      <c r="Q160" s="160" t="inlineStr">
        <is>
          <t>Website dan Mobile</t>
        </is>
      </c>
      <c r="R160" s="151" t="inlineStr">
        <is>
          <t>Tidak tersedia secara publik. Paket update hanya dapat diunduh via SVN Client internal.
 https://bds.bandungkab.go.id/</t>
        </is>
      </c>
      <c r="S160" s="160" t="inlineStr">
        <is>
          <t>Secara Online</t>
        </is>
      </c>
      <c r="T160" s="160" t="inlineStr">
        <is>
          <t>Transaksi</t>
        </is>
      </c>
      <c r="U160" s="160" t="n">
        <v>2022</v>
      </c>
      <c r="V160" s="160" t="inlineStr">
        <is>
          <t>Aktif</t>
        </is>
      </c>
      <c r="W160" s="160" t="inlineStr">
        <is>
          <t>Tidak</t>
        </is>
      </c>
      <c r="X160" s="160" t="inlineStr">
        <is>
          <t>Tidak Terintegrasi</t>
        </is>
      </c>
      <c r="Y160" s="160" t="inlineStr">
        <is>
          <t>Tidak Terintegrasi</t>
        </is>
      </c>
      <c r="Z160" s="160" t="inlineStr">
        <is>
          <t>Tidak Terintegrasi</t>
        </is>
      </c>
      <c r="AA160" s="160" t="inlineStr">
        <is>
          <t>Bidang Pendaftaran Penduduk</t>
        </is>
      </c>
      <c r="AB160" s="160" t="inlineStr">
        <is>
          <t>Disdukcapil</t>
        </is>
      </c>
      <c r="AC160" s="161" t="inlineStr">
        <is>
          <t>Riana Aji Iskandar S.T., M.Kom.</t>
        </is>
      </c>
      <c r="AD160" s="147" t="n">
        <v>8994450222</v>
      </c>
      <c r="AE160" s="146" t="inlineStr">
        <is>
          <t>rianaajiiskandar@gmail.com</t>
        </is>
      </c>
      <c r="AF160" s="147" t="inlineStr">
        <is>
          <t>32. Peningkatan Layanan Kependudukan yang Responsif dan Cepat</t>
        </is>
      </c>
      <c r="AG160" s="163" t="inlineStr">
        <is>
          <t>Harian</t>
        </is>
      </c>
      <c r="AH160" s="154" t="inlineStr">
        <is>
          <t>1. SIAK TERPUSAT : Disdukcapil dan 57 OPD yang sudah melakukan Perjanjian Kerjasama Pemanfaatan Data Kependudukan Tahun 2025 dengan 5 Perangkat Daerah baru yaitu Bagian Kesejahteraan Rakyat Sekretariat Daerah, DPMD, Dishub, Baperida dan Kec. Arjasari, disamping Perjanjian Kerjasama yang masih aktif yakni DPMPTSP, Dinsos, Disdik, Diskominfo, Disnaker, Dispora, Dinkes, Distan, Diskop UKM, DP2KBP3A, Dispakan, Disperdagin, Dispusip, Disperkimtan, Disdamkar, Dinas LH, BPBD, BAPENDA, BKPSDM, Kesbangpol, Satpol PP, Sekretariat DPRD, Kec. Baleendah. Kec. Bojongsoang, Kec. Cicalengka, Kec. Dayeuhkolot, Kec. Katapang, Kec. Kutawaringin, Kec. Nagreg, Kec. Cimenyan, Kec. Cimaung, Kec. Rancaekek, Kec. Pasirjambu, Kec. Margaasih, Kec. Ciparay, Kec. Pacet, Kec. Cileunyi, Kec. Pangalengan, Kec. Rancabali, Kec. Cikancung, Kec. Pameungpeuk, Kec. Margahayu, Kec. Majalaya, Kec. Soreang, Kec. Solokan Jeruk, Kec. Ibun, Kec. Cangkuang, Kec. Ciwidey, Kec. Kertasari, Kec. Paseh, Kec. Banjaran, sehingga sampai dengan akhir Tahun 2025 jumlah Perangkat Daerah yang telah melakukan Perjanjian Kerja Sama Pemanfaatan Data Kependudukan sebanyak 57 PD termasuk Disdukcapil sebagai Leading Sector.
 2. Aplikasi BDS : Seluruh Masyarakat</t>
        </is>
      </c>
      <c r="AI160" s="155" t="n"/>
      <c r="AJ160" s="155" t="n"/>
      <c r="AK160" s="155" t="n"/>
      <c r="AL160" s="155" t="n"/>
      <c r="AM160" s="155" t="n"/>
      <c r="AN160" s="155" t="n"/>
      <c r="AO160" s="155" t="n"/>
      <c r="AP160" s="155" t="n"/>
      <c r="AQ160" s="155" t="n"/>
      <c r="AR160" s="155" t="n"/>
      <c r="AS160" s="284" t="n"/>
    </row>
    <row r="161">
      <c r="A161" s="145" t="n">
        <v>2</v>
      </c>
      <c r="B161" s="158" t="n"/>
      <c r="D161" s="162" t="n"/>
      <c r="E161" s="158" t="n"/>
      <c r="F161" s="159" t="n"/>
      <c r="G161" s="160" t="n"/>
      <c r="H161" s="160" t="n"/>
      <c r="I161" s="160" t="n"/>
      <c r="J161" s="160" t="n"/>
      <c r="K161" s="160" t="n"/>
      <c r="L161" s="160" t="n"/>
      <c r="M161" s="160" t="n"/>
      <c r="N161" s="150" t="inlineStr">
        <is>
          <t>SIAK TERPUSAT</t>
        </is>
      </c>
      <c r="O161" s="160" t="inlineStr">
        <is>
          <t>Pusat</t>
        </is>
      </c>
      <c r="P161" s="160" t="inlineStr">
        <is>
          <t>Pusat</t>
        </is>
      </c>
      <c r="Q161" s="160" t="inlineStr">
        <is>
          <t>Website dan Mobile</t>
        </is>
      </c>
      <c r="R161" s="151" t="inlineStr">
        <is>
          <t>Tidak tersedia secara publik. Paket update hanya dapat diunduh via SVN Client internal.
 https://bds.bandungkab.go.id/</t>
        </is>
      </c>
      <c r="S161" s="160" t="inlineStr">
        <is>
          <t>Secara Online</t>
        </is>
      </c>
      <c r="T161" s="160" t="inlineStr">
        <is>
          <t>Transaksi</t>
        </is>
      </c>
      <c r="U161" s="160" t="n">
        <v>2022</v>
      </c>
      <c r="V161" s="160" t="inlineStr">
        <is>
          <t>Aktif</t>
        </is>
      </c>
      <c r="W161" s="160" t="inlineStr">
        <is>
          <t>Tidak</t>
        </is>
      </c>
      <c r="X161" s="160" t="inlineStr">
        <is>
          <t>Tidak Terintegrasi</t>
        </is>
      </c>
      <c r="Y161" s="160" t="inlineStr">
        <is>
          <t>Tidak Terintegrasi</t>
        </is>
      </c>
      <c r="Z161" s="160" t="inlineStr">
        <is>
          <t>Tidak Terintegrasi</t>
        </is>
      </c>
      <c r="AA161" s="160" t="n"/>
      <c r="AB161" s="160" t="n"/>
      <c r="AC161" s="161" t="n"/>
      <c r="AD161" s="162" t="n"/>
      <c r="AE161" s="158" t="n"/>
      <c r="AF161" s="162" t="n"/>
      <c r="AG161" s="163" t="n"/>
      <c r="AH161" s="155" t="n"/>
      <c r="AI161" s="155" t="n"/>
      <c r="AJ161" s="155" t="n"/>
      <c r="AK161" s="155" t="n"/>
      <c r="AL161" s="155" t="n"/>
      <c r="AM161" s="155" t="n"/>
      <c r="AN161" s="155" t="n"/>
      <c r="AO161" s="155" t="n"/>
      <c r="AP161" s="155" t="n"/>
      <c r="AQ161" s="155" t="n"/>
      <c r="AR161" s="155" t="n"/>
      <c r="AS161" s="284" t="n"/>
    </row>
    <row r="162">
      <c r="A162" s="145" t="n">
        <v>28</v>
      </c>
      <c r="B162" s="164" t="inlineStr">
        <is>
          <t>LAMPID</t>
        </is>
      </c>
      <c r="C162" t="inlineStr">
        <is>
          <t>DISDUKCAPIL</t>
        </is>
      </c>
      <c r="D162" s="147" t="inlineStr">
        <is>
          <t>Menjamin pencatatan empat peristiwa penting (lahir, mati, pindah, datang) secara cepat dan terintegrasi.</t>
        </is>
      </c>
      <c r="E162"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F162" s="148" t="inlineStr">
        <is>
          <t>SOP Layanan 2025</t>
        </is>
      </c>
      <c r="G162" s="160" t="inlineStr">
        <is>
          <t>PENINGKATAN KUALITAS PELAYANAN PUBLIK</t>
        </is>
      </c>
      <c r="H162" s="160" t="inlineStr">
        <is>
          <t>Masyarakat</t>
        </is>
      </c>
      <c r="I162" s="160" t="inlineStr">
        <is>
          <t>Data Pelapor</t>
        </is>
      </c>
      <c r="J162" s="160" t="inlineStr">
        <is>
          <t>Data Pelapor</t>
        </is>
      </c>
      <c r="K162" s="160" t="inlineStr">
        <is>
          <t>Tertutup</t>
        </is>
      </c>
      <c r="L162" s="160" t="inlineStr">
        <is>
          <t>Terdapat</t>
        </is>
      </c>
      <c r="M162" s="160" t="inlineStr">
        <is>
          <t>Lainnya</t>
        </is>
      </c>
      <c r="N162" s="150" t="inlineStr">
        <is>
          <t>lampid</t>
        </is>
      </c>
      <c r="O162" s="160" t="inlineStr">
        <is>
          <t>OPD</t>
        </is>
      </c>
      <c r="P162" s="160" t="inlineStr">
        <is>
          <t>Kab. Bandung</t>
        </is>
      </c>
      <c r="Q162" s="160" t="inlineStr">
        <is>
          <t>Website</t>
        </is>
      </c>
      <c r="R162" s="151" t="inlineStr">
        <is>
          <t>http://lampid.bandungkab.go.id/</t>
        </is>
      </c>
      <c r="S162" s="160" t="inlineStr">
        <is>
          <t>Secara Online</t>
        </is>
      </c>
      <c r="T162" s="160" t="inlineStr">
        <is>
          <t>Transaksi</t>
        </is>
      </c>
      <c r="U162" s="160" t="n">
        <v>2022</v>
      </c>
      <c r="V162" s="160" t="inlineStr">
        <is>
          <t>Non Aktif</t>
        </is>
      </c>
      <c r="W162" s="160" t="inlineStr">
        <is>
          <t>Tidak</t>
        </is>
      </c>
      <c r="X162" s="160" t="inlineStr">
        <is>
          <t>Tidak Terintegrasi</t>
        </is>
      </c>
      <c r="Y162" s="160" t="inlineStr">
        <is>
          <t>Tidak Terintegrasi</t>
        </is>
      </c>
      <c r="Z162" s="160" t="inlineStr">
        <is>
          <t>Tidak Terintegrasi</t>
        </is>
      </c>
      <c r="AA162" s="160" t="inlineStr">
        <is>
          <t>Bidang Pencatatan Sipil</t>
        </is>
      </c>
      <c r="AB162" s="160" t="inlineStr">
        <is>
          <t>Disdukcapil</t>
        </is>
      </c>
      <c r="AC162" s="161" t="inlineStr">
        <is>
          <t>Riana Aji Iskandar S.T., M.Kom.</t>
        </is>
      </c>
      <c r="AD162" s="147" t="n">
        <v>8994450222</v>
      </c>
      <c r="AE162" s="146" t="inlineStr">
        <is>
          <t>rianaajiiskandar@gmail.com</t>
        </is>
      </c>
      <c r="AF162" s="147" t="inlineStr">
        <is>
          <t>32. Peningkatan Layanan Kependudukan yang Responsif dan Cepat</t>
        </is>
      </c>
      <c r="AG162" s="163" t="inlineStr">
        <is>
          <t>Harian</t>
        </is>
      </c>
      <c r="AH162" s="154" t="inlineStr">
        <is>
          <t>Aplikasi LAMPID : Disdukcapil dan Desa/Kecamatan</t>
        </is>
      </c>
      <c r="AI162" s="155" t="n"/>
      <c r="AJ162" s="155" t="n"/>
      <c r="AK162" s="155" t="n"/>
      <c r="AL162" s="155" t="n"/>
      <c r="AM162" s="155" t="n"/>
      <c r="AN162" s="155" t="n"/>
      <c r="AO162" s="155" t="n"/>
      <c r="AP162" s="155" t="n"/>
      <c r="AQ162" s="155" t="n"/>
      <c r="AR162" s="155" t="n"/>
      <c r="AS162" s="284" t="n"/>
    </row>
    <row r="163">
      <c r="A163" s="71" t="inlineStr">
        <is>
          <t>DPMD</t>
        </is>
      </c>
      <c r="B163" s="58" t="n"/>
      <c r="D163" s="58" t="n"/>
      <c r="E163" s="58" t="n"/>
      <c r="F163" s="58" t="n"/>
      <c r="G163" s="58" t="n"/>
      <c r="H163" s="58" t="n"/>
      <c r="I163" s="58" t="n"/>
      <c r="J163" s="58" t="n"/>
      <c r="K163" s="58" t="n"/>
      <c r="L163" s="58" t="n"/>
      <c r="M163" s="58" t="n"/>
      <c r="N163" s="58" t="n"/>
      <c r="O163" s="58" t="n"/>
      <c r="P163" s="58" t="n"/>
      <c r="Q163" s="58" t="n"/>
      <c r="R163" s="58" t="n"/>
      <c r="S163" s="58" t="n"/>
      <c r="T163" s="58" t="n"/>
      <c r="U163" s="58" t="n"/>
      <c r="V163" s="58" t="n"/>
      <c r="W163" s="58" t="n"/>
      <c r="X163" s="58" t="n"/>
      <c r="Y163" s="58" t="n"/>
      <c r="Z163" s="58" t="n"/>
      <c r="AA163" s="58" t="n"/>
      <c r="AB163" s="58" t="n"/>
      <c r="AC163" s="58" t="n"/>
      <c r="AD163" s="58" t="n"/>
      <c r="AE163" s="58" t="n"/>
      <c r="AF163" s="200" t="n"/>
      <c r="AG163" s="200" t="n"/>
      <c r="AH163" s="284" t="n"/>
      <c r="AI163" s="284" t="n"/>
      <c r="AJ163" s="284" t="n"/>
      <c r="AK163" s="284" t="n"/>
      <c r="AL163" s="284" t="n"/>
      <c r="AM163" s="284" t="n"/>
      <c r="AN163" s="284" t="n"/>
      <c r="AO163" s="284" t="n"/>
      <c r="AP163" s="284" t="n"/>
      <c r="AQ163" s="284" t="n"/>
      <c r="AR163" s="284" t="n"/>
      <c r="AS163" s="284" t="n"/>
    </row>
    <row r="164">
      <c r="A164" s="165" t="n">
        <v>1</v>
      </c>
      <c r="B164" s="171" t="inlineStr">
        <is>
          <t>Layanan Pengelolaan Keuangan Desa</t>
        </is>
      </c>
      <c r="C164" t="inlineStr">
        <is>
          <t>DPMD</t>
        </is>
      </c>
      <c r="D164" s="171" t="inlineStr">
        <is>
          <t>Meningkatkan transparansi, akuntabilitas, dan efisiensi dalam pengelolaan keuangan di tingkat desa untuk memastikan dana desa digunakan secara efektif dan sesuai peruntukannya.</t>
        </is>
      </c>
      <c r="E164" s="171" t="inlineStr">
        <is>
          <t>- Undang-Undang Nomor 6 Tahun 2014 tentang Desa
 - Permendagri Nomor 20 Tahun 2018 tentang Pengelolaan Keuangan Desa</t>
        </is>
      </c>
      <c r="F164" s="171" t="inlineStr">
        <is>
          <t>Tidak ada</t>
        </is>
      </c>
      <c r="G164" s="167" t="inlineStr">
        <is>
          <t>PENINGKATAN KUALITAS PELAYANAN PUBLIK</t>
        </is>
      </c>
      <c r="H164" s="167" t="inlineStr">
        <is>
          <t>Masyarakat</t>
        </is>
      </c>
      <c r="I164" s="171" t="inlineStr">
        <is>
          <t>Data Keuangan Desa</t>
        </is>
      </c>
      <c r="J164" s="171" t="inlineStr">
        <is>
          <t>Data Keuangan Desa</t>
        </is>
      </c>
      <c r="K164" s="167" t="inlineStr">
        <is>
          <t>Terbatas</t>
        </is>
      </c>
      <c r="L164" s="167" t="inlineStr">
        <is>
          <t>Terdapat</t>
        </is>
      </c>
      <c r="M164" s="167" t="inlineStr">
        <is>
          <t>Bulanan</t>
        </is>
      </c>
      <c r="N164" s="168" t="inlineStr">
        <is>
          <t>SISKEUDES</t>
        </is>
      </c>
      <c r="O164" s="167" t="inlineStr">
        <is>
          <t>Pusat</t>
        </is>
      </c>
      <c r="P164" s="167" t="inlineStr">
        <is>
          <t>Pusat</t>
        </is>
      </c>
      <c r="Q164" s="167" t="inlineStr">
        <is>
          <t>Desktop</t>
        </is>
      </c>
      <c r="R164" s="169" t="inlineStr">
        <is>
          <t>http://siskeudes.bandungkab.go.id:8080/guacamole/#/</t>
        </is>
      </c>
      <c r="S164" s="167" t="inlineStr">
        <is>
          <t>Secara Online</t>
        </is>
      </c>
      <c r="T164" s="167" t="inlineStr">
        <is>
          <t>Transaksi</t>
        </is>
      </c>
      <c r="U164" s="170" t="n">
        <v>2015</v>
      </c>
      <c r="V164" s="167" t="inlineStr">
        <is>
          <t>Aktif</t>
        </is>
      </c>
      <c r="W164" s="167" t="inlineStr">
        <is>
          <t>Ya</t>
        </is>
      </c>
      <c r="X164" s="167" t="inlineStr">
        <is>
          <t>website konsolidasi Kemendagri</t>
        </is>
      </c>
      <c r="Y164" s="167" t="inlineStr">
        <is>
          <t>Database to Database</t>
        </is>
      </c>
      <c r="Z164" s="167" t="inlineStr">
        <is>
          <t>Lainnya</t>
        </is>
      </c>
      <c r="AA164" s="167" t="inlineStr">
        <is>
          <t>Bidang Administrasi Pemerintahan Desa</t>
        </is>
      </c>
      <c r="AB164" s="167" t="inlineStr">
        <is>
          <t>DPMD</t>
        </is>
      </c>
      <c r="AC164" s="171" t="inlineStr">
        <is>
          <t>Fauzan Pujarahmani</t>
        </is>
      </c>
      <c r="AD164" s="171">
        <f>+62 852-2443-7788</f>
        <v/>
      </c>
      <c r="AE164" s="288" t="n"/>
      <c r="AF164" s="67" t="inlineStr">
        <is>
          <t>Mewujudkan pembangunan berbasis Desa</t>
        </is>
      </c>
      <c r="AG164" s="68" t="inlineStr">
        <is>
          <t>Harian</t>
        </is>
      </c>
      <c r="AH164" s="172" t="inlineStr">
        <is>
          <t>Desa</t>
        </is>
      </c>
      <c r="AI164" s="173" t="n"/>
      <c r="AJ164" s="173" t="n"/>
      <c r="AK164" s="173" t="n"/>
      <c r="AL164" s="173" t="n"/>
      <c r="AM164" s="173" t="n"/>
      <c r="AN164" s="173" t="n"/>
      <c r="AO164" s="173" t="n"/>
      <c r="AP164" s="173" t="n"/>
      <c r="AQ164" s="173" t="n"/>
      <c r="AR164" s="173" t="n"/>
      <c r="AS164" s="284" t="n"/>
    </row>
    <row r="165">
      <c r="A165" s="165" t="n">
        <v>2</v>
      </c>
      <c r="B165" s="171" t="inlineStr">
        <is>
          <t>Layanan Pengelolaan Keuangan Desa</t>
        </is>
      </c>
      <c r="C165" t="inlineStr">
        <is>
          <t>DPMD</t>
        </is>
      </c>
      <c r="D165" s="171" t="inlineStr">
        <is>
          <t>Meningkatkan transparansi, akuntabilitas, dan efisiensi dalam pengelolaan keuangan di tingkat desa untuk memastikan dana desa digunakan secara efektif dan sesuai peruntukannya.</t>
        </is>
      </c>
      <c r="E165" s="171" t="inlineStr">
        <is>
          <t>UU Nomor 1 Tahun 2004 tentang Perbendaharaan Negara</t>
        </is>
      </c>
      <c r="F165" s="171" t="inlineStr">
        <is>
          <t>Tidak ada</t>
        </is>
      </c>
      <c r="G165" s="167" t="inlineStr">
        <is>
          <t>PENINGKATAN KUALITAS PELAYANAN PUBLIK</t>
        </is>
      </c>
      <c r="H165" s="167" t="inlineStr">
        <is>
          <t>Masyarakat</t>
        </is>
      </c>
      <c r="I165" s="171" t="inlineStr">
        <is>
          <t>Data Keuangan Desa</t>
        </is>
      </c>
      <c r="J165" s="171" t="inlineStr">
        <is>
          <t>Data Keuangan Desa</t>
        </is>
      </c>
      <c r="K165" s="167" t="inlineStr">
        <is>
          <t>Terbatas</t>
        </is>
      </c>
      <c r="L165" s="167" t="inlineStr">
        <is>
          <t>Terdapat</t>
        </is>
      </c>
      <c r="M165" s="167" t="inlineStr">
        <is>
          <t>Bulanan</t>
        </is>
      </c>
      <c r="N165" s="168" t="inlineStr">
        <is>
          <t>OM-SPAN</t>
        </is>
      </c>
      <c r="O165" s="167" t="inlineStr">
        <is>
          <t>Pusat</t>
        </is>
      </c>
      <c r="P165" s="167" t="inlineStr">
        <is>
          <t>Pusat</t>
        </is>
      </c>
      <c r="Q165" s="167" t="inlineStr">
        <is>
          <t>Website</t>
        </is>
      </c>
      <c r="R165" s="169" t="inlineStr">
        <is>
          <t>https://spanint.kemenkeu.go.id/tkd/#/home/login</t>
        </is>
      </c>
      <c r="S165" s="167" t="inlineStr">
        <is>
          <t>Secara Online</t>
        </is>
      </c>
      <c r="T165" s="167" t="inlineStr">
        <is>
          <t>Transaksi</t>
        </is>
      </c>
      <c r="U165" s="170" t="n">
        <v>2016</v>
      </c>
      <c r="V165" s="167" t="inlineStr">
        <is>
          <t>Aktif</t>
        </is>
      </c>
      <c r="W165" s="167" t="inlineStr">
        <is>
          <t>Ya</t>
        </is>
      </c>
      <c r="X165" s="167" t="inlineStr">
        <is>
          <t>Terintegrasi dengan SISKEUDES</t>
        </is>
      </c>
      <c r="Y165" s="167" t="inlineStr">
        <is>
          <t>Database to Database</t>
        </is>
      </c>
      <c r="Z165" s="167" t="inlineStr">
        <is>
          <t>Lainnya</t>
        </is>
      </c>
      <c r="AA165" s="167" t="inlineStr">
        <is>
          <t>Bidang Administrasi Pemerintahan Desa</t>
        </is>
      </c>
      <c r="AB165" s="167" t="inlineStr">
        <is>
          <t>DPMD</t>
        </is>
      </c>
      <c r="AC165" s="171" t="inlineStr">
        <is>
          <t>Tsalits Nur F</t>
        </is>
      </c>
      <c r="AD165" s="171">
        <f>+62 877-4168-8587</f>
        <v/>
      </c>
      <c r="AE165" s="171" t="inlineStr">
        <is>
          <t>apd.dpmd.bdgkab@gmail.com</t>
        </is>
      </c>
      <c r="AF165" s="67" t="inlineStr">
        <is>
          <t>Mewujudkan pembangunan berbasis Desa</t>
        </is>
      </c>
      <c r="AG165" s="68" t="inlineStr">
        <is>
          <t>Harian</t>
        </is>
      </c>
      <c r="AH165" s="172" t="inlineStr">
        <is>
          <t>Desa</t>
        </is>
      </c>
      <c r="AI165" s="173" t="n"/>
      <c r="AJ165" s="173" t="n"/>
      <c r="AK165" s="173" t="n"/>
      <c r="AL165" s="173" t="n"/>
      <c r="AM165" s="173" t="n"/>
      <c r="AN165" s="173" t="n"/>
      <c r="AO165" s="173" t="n"/>
      <c r="AP165" s="173" t="n"/>
      <c r="AQ165" s="173" t="n"/>
      <c r="AR165" s="173" t="n"/>
      <c r="AS165" s="284" t="n"/>
    </row>
    <row r="166">
      <c r="A166" s="165" t="n">
        <v>3</v>
      </c>
      <c r="B166" s="171" t="inlineStr">
        <is>
          <t>Layanan Informasi Profil Desa dan Kelurahan</t>
        </is>
      </c>
      <c r="C166" t="inlineStr">
        <is>
          <t>DPMD</t>
        </is>
      </c>
      <c r="D166" s="171" t="inlineStr">
        <is>
          <t>Memberikan informasi terkait profil, potensi, dan perkembangan desa atau kelurahan kepada masyarakat serta pihak terkait untuk mendukung pengambilan keputusan dan perencanaan pembangunan.</t>
        </is>
      </c>
      <c r="E166" s="171" t="inlineStr">
        <is>
          <t>-Undang-Undang Nomor 6 Tahun 2014 tentang Desa
 - Peraturan Menteri Dalam Negeri Nomor 12 Tahun 2007 tentang Pedoman Penyusunan dan Pendayagunaan Data Profil Desa dan Kelurahan
 - Permendagri Nomor 81 Tahun 2015 tentang Evaluasi Perkembangan Desa dan Kelurahan</t>
        </is>
      </c>
      <c r="F166" s="171" t="inlineStr">
        <is>
          <t>Tidak ada</t>
        </is>
      </c>
      <c r="G166" s="167" t="inlineStr">
        <is>
          <t>PENINGKATAN KUALITAS PELAYANAN PUBLIK</t>
        </is>
      </c>
      <c r="H166" s="167" t="inlineStr">
        <is>
          <t>Masyarakat</t>
        </is>
      </c>
      <c r="I166" s="167" t="inlineStr">
        <is>
          <t>Data Profil Desa dan Kelurahan Desa</t>
        </is>
      </c>
      <c r="J166" s="171" t="inlineStr">
        <is>
          <t>Data Profil Desa dan Kelurahan</t>
        </is>
      </c>
      <c r="K166" s="167" t="inlineStr">
        <is>
          <t>Terbatas</t>
        </is>
      </c>
      <c r="L166" s="167" t="inlineStr">
        <is>
          <t>Tidak terdapat</t>
        </is>
      </c>
      <c r="M166" s="167" t="inlineStr">
        <is>
          <t>Harian</t>
        </is>
      </c>
      <c r="N166" s="168" t="inlineStr">
        <is>
          <t>PRODESKEL</t>
        </is>
      </c>
      <c r="O166" s="167" t="inlineStr">
        <is>
          <t>Pusat</t>
        </is>
      </c>
      <c r="P166" s="167" t="inlineStr">
        <is>
          <t>Pusat</t>
        </is>
      </c>
      <c r="Q166" s="167" t="inlineStr">
        <is>
          <t>Website</t>
        </is>
      </c>
      <c r="R166" s="169" t="inlineStr">
        <is>
          <t>https://prodeskel.binapemdes.kemendagri.go.id/mpublik/</t>
        </is>
      </c>
      <c r="S166" s="167" t="inlineStr">
        <is>
          <t>Secara Online</t>
        </is>
      </c>
      <c r="T166" s="167" t="inlineStr">
        <is>
          <t>Informasi</t>
        </is>
      </c>
      <c r="U166" s="170" t="n">
        <v>2011</v>
      </c>
      <c r="V166" s="167" t="inlineStr">
        <is>
          <t>Aktif</t>
        </is>
      </c>
      <c r="W166" s="167" t="inlineStr">
        <is>
          <t>Tidak</t>
        </is>
      </c>
      <c r="X166" s="167" t="inlineStr">
        <is>
          <t>Tidak Terintegrasi</t>
        </is>
      </c>
      <c r="Y166" s="167" t="inlineStr">
        <is>
          <t>Tidak Terintegrasi</t>
        </is>
      </c>
      <c r="Z166" s="167" t="inlineStr">
        <is>
          <t>Tidak Terintegrasi</t>
        </is>
      </c>
      <c r="AA166" s="167" t="inlineStr">
        <is>
          <t>Bidang Administrasi Pemerintahan Desa</t>
        </is>
      </c>
      <c r="AB166" s="167" t="inlineStr">
        <is>
          <t>DPMD</t>
        </is>
      </c>
      <c r="AC166" s="171" t="inlineStr">
        <is>
          <t>Oktavianti</t>
        </is>
      </c>
      <c r="AD166" s="171">
        <f>+62 819-1521-7805</f>
        <v/>
      </c>
      <c r="AE166" s="288" t="n"/>
      <c r="AF166" s="288" t="n"/>
      <c r="AG166" s="68" t="inlineStr">
        <is>
          <t>Harian</t>
        </is>
      </c>
      <c r="AH166" s="172" t="inlineStr">
        <is>
          <t>Desa</t>
        </is>
      </c>
      <c r="AI166" s="173" t="n"/>
      <c r="AJ166" s="173" t="n"/>
      <c r="AK166" s="173" t="n"/>
      <c r="AL166" s="173" t="n"/>
      <c r="AM166" s="173" t="n"/>
      <c r="AN166" s="173" t="n"/>
      <c r="AO166" s="173" t="n"/>
      <c r="AP166" s="173" t="n"/>
      <c r="AQ166" s="173" t="n"/>
      <c r="AR166" s="173" t="n"/>
      <c r="AS166" s="284" t="n"/>
    </row>
    <row r="167">
      <c r="A167" s="165" t="n">
        <v>4</v>
      </c>
      <c r="B167" s="171" t="inlineStr">
        <is>
          <t>Layanan Informasi Profil Desa dan Kelurahan</t>
        </is>
      </c>
      <c r="C167" t="inlineStr">
        <is>
          <t>DPMD</t>
        </is>
      </c>
      <c r="D167" s="171" t="inlineStr">
        <is>
          <t>Memberikan informasi terkait profil, potensi, dan perkembangan desa atau kelurahan kepada masyarakat serta pihak terkait untuk mendukung pengambilan keputusan dan perencanaan pembangunan.</t>
        </is>
      </c>
      <c r="E167" s="171" t="inlineStr">
        <is>
          <t>-Undang-Undang Nomor 6 Tahun 2014 tentang Desa
 - Permendagri Nomor 81 Tahun 2015 tentang Evaluasi Perkembangan Desa dan Kelurahan
 - Permendagri Nomor 86 Tahun 2017 tentang Tata Cara Perencanaan, Pengendalian, dan Evaluasi Pembangunan Daerah</t>
        </is>
      </c>
      <c r="F167" s="171" t="inlineStr">
        <is>
          <t>Tidak ada</t>
        </is>
      </c>
      <c r="G167" s="167" t="inlineStr">
        <is>
          <t>PENINGKATAN KUALITAS PELAYANAN PUBLIK</t>
        </is>
      </c>
      <c r="H167" s="167" t="inlineStr">
        <is>
          <t>Instansi Pemerintah Lainnya</t>
        </is>
      </c>
      <c r="I167" s="167" t="inlineStr">
        <is>
          <t>Data tingkat perkembangan desa</t>
        </is>
      </c>
      <c r="J167" s="171" t="inlineStr">
        <is>
          <t>Status desa</t>
        </is>
      </c>
      <c r="K167" s="167" t="inlineStr">
        <is>
          <t>Terbatas</t>
        </is>
      </c>
      <c r="L167" s="167" t="inlineStr">
        <is>
          <t>Tidak terdapat</t>
        </is>
      </c>
      <c r="M167" s="167" t="inlineStr">
        <is>
          <t>Tahunan</t>
        </is>
      </c>
      <c r="N167" s="168" t="inlineStr">
        <is>
          <t>EPDESKEL</t>
        </is>
      </c>
      <c r="O167" s="167" t="inlineStr">
        <is>
          <t>Pusat</t>
        </is>
      </c>
      <c r="P167" s="167" t="inlineStr">
        <is>
          <t>Pusat</t>
        </is>
      </c>
      <c r="Q167" s="167" t="inlineStr">
        <is>
          <t>Website</t>
        </is>
      </c>
      <c r="R167" s="169" t="inlineStr">
        <is>
          <t>https://epdeskel.binapemdes.kemendagri.go.id/app_Login/</t>
        </is>
      </c>
      <c r="S167" s="167" t="inlineStr">
        <is>
          <t>Secara Online</t>
        </is>
      </c>
      <c r="T167" s="167" t="inlineStr">
        <is>
          <t>Informasi</t>
        </is>
      </c>
      <c r="U167" s="170" t="n">
        <v>2016</v>
      </c>
      <c r="V167" s="167" t="inlineStr">
        <is>
          <t>Aktif</t>
        </is>
      </c>
      <c r="W167" s="167" t="inlineStr">
        <is>
          <t>Tidak</t>
        </is>
      </c>
      <c r="X167" s="167" t="inlineStr">
        <is>
          <t>Tidak Terintegrasi</t>
        </is>
      </c>
      <c r="Y167" s="167" t="inlineStr">
        <is>
          <t>Tidak Terintegrasi</t>
        </is>
      </c>
      <c r="Z167" s="167" t="inlineStr">
        <is>
          <t>Tidak Terintegrasi</t>
        </is>
      </c>
      <c r="AA167" s="167" t="inlineStr">
        <is>
          <t>Bidang Administrasi Pemerintahan Desa</t>
        </is>
      </c>
      <c r="AB167" s="167" t="inlineStr">
        <is>
          <t>DPMD</t>
        </is>
      </c>
      <c r="AC167" s="171" t="inlineStr">
        <is>
          <t>Melia H</t>
        </is>
      </c>
      <c r="AD167" s="171">
        <f>+62 852-2242-7635</f>
        <v/>
      </c>
      <c r="AE167" s="288" t="n"/>
      <c r="AF167" s="288" t="n"/>
      <c r="AG167" s="68" t="inlineStr">
        <is>
          <t>Harian</t>
        </is>
      </c>
      <c r="AH167" s="172" t="inlineStr">
        <is>
          <t>Desa</t>
        </is>
      </c>
      <c r="AI167" s="173" t="n"/>
      <c r="AJ167" s="173" t="n"/>
      <c r="AK167" s="173" t="n"/>
      <c r="AL167" s="173" t="n"/>
      <c r="AM167" s="173" t="n"/>
      <c r="AN167" s="173" t="n"/>
      <c r="AO167" s="173" t="n"/>
      <c r="AP167" s="173" t="n"/>
      <c r="AQ167" s="173" t="n"/>
      <c r="AR167" s="173" t="n"/>
      <c r="AS167" s="284" t="n"/>
    </row>
    <row r="168">
      <c r="A168" s="165" t="n">
        <v>5</v>
      </c>
      <c r="B168" s="171" t="inlineStr">
        <is>
          <t>Layanan Aset Desa (Pengelolaan, Pengadaan dan Penghapusan)</t>
        </is>
      </c>
      <c r="C168" t="inlineStr">
        <is>
          <t>DPMD</t>
        </is>
      </c>
      <c r="D168" s="171" t="inlineStr">
        <is>
          <t>Mengelola aset desa dengan baik, termasuk dalam proses pengadaan, pengelolaan, dan penghapusan aset agar dapat memberikan manfaat maksimal bagi masyarakat desa.</t>
        </is>
      </c>
      <c r="E168" s="171" t="inlineStr">
        <is>
          <t>-Undang-Undang Nomor 6 Tahun 2014 tentang Desa
 - Permendagri Nomor 1 Tahun 2016 tentang Pengelolaan Aset Desa</t>
        </is>
      </c>
      <c r="F168" s="169" t="inlineStr">
        <is>
          <t>https://drive.google.com/file/d/1CvHE6emS2UxjsAt6IC87kgxEb19CuE3k/view?usp=sharing</t>
        </is>
      </c>
      <c r="G168" s="167" t="inlineStr">
        <is>
          <t>PENINGKATAN KUALITAS PELAYANAN PUBLIK</t>
        </is>
      </c>
      <c r="H168" s="167" t="inlineStr">
        <is>
          <t>Instansi Pemerintah Lainnya</t>
        </is>
      </c>
      <c r="I168" s="167" t="inlineStr">
        <is>
          <t>Aset desa</t>
        </is>
      </c>
      <c r="J168" s="171" t="inlineStr">
        <is>
          <t>Data Aset Desa</t>
        </is>
      </c>
      <c r="K168" s="167" t="inlineStr">
        <is>
          <t>Terbatas</t>
        </is>
      </c>
      <c r="L168" s="167" t="inlineStr">
        <is>
          <t>Tidak terdapat</t>
        </is>
      </c>
      <c r="M168" s="167" t="inlineStr">
        <is>
          <t>Harian</t>
        </is>
      </c>
      <c r="N168" s="168" t="inlineStr">
        <is>
          <t>SIPADES</t>
        </is>
      </c>
      <c r="O168" s="167" t="inlineStr">
        <is>
          <t>Pusat</t>
        </is>
      </c>
      <c r="P168" s="167" t="inlineStr">
        <is>
          <t>Pusat</t>
        </is>
      </c>
      <c r="Q168" s="167" t="inlineStr">
        <is>
          <t>Website</t>
        </is>
      </c>
      <c r="R168" s="169" t="inlineStr">
        <is>
          <t>http://sipades.id/</t>
        </is>
      </c>
      <c r="S168" s="167" t="inlineStr">
        <is>
          <t>Secara Online</t>
        </is>
      </c>
      <c r="T168" s="167" t="inlineStr">
        <is>
          <t>Informasi</t>
        </is>
      </c>
      <c r="U168" s="170" t="n">
        <v>2017</v>
      </c>
      <c r="V168" s="167" t="inlineStr">
        <is>
          <t>Maintenance</t>
        </is>
      </c>
      <c r="W168" s="167" t="inlineStr">
        <is>
          <t>Ya</t>
        </is>
      </c>
      <c r="X168" s="167" t="inlineStr">
        <is>
          <t>SIPD</t>
        </is>
      </c>
      <c r="Y168" s="167" t="inlineStr">
        <is>
          <t>Database to Database</t>
        </is>
      </c>
      <c r="Z168" s="167" t="inlineStr">
        <is>
          <t>Realtime</t>
        </is>
      </c>
      <c r="AA168" s="167" t="inlineStr">
        <is>
          <t>Bidang Administrasi Pemerintahan Desa</t>
        </is>
      </c>
      <c r="AB168" s="167" t="inlineStr">
        <is>
          <t>DPMD</t>
        </is>
      </c>
      <c r="AC168" s="171" t="inlineStr">
        <is>
          <t>Bilal Rizky</t>
        </is>
      </c>
      <c r="AD168" s="171">
        <f>+62 813-1367-9948</f>
        <v/>
      </c>
      <c r="AE168" s="171" t="inlineStr">
        <is>
          <t>bilalramadhan30@gmail.com</t>
        </is>
      </c>
      <c r="AF168" s="288" t="n"/>
      <c r="AG168" s="68" t="inlineStr">
        <is>
          <t>Harian</t>
        </is>
      </c>
      <c r="AH168" s="172" t="inlineStr">
        <is>
          <t>Desa</t>
        </is>
      </c>
      <c r="AI168" s="173" t="n"/>
      <c r="AJ168" s="173" t="n"/>
      <c r="AK168" s="173" t="n"/>
      <c r="AL168" s="173" t="n"/>
      <c r="AM168" s="173" t="n"/>
      <c r="AN168" s="173" t="n"/>
      <c r="AO168" s="173" t="n"/>
      <c r="AP168" s="173" t="n"/>
      <c r="AQ168" s="173" t="n"/>
      <c r="AR168" s="173" t="n"/>
      <c r="AS168" s="284" t="n"/>
    </row>
    <row r="169">
      <c r="A169" s="165" t="n">
        <v>6</v>
      </c>
      <c r="B169" s="171" t="inlineStr">
        <is>
          <t>Layanan Pembinaan Lembaga Kemasyarakatan Desa</t>
        </is>
      </c>
      <c r="C169" t="inlineStr">
        <is>
          <t>DPMD</t>
        </is>
      </c>
      <c r="D169" s="171" t="inlineStr">
        <is>
          <t>Memberikan pembinaan dan dukungan kepada lembaga kemasyarakatan desa seperti karang taruna, PKK, dan lainnya untuk meningkatkan peran dan kontribusi mereka dalam pembangunan desa.</t>
        </is>
      </c>
      <c r="E169" s="171" t="inlineStr">
        <is>
          <t>Permendagri 13 tahun 2024 tentang Pos Pelayanan Terpadu</t>
        </is>
      </c>
      <c r="F169" s="169" t="inlineStr">
        <is>
          <t>https://drive.google.com/file/d/1YdbXWdCS28ppql72phZoI1RvIMqiXeuL/view?usp=sharing</t>
        </is>
      </c>
      <c r="G169" s="167" t="inlineStr">
        <is>
          <t>PENINGKATAN KUALITAS PELAYANAN PUBLIK</t>
        </is>
      </c>
      <c r="H169" s="167" t="inlineStr">
        <is>
          <t>Masyarakat</t>
        </is>
      </c>
      <c r="I169" s="167" t="inlineStr">
        <is>
          <t>Laporan/aduan masyarakat berdasarkan Posyandu 6 SPM (Kesehatan, Pendidikan, PU, PR, Trantibum Linmas, Sosial)</t>
        </is>
      </c>
      <c r="J169" s="167" t="inlineStr">
        <is>
          <t>Laporan/aduan masyarakat berdasarkan Posyandu 6 SPM (Kesehatan, Pendidikan, PU, PR, Trantibum Linmas, Sosial)</t>
        </is>
      </c>
      <c r="K169" s="167" t="inlineStr">
        <is>
          <t>Terbatas</t>
        </is>
      </c>
      <c r="L169" s="167" t="inlineStr">
        <is>
          <t>Terdapat</t>
        </is>
      </c>
      <c r="M169" s="167" t="inlineStr">
        <is>
          <t>Harian</t>
        </is>
      </c>
      <c r="N169" s="168" t="inlineStr">
        <is>
          <t>SIPANDU BEDAS</t>
        </is>
      </c>
      <c r="O169" s="167" t="inlineStr">
        <is>
          <t>Pihak Ke 3</t>
        </is>
      </c>
      <c r="P169" s="167" t="inlineStr">
        <is>
          <t>Kab. Bandung</t>
        </is>
      </c>
      <c r="Q169" s="167" t="inlineStr">
        <is>
          <t>Mobile</t>
        </is>
      </c>
      <c r="R169" s="169" t="inlineStr">
        <is>
          <t>http://s.id/sipandubedas</t>
        </is>
      </c>
      <c r="S169" s="167" t="inlineStr">
        <is>
          <t>Secara Online</t>
        </is>
      </c>
      <c r="T169" s="167" t="inlineStr">
        <is>
          <t>Transaksi</t>
        </is>
      </c>
      <c r="U169" s="170" t="n">
        <v>2025</v>
      </c>
      <c r="V169" s="167" t="inlineStr">
        <is>
          <t>Maintenance</t>
        </is>
      </c>
      <c r="W169" s="167" t="inlineStr">
        <is>
          <t>Tidak</t>
        </is>
      </c>
      <c r="X169" s="167" t="inlineStr">
        <is>
          <t>Tidak Terintegrasi</t>
        </is>
      </c>
      <c r="Y169" s="167" t="inlineStr">
        <is>
          <t>Tidak Terintegrasi</t>
        </is>
      </c>
      <c r="Z169" s="167" t="inlineStr">
        <is>
          <t>Tidak Terintegrasi</t>
        </is>
      </c>
      <c r="AA169" s="167" t="inlineStr">
        <is>
          <t>Kelembagaan dan Peningkatan Partisipasi Masyarakat</t>
        </is>
      </c>
      <c r="AB169" s="167" t="inlineStr">
        <is>
          <t>DPMD</t>
        </is>
      </c>
      <c r="AC169" s="171" t="inlineStr">
        <is>
          <t>Ilham Juliana;
 Mariska Ardilla Faza</t>
        </is>
      </c>
      <c r="AD169" s="171">
        <f>+62 814-6098-3680
 +62 813-2079-8875</f>
        <v/>
      </c>
      <c r="AE169" s="288" t="n"/>
      <c r="AF169" s="288" t="n"/>
      <c r="AG169" s="68" t="inlineStr">
        <is>
          <t>Harian</t>
        </is>
      </c>
      <c r="AH169" s="172" t="inlineStr">
        <is>
          <t>Desa</t>
        </is>
      </c>
      <c r="AI169" s="173" t="n"/>
      <c r="AJ169" s="173" t="n"/>
      <c r="AK169" s="173" t="n"/>
      <c r="AL169" s="173" t="n"/>
      <c r="AM169" s="173" t="n"/>
      <c r="AN169" s="173" t="n"/>
      <c r="AO169" s="173" t="n"/>
      <c r="AP169" s="173" t="n"/>
      <c r="AQ169" s="173" t="n"/>
      <c r="AR169" s="173" t="n"/>
      <c r="AS169" s="284" t="n"/>
    </row>
    <row r="170">
      <c r="A170" s="182" t="n">
        <v>7</v>
      </c>
      <c r="B170" s="178" t="inlineStr">
        <is>
          <t>Layanan Pengelolaan Keuangan Desa</t>
        </is>
      </c>
      <c r="C170" t="inlineStr">
        <is>
          <t>DPMD</t>
        </is>
      </c>
      <c r="D170" s="178" t="inlineStr">
        <is>
          <t>Meningkatkan transparansi, akuntabilitas, dan efisiensi dalam pengelolaan keuangan di tingkat desa untuk memastikan setiap pengajuan bankeu digunakan secara efektif dan sesuai peruntukannya.</t>
        </is>
      </c>
      <c r="E170" s="178" t="inlineStr">
        <is>
          <t>Peraturan Bupati Bandung Nomor 328 Tahun 2025 tentang Pengelolaan Keuangan Desa</t>
        </is>
      </c>
      <c r="F170" s="70" t="inlineStr">
        <is>
          <t>https://drive.google.com/file/d/15CRvlXeoq6lRDTUnunhCxVgWmxrUKQsz/view?usp=drive_link</t>
        </is>
      </c>
      <c r="G170" s="184" t="inlineStr">
        <is>
          <t>PENINGKATAN KUALITAS PELAYANAN PUBLIK</t>
        </is>
      </c>
      <c r="H170" s="184" t="inlineStr">
        <is>
          <t>Instansi Pemerintah Lainnya</t>
        </is>
      </c>
      <c r="I170" s="184" t="inlineStr">
        <is>
          <t>Data Keuangan Desa, Informasi Desa</t>
        </is>
      </c>
      <c r="J170" s="178" t="inlineStr">
        <is>
          <t>Surat Rekomendasi Pencairan Bankeu, Surat Pengantar</t>
        </is>
      </c>
      <c r="K170" s="184" t="inlineStr">
        <is>
          <t>Terbatas</t>
        </is>
      </c>
      <c r="L170" s="184" t="inlineStr">
        <is>
          <t>Terdapat</t>
        </is>
      </c>
      <c r="M170" s="184" t="inlineStr">
        <is>
          <t>Harian</t>
        </is>
      </c>
      <c r="N170" s="97" t="inlineStr">
        <is>
          <t>SiPAKADES</t>
        </is>
      </c>
      <c r="O170" s="184" t="inlineStr">
        <is>
          <t>Pihak Ke 3</t>
        </is>
      </c>
      <c r="P170" s="184" t="inlineStr">
        <is>
          <t>Kab. Bandung</t>
        </is>
      </c>
      <c r="Q170" s="184" t="inlineStr">
        <is>
          <t>Website</t>
        </is>
      </c>
      <c r="R170" s="70" t="inlineStr">
        <is>
          <t>https://sipakades.bandungkab.go.id/</t>
        </is>
      </c>
      <c r="S170" s="184" t="inlineStr">
        <is>
          <t>Secara Online</t>
        </is>
      </c>
      <c r="T170" s="184" t="inlineStr">
        <is>
          <t>Transaksi</t>
        </is>
      </c>
      <c r="U170" s="98" t="n">
        <v>2025</v>
      </c>
      <c r="V170" s="184" t="inlineStr">
        <is>
          <t>Aktif</t>
        </is>
      </c>
      <c r="W170" s="184" t="inlineStr">
        <is>
          <t>Ya</t>
        </is>
      </c>
      <c r="X170" s="184" t="inlineStr">
        <is>
          <t>SIAP BKAD</t>
        </is>
      </c>
      <c r="Y170" s="184" t="inlineStr">
        <is>
          <t>API</t>
        </is>
      </c>
      <c r="Z170" s="184" t="inlineStr">
        <is>
          <t>Harian</t>
        </is>
      </c>
      <c r="AA170" s="184" t="inlineStr">
        <is>
          <t>PEMDES</t>
        </is>
      </c>
      <c r="AB170" s="184" t="inlineStr">
        <is>
          <t>DPMD</t>
        </is>
      </c>
      <c r="AC170" s="178" t="inlineStr">
        <is>
          <t>Taopik; Fauzan</t>
        </is>
      </c>
      <c r="AD170" s="178">
        <f>+62 858-1117-3233
 +62 852-2443-7788</f>
        <v/>
      </c>
      <c r="AE170" s="288" t="n"/>
      <c r="AF170" s="67" t="inlineStr">
        <is>
          <t>Mewujudkan pembangunan berbasis Desa</t>
        </is>
      </c>
      <c r="AG170" s="68" t="inlineStr">
        <is>
          <t>Harian</t>
        </is>
      </c>
      <c r="AH170" s="172" t="inlineStr">
        <is>
          <t>Desa</t>
        </is>
      </c>
      <c r="AI170" s="173" t="n"/>
      <c r="AJ170" s="173" t="n"/>
      <c r="AK170" s="173" t="n"/>
      <c r="AL170" s="173" t="n"/>
      <c r="AM170" s="173" t="n"/>
      <c r="AN170" s="173" t="n"/>
      <c r="AO170" s="173" t="n"/>
      <c r="AP170" s="173" t="n"/>
      <c r="AQ170" s="173" t="n"/>
      <c r="AR170" s="173" t="n"/>
      <c r="AS170" s="284" t="n"/>
    </row>
    <row r="171">
      <c r="A171" s="182" t="n">
        <v>8</v>
      </c>
      <c r="B171" s="178" t="inlineStr">
        <is>
          <t>Layanan Penataan Desa</t>
        </is>
      </c>
      <c r="C171" t="inlineStr">
        <is>
          <t>DPMD</t>
        </is>
      </c>
      <c r="D171" s="288" t="n"/>
      <c r="E171" s="288" t="n"/>
      <c r="F171" s="288" t="n"/>
      <c r="G171" s="184" t="inlineStr">
        <is>
          <t>PENINGKATAN KUALITAS PELAYANAN PUBLIK</t>
        </is>
      </c>
      <c r="H171" s="184" t="inlineStr">
        <is>
          <t>Instansi Pemerintah Lainnya</t>
        </is>
      </c>
      <c r="I171" s="288" t="n"/>
      <c r="J171" s="288" t="n"/>
      <c r="K171" s="184" t="inlineStr">
        <is>
          <t>Terbatas</t>
        </is>
      </c>
      <c r="L171" s="184" t="inlineStr">
        <is>
          <t>Terdapat</t>
        </is>
      </c>
      <c r="M171" s="184" t="inlineStr">
        <is>
          <t>Harian</t>
        </is>
      </c>
      <c r="N171" s="97" t="inlineStr">
        <is>
          <t>BDS</t>
        </is>
      </c>
      <c r="O171" s="184" t="inlineStr">
        <is>
          <t>Diskominfo</t>
        </is>
      </c>
      <c r="P171" s="184" t="inlineStr">
        <is>
          <t>Kab. Bandung</t>
        </is>
      </c>
      <c r="Q171" s="184" t="inlineStr">
        <is>
          <t>Desktop</t>
        </is>
      </c>
      <c r="R171" s="70" t="inlineStr">
        <is>
          <t>https://bds.bandungkab.go.id/signin</t>
        </is>
      </c>
      <c r="S171" s="184" t="inlineStr">
        <is>
          <t>Secara Online</t>
        </is>
      </c>
      <c r="T171" s="184" t="inlineStr">
        <is>
          <t>Informasi</t>
        </is>
      </c>
      <c r="U171" s="98" t="n">
        <v>2025</v>
      </c>
      <c r="V171" s="184" t="inlineStr">
        <is>
          <t>Maintenance</t>
        </is>
      </c>
      <c r="W171" s="288" t="n"/>
      <c r="X171" s="288" t="n"/>
      <c r="Y171" s="288" t="n"/>
      <c r="Z171" s="288" t="n"/>
      <c r="AA171" s="184" t="inlineStr">
        <is>
          <t>PENATAAN</t>
        </is>
      </c>
      <c r="AB171" s="184" t="inlineStr">
        <is>
          <t>DPMD</t>
        </is>
      </c>
      <c r="AC171" s="178" t="inlineStr">
        <is>
          <t>Mumu Rosadi;
 Agus Khairudin</t>
        </is>
      </c>
      <c r="AD171" s="288" t="n"/>
      <c r="AE171" s="288" t="n"/>
      <c r="AF171" s="67" t="inlineStr">
        <is>
          <t>Mewujudkan Pemerintahan yang berorientasi Pelayanan, Akuntable, Kompeten, Harmonis, Loyal, Adaptif dan Kolaboratif (BerAKHLAK) melalui diantaranya fasilitasi pemekaran/penggabungan dan peningkatan desa/kelurahan</t>
        </is>
      </c>
      <c r="AG171" s="68" t="inlineStr">
        <is>
          <t>Harian</t>
        </is>
      </c>
      <c r="AH171" s="172" t="inlineStr">
        <is>
          <t>Desa</t>
        </is>
      </c>
      <c r="AI171" s="173" t="n"/>
      <c r="AJ171" s="173" t="n"/>
      <c r="AK171" s="173" t="n"/>
      <c r="AL171" s="173" t="n"/>
      <c r="AM171" s="173" t="n"/>
      <c r="AN171" s="173" t="n"/>
      <c r="AO171" s="173" t="n"/>
      <c r="AP171" s="173" t="n"/>
      <c r="AQ171" s="173" t="n"/>
      <c r="AR171" s="173" t="n"/>
      <c r="AS171" s="284" t="n"/>
    </row>
    <row r="172">
      <c r="A172" s="71" t="inlineStr">
        <is>
          <t>DISHUB</t>
        </is>
      </c>
      <c r="B172" s="58" t="n"/>
      <c r="D172" s="58" t="n"/>
      <c r="E172" s="58" t="n"/>
      <c r="F172" s="58" t="n"/>
      <c r="G172" s="58" t="n"/>
      <c r="H172" s="58" t="n"/>
      <c r="I172" s="58" t="n"/>
      <c r="J172" s="58" t="n"/>
      <c r="K172" s="58" t="n"/>
      <c r="L172" s="58" t="n"/>
      <c r="M172" s="58" t="n"/>
      <c r="N172" s="58" t="n"/>
      <c r="O172" s="58" t="n"/>
      <c r="P172" s="58" t="n"/>
      <c r="Q172" s="58" t="n"/>
      <c r="R172" s="58" t="n"/>
      <c r="S172" s="58" t="n"/>
      <c r="T172" s="58" t="n"/>
      <c r="U172" s="58" t="n"/>
      <c r="V172" s="58" t="n"/>
      <c r="W172" s="58" t="n"/>
      <c r="X172" s="58" t="n"/>
      <c r="Y172" s="58" t="n"/>
      <c r="Z172" s="58" t="n"/>
      <c r="AA172" s="58" t="n"/>
      <c r="AB172" s="58" t="n"/>
      <c r="AC172" s="58" t="n"/>
      <c r="AD172" s="58" t="n"/>
      <c r="AE172" s="58" t="n"/>
      <c r="AF172" s="200" t="n"/>
      <c r="AG172" s="200" t="n"/>
      <c r="AH172" s="284" t="n"/>
      <c r="AI172" s="284" t="n"/>
      <c r="AJ172" s="284" t="n"/>
      <c r="AK172" s="284" t="n"/>
      <c r="AL172" s="284" t="n"/>
      <c r="AM172" s="284" t="n"/>
      <c r="AN172" s="284" t="n"/>
      <c r="AO172" s="284" t="n"/>
      <c r="AP172" s="284" t="n"/>
      <c r="AQ172" s="284" t="n"/>
      <c r="AR172" s="284" t="n"/>
      <c r="AS172" s="284" t="n"/>
    </row>
    <row r="173">
      <c r="A173" s="175" t="n">
        <v>4</v>
      </c>
      <c r="B173" s="178" t="inlineStr">
        <is>
          <t>Layanan Informasi dan Pengajuan Uji KIR Kendaraan</t>
        </is>
      </c>
      <c r="C173" t="inlineStr">
        <is>
          <t>DISHUB</t>
        </is>
      </c>
      <c r="D173" s="178" t="inlineStr">
        <is>
          <t>Memastikan kendaraan bermotor dan trayek angkutan umum aman dan layak operasi sesuai standar.</t>
        </is>
      </c>
      <c r="E173" s="176" t="inlineStr">
        <is>
          <t>UPTD Pengujian Kendaraan Bermotor</t>
        </is>
      </c>
      <c r="F173" s="178" t="inlineStr">
        <is>
          <t>-Undang - Undang No 22 tahun 2009 Lalu Lintas dan Angkutan Jalan
 - Peraturan Pemerintah Nomor 55 Tahun 2012 tentang kendaraan
 - Peraturan Menteri No 19 TAHUN2021 tentang Pengujian kendaraan Bermotor
 - Peraturan Menteri 156 Tahun 2016 tentang Kompetensi Penguji kendaraan Bermotor
 - KP.4404 AJ.502 DRJD 2020 TTG AKREDITASI UNIT PELAKSANA UJI BERKALA KB 
 - KEP DITJENHUBDAT BLUE NOMOR KP-DRJD 3291 TAHUN 2021 TENTANG PEDOMAN TEKNIS BUKTI LULUS UJI BERKALA KENDARAAN BERMOTOR</t>
        </is>
      </c>
      <c r="G173" s="70" t="inlineStr">
        <is>
          <t>https://drive.google.com/file/d/1r3y4yoWaoByjuAovOlwVhpYcdVHWYZlA/view?usp=drive_link</t>
        </is>
      </c>
      <c r="H173" s="184" t="inlineStr">
        <is>
          <t>PENINGKATAN KUALITAS PELAYANAN PUBLIK</t>
        </is>
      </c>
      <c r="I173" s="184" t="inlineStr">
        <is>
          <t>Masyarakat</t>
        </is>
      </c>
      <c r="J173" s="184" t="inlineStr">
        <is>
          <t>Data Pengujian Kendaraan Bermotor</t>
        </is>
      </c>
      <c r="K173" s="178" t="inlineStr">
        <is>
          <t>Data Hasil Pengujian Kendaraan Bermotor</t>
        </is>
      </c>
      <c r="L173" s="184" t="inlineStr">
        <is>
          <t>Terbatas</t>
        </is>
      </c>
      <c r="M173" s="184" t="inlineStr">
        <is>
          <t>Terdapat</t>
        </is>
      </c>
      <c r="N173" s="97" t="inlineStr">
        <is>
          <t>SIKUMIS BOKIR</t>
        </is>
      </c>
      <c r="O173" s="183" t="n"/>
      <c r="P173" s="184" t="inlineStr">
        <is>
          <t>Pihak Ke 3</t>
        </is>
      </c>
      <c r="Q173" s="184" t="inlineStr">
        <is>
          <t>Kab. Bandung</t>
        </is>
      </c>
      <c r="R173" s="184" t="inlineStr">
        <is>
          <t>Desktop</t>
        </is>
      </c>
      <c r="S173" s="288" t="n"/>
      <c r="T173" s="184" t="inlineStr">
        <is>
          <t>Secara Online</t>
        </is>
      </c>
      <c r="U173" s="184" t="inlineStr">
        <is>
          <t>Informasi</t>
        </is>
      </c>
      <c r="V173" s="184" t="n">
        <v>2018</v>
      </c>
      <c r="W173" s="184" t="inlineStr">
        <is>
          <t>Aktif</t>
        </is>
      </c>
      <c r="X173" s="184" t="inlineStr">
        <is>
          <t>Ya</t>
        </is>
      </c>
      <c r="Y173" s="184" t="inlineStr">
        <is>
          <t>- Aplikasi Pencetakan BLUe Bukti Lulus Uji Elektronik Kementrian Perhubungan
 - Aplikasi MItra Darat Kementrian Perhubungan.</t>
        </is>
      </c>
      <c r="Z173" s="184" t="inlineStr">
        <is>
          <t>Database to Database</t>
        </is>
      </c>
      <c r="AA173" s="184" t="inlineStr">
        <is>
          <t>Realtime</t>
        </is>
      </c>
      <c r="AB173" s="184" t="inlineStr">
        <is>
          <t>UPTD Pengujian Kendaraan Bermotor</t>
        </is>
      </c>
      <c r="AC173" s="184" t="inlineStr">
        <is>
          <t>Dishub</t>
        </is>
      </c>
      <c r="AD173" s="178" t="inlineStr">
        <is>
          <t>- Pratiwi Aprianti Malinda , S.ST
 - Suryana</t>
        </is>
      </c>
      <c r="AE173" s="178" t="inlineStr">
        <is>
          <t>- 085883571918
 - 085758638608</t>
        </is>
      </c>
      <c r="AF173" s="178" t="inlineStr">
        <is>
          <t>uptdpkb383@gmail.com</t>
        </is>
      </c>
      <c r="AG173" s="288" t="n"/>
      <c r="AH173" s="90" t="n"/>
      <c r="AI173" s="284" t="n"/>
      <c r="AJ173" s="284" t="n"/>
      <c r="AK173" s="284" t="n"/>
      <c r="AL173" s="284" t="n"/>
      <c r="AM173" s="284" t="n"/>
      <c r="AN173" s="284" t="n"/>
      <c r="AO173" s="284" t="n"/>
      <c r="AP173" s="284" t="n"/>
      <c r="AQ173" s="284" t="n"/>
      <c r="AR173" s="284" t="n"/>
      <c r="AS173" s="284" t="n"/>
    </row>
    <row r="174">
      <c r="A174" s="175" t="n">
        <v>10</v>
      </c>
      <c r="B174" s="178" t="inlineStr">
        <is>
          <t>Layanan Penerangan Jalan Umum (PJU)</t>
        </is>
      </c>
      <c r="C174" t="inlineStr">
        <is>
          <t>DISHUB</t>
        </is>
      </c>
      <c r="D174" s="178" t="inlineStr">
        <is>
          <t>untuk memastikan PJU berfungsi dengan baik</t>
        </is>
      </c>
      <c r="E174" s="176" t="inlineStr">
        <is>
          <t>UPTD Penerangan Jalan Umum</t>
        </is>
      </c>
      <c r="F174" s="178" t="n"/>
      <c r="G174" s="288" t="n"/>
      <c r="H174" s="184" t="inlineStr">
        <is>
          <t>PENINGKATAN KUALITAS PELAYANAN PUBLIK</t>
        </is>
      </c>
      <c r="I174" s="184" t="inlineStr">
        <is>
          <t>Masyarakat</t>
        </is>
      </c>
      <c r="J174" s="184" t="inlineStr">
        <is>
          <t>data lokasi, jumlah titik, identitas pelapor, foto pju</t>
        </is>
      </c>
      <c r="K174" s="178" t="inlineStr">
        <is>
          <t>Data Penerangan Jalan Umum</t>
        </is>
      </c>
      <c r="L174" s="184" t="inlineStr">
        <is>
          <t>Tertutup</t>
        </is>
      </c>
      <c r="M174" s="184" t="inlineStr">
        <is>
          <t>Terdapat</t>
        </is>
      </c>
      <c r="N174" s="97" t="inlineStr">
        <is>
          <t>SP4N Lapor</t>
        </is>
      </c>
      <c r="O174" s="183" t="n"/>
      <c r="P174" s="184" t="inlineStr">
        <is>
          <t>Pusat</t>
        </is>
      </c>
      <c r="Q174" s="184" t="inlineStr">
        <is>
          <t>Pusat</t>
        </is>
      </c>
      <c r="R174" s="184" t="inlineStr">
        <is>
          <t>Website</t>
        </is>
      </c>
      <c r="S174" s="131" t="inlineStr">
        <is>
          <t>https://lapor.go.id/</t>
        </is>
      </c>
      <c r="T174" s="184" t="inlineStr">
        <is>
          <t>Secara Online</t>
        </is>
      </c>
      <c r="U174" s="184" t="inlineStr">
        <is>
          <t>Informasi</t>
        </is>
      </c>
      <c r="V174" s="288" t="n"/>
      <c r="W174" s="184" t="inlineStr">
        <is>
          <t>Aktif</t>
        </is>
      </c>
      <c r="X174" s="184" t="inlineStr">
        <is>
          <t>Tidak</t>
        </is>
      </c>
      <c r="Y174" s="288" t="n"/>
      <c r="Z174" s="184" t="inlineStr">
        <is>
          <t>Tidak Terintegrasi</t>
        </is>
      </c>
      <c r="AA174" s="184" t="inlineStr">
        <is>
          <t>Tidak Terintegrasi</t>
        </is>
      </c>
      <c r="AB174" s="184" t="inlineStr">
        <is>
          <t>UPTD Penerangan Jalan Umum</t>
        </is>
      </c>
      <c r="AC174" s="184" t="inlineStr">
        <is>
          <t>Dishub</t>
        </is>
      </c>
      <c r="AD174" s="178" t="inlineStr">
        <is>
          <t>call centre pengaduan pemeliharaan pju</t>
        </is>
      </c>
      <c r="AE174" s="98" t="n">
        <v>82120336060</v>
      </c>
      <c r="AF174" s="288" t="n"/>
      <c r="AG174" s="288" t="n"/>
      <c r="AH174" s="90" t="n"/>
      <c r="AI174" s="284" t="n"/>
      <c r="AJ174" s="284" t="n"/>
      <c r="AK174" s="284" t="n"/>
      <c r="AL174" s="284" t="n"/>
      <c r="AM174" s="284" t="n"/>
      <c r="AN174" s="284" t="n"/>
      <c r="AO174" s="284" t="n"/>
      <c r="AP174" s="284" t="n"/>
      <c r="AQ174" s="284" t="n"/>
      <c r="AR174" s="284" t="n"/>
      <c r="AS174" s="284" t="n"/>
    </row>
    <row r="175">
      <c r="A175" s="71" t="inlineStr">
        <is>
          <t>DPMPTSP</t>
        </is>
      </c>
      <c r="B175" s="58" t="n"/>
      <c r="D175" s="58" t="n"/>
      <c r="E175" s="58" t="n"/>
      <c r="F175" s="58" t="n"/>
      <c r="G175" s="58" t="n"/>
      <c r="H175" s="58" t="n"/>
      <c r="I175" s="58" t="n"/>
      <c r="J175" s="58" t="n"/>
      <c r="K175" s="58" t="n"/>
      <c r="L175" s="58" t="n"/>
      <c r="M175" s="58" t="n"/>
      <c r="N175" s="58" t="n"/>
      <c r="O175" s="58" t="n"/>
      <c r="P175" s="58" t="n"/>
      <c r="Q175" s="58" t="n"/>
      <c r="R175" s="58" t="n"/>
      <c r="S175" s="58" t="n"/>
      <c r="T175" s="58" t="n"/>
      <c r="U175" s="58" t="n"/>
      <c r="V175" s="58" t="n"/>
      <c r="W175" s="58" t="n"/>
      <c r="X175" s="58" t="n"/>
      <c r="Y175" s="58" t="n"/>
      <c r="Z175" s="58" t="n"/>
      <c r="AA175" s="58" t="n"/>
      <c r="AB175" s="58" t="n"/>
      <c r="AC175" s="58" t="n"/>
      <c r="AD175" s="58" t="n"/>
      <c r="AE175" s="58" t="n"/>
      <c r="AF175" s="200" t="n"/>
      <c r="AG175" s="200" t="n"/>
      <c r="AH175" s="284" t="n"/>
      <c r="AI175" s="284" t="n"/>
      <c r="AJ175" s="284" t="n"/>
      <c r="AK175" s="284" t="n"/>
      <c r="AL175" s="284" t="n"/>
      <c r="AM175" s="284" t="n"/>
      <c r="AN175" s="284" t="n"/>
      <c r="AO175" s="284" t="n"/>
      <c r="AP175" s="284" t="n"/>
      <c r="AQ175" s="284" t="n"/>
      <c r="AR175" s="284" t="n"/>
      <c r="AS175" s="284" t="n"/>
    </row>
    <row r="176">
      <c r="A176" s="182" t="n">
        <v>1</v>
      </c>
      <c r="B176" s="178" t="inlineStr">
        <is>
          <t>Layanan Perizinan Berusaha Berbasis Risiko (OSS)</t>
        </is>
      </c>
      <c r="C176" t="inlineStr">
        <is>
          <t>DPMPTSP</t>
        </is>
      </c>
      <c r="D176" s="178" t="inlineStr">
        <is>
          <t>Untuk mempermudah proses penerbitan Nomor Induk Berusaha (NIB) bagi pelaku usaha dengan pendekatan berbasis risiko, sehingga memberikan kepastian dan kemudahan dalam menunjang perizinan usaha.</t>
        </is>
      </c>
      <c r="E176" s="178" t="inlineStr">
        <is>
          <t>1. Peraturan Pemerintah Nomor 5 Tahun 2021
 2. Peaturan Menteri BKPM Nomor 3 TAHUN 2021
 3. Peraturan Daerah Kabupaten Bandung Nomor 16 Tahun 2022</t>
        </is>
      </c>
      <c r="F176" s="178" t="inlineStr">
        <is>
          <t>Tersedia</t>
        </is>
      </c>
      <c r="G176" s="184" t="inlineStr">
        <is>
          <t>PENINGKATAN KUALITAS PELAYANAN PUBLIK</t>
        </is>
      </c>
      <c r="H176" s="184" t="inlineStr">
        <is>
          <t>Masyarakat</t>
        </is>
      </c>
      <c r="I176" s="184" t="inlineStr">
        <is>
          <t>Data Perizinan Berusaha</t>
        </is>
      </c>
      <c r="J176" s="178" t="inlineStr">
        <is>
          <t>Data Perizinan Berusaha</t>
        </is>
      </c>
      <c r="K176" s="184" t="inlineStr">
        <is>
          <t>Terbatas</t>
        </is>
      </c>
      <c r="L176" s="184" t="inlineStr">
        <is>
          <t>Terdapat</t>
        </is>
      </c>
      <c r="M176" s="184" t="inlineStr">
        <is>
          <t>Harian</t>
        </is>
      </c>
      <c r="N176" s="97" t="inlineStr">
        <is>
          <t>OSS</t>
        </is>
      </c>
      <c r="O176" s="184" t="inlineStr">
        <is>
          <t>Pusat</t>
        </is>
      </c>
      <c r="P176" s="184" t="inlineStr">
        <is>
          <t>Pusat</t>
        </is>
      </c>
      <c r="Q176" s="184" t="inlineStr">
        <is>
          <t>Website dan Mobile</t>
        </is>
      </c>
      <c r="R176" s="70" t="inlineStr">
        <is>
          <t>https://oss.go.id/</t>
        </is>
      </c>
      <c r="S176" s="184" t="inlineStr">
        <is>
          <t>Secara Online</t>
        </is>
      </c>
      <c r="T176" s="184" t="inlineStr">
        <is>
          <t>Transaksi</t>
        </is>
      </c>
      <c r="U176" s="98" t="n">
        <v>2019</v>
      </c>
      <c r="V176" s="184" t="inlineStr">
        <is>
          <t>Aktif</t>
        </is>
      </c>
      <c r="W176" s="184" t="inlineStr">
        <is>
          <t>Ya</t>
        </is>
      </c>
      <c r="X176" s="184" t="inlineStr">
        <is>
          <t>Terintegrasi dengan KSWP milik Kementerian Keuangan, terintegrasi dengan Kemendagri perihal data KTP, terintegrasi perihal Data Akta Hukum milik DITJEN AHU</t>
        </is>
      </c>
      <c r="Y176" s="184" t="inlineStr">
        <is>
          <t>API</t>
        </is>
      </c>
      <c r="Z176" s="184" t="inlineStr">
        <is>
          <t>Realtime</t>
        </is>
      </c>
      <c r="AA176" s="184" t="inlineStr">
        <is>
          <t>Bidang Pelayanan Perizinan</t>
        </is>
      </c>
      <c r="AB176" s="184" t="inlineStr">
        <is>
          <t>DPMPTSP</t>
        </is>
      </c>
      <c r="AC176" s="288" t="n"/>
      <c r="AD176" s="288" t="n"/>
      <c r="AE176" s="178" t="inlineStr">
        <is>
          <t>dpmptsp@bandungkab.go.id</t>
        </is>
      </c>
      <c r="AF176" s="179" t="inlineStr">
        <is>
          <t>Peningkatan kualitas pelayanan perizinan</t>
        </is>
      </c>
      <c r="AG176" s="68" t="inlineStr">
        <is>
          <t>Harian</t>
        </is>
      </c>
      <c r="AH176" s="180" t="inlineStr">
        <is>
          <t>DPMPTSP dan Dinas Teknis sesuai layanan perizinan</t>
        </is>
      </c>
      <c r="AI176" s="284" t="n"/>
      <c r="AJ176" s="284" t="n"/>
      <c r="AK176" s="284" t="n"/>
      <c r="AL176" s="284" t="n"/>
      <c r="AM176" s="284" t="n"/>
      <c r="AN176" s="284" t="n"/>
      <c r="AO176" s="284" t="n"/>
      <c r="AP176" s="284" t="n"/>
      <c r="AQ176" s="284" t="n"/>
      <c r="AR176" s="284" t="n"/>
      <c r="AS176" s="284" t="n"/>
    </row>
    <row r="177">
      <c r="A177" s="182" t="n">
        <v>2</v>
      </c>
      <c r="B177" s="178" t="inlineStr">
        <is>
          <t>Layanan Perizinan Non Berusaha (Non OSS)</t>
        </is>
      </c>
      <c r="C177" t="inlineStr">
        <is>
          <t>DPMPTSP</t>
        </is>
      </c>
      <c r="D177" s="178" t="inlineStr">
        <is>
          <t>Untuk memberikan layanan perizinan untuk kegiatan yang tidak terkait dengan usaha seperti Penerbitan Izin Pendidikan, Penerbitan Izin Sosial dan Penerbitan Izin Tata Ruang.</t>
        </is>
      </c>
      <c r="E177" s="178" t="inlineStr">
        <is>
          <t>1. Peraturan Bupati Bandung Nomor 239 Tahun 2025
 2. Keputusan Kepala Dinas DPMPTSP Kabupaten Bandung Nomor 100.3.3/033-KEP/DPMPTSP</t>
        </is>
      </c>
      <c r="F177" s="178" t="inlineStr">
        <is>
          <t>Tersedia</t>
        </is>
      </c>
      <c r="G177" s="184" t="inlineStr">
        <is>
          <t>PENINGKATAN KUALITAS PELAYANAN PUBLIK</t>
        </is>
      </c>
      <c r="H177" s="184" t="inlineStr">
        <is>
          <t>Masyarakat</t>
        </is>
      </c>
      <c r="I177" s="184" t="inlineStr">
        <is>
          <t>Data Perizinan Berusaha</t>
        </is>
      </c>
      <c r="J177" s="178" t="inlineStr">
        <is>
          <t>Data Perizinan Non Berusaha</t>
        </is>
      </c>
      <c r="K177" s="184" t="inlineStr">
        <is>
          <t>Terbatas</t>
        </is>
      </c>
      <c r="L177" s="184" t="inlineStr">
        <is>
          <t>Terdapat</t>
        </is>
      </c>
      <c r="M177" s="184" t="inlineStr">
        <is>
          <t>Harian</t>
        </is>
      </c>
      <c r="N177" s="97" t="inlineStr">
        <is>
          <t>SAMIRINDU SILONCER</t>
        </is>
      </c>
      <c r="O177" s="184" t="inlineStr">
        <is>
          <t>OPD</t>
        </is>
      </c>
      <c r="P177" s="184" t="inlineStr">
        <is>
          <t>Kab. Bandung</t>
        </is>
      </c>
      <c r="Q177" s="184" t="inlineStr">
        <is>
          <t>Website</t>
        </is>
      </c>
      <c r="R177" s="70" t="inlineStr">
        <is>
          <t>https://dpmptsp.bandungkab.go.id/</t>
        </is>
      </c>
      <c r="S177" s="184" t="inlineStr">
        <is>
          <t>Secara Online</t>
        </is>
      </c>
      <c r="T177" s="184" t="inlineStr">
        <is>
          <t>Transaksi</t>
        </is>
      </c>
      <c r="U177" s="98" t="n">
        <v>2018</v>
      </c>
      <c r="V177" s="184" t="inlineStr">
        <is>
          <t>Aktif</t>
        </is>
      </c>
      <c r="W177" s="184" t="inlineStr">
        <is>
          <t>Ya</t>
        </is>
      </c>
      <c r="X177" s="184" t="inlineStr">
        <is>
          <t>Terintegrasi dengan Dukcapil Kab. Bandung dan terintegrasi dengan KSWP Kementerian Keuangan</t>
        </is>
      </c>
      <c r="Y177" s="184" t="inlineStr">
        <is>
          <t>API</t>
        </is>
      </c>
      <c r="Z177" s="184" t="inlineStr">
        <is>
          <t>Realtime</t>
        </is>
      </c>
      <c r="AA177" s="184" t="inlineStr">
        <is>
          <t>Bidang Pelayanan Perizinan</t>
        </is>
      </c>
      <c r="AB177" s="184" t="inlineStr">
        <is>
          <t>DPMPTSP</t>
        </is>
      </c>
      <c r="AC177" s="288" t="n"/>
      <c r="AD177" s="288" t="n"/>
      <c r="AE177" s="178" t="inlineStr">
        <is>
          <t>dpmptsp@bandungkab.go.id</t>
        </is>
      </c>
      <c r="AF177" s="179" t="inlineStr">
        <is>
          <t>Peningkatan kualitas pelayanan perizinan</t>
        </is>
      </c>
      <c r="AG177" s="68" t="inlineStr">
        <is>
          <t>Harian</t>
        </is>
      </c>
      <c r="AH177" s="180" t="inlineStr">
        <is>
          <t>DPMPTSP dan Dinas Teknis sesuai layanan perizinan</t>
        </is>
      </c>
      <c r="AI177" s="284" t="n"/>
      <c r="AJ177" s="284" t="n"/>
      <c r="AK177" s="284" t="n"/>
      <c r="AL177" s="284" t="n"/>
      <c r="AM177" s="284" t="n"/>
      <c r="AN177" s="284" t="n"/>
      <c r="AO177" s="284" t="n"/>
      <c r="AP177" s="284" t="n"/>
      <c r="AQ177" s="284" t="n"/>
      <c r="AR177" s="284" t="n"/>
      <c r="AS177" s="284" t="n"/>
    </row>
    <row r="178">
      <c r="A178" s="182" t="n">
        <v>3</v>
      </c>
      <c r="B178" s="178" t="inlineStr">
        <is>
          <t>Layanan Persetujuan Bangunan Gedung</t>
        </is>
      </c>
      <c r="C178" t="inlineStr">
        <is>
          <t>DPMPTSP</t>
        </is>
      </c>
      <c r="D178" s="178" t="inlineStr">
        <is>
          <t>Untuk memfasilitasi proses perizinan dan menerbitkan Surat Persetujuan Bangunan Gedung atau pembangunan gedung agar sesuai dengan peraturan dan standar yang berlaku.</t>
        </is>
      </c>
      <c r="E178" s="178" t="inlineStr">
        <is>
          <t>1. Peraturan Pemerintah Nomor 16 Tahun 2021</t>
        </is>
      </c>
      <c r="F178" s="178" t="inlineStr">
        <is>
          <t>Tersedia</t>
        </is>
      </c>
      <c r="G178" s="184" t="inlineStr">
        <is>
          <t>PENINGKATAN KUALITAS PELAYANAN PUBLIK</t>
        </is>
      </c>
      <c r="H178" s="184" t="inlineStr">
        <is>
          <t>Masyarakat</t>
        </is>
      </c>
      <c r="I178" s="184" t="inlineStr">
        <is>
          <t>Data Persetujuan Bangunan Gedung</t>
        </is>
      </c>
      <c r="J178" s="178" t="inlineStr">
        <is>
          <t>Data Persetujuan Bangunan Gedung</t>
        </is>
      </c>
      <c r="K178" s="184" t="inlineStr">
        <is>
          <t>Terbatas</t>
        </is>
      </c>
      <c r="L178" s="184" t="inlineStr">
        <is>
          <t>Terdapat</t>
        </is>
      </c>
      <c r="M178" s="184" t="inlineStr">
        <is>
          <t>Harian</t>
        </is>
      </c>
      <c r="N178" s="97" t="inlineStr">
        <is>
          <t>SIMBG</t>
        </is>
      </c>
      <c r="O178" s="184" t="inlineStr">
        <is>
          <t>Pusat</t>
        </is>
      </c>
      <c r="P178" s="184" t="inlineStr">
        <is>
          <t>Pusat</t>
        </is>
      </c>
      <c r="Q178" s="184" t="inlineStr">
        <is>
          <t>Website</t>
        </is>
      </c>
      <c r="R178" s="70" t="inlineStr">
        <is>
          <t>https://simbg.pu.go.id/</t>
        </is>
      </c>
      <c r="S178" s="184" t="inlineStr">
        <is>
          <t>Secara Online</t>
        </is>
      </c>
      <c r="T178" s="184" t="inlineStr">
        <is>
          <t>Transaksi</t>
        </is>
      </c>
      <c r="U178" s="98" t="n">
        <v>2021</v>
      </c>
      <c r="V178" s="184" t="inlineStr">
        <is>
          <t>Aktif</t>
        </is>
      </c>
      <c r="W178" s="184" t="inlineStr">
        <is>
          <t>Tidak</t>
        </is>
      </c>
      <c r="X178" s="184" t="inlineStr">
        <is>
          <t>-</t>
        </is>
      </c>
      <c r="Y178" s="184" t="inlineStr">
        <is>
          <t>API</t>
        </is>
      </c>
      <c r="Z178" s="184" t="inlineStr">
        <is>
          <t>Realtime</t>
        </is>
      </c>
      <c r="AA178" s="184" t="inlineStr">
        <is>
          <t>Bidang Pelayanan Perizinan</t>
        </is>
      </c>
      <c r="AB178" s="184" t="inlineStr">
        <is>
          <t>DPMPTSP</t>
        </is>
      </c>
      <c r="AC178" s="288" t="n"/>
      <c r="AD178" s="288" t="n"/>
      <c r="AE178" s="178" t="inlineStr">
        <is>
          <t>dpmptsp@bandungkab.go.id</t>
        </is>
      </c>
      <c r="AF178" s="179" t="inlineStr">
        <is>
          <t>Peningkatan kualitas pelayanan perizinan</t>
        </is>
      </c>
      <c r="AG178" s="68" t="inlineStr">
        <is>
          <t>Harian</t>
        </is>
      </c>
      <c r="AH178" s="180" t="inlineStr">
        <is>
          <t>DPMPTSP dan DPUTR</t>
        </is>
      </c>
      <c r="AI178" s="284" t="n"/>
      <c r="AJ178" s="284" t="n"/>
      <c r="AK178" s="284" t="n"/>
      <c r="AL178" s="284" t="n"/>
      <c r="AM178" s="284" t="n"/>
      <c r="AN178" s="284" t="n"/>
      <c r="AO178" s="284" t="n"/>
      <c r="AP178" s="284" t="n"/>
      <c r="AQ178" s="284" t="n"/>
      <c r="AR178" s="284" t="n"/>
      <c r="AS178" s="284" t="n"/>
    </row>
    <row r="179">
      <c r="A179" s="182" t="n">
        <v>4</v>
      </c>
      <c r="B179" s="178" t="inlineStr">
        <is>
          <t>Layanan MPP DIGITAL</t>
        </is>
      </c>
      <c r="C179" t="inlineStr">
        <is>
          <t>DPMPTSP</t>
        </is>
      </c>
      <c r="D179" s="178" t="inlineStr">
        <is>
          <t>Untuk memberikan layanan perizinan untuk sementara kegiatan yang terkait dengan layanan kesehatan seperti Penerbitan Perizinan untuk Tenaga Kesehatan (SIP)</t>
        </is>
      </c>
      <c r="E179" s="178" t="inlineStr">
        <is>
          <t>1. Peraturan Presiden Nomor 89 Tahun 2021
 2. Peraturan Menteri PAN RB Nomor 92 Tahun 2021
 3. Keputusan Menteri PAN RB Nomor 660 Tahun 2024</t>
        </is>
      </c>
      <c r="F179" s="178" t="inlineStr">
        <is>
          <t>Tersedia</t>
        </is>
      </c>
      <c r="G179" s="184" t="inlineStr">
        <is>
          <t>PENINGKATAN KUALITAS PELAYANAN PUBLIK</t>
        </is>
      </c>
      <c r="H179" s="184" t="inlineStr">
        <is>
          <t>Masyarakat</t>
        </is>
      </c>
      <c r="I179" s="184" t="inlineStr">
        <is>
          <t>Data Perizinan Layanan Kesehatan</t>
        </is>
      </c>
      <c r="J179" s="178" t="inlineStr">
        <is>
          <t>Surat Izin Praktik untuk Petugas Layanan Kesehatan</t>
        </is>
      </c>
      <c r="K179" s="184" t="inlineStr">
        <is>
          <t>Terbatas</t>
        </is>
      </c>
      <c r="L179" s="184" t="inlineStr">
        <is>
          <t>Terdapat</t>
        </is>
      </c>
      <c r="M179" s="184" t="inlineStr">
        <is>
          <t>Harian</t>
        </is>
      </c>
      <c r="N179" s="97" t="inlineStr">
        <is>
          <t>MPP DIGITAL</t>
        </is>
      </c>
      <c r="O179" s="184" t="inlineStr">
        <is>
          <t>Pusat</t>
        </is>
      </c>
      <c r="P179" s="184" t="inlineStr">
        <is>
          <t>Pusat</t>
        </is>
      </c>
      <c r="Q179" s="184" t="inlineStr">
        <is>
          <t>Website dan Mobile</t>
        </is>
      </c>
      <c r="R179" s="70" t="inlineStr">
        <is>
          <t>https://next-gen.mppdigital.go.id/</t>
        </is>
      </c>
      <c r="S179" s="184" t="inlineStr">
        <is>
          <t>Secara Online</t>
        </is>
      </c>
      <c r="T179" s="184" t="inlineStr">
        <is>
          <t>Transaksi</t>
        </is>
      </c>
      <c r="U179" s="98" t="n">
        <v>2024</v>
      </c>
      <c r="V179" s="184" t="inlineStr">
        <is>
          <t>Aktif</t>
        </is>
      </c>
      <c r="W179" s="184" t="inlineStr">
        <is>
          <t>Ya</t>
        </is>
      </c>
      <c r="X179" s="184" t="inlineStr">
        <is>
          <t>Terintegrasi dengan Satu Sehat milik Kementerian Kesehatan</t>
        </is>
      </c>
      <c r="Y179" s="184" t="inlineStr">
        <is>
          <t>API</t>
        </is>
      </c>
      <c r="Z179" s="184" t="inlineStr">
        <is>
          <t>Realtime</t>
        </is>
      </c>
      <c r="AA179" s="184" t="inlineStr">
        <is>
          <t>Bidang Pelayanan Perizinan</t>
        </is>
      </c>
      <c r="AB179" s="184" t="inlineStr">
        <is>
          <t>DPMPTSP</t>
        </is>
      </c>
      <c r="AC179" s="288" t="n"/>
      <c r="AD179" s="288" t="n"/>
      <c r="AE179" s="178" t="inlineStr">
        <is>
          <t>dpmptsp@bandungkab.go.id</t>
        </is>
      </c>
      <c r="AF179" s="288" t="n"/>
      <c r="AG179" s="68" t="inlineStr">
        <is>
          <t>Harian</t>
        </is>
      </c>
      <c r="AH179" s="180" t="inlineStr">
        <is>
          <t>DPMPTSP dan DINKES</t>
        </is>
      </c>
      <c r="AI179" s="284" t="n"/>
      <c r="AJ179" s="284" t="n"/>
      <c r="AK179" s="284" t="n"/>
      <c r="AL179" s="284" t="n"/>
      <c r="AM179" s="284" t="n"/>
      <c r="AN179" s="284" t="n"/>
      <c r="AO179" s="284" t="n"/>
      <c r="AP179" s="284" t="n"/>
      <c r="AQ179" s="284" t="n"/>
      <c r="AR179" s="284" t="n"/>
      <c r="AS179" s="284" t="n"/>
    </row>
    <row r="180">
      <c r="A180" s="182" t="n">
        <v>5</v>
      </c>
      <c r="B180" s="178" t="inlineStr">
        <is>
          <t>Layanan Legalisir PBG</t>
        </is>
      </c>
      <c r="C180" t="inlineStr">
        <is>
          <t>DPMPTSP</t>
        </is>
      </c>
      <c r="D180" s="178" t="inlineStr">
        <is>
          <t>1. Meningkatkan efisiensi proses; dengan e-legalisir, proses legalisir dokumen menjadi lebih cepat dan erisjen karena menghapus langkah-langkah konvensional (proses tanda tangan manual) yang memakan waktu.
 2. Menjaga efektifitas kinerja pemerintah; dengan e-legalisir, durasi kerja pemegang otoritas/ mandat legalisir dokumen dapat digunakan secara lebih efektif.
 3. Meningkatkan keamanan dan jaminan keaslian legalisir; dengan menggunakan teknologi digital seperti tanda tangan elektronik dan kode QR, eJegalisir sulit untuk dipalsukan, karena merekam data dokumen yang dilegalisir serta identitas penandatangan legalisir.
 4. Transparansi dan akuntabilitas; dengan +.legalisir tercipta sistem yang lebih transparan dan akuntabel, karena setiap tahapan proses dapat dipantau dan direkam secara digital.
 5. Pemenuhan target SPBE dalam indikator reformasi birokrasi; eJegalisir sebagai salah satu wujud komitmen digitalisasi layanan publik, meningkatkan kinerja pelayanan kepada masyarakat, serta mengikuti perkembangan teknologi.
 6. Potensi replika sistem verifikasi dokumen dalam sektor lainnya; eJegalisir ini memungkinkan proses replika pada penyelenggaraan urusan pemerintahan bidang lainnya (di luar bidang penanaman modal, pelayanan perizinan, PTSP), serta memungkinkan proses integrasi dengan sistem lain, seperti bidang pendidikan, kependudukan dan catatan sipil.</t>
        </is>
      </c>
      <c r="E180" s="178" t="inlineStr">
        <is>
          <t>1. Peraturan Daerah Kabupaten Bandung Nomor 2 Tahun 2024</t>
        </is>
      </c>
      <c r="F180" s="178" t="inlineStr">
        <is>
          <t>Tersedia</t>
        </is>
      </c>
      <c r="G180" s="184" t="inlineStr">
        <is>
          <t>PENINGKATAN KUALITAS PELAYANAN PUBLIK</t>
        </is>
      </c>
      <c r="H180" s="184" t="inlineStr">
        <is>
          <t>Masyarakat</t>
        </is>
      </c>
      <c r="I180" s="184" t="inlineStr">
        <is>
          <t>Data PBG</t>
        </is>
      </c>
      <c r="J180" s="178" t="inlineStr">
        <is>
          <t>TTE Qr Code</t>
        </is>
      </c>
      <c r="K180" s="184" t="inlineStr">
        <is>
          <t>Terbatas</t>
        </is>
      </c>
      <c r="L180" s="184" t="inlineStr">
        <is>
          <t>Terdapat</t>
        </is>
      </c>
      <c r="M180" s="184" t="inlineStr">
        <is>
          <t>Harian</t>
        </is>
      </c>
      <c r="N180" s="97" t="inlineStr">
        <is>
          <t>SIRSAK</t>
        </is>
      </c>
      <c r="O180" s="184" t="inlineStr">
        <is>
          <t>OPD</t>
        </is>
      </c>
      <c r="P180" s="184" t="inlineStr">
        <is>
          <t>Kab. Bandung</t>
        </is>
      </c>
      <c r="Q180" s="184" t="inlineStr">
        <is>
          <t>Website</t>
        </is>
      </c>
      <c r="R180" s="70" t="inlineStr">
        <is>
          <t>https://perizinan.bandungkab.go.id/sirsak</t>
        </is>
      </c>
      <c r="S180" s="184" t="inlineStr">
        <is>
          <t>Secara Online</t>
        </is>
      </c>
      <c r="T180" s="184" t="inlineStr">
        <is>
          <t>Informasi</t>
        </is>
      </c>
      <c r="U180" s="98" t="n">
        <v>2024</v>
      </c>
      <c r="V180" s="184" t="inlineStr">
        <is>
          <t>Aktif</t>
        </is>
      </c>
      <c r="W180" s="184" t="inlineStr">
        <is>
          <t>Tidak</t>
        </is>
      </c>
      <c r="X180" s="288" t="n"/>
      <c r="Y180" s="184" t="inlineStr">
        <is>
          <t>Web Service</t>
        </is>
      </c>
      <c r="Z180" s="184" t="inlineStr">
        <is>
          <t>Realtime</t>
        </is>
      </c>
      <c r="AA180" s="184" t="inlineStr">
        <is>
          <t>Sekretariat DPMPTSP Kab. Bandung</t>
        </is>
      </c>
      <c r="AB180" s="184" t="inlineStr">
        <is>
          <t>DPMPTSP</t>
        </is>
      </c>
      <c r="AC180" s="288" t="n"/>
      <c r="AD180" s="288" t="n"/>
      <c r="AE180" s="178" t="inlineStr">
        <is>
          <t>dpmptsp@bandungkab.go.id</t>
        </is>
      </c>
      <c r="AF180" s="179" t="inlineStr">
        <is>
          <t>Peningkatan kualitas pelayanan perizinan</t>
        </is>
      </c>
      <c r="AG180" s="68" t="inlineStr">
        <is>
          <t>Harian</t>
        </is>
      </c>
      <c r="AH180" s="182" t="inlineStr">
        <is>
          <t>DPMPTSP</t>
        </is>
      </c>
      <c r="AI180" s="284" t="n"/>
      <c r="AJ180" s="284" t="n"/>
      <c r="AK180" s="284" t="n"/>
      <c r="AL180" s="284" t="n"/>
      <c r="AM180" s="284" t="n"/>
      <c r="AN180" s="284" t="n"/>
      <c r="AO180" s="284" t="n"/>
      <c r="AP180" s="284" t="n"/>
      <c r="AQ180" s="284" t="n"/>
      <c r="AR180" s="284" t="n"/>
      <c r="AS180" s="284" t="n"/>
    </row>
    <row r="181">
      <c r="A181" s="182" t="n">
        <v>6</v>
      </c>
      <c r="B181" s="178" t="inlineStr">
        <is>
          <t>Booking Antrian Imgirasi</t>
        </is>
      </c>
      <c r="C181" t="inlineStr">
        <is>
          <t>DPMPTSP</t>
        </is>
      </c>
      <c r="D181" s="178" t="inlineStr">
        <is>
          <t>Tujuan Layanan
 1. Memberikan kemudahan kepada masyarakat dalam melakukan pemesanan antrian pelayanan keimigrasian secara terjadwal.
 2. Mengurangi waktu tunggu masyarakat dalam memperoleh pelayanan di kantor imigrasi.
 3. Menghindari penumpukan atau kerumunan pemohon layanan di lokasi pelayanan.
 4. Meningkatkan ketertiban, efisiensi, dan kualitas pelayanan kepada masyarakat.
 5. Mengatur jumlah pemohon layanan sesuai kuota yang telah ditetapkan yaitu 25 orang per hari, yang dibuka setiap hari Selasa dan Jumat.
 Fungsi Layanan
 1. Sebagai sistem pendaftaran antrian pelayanan keimigrasian secara online.
 2. Membantu masyarakat dalam memilih jadwal pelayanan yang tersedia.
 3. Membantu petugas dalam mengatur dan mengontrol jumlah pemohon yang dilayani setiap hari.
 4. Menciptakan proses pelayanan yang lebih tertib, terorganisir, dan transparan.
 5.Memastikan pelayanan berjalan sesuai dengan jadwal dan kuota yang telah ditentukan.</t>
        </is>
      </c>
      <c r="E181" s="178" t="inlineStr">
        <is>
          <t>Peraturan Daerah Kabupaten Bandung Nomor 16 Tahun 2022</t>
        </is>
      </c>
      <c r="F181" s="178" t="inlineStr">
        <is>
          <t>Belum Tersedia</t>
        </is>
      </c>
      <c r="G181" s="184" t="inlineStr">
        <is>
          <t>PENINGKATAN KUALITAS PELAYANAN PUBLIK</t>
        </is>
      </c>
      <c r="H181" s="184" t="inlineStr">
        <is>
          <t>Masyarakat</t>
        </is>
      </c>
      <c r="I181" s="184" t="inlineStr">
        <is>
          <t>Data KTP</t>
        </is>
      </c>
      <c r="J181" s="178" t="inlineStr">
        <is>
          <t>Dokumen Booking</t>
        </is>
      </c>
      <c r="K181" s="184" t="inlineStr">
        <is>
          <t>Terbatas</t>
        </is>
      </c>
      <c r="L181" s="184" t="inlineStr">
        <is>
          <t>Terdapat</t>
        </is>
      </c>
      <c r="M181" s="184" t="inlineStr">
        <is>
          <t>Mingguan</t>
        </is>
      </c>
      <c r="N181" s="97" t="inlineStr">
        <is>
          <t>Booking Antrian Imigrasi</t>
        </is>
      </c>
      <c r="O181" s="184" t="inlineStr">
        <is>
          <t>OPD</t>
        </is>
      </c>
      <c r="P181" s="184" t="inlineStr">
        <is>
          <t>Kab. Bandung</t>
        </is>
      </c>
      <c r="Q181" s="184" t="inlineStr">
        <is>
          <t>Website</t>
        </is>
      </c>
      <c r="R181" s="70" t="inlineStr">
        <is>
          <t>https://perizinan.bandungkab.go.id/layanan-kami/booking-antrian-imigrasi</t>
        </is>
      </c>
      <c r="S181" s="184" t="inlineStr">
        <is>
          <t>Secara Online</t>
        </is>
      </c>
      <c r="T181" s="184" t="inlineStr">
        <is>
          <t>Informasi</t>
        </is>
      </c>
      <c r="U181" s="98" t="n">
        <v>2024</v>
      </c>
      <c r="V181" s="184" t="inlineStr">
        <is>
          <t>Aktif</t>
        </is>
      </c>
      <c r="W181" s="184" t="inlineStr">
        <is>
          <t>Tidak</t>
        </is>
      </c>
      <c r="X181" s="288" t="n"/>
      <c r="Y181" s="184" t="inlineStr">
        <is>
          <t>Web Service</t>
        </is>
      </c>
      <c r="Z181" s="184" t="inlineStr">
        <is>
          <t>Realtime</t>
        </is>
      </c>
      <c r="AA181" s="184" t="inlineStr">
        <is>
          <t>Sekretariat DPMPTSP Kab. Bandung</t>
        </is>
      </c>
      <c r="AB181" s="184" t="inlineStr">
        <is>
          <t>DPMPTSP</t>
        </is>
      </c>
      <c r="AC181" s="288" t="n"/>
      <c r="AD181" s="288" t="n"/>
      <c r="AE181" s="178" t="inlineStr">
        <is>
          <t>dpmptsp@bandungkab.go.id</t>
        </is>
      </c>
      <c r="AF181" s="179" t="inlineStr">
        <is>
          <t>Peningkatan kualitas pelayanan perizinan</t>
        </is>
      </c>
      <c r="AG181" s="68" t="inlineStr">
        <is>
          <t>Harian</t>
        </is>
      </c>
      <c r="AH181" s="182" t="inlineStr">
        <is>
          <t>DPMPTSP</t>
        </is>
      </c>
      <c r="AI181" s="284" t="n"/>
      <c r="AJ181" s="284" t="n"/>
      <c r="AK181" s="284" t="n"/>
      <c r="AL181" s="284" t="n"/>
      <c r="AM181" s="284" t="n"/>
      <c r="AN181" s="284" t="n"/>
      <c r="AO181" s="284" t="n"/>
      <c r="AP181" s="284" t="n"/>
      <c r="AQ181" s="284" t="n"/>
      <c r="AR181" s="284" t="n"/>
      <c r="AS181" s="284" t="n"/>
    </row>
    <row r="182">
      <c r="A182" s="71" t="inlineStr">
        <is>
          <t>DISPORA</t>
        </is>
      </c>
      <c r="B182" s="58" t="n"/>
      <c r="D182" s="58" t="n"/>
      <c r="E182" s="58" t="n"/>
      <c r="F182" s="58" t="n"/>
      <c r="G182" s="58" t="n"/>
      <c r="H182" s="58" t="n"/>
      <c r="I182" s="58" t="n"/>
      <c r="J182" s="58" t="n"/>
      <c r="K182" s="58" t="n"/>
      <c r="L182" s="58" t="n"/>
      <c r="M182" s="58" t="n"/>
      <c r="N182" s="58" t="n"/>
      <c r="O182" s="58" t="n"/>
      <c r="P182" s="58" t="n"/>
      <c r="Q182" s="58" t="n"/>
      <c r="R182" s="58" t="n"/>
      <c r="S182" s="58" t="n"/>
      <c r="T182" s="58" t="n"/>
      <c r="U182" s="58" t="n"/>
      <c r="V182" s="58" t="n"/>
      <c r="W182" s="58" t="n"/>
      <c r="X182" s="58" t="n"/>
      <c r="Y182" s="58" t="n"/>
      <c r="Z182" s="58" t="n"/>
      <c r="AA182" s="58" t="n"/>
      <c r="AB182" s="58" t="n"/>
      <c r="AC182" s="58" t="n"/>
      <c r="AD182" s="58" t="n"/>
      <c r="AE182" s="58" t="n"/>
      <c r="AF182" s="200" t="n"/>
      <c r="AG182" s="200" t="n"/>
      <c r="AH182" s="284" t="n"/>
      <c r="AI182" s="284" t="n"/>
      <c r="AJ182" s="284" t="n"/>
      <c r="AK182" s="284" t="n"/>
      <c r="AL182" s="284" t="n"/>
      <c r="AM182" s="284" t="n"/>
      <c r="AN182" s="284" t="n"/>
      <c r="AO182" s="284" t="n"/>
      <c r="AP182" s="284" t="n"/>
      <c r="AQ182" s="284" t="n"/>
      <c r="AR182" s="284" t="n"/>
      <c r="AS182" s="284" t="n"/>
    </row>
    <row r="183">
      <c r="A183" s="182" t="n">
        <v>1</v>
      </c>
      <c r="B183" s="178" t="inlineStr">
        <is>
          <t>Layanan Pendataan Atlet Berprestasi</t>
        </is>
      </c>
      <c r="C183" t="inlineStr">
        <is>
          <t>DISPORA</t>
        </is>
      </c>
      <c r="D183" s="178" t="inlineStr">
        <is>
          <t>Sistem Data Keolahragaan (SIDORA) adalah sistem yang disediakan oleh Dinas Pemuda dan Olahraga bagi internal dan masyarakat untuk mengetahui potensi SDM Keolahragaan dan mengetahui serta menginventarisir Sarana Prasarana olahraga yang berada di Kabupaten Bandung</t>
        </is>
      </c>
      <c r="E183"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F183" s="178" t="inlineStr">
        <is>
          <t>Belum Tersedia</t>
        </is>
      </c>
      <c r="G183" s="184" t="inlineStr">
        <is>
          <t>PENINGKATAN PRESTASI OLAHRAGA</t>
        </is>
      </c>
      <c r="H183" s="184" t="inlineStr">
        <is>
          <t>Masyarakat</t>
        </is>
      </c>
      <c r="I183" s="184" t="inlineStr">
        <is>
          <t>Nama, Jenis Kelamin, Alamat, Foto ID, Cabang Olahraga, Jenis Prestasi, Kategori, Tempat Tanggal Lahir, Jenis Organisasi, Peraihan Medali, Tahun peraihan prestasi</t>
        </is>
      </c>
      <c r="J183" s="178" t="inlineStr">
        <is>
          <t>Data Atlet Berprestasi di ajang Provinsi, Nasional dan internasional</t>
        </is>
      </c>
      <c r="K183" s="184" t="inlineStr">
        <is>
          <t>Terbatas</t>
        </is>
      </c>
      <c r="L183" s="184" t="inlineStr">
        <is>
          <t>Terdapat</t>
        </is>
      </c>
      <c r="M183" s="184" t="inlineStr">
        <is>
          <t>Bulanan</t>
        </is>
      </c>
      <c r="N183" s="97" t="inlineStr">
        <is>
          <t>SIDORA</t>
        </is>
      </c>
      <c r="O183" s="184" t="inlineStr">
        <is>
          <t>Pihak Ke 3</t>
        </is>
      </c>
      <c r="P183" s="184" t="inlineStr">
        <is>
          <t>Pihak Ke 3 (Lisensi)</t>
        </is>
      </c>
      <c r="Q183" s="184" t="inlineStr">
        <is>
          <t>Website</t>
        </is>
      </c>
      <c r="R183" s="70" t="inlineStr">
        <is>
          <t>https://sidora.bandungkab.go.id/</t>
        </is>
      </c>
      <c r="S183" s="184" t="inlineStr">
        <is>
          <t>Secara Online</t>
        </is>
      </c>
      <c r="T183" s="184" t="inlineStr">
        <is>
          <t>Informasi</t>
        </is>
      </c>
      <c r="U183" s="98" t="n">
        <v>2022</v>
      </c>
      <c r="V183" s="184" t="inlineStr">
        <is>
          <t>Aktif</t>
        </is>
      </c>
      <c r="W183" s="184" t="inlineStr">
        <is>
          <t>Ya</t>
        </is>
      </c>
      <c r="X183" s="184" t="inlineStr">
        <is>
          <t>Sudah terintegrasi Diskominfo</t>
        </is>
      </c>
      <c r="Y183" s="184" t="inlineStr">
        <is>
          <t>API</t>
        </is>
      </c>
      <c r="Z183" s="184" t="inlineStr">
        <is>
          <t>Bulanan</t>
        </is>
      </c>
      <c r="AA183" s="184" t="inlineStr">
        <is>
          <t>Bidang Pengembangan Organisasi Keolahragaan Prestasi</t>
        </is>
      </c>
      <c r="AB183" s="184" t="inlineStr">
        <is>
          <t>Dispora</t>
        </is>
      </c>
      <c r="AC183" s="178" t="inlineStr">
        <is>
          <t>Deden Mulyana</t>
        </is>
      </c>
      <c r="AD183" s="184" t="n">
        <v>81912125222</v>
      </c>
      <c r="AE183" s="184" t="inlineStr">
        <is>
          <t>bidorpresdispora@gmail.com</t>
        </is>
      </c>
      <c r="AF183" s="68" t="n">
        <v>14</v>
      </c>
      <c r="AG183" s="68" t="inlineStr">
        <is>
          <t>Bulanan</t>
        </is>
      </c>
      <c r="AH183" s="284" t="n"/>
      <c r="AI183" s="284" t="n"/>
      <c r="AJ183" s="284" t="n"/>
      <c r="AK183" s="284" t="n"/>
      <c r="AL183" s="284" t="n"/>
      <c r="AM183" s="284" t="n"/>
      <c r="AN183" s="284" t="n"/>
      <c r="AO183" s="284" t="n"/>
      <c r="AP183" s="284" t="n"/>
      <c r="AQ183" s="284" t="n"/>
      <c r="AR183" s="284" t="n"/>
      <c r="AS183" s="284" t="n"/>
    </row>
    <row r="184">
      <c r="A184" s="182" t="n">
        <v>2</v>
      </c>
      <c r="B184" s="178" t="inlineStr">
        <is>
          <t>Layanan Pendataan Pemuda dan Minat Pemuda</t>
        </is>
      </c>
      <c r="C184" t="inlineStr">
        <is>
          <t>DISPORA</t>
        </is>
      </c>
      <c r="D184" s="178" t="inlineStr">
        <is>
          <t>Sistem Data Kepemudaan (SIDOPA) adalah sistem yang disediakan oleh Dinas Pemuda dan Olahraga khusus untuk pemuda Kabupaten Bandung berusia 16-30 tahun agar dapat belajar, berkarya, dan menjadi agen perubahan.</t>
        </is>
      </c>
      <c r="E184" s="178" t="inlineStr">
        <is>
          <t>1. Undang-Undang Nomor 40 tahun 2009 Tentang Kepemudaan
 2. PP Nomor 41 Tahun 2011 Tentang Pengembangan Kewirausahaan pemuda dan kepeloporanpemuda serta penyediaan sarana prasarana pemuda
 3. Peraturan Menteri Pemuda dan Olahraga RI No. 1 Tahun 2023 tentang peeningkatan daya saing kewirausahaan pemuda di daerah
 4. Peraturan Daera (PERDA) Provinsi Jawa Barat No. 8 Tahun 2016 tentang pedoman pelayanan kepemudaan
 5. Peraturan Bupati Bandung no 148 Tahun 2021 tentang Petunjuk Pelaksanaan PERDA nomor 30 tahun 2012 tentang pembanagunan kepemudaan</t>
        </is>
      </c>
      <c r="F184" s="178" t="inlineStr">
        <is>
          <t>Belum Tersedia</t>
        </is>
      </c>
      <c r="G184" s="184" t="inlineStr">
        <is>
          <t>PEMBERDAYAAN PEMUDA</t>
        </is>
      </c>
      <c r="H184" s="184" t="inlineStr">
        <is>
          <t>Masyarakat</t>
        </is>
      </c>
      <c r="I184" s="184" t="inlineStr">
        <is>
          <t>Nama, Jenis Kelamin, Alamat, Tempat Tanggal Lahir, NIK, Agama, Pendidikan terakhir, Profesi, Hobi, Data Komunitas, Data Organisasi, Kemampuan, Jumlah Pendapatan, Golongan Darah, Pelatihan yang diminati, status perwkawinan, izin usaha yang sudah dimiliki</t>
        </is>
      </c>
      <c r="J184" s="178" t="inlineStr">
        <is>
          <t>Data Pemuda di Kabupaten Bandung</t>
        </is>
      </c>
      <c r="K184" s="184" t="inlineStr">
        <is>
          <t>Terbatas</t>
        </is>
      </c>
      <c r="L184" s="184" t="inlineStr">
        <is>
          <t>Terdapat</t>
        </is>
      </c>
      <c r="M184" s="184" t="inlineStr">
        <is>
          <t>Harian</t>
        </is>
      </c>
      <c r="N184" s="97" t="inlineStr">
        <is>
          <t>SIDOPA</t>
        </is>
      </c>
      <c r="O184" s="184" t="inlineStr">
        <is>
          <t>Pihak Ke 3</t>
        </is>
      </c>
      <c r="P184" s="184" t="inlineStr">
        <is>
          <t>Pihak Ke 3 (Lisensi)</t>
        </is>
      </c>
      <c r="Q184" s="184" t="inlineStr">
        <is>
          <t>Website</t>
        </is>
      </c>
      <c r="R184" s="70" t="inlineStr">
        <is>
          <t>https://sidopabandungkab.com</t>
        </is>
      </c>
      <c r="S184" s="184" t="inlineStr">
        <is>
          <t>Secara Online</t>
        </is>
      </c>
      <c r="T184" s="184" t="inlineStr">
        <is>
          <t>Informasi</t>
        </is>
      </c>
      <c r="U184" s="98" t="n">
        <v>2025</v>
      </c>
      <c r="V184" s="184" t="inlineStr">
        <is>
          <t>Aktif</t>
        </is>
      </c>
      <c r="W184" s="184" t="inlineStr">
        <is>
          <t>Tidak</t>
        </is>
      </c>
      <c r="X184" s="181" t="inlineStr">
        <is>
          <t>belum terintegrasi</t>
        </is>
      </c>
      <c r="Y184" s="184" t="inlineStr">
        <is>
          <t>Tidak Terintegrasi</t>
        </is>
      </c>
      <c r="Z184" s="184" t="inlineStr">
        <is>
          <t>Tidak Terintegrasi</t>
        </is>
      </c>
      <c r="AA184" s="184" t="inlineStr">
        <is>
          <t>Bidang Pemberdayaan Kepemudaan</t>
        </is>
      </c>
      <c r="AB184" s="184" t="inlineStr">
        <is>
          <t>Dispora</t>
        </is>
      </c>
      <c r="AC184" s="178" t="inlineStr">
        <is>
          <t>Obikha Rezeki</t>
        </is>
      </c>
      <c r="AD184" s="178" t="n">
        <v>81320998488</v>
      </c>
      <c r="AE184" s="178" t="inlineStr">
        <is>
          <t>pemberdayaan.kab.bandung@gmail.com</t>
        </is>
      </c>
      <c r="AF184" s="68" t="n">
        <v>17</v>
      </c>
      <c r="AG184" s="68" t="inlineStr">
        <is>
          <t>Harian</t>
        </is>
      </c>
      <c r="AH184" s="284" t="n"/>
      <c r="AI184" s="284" t="n"/>
      <c r="AJ184" s="284" t="n"/>
      <c r="AK184" s="284" t="n"/>
      <c r="AL184" s="284" t="n"/>
      <c r="AM184" s="284" t="n"/>
      <c r="AN184" s="284" t="n"/>
      <c r="AO184" s="284" t="n"/>
      <c r="AP184" s="284" t="n"/>
      <c r="AQ184" s="284" t="n"/>
      <c r="AR184" s="284" t="n"/>
      <c r="AS184" s="284" t="n"/>
    </row>
    <row r="185">
      <c r="A185" s="182" t="n">
        <v>3</v>
      </c>
      <c r="B185" s="178" t="inlineStr">
        <is>
          <t>Layanan Pendataan Aset Barang Milik Daerah</t>
        </is>
      </c>
      <c r="C185" t="inlineStr">
        <is>
          <t>DISPORA</t>
        </is>
      </c>
      <c r="D185" s="178" t="inlineStr">
        <is>
          <t>Sistem Informasi Manajemen Daerah (SIMDA) adalah wadah atau sistem yang disediakan untuk mengolah data terkait informasi barang milik daerah secara terstruktur dan terorganisir dan membantu pemerintah dalam melakukan pencatatan pelaporan dan analisis data BMD.</t>
        </is>
      </c>
      <c r="E185" s="178" t="inlineStr">
        <is>
          <t>1. UU Nomor 17 Tahun 2023 Tentang Keuangan Negara
 2. UU Nomor 15 Tahun 2024 Tentang Pembendaharaan Negara
 3. UU Nomor 1 Tahun 2024 Tentang Pertanggungjawaban Keuangan Negara</t>
        </is>
      </c>
      <c r="F185" s="178" t="inlineStr">
        <is>
          <t>Belum Tersedia</t>
        </is>
      </c>
      <c r="G185" s="184" t="inlineStr">
        <is>
          <t>PENGADAAN BARANG/JASA PEMERINTAH</t>
        </is>
      </c>
      <c r="H185" s="184" t="inlineStr">
        <is>
          <t>Instansi Pemerintah Lainnya</t>
        </is>
      </c>
      <c r="I185" s="184" t="inlineStr">
        <is>
          <t>Aset (Data Tanah, peralatan dan mesin, bangunan dan gedung, jaringan irigasi dan drainase, aset tetap lainnya), Luas, Jumlah, Harga, Kode barang, Kode Lokasi, Kode regis, Keterangan</t>
        </is>
      </c>
      <c r="J185" s="178" t="inlineStr">
        <is>
          <t>Laporan Aset</t>
        </is>
      </c>
      <c r="K185" s="184" t="inlineStr">
        <is>
          <t>Tertutup</t>
        </is>
      </c>
      <c r="L185" s="184" t="inlineStr">
        <is>
          <t>Tidak terdapat</t>
        </is>
      </c>
      <c r="M185" s="184" t="inlineStr">
        <is>
          <t>Lainnya</t>
        </is>
      </c>
      <c r="N185" s="97" t="inlineStr">
        <is>
          <t>SIMDA</t>
        </is>
      </c>
      <c r="O185" s="184" t="inlineStr">
        <is>
          <t>OPD</t>
        </is>
      </c>
      <c r="P185" s="184" t="inlineStr">
        <is>
          <t>Kab. Bandung</t>
        </is>
      </c>
      <c r="Q185" s="184" t="inlineStr">
        <is>
          <t>Mobile</t>
        </is>
      </c>
      <c r="R185" s="178" t="inlineStr">
        <is>
          <t>SIMDA BMD</t>
        </is>
      </c>
      <c r="S185" s="184" t="inlineStr">
        <is>
          <t>Secara Online</t>
        </is>
      </c>
      <c r="T185" s="184" t="inlineStr">
        <is>
          <t>Informasi</t>
        </is>
      </c>
      <c r="U185" s="98" t="n">
        <v>2016</v>
      </c>
      <c r="V185" s="184" t="inlineStr">
        <is>
          <t>Aktif</t>
        </is>
      </c>
      <c r="W185" s="184" t="inlineStr">
        <is>
          <t>Ya</t>
        </is>
      </c>
      <c r="X185" s="184" t="inlineStr">
        <is>
          <t>Simda Kabupaten Bandung</t>
        </is>
      </c>
      <c r="Y185" s="184" t="inlineStr">
        <is>
          <t>API</t>
        </is>
      </c>
      <c r="Z185" s="184" t="inlineStr">
        <is>
          <t>Realtime</t>
        </is>
      </c>
      <c r="AA185" s="184" t="inlineStr">
        <is>
          <t>Kesekretariatan (Barang Milik Daerah)</t>
        </is>
      </c>
      <c r="AB185" s="184" t="inlineStr">
        <is>
          <t>Dispora</t>
        </is>
      </c>
      <c r="AC185" s="178" t="inlineStr">
        <is>
          <t>Zidan Fernando</t>
        </is>
      </c>
      <c r="AD185" s="178" t="n">
        <v>87806010625</v>
      </c>
      <c r="AE185" s="178" t="inlineStr">
        <is>
          <t>disporabmd@gmail.com</t>
        </is>
      </c>
      <c r="AF185" s="68" t="n">
        <v>17</v>
      </c>
      <c r="AG185" s="68" t="inlineStr">
        <is>
          <t>Harian</t>
        </is>
      </c>
      <c r="AH185" s="284" t="n"/>
      <c r="AI185" s="284" t="n"/>
      <c r="AJ185" s="284" t="n"/>
      <c r="AK185" s="284" t="n"/>
      <c r="AL185" s="284" t="n"/>
      <c r="AM185" s="284" t="n"/>
      <c r="AN185" s="284" t="n"/>
      <c r="AO185" s="284" t="n"/>
      <c r="AP185" s="284" t="n"/>
      <c r="AQ185" s="284" t="n"/>
      <c r="AR185" s="284" t="n"/>
      <c r="AS185" s="284" t="n"/>
    </row>
    <row r="186">
      <c r="A186" s="182" t="n">
        <v>4</v>
      </c>
      <c r="B186" s="178" t="inlineStr">
        <is>
          <t>Layanan Informasi mengenai tata kelola atau informasi</t>
        </is>
      </c>
      <c r="C186" t="inlineStr">
        <is>
          <t>DISPORA</t>
        </is>
      </c>
      <c r="D186" s="178" t="inlineStr">
        <is>
          <t>SIJALAK adalah sistem informasi mengenai tata layanan dan operasi di kawasan SOR Jalak Harupat</t>
        </is>
      </c>
      <c r="E186"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F186" s="178" t="inlineStr">
        <is>
          <t>tidak tersedia</t>
        </is>
      </c>
      <c r="G186" s="184" t="inlineStr">
        <is>
          <t>PEMBUDAYAAN OLAHRAGA</t>
        </is>
      </c>
      <c r="H186" s="184" t="inlineStr">
        <is>
          <t>Masyarakat</t>
        </is>
      </c>
      <c r="I186" s="184" t="inlineStr">
        <is>
          <t>Informasi layanan, pengaduan, lokasi venue</t>
        </is>
      </c>
      <c r="J186" s="178" t="inlineStr">
        <is>
          <t>Informasi fasilitas</t>
        </is>
      </c>
      <c r="K186" s="184" t="inlineStr">
        <is>
          <t>Terbuka</t>
        </is>
      </c>
      <c r="L186" s="184" t="inlineStr">
        <is>
          <t>Tidak terdapat</t>
        </is>
      </c>
      <c r="M186" s="184" t="inlineStr">
        <is>
          <t>Harian</t>
        </is>
      </c>
      <c r="N186" s="97" t="inlineStr">
        <is>
          <t>SIJALAK</t>
        </is>
      </c>
      <c r="O186" s="184" t="inlineStr">
        <is>
          <t>Diskominfo</t>
        </is>
      </c>
      <c r="P186" s="184" t="inlineStr">
        <is>
          <t>Kab. Bandung</t>
        </is>
      </c>
      <c r="Q186" s="184" t="inlineStr">
        <is>
          <t>Website</t>
        </is>
      </c>
      <c r="R186" s="70" t="inlineStr">
        <is>
          <t>rencana membuat sub domain dari disporabandungkab.go.id</t>
        </is>
      </c>
      <c r="S186" s="184" t="inlineStr">
        <is>
          <t>Secara Online</t>
        </is>
      </c>
      <c r="T186" s="184" t="inlineStr">
        <is>
          <t>Informasi</t>
        </is>
      </c>
      <c r="U186" s="98" t="n">
        <v>2022</v>
      </c>
      <c r="V186" s="184" t="inlineStr">
        <is>
          <t>Non Aktif</t>
        </is>
      </c>
      <c r="W186" s="184" t="inlineStr">
        <is>
          <t>Tidak</t>
        </is>
      </c>
      <c r="X186" s="184" t="inlineStr">
        <is>
          <t>-</t>
        </is>
      </c>
      <c r="Y186" s="184" t="inlineStr">
        <is>
          <t>Tidak Terintegrasi</t>
        </is>
      </c>
      <c r="Z186" s="184" t="inlineStr">
        <is>
          <t>Tidak Terintegrasi</t>
        </is>
      </c>
      <c r="AA186" s="184" t="inlineStr">
        <is>
          <t>Kesekretariatan</t>
        </is>
      </c>
      <c r="AB186" s="184" t="inlineStr">
        <is>
          <t>Dispora</t>
        </is>
      </c>
      <c r="AC186" s="178" t="inlineStr">
        <is>
          <t>Imam Budiana, S.E</t>
        </is>
      </c>
      <c r="AD186" s="178" t="n">
        <v>82120532304</v>
      </c>
      <c r="AE186" s="178" t="inlineStr">
        <is>
          <t>program.dispora.kabbdg@gmail.com</t>
        </is>
      </c>
      <c r="AF186" s="68" t="n">
        <v>17</v>
      </c>
      <c r="AG186" s="68" t="inlineStr">
        <is>
          <t>Bulanan</t>
        </is>
      </c>
      <c r="AH186" s="284" t="n"/>
      <c r="AI186" s="284" t="n"/>
      <c r="AJ186" s="284" t="n"/>
      <c r="AK186" s="284" t="n"/>
      <c r="AL186" s="284" t="n"/>
      <c r="AM186" s="284" t="n"/>
      <c r="AN186" s="284" t="n"/>
      <c r="AO186" s="284" t="n"/>
      <c r="AP186" s="284" t="n"/>
      <c r="AQ186" s="284" t="n"/>
      <c r="AR186" s="284" t="n"/>
      <c r="AS186" s="284" t="n"/>
    </row>
    <row r="187">
      <c r="A187" s="182" t="n">
        <v>5</v>
      </c>
      <c r="B187" s="178" t="inlineStr">
        <is>
          <t>Layanan Anggaran dan rencana kerja dinas</t>
        </is>
      </c>
      <c r="C187" t="inlineStr">
        <is>
          <t>DISPORA</t>
        </is>
      </c>
      <c r="D187" s="178" t="inlineStr">
        <is>
          <t>Sistem Informasi Perangkat Daerah (SIPD) adalah sistem pendataan penatausaha dan keuangan yang bertujuan untuk meningkatkan transparansi, akuntabilitas, dan integrasi data antar daerah di seluruh Indonesia.</t>
        </is>
      </c>
      <c r="E187" s="178" t="inlineStr">
        <is>
          <t>1. UU 23 Tahun 2014 tentang Pemerintahan Daerah
 2. Peraturan Pemerintah Nomor 12 Tahun 2019 tentang Pengelolaan Keuangan Daerah 
 3. Undang-Undang Nomor 17 Tahun 2003 tentang Keuangan Negara
 4. Undang-Undang Nomor 1 Tahun 2004 tentang Perbendaharaan Negara
 5. Peraturan menteri dalam negeri (permendagri) nomor 77 tahun 2020 tentang Pedoman Teknis Pengelolaan Keuangan Daerah 
 6. Undang-Undang Nomor 15 Tahun 2004 tentang Pemeriksaan Pengelolaan dan Tanggung jawab Keuangan Negara 
 7. Undang-undang Nomor 30 Tahun 2014 tentang Administrasi Pemerintahan</t>
        </is>
      </c>
      <c r="F187" s="178" t="inlineStr">
        <is>
          <t>Belum Tersedia</t>
        </is>
      </c>
      <c r="G187" s="184" t="inlineStr">
        <is>
          <t>AKUNTANSI DAN PELAPORAN KEUANGAN</t>
        </is>
      </c>
      <c r="H187" s="184" t="inlineStr">
        <is>
          <t>Instansi Pemerintah Lainnya</t>
        </is>
      </c>
      <c r="I187" s="184" t="inlineStr">
        <is>
          <t>Rencana Kinerja, Anggaran, dan Realisasi Anggaran</t>
        </is>
      </c>
      <c r="J187" s="178" t="inlineStr">
        <is>
          <t>Data Rencana dan Keuangan Dinas Pemuda dan Olahraga</t>
        </is>
      </c>
      <c r="K187" s="184" t="inlineStr">
        <is>
          <t>Terbuka</t>
        </is>
      </c>
      <c r="L187" s="184" t="inlineStr">
        <is>
          <t>Tidak terdapat</t>
        </is>
      </c>
      <c r="M187" s="184" t="inlineStr">
        <is>
          <t>Harian</t>
        </is>
      </c>
      <c r="N187" s="97" t="inlineStr">
        <is>
          <t>SIPD</t>
        </is>
      </c>
      <c r="O187" s="184" t="inlineStr">
        <is>
          <t>OPD</t>
        </is>
      </c>
      <c r="P187" s="184" t="inlineStr">
        <is>
          <t>Pusat</t>
        </is>
      </c>
      <c r="Q187" s="184" t="inlineStr">
        <is>
          <t>Website</t>
        </is>
      </c>
      <c r="R187" s="70" t="inlineStr">
        <is>
          <t>https://sipdkemendagri.go.id</t>
        </is>
      </c>
      <c r="S187" s="184" t="inlineStr">
        <is>
          <t>Secara Online</t>
        </is>
      </c>
      <c r="T187" s="184" t="inlineStr">
        <is>
          <t>Informasi</t>
        </is>
      </c>
      <c r="U187" s="178" t="inlineStr">
        <is>
          <t>-</t>
        </is>
      </c>
      <c r="V187" s="184" t="inlineStr">
        <is>
          <t>Aktif</t>
        </is>
      </c>
      <c r="W187" s="184" t="inlineStr">
        <is>
          <t>Ya</t>
        </is>
      </c>
      <c r="X187" s="184" t="inlineStr">
        <is>
          <t>Sudah Terintegrasi</t>
        </is>
      </c>
      <c r="Y187" s="184" t="inlineStr">
        <is>
          <t>API</t>
        </is>
      </c>
      <c r="Z187" s="184" t="inlineStr">
        <is>
          <t>Realtime</t>
        </is>
      </c>
      <c r="AA187" s="184" t="inlineStr">
        <is>
          <t>Kesekretariatan (Keuangan)</t>
        </is>
      </c>
      <c r="AB187" s="184" t="inlineStr">
        <is>
          <t>Bapperida</t>
        </is>
      </c>
      <c r="AC187" s="178" t="inlineStr">
        <is>
          <t>Bambang Triadi</t>
        </is>
      </c>
      <c r="AD187" s="178" t="n">
        <v>85315555521</v>
      </c>
      <c r="AE187" s="178" t="inlineStr">
        <is>
          <t>abanktriadi@gmail.com</t>
        </is>
      </c>
      <c r="AF187" s="288" t="n"/>
      <c r="AG187" s="288" t="n"/>
      <c r="AH187" s="284" t="n"/>
      <c r="AI187" s="284" t="n"/>
      <c r="AJ187" s="284" t="n"/>
      <c r="AK187" s="284" t="n"/>
      <c r="AL187" s="284" t="n"/>
      <c r="AM187" s="284" t="n"/>
      <c r="AN187" s="284" t="n"/>
      <c r="AO187" s="284" t="n"/>
      <c r="AP187" s="284" t="n"/>
      <c r="AQ187" s="284" t="n"/>
      <c r="AR187" s="284" t="n"/>
      <c r="AS187" s="284" t="n"/>
    </row>
    <row r="188">
      <c r="A188" s="182" t="n">
        <v>6</v>
      </c>
      <c r="B188" s="178" t="inlineStr">
        <is>
          <t>Layanan Pengolahan Data Statistik Pemuda dan Olahraga</t>
        </is>
      </c>
      <c r="C188" t="inlineStr">
        <is>
          <t>DISPORA</t>
        </is>
      </c>
      <c r="D188" s="178" t="inlineStr">
        <is>
          <t>Sistem Manajemen Statistik Daerah (SIMASDA) adalah sistem manajemen data yang mencakup data statistik capaian kinerja suatu perangkat daerah salah satunya DISPORA. SIMASDA bertujuan untuk mengelola data yang kemudian akan dijadikan acuan untuk perencanaan kinerja di tahun berikutnya.</t>
        </is>
      </c>
      <c r="E188" s="178" t="inlineStr">
        <is>
          <t>-</t>
        </is>
      </c>
      <c r="F188" s="178" t="inlineStr">
        <is>
          <t>-</t>
        </is>
      </c>
      <c r="G188" s="184" t="inlineStr">
        <is>
          <t>PENGELOLAAN DATA STATISTIK</t>
        </is>
      </c>
      <c r="H188" s="184" t="inlineStr">
        <is>
          <t>Instansi Pemerintah Lainnya</t>
        </is>
      </c>
      <c r="I188" s="184" t="inlineStr">
        <is>
          <t>Atlet Berprestasi, Pemuda, Kejuaraan Olahraga Prestasi, Kejuaraan Olahraga Masyarakat, Kegiatan Pelatihan Wirausaha, Standarisasi Olahraga, dll</t>
        </is>
      </c>
      <c r="J188" s="178" t="inlineStr">
        <is>
          <t>Data Pemuda dan Olahraga</t>
        </is>
      </c>
      <c r="K188" s="184" t="inlineStr">
        <is>
          <t>Terbatas</t>
        </is>
      </c>
      <c r="L188" s="184" t="inlineStr">
        <is>
          <t>Terdapat</t>
        </is>
      </c>
      <c r="M188" s="184" t="inlineStr">
        <is>
          <t>Tahunan</t>
        </is>
      </c>
      <c r="N188" s="97" t="inlineStr">
        <is>
          <t>SIMASDA</t>
        </is>
      </c>
      <c r="O188" s="184" t="inlineStr">
        <is>
          <t>OPD</t>
        </is>
      </c>
      <c r="P188" s="184" t="inlineStr">
        <is>
          <t>Kab. Bandung</t>
        </is>
      </c>
      <c r="Q188" s="184" t="inlineStr">
        <is>
          <t>Website</t>
        </is>
      </c>
      <c r="R188" s="70" t="inlineStr">
        <is>
          <t>https://simasda.bandungkab.go.id/</t>
        </is>
      </c>
      <c r="S188" s="184" t="inlineStr">
        <is>
          <t>Secara Online</t>
        </is>
      </c>
      <c r="T188" s="184" t="inlineStr">
        <is>
          <t>Informasi</t>
        </is>
      </c>
      <c r="U188" s="178" t="inlineStr">
        <is>
          <t>-</t>
        </is>
      </c>
      <c r="V188" s="184" t="inlineStr">
        <is>
          <t>Aktif</t>
        </is>
      </c>
      <c r="W188" s="184" t="inlineStr">
        <is>
          <t>Ya</t>
        </is>
      </c>
      <c r="X188" s="184" t="inlineStr">
        <is>
          <t>Sudah Terintegrasi</t>
        </is>
      </c>
      <c r="Y188" s="184" t="inlineStr">
        <is>
          <t>Manual</t>
        </is>
      </c>
      <c r="Z188" s="184" t="inlineStr">
        <is>
          <t>Tahunan</t>
        </is>
      </c>
      <c r="AA188" s="184" t="inlineStr">
        <is>
          <t>Bidang Statistik</t>
        </is>
      </c>
      <c r="AB188" s="184" t="inlineStr">
        <is>
          <t>Diskominfo</t>
        </is>
      </c>
      <c r="AC188" s="178" t="inlineStr">
        <is>
          <t>(DISPORA) Ghina Senjaningsih, S.Stat</t>
        </is>
      </c>
      <c r="AD188" s="178" t="n">
        <v>81219830270</v>
      </c>
      <c r="AE188" s="178" t="inlineStr">
        <is>
          <t>program.dispora.kabbdg@gmail.com</t>
        </is>
      </c>
      <c r="AF188" s="288" t="n"/>
      <c r="AG188" s="288" t="n"/>
      <c r="AH188" s="284" t="n"/>
      <c r="AI188" s="284" t="n"/>
      <c r="AJ188" s="284" t="n"/>
      <c r="AK188" s="284" t="n"/>
      <c r="AL188" s="284" t="n"/>
      <c r="AM188" s="284" t="n"/>
      <c r="AN188" s="284" t="n"/>
      <c r="AO188" s="284" t="n"/>
      <c r="AP188" s="284" t="n"/>
      <c r="AQ188" s="284" t="n"/>
      <c r="AR188" s="284" t="n"/>
      <c r="AS188" s="284" t="n"/>
    </row>
    <row r="189">
      <c r="A189" s="182" t="n">
        <v>7</v>
      </c>
      <c r="B189" s="178" t="inlineStr">
        <is>
          <t>Layanan Peminjaman Area/Venue Olahraga</t>
        </is>
      </c>
      <c r="C189" t="inlineStr">
        <is>
          <t>DISPORA</t>
        </is>
      </c>
      <c r="D189" s="178" t="inlineStr">
        <is>
          <t>Layanan ini bertujuan untuk mengelola peminjaman sarana di kawasan SOR Jalak Harupat sekaligus transaksi untuk penyewaan agar lebih terorganisir. (SIPELOR-SISTEM INFORMASI PENYEWAAN LAPANGAN OLAHRAGA)</t>
        </is>
      </c>
      <c r="E189" s="178" t="inlineStr">
        <is>
          <t>1. UU 23 Tahun 2014 tentang Pemerintahan Daerah
 2. Peraturan Pemerintah Nomor 12 Tahun 2019 tentang Pengelolaan Keuangan Daerah 
 3. Undang-Undang Nomor 17 Tahun 2003 tentang Keuangan Negara
 4. Undang-Undang Nomor 1 Tahun 2004 tentang Perbendaharaan Negara
 5. Peraturan menteri dalam negeri (permendagri) nomor 77 tahun 2020 tentang Pedoman Teknis Pengelolaan Keuangan Daerah 
 6. Undang-Undang Nomor 15 Tahun 2004 tentang Pemeriksaan Pengelolaan dan Tanggung jawab Keuangan Negara 
 7. Undang-undang Nomor 30 Tahun 2014 tentang Administrasi Pemerintahan</t>
        </is>
      </c>
      <c r="F189" s="70" t="inlineStr">
        <is>
          <t>https://drive.google.com/file/d/1CK9sB-VkjtVcnm48SmIytt7EAWrjRZba/view?usp=sharing</t>
        </is>
      </c>
      <c r="G189" s="184" t="inlineStr">
        <is>
          <t>PEMBUDAYAAN OLAHRAGA</t>
        </is>
      </c>
      <c r="H189" s="184" t="inlineStr">
        <is>
          <t>Masyarakat</t>
        </is>
      </c>
      <c r="I189" s="184" t="inlineStr">
        <is>
          <t>Nama, No. HP, Venue yang disewa, Lama Waktu penyewaan (Jam/Hari), Harga</t>
        </is>
      </c>
      <c r="J189" s="178" t="inlineStr">
        <is>
          <t>Data Sewa Venue Olahraga</t>
        </is>
      </c>
      <c r="K189" s="184" t="inlineStr">
        <is>
          <t>Terbuka</t>
        </is>
      </c>
      <c r="L189" s="184" t="inlineStr">
        <is>
          <t>Terdapat</t>
        </is>
      </c>
      <c r="M189" s="184" t="inlineStr">
        <is>
          <t>Harian</t>
        </is>
      </c>
      <c r="N189" s="97" t="inlineStr">
        <is>
          <t>SIPELOR</t>
        </is>
      </c>
      <c r="O189" s="184" t="inlineStr">
        <is>
          <t>OPD</t>
        </is>
      </c>
      <c r="P189" s="184" t="inlineStr">
        <is>
          <t>Kab. Bandung</t>
        </is>
      </c>
      <c r="Q189" s="184" t="inlineStr">
        <is>
          <t>Website dan Mobile</t>
        </is>
      </c>
      <c r="R189" s="178" t="inlineStr">
        <is>
          <t>Data Administrasi</t>
        </is>
      </c>
      <c r="S189" s="184" t="inlineStr">
        <is>
          <t>Secara Online</t>
        </is>
      </c>
      <c r="T189" s="184" t="inlineStr">
        <is>
          <t>Transaksi</t>
        </is>
      </c>
      <c r="U189" s="178" t="inlineStr">
        <is>
          <t>-Rencana dan launching 2026</t>
        </is>
      </c>
      <c r="V189" s="184" t="inlineStr">
        <is>
          <t>Aktif</t>
        </is>
      </c>
      <c r="W189" s="184" t="inlineStr">
        <is>
          <t>Ya</t>
        </is>
      </c>
      <c r="X189" s="184" t="inlineStr">
        <is>
          <t>Terintegrasi</t>
        </is>
      </c>
      <c r="Y189" s="184" t="inlineStr">
        <is>
          <t>API</t>
        </is>
      </c>
      <c r="Z189" s="184" t="inlineStr">
        <is>
          <t>Realtime</t>
        </is>
      </c>
      <c r="AA189" s="184" t="inlineStr">
        <is>
          <t>Kesekretariatan</t>
        </is>
      </c>
      <c r="AB189" s="184" t="inlineStr">
        <is>
          <t>Dispora</t>
        </is>
      </c>
      <c r="AC189" s="178" t="inlineStr">
        <is>
          <t>Bambang Triadi/ Rama</t>
        </is>
      </c>
      <c r="AD189" s="178" t="inlineStr">
        <is>
          <t>082121790185 / 085150692618</t>
        </is>
      </c>
      <c r="AE189" s="178" t="inlineStr">
        <is>
          <t>abanktriadi@gmail.com / program.dispora.kabbdg@gmail.com</t>
        </is>
      </c>
      <c r="AF189" s="68" t="n">
        <v>17</v>
      </c>
      <c r="AG189" s="68" t="inlineStr">
        <is>
          <t>Harian</t>
        </is>
      </c>
      <c r="AH189" s="284" t="n"/>
      <c r="AI189" s="284" t="n"/>
      <c r="AJ189" s="284" t="n"/>
      <c r="AK189" s="284" t="n"/>
      <c r="AL189" s="284" t="n"/>
      <c r="AM189" s="284" t="n"/>
      <c r="AN189" s="284" t="n"/>
      <c r="AO189" s="284" t="n"/>
      <c r="AP189" s="284" t="n"/>
      <c r="AQ189" s="284" t="n"/>
      <c r="AR189" s="284" t="n"/>
      <c r="AS189" s="284" t="n"/>
    </row>
    <row r="190">
      <c r="A190" s="71" t="inlineStr">
        <is>
          <t>DISPERDAGIN</t>
        </is>
      </c>
      <c r="B190" s="58" t="n"/>
      <c r="D190" s="58" t="n"/>
      <c r="E190" s="58" t="n"/>
      <c r="F190" s="58" t="n"/>
      <c r="G190" s="58" t="n"/>
      <c r="H190" s="58" t="n"/>
      <c r="I190" s="58" t="n"/>
      <c r="J190" s="58" t="n"/>
      <c r="K190" s="58" t="n"/>
      <c r="L190" s="58" t="n"/>
      <c r="M190" s="58" t="n"/>
      <c r="N190" s="58" t="n"/>
      <c r="O190" s="58" t="n"/>
      <c r="P190" s="58" t="n"/>
      <c r="Q190" s="58" t="n"/>
      <c r="R190" s="58" t="n"/>
      <c r="S190" s="58" t="n"/>
      <c r="T190" s="58" t="n"/>
      <c r="U190" s="58" t="n"/>
      <c r="V190" s="58" t="n"/>
      <c r="W190" s="58" t="n"/>
      <c r="X190" s="58" t="n"/>
      <c r="Y190" s="58" t="n"/>
      <c r="Z190" s="58" t="n"/>
      <c r="AA190" s="58" t="n"/>
      <c r="AB190" s="58" t="n"/>
      <c r="AC190" s="58" t="n"/>
      <c r="AD190" s="58" t="n"/>
      <c r="AE190" s="58" t="n"/>
      <c r="AF190" s="200" t="n"/>
      <c r="AG190" s="200" t="n"/>
      <c r="AH190" s="284" t="n"/>
      <c r="AI190" s="284" t="n"/>
      <c r="AJ190" s="284" t="n"/>
      <c r="AK190" s="284" t="n"/>
      <c r="AL190" s="284" t="n"/>
      <c r="AM190" s="284" t="n"/>
      <c r="AN190" s="284" t="n"/>
      <c r="AO190" s="284" t="n"/>
      <c r="AP190" s="284" t="n"/>
      <c r="AQ190" s="284" t="n"/>
      <c r="AR190" s="284" t="n"/>
      <c r="AS190" s="284" t="n"/>
    </row>
    <row r="191">
      <c r="A191" s="182" t="n">
        <v>1</v>
      </c>
      <c r="B191" s="178" t="inlineStr">
        <is>
          <t>Sistem informasi Bahan Pokok dan Penting</t>
        </is>
      </c>
      <c r="C191" t="inlineStr">
        <is>
          <t>DISPERDAGIN</t>
        </is>
      </c>
      <c r="D191" s="178" t="inlineStr">
        <is>
          <t>Tujuan dari SIBAPOKTING adalah menyediakan acuan bagi pemerintah Kabupaten Bandung dalam perencanaan, pelaksanaan, dan evaluasi kebijakan, dengan memuat data perkembangan harga kebutuhan pokok dan barang penting. Database ini juga mendukung penyusunan laporan harga yang lebih efisien dan dapat diakses oleh masyarakat luas. Fungsinya sebagai sarana penyimpanan dan penyajian data BAPOKTING secara terintegrasi, memberikan informasi akurat untuk pengambilan keputusan, serta sebagai alat monitoring perkembangan harga BAPOKTING guna meningkatkan transparansi, efisiensi, dan efektivitas.</t>
        </is>
      </c>
      <c r="E191" s="178" t="inlineStr">
        <is>
          <t>Undang - Undang Nomor 7 Tahun 2014 Tentang Perdagangan dan Permendag Nomor 22 Tahun 2021 Tentang Tata Cara Pelaporan Barang Kebutuhan
 Pokok dan Barang Penting</t>
        </is>
      </c>
      <c r="F191" s="70" t="inlineStr">
        <is>
          <t>SOP SIBAPOKTING 2025 Ttd.pdf</t>
        </is>
      </c>
      <c r="G191" s="184" t="inlineStr">
        <is>
          <t>STABILITAS PASOKAN DAN HARGA PANGAN</t>
        </is>
      </c>
      <c r="H191" s="184" t="inlineStr">
        <is>
          <t>Pelaku Bisnis</t>
        </is>
      </c>
      <c r="I191" s="184" t="inlineStr">
        <is>
          <t>Data Harga Bahan Pokok dan Barang Penting dari Pasar Pantauan Kabupaten Bandung</t>
        </is>
      </c>
      <c r="J191" s="178" t="inlineStr">
        <is>
          <t>Data Harga Bapokting</t>
        </is>
      </c>
      <c r="K191" s="184" t="inlineStr">
        <is>
          <t>Terbuka</t>
        </is>
      </c>
      <c r="L191" s="184" t="inlineStr">
        <is>
          <t>Terdapat</t>
        </is>
      </c>
      <c r="M191" s="184" t="inlineStr">
        <is>
          <t>Harian</t>
        </is>
      </c>
      <c r="N191" s="97" t="inlineStr">
        <is>
          <t>SIBAPOKTING</t>
        </is>
      </c>
      <c r="O191" s="184" t="inlineStr">
        <is>
          <t>Pihak Ke 3</t>
        </is>
      </c>
      <c r="P191" s="184" t="inlineStr">
        <is>
          <t>Pihak Ke 3 (Lisensi)</t>
        </is>
      </c>
      <c r="Q191" s="184" t="inlineStr">
        <is>
          <t>Website dan Mobile</t>
        </is>
      </c>
      <c r="R191" s="70" t="inlineStr">
        <is>
          <t>https://sibapokting.bandungkab.go.id/</t>
        </is>
      </c>
      <c r="S191" s="184" t="inlineStr">
        <is>
          <t>Secara Online</t>
        </is>
      </c>
      <c r="T191" s="184" t="inlineStr">
        <is>
          <t>Informasi</t>
        </is>
      </c>
      <c r="U191" s="98" t="n">
        <v>2021</v>
      </c>
      <c r="V191" s="184" t="inlineStr">
        <is>
          <t>Aktif</t>
        </is>
      </c>
      <c r="W191" s="184" t="inlineStr">
        <is>
          <t>Ya</t>
        </is>
      </c>
      <c r="X191" s="184" t="inlineStr">
        <is>
          <t>Integrasi dengan Silinda Jabar dan BDS Bandungkab</t>
        </is>
      </c>
      <c r="Y191" s="184" t="inlineStr">
        <is>
          <t>Web Service</t>
        </is>
      </c>
      <c r="Z191" s="184" t="inlineStr">
        <is>
          <t>Harian</t>
        </is>
      </c>
      <c r="AA191" s="184" t="inlineStr">
        <is>
          <t>Bidang P3BP (Pengembangan Perdagangan dan Pengendalian Barang Pokok dan penting)</t>
        </is>
      </c>
      <c r="AB191" s="184" t="inlineStr">
        <is>
          <t>Disperdagin</t>
        </is>
      </c>
      <c r="AC191" s="178" t="inlineStr">
        <is>
          <t>Elisa Yuniangsih</t>
        </is>
      </c>
      <c r="AD191" s="178" t="n">
        <v>82318055276</v>
      </c>
      <c r="AE191" s="178" t="inlineStr">
        <is>
          <t>eliasyuniangsih076@gmail.com</t>
        </is>
      </c>
      <c r="AF191" s="288" t="n"/>
      <c r="AG191" s="288" t="n"/>
      <c r="AH191" s="284" t="n"/>
      <c r="AI191" s="284" t="n"/>
      <c r="AJ191" s="284" t="n"/>
      <c r="AK191" s="284" t="n"/>
      <c r="AL191" s="284" t="n"/>
      <c r="AM191" s="284" t="n"/>
      <c r="AN191" s="284" t="n"/>
      <c r="AO191" s="284" t="n"/>
      <c r="AP191" s="284" t="n"/>
      <c r="AQ191" s="284" t="n"/>
      <c r="AR191" s="284" t="n"/>
      <c r="AS191" s="284" t="n"/>
    </row>
    <row r="192">
      <c r="A192" s="182" t="n">
        <v>2</v>
      </c>
      <c r="B192" s="178" t="inlineStr">
        <is>
          <t>eSKA (Elektronik Surat Keterangan Asal)</t>
        </is>
      </c>
      <c r="C192" t="inlineStr">
        <is>
          <t>DISPERDAGIN</t>
        </is>
      </c>
      <c r="D192" s="178" t="inlineStr">
        <is>
          <t>Layanan eSKA adalah merupakan sertifikasi asal barang, dimana dinyatakan dalam sertifikat tersebut bahwa barang/ komoditas yang diekspor adalah berasal dari daerah/negara pengekspor. Mendasari hal ini adalah kesepakatan Bilateral, Regional, Multilateral, Unilateral, atau Karena Ketentuan sepihak dari suatu negara pengimpor/ tujuan, yang mewajibkan SKA ini disertakan pada barang ekspor Indonesia. SKA ini yang membuktikan bahwa barang tersebut berasal, dihasilkan dan atau diolah di Indonesia.</t>
        </is>
      </c>
      <c r="E192" s="178" t="inlineStr">
        <is>
          <t>Keppermendag RI No. 1495 Tahun 2024 Tentang Penetapan Instansi Penerbit SKA. Permendag RI No. 39 Tahun 2020 Tentang Perubahan Ketiga atas Permendag No.24 Tahun 2018 Tentang Ketentuan dan Tata Cara Penerbitan SKA untuk Barang Asal Indonsia</t>
        </is>
      </c>
      <c r="F192" s="70" t="inlineStr">
        <is>
          <t>SOP SKA.pdf</t>
        </is>
      </c>
      <c r="G192" s="184" t="inlineStr">
        <is>
          <t>PENGUATAN PERDAGANGAN LUAR NEGERI</t>
        </is>
      </c>
      <c r="H192" s="184" t="inlineStr">
        <is>
          <t>Pelaku Bisnis</t>
        </is>
      </c>
      <c r="I192" s="184" t="inlineStr">
        <is>
          <t>Data Invoice, Packing List, PEB, NPE, dan BL atau AWB</t>
        </is>
      </c>
      <c r="J192" s="178" t="inlineStr">
        <is>
          <t>Data Ekspor</t>
        </is>
      </c>
      <c r="K192" s="184" t="inlineStr">
        <is>
          <t>Terbatas</t>
        </is>
      </c>
      <c r="L192" s="184" t="inlineStr">
        <is>
          <t>Terdapat</t>
        </is>
      </c>
      <c r="M192" s="184" t="inlineStr">
        <is>
          <t>Harian</t>
        </is>
      </c>
      <c r="N192" s="97" t="inlineStr">
        <is>
          <t>eSKA</t>
        </is>
      </c>
      <c r="O192" s="184" t="inlineStr">
        <is>
          <t>Pusat</t>
        </is>
      </c>
      <c r="P192" s="184" t="inlineStr">
        <is>
          <t>Pusat</t>
        </is>
      </c>
      <c r="Q192" s="184" t="inlineStr">
        <is>
          <t>Website dan Mobile</t>
        </is>
      </c>
      <c r="R192" s="70" t="inlineStr">
        <is>
          <t>ska.kemendag.go.id</t>
        </is>
      </c>
      <c r="S192" s="184" t="inlineStr">
        <is>
          <t>Secara Online</t>
        </is>
      </c>
      <c r="T192" s="184" t="inlineStr">
        <is>
          <t>Informasi</t>
        </is>
      </c>
      <c r="U192" s="98" t="n">
        <v>2012</v>
      </c>
      <c r="V192" s="184" t="inlineStr">
        <is>
          <t>Aktif</t>
        </is>
      </c>
      <c r="W192" s="184" t="inlineStr">
        <is>
          <t>Ya</t>
        </is>
      </c>
      <c r="X192" s="184" t="inlineStr">
        <is>
          <t>OSS, BI, Kemendag, Kantor IPSKA, Bea Cukai, Perusahaan, Buyer, dan Custom Luar Negeri</t>
        </is>
      </c>
      <c r="Y192" s="184" t="inlineStr">
        <is>
          <t>Database to Database</t>
        </is>
      </c>
      <c r="Z192" s="184" t="inlineStr">
        <is>
          <t>Harian</t>
        </is>
      </c>
      <c r="AA192" s="184" t="inlineStr">
        <is>
          <t>Bidang P3BP (Pengembangan Perdagangan dan Pengendalian Barang Pokok dan penting)</t>
        </is>
      </c>
      <c r="AB192" s="184" t="inlineStr">
        <is>
          <t>Disperdagin</t>
        </is>
      </c>
      <c r="AC192" s="178" t="inlineStr">
        <is>
          <t>Didi Kusdiaman, S.E</t>
        </is>
      </c>
      <c r="AD192" s="178" t="n">
        <v>8122495695</v>
      </c>
      <c r="AE192" s="178" t="inlineStr">
        <is>
          <t>soreang.daglu@gmail.com</t>
        </is>
      </c>
      <c r="AF192" s="288" t="n"/>
      <c r="AG192" s="288" t="n"/>
      <c r="AH192" s="284" t="n"/>
      <c r="AI192" s="284" t="n"/>
      <c r="AJ192" s="284" t="n"/>
      <c r="AK192" s="284" t="n"/>
      <c r="AL192" s="284" t="n"/>
      <c r="AM192" s="284" t="n"/>
      <c r="AN192" s="284" t="n"/>
      <c r="AO192" s="284" t="n"/>
      <c r="AP192" s="284" t="n"/>
      <c r="AQ192" s="284" t="n"/>
      <c r="AR192" s="284" t="n"/>
      <c r="AS192" s="284" t="n"/>
    </row>
    <row r="193">
      <c r="A193" s="182" t="n">
        <v>3</v>
      </c>
      <c r="B193" s="178" t="inlineStr">
        <is>
          <t>Pelayanan Tera/Tera Ulang</t>
        </is>
      </c>
      <c r="C193" t="inlineStr">
        <is>
          <t>DISPERDAGIN</t>
        </is>
      </c>
      <c r="D193" s="178" t="inlineStr">
        <is>
          <t>Memastikan kebenaran pengukuran dari alat ukur, takar, timbang dan perlengkapannya (UTTP) yang berada di wilayah Kabupaten Bandung</t>
        </is>
      </c>
      <c r="E193" s="178" t="inlineStr">
        <is>
          <t>Undang -Undang Nomor 2 Tahun 1981 tentang Metrologi Legal;</t>
        </is>
      </c>
      <c r="F193" s="70" t="inlineStr">
        <is>
          <t>SOP Pelayanan Kantor.xlsx</t>
        </is>
      </c>
      <c r="G193" s="184" t="inlineStr">
        <is>
          <t>PERLINDUNGAN KONSUMEN DAN TERTIB NIAGA</t>
        </is>
      </c>
      <c r="H193" s="184" t="inlineStr">
        <is>
          <t>Masyarakat</t>
        </is>
      </c>
      <c r="I193" s="184" t="inlineStr">
        <is>
          <t>Data Pemilik dan Alat UTTP</t>
        </is>
      </c>
      <c r="J193" s="178" t="inlineStr">
        <is>
          <t>Data Hasil Pelayanan Tera/Tera Ulang dan Surat Keterangan Hasil Pengujian</t>
        </is>
      </c>
      <c r="K193" s="184" t="inlineStr">
        <is>
          <t>Tertutup</t>
        </is>
      </c>
      <c r="L193" s="184" t="inlineStr">
        <is>
          <t>Terdapat</t>
        </is>
      </c>
      <c r="M193" s="184" t="inlineStr">
        <is>
          <t>Harian</t>
        </is>
      </c>
      <c r="N193" s="130" t="inlineStr">
        <is>
          <t>Google Form</t>
        </is>
      </c>
      <c r="O193" s="184" t="inlineStr">
        <is>
          <t>OPD</t>
        </is>
      </c>
      <c r="P193" s="184" t="inlineStr">
        <is>
          <t>Kab. Bandung</t>
        </is>
      </c>
      <c r="Q193" s="184" t="inlineStr">
        <is>
          <t>Website dan Mobile</t>
        </is>
      </c>
      <c r="R193" s="70" t="inlineStr">
        <is>
          <t>bit.ly/PendaftaranTTU2025</t>
        </is>
      </c>
      <c r="S193" s="184" t="inlineStr">
        <is>
          <t>Secara Online</t>
        </is>
      </c>
      <c r="T193" s="184" t="inlineStr">
        <is>
          <t>Informasi</t>
        </is>
      </c>
      <c r="U193" s="184" t="n">
        <v>2022</v>
      </c>
      <c r="V193" s="184" t="inlineStr">
        <is>
          <t>Aktif</t>
        </is>
      </c>
      <c r="W193" s="184" t="inlineStr">
        <is>
          <t>Tidak</t>
        </is>
      </c>
      <c r="X193" s="288" t="n"/>
      <c r="Y193" s="184" t="inlineStr">
        <is>
          <t>Tidak Terintegrasi</t>
        </is>
      </c>
      <c r="Z193" s="184" t="inlineStr">
        <is>
          <t>Tidak Terintegrasi</t>
        </is>
      </c>
      <c r="AA193" s="184" t="inlineStr">
        <is>
          <t>UPTD Metrologi Legal</t>
        </is>
      </c>
      <c r="AB193" s="184" t="inlineStr">
        <is>
          <t>Disperdagin</t>
        </is>
      </c>
      <c r="AC193" s="131" t="inlineStr">
        <is>
          <t>Fatihatul Aulia, S.Si</t>
        </is>
      </c>
      <c r="AD193" s="184" t="n">
        <v>82384797299</v>
      </c>
      <c r="AE193" s="184" t="inlineStr">
        <is>
          <t>fatihatulaaulia@gmail.com</t>
        </is>
      </c>
      <c r="AF193" s="288" t="n"/>
      <c r="AG193" s="288" t="n"/>
      <c r="AH193" s="284" t="n"/>
      <c r="AI193" s="284" t="n"/>
      <c r="AJ193" s="284" t="n"/>
      <c r="AK193" s="284" t="n"/>
      <c r="AL193" s="284" t="n"/>
      <c r="AM193" s="284" t="n"/>
      <c r="AN193" s="284" t="n"/>
      <c r="AO193" s="284" t="n"/>
      <c r="AP193" s="284" t="n"/>
      <c r="AQ193" s="284" t="n"/>
      <c r="AR193" s="284" t="n"/>
      <c r="AS193" s="284" t="n"/>
    </row>
    <row r="194">
      <c r="A194" s="182" t="n">
        <v>4</v>
      </c>
      <c r="B194" s="178" t="inlineStr">
        <is>
          <t>Sistem Informasi Industri Nasional</t>
        </is>
      </c>
      <c r="C194" t="inlineStr">
        <is>
          <t>DISPERDAGIN</t>
        </is>
      </c>
      <c r="D194" s="178" t="inlineStr">
        <is>
          <t>platform digital untuk mengumpulkan, mengelola, dan menyediakan data serta informasi tentang industri nasional</t>
        </is>
      </c>
      <c r="E194" s="178" t="inlineStr">
        <is>
          <t>Undang-Undang Nomor 3 Tahun 2014 tentang Perindustrian</t>
        </is>
      </c>
      <c r="F194" s="70" t="inlineStr">
        <is>
          <t>alur pelaporan siinas.pdf</t>
        </is>
      </c>
      <c r="G194" s="184" t="inlineStr">
        <is>
          <t>PENINGKATAN DAYA SAING DAN KEMANDIRIAN INDUSTRI</t>
        </is>
      </c>
      <c r="H194" s="184" t="inlineStr">
        <is>
          <t>Pelaku Bisnis</t>
        </is>
      </c>
      <c r="I194" s="184" t="inlineStr">
        <is>
          <t>Data perusahaan
 Laporan tahap pembangunan industri
 Laporan tahap produks</t>
        </is>
      </c>
      <c r="J194" s="178" t="inlineStr">
        <is>
          <t>Data industri</t>
        </is>
      </c>
      <c r="K194" s="184" t="inlineStr">
        <is>
          <t>Tertutup</t>
        </is>
      </c>
      <c r="L194" s="184" t="inlineStr">
        <is>
          <t>Terdapat</t>
        </is>
      </c>
      <c r="M194" s="184" t="inlineStr">
        <is>
          <t>Harian</t>
        </is>
      </c>
      <c r="N194" s="97" t="inlineStr">
        <is>
          <t>SIINas</t>
        </is>
      </c>
      <c r="O194" s="184" t="inlineStr">
        <is>
          <t>Pusat</t>
        </is>
      </c>
      <c r="P194" s="184" t="inlineStr">
        <is>
          <t>Pusat</t>
        </is>
      </c>
      <c r="Q194" s="184" t="inlineStr">
        <is>
          <t>Website</t>
        </is>
      </c>
      <c r="R194" s="70" t="inlineStr">
        <is>
          <t>https://siinas.kemenperin.go.id</t>
        </is>
      </c>
      <c r="S194" s="184" t="inlineStr">
        <is>
          <t>Secara Online</t>
        </is>
      </c>
      <c r="T194" s="184" t="inlineStr">
        <is>
          <t>Transaksi</t>
        </is>
      </c>
      <c r="U194" s="98" t="n">
        <v>2018</v>
      </c>
      <c r="V194" s="184" t="inlineStr">
        <is>
          <t>Aktif</t>
        </is>
      </c>
      <c r="W194" s="184" t="inlineStr">
        <is>
          <t>Tidak</t>
        </is>
      </c>
      <c r="X194" s="184" t="inlineStr">
        <is>
          <t>-</t>
        </is>
      </c>
      <c r="Y194" s="184" t="inlineStr">
        <is>
          <t>Tidak Terintegrasi</t>
        </is>
      </c>
      <c r="Z194" s="184" t="inlineStr">
        <is>
          <t>Tidak Terintegrasi</t>
        </is>
      </c>
      <c r="AA194" s="184" t="inlineStr">
        <is>
          <t>Bidang Pengawasan dan Kerjasama Industri</t>
        </is>
      </c>
      <c r="AB194" s="184" t="inlineStr">
        <is>
          <t>Disperdagin</t>
        </is>
      </c>
      <c r="AC194" s="178" t="inlineStr">
        <is>
          <t>Dadang P Permana, SE</t>
        </is>
      </c>
      <c r="AD194" s="178" t="inlineStr">
        <is>
          <t>0823-1226-2303</t>
        </is>
      </c>
      <c r="AE194" s="178" t="inlineStr">
        <is>
          <t>Pdkiindagkabbdg@gmail.com</t>
        </is>
      </c>
      <c r="AF194" s="288" t="n"/>
      <c r="AG194" s="288" t="n"/>
      <c r="AH194" s="284" t="n"/>
      <c r="AI194" s="284" t="n"/>
      <c r="AJ194" s="284" t="n"/>
      <c r="AK194" s="284" t="n"/>
      <c r="AL194" s="284" t="n"/>
      <c r="AM194" s="284" t="n"/>
      <c r="AN194" s="284" t="n"/>
      <c r="AO194" s="284" t="n"/>
      <c r="AP194" s="284" t="n"/>
      <c r="AQ194" s="284" t="n"/>
      <c r="AR194" s="284" t="n"/>
      <c r="AS194" s="284" t="n"/>
    </row>
    <row r="195">
      <c r="A195" s="182" t="n">
        <v>5</v>
      </c>
      <c r="B195" s="178" t="inlineStr">
        <is>
          <t>Sistem Pengolahan Data Industri</t>
        </is>
      </c>
      <c r="C195" t="inlineStr">
        <is>
          <t>DISPERDAGIN</t>
        </is>
      </c>
      <c r="D195" s="178" t="inlineStr">
        <is>
          <t>Layanan informasi tentang industri di Kabupaten Bandung</t>
        </is>
      </c>
      <c r="E195" s="178" t="inlineStr">
        <is>
          <t>Undang-Undang Nomor 3 Tahun 2014 tentang Perindustrian</t>
        </is>
      </c>
      <c r="F195" s="288" t="n"/>
      <c r="G195" s="184" t="inlineStr">
        <is>
          <t>PENINGKATAN DAYA SAING DAN KEMANDIRIAN INDUSTRI</t>
        </is>
      </c>
      <c r="H195" s="184" t="inlineStr">
        <is>
          <t>Pelaku Bisnis</t>
        </is>
      </c>
      <c r="I195" s="184" t="inlineStr">
        <is>
          <t>Profil Industri</t>
        </is>
      </c>
      <c r="J195" s="178" t="inlineStr">
        <is>
          <t>Data industri</t>
        </is>
      </c>
      <c r="K195" s="184" t="inlineStr">
        <is>
          <t>Terbuka</t>
        </is>
      </c>
      <c r="L195" s="184" t="inlineStr">
        <is>
          <t>Tidak terdapat</t>
        </is>
      </c>
      <c r="M195" s="184" t="inlineStr">
        <is>
          <t>Harian</t>
        </is>
      </c>
      <c r="N195" s="97" t="inlineStr">
        <is>
          <t>OSS</t>
        </is>
      </c>
      <c r="O195" s="184" t="inlineStr">
        <is>
          <t>Pusat</t>
        </is>
      </c>
      <c r="P195" s="184" t="inlineStr">
        <is>
          <t>Pusat</t>
        </is>
      </c>
      <c r="Q195" s="184" t="inlineStr">
        <is>
          <t>Website</t>
        </is>
      </c>
      <c r="R195" s="70" t="inlineStr">
        <is>
          <t>https://OSS.go.id</t>
        </is>
      </c>
      <c r="S195" s="184" t="inlineStr">
        <is>
          <t>Secara Online</t>
        </is>
      </c>
      <c r="T195" s="184" t="inlineStr">
        <is>
          <t>Informasi</t>
        </is>
      </c>
      <c r="U195" s="98" t="n">
        <v>2018</v>
      </c>
      <c r="V195" s="184" t="inlineStr">
        <is>
          <t>Aktif</t>
        </is>
      </c>
      <c r="W195" s="184" t="inlineStr">
        <is>
          <t>Tidak</t>
        </is>
      </c>
      <c r="X195" s="184" t="inlineStr">
        <is>
          <t>Tidak Terintegrasi</t>
        </is>
      </c>
      <c r="Y195" s="184" t="inlineStr">
        <is>
          <t>Tidak Terintegrasi</t>
        </is>
      </c>
      <c r="Z195" s="184" t="inlineStr">
        <is>
          <t>Tidak Terintegrasi</t>
        </is>
      </c>
      <c r="AA195" s="184" t="inlineStr">
        <is>
          <t>Bidang Pengawasan dan Kerjasama Industri</t>
        </is>
      </c>
      <c r="AB195" s="184" t="inlineStr">
        <is>
          <t>Disperdagin</t>
        </is>
      </c>
      <c r="AC195" s="178" t="inlineStr">
        <is>
          <t>Dadang P Permana, SE</t>
        </is>
      </c>
      <c r="AD195" s="178" t="inlineStr">
        <is>
          <t>0823-1226-2303</t>
        </is>
      </c>
      <c r="AE195" s="178" t="inlineStr">
        <is>
          <t>Pdkiindagkabbdg@gmail.com</t>
        </is>
      </c>
      <c r="AF195" s="288" t="n"/>
      <c r="AG195" s="288" t="n"/>
      <c r="AH195" s="284" t="n"/>
      <c r="AI195" s="284" t="n"/>
      <c r="AJ195" s="284" t="n"/>
      <c r="AK195" s="284" t="n"/>
      <c r="AL195" s="284" t="n"/>
      <c r="AM195" s="284" t="n"/>
      <c r="AN195" s="284" t="n"/>
      <c r="AO195" s="284" t="n"/>
      <c r="AP195" s="284" t="n"/>
      <c r="AQ195" s="284" t="n"/>
      <c r="AR195" s="284" t="n"/>
      <c r="AS195" s="284" t="n"/>
    </row>
    <row r="196">
      <c r="A196" s="182" t="n">
        <v>6</v>
      </c>
      <c r="B196" s="178" t="inlineStr">
        <is>
          <t>Si Pintar Online (Sistem Penarikan Retribusi Pasar Secara Online)</t>
        </is>
      </c>
      <c r="C196" t="inlineStr">
        <is>
          <t>DISPERDAGIN</t>
        </is>
      </c>
      <c r="D196" s="178" t="inlineStr">
        <is>
          <t>inovasi SI PINTAR ONLINE menciptakan sistem penarikan retribusi pasar yang terintegrasi, transparan, dan berbasis digital guna meningkatkan efisiensi pelayanan publik serta optimalisasi PAD Kabupaten Bandung. Melalui digitalisasi berbasis Mobile Point of Sale (MPOS) dan kanal pembayaran non tunai (QRIS, e-wallet, tapbrizi, virtual account), sistem ini memungkinkan transaksi real-time, akurat dan terdokumentasi otomatis.</t>
        </is>
      </c>
      <c r="E196" s="178" t="inlineStr">
        <is>
          <t>• Perda No. 10 Tahun 2023 tentang Pajak dan Retribusi Daerah,
 • Perda No. 10 Tahun 2022 tentang Penyelenggaraan Perdagangan dan Perindustrian
 • Perbup No. 97 Tahun 2024 tentang Pelaksanaan Perda Perdagangan,
 • Dukungan dalam RPJMD Kabupaten Bandung 2021–2026 dan Renstra Dokumen
 • SK Bupati Bandung tahun 2023 dan 2024 nomor : 050/Kep.955-Bapperida/2023 tentang penetapan Inovasi Perangkat Daerah Kabupaten Bandung 
 • SK Kepala Disperdagin Kab. Bandung Nomor : 511.2/Kep.065-SPD/2023 Tim Fasilitator Inovasi Daerah Sipintar Online</t>
        </is>
      </c>
      <c r="F196" s="70" t="inlineStr">
        <is>
          <t>SOP Eretribusi</t>
        </is>
      </c>
      <c r="G196" s="184" t="inlineStr">
        <is>
          <t>PENINGKATAN KUALITAS PELAYANAN PUBLIK</t>
        </is>
      </c>
      <c r="H196" s="184" t="inlineStr">
        <is>
          <t>Pelaku Bisnis</t>
        </is>
      </c>
      <c r="I196" s="184" t="inlineStr">
        <is>
          <t>Data Wajib Retribusi</t>
        </is>
      </c>
      <c r="J196" s="178" t="inlineStr">
        <is>
          <t>Laporan Penerimaan Pendapatan Asli Daerah (PAD)</t>
        </is>
      </c>
      <c r="K196" s="184" t="inlineStr">
        <is>
          <t>Tertutup</t>
        </is>
      </c>
      <c r="L196" s="184" t="inlineStr">
        <is>
          <t>Terdapat</t>
        </is>
      </c>
      <c r="M196" s="184" t="inlineStr">
        <is>
          <t>Harian</t>
        </is>
      </c>
      <c r="N196" s="70" t="inlineStr">
        <is>
          <t>sipintar online</t>
        </is>
      </c>
      <c r="O196" s="184" t="inlineStr">
        <is>
          <t>Diskominfo</t>
        </is>
      </c>
      <c r="P196" s="184" t="inlineStr">
        <is>
          <t>Kab. Bandung</t>
        </is>
      </c>
      <c r="Q196" s="184" t="inlineStr">
        <is>
          <t>Website dan Mobile</t>
        </is>
      </c>
      <c r="R196" s="70" t="inlineStr">
        <is>
          <t>https://sipintaronline.bandungkab.go.id/login</t>
        </is>
      </c>
      <c r="S196" s="184" t="inlineStr">
        <is>
          <t>Secara Online</t>
        </is>
      </c>
      <c r="T196" s="184" t="inlineStr">
        <is>
          <t>Transaksi</t>
        </is>
      </c>
      <c r="U196" s="184" t="n">
        <v>2022</v>
      </c>
      <c r="V196" s="184" t="inlineStr">
        <is>
          <t>Aktif</t>
        </is>
      </c>
      <c r="W196" s="184" t="inlineStr">
        <is>
          <t>Tidak</t>
        </is>
      </c>
      <c r="X196" s="184" t="inlineStr">
        <is>
          <t>Tidak Terintegrasi</t>
        </is>
      </c>
      <c r="Y196" s="184" t="inlineStr">
        <is>
          <t>Tidak Terintegrasi</t>
        </is>
      </c>
      <c r="Z196" s="184" t="inlineStr">
        <is>
          <t>Tidak Terintegrasi</t>
        </is>
      </c>
      <c r="AA196" s="184" t="inlineStr">
        <is>
          <t>Bidang Sarana dan Pelaku Distribusi</t>
        </is>
      </c>
      <c r="AB196" s="184" t="inlineStr">
        <is>
          <t>Disperdagin</t>
        </is>
      </c>
      <c r="AC196" s="178" t="inlineStr">
        <is>
          <t>Cepi Hendi Sonjaya, SE., MM</t>
        </is>
      </c>
      <c r="AD196" s="178" t="n">
        <v>82117525952</v>
      </c>
      <c r="AE196" s="178" t="inlineStr">
        <is>
          <t>cepimeker@gmail.com</t>
        </is>
      </c>
      <c r="AF196" s="184" t="inlineStr">
        <is>
          <t>1. Penguatan Tata Kelola Pemerintahan yang Transparan dan Akuntabel, 
 2. Optimalisasi peningkatan Pendapatan Asli Daerah (PAD), dan 
 3. Digitalisasi pelayanan publik berbasis elektronik</t>
        </is>
      </c>
      <c r="AG196" s="68" t="inlineStr">
        <is>
          <t>Harian</t>
        </is>
      </c>
      <c r="AH196" s="284" t="n"/>
      <c r="AI196" s="284" t="n"/>
      <c r="AJ196" s="284" t="n"/>
      <c r="AK196" s="284" t="n"/>
      <c r="AL196" s="284" t="n"/>
      <c r="AM196" s="284" t="n"/>
      <c r="AN196" s="284" t="n"/>
      <c r="AO196" s="284" t="n"/>
      <c r="AP196" s="284" t="n"/>
      <c r="AQ196" s="284" t="n"/>
      <c r="AR196" s="284" t="n"/>
      <c r="AS196" s="284" t="n"/>
    </row>
    <row r="197">
      <c r="A197" s="99" t="n">
        <v>7</v>
      </c>
      <c r="B197" s="100" t="inlineStr">
        <is>
          <t>Penerbitan Surat Tanda Pemakaian Kios Dan Lapak Bagi Pedagang</t>
        </is>
      </c>
      <c r="C197" t="inlineStr">
        <is>
          <t>DISPERDAGIN</t>
        </is>
      </c>
      <c r="D197" s="100" t="inlineStr">
        <is>
          <t>Tujuan dari layanan penerbitan Surat Tanda Pemakaian Kios dan Lapak bagi pedagang adalah untuk memberikan kepastian hukum dan legalitas pemanfaatan sarana perdagangan, sehingga pedagang memiliki dasar yang sah dalam menempati serta menggunakan kios atau lapak yang disediakan pemerintah/instansi terkait, sekaligus mendukung tertib administrasi, pengelolaan, dan pendataan pelaku usaha di lingkungan pasar atau area perdagangan.
 Fungsi layanan ini adalah sebagai instrumen pengaturan dan pengawasan pemanfaatan kios dan lapak oleh pedagang, menjaga keteraturan serta keadilan dalam distribusi sarana perdagangan, mendukung kenyamanan dan keamanan kegiatan jual beli di pasar, serta menjadi acuan dalam pembinaan, penertiban, dan peningkatan kualitas pelayanan publik di sektor perdagangan.</t>
        </is>
      </c>
      <c r="E197" s="100" t="inlineStr">
        <is>
          <t>PERDA No 10 Tahun 2022 Tentang Penyelenggaraan Perdagangan dan Perindustrian
 Perbup No 97 Tahun 2024 Tentang Peraturan Daerah no 10 Tahun 2022 Tentang penyelenggaraan perdagangan dan perindustrian</t>
        </is>
      </c>
      <c r="F197" s="70" t="inlineStr">
        <is>
          <t>SOP STPK STPL</t>
        </is>
      </c>
      <c r="G197" s="102" t="inlineStr">
        <is>
          <t>PENINGKATAN KUALITAS PELAYANAN PUBLIK</t>
        </is>
      </c>
      <c r="H197" s="102" t="inlineStr">
        <is>
          <t>Pelaku Bisnis</t>
        </is>
      </c>
      <c r="I197" s="102" t="inlineStr">
        <is>
          <t>Data Pengguna Kios dan Lapak</t>
        </is>
      </c>
      <c r="J197" s="100" t="inlineStr">
        <is>
          <t>Data Kios dan Lapak</t>
        </is>
      </c>
      <c r="K197" s="102" t="inlineStr">
        <is>
          <t>Tertutup</t>
        </is>
      </c>
      <c r="L197" s="102" t="inlineStr">
        <is>
          <t>Terdapat</t>
        </is>
      </c>
      <c r="M197" s="102" t="inlineStr">
        <is>
          <t>Tahunan</t>
        </is>
      </c>
      <c r="N197" s="100" t="inlineStr">
        <is>
          <t>-</t>
        </is>
      </c>
      <c r="O197" s="102" t="inlineStr">
        <is>
          <t>Pusat</t>
        </is>
      </c>
      <c r="P197" s="102" t="inlineStr">
        <is>
          <t>Pusat</t>
        </is>
      </c>
      <c r="Q197" s="102" t="inlineStr">
        <is>
          <t>Website dan Mobile</t>
        </is>
      </c>
      <c r="R197" s="100" t="inlineStr">
        <is>
          <t>-</t>
        </is>
      </c>
      <c r="S197" s="286" t="n"/>
      <c r="T197" s="286" t="n"/>
      <c r="U197" s="100" t="inlineStr">
        <is>
          <t>-</t>
        </is>
      </c>
      <c r="V197" s="286" t="n"/>
      <c r="W197" s="286" t="n"/>
      <c r="X197" s="102" t="inlineStr">
        <is>
          <t>-</t>
        </is>
      </c>
      <c r="Y197" s="286" t="n"/>
      <c r="Z197" s="286" t="n"/>
      <c r="AA197" s="102" t="inlineStr">
        <is>
          <t>Bidang Sarana dan Pelaku Distribusi</t>
        </is>
      </c>
      <c r="AB197" s="102" t="inlineStr">
        <is>
          <t>Disperdagin</t>
        </is>
      </c>
      <c r="AC197" s="100" t="inlineStr">
        <is>
          <t>Depi Supriadi SM.</t>
        </is>
      </c>
      <c r="AD197" s="104" t="n">
        <v>8986037533</v>
      </c>
      <c r="AE197" s="100" t="inlineStr">
        <is>
          <t>depisupriadi1@gmail.com</t>
        </is>
      </c>
      <c r="AF197" s="286" t="n"/>
      <c r="AG197" s="286" t="n"/>
      <c r="AH197" s="137" t="n"/>
      <c r="AI197" s="137" t="n"/>
      <c r="AJ197" s="137" t="n"/>
      <c r="AK197" s="137" t="n"/>
      <c r="AL197" s="137" t="n"/>
      <c r="AM197" s="137" t="n"/>
      <c r="AN197" s="137" t="n"/>
      <c r="AO197" s="137" t="n"/>
      <c r="AP197" s="137" t="n"/>
      <c r="AQ197" s="137" t="n"/>
      <c r="AR197" s="137" t="n"/>
      <c r="AS197" s="284" t="n"/>
    </row>
    <row r="198">
      <c r="A198" s="182" t="n"/>
      <c r="B198" s="183" t="n"/>
      <c r="D198" s="183" t="n"/>
      <c r="E198" s="200" t="n"/>
      <c r="F198" s="183" t="n"/>
      <c r="G198" s="184" t="n"/>
      <c r="H198" s="184" t="n"/>
      <c r="I198" s="184" t="n"/>
      <c r="J198" s="183" t="n"/>
      <c r="K198" s="184" t="n"/>
      <c r="L198" s="184" t="n"/>
      <c r="M198" s="184" t="n"/>
      <c r="N198" s="97" t="inlineStr">
        <is>
          <t>SPP-IRT-Badan POM</t>
        </is>
      </c>
      <c r="O198" s="184" t="inlineStr">
        <is>
          <t>Pusat</t>
        </is>
      </c>
      <c r="P198" s="184" t="inlineStr">
        <is>
          <t>Pusat</t>
        </is>
      </c>
      <c r="Q198" s="184" t="inlineStr">
        <is>
          <t>Website</t>
        </is>
      </c>
      <c r="R198" s="70" t="inlineStr">
        <is>
          <t>https://sppirt.pom.go.id/</t>
        </is>
      </c>
      <c r="S198" s="184" t="inlineStr">
        <is>
          <t>Secara Online</t>
        </is>
      </c>
      <c r="T198" s="184" t="inlineStr">
        <is>
          <t>Informasi</t>
        </is>
      </c>
      <c r="U198" s="184" t="inlineStr">
        <is>
          <t>OSS : 2018
 SPP-IPR - Badan POM : 2021
 DGIP : 2019</t>
        </is>
      </c>
      <c r="V198" s="184" t="inlineStr">
        <is>
          <t>Aktif</t>
        </is>
      </c>
      <c r="W198" s="184" t="inlineStr">
        <is>
          <t>Tidak</t>
        </is>
      </c>
      <c r="X198" s="184" t="inlineStr">
        <is>
          <t>Tidak Terintegrasi</t>
        </is>
      </c>
      <c r="Y198" s="184" t="inlineStr">
        <is>
          <t>Tidak Terintegrasi</t>
        </is>
      </c>
      <c r="Z198" s="184" t="inlineStr">
        <is>
          <t>Tidak Terintegrasi</t>
        </is>
      </c>
      <c r="AA198" s="184" t="n"/>
      <c r="AB198" s="184" t="n"/>
      <c r="AC198" s="184" t="n"/>
      <c r="AD198" s="184" t="n"/>
      <c r="AE198" s="184" t="n"/>
      <c r="AF198" s="288" t="n"/>
      <c r="AG198" s="288" t="n"/>
      <c r="AH198" s="284" t="n"/>
      <c r="AI198" s="284" t="n"/>
      <c r="AJ198" s="284" t="n"/>
      <c r="AK198" s="284" t="n"/>
      <c r="AL198" s="284" t="n"/>
      <c r="AM198" s="284" t="n"/>
      <c r="AN198" s="284" t="n"/>
      <c r="AO198" s="284" t="n"/>
      <c r="AP198" s="284" t="n"/>
      <c r="AQ198" s="284" t="n"/>
      <c r="AR198" s="284" t="n"/>
      <c r="AS198" s="284" t="n"/>
    </row>
    <row r="199">
      <c r="A199" s="182" t="n"/>
      <c r="B199" s="183" t="n"/>
      <c r="D199" s="183" t="n"/>
      <c r="E199" s="200" t="n"/>
      <c r="F199" s="183" t="n"/>
      <c r="G199" s="184" t="n"/>
      <c r="H199" s="184" t="n"/>
      <c r="I199" s="184" t="n"/>
      <c r="J199" s="183" t="n"/>
      <c r="K199" s="184" t="n"/>
      <c r="L199" s="184" t="n"/>
      <c r="M199" s="184" t="n"/>
      <c r="N199" s="97" t="inlineStr">
        <is>
          <t>DGIP</t>
        </is>
      </c>
      <c r="O199" s="184" t="inlineStr">
        <is>
          <t>Pusat</t>
        </is>
      </c>
      <c r="P199" s="184" t="inlineStr">
        <is>
          <t>Pusat</t>
        </is>
      </c>
      <c r="Q199" s="184" t="inlineStr">
        <is>
          <t>Website</t>
        </is>
      </c>
      <c r="R199" s="70" t="inlineStr">
        <is>
          <t>https://www.dgip.go.id/</t>
        </is>
      </c>
      <c r="S199" s="184" t="inlineStr">
        <is>
          <t>Secara Online</t>
        </is>
      </c>
      <c r="T199" s="184" t="inlineStr">
        <is>
          <t>Informasi</t>
        </is>
      </c>
      <c r="U199" s="184" t="inlineStr">
        <is>
          <t>OSS : 2018
 SPP-IPR - Badan POM : 2021
 DGIP : 2019</t>
        </is>
      </c>
      <c r="V199" s="184" t="inlineStr">
        <is>
          <t>Aktif</t>
        </is>
      </c>
      <c r="W199" s="184" t="inlineStr">
        <is>
          <t>Tidak</t>
        </is>
      </c>
      <c r="X199" s="184" t="inlineStr">
        <is>
          <t>Tidak Terintegrasi</t>
        </is>
      </c>
      <c r="Y199" s="184" t="inlineStr">
        <is>
          <t>Tidak Terintegrasi</t>
        </is>
      </c>
      <c r="Z199" s="184" t="inlineStr">
        <is>
          <t>Tidak Terintegrasi</t>
        </is>
      </c>
      <c r="AA199" s="184" t="n"/>
      <c r="AB199" s="184" t="n"/>
      <c r="AC199" s="184" t="n"/>
      <c r="AD199" s="184" t="n"/>
      <c r="AE199" s="184" t="n"/>
      <c r="AF199" s="288" t="n"/>
      <c r="AG199" s="288" t="n"/>
      <c r="AH199" s="284" t="n"/>
      <c r="AI199" s="284" t="n"/>
      <c r="AJ199" s="284" t="n"/>
      <c r="AK199" s="284" t="n"/>
      <c r="AL199" s="284" t="n"/>
      <c r="AM199" s="284" t="n"/>
      <c r="AN199" s="284" t="n"/>
      <c r="AO199" s="284" t="n"/>
      <c r="AP199" s="284" t="n"/>
      <c r="AQ199" s="284" t="n"/>
      <c r="AR199" s="284" t="n"/>
      <c r="AS199" s="284" t="n"/>
    </row>
    <row r="200">
      <c r="A200" s="182" t="n">
        <v>8</v>
      </c>
      <c r="B200" s="178" t="inlineStr">
        <is>
          <t>Galeri Kriya Bedas</t>
        </is>
      </c>
      <c r="C200" t="inlineStr">
        <is>
          <t>DISPERDAGIN</t>
        </is>
      </c>
      <c r="D200" s="178" t="inlineStr">
        <is>
          <t>Galeri Kriya Bedas merupakan pusat pelayanan dan promosi untuk para pelaku usaha di Kabupaten Bandung, yang dinaungi oleh Dinas Perdagangan dan Perindustrian Kabupaten Bandung. 
 Tujuannya dapat membantu para pelaku usaha di wilayah Kabupaten Bandung mulai dari legalitas hingga promosi pemasaran.</t>
        </is>
      </c>
      <c r="E200" s="76" t="inlineStr">
        <is>
          <t>1. Undang-Undang Nomor 3 Tahun 2014 tentang Perindustrian
 2. Undang-Undang Nomor 6 Tahun 2023 tentang Penetapan Peraturan Pemerintah 
 3. Peraturan Badan Pengawas Obat dan Makanan (BPOM) Nomor 4 Tahun 2024 tentang Pedoman Penerbitan Sertifikat Pemenuhan Komitmen Produksi Pangan Olahan Industri Rumah Tangga
 4. Undang-Undang Nomor 18 Tahun 2012 tentang Pangan dan Undang-Undang tentang Cipta Kerja
 5. Peraturan Daerah (Perda) Kabupaten Bandung Nomor 10 Tahun 2022 tentang Penyelenggaraan Perdagangan Dan Perindustrian</t>
        </is>
      </c>
      <c r="F200" s="70" t="inlineStr">
        <is>
          <t>SOP Galeri Kriya Bedas</t>
        </is>
      </c>
      <c r="G200" s="184" t="inlineStr">
        <is>
          <t>PENINGKATAN KUALITAS PELAYANAN PUBLIK</t>
        </is>
      </c>
      <c r="H200" s="184" t="inlineStr">
        <is>
          <t>Pelaku Bisnis</t>
        </is>
      </c>
      <c r="I200" s="184" t="inlineStr">
        <is>
          <t>Data Pelaku Usaha / IKM</t>
        </is>
      </c>
      <c r="J200" s="178" t="inlineStr">
        <is>
          <t>Sertifikat Legalitas, Data IKM</t>
        </is>
      </c>
      <c r="K200" s="184" t="inlineStr">
        <is>
          <t>Tertutup</t>
        </is>
      </c>
      <c r="L200" s="184" t="inlineStr">
        <is>
          <t>Terdapat</t>
        </is>
      </c>
      <c r="M200" s="184" t="inlineStr">
        <is>
          <t>Harian</t>
        </is>
      </c>
      <c r="N200" s="97" t="inlineStr">
        <is>
          <t>Google Formulir</t>
        </is>
      </c>
      <c r="O200" s="184" t="inlineStr">
        <is>
          <t>Pusat</t>
        </is>
      </c>
      <c r="P200" s="184" t="inlineStr">
        <is>
          <t>Pusat</t>
        </is>
      </c>
      <c r="Q200" s="184" t="inlineStr">
        <is>
          <t>Website</t>
        </is>
      </c>
      <c r="R200" s="178" t="inlineStr">
        <is>
          <t>https://bit.ly/eFormPembuatanNIB
 https://bit.ly/FormPengajuanPIRT
 https://bit.ly/HKImerek2025
 https://bit.ly/ujinutrisidanumursimpan2025
 https://bit.ly/FasilitasiHALAL2025</t>
        </is>
      </c>
      <c r="S200" s="184" t="inlineStr">
        <is>
          <t>Secara Online</t>
        </is>
      </c>
      <c r="T200" s="184" t="inlineStr">
        <is>
          <t>Informasi</t>
        </is>
      </c>
      <c r="U200" s="184" t="inlineStr">
        <is>
          <t>OSS : 2018
 SPP-IPR - Badan POM : 2021
 DGIP : 2019</t>
        </is>
      </c>
      <c r="V200" s="184" t="inlineStr">
        <is>
          <t>Aktif</t>
        </is>
      </c>
      <c r="W200" s="184" t="inlineStr">
        <is>
          <t>Tidak</t>
        </is>
      </c>
      <c r="X200" s="184" t="inlineStr">
        <is>
          <t>Tidak Terintegrasi</t>
        </is>
      </c>
      <c r="Y200" s="184" t="inlineStr">
        <is>
          <t>Tidak Terintegrasi</t>
        </is>
      </c>
      <c r="Z200" s="184" t="inlineStr">
        <is>
          <t>Tidak Terintegrasi</t>
        </is>
      </c>
      <c r="AA200" s="184" t="inlineStr">
        <is>
          <t>Bidang Pembangunan dan Pemberdayaan Industri</t>
        </is>
      </c>
      <c r="AB200" s="184" t="inlineStr">
        <is>
          <t>Disperdagin</t>
        </is>
      </c>
      <c r="AC200" s="184" t="inlineStr">
        <is>
          <t>Maya Kusumadewi, ST</t>
        </is>
      </c>
      <c r="AD200" s="184" t="n">
        <v>81320513721</v>
      </c>
      <c r="AE200" s="184" t="inlineStr">
        <is>
          <t>galerikriyabedas.kabbdg@gmail.com</t>
        </is>
      </c>
      <c r="AF200" s="288" t="n"/>
      <c r="AG200" s="288" t="n"/>
      <c r="AH200" s="284" t="n"/>
      <c r="AI200" s="284" t="n"/>
      <c r="AJ200" s="284" t="n"/>
      <c r="AK200" s="284" t="n"/>
      <c r="AL200" s="284" t="n"/>
      <c r="AM200" s="284" t="n"/>
      <c r="AN200" s="284" t="n"/>
      <c r="AO200" s="284" t="n"/>
      <c r="AP200" s="284" t="n"/>
      <c r="AQ200" s="284" t="n"/>
      <c r="AR200" s="284" t="n"/>
      <c r="AS200" s="284" t="n"/>
    </row>
    <row r="201">
      <c r="A201" s="182" t="n">
        <v>9</v>
      </c>
      <c r="B201" s="178" t="inlineStr">
        <is>
          <t>Rumah Kemasan</t>
        </is>
      </c>
      <c r="C201" t="inlineStr">
        <is>
          <t>DISPERDAGIN</t>
        </is>
      </c>
      <c r="D201" s="178" t="inlineStr">
        <is>
          <t>1) Peningkatan Kualitas dan Standarisasi Kemasan IKM
 a) Memberikan layanan desain kemasan yang menarik, fungsional, dan sesuai dengan trend pasar.
 b) Membantu IKM dalam memenuhi standar kemasan yang sesuai dengan peraturan perundangan-undangan yang berlaku.
 2) Optimalisasi Layanan Kemasan
 a) Memfasilitasi layanan pencetakan dan produksi kemasan bagi IKM yang belum memiliki akses ke pihak ketiga yang bekerja sama dengan dinas.
 b) Menyediakan konsultasi bagi IKM mengenai kemasan, strategi pencitraan merek (branding) dan pemasaran berbasis kemasan.
 3) Meningkatkan Daya Saing Produk IKM Kabupaten Bandung
 a) Membantu IKM dalam meningkatkan pencitraan merek (branding) produk melalui kemasan yang profesional.
 b) Mendorong produk IKM Kabupaten Bandung agar lebih kompetitif di pasar nasional maupun internasional.</t>
        </is>
      </c>
      <c r="E201" s="178" t="inlineStr">
        <is>
          <t>1) PerBPOM No. 6 Tahun 2024 tentang Perubahan Kedua atas PerBPOM No. 31 Tahun 2018 tentang Label Pangan Olahan
 2) Peraturan Daerah (Perda) Kabupaten Bandung Nomor 10 Tahun 2022 tentang Penyelenggaraan Perdagangan Dan Perindustrian
 3) Peraturan Menteri Perindustrian No. 6 Tahun 2025 tentang Pemberlakuan Standar Nasional Indonesia untuk Kertas dan Karton sebagai Bahan Baku Pembuatan Kemasan Primer untuk Pangan secara Wajib
 4) PERATURAN KEPALA BADAN PENGAWAS OBAT DAN MAKANAN REPUBLIK INDONESIA NOMOR : HK 00.05.55.6497 20 Agustus Tahun 2007 TENTANG BAHAN KEMASAN PANGAN</t>
        </is>
      </c>
      <c r="F201" s="70" t="inlineStr">
        <is>
          <t>SOP Rumah Kemasan</t>
        </is>
      </c>
      <c r="G201" s="184" t="inlineStr">
        <is>
          <t>PENINGKATAN KUALITAS PELAYANAN PUBLIK</t>
        </is>
      </c>
      <c r="H201" s="184" t="inlineStr">
        <is>
          <t>Pelaku Bisnis</t>
        </is>
      </c>
      <c r="I201" s="184" t="inlineStr">
        <is>
          <t>Data Pelaku Usaha / IKM</t>
        </is>
      </c>
      <c r="J201" s="178" t="inlineStr">
        <is>
          <t>Hasil Desain Kemasan, Logo</t>
        </is>
      </c>
      <c r="K201" s="184" t="inlineStr">
        <is>
          <t>Tertutup</t>
        </is>
      </c>
      <c r="L201" s="184" t="inlineStr">
        <is>
          <t>Terdapat</t>
        </is>
      </c>
      <c r="M201" s="184" t="inlineStr">
        <is>
          <t>Harian</t>
        </is>
      </c>
      <c r="N201" s="185" t="inlineStr">
        <is>
          <t>Google Formulir</t>
        </is>
      </c>
      <c r="O201" s="184" t="inlineStr">
        <is>
          <t>OPD</t>
        </is>
      </c>
      <c r="P201" s="184" t="inlineStr">
        <is>
          <t>Kab. Bandung</t>
        </is>
      </c>
      <c r="Q201" s="184" t="inlineStr">
        <is>
          <t>Website</t>
        </is>
      </c>
      <c r="R201" s="70" t="inlineStr">
        <is>
          <t>https://bit.ly/e-Form_KlinikKemasan</t>
        </is>
      </c>
      <c r="S201" s="184" t="inlineStr">
        <is>
          <t>Secara Online</t>
        </is>
      </c>
      <c r="T201" s="184" t="inlineStr">
        <is>
          <t>Informasi</t>
        </is>
      </c>
      <c r="U201" s="98" t="n">
        <v>2020</v>
      </c>
      <c r="V201" s="184" t="inlineStr">
        <is>
          <t>Aktif</t>
        </is>
      </c>
      <c r="W201" s="184" t="inlineStr">
        <is>
          <t>Tidak</t>
        </is>
      </c>
      <c r="X201" s="184" t="inlineStr">
        <is>
          <t>Tidak Terintegrasi</t>
        </is>
      </c>
      <c r="Y201" s="184" t="inlineStr">
        <is>
          <t>Tidak Terintegrasi</t>
        </is>
      </c>
      <c r="Z201" s="184" t="inlineStr">
        <is>
          <t>Tidak Terintegrasi</t>
        </is>
      </c>
      <c r="AA201" s="184" t="inlineStr">
        <is>
          <t>Bidang Pembangunan dan Pemberdayaan Industri</t>
        </is>
      </c>
      <c r="AB201" s="184" t="inlineStr">
        <is>
          <t>Disperdagin</t>
        </is>
      </c>
      <c r="AC201" s="178" t="inlineStr">
        <is>
          <t>Maya Kusumadewi, ST</t>
        </is>
      </c>
      <c r="AD201" s="178" t="n">
        <v>81320513721</v>
      </c>
      <c r="AE201" s="178" t="inlineStr">
        <is>
          <t>klinikkemasan.kabbdg@gmail.com</t>
        </is>
      </c>
      <c r="AF201" s="288" t="n"/>
      <c r="AG201" s="288" t="n"/>
      <c r="AH201" s="284" t="n"/>
      <c r="AI201" s="284" t="n"/>
      <c r="AJ201" s="284" t="n"/>
      <c r="AK201" s="284" t="n"/>
      <c r="AL201" s="284" t="n"/>
      <c r="AM201" s="284" t="n"/>
      <c r="AN201" s="284" t="n"/>
      <c r="AO201" s="284" t="n"/>
      <c r="AP201" s="284" t="n"/>
      <c r="AQ201" s="284" t="n"/>
      <c r="AR201" s="284" t="n"/>
      <c r="AS201" s="284" t="n"/>
    </row>
    <row r="202">
      <c r="A202" s="71" t="inlineStr">
        <is>
          <t>DISTAN</t>
        </is>
      </c>
      <c r="B202" s="58" t="n"/>
      <c r="D202" s="58" t="n"/>
      <c r="E202" s="58" t="n"/>
      <c r="F202" s="58" t="n"/>
      <c r="G202" s="58" t="n"/>
      <c r="H202" s="58" t="n"/>
      <c r="I202" s="58" t="n"/>
      <c r="J202" s="58" t="n"/>
      <c r="K202" s="58" t="n"/>
      <c r="L202" s="58" t="n"/>
      <c r="M202" s="58" t="n"/>
      <c r="N202" s="58" t="n"/>
      <c r="O202" s="58" t="n"/>
      <c r="P202" s="58" t="n"/>
      <c r="Q202" s="58" t="n"/>
      <c r="R202" s="58" t="n"/>
      <c r="S202" s="58" t="n"/>
      <c r="T202" s="58" t="n"/>
      <c r="U202" s="58" t="n"/>
      <c r="V202" s="58" t="n"/>
      <c r="W202" s="58" t="n"/>
      <c r="X202" s="58" t="n"/>
      <c r="Y202" s="58" t="n"/>
      <c r="Z202" s="58" t="n"/>
      <c r="AA202" s="58" t="n"/>
      <c r="AB202" s="58" t="n"/>
      <c r="AC202" s="58" t="n"/>
      <c r="AD202" s="58" t="n"/>
      <c r="AE202" s="58" t="n"/>
      <c r="AF202" s="200" t="n"/>
      <c r="AG202" s="200" t="n"/>
      <c r="AH202" s="284" t="n"/>
      <c r="AI202" s="284" t="n"/>
      <c r="AJ202" s="284" t="n"/>
      <c r="AK202" s="284" t="n"/>
      <c r="AL202" s="284" t="n"/>
      <c r="AM202" s="284" t="n"/>
      <c r="AN202" s="284" t="n"/>
      <c r="AO202" s="284" t="n"/>
      <c r="AP202" s="284" t="n"/>
      <c r="AQ202" s="284" t="n"/>
      <c r="AR202" s="284" t="n"/>
      <c r="AS202" s="284" t="n"/>
    </row>
    <row r="203">
      <c r="A203" s="182" t="n">
        <v>1</v>
      </c>
      <c r="B203" s="184" t="inlineStr">
        <is>
          <t>Aplikasi Layanan Guna Sertifikat Veteriner Online</t>
        </is>
      </c>
      <c r="C203" t="inlineStr">
        <is>
          <t>DISTAN</t>
        </is>
      </c>
      <c r="D203" s="184" t="inlineStr">
        <is>
          <t>Layanan penerbitan surat keterangan kesehatan hewan atau produk hewan.</t>
        </is>
      </c>
      <c r="E203" s="184" t="inlineStr">
        <is>
          <t>Peraturan Menteri Pertanian Republik Indonesia Nomor 11 Tahun 2020 Tentang Sertifikasi Nomor Kontrol Veteriner Unit Usaha Produk Hewan</t>
        </is>
      </c>
      <c r="F203" s="131" t="inlineStr">
        <is>
          <t>https://docs.google.com/document/d/1c-7PUNKaiuUiy_admWwX1iClC1w9eJRB/edit?usp=sharing&amp;ouid=112536090230720318461&amp;rtpof=true&amp;sd=true</t>
        </is>
      </c>
      <c r="G203" s="184" t="inlineStr">
        <is>
          <t>PENGELOLAAN KESEHATAN MASYARAKAT VETERINER</t>
        </is>
      </c>
      <c r="H203" s="184" t="inlineStr">
        <is>
          <t>Masyarakat</t>
        </is>
      </c>
      <c r="I203" s="184" t="inlineStr">
        <is>
          <t>Data pemohon, data hewan atau produk hewan</t>
        </is>
      </c>
      <c r="J203" s="184" t="inlineStr">
        <is>
          <t>Data sertifikat veteriner</t>
        </is>
      </c>
      <c r="K203" s="184" t="inlineStr">
        <is>
          <t>Terbuka</t>
        </is>
      </c>
      <c r="L203" s="184" t="inlineStr">
        <is>
          <t>Terdapat</t>
        </is>
      </c>
      <c r="M203" s="184" t="inlineStr">
        <is>
          <t>Harian</t>
        </is>
      </c>
      <c r="N203" s="130" t="inlineStr">
        <is>
          <t>ANTERIN</t>
        </is>
      </c>
      <c r="O203" s="184" t="inlineStr">
        <is>
          <t>Diskominfo</t>
        </is>
      </c>
      <c r="P203" s="184" t="inlineStr">
        <is>
          <t>Kab. Bandung</t>
        </is>
      </c>
      <c r="Q203" s="184" t="inlineStr">
        <is>
          <t>Website</t>
        </is>
      </c>
      <c r="R203" s="131" t="inlineStr">
        <is>
          <t>https://anterin.bandungkab.go.id/</t>
        </is>
      </c>
      <c r="S203" s="184" t="inlineStr">
        <is>
          <t>Secara Online</t>
        </is>
      </c>
      <c r="T203" s="184" t="inlineStr">
        <is>
          <t>Informasi</t>
        </is>
      </c>
      <c r="U203" s="184" t="n">
        <v>2021</v>
      </c>
      <c r="V203" s="184" t="inlineStr">
        <is>
          <t>Aktif</t>
        </is>
      </c>
      <c r="W203" s="184" t="inlineStr">
        <is>
          <t>Tidak</t>
        </is>
      </c>
      <c r="X203" s="184" t="inlineStr">
        <is>
          <t>Tidak Terintegrasi</t>
        </is>
      </c>
      <c r="Y203" s="184" t="inlineStr">
        <is>
          <t>Tidak Terintegrasi</t>
        </is>
      </c>
      <c r="Z203" s="184" t="inlineStr">
        <is>
          <t>Tidak Terintegrasi</t>
        </is>
      </c>
      <c r="AA203" s="184" t="inlineStr">
        <is>
          <t>Bidang Keswan Kesmavet</t>
        </is>
      </c>
      <c r="AB203" s="184" t="inlineStr">
        <is>
          <t>Distan</t>
        </is>
      </c>
      <c r="AC203" s="184" t="inlineStr">
        <is>
          <t>Maria</t>
        </is>
      </c>
      <c r="AD203" s="184" t="n">
        <v>81224510500</v>
      </c>
      <c r="AE203" s="288" t="n"/>
      <c r="AF203" s="288" t="n"/>
      <c r="AG203" s="68" t="inlineStr">
        <is>
          <t>Setiap Saat</t>
        </is>
      </c>
      <c r="AH203" s="186" t="inlineStr">
        <is>
          <t>Pelaku Bisnis / OPD /</t>
        </is>
      </c>
      <c r="AJ203" s="284" t="n"/>
      <c r="AK203" s="284" t="n"/>
      <c r="AL203" s="284" t="n"/>
      <c r="AM203" s="284" t="n"/>
      <c r="AN203" s="284" t="n"/>
      <c r="AO203" s="284" t="n"/>
      <c r="AP203" s="284" t="n"/>
      <c r="AQ203" s="284" t="n"/>
      <c r="AR203" s="284" t="n"/>
      <c r="AS203" s="284" t="n"/>
    </row>
    <row r="204">
      <c r="A204" s="182" t="n">
        <v>2</v>
      </c>
      <c r="B204" s="184" t="inlineStr">
        <is>
          <t>Pelayanan penerbitan surat keterangan kesehatan bahan asal hewan</t>
        </is>
      </c>
      <c r="C204" t="inlineStr">
        <is>
          <t>DISTAN</t>
        </is>
      </c>
      <c r="D204" s="184" t="inlineStr">
        <is>
          <t>Menerbitkan dokumen resmi yang menyatakan bahan asal hewan layak dan sehat untuk diedarkan. Layanan ini memastikan keamanan distribusi produk hewan dan mencegah penyebaran penyakit.</t>
        </is>
      </c>
      <c r="E204" s="184" t="inlineStr">
        <is>
          <t>UU 18/2009; Permentan 17/2023</t>
        </is>
      </c>
      <c r="F204" s="131" t="inlineStr">
        <is>
          <t>https://docs.google.com/document/d/1c-7PUNKaiuUiy_admWwX1iClC1w9eJRB/edit?usp=sharing&amp;ouid=112536090230720318461&amp;rtpof=true&amp;sd=true</t>
        </is>
      </c>
      <c r="G204" s="184" t="inlineStr">
        <is>
          <t>PENGELOLAAN KESEHATAN MASYARAKAT VETERINER</t>
        </is>
      </c>
      <c r="H204" s="184" t="inlineStr">
        <is>
          <t>Masyarakat</t>
        </is>
      </c>
      <c r="I204" s="184" t="inlineStr">
        <is>
          <t>Data pemohon, data hewan/produk</t>
        </is>
      </c>
      <c r="J204" s="184" t="inlineStr">
        <is>
          <t>SKKH elektronik</t>
        </is>
      </c>
      <c r="K204" s="184" t="inlineStr">
        <is>
          <t>Tertutup</t>
        </is>
      </c>
      <c r="L204" s="184" t="inlineStr">
        <is>
          <t>Terdapat</t>
        </is>
      </c>
      <c r="M204" s="184" t="inlineStr">
        <is>
          <t>Harian</t>
        </is>
      </c>
      <c r="N204" s="130" t="inlineStr">
        <is>
          <t>iSIKHNAS</t>
        </is>
      </c>
      <c r="O204" s="184" t="inlineStr">
        <is>
          <t>Pusat</t>
        </is>
      </c>
      <c r="P204" s="184" t="inlineStr">
        <is>
          <t>Pusat</t>
        </is>
      </c>
      <c r="Q204" s="184" t="inlineStr">
        <is>
          <t>Website</t>
        </is>
      </c>
      <c r="R204" s="131" t="inlineStr">
        <is>
          <t>https://isikhnas.pertanian.go.id/</t>
        </is>
      </c>
      <c r="S204" s="184" t="inlineStr">
        <is>
          <t>Secara Online</t>
        </is>
      </c>
      <c r="T204" s="184" t="inlineStr">
        <is>
          <t>Informasi</t>
        </is>
      </c>
      <c r="U204" s="184" t="inlineStr">
        <is>
          <t>-</t>
        </is>
      </c>
      <c r="V204" s="184" t="inlineStr">
        <is>
          <t>Aktif</t>
        </is>
      </c>
      <c r="W204" s="184" t="inlineStr">
        <is>
          <t>Tidak</t>
        </is>
      </c>
      <c r="X204" s="184" t="inlineStr">
        <is>
          <t>Tidak Terintegrasi</t>
        </is>
      </c>
      <c r="Y204" s="184" t="inlineStr">
        <is>
          <t>Tidak Terintegrasi</t>
        </is>
      </c>
      <c r="Z204" s="184" t="inlineStr">
        <is>
          <t>Tidak Terintegrasi</t>
        </is>
      </c>
      <c r="AA204" s="184" t="inlineStr">
        <is>
          <t>Bidang Keswan Kesmavet</t>
        </is>
      </c>
      <c r="AB204" s="184" t="inlineStr">
        <is>
          <t>Distan</t>
        </is>
      </c>
      <c r="AC204" s="184" t="inlineStr">
        <is>
          <t>Maria</t>
        </is>
      </c>
      <c r="AD204" s="184" t="n">
        <v>81224510500</v>
      </c>
      <c r="AE204" s="288" t="n"/>
      <c r="AF204" s="288" t="n"/>
      <c r="AG204" s="68" t="inlineStr">
        <is>
          <t>Harian</t>
        </is>
      </c>
      <c r="AH204" s="187" t="inlineStr">
        <is>
          <t>OPD</t>
        </is>
      </c>
      <c r="AI204" s="284" t="n"/>
      <c r="AJ204" s="284" t="n"/>
      <c r="AK204" s="284" t="n"/>
      <c r="AL204" s="284" t="n"/>
      <c r="AM204" s="284" t="n"/>
      <c r="AN204" s="284" t="n"/>
      <c r="AO204" s="284" t="n"/>
      <c r="AP204" s="284" t="n"/>
      <c r="AQ204" s="284" t="n"/>
      <c r="AR204" s="284" t="n"/>
      <c r="AS204" s="284" t="n"/>
    </row>
    <row r="205">
      <c r="A205" s="182" t="n">
        <v>4</v>
      </c>
      <c r="B205" s="184" t="inlineStr">
        <is>
          <t>Gerakan pengendalian hama dan penyakit tanaman</t>
        </is>
      </c>
      <c r="C205" t="inlineStr">
        <is>
          <t>DISTAN</t>
        </is>
      </c>
      <c r="D205" s="184" t="inlineStr">
        <is>
          <t>Layanan pengendalian OPT &amp; penyakit tanaman melalui gerakan masal untuk menjaga produksi.</t>
        </is>
      </c>
      <c r="E205" s="184" t="inlineStr">
        <is>
          <t>UU 12/1992; Permentan 11/2015; Perbup Kab. Bandung ttg Perlindungan Tanaman.</t>
        </is>
      </c>
      <c r="F205" s="131" t="inlineStr">
        <is>
          <t>https://docs.google.com/spreadsheets/d/1c7RrRajyzrp7pLX7n6Z-t8K0gRXiw69i/edit?usp=sharing&amp;ouid=112536090230720318461&amp;rtpof=true&amp;sd=true</t>
        </is>
      </c>
      <c r="G205" s="184" t="inlineStr">
        <is>
          <t>PERLINDUNGAN TANAMAN PANGAN DAN HORTIKULTURA</t>
        </is>
      </c>
      <c r="H205" s="184" t="inlineStr">
        <is>
          <t>Masyarakat</t>
        </is>
      </c>
      <c r="I205" s="184" t="inlineStr">
        <is>
          <t>Data laporan serangan hama dan penyakit</t>
        </is>
      </c>
      <c r="J205" s="184" t="inlineStr">
        <is>
          <t>Data laporan hasil pengendalian dan rekomendasi penanganan</t>
        </is>
      </c>
      <c r="K205" s="184" t="inlineStr">
        <is>
          <t>Terbuka</t>
        </is>
      </c>
      <c r="L205" s="184" t="inlineStr">
        <is>
          <t>Terdapat</t>
        </is>
      </c>
      <c r="M205" s="184" t="inlineStr">
        <is>
          <t>Harian</t>
        </is>
      </c>
      <c r="N205" s="130" t="inlineStr">
        <is>
          <t>SIFORTUNA</t>
        </is>
      </c>
      <c r="O205" s="184" t="inlineStr">
        <is>
          <t>Pusat</t>
        </is>
      </c>
      <c r="P205" s="184" t="inlineStr">
        <is>
          <t>Pusat</t>
        </is>
      </c>
      <c r="Q205" s="184" t="inlineStr">
        <is>
          <t>Website</t>
        </is>
      </c>
      <c r="R205" s="131" t="inlineStr">
        <is>
          <t>sifortuna.tanamanpangan.pertanian.go.id</t>
        </is>
      </c>
      <c r="S205" s="184" t="inlineStr">
        <is>
          <t>Secara Online</t>
        </is>
      </c>
      <c r="T205" s="184" t="inlineStr">
        <is>
          <t>Informasi</t>
        </is>
      </c>
      <c r="U205" s="184" t="inlineStr">
        <is>
          <t>-</t>
        </is>
      </c>
      <c r="V205" s="184" t="inlineStr">
        <is>
          <t>Aktif</t>
        </is>
      </c>
      <c r="W205" s="184" t="inlineStr">
        <is>
          <t>Tidak</t>
        </is>
      </c>
      <c r="X205" s="184" t="inlineStr">
        <is>
          <t>Tidak Terintegrasi</t>
        </is>
      </c>
      <c r="Y205" s="184" t="inlineStr">
        <is>
          <t>Tidak Terintegrasi</t>
        </is>
      </c>
      <c r="Z205" s="184" t="inlineStr">
        <is>
          <t>Tidak Terintegrasi</t>
        </is>
      </c>
      <c r="AA205" s="184" t="inlineStr">
        <is>
          <t>Bidang Pusdaltan</t>
        </is>
      </c>
      <c r="AB205" s="184" t="inlineStr">
        <is>
          <t>Distan</t>
        </is>
      </c>
      <c r="AC205" s="184" t="inlineStr">
        <is>
          <t>Dinar</t>
        </is>
      </c>
      <c r="AD205" s="184" t="n">
        <v>85794560785</v>
      </c>
      <c r="AE205" s="184" t="inlineStr">
        <is>
          <t>inayinoy22@gmail.com</t>
        </is>
      </c>
      <c r="AF205" s="288" t="n"/>
      <c r="AG205" s="288" t="n"/>
      <c r="AH205" s="90" t="n"/>
      <c r="AI205" s="284" t="n"/>
      <c r="AJ205" s="284" t="n"/>
      <c r="AK205" s="284" t="n"/>
      <c r="AL205" s="284" t="n"/>
      <c r="AM205" s="284" t="n"/>
      <c r="AN205" s="284" t="n"/>
      <c r="AO205" s="284" t="n"/>
      <c r="AP205" s="284" t="n"/>
      <c r="AQ205" s="284" t="n"/>
      <c r="AR205" s="284" t="n"/>
      <c r="AS205" s="284" t="n"/>
    </row>
    <row r="206">
      <c r="A206" s="182" t="n">
        <v>17</v>
      </c>
      <c r="B206" s="184" t="inlineStr">
        <is>
          <t>Aplikasi Pelayanan Prasarana Pertanian</t>
        </is>
      </c>
      <c r="C206" t="inlineStr">
        <is>
          <t>DISTAN</t>
        </is>
      </c>
      <c r="D206" s="184" t="inlineStr">
        <is>
          <t>Layanan untuk mengajukan Prasarana Pertanian baik web maupun android di khusukan untuk penyuluh pertanian maupun kelompok tani</t>
        </is>
      </c>
      <c r="E206" s="184" t="inlineStr">
        <is>
          <t>Inpres No 2 Tahun 2025 tentang Percepatan Pembangunan Irigasi</t>
        </is>
      </c>
      <c r="F206" s="184" t="inlineStr">
        <is>
          <t>Belum Tersedia</t>
        </is>
      </c>
      <c r="G206" s="184" t="inlineStr">
        <is>
          <t>PENGEMBANGAN KELEMBAGAAN PETANI</t>
        </is>
      </c>
      <c r="H206" s="184" t="inlineStr">
        <is>
          <t>Masyarakat</t>
        </is>
      </c>
      <c r="I206" s="184" t="inlineStr">
        <is>
          <t>Data permohonan prasarana</t>
        </is>
      </c>
      <c r="J206" s="184" t="inlineStr">
        <is>
          <t>Data terkait Prasarana Pertanian</t>
        </is>
      </c>
      <c r="K206" s="184" t="inlineStr">
        <is>
          <t>Terbatas</t>
        </is>
      </c>
      <c r="L206" s="184" t="inlineStr">
        <is>
          <t>Terdapat</t>
        </is>
      </c>
      <c r="M206" s="184" t="inlineStr">
        <is>
          <t>Bulanan</t>
        </is>
      </c>
      <c r="N206" s="130" t="inlineStr">
        <is>
          <t>TANGINAS</t>
        </is>
      </c>
      <c r="O206" s="184" t="inlineStr">
        <is>
          <t>Pihak Ke 3</t>
        </is>
      </c>
      <c r="P206" s="184" t="inlineStr">
        <is>
          <t>Pihak Ke 3 (Lisensi)</t>
        </is>
      </c>
      <c r="Q206" s="184" t="inlineStr">
        <is>
          <t>Website dan Mobile</t>
        </is>
      </c>
      <c r="R206" s="131" t="inlineStr">
        <is>
          <t>tanginas.web.id</t>
        </is>
      </c>
      <c r="S206" s="184" t="inlineStr">
        <is>
          <t>Secara Online</t>
        </is>
      </c>
      <c r="T206" s="184" t="inlineStr">
        <is>
          <t>Informasi</t>
        </is>
      </c>
      <c r="U206" s="184" t="inlineStr">
        <is>
          <t>-</t>
        </is>
      </c>
      <c r="V206" s="184" t="inlineStr">
        <is>
          <t>Aktif</t>
        </is>
      </c>
      <c r="W206" s="184" t="inlineStr">
        <is>
          <t>Tidak</t>
        </is>
      </c>
      <c r="X206" s="184" t="inlineStr">
        <is>
          <t>Tidak Terintegrasi</t>
        </is>
      </c>
      <c r="Y206" s="184" t="inlineStr">
        <is>
          <t>API</t>
        </is>
      </c>
      <c r="Z206" s="184" t="inlineStr">
        <is>
          <t>Realtime</t>
        </is>
      </c>
      <c r="AA206" s="184" t="inlineStr">
        <is>
          <t>Bidang Prasarana</t>
        </is>
      </c>
      <c r="AB206" s="184" t="inlineStr">
        <is>
          <t>Distan</t>
        </is>
      </c>
      <c r="AC206" s="184" t="inlineStr">
        <is>
          <t>Herman</t>
        </is>
      </c>
      <c r="AD206" s="184" t="n">
        <v>85882562008</v>
      </c>
      <c r="AE206" s="184" t="inlineStr">
        <is>
          <t>hermandistan1990@gmail.com</t>
        </is>
      </c>
      <c r="AF206" s="67" t="inlineStr">
        <is>
          <t>39,25,</t>
        </is>
      </c>
      <c r="AG206" s="68" t="inlineStr">
        <is>
          <t>Harian</t>
        </is>
      </c>
      <c r="AH206" s="187" t="inlineStr">
        <is>
          <t>OPD</t>
        </is>
      </c>
      <c r="AI206" s="284" t="n"/>
      <c r="AJ206" s="284" t="n"/>
      <c r="AK206" s="284" t="n"/>
      <c r="AL206" s="284" t="n"/>
      <c r="AM206" s="284" t="n"/>
      <c r="AN206" s="284" t="n"/>
      <c r="AO206" s="284" t="n"/>
      <c r="AP206" s="284" t="n"/>
      <c r="AQ206" s="284" t="n"/>
      <c r="AR206" s="284" t="n"/>
      <c r="AS206" s="284" t="n"/>
    </row>
    <row r="207">
      <c r="A207" s="182" t="n">
        <v>18</v>
      </c>
      <c r="B207" s="184" t="inlineStr">
        <is>
          <t>Pelayanan Administrasi Pupuk Bersubsidi</t>
        </is>
      </c>
      <c r="C207" t="inlineStr">
        <is>
          <t>DISTAN</t>
        </is>
      </c>
      <c r="D207" s="184" t="inlineStr">
        <is>
          <t>Melayani proses administrasi dan validasi penerima pupuk bersubsidi melalui RDKK dan Kartu Tani agar penyaluran pupuk lebih tepat sasaran, transparan, serta mendukung keberlanjutan produksi pertanian.</t>
        </is>
      </c>
      <c r="E207" s="184" t="inlineStr">
        <is>
          <t>Permentan 49/2017; Perbup ttg Sibedas</t>
        </is>
      </c>
      <c r="F207" s="131" t="inlineStr">
        <is>
          <t>https://docs.google.com/spreadsheets/d/1cLC7YoJU_Mkyr5eJTL-fHfA0D-sQukvz/edit?usp=sharing&amp;ouid=112536090230720318461&amp;rtpof=true&amp;sd=true</t>
        </is>
      </c>
      <c r="G207" s="184" t="inlineStr">
        <is>
          <t>PENGEMBANGAN KELEMBAGAAN PETANI</t>
        </is>
      </c>
      <c r="H207" s="184" t="inlineStr">
        <is>
          <t>Masyarakat</t>
        </is>
      </c>
      <c r="I207" s="184" t="inlineStr">
        <is>
          <t>Data petani, luas lahan, NIK, RDKK</t>
        </is>
      </c>
      <c r="J207" s="184" t="inlineStr">
        <is>
          <t>Daftar penerima pupuk</t>
        </is>
      </c>
      <c r="K207" s="184" t="inlineStr">
        <is>
          <t>Tertutup</t>
        </is>
      </c>
      <c r="L207" s="184" t="inlineStr">
        <is>
          <t>Terdapat</t>
        </is>
      </c>
      <c r="M207" s="184" t="inlineStr">
        <is>
          <t>Tahunan</t>
        </is>
      </c>
      <c r="N207" s="130" t="inlineStr">
        <is>
          <t>E-RDKK Pupuk Bersubsidi</t>
        </is>
      </c>
      <c r="O207" s="184" t="inlineStr">
        <is>
          <t>Pusat</t>
        </is>
      </c>
      <c r="P207" s="184" t="inlineStr">
        <is>
          <t>Pusat</t>
        </is>
      </c>
      <c r="Q207" s="184" t="inlineStr">
        <is>
          <t>Website</t>
        </is>
      </c>
      <c r="R207" s="131" t="inlineStr">
        <is>
          <t>https://erdkk25.pertanian.go.id/</t>
        </is>
      </c>
      <c r="S207" s="184" t="inlineStr">
        <is>
          <t>Secara Online</t>
        </is>
      </c>
      <c r="T207" s="184" t="inlineStr">
        <is>
          <t>Informasi</t>
        </is>
      </c>
      <c r="U207" s="184" t="inlineStr">
        <is>
          <t>-</t>
        </is>
      </c>
      <c r="V207" s="184" t="inlineStr">
        <is>
          <t>Aktif</t>
        </is>
      </c>
      <c r="W207" s="184" t="inlineStr">
        <is>
          <t>Tidak</t>
        </is>
      </c>
      <c r="X207" s="184" t="inlineStr">
        <is>
          <t>Tidak Terintegrasi</t>
        </is>
      </c>
      <c r="Y207" s="184" t="inlineStr">
        <is>
          <t>Tidak Terintegrasi</t>
        </is>
      </c>
      <c r="Z207" s="184" t="inlineStr">
        <is>
          <t>Tidak Terintegrasi</t>
        </is>
      </c>
      <c r="AA207" s="184" t="inlineStr">
        <is>
          <t>Bidang Penyuluhan</t>
        </is>
      </c>
      <c r="AB207" s="184" t="inlineStr">
        <is>
          <t>Distan</t>
        </is>
      </c>
      <c r="AC207" s="184" t="inlineStr">
        <is>
          <t>Yandi</t>
        </is>
      </c>
      <c r="AD207" s="184" t="n">
        <v>81321122481</v>
      </c>
      <c r="AE207" s="288" t="n"/>
      <c r="AF207" s="77" t="n">
        <v>22</v>
      </c>
      <c r="AG207" s="68" t="inlineStr">
        <is>
          <t>Insidentil</t>
        </is>
      </c>
      <c r="AH207" s="187" t="inlineStr">
        <is>
          <t>OPD</t>
        </is>
      </c>
      <c r="AI207" s="284" t="n"/>
      <c r="AJ207" s="284" t="n"/>
      <c r="AK207" s="284" t="n"/>
      <c r="AL207" s="284" t="n"/>
      <c r="AM207" s="284" t="n"/>
      <c r="AN207" s="284" t="n"/>
      <c r="AO207" s="284" t="n"/>
      <c r="AP207" s="284" t="n"/>
      <c r="AQ207" s="284" t="n"/>
      <c r="AR207" s="284" t="n"/>
      <c r="AS207" s="284" t="n"/>
    </row>
    <row r="208">
      <c r="A208" s="182" t="n">
        <v>19</v>
      </c>
      <c r="B208" s="184" t="inlineStr">
        <is>
          <t>Penyuluh Pertanian Keliling (PEPELING)</t>
        </is>
      </c>
      <c r="C208" t="inlineStr">
        <is>
          <t>DISTAN</t>
        </is>
      </c>
      <c r="D208" s="184" t="inlineStr">
        <is>
          <t>Melaksanakan kegiatan penyuluhan pertanian secara mobile/keliling untuk menjangkau desa-desa, terutama di wilayah terpencil. Tujuannya mempercepat penyampaian inovasi teknologi, memperluas jangkauan layanan penyuluhan, dan meningkatkan kapasitas kelompok tani.</t>
        </is>
      </c>
      <c r="E208" s="184" t="inlineStr">
        <is>
          <t>UU 16/2006; Permentan 61/2008</t>
        </is>
      </c>
      <c r="F208" s="131" t="inlineStr">
        <is>
          <t>https://docs.google.com/spreadsheets/d/1cLZrBaEOapwKOQE9usRXCTW93SFEy7Xj/edit?usp=sharing&amp;ouid=112536090230720318461&amp;rtpof=true&amp;sd=true</t>
        </is>
      </c>
      <c r="G208" s="184" t="inlineStr">
        <is>
          <t>PENGEMBANGAN KUALITAS SDM PERTANIAN</t>
        </is>
      </c>
      <c r="H208" s="184" t="inlineStr">
        <is>
          <t>Masyarakat</t>
        </is>
      </c>
      <c r="I208" s="184" t="inlineStr">
        <is>
          <t>Jadwal, lokasi, peserta</t>
        </is>
      </c>
      <c r="J208" s="184" t="inlineStr">
        <is>
          <t>Laporan penyuluhan, materi</t>
        </is>
      </c>
      <c r="K208" s="184" t="inlineStr">
        <is>
          <t>Terbuka</t>
        </is>
      </c>
      <c r="L208" s="184" t="inlineStr">
        <is>
          <t>Terdapat</t>
        </is>
      </c>
      <c r="M208" s="184" t="inlineStr">
        <is>
          <t>Bulanan</t>
        </is>
      </c>
      <c r="N208" s="130" t="inlineStr">
        <is>
          <t>SIMLUHTAN</t>
        </is>
      </c>
      <c r="O208" s="184" t="inlineStr">
        <is>
          <t>Pusat</t>
        </is>
      </c>
      <c r="P208" s="184" t="inlineStr">
        <is>
          <t>Pusat</t>
        </is>
      </c>
      <c r="Q208" s="184" t="inlineStr">
        <is>
          <t>Website</t>
        </is>
      </c>
      <c r="R208" s="131" t="inlineStr">
        <is>
          <t>https://simluh.pertanian.go.id/</t>
        </is>
      </c>
      <c r="S208" s="184" t="inlineStr">
        <is>
          <t>Secara Online</t>
        </is>
      </c>
      <c r="T208" s="184" t="inlineStr">
        <is>
          <t>Informasi</t>
        </is>
      </c>
      <c r="U208" s="184" t="inlineStr">
        <is>
          <t>-</t>
        </is>
      </c>
      <c r="V208" s="184" t="inlineStr">
        <is>
          <t>Aktif</t>
        </is>
      </c>
      <c r="W208" s="184" t="inlineStr">
        <is>
          <t>Tidak</t>
        </is>
      </c>
      <c r="X208" s="184" t="inlineStr">
        <is>
          <t>Tidak Terintegrasi</t>
        </is>
      </c>
      <c r="Y208" s="184" t="inlineStr">
        <is>
          <t>Tidak Terintegrasi</t>
        </is>
      </c>
      <c r="Z208" s="184" t="inlineStr">
        <is>
          <t>Tidak Terintegrasi</t>
        </is>
      </c>
      <c r="AA208" s="184" t="inlineStr">
        <is>
          <t>Bidang Penyuluhan</t>
        </is>
      </c>
      <c r="AB208" s="184" t="inlineStr">
        <is>
          <t>Distan</t>
        </is>
      </c>
      <c r="AC208" s="184" t="inlineStr">
        <is>
          <t>Yandi</t>
        </is>
      </c>
      <c r="AD208" s="184" t="n">
        <v>81321122481</v>
      </c>
      <c r="AE208" s="288" t="n"/>
      <c r="AF208" s="67" t="inlineStr">
        <is>
          <t>22, 25, 26</t>
        </is>
      </c>
      <c r="AG208" s="68" t="inlineStr">
        <is>
          <t>Setiap Saat</t>
        </is>
      </c>
      <c r="AH208" s="187" t="inlineStr">
        <is>
          <t>OPD</t>
        </is>
      </c>
      <c r="AI208" s="284" t="n"/>
      <c r="AJ208" s="284" t="n"/>
      <c r="AK208" s="284" t="n"/>
      <c r="AL208" s="284" t="n"/>
      <c r="AM208" s="284" t="n"/>
      <c r="AN208" s="284" t="n"/>
      <c r="AO208" s="284" t="n"/>
      <c r="AP208" s="284" t="n"/>
      <c r="AQ208" s="284" t="n"/>
      <c r="AR208" s="284" t="n"/>
      <c r="AS208" s="284" t="n"/>
    </row>
    <row r="209">
      <c r="A209" s="182" t="n">
        <v>20</v>
      </c>
      <c r="B209" s="184" t="inlineStr">
        <is>
          <t>Sistem Informasi Pos Kesehatan Hewan Kabupaten Bandung</t>
        </is>
      </c>
      <c r="C209" t="inlineStr">
        <is>
          <t>DISTAN</t>
        </is>
      </c>
      <c r="D209" s="184" t="inlineStr">
        <is>
          <t>Digitalisasi layanan kesehatan hewan melalui poskeswan (pendaftaran, pelayanan, pencatatan penyakit, monitoring vaksinasi, konsultasi).</t>
        </is>
      </c>
      <c r="E209" s="184" t="inlineStr">
        <is>
          <t>Pusat Kesehatan Hewan yang selanjutnya disingkat Puskeswan adalah Pos Kesehatan Hewan yang memberikan pelayanan di bidang kesehatan hewan sebagaimana dimaksud dalam Keputusan Bersama Menteri Pertanian dan Menteri Dalam Negeri Nomor 690/Kpts/ TN.510/10/1993 dan Nomor 88 Tahun 1993 Tentang Pos Kesehatan Hewan.</t>
        </is>
      </c>
      <c r="F209" s="131" t="inlineStr">
        <is>
          <t>https://drive.google.com/drive/folders/1b_wlUHQifUNUdZcrhKipNlD0R6COD8yt?usp=sharing</t>
        </is>
      </c>
      <c r="G209" s="184" t="inlineStr">
        <is>
          <t>PENGELOLAAN KESEHATAN HEWAN</t>
        </is>
      </c>
      <c r="H209" s="184" t="inlineStr">
        <is>
          <t>Masyarakat</t>
        </is>
      </c>
      <c r="I209" s="184" t="inlineStr">
        <is>
          <t>Data identitas pengguna, data hewan</t>
        </is>
      </c>
      <c r="J209" s="184" t="inlineStr">
        <is>
          <t>Data laporan pelayanan kesehatan hewan</t>
        </is>
      </c>
      <c r="K209" s="184" t="inlineStr">
        <is>
          <t>Terbuka</t>
        </is>
      </c>
      <c r="L209" s="184" t="inlineStr">
        <is>
          <t>Terdapat</t>
        </is>
      </c>
      <c r="M209" s="184" t="inlineStr">
        <is>
          <t>Harian</t>
        </is>
      </c>
      <c r="N209" s="130" t="inlineStr">
        <is>
          <t>SIPOLAN</t>
        </is>
      </c>
      <c r="O209" s="184" t="inlineStr">
        <is>
          <t>Diskominfo</t>
        </is>
      </c>
      <c r="P209" s="184" t="inlineStr">
        <is>
          <t>Kab. Bandung</t>
        </is>
      </c>
      <c r="Q209" s="184" t="inlineStr">
        <is>
          <t>Website</t>
        </is>
      </c>
      <c r="R209" s="131" t="inlineStr">
        <is>
          <t>sipolan.bandungkab.go.id</t>
        </is>
      </c>
      <c r="S209" s="184" t="inlineStr">
        <is>
          <t>Secara Online</t>
        </is>
      </c>
      <c r="T209" s="184" t="inlineStr">
        <is>
          <t>Informasi</t>
        </is>
      </c>
      <c r="U209" s="184" t="n">
        <v>2021</v>
      </c>
      <c r="V209" s="184" t="inlineStr">
        <is>
          <t>Aktif</t>
        </is>
      </c>
      <c r="W209" s="184" t="inlineStr">
        <is>
          <t>Tidak</t>
        </is>
      </c>
      <c r="X209" s="184" t="inlineStr">
        <is>
          <t>Tidak Terintegrasi</t>
        </is>
      </c>
      <c r="Y209" s="184" t="inlineStr">
        <is>
          <t>Tidak Terintegrasi</t>
        </is>
      </c>
      <c r="Z209" s="184" t="inlineStr">
        <is>
          <t>Tidak Terintegrasi</t>
        </is>
      </c>
      <c r="AA209" s="184" t="inlineStr">
        <is>
          <t>UPTD Pusat Kesehatan Hewan</t>
        </is>
      </c>
      <c r="AB209" s="184" t="inlineStr">
        <is>
          <t>Distan</t>
        </is>
      </c>
      <c r="AC209" s="184" t="inlineStr">
        <is>
          <t>Eviani</t>
        </is>
      </c>
      <c r="AD209" s="184" t="n">
        <v>81214317867</v>
      </c>
      <c r="AE209" s="184" t="inlineStr">
        <is>
          <t>evianivanita1011@gmail.com</t>
        </is>
      </c>
      <c r="AF209" s="288" t="n"/>
      <c r="AG209" s="68" t="inlineStr">
        <is>
          <t>Setiap Saat</t>
        </is>
      </c>
      <c r="AH209" s="187" t="inlineStr">
        <is>
          <t>OPD</t>
        </is>
      </c>
      <c r="AI209" s="284" t="n"/>
      <c r="AJ209" s="284" t="n"/>
      <c r="AK209" s="284" t="n"/>
      <c r="AL209" s="284" t="n"/>
      <c r="AM209" s="284" t="n"/>
      <c r="AN209" s="284" t="n"/>
      <c r="AO209" s="284" t="n"/>
      <c r="AP209" s="284" t="n"/>
      <c r="AQ209" s="284" t="n"/>
      <c r="AR209" s="284" t="n"/>
      <c r="AS209" s="284" t="n"/>
    </row>
    <row r="210">
      <c r="A210" s="71" t="inlineStr">
        <is>
          <t>DISPAKAN</t>
        </is>
      </c>
      <c r="B210" s="58" t="n"/>
      <c r="D210" s="58" t="n"/>
      <c r="E210" s="58" t="n"/>
      <c r="F210" s="58" t="n"/>
      <c r="G210" s="58" t="n"/>
      <c r="H210" s="58" t="n"/>
      <c r="I210" s="58" t="n"/>
      <c r="J210" s="58" t="n"/>
      <c r="K210" s="58" t="n"/>
      <c r="L210" s="58" t="n"/>
      <c r="M210" s="58" t="n"/>
      <c r="N210" s="58" t="n"/>
      <c r="O210" s="58" t="n"/>
      <c r="P210" s="58" t="n"/>
      <c r="Q210" s="58" t="n"/>
      <c r="R210" s="58" t="n"/>
      <c r="S210" s="58" t="n"/>
      <c r="T210" s="58" t="n"/>
      <c r="U210" s="58" t="n"/>
      <c r="V210" s="58" t="n"/>
      <c r="W210" s="58" t="n"/>
      <c r="X210" s="58" t="n"/>
      <c r="Y210" s="58" t="n"/>
      <c r="Z210" s="58" t="n"/>
      <c r="AA210" s="58" t="n"/>
      <c r="AB210" s="58" t="n"/>
      <c r="AC210" s="58" t="n"/>
      <c r="AD210" s="58" t="n"/>
      <c r="AE210" s="58" t="n"/>
      <c r="AF210" s="200" t="n"/>
      <c r="AG210" s="200" t="n"/>
      <c r="AH210" s="284" t="n"/>
      <c r="AI210" s="284" t="n"/>
      <c r="AJ210" s="284" t="n"/>
      <c r="AK210" s="284" t="n"/>
      <c r="AL210" s="284" t="n"/>
      <c r="AM210" s="284" t="n"/>
      <c r="AN210" s="284" t="n"/>
      <c r="AO210" s="284" t="n"/>
      <c r="AP210" s="284" t="n"/>
      <c r="AQ210" s="284" t="n"/>
      <c r="AR210" s="284" t="n"/>
      <c r="AS210" s="284" t="n"/>
    </row>
    <row r="211">
      <c r="A211" s="182" t="n">
        <v>3</v>
      </c>
      <c r="B211" s="178" t="inlineStr">
        <is>
          <t>Layanan Pelaku Budidaya Perikanan, Perikanan Tangkap, dan Pengolahan Ikan</t>
        </is>
      </c>
      <c r="C211" t="inlineStr">
        <is>
          <t>DISPAKAN</t>
        </is>
      </c>
      <c r="D211" s="178" t="inlineStr">
        <is>
          <t>Memberikan bantuan dan dukungan kepada para pelaku budidaya perikanan dalam hal teknis, modal, dan pemasaran untuk meningkatkan keberlanjutan usaha mereka.</t>
        </is>
      </c>
      <c r="E211" s="178" t="inlineStr">
        <is>
          <t>Peraturan Daerah Kabupaten Bandung Nomor 1 Tahun 2025 Tentang Penyelenggaraan Perikanan</t>
        </is>
      </c>
      <c r="F211" s="131" t="inlineStr">
        <is>
          <t>01. SOP Sistem Informasi Pangan.pdf</t>
        </is>
      </c>
      <c r="G211" s="184" t="inlineStr">
        <is>
          <t>PENGELOLAAN PERIKANAN BUDI DAYA</t>
        </is>
      </c>
      <c r="H211" s="184" t="inlineStr">
        <is>
          <t>Pelaku Bisnis</t>
        </is>
      </c>
      <c r="I211" s="184" t="inlineStr">
        <is>
          <t>Data pelaku usaha, data perikanan budidaya, data perikanan tangkap, dan data pengolahan hasil perikanan</t>
        </is>
      </c>
      <c r="J211" s="178" t="inlineStr">
        <is>
          <t>Data Pelaku Budidaya Perikanan</t>
        </is>
      </c>
      <c r="K211" s="184" t="inlineStr">
        <is>
          <t>Terbatas</t>
        </is>
      </c>
      <c r="L211" s="184" t="inlineStr">
        <is>
          <t>Terdapat</t>
        </is>
      </c>
      <c r="M211" s="184" t="inlineStr">
        <is>
          <t>Bulanan</t>
        </is>
      </c>
      <c r="N211" s="130" t="inlineStr">
        <is>
          <t>SIP SIKANDUNG</t>
        </is>
      </c>
      <c r="O211" s="184" t="inlineStr">
        <is>
          <t>Diskominfo</t>
        </is>
      </c>
      <c r="P211" s="184" t="inlineStr">
        <is>
          <t>Kab. Bandung</t>
        </is>
      </c>
      <c r="Q211" s="184" t="inlineStr">
        <is>
          <t>Website</t>
        </is>
      </c>
      <c r="R211" s="70" t="inlineStr">
        <is>
          <t>https://sip.bandungkab.go.id/portal/topic/sikandung</t>
        </is>
      </c>
      <c r="S211" s="184" t="inlineStr">
        <is>
          <t>Secara Online</t>
        </is>
      </c>
      <c r="T211" s="184" t="inlineStr">
        <is>
          <t>Informasi</t>
        </is>
      </c>
      <c r="U211" s="184" t="n">
        <v>2018</v>
      </c>
      <c r="V211" s="184" t="inlineStr">
        <is>
          <t>Maintenance</t>
        </is>
      </c>
      <c r="W211" s="184" t="inlineStr">
        <is>
          <t>Tidak</t>
        </is>
      </c>
      <c r="X211" s="184" t="inlineStr">
        <is>
          <t>Tidak Terintegrasi</t>
        </is>
      </c>
      <c r="Y211" s="288" t="n"/>
      <c r="Z211" s="288" t="n"/>
      <c r="AA211" s="184" t="inlineStr">
        <is>
          <t>Bidang Budidaya Perikanan
 Bidang Usaha Perikanan</t>
        </is>
      </c>
      <c r="AB211" s="184" t="inlineStr">
        <is>
          <t>Dispakan</t>
        </is>
      </c>
      <c r="AC211" s="178" t="inlineStr">
        <is>
          <t>RAISA RAMADHANIA S.Pi
 JAJANG RUDIANTO SP
 RIAN HERMAWAN S.Pi</t>
        </is>
      </c>
      <c r="AD211" s="178" t="inlineStr">
        <is>
          <t>082120586902
 087824561374
 082127870192</t>
        </is>
      </c>
      <c r="AE211" s="178" t="inlineStr">
        <is>
          <t>raisarusrus@gmail.com
 jajangrudianto80@gmail.com
 aarianhermawan@gmail.com</t>
        </is>
      </c>
      <c r="AF211" s="288" t="n"/>
      <c r="AG211" s="288" t="n"/>
      <c r="AH211" s="216" t="inlineStr">
        <is>
          <t>DISPAKAN</t>
        </is>
      </c>
      <c r="AI211" s="284" t="n"/>
      <c r="AJ211" s="284" t="n"/>
      <c r="AK211" s="284" t="n"/>
      <c r="AL211" s="284" t="n"/>
      <c r="AM211" s="284" t="n"/>
      <c r="AN211" s="284" t="n"/>
      <c r="AO211" s="284" t="n"/>
      <c r="AP211" s="284" t="n"/>
      <c r="AQ211" s="284" t="n"/>
      <c r="AR211" s="284" t="n"/>
      <c r="AS211" s="284" t="n"/>
    </row>
    <row r="212">
      <c r="A212" s="182" t="n">
        <v>4</v>
      </c>
      <c r="B212" s="178" t="inlineStr">
        <is>
          <t>Layanan Rekomendasi Persetujuan Usaha Perikanan</t>
        </is>
      </c>
      <c r="C212" t="inlineStr">
        <is>
          <t>DISPAKAN</t>
        </is>
      </c>
      <c r="D212" s="178" t="inlineStr">
        <is>
          <t>Memberikan persetujuan dan rekomendasi untuk usaha perikanan guna memastikan keberlanjutan sumber daya perikanan dan keberlanjutan ekonomi para pelaku usaha.</t>
        </is>
      </c>
      <c r="E212" s="178" t="inlineStr">
        <is>
          <t>Peraturan Pemerintah Nomor 27 Tahun 2021 Tentang Penyelenggaraan Bidang Kelautan dan Perikanan</t>
        </is>
      </c>
      <c r="F212" s="70" t="inlineStr">
        <is>
          <t>02. SOP Izin Usaha.pdf
 03. SOP Si Lele ikan.pdf</t>
        </is>
      </c>
      <c r="G212" s="184" t="inlineStr">
        <is>
          <t>PENGUATAN DAYA SAING PRODUK PERIKANAN</t>
        </is>
      </c>
      <c r="H212" s="184" t="inlineStr">
        <is>
          <t>Pelaku Bisnis</t>
        </is>
      </c>
      <c r="I212" s="184" t="inlineStr">
        <is>
          <t>Data pelaku usaha, data perizinan, laporan peksanaan kegiatan</t>
        </is>
      </c>
      <c r="J212" s="178" t="inlineStr">
        <is>
          <t>Data Usaha Perikanan</t>
        </is>
      </c>
      <c r="K212" s="184" t="inlineStr">
        <is>
          <t>Terbatas</t>
        </is>
      </c>
      <c r="L212" s="184" t="inlineStr">
        <is>
          <t>Terdapat</t>
        </is>
      </c>
      <c r="M212" s="184" t="inlineStr">
        <is>
          <t>Bulanan</t>
        </is>
      </c>
      <c r="N212" s="130" t="inlineStr">
        <is>
          <t>SI LELE IKAN</t>
        </is>
      </c>
      <c r="O212" s="184" t="inlineStr">
        <is>
          <t>Pihak Ke 3</t>
        </is>
      </c>
      <c r="P212" s="184" t="inlineStr">
        <is>
          <t>Pihak Ke 3 (Lisensi)</t>
        </is>
      </c>
      <c r="Q212" s="184" t="inlineStr">
        <is>
          <t>Website dan Mobile</t>
        </is>
      </c>
      <c r="R212" s="70" t="inlineStr">
        <is>
          <t>https://dispakan.bandungkab.go.id/video/</t>
        </is>
      </c>
      <c r="S212" s="184" t="inlineStr">
        <is>
          <t>Secara Online</t>
        </is>
      </c>
      <c r="T212" s="184" t="inlineStr">
        <is>
          <t>Informasi</t>
        </is>
      </c>
      <c r="U212" s="184" t="n">
        <v>2022</v>
      </c>
      <c r="V212" s="184" t="inlineStr">
        <is>
          <t>Maintenance</t>
        </is>
      </c>
      <c r="W212" s="184" t="inlineStr">
        <is>
          <t>Tidak</t>
        </is>
      </c>
      <c r="X212" s="184" t="inlineStr">
        <is>
          <t>Tidak Terintegrasi</t>
        </is>
      </c>
      <c r="Y212" s="288" t="n"/>
      <c r="Z212" s="288" t="n"/>
      <c r="AA212" s="184" t="inlineStr">
        <is>
          <t>Bidang Usaha Perikanan</t>
        </is>
      </c>
      <c r="AB212" s="184" t="inlineStr">
        <is>
          <t>Dispakan</t>
        </is>
      </c>
      <c r="AC212" s="178" t="inlineStr">
        <is>
          <t>JAJANG RUDIANTO SP</t>
        </is>
      </c>
      <c r="AD212" s="178" t="n">
        <v>87824561374</v>
      </c>
      <c r="AE212" s="178" t="inlineStr">
        <is>
          <t>jajangrudianto80@gmail.com</t>
        </is>
      </c>
      <c r="AF212" s="288" t="n"/>
      <c r="AG212" s="288" t="n"/>
      <c r="AH212" s="216" t="inlineStr">
        <is>
          <t>DISPAKAN</t>
        </is>
      </c>
      <c r="AI212" s="284" t="n"/>
      <c r="AJ212" s="284" t="n"/>
      <c r="AK212" s="284" t="n"/>
      <c r="AL212" s="284" t="n"/>
      <c r="AM212" s="284" t="n"/>
      <c r="AN212" s="284" t="n"/>
      <c r="AO212" s="284" t="n"/>
      <c r="AP212" s="284" t="n"/>
      <c r="AQ212" s="284" t="n"/>
      <c r="AR212" s="284" t="n"/>
      <c r="AS212" s="284" t="n"/>
    </row>
    <row r="213">
      <c r="A213" s="182" t="n">
        <v>5</v>
      </c>
      <c r="B213" s="178" t="inlineStr">
        <is>
          <t>Layanan Ketahanan dan Kerawanan Pangan</t>
        </is>
      </c>
      <c r="C213" t="inlineStr">
        <is>
          <t>DISPAKAN</t>
        </is>
      </c>
      <c r="D213" s="178" t="inlineStr">
        <is>
          <t>Menganalisis dan memantau kondisi ketahanan pangan daerah serta merancang strategi untuk mengatasi potensi kerawanan pangan.</t>
        </is>
      </c>
      <c r="E213" s="178" t="inlineStr">
        <is>
          <t>Peraturan Pemerintah Nomor 17 Tahun 2015 Tentang Ketahanan Pangan</t>
        </is>
      </c>
      <c r="F213" s="70" t="inlineStr">
        <is>
          <t>01. SOP Sistem Informasi Pangan.pdf</t>
        </is>
      </c>
      <c r="G213" s="184" t="inlineStr">
        <is>
          <t>KERAWANAN PANGAN DAN GIZI</t>
        </is>
      </c>
      <c r="H213" s="184" t="inlineStr">
        <is>
          <t>Masyarakat</t>
        </is>
      </c>
      <c r="I213" s="184" t="inlineStr">
        <is>
          <t>Data penerima bantuan, data bahan pangan yang diberikan, laporan pelaksanaan</t>
        </is>
      </c>
      <c r="J213" s="178" t="inlineStr">
        <is>
          <t>Data Kerawanan Pangan dan Keamanan Pangan</t>
        </is>
      </c>
      <c r="K213" s="184" t="inlineStr">
        <is>
          <t>Terbatas</t>
        </is>
      </c>
      <c r="L213" s="184" t="inlineStr">
        <is>
          <t>Terdapat</t>
        </is>
      </c>
      <c r="M213" s="184" t="inlineStr">
        <is>
          <t>Tahunan</t>
        </is>
      </c>
      <c r="N213" s="130" t="inlineStr">
        <is>
          <t>SIP FSVA</t>
        </is>
      </c>
      <c r="O213" s="184" t="inlineStr">
        <is>
          <t>Diskominfo</t>
        </is>
      </c>
      <c r="P213" s="184" t="inlineStr">
        <is>
          <t>Kab. Bandung</t>
        </is>
      </c>
      <c r="Q213" s="184" t="inlineStr">
        <is>
          <t>Website</t>
        </is>
      </c>
      <c r="R213" s="70" t="inlineStr">
        <is>
          <t>https://sip.bandungkab.go.id/portal/topic/fsva</t>
        </is>
      </c>
      <c r="S213" s="184" t="inlineStr">
        <is>
          <t>Secara Online</t>
        </is>
      </c>
      <c r="T213" s="184" t="inlineStr">
        <is>
          <t>Informasi</t>
        </is>
      </c>
      <c r="U213" s="184" t="n">
        <v>2021</v>
      </c>
      <c r="V213" s="184" t="inlineStr">
        <is>
          <t>Aktif</t>
        </is>
      </c>
      <c r="W213" s="184" t="inlineStr">
        <is>
          <t>Tidak</t>
        </is>
      </c>
      <c r="X213" s="184" t="inlineStr">
        <is>
          <t>Tidak Terintegrasi</t>
        </is>
      </c>
      <c r="Y213" s="184" t="inlineStr">
        <is>
          <t>Tidak Terintegrasi</t>
        </is>
      </c>
      <c r="Z213" s="184" t="inlineStr">
        <is>
          <t>Tidak Terintegrasi</t>
        </is>
      </c>
      <c r="AA213" s="184" t="inlineStr">
        <is>
          <t>Bidang Ketersediaan dan Kerawanan Pangan</t>
        </is>
      </c>
      <c r="AB213" s="184" t="inlineStr">
        <is>
          <t>Dispakan</t>
        </is>
      </c>
      <c r="AC213" s="178" t="inlineStr">
        <is>
          <t>SRINIDIYANTI MISRUN SP</t>
        </is>
      </c>
      <c r="AD213" s="178" t="n">
        <v>85297499630</v>
      </c>
      <c r="AE213" s="178" t="inlineStr">
        <is>
          <t>srinidiyanti1988@gmail.com</t>
        </is>
      </c>
      <c r="AF213" s="288" t="n"/>
      <c r="AG213" s="288" t="n"/>
      <c r="AH213" s="216" t="inlineStr">
        <is>
          <t>DISPAKAN</t>
        </is>
      </c>
      <c r="AI213" s="284" t="n"/>
      <c r="AJ213" s="284" t="n"/>
      <c r="AK213" s="284" t="n"/>
      <c r="AL213" s="284" t="n"/>
      <c r="AM213" s="284" t="n"/>
      <c r="AN213" s="284" t="n"/>
      <c r="AO213" s="284" t="n"/>
      <c r="AP213" s="284" t="n"/>
      <c r="AQ213" s="284" t="n"/>
      <c r="AR213" s="284" t="n"/>
      <c r="AS213" s="284" t="n"/>
    </row>
    <row r="214">
      <c r="A214" s="71" t="inlineStr">
        <is>
          <t>DISBUD</t>
        </is>
      </c>
      <c r="B214" s="58" t="n"/>
      <c r="D214" s="58" t="n"/>
      <c r="E214" s="58" t="n"/>
      <c r="F214" s="58" t="n"/>
      <c r="G214" s="58" t="n"/>
      <c r="H214" s="58" t="n"/>
      <c r="I214" s="58" t="n"/>
      <c r="J214" s="58" t="n"/>
      <c r="K214" s="58" t="n"/>
      <c r="L214" s="58" t="n"/>
      <c r="M214" s="58" t="n"/>
      <c r="N214" s="58" t="n"/>
      <c r="O214" s="58" t="n"/>
      <c r="P214" s="58" t="n"/>
      <c r="Q214" s="58" t="n"/>
      <c r="R214" s="58" t="n"/>
      <c r="S214" s="58" t="n"/>
      <c r="T214" s="58" t="n"/>
      <c r="U214" s="58" t="n"/>
      <c r="V214" s="58" t="n"/>
      <c r="W214" s="58" t="n"/>
      <c r="X214" s="58" t="n"/>
      <c r="Y214" s="58" t="n"/>
      <c r="Z214" s="58" t="n"/>
      <c r="AA214" s="58" t="n"/>
      <c r="AB214" s="58" t="n"/>
      <c r="AC214" s="58" t="n"/>
      <c r="AD214" s="58" t="n"/>
      <c r="AE214" s="58" t="n"/>
      <c r="AF214" s="200" t="n"/>
      <c r="AG214" s="200" t="n"/>
      <c r="AH214" s="284" t="n"/>
      <c r="AI214" s="284" t="n"/>
      <c r="AJ214" s="284" t="n"/>
      <c r="AK214" s="284" t="n"/>
      <c r="AL214" s="284" t="n"/>
      <c r="AM214" s="284" t="n"/>
      <c r="AN214" s="284" t="n"/>
      <c r="AO214" s="284" t="n"/>
      <c r="AP214" s="284" t="n"/>
      <c r="AQ214" s="284" t="n"/>
      <c r="AR214" s="284" t="n"/>
      <c r="AS214" s="284" t="n"/>
    </row>
    <row r="215">
      <c r="A215" s="182" t="n">
        <v>1</v>
      </c>
      <c r="B215" s="178" t="inlineStr">
        <is>
          <t>Layanan Pendataan dan Informasi Kebudayaan</t>
        </is>
      </c>
      <c r="C215" t="inlineStr">
        <is>
          <t>DISBUD</t>
        </is>
      </c>
      <c r="D215" s="178" t="inlineStr">
        <is>
          <t>Layanan ini menyediakan berbagai data kebudayaan yang dibutuhkan, dimana bentuk layanannya meliputi:
 a. Informasi Data Lembaga Kebudayaan
 b. Informasi Data Pelaku Seni dan Budaya
 c. Informasi Data Warisan Budaya
 d. Pendataan Objek Pemajuan Kebudayaan (OPK)
 e. Pendataan Objek Diduga Cagar Budaya (ODCB)</t>
        </is>
      </c>
      <c r="E215" s="178" t="inlineStr">
        <is>
          <t>Undang-Undang Nomor 11 tahun 2010 tentang Cagar Budaya
 Undang-Undang Nomor 5 tahun 2017 tentang Pemajuan Kebudayaan
 Perda Kabupaten Bandung Nomor 5 tahun 2021 tentang Penyelenggaraan Pemajuan Kebudayaan Daerah</t>
        </is>
      </c>
      <c r="F215" s="178" t="inlineStr">
        <is>
          <t>Tersedia</t>
        </is>
      </c>
      <c r="G215" s="184" t="inlineStr">
        <is>
          <t>PENGELOLAAN PROGRAM KEBUDAYAAN</t>
        </is>
      </c>
      <c r="H215" s="184" t="inlineStr">
        <is>
          <t>Masyarakat</t>
        </is>
      </c>
      <c r="I215" s="184" t="inlineStr">
        <is>
          <t>Data Kebudayaan</t>
        </is>
      </c>
      <c r="J215" s="178" t="inlineStr">
        <is>
          <t>Data dan informasi Kebudayaan</t>
        </is>
      </c>
      <c r="K215" s="184" t="inlineStr">
        <is>
          <t>Terbuka</t>
        </is>
      </c>
      <c r="L215" s="184" t="inlineStr">
        <is>
          <t>Terdapat</t>
        </is>
      </c>
      <c r="M215" s="184" t="inlineStr">
        <is>
          <t>Tahunan</t>
        </is>
      </c>
      <c r="N215" s="97" t="inlineStr">
        <is>
          <t>Parbud Dalam Angka</t>
        </is>
      </c>
      <c r="O215" s="184" t="inlineStr">
        <is>
          <t>Provinsi</t>
        </is>
      </c>
      <c r="P215" s="184" t="inlineStr">
        <is>
          <t>Provinsi</t>
        </is>
      </c>
      <c r="Q215" s="184" t="inlineStr">
        <is>
          <t>Website</t>
        </is>
      </c>
      <c r="R215" s="70" t="inlineStr">
        <is>
          <t>https://parbuddalamangka.jabarprov.go.id/</t>
        </is>
      </c>
      <c r="S215" s="184" t="inlineStr">
        <is>
          <t>Secara Online</t>
        </is>
      </c>
      <c r="T215" s="184" t="inlineStr">
        <is>
          <t>Informasi</t>
        </is>
      </c>
      <c r="U215" s="184" t="n">
        <v>2017</v>
      </c>
      <c r="V215" s="184" t="inlineStr">
        <is>
          <t>Aktif</t>
        </is>
      </c>
      <c r="W215" s="184" t="inlineStr">
        <is>
          <t>Tidak</t>
        </is>
      </c>
      <c r="X215" s="184" t="inlineStr">
        <is>
          <t>Tidak Terintegrasi</t>
        </is>
      </c>
      <c r="Y215" s="184" t="inlineStr">
        <is>
          <t>Tidak Terintegrasi</t>
        </is>
      </c>
      <c r="Z215" s="184" t="inlineStr">
        <is>
          <t>Tidak Terintegrasi</t>
        </is>
      </c>
      <c r="AA215" s="184" t="inlineStr">
        <is>
          <t>Bidang Pengembangan Kebudayaan</t>
        </is>
      </c>
      <c r="AB215" s="184" t="inlineStr">
        <is>
          <t>Disbud</t>
        </is>
      </c>
      <c r="AC215" s="178" t="inlineStr">
        <is>
          <t>Angga Satria Nugraha, S.Hum</t>
        </is>
      </c>
      <c r="AD215" s="178" t="n">
        <v>82118147356</v>
      </c>
      <c r="AE215" s="178" t="inlineStr">
        <is>
          <t>buatg844@gmail.com</t>
        </is>
      </c>
      <c r="AF215" s="68" t="n">
        <v>18</v>
      </c>
      <c r="AG215" s="68" t="inlineStr">
        <is>
          <t>Bulanan</t>
        </is>
      </c>
      <c r="AH215" s="188" t="inlineStr">
        <is>
          <t>OPD</t>
        </is>
      </c>
      <c r="AI215" s="284" t="n"/>
      <c r="AJ215" s="284" t="n"/>
      <c r="AK215" s="284" t="n"/>
      <c r="AL215" s="284" t="n"/>
      <c r="AM215" s="284" t="n"/>
      <c r="AN215" s="284" t="n"/>
      <c r="AO215" s="284" t="n"/>
      <c r="AP215" s="284" t="n"/>
      <c r="AQ215" s="284" t="n"/>
      <c r="AR215" s="284" t="n"/>
      <c r="AS215" s="284" t="n"/>
    </row>
    <row r="216">
      <c r="A216" s="71" t="inlineStr">
        <is>
          <t>DISKOPUKM</t>
        </is>
      </c>
      <c r="B216" s="58" t="n"/>
      <c r="D216" s="58" t="n"/>
      <c r="E216" s="58" t="n"/>
      <c r="F216" s="58" t="n"/>
      <c r="G216" s="58" t="n"/>
      <c r="H216" s="58" t="n"/>
      <c r="I216" s="58" t="n"/>
      <c r="J216" s="58" t="n"/>
      <c r="K216" s="58" t="n"/>
      <c r="L216" s="58" t="n"/>
      <c r="M216" s="58" t="n"/>
      <c r="N216" s="58" t="n"/>
      <c r="O216" s="58" t="n"/>
      <c r="P216" s="58" t="n"/>
      <c r="Q216" s="58" t="n"/>
      <c r="R216" s="58" t="n"/>
      <c r="S216" s="58" t="n"/>
      <c r="T216" s="58" t="n"/>
      <c r="U216" s="58" t="n"/>
      <c r="V216" s="58" t="n"/>
      <c r="W216" s="58" t="n"/>
      <c r="X216" s="58" t="n"/>
      <c r="Y216" s="58" t="n"/>
      <c r="Z216" s="58" t="n"/>
      <c r="AA216" s="58" t="n"/>
      <c r="AB216" s="58" t="n"/>
      <c r="AC216" s="58" t="n"/>
      <c r="AD216" s="58" t="n"/>
      <c r="AE216" s="58" t="n"/>
      <c r="AF216" s="200" t="n"/>
      <c r="AG216" s="200" t="n"/>
      <c r="AH216" s="284" t="n"/>
      <c r="AI216" s="284" t="n"/>
      <c r="AJ216" s="284" t="n"/>
      <c r="AK216" s="284" t="n"/>
      <c r="AL216" s="284" t="n"/>
      <c r="AM216" s="284" t="n"/>
      <c r="AN216" s="284" t="n"/>
      <c r="AO216" s="284" t="n"/>
      <c r="AP216" s="284" t="n"/>
      <c r="AQ216" s="284" t="n"/>
      <c r="AR216" s="284" t="n"/>
      <c r="AS216" s="284" t="n"/>
    </row>
    <row r="217">
      <c r="A217" s="182" t="n">
        <v>1</v>
      </c>
      <c r="B217" s="178" t="inlineStr">
        <is>
          <t>Sistem Informasi Pengembangan dan Peningkatan UKM</t>
        </is>
      </c>
      <c r="C217" t="inlineStr">
        <is>
          <t>DISKOPUKM</t>
        </is>
      </c>
      <c r="D217" s="184" t="inlineStr">
        <is>
          <t>Sibangkitukm (Sistem informasi pengembangan dan peningkatan UKM) merupakan Media pemasaran digital bagi pelaku UKM untuk mempromosikan produk atau jasanya kepada masyarakat luas, serta membuka peluang kemitraan. Selain itu, sistem ini menyediakan fitur agenda kegiatan yang memuat jadwal pelatihan, sosialisasi, dan event terkait pemberdayaan UKM secara terstruktur. Tak hanya itu, sistem ini juga mendukung penerbitan surat keterangan UKM secara otomatis dan berbasis elektronik, guna memudahkan pelaku usaha dalam pengajuan HKI dan pembelian BBM bersubsidi untuk produksi.</t>
        </is>
      </c>
      <c r="E217" s="184" t="inlineStr">
        <is>
          <t>Peraturan Bupati Bandung Nomor 80 Tahun 2024 tentang Petunjuk pelaksanaan Perda Nomor 6 Tahun 2021 tentang Kemudahan, Pelindungan, dan Pemberdayaan Usaha Mikro.</t>
        </is>
      </c>
      <c r="F217" s="178" t="inlineStr">
        <is>
          <t>Belum tersedia</t>
        </is>
      </c>
      <c r="G217" s="184" t="inlineStr">
        <is>
          <t>PENGUATAN KEWIRAUSAHAAN DAN INDUSTRI KECIL DAN MENENGAH</t>
        </is>
      </c>
      <c r="H217" s="184" t="inlineStr">
        <is>
          <t>Masyarakat</t>
        </is>
      </c>
      <c r="I217" s="184" t="inlineStr">
        <is>
          <t>Data Pelaku Usaha, Data Pengguna, Data Agenda Kegiatan</t>
        </is>
      </c>
      <c r="J217" s="184" t="inlineStr">
        <is>
          <t>Data penerbitan Surat Keterangan UKM</t>
        </is>
      </c>
      <c r="K217" s="184" t="inlineStr">
        <is>
          <t>Terbatas</t>
        </is>
      </c>
      <c r="L217" s="184" t="inlineStr">
        <is>
          <t>Terdapat</t>
        </is>
      </c>
      <c r="M217" s="184" t="inlineStr">
        <is>
          <t>Lainnya</t>
        </is>
      </c>
      <c r="N217" s="130" t="inlineStr">
        <is>
          <t>Sibangkitukm</t>
        </is>
      </c>
      <c r="O217" s="184" t="inlineStr">
        <is>
          <t>OPD</t>
        </is>
      </c>
      <c r="P217" s="184" t="inlineStr">
        <is>
          <t>Kab. Bandung</t>
        </is>
      </c>
      <c r="Q217" s="184" t="inlineStr">
        <is>
          <t>Website</t>
        </is>
      </c>
      <c r="R217" s="70" t="inlineStr">
        <is>
          <t>https://sibangkitukm.bandungkab.go.id</t>
        </is>
      </c>
      <c r="S217" s="184" t="inlineStr">
        <is>
          <t>Secara Online</t>
        </is>
      </c>
      <c r="T217" s="184" t="inlineStr">
        <is>
          <t>Transaksi</t>
        </is>
      </c>
      <c r="U217" s="184" t="n">
        <v>2021</v>
      </c>
      <c r="V217" s="184" t="inlineStr">
        <is>
          <t>Aktif</t>
        </is>
      </c>
      <c r="W217" s="184" t="inlineStr">
        <is>
          <t>Ya</t>
        </is>
      </c>
      <c r="X217" s="184" t="inlineStr">
        <is>
          <t>Bandung Digital Services</t>
        </is>
      </c>
      <c r="Y217" s="184" t="inlineStr">
        <is>
          <t>Web Service</t>
        </is>
      </c>
      <c r="Z217" s="184" t="inlineStr">
        <is>
          <t>Realtime</t>
        </is>
      </c>
      <c r="AA217" s="184" t="inlineStr">
        <is>
          <t>Bidang Pemberdayaan dan Pengembangan Usaha Mikro</t>
        </is>
      </c>
      <c r="AB217" s="184" t="inlineStr">
        <is>
          <t>DISKOP-UKM</t>
        </is>
      </c>
      <c r="AC217" s="131" t="inlineStr">
        <is>
          <t>Anne Rahmawati, S.Sos., M.Si</t>
        </is>
      </c>
      <c r="AD217" s="178" t="n">
        <v>81214589147</v>
      </c>
      <c r="AE217" s="178" t="inlineStr">
        <is>
          <t>diskopukm@bandungkab.go.id</t>
        </is>
      </c>
      <c r="AF217" s="68" t="inlineStr">
        <is>
          <t>19, 20, 24</t>
        </is>
      </c>
      <c r="AG217" s="68" t="inlineStr">
        <is>
          <t>Harian</t>
        </is>
      </c>
      <c r="AH217" s="188" t="inlineStr">
        <is>
          <t>OPD dan Masyarakat</t>
        </is>
      </c>
      <c r="AI217" s="284" t="n"/>
      <c r="AJ217" s="284" t="n"/>
      <c r="AK217" s="284" t="n"/>
      <c r="AL217" s="284" t="n"/>
      <c r="AM217" s="284" t="n"/>
      <c r="AN217" s="284" t="n"/>
      <c r="AO217" s="284" t="n"/>
      <c r="AP217" s="284" t="n"/>
      <c r="AQ217" s="284" t="n"/>
      <c r="AR217" s="284" t="n"/>
      <c r="AS217" s="284" t="n"/>
    </row>
    <row r="218">
      <c r="A218" s="182" t="n">
        <v>2</v>
      </c>
      <c r="B218" s="189" t="inlineStr">
        <is>
          <t>Sistem Informasi Koperasi Terintegrasi Berdaya Saing</t>
        </is>
      </c>
      <c r="C218" t="inlineStr">
        <is>
          <t>DISKOPUKM</t>
        </is>
      </c>
      <c r="D218" s="68" t="inlineStr">
        <is>
          <t>SIKOPER BEDAS (Sistem Informasi Koperasi Terintegrasi Berdaya Saing) adalah platform digital yang dikembangkan oleh Dinas Koperasi dan UKM Kabupaten Bandung untuk meningkatkan pengelolaan koperasi secara transparan dan efisien. Sistem ini mengintegrasikan berbagai fungsi mulai dari pendataan kelembagaan koperasi, penilaian kesehatan koperasi, pengawasan, hingga pembinaan. Dengan SIKOPER BEDAS, informasi tentang koperasi dapat diakses secara real-time oleh petugas dan pimpinan, mendukung pengambilan keputusan yang berbasis data, meningkatkan akuntabilitas, dan mendorong koperasi agar lebih berdaya saing.</t>
        </is>
      </c>
      <c r="E218" s="178" t="inlineStr">
        <is>
          <t>Peraturan Menteri Koperasi dan Usaha Kecil dan Menengah Nomor 9 Tahun 2020 tentang Pengawasan Koperasi.</t>
        </is>
      </c>
      <c r="F218" s="178" t="inlineStr">
        <is>
          <t>Belum tersedia</t>
        </is>
      </c>
      <c r="G218" s="184" t="inlineStr">
        <is>
          <t>PENGAWASAN KOPERASI</t>
        </is>
      </c>
      <c r="H218" s="184" t="inlineStr">
        <is>
          <t>Masyarakat</t>
        </is>
      </c>
      <c r="I218" s="184" t="inlineStr">
        <is>
          <t>Data Koperasi</t>
        </is>
      </c>
      <c r="J218" s="178" t="inlineStr">
        <is>
          <t>Data hasil Pemeriksaan Kesehatan Koperasi</t>
        </is>
      </c>
      <c r="K218" s="184" t="inlineStr">
        <is>
          <t>Tertutup</t>
        </is>
      </c>
      <c r="L218" s="184" t="inlineStr">
        <is>
          <t>Terdapat</t>
        </is>
      </c>
      <c r="M218" s="184" t="inlineStr">
        <is>
          <t>Lainnya</t>
        </is>
      </c>
      <c r="N218" s="130" t="inlineStr">
        <is>
          <t>Sikoper</t>
        </is>
      </c>
      <c r="O218" s="184" t="inlineStr">
        <is>
          <t>OPD</t>
        </is>
      </c>
      <c r="P218" s="184" t="inlineStr">
        <is>
          <t>Kab. Bandung</t>
        </is>
      </c>
      <c r="Q218" s="184" t="inlineStr">
        <is>
          <t>Website</t>
        </is>
      </c>
      <c r="R218" s="70" t="inlineStr">
        <is>
          <t>https://sikoperbedas.bandungkab.go.id/</t>
        </is>
      </c>
      <c r="S218" s="184" t="inlineStr">
        <is>
          <t>Secara Online</t>
        </is>
      </c>
      <c r="T218" s="184" t="inlineStr">
        <is>
          <t>Transaksi</t>
        </is>
      </c>
      <c r="U218" s="184" t="n">
        <v>2025</v>
      </c>
      <c r="V218" s="184" t="inlineStr">
        <is>
          <t>Aktif</t>
        </is>
      </c>
      <c r="W218" s="184" t="inlineStr">
        <is>
          <t>Tidak</t>
        </is>
      </c>
      <c r="X218" s="184" t="inlineStr">
        <is>
          <t>Tidak Terintegrasi</t>
        </is>
      </c>
      <c r="Y218" s="184" t="inlineStr">
        <is>
          <t>Tidak Terintegrasi</t>
        </is>
      </c>
      <c r="Z218" s="184" t="inlineStr">
        <is>
          <t>Tidak Terintegrasi</t>
        </is>
      </c>
      <c r="AA218" s="184" t="inlineStr">
        <is>
          <t>Bidang Pengawasan dan Pemeriksaan Koperasi</t>
        </is>
      </c>
      <c r="AB218" s="184" t="inlineStr">
        <is>
          <t>DISKOP-UKM</t>
        </is>
      </c>
      <c r="AC218" s="178" t="inlineStr">
        <is>
          <t>HEINTJE HERLANDO, SE</t>
        </is>
      </c>
      <c r="AD218" s="178" t="n">
        <v>85724376051</v>
      </c>
      <c r="AE218" s="178" t="inlineStr">
        <is>
          <t>diskopukm@bandungkab.go.id</t>
        </is>
      </c>
      <c r="AF218" s="68" t="n">
        <v>19</v>
      </c>
      <c r="AG218" s="68" t="inlineStr">
        <is>
          <t>Harian</t>
        </is>
      </c>
      <c r="AH218" s="188" t="inlineStr">
        <is>
          <t>OPD</t>
        </is>
      </c>
      <c r="AI218" s="284" t="n"/>
      <c r="AJ218" s="284" t="n"/>
      <c r="AK218" s="284" t="n"/>
      <c r="AL218" s="284" t="n"/>
      <c r="AM218" s="284" t="n"/>
      <c r="AN218" s="284" t="n"/>
      <c r="AO218" s="284" t="n"/>
      <c r="AP218" s="284" t="n"/>
      <c r="AQ218" s="284" t="n"/>
      <c r="AR218" s="284" t="n"/>
      <c r="AS218" s="284" t="n"/>
    </row>
    <row r="219">
      <c r="A219" s="182" t="n">
        <v>4</v>
      </c>
      <c r="B219" s="178" t="inlineStr">
        <is>
          <t>Pendaftaran Usaha Pada Sistem Perizinan Berusaha
 Terintegrasi Secara Elektronik</t>
        </is>
      </c>
      <c r="C219" t="inlineStr">
        <is>
          <t>DISKOPUKM</t>
        </is>
      </c>
      <c r="D219" s="178" t="inlineStr">
        <is>
          <t>Maksud: Memfasilitasi UMKM/Koperasi dalam memperoleh legalitas usaha melalui sistem perizinan daring yang terpadu.
 Tujuan: Menyederhanakan proses administrasi, meningkatkan kepatuhan hukum, serta membuka akses ke program pemerintah (pembiayaan, tender, ekspor) yang memerlukan izin resmi.</t>
        </is>
      </c>
      <c r="E219" s="178" t="inlineStr">
        <is>
          <t>Permenkop UKM No 9 Tahun 2023 tentang Pusat layanan Terpadu Koperasi dan Usaha mikro, kecil dan Menengah Pasal 3c Pelatihan Teknis dan Manajerial</t>
        </is>
      </c>
      <c r="F219" s="178" t="inlineStr">
        <is>
          <t>Belum tersedia</t>
        </is>
      </c>
      <c r="G219" s="184" t="inlineStr">
        <is>
          <t>USAHA MIKRO</t>
        </is>
      </c>
      <c r="H219" s="184" t="inlineStr">
        <is>
          <t>Masyarakat</t>
        </is>
      </c>
      <c r="I219" s="184" t="inlineStr">
        <is>
          <t>Data Pelaku Usaha, Data Pengguna</t>
        </is>
      </c>
      <c r="J219" s="178" t="inlineStr">
        <is>
          <t>NIB</t>
        </is>
      </c>
      <c r="K219" s="184" t="inlineStr">
        <is>
          <t>Tertutup</t>
        </is>
      </c>
      <c r="L219" s="184" t="inlineStr">
        <is>
          <t>Terdapat</t>
        </is>
      </c>
      <c r="M219" s="184" t="inlineStr">
        <is>
          <t>Lainnya</t>
        </is>
      </c>
      <c r="N219" s="97" t="inlineStr">
        <is>
          <t>OSS</t>
        </is>
      </c>
      <c r="O219" s="184" t="inlineStr">
        <is>
          <t>Pusat</t>
        </is>
      </c>
      <c r="P219" s="184" t="inlineStr">
        <is>
          <t>Kab. Bandung</t>
        </is>
      </c>
      <c r="Q219" s="184" t="inlineStr">
        <is>
          <t>Desktop</t>
        </is>
      </c>
      <c r="R219" s="70" t="inlineStr">
        <is>
          <t>https://oss.go.id/</t>
        </is>
      </c>
      <c r="S219" s="184" t="inlineStr">
        <is>
          <t>Secara Online</t>
        </is>
      </c>
      <c r="T219" s="184" t="inlineStr">
        <is>
          <t>Transaksi</t>
        </is>
      </c>
      <c r="U219" s="184" t="n">
        <v>2023</v>
      </c>
      <c r="V219" s="184" t="inlineStr">
        <is>
          <t>Aktif</t>
        </is>
      </c>
      <c r="W219" s="184" t="inlineStr">
        <is>
          <t>Tidak</t>
        </is>
      </c>
      <c r="X219" s="184" t="inlineStr">
        <is>
          <t>Tidak Terintegrasi</t>
        </is>
      </c>
      <c r="Y219" s="184" t="inlineStr">
        <is>
          <t>Tidak Terintegrasi</t>
        </is>
      </c>
      <c r="Z219" s="184" t="inlineStr">
        <is>
          <t>Tidak Terintegrasi</t>
        </is>
      </c>
      <c r="AA219" s="184" t="inlineStr">
        <is>
          <t>UPTD PLUT KUMKM</t>
        </is>
      </c>
      <c r="AB219" s="184" t="inlineStr">
        <is>
          <t>DISKOP-UKM</t>
        </is>
      </c>
      <c r="AC219" s="178" t="inlineStr">
        <is>
          <t>DEWI WINDIANI, SH</t>
        </is>
      </c>
      <c r="AD219" s="178" t="inlineStr">
        <is>
          <t>0813-2106-9500</t>
        </is>
      </c>
      <c r="AE219" s="178" t="inlineStr">
        <is>
          <t>diskopukm@bandungkab.go.id</t>
        </is>
      </c>
      <c r="AF219" s="68" t="inlineStr">
        <is>
          <t>20, 24</t>
        </is>
      </c>
      <c r="AG219" s="68" t="inlineStr">
        <is>
          <t>Setiap Saat</t>
        </is>
      </c>
      <c r="AH219" s="188" t="inlineStr">
        <is>
          <t>Masyarakat/OPD</t>
        </is>
      </c>
      <c r="AI219" s="284" t="n"/>
      <c r="AJ219" s="284" t="n"/>
      <c r="AK219" s="284" t="n"/>
      <c r="AL219" s="284" t="n"/>
      <c r="AM219" s="284" t="n"/>
      <c r="AN219" s="284" t="n"/>
      <c r="AO219" s="284" t="n"/>
      <c r="AP219" s="284" t="n"/>
      <c r="AQ219" s="284" t="n"/>
      <c r="AR219" s="284" t="n"/>
      <c r="AS219" s="284" t="n"/>
    </row>
    <row r="220">
      <c r="A220" s="182" t="n">
        <v>14</v>
      </c>
      <c r="B220" s="178" t="inlineStr">
        <is>
          <t>Sistem Informasi Monitoring Pinjaman Dana Bergulir BEDAS</t>
        </is>
      </c>
      <c r="C220" t="inlineStr">
        <is>
          <t>DISKOPUKM</t>
        </is>
      </c>
      <c r="D220" s="178" t="inlineStr">
        <is>
          <t>Simanjur BEDAS (Sistem Informasi Monitoring Pinjaman Dana Bergulir BEDAS), merupakan sistem informasi untuk memonitoring Program Dana Bergulir Tanpa Bunga dan Jaminan, program yang hadir untuk membantu para pelaku usaha mikro di Kabupaten Bandung agar bisa mengembangkan usaha dan bisnis UMKM, sekaligus terhindar dari jeratan bank emok dan pinjol yang semakin marak. Program ini menyediakan akses modal usaha dengan proses pengajuan yang lebih mudah, tanpa memerlukan agunan, serta bebas dari bunga pinjaman. Dengan demikian, pengusaha kecil yang membutuhkan modal dapat lebih mudah mengakses pendanaan.</t>
        </is>
      </c>
      <c r="E220" s="178" t="inlineStr">
        <is>
          <t>Peraturan Daerah Kabupaten Bandung Nomor 16 Tahun 2025 tentang Penyertaan Modal Non Permanen Berupa Pemberian Pinjaman Dana Bergulir Kepada Masyarakat Melalui Lembaga Keuangan Bank</t>
        </is>
      </c>
      <c r="F220" s="178" t="inlineStr">
        <is>
          <t>Belum tersedia</t>
        </is>
      </c>
      <c r="G220" s="184" t="inlineStr">
        <is>
          <t>USAHA MIKRO</t>
        </is>
      </c>
      <c r="H220" s="184" t="inlineStr">
        <is>
          <t>Pegawai</t>
        </is>
      </c>
      <c r="I220" s="184" t="inlineStr">
        <is>
          <t>Data Pelaku Usaha yang mengikuti Program Dana Bergulir</t>
        </is>
      </c>
      <c r="J220" s="184" t="inlineStr">
        <is>
          <t>Data Pelaku Usaha yang mengikuti Program Dana Bergulir</t>
        </is>
      </c>
      <c r="K220" s="184" t="inlineStr">
        <is>
          <t>Terbatas</t>
        </is>
      </c>
      <c r="L220" s="184" t="inlineStr">
        <is>
          <t>Terdapat</t>
        </is>
      </c>
      <c r="M220" s="184" t="inlineStr">
        <is>
          <t>Lainnya</t>
        </is>
      </c>
      <c r="N220" s="97" t="inlineStr">
        <is>
          <t>Simanjur BEDAS</t>
        </is>
      </c>
      <c r="O220" s="184" t="inlineStr">
        <is>
          <t>OPD</t>
        </is>
      </c>
      <c r="P220" s="184" t="inlineStr">
        <is>
          <t>Kab. Bandung</t>
        </is>
      </c>
      <c r="Q220" s="184" t="inlineStr">
        <is>
          <t>Website</t>
        </is>
      </c>
      <c r="R220" s="70" t="inlineStr">
        <is>
          <t>https://usahamikro.bandungkab.go.id/</t>
        </is>
      </c>
      <c r="S220" s="184" t="inlineStr">
        <is>
          <t>Secara Online</t>
        </is>
      </c>
      <c r="T220" s="184" t="inlineStr">
        <is>
          <t>Informasi</t>
        </is>
      </c>
      <c r="U220" s="184" t="n">
        <v>2023</v>
      </c>
      <c r="V220" s="184" t="inlineStr">
        <is>
          <t>Aktif</t>
        </is>
      </c>
      <c r="W220" s="184" t="inlineStr">
        <is>
          <t>Ya</t>
        </is>
      </c>
      <c r="X220" s="184" t="inlineStr">
        <is>
          <t>Bandung Digital Services</t>
        </is>
      </c>
      <c r="Y220" s="184" t="inlineStr">
        <is>
          <t>Web Service</t>
        </is>
      </c>
      <c r="Z220" s="184" t="inlineStr">
        <is>
          <t>Realtime</t>
        </is>
      </c>
      <c r="AA220" s="184" t="inlineStr">
        <is>
          <t>Bidang Pemberdayaan dan Pengembangan Usaha Mikro</t>
        </is>
      </c>
      <c r="AB220" s="184" t="inlineStr">
        <is>
          <t>DISKOP-UKM</t>
        </is>
      </c>
      <c r="AC220" s="131" t="inlineStr">
        <is>
          <t>Anne Rahmawati, S.Sos., M.Si</t>
        </is>
      </c>
      <c r="AD220" s="178" t="n">
        <v>81214589147</v>
      </c>
      <c r="AE220" s="178" t="inlineStr">
        <is>
          <t>diskopukm@bandungkab.go.id</t>
        </is>
      </c>
      <c r="AF220" s="68" t="n">
        <v>23</v>
      </c>
      <c r="AG220" s="68" t="inlineStr">
        <is>
          <t>Harian</t>
        </is>
      </c>
      <c r="AH220" s="188" t="inlineStr">
        <is>
          <t>OPD</t>
        </is>
      </c>
      <c r="AI220" s="284" t="n"/>
      <c r="AJ220" s="284" t="n"/>
      <c r="AK220" s="284" t="n"/>
      <c r="AL220" s="284" t="n"/>
      <c r="AM220" s="284" t="n"/>
      <c r="AN220" s="284" t="n"/>
      <c r="AO220" s="284" t="n"/>
      <c r="AP220" s="284" t="n"/>
      <c r="AQ220" s="284" t="n"/>
      <c r="AR220" s="284" t="n"/>
      <c r="AS220" s="284" t="n"/>
    </row>
    <row r="221">
      <c r="A221" s="71" t="inlineStr">
        <is>
          <t>DISPUSIP</t>
        </is>
      </c>
      <c r="B221" s="58" t="n"/>
      <c r="D221" s="58" t="n"/>
      <c r="E221" s="58" t="n"/>
      <c r="F221" s="58" t="n"/>
      <c r="G221" s="58" t="n"/>
      <c r="H221" s="58" t="n"/>
      <c r="I221" s="58" t="n"/>
      <c r="J221" s="58" t="n"/>
      <c r="K221" s="58" t="n"/>
      <c r="L221" s="58" t="n"/>
      <c r="M221" s="58" t="n"/>
      <c r="N221" s="58" t="n"/>
      <c r="O221" s="58" t="n"/>
      <c r="P221" s="58" t="n"/>
      <c r="Q221" s="58" t="n"/>
      <c r="R221" s="58" t="n"/>
      <c r="S221" s="58" t="n"/>
      <c r="T221" s="58" t="n"/>
      <c r="U221" s="58" t="n"/>
      <c r="V221" s="58" t="n"/>
      <c r="W221" s="58" t="n"/>
      <c r="X221" s="58" t="n"/>
      <c r="Y221" s="58" t="n"/>
      <c r="Z221" s="58" t="n"/>
      <c r="AA221" s="58" t="n"/>
      <c r="AB221" s="58" t="n"/>
      <c r="AC221" s="58" t="n"/>
      <c r="AD221" s="58" t="n"/>
      <c r="AE221" s="58" t="n"/>
      <c r="AF221" s="200" t="n"/>
      <c r="AG221" s="200" t="n"/>
      <c r="AH221" s="284" t="n"/>
      <c r="AI221" s="284" t="n"/>
      <c r="AJ221" s="284" t="n"/>
      <c r="AK221" s="284" t="n"/>
      <c r="AL221" s="284" t="n"/>
      <c r="AM221" s="284" t="n"/>
      <c r="AN221" s="284" t="n"/>
      <c r="AO221" s="284" t="n"/>
      <c r="AP221" s="284" t="n"/>
      <c r="AQ221" s="284" t="n"/>
      <c r="AR221" s="284" t="n"/>
      <c r="AS221" s="284" t="n"/>
    </row>
    <row r="222">
      <c r="A222" s="182" t="n">
        <v>1</v>
      </c>
      <c r="B222" s="178" t="inlineStr">
        <is>
          <t>Layanan Perpustakaan keliling</t>
        </is>
      </c>
      <c r="C222" t="inlineStr">
        <is>
          <t>DISPUSIP</t>
        </is>
      </c>
      <c r="D222" s="178" t="inlineStr">
        <is>
          <t>Meningkatkan akses masyarakat terhadap bahan bacaan di berbagai lokasi.</t>
        </is>
      </c>
      <c r="E222" s="178" t="inlineStr">
        <is>
          <t>UU No. 43 Tahun 2007 tentang Perpustakaan : Pasal 22 keseluruhan mengatur tentang “Perpustakaan Umum” yang diselenggarakan oleh berbagai tingkatan pemerintahan dan menyebutkan kewajiban untuk memberikan layanan keliling</t>
        </is>
      </c>
      <c r="F222" s="70" t="inlineStr">
        <is>
          <t>https://drive.google.com/file/d/1xLGvVqyQdJTXp_gTo9XoOeAPrmSfoy_q/view?usp=sharing</t>
        </is>
      </c>
      <c r="G222" s="184" t="inlineStr">
        <is>
          <t>PENINGKATAN KUALITAS PELAYANAN PUBLIK</t>
        </is>
      </c>
      <c r="H222" s="184" t="inlineStr">
        <is>
          <t>Masyarakat</t>
        </is>
      </c>
      <c r="I222" s="288" t="n"/>
      <c r="J222" s="178" t="inlineStr">
        <is>
          <t>Data Pengunjung Perpustakaan Keliling</t>
        </is>
      </c>
      <c r="K222" s="184" t="inlineStr">
        <is>
          <t>Terbuka</t>
        </is>
      </c>
      <c r="L222" s="184" t="inlineStr">
        <is>
          <t>Tidak terdapat</t>
        </is>
      </c>
      <c r="M222" s="184" t="inlineStr">
        <is>
          <t>Mingguan</t>
        </is>
      </c>
      <c r="N222" s="97" t="inlineStr">
        <is>
          <t>iBandungKab</t>
        </is>
      </c>
      <c r="O222" s="184" t="inlineStr">
        <is>
          <t>Pihak Ke 3</t>
        </is>
      </c>
      <c r="P222" s="184" t="inlineStr">
        <is>
          <t>Kab. Bandung</t>
        </is>
      </c>
      <c r="Q222" s="184" t="inlineStr">
        <is>
          <t>Website dan Mobile</t>
        </is>
      </c>
      <c r="R222" s="70" t="inlineStr">
        <is>
          <t>https://ibandungkab.moco.co.id/</t>
        </is>
      </c>
      <c r="S222" s="184" t="inlineStr">
        <is>
          <t>Secara Online</t>
        </is>
      </c>
      <c r="T222" s="184" t="inlineStr">
        <is>
          <t>Informasi</t>
        </is>
      </c>
      <c r="U222" s="184" t="n">
        <v>2018</v>
      </c>
      <c r="V222" s="184" t="inlineStr">
        <is>
          <t>Aktif</t>
        </is>
      </c>
      <c r="W222" s="184" t="inlineStr">
        <is>
          <t>Tidak</t>
        </is>
      </c>
      <c r="X222" s="184" t="inlineStr">
        <is>
          <t>Tidak Terintegrasi</t>
        </is>
      </c>
      <c r="Y222" s="184" t="inlineStr">
        <is>
          <t>Tidak Terintegrasi</t>
        </is>
      </c>
      <c r="Z222" s="184" t="inlineStr">
        <is>
          <t>Tidak Terintegrasi</t>
        </is>
      </c>
      <c r="AA222" s="184" t="inlineStr">
        <is>
          <t>Bidang Pengelolaan Perpustakaan</t>
        </is>
      </c>
      <c r="AB222" s="184" t="inlineStr">
        <is>
          <t>Dispusip</t>
        </is>
      </c>
      <c r="AC222" s="70" t="inlineStr">
        <is>
          <t>Rizal Mulki Farhan, A.Ma.Pust.</t>
        </is>
      </c>
      <c r="AD222" s="178" t="n">
        <v>85607626507</v>
      </c>
      <c r="AE222" s="178" t="inlineStr">
        <is>
          <t>perpust.kabbdg@gmail.com</t>
        </is>
      </c>
      <c r="AF222" s="288" t="n"/>
      <c r="AG222" s="288" t="n"/>
      <c r="AH222" s="284" t="n"/>
      <c r="AI222" s="284" t="n"/>
      <c r="AJ222" s="284" t="n"/>
      <c r="AK222" s="284" t="n"/>
      <c r="AL222" s="284" t="n"/>
      <c r="AM222" s="284" t="n"/>
      <c r="AN222" s="284" t="n"/>
      <c r="AO222" s="284" t="n"/>
      <c r="AP222" s="284" t="n"/>
      <c r="AQ222" s="284" t="n"/>
      <c r="AR222" s="284" t="n"/>
      <c r="AS222" s="284" t="n"/>
    </row>
    <row r="223">
      <c r="A223" s="182" t="n">
        <v>2</v>
      </c>
      <c r="B223" s="178" t="inlineStr">
        <is>
          <t>Layanan Pendaftaran Member Perpustakaan Online</t>
        </is>
      </c>
      <c r="C223" t="inlineStr">
        <is>
          <t>DISPUSIP</t>
        </is>
      </c>
      <c r="D223" s="178" t="inlineStr">
        <is>
          <t>Memfasilitasi masyarakat untuk menjadi anggota perpustakaan secara online.</t>
        </is>
      </c>
      <c r="E223" s="178" t="inlineStr">
        <is>
          <t>Undang-Undang Nomor 43 Tahun 2007 tentang Perpustakaan : Pasal 5 ayat (1) huruf g</t>
        </is>
      </c>
      <c r="F223" s="70" t="inlineStr">
        <is>
          <t>https://drive.google.com/file/d/1FL4agfMs9a3tAmDlzxiGL6UA1alZs_Er/view?usp=sharing</t>
        </is>
      </c>
      <c r="G223" s="184" t="inlineStr">
        <is>
          <t>PENINGKATAN KUALITAS PELAYANAN PUBLIK</t>
        </is>
      </c>
      <c r="H223" s="184" t="inlineStr">
        <is>
          <t>Masyarakat</t>
        </is>
      </c>
      <c r="I223" s="184" t="inlineStr">
        <is>
          <t>Data Pengguna</t>
        </is>
      </c>
      <c r="J223" s="178" t="inlineStr">
        <is>
          <t>Data Member Perpustakaan</t>
        </is>
      </c>
      <c r="K223" s="184" t="inlineStr">
        <is>
          <t>Tertutup</t>
        </is>
      </c>
      <c r="L223" s="184" t="inlineStr">
        <is>
          <t>Terdapat</t>
        </is>
      </c>
      <c r="M223" s="184" t="inlineStr">
        <is>
          <t>Harian</t>
        </is>
      </c>
      <c r="N223" s="97" t="inlineStr">
        <is>
          <t>Inlislite</t>
        </is>
      </c>
      <c r="O223" s="184" t="inlineStr">
        <is>
          <t>Pusat</t>
        </is>
      </c>
      <c r="P223" s="184" t="inlineStr">
        <is>
          <t>Pusat</t>
        </is>
      </c>
      <c r="Q223" s="184" t="inlineStr">
        <is>
          <t>Website</t>
        </is>
      </c>
      <c r="R223" s="70" t="inlineStr">
        <is>
          <t>https://perpus.bandungkab.go.id/pendaftaran</t>
        </is>
      </c>
      <c r="S223" s="184" t="inlineStr">
        <is>
          <t>Secara Online</t>
        </is>
      </c>
      <c r="T223" s="184" t="inlineStr">
        <is>
          <t>Transaksi</t>
        </is>
      </c>
      <c r="U223" s="98" t="n">
        <v>2013</v>
      </c>
      <c r="V223" s="184" t="inlineStr">
        <is>
          <t>Aktif</t>
        </is>
      </c>
      <c r="W223" s="184" t="inlineStr">
        <is>
          <t>Tidak</t>
        </is>
      </c>
      <c r="X223" s="184" t="inlineStr">
        <is>
          <t>Tidak Terintegrasi</t>
        </is>
      </c>
      <c r="Y223" s="184" t="inlineStr">
        <is>
          <t>Tidak Terintegrasi</t>
        </is>
      </c>
      <c r="Z223" s="184" t="inlineStr">
        <is>
          <t>Tidak Terintegrasi</t>
        </is>
      </c>
      <c r="AA223" s="184" t="inlineStr">
        <is>
          <t>Bidang Pengelolaan Perpustakaan</t>
        </is>
      </c>
      <c r="AB223" s="184" t="inlineStr">
        <is>
          <t>Dispusip</t>
        </is>
      </c>
      <c r="AC223" s="178" t="inlineStr">
        <is>
          <t>Reiyaldi Budi Wiguna</t>
        </is>
      </c>
      <c r="AD223" s="178" t="n">
        <v>81903169517</v>
      </c>
      <c r="AE223" s="178" t="inlineStr">
        <is>
          <t>bidangpp27@gmail.com</t>
        </is>
      </c>
      <c r="AF223" s="288" t="n"/>
      <c r="AG223" s="288" t="n"/>
      <c r="AH223" s="284" t="n"/>
      <c r="AI223" s="284" t="n"/>
      <c r="AJ223" s="284" t="n"/>
      <c r="AK223" s="284" t="n"/>
      <c r="AL223" s="284" t="n"/>
      <c r="AM223" s="284" t="n"/>
      <c r="AN223" s="284" t="n"/>
      <c r="AO223" s="284" t="n"/>
      <c r="AP223" s="284" t="n"/>
      <c r="AQ223" s="284" t="n"/>
      <c r="AR223" s="284" t="n"/>
      <c r="AS223" s="284" t="n"/>
    </row>
    <row r="224">
      <c r="A224" s="182" t="n">
        <v>4</v>
      </c>
      <c r="B224" s="178" t="inlineStr">
        <is>
          <t>Layanan Kearsipan Statis</t>
        </is>
      </c>
      <c r="C224" t="inlineStr">
        <is>
          <t>DISPUSIP</t>
        </is>
      </c>
      <c r="D224" s="178" t="inlineStr">
        <is>
          <t>Menyediakan layanan penyimpanan dan pemeliharaan arsip statis.</t>
        </is>
      </c>
      <c r="E224" s="178" t="inlineStr">
        <is>
          <t>Undang Undang Nomor 43 Tahun 2009 tentang Kearsipan</t>
        </is>
      </c>
      <c r="F224" s="288" t="n"/>
      <c r="G224" s="184" t="inlineStr">
        <is>
          <t>PENINGKATAN KUALITAS PELAYANAN PUBLIK</t>
        </is>
      </c>
      <c r="H224" s="184" t="inlineStr">
        <is>
          <t>Masyarakat</t>
        </is>
      </c>
      <c r="I224" s="288" t="n"/>
      <c r="J224" s="178" t="inlineStr">
        <is>
          <t>Data Kearsipan Statis</t>
        </is>
      </c>
      <c r="K224" s="184" t="inlineStr">
        <is>
          <t>Terbuka</t>
        </is>
      </c>
      <c r="L224" s="184" t="inlineStr">
        <is>
          <t>Tidak terdapat</t>
        </is>
      </c>
      <c r="M224" s="184" t="inlineStr">
        <is>
          <t>Tahunan</t>
        </is>
      </c>
      <c r="N224" s="144" t="inlineStr">
        <is>
          <t>SIKN</t>
        </is>
      </c>
      <c r="O224" s="184" t="inlineStr">
        <is>
          <t>Pusat</t>
        </is>
      </c>
      <c r="P224" s="184" t="inlineStr">
        <is>
          <t>Pusat</t>
        </is>
      </c>
      <c r="Q224" s="184" t="inlineStr">
        <is>
          <t>Website</t>
        </is>
      </c>
      <c r="R224" s="70" t="inlineStr">
        <is>
          <t>sikn.anri.go.id</t>
        </is>
      </c>
      <c r="S224" s="184" t="inlineStr">
        <is>
          <t>Secara Online</t>
        </is>
      </c>
      <c r="T224" s="184" t="inlineStr">
        <is>
          <t>Informasi</t>
        </is>
      </c>
      <c r="U224" s="98" t="n">
        <v>2017</v>
      </c>
      <c r="V224" s="184" t="inlineStr">
        <is>
          <t>Aktif</t>
        </is>
      </c>
      <c r="W224" s="184" t="inlineStr">
        <is>
          <t>Tidak</t>
        </is>
      </c>
      <c r="X224" s="288" t="n"/>
      <c r="Y224" s="288" t="n"/>
      <c r="Z224" s="288" t="n"/>
      <c r="AA224" s="184" t="inlineStr">
        <is>
          <t>Bidang Perlindungan dan Penyelamatan Arsip</t>
        </is>
      </c>
      <c r="AB224" s="184" t="inlineStr">
        <is>
          <t>Dispusip</t>
        </is>
      </c>
      <c r="AC224" s="178" t="inlineStr">
        <is>
          <t>Dewi Hastuti</t>
        </is>
      </c>
      <c r="AD224" s="98" t="n">
        <v>8131192289</v>
      </c>
      <c r="AE224" s="288" t="n"/>
      <c r="AF224" s="288" t="n"/>
      <c r="AG224" s="67" t="inlineStr">
        <is>
          <t>Harian</t>
        </is>
      </c>
      <c r="AH224" s="284" t="n"/>
      <c r="AI224" s="284" t="n"/>
      <c r="AJ224" s="284" t="n"/>
      <c r="AK224" s="284" t="n"/>
      <c r="AL224" s="284" t="n"/>
      <c r="AM224" s="284" t="n"/>
      <c r="AN224" s="284" t="n"/>
      <c r="AO224" s="284" t="n"/>
      <c r="AP224" s="284" t="n"/>
      <c r="AQ224" s="284" t="n"/>
      <c r="AR224" s="284" t="n"/>
      <c r="AS224" s="284" t="n"/>
    </row>
    <row r="225">
      <c r="A225" s="182" t="n">
        <v>5</v>
      </c>
      <c r="B225" s="178" t="inlineStr">
        <is>
          <t>Layanan Kearsipan Dinamis</t>
        </is>
      </c>
      <c r="C225" t="inlineStr">
        <is>
          <t>DISPUSIP</t>
        </is>
      </c>
      <c r="D225" s="178" t="inlineStr">
        <is>
          <t>Menyediakan layanan pengelolaan arsip yang aktif dan mudah diakses.</t>
        </is>
      </c>
      <c r="E225" s="178" t="inlineStr">
        <is>
          <t>Undang Undang Nomor 43 Tahun 2009 tentang Kearsipan</t>
        </is>
      </c>
      <c r="F225" s="288" t="n"/>
      <c r="G225" s="184" t="inlineStr">
        <is>
          <t>PENINGKATAN KUALITAS PELAYANAN PUBLIK</t>
        </is>
      </c>
      <c r="H225" s="184" t="inlineStr">
        <is>
          <t>Masyarakat</t>
        </is>
      </c>
      <c r="I225" s="288" t="n"/>
      <c r="J225" s="178" t="inlineStr">
        <is>
          <t>Data Kearsipan Dinamis</t>
        </is>
      </c>
      <c r="K225" s="184" t="inlineStr">
        <is>
          <t>Terbuka</t>
        </is>
      </c>
      <c r="L225" s="184" t="inlineStr">
        <is>
          <t>Tidak terdapat</t>
        </is>
      </c>
      <c r="M225" s="184" t="inlineStr">
        <is>
          <t>Tahunan</t>
        </is>
      </c>
      <c r="N225" s="97" t="inlineStr">
        <is>
          <t>SRIKANDI</t>
        </is>
      </c>
      <c r="O225" s="184" t="inlineStr">
        <is>
          <t>OPD</t>
        </is>
      </c>
      <c r="P225" s="184" t="inlineStr">
        <is>
          <t>Kab. Bandung</t>
        </is>
      </c>
      <c r="Q225" s="184" t="inlineStr">
        <is>
          <t>Desktop</t>
        </is>
      </c>
      <c r="R225" s="70" t="inlineStr">
        <is>
          <t>srikandi.arsip.go.id</t>
        </is>
      </c>
      <c r="S225" s="184" t="inlineStr">
        <is>
          <t>Secara Online</t>
        </is>
      </c>
      <c r="T225" s="184" t="inlineStr">
        <is>
          <t>Informasi</t>
        </is>
      </c>
      <c r="U225" s="98" t="n">
        <v>2022</v>
      </c>
      <c r="V225" s="184" t="inlineStr">
        <is>
          <t>Aktif</t>
        </is>
      </c>
      <c r="W225" s="184" t="inlineStr">
        <is>
          <t>Tidak</t>
        </is>
      </c>
      <c r="X225" s="288" t="n"/>
      <c r="Y225" s="288" t="n"/>
      <c r="Z225" s="288" t="n"/>
      <c r="AA225" s="184" t="inlineStr">
        <is>
          <t>Bidang Pengelolaan Arsip</t>
        </is>
      </c>
      <c r="AB225" s="184" t="inlineStr">
        <is>
          <t>Dispusip</t>
        </is>
      </c>
      <c r="AC225" s="178" t="inlineStr">
        <is>
          <t>Endang Wahyudi</t>
        </is>
      </c>
      <c r="AD225" s="98" t="n">
        <v>82219151878</v>
      </c>
      <c r="AE225" s="288" t="n"/>
      <c r="AF225" s="288" t="n"/>
      <c r="AG225" s="67" t="inlineStr">
        <is>
          <t>Harian</t>
        </is>
      </c>
      <c r="AH225" s="284" t="n"/>
      <c r="AI225" s="284" t="n"/>
      <c r="AJ225" s="284" t="n"/>
      <c r="AK225" s="284" t="n"/>
      <c r="AL225" s="284" t="n"/>
      <c r="AM225" s="284" t="n"/>
      <c r="AN225" s="284" t="n"/>
      <c r="AO225" s="284" t="n"/>
      <c r="AP225" s="284" t="n"/>
      <c r="AQ225" s="284" t="n"/>
      <c r="AR225" s="284" t="n"/>
      <c r="AS225" s="284" t="n"/>
    </row>
    <row r="226">
      <c r="A226" s="182" t="n">
        <v>6</v>
      </c>
      <c r="B226" s="178" t="inlineStr">
        <is>
          <t>Layanan Pojok Baca Digital</t>
        </is>
      </c>
      <c r="C226" t="inlineStr">
        <is>
          <t>DISPUSIP</t>
        </is>
      </c>
      <c r="D226" s="178" t="inlineStr">
        <is>
          <t>Memberikan akses masyarakat terhadap bahan bacaan digital di suatu tempat tertentu.</t>
        </is>
      </c>
      <c r="E226" s="178" t="inlineStr">
        <is>
          <t>Perda Nomor 9 Tahun 2016 tentang Penyelenggaraan Perpustakaan</t>
        </is>
      </c>
      <c r="F226" s="184" t="inlineStr">
        <is>
          <t>-</t>
        </is>
      </c>
      <c r="G226" s="184" t="inlineStr">
        <is>
          <t>PENINGKATAN KUALITAS PELAYANAN PUBLIK</t>
        </is>
      </c>
      <c r="H226" s="184" t="inlineStr">
        <is>
          <t>Masyarakat</t>
        </is>
      </c>
      <c r="I226" s="288" t="n"/>
      <c r="J226" s="178" t="inlineStr">
        <is>
          <t>Data Pojok Baca Digital</t>
        </is>
      </c>
      <c r="K226" s="184" t="inlineStr">
        <is>
          <t>Tertutup</t>
        </is>
      </c>
      <c r="L226" s="184" t="inlineStr">
        <is>
          <t>Tidak terdapat</t>
        </is>
      </c>
      <c r="M226" s="184" t="inlineStr">
        <is>
          <t>Harian</t>
        </is>
      </c>
      <c r="N226" s="97" t="inlineStr">
        <is>
          <t>iPusnas</t>
        </is>
      </c>
      <c r="O226" s="184" t="inlineStr">
        <is>
          <t>Pusat</t>
        </is>
      </c>
      <c r="P226" s="184" t="inlineStr">
        <is>
          <t>Pusat</t>
        </is>
      </c>
      <c r="Q226" s="184" t="inlineStr">
        <is>
          <t>Website dan Mobile</t>
        </is>
      </c>
      <c r="R226" s="70" t="inlineStr">
        <is>
          <t>https://ipusnas2.perpusnas.go.id/login</t>
        </is>
      </c>
      <c r="S226" s="184" t="inlineStr">
        <is>
          <t>Secara Online</t>
        </is>
      </c>
      <c r="T226" s="184" t="inlineStr">
        <is>
          <t>Informasi</t>
        </is>
      </c>
      <c r="U226" s="184" t="n">
        <v>2016</v>
      </c>
      <c r="V226" s="184" t="inlineStr">
        <is>
          <t>Aktif</t>
        </is>
      </c>
      <c r="W226" s="184" t="inlineStr">
        <is>
          <t>Tidak</t>
        </is>
      </c>
      <c r="X226" s="184" t="inlineStr">
        <is>
          <t>Tidak Terintegrasi</t>
        </is>
      </c>
      <c r="Y226" s="184" t="inlineStr">
        <is>
          <t>Tidak Terintegrasi</t>
        </is>
      </c>
      <c r="Z226" s="184" t="inlineStr">
        <is>
          <t>Tidak Terintegrasi</t>
        </is>
      </c>
      <c r="AA226" s="184" t="inlineStr">
        <is>
          <t>Bidang Pengelolaan Perpustakaan</t>
        </is>
      </c>
      <c r="AB226" s="184" t="inlineStr">
        <is>
          <t>Dispusip</t>
        </is>
      </c>
      <c r="AC226" s="178" t="inlineStr">
        <is>
          <t>Gugi Indra Ardiansyah</t>
        </is>
      </c>
      <c r="AD226" s="178" t="n">
        <v>89656240816</v>
      </c>
      <c r="AE226" s="178" t="inlineStr">
        <is>
          <t>perpust.kabbdg@gmail.com</t>
        </is>
      </c>
      <c r="AF226" s="288" t="n"/>
      <c r="AG226" s="288" t="n"/>
      <c r="AH226" s="284" t="n"/>
      <c r="AI226" s="284" t="n"/>
      <c r="AJ226" s="284" t="n"/>
      <c r="AK226" s="284" t="n"/>
      <c r="AL226" s="284" t="n"/>
      <c r="AM226" s="284" t="n"/>
      <c r="AN226" s="284" t="n"/>
      <c r="AO226" s="284" t="n"/>
      <c r="AP226" s="284" t="n"/>
      <c r="AQ226" s="284" t="n"/>
      <c r="AR226" s="284" t="n"/>
      <c r="AS226" s="284" t="n"/>
    </row>
    <row r="227">
      <c r="A227" s="71" t="inlineStr">
        <is>
          <t>DISDAMKAR</t>
        </is>
      </c>
      <c r="B227" s="58" t="n"/>
      <c r="D227" s="58" t="n"/>
      <c r="E227" s="58" t="n"/>
      <c r="F227" s="58" t="n"/>
      <c r="G227" s="58" t="n"/>
      <c r="H227" s="58" t="n"/>
      <c r="I227" s="58" t="n"/>
      <c r="J227" s="58" t="n"/>
      <c r="K227" s="58" t="n"/>
      <c r="L227" s="58" t="n"/>
      <c r="M227" s="58" t="n"/>
      <c r="N227" s="58" t="n"/>
      <c r="O227" s="58" t="n"/>
      <c r="P227" s="58" t="n"/>
      <c r="Q227" s="58" t="n"/>
      <c r="R227" s="58" t="n"/>
      <c r="S227" s="58" t="n"/>
      <c r="T227" s="58" t="n"/>
      <c r="U227" s="58" t="n"/>
      <c r="V227" s="58" t="n"/>
      <c r="W227" s="58" t="n"/>
      <c r="X227" s="58" t="n"/>
      <c r="Y227" s="58" t="n"/>
      <c r="Z227" s="58" t="n"/>
      <c r="AA227" s="58" t="n"/>
      <c r="AB227" s="58" t="n"/>
      <c r="AC227" s="58" t="n"/>
      <c r="AD227" s="58" t="n"/>
      <c r="AE227" s="58" t="n"/>
      <c r="AF227" s="200" t="n"/>
      <c r="AG227" s="200" t="n"/>
      <c r="AH227" s="284" t="n"/>
      <c r="AI227" s="284" t="n"/>
      <c r="AJ227" s="284" t="n"/>
      <c r="AK227" s="284" t="n"/>
      <c r="AL227" s="284" t="n"/>
      <c r="AM227" s="284" t="n"/>
      <c r="AN227" s="284" t="n"/>
      <c r="AO227" s="284" t="n"/>
      <c r="AP227" s="284" t="n"/>
      <c r="AQ227" s="284" t="n"/>
      <c r="AR227" s="284" t="n"/>
      <c r="AS227" s="284" t="n"/>
    </row>
    <row r="228">
      <c r="A228" s="182" t="n">
        <v>1</v>
      </c>
      <c r="B228" s="178" t="inlineStr">
        <is>
          <t>Laporan Kejadian Kebakaran</t>
        </is>
      </c>
      <c r="C228" t="inlineStr">
        <is>
          <t>DISDAMKAR</t>
        </is>
      </c>
      <c r="D228" s="178" t="inlineStr">
        <is>
          <t>Merupakan layanan untuk monitoring jumlah pelaporan dan progres penanganan kejadian kebakaran yang dilakukan oleh pasukan lapangan</t>
        </is>
      </c>
      <c r="E228" s="178" t="inlineStr">
        <is>
          <t>Permendagri 114/2028 tentang Standar Teknis Pelayanan Dasar pada Standar Pelayanan Minimal Sub Urusan Kebakaran Daerah Kabupaten/Kota</t>
        </is>
      </c>
      <c r="F228" s="70" t="inlineStr">
        <is>
          <t>https://drive.google.com/drive/folders/1Ejl6GsPadSWWZ-gXvbwNU62zsG4t_RcK?usp=drive_link</t>
        </is>
      </c>
      <c r="G228" s="184" t="inlineStr">
        <is>
          <t>PEMELIHARAAN KEAMANAN DAN KETERTIBAN MASYARAKAT</t>
        </is>
      </c>
      <c r="H228" s="184" t="inlineStr">
        <is>
          <t>Masyarakat</t>
        </is>
      </c>
      <c r="I228" s="184" t="inlineStr">
        <is>
          <t>Lokasi kejadian, Objek terbakar, Nama, No.HP, Dokumentasi kejadian, NIK</t>
        </is>
      </c>
      <c r="J228" s="178" t="inlineStr">
        <is>
          <t>Berita Acara Pelaporan (BAP) Kebakaran</t>
        </is>
      </c>
      <c r="K228" s="184" t="inlineStr">
        <is>
          <t>Terbatas</t>
        </is>
      </c>
      <c r="L228" s="184" t="inlineStr">
        <is>
          <t>Terdapat</t>
        </is>
      </c>
      <c r="M228" s="184" t="inlineStr">
        <is>
          <t>Harian</t>
        </is>
      </c>
      <c r="N228" s="97" t="inlineStr">
        <is>
          <t>APAR</t>
        </is>
      </c>
      <c r="O228" s="184" t="inlineStr">
        <is>
          <t>Pihak Ke 3</t>
        </is>
      </c>
      <c r="P228" s="184" t="inlineStr">
        <is>
          <t>Kab. Bandung</t>
        </is>
      </c>
      <c r="Q228" s="184" t="inlineStr">
        <is>
          <t>Website dan Mobile</t>
        </is>
      </c>
      <c r="R228" s="70" t="inlineStr">
        <is>
          <t>https://apar.bandungkab.go.id</t>
        </is>
      </c>
      <c r="S228" s="184" t="inlineStr">
        <is>
          <t>Secara Online</t>
        </is>
      </c>
      <c r="T228" s="184" t="inlineStr">
        <is>
          <t>Transaksi</t>
        </is>
      </c>
      <c r="U228" s="98" t="n">
        <v>2023</v>
      </c>
      <c r="V228" s="184" t="inlineStr">
        <is>
          <t>Aktif</t>
        </is>
      </c>
      <c r="W228" s="184" t="inlineStr">
        <is>
          <t>Ya</t>
        </is>
      </c>
      <c r="X228" s="184" t="inlineStr">
        <is>
          <t>NTPD 112</t>
        </is>
      </c>
      <c r="Y228" s="184" t="inlineStr">
        <is>
          <t>API</t>
        </is>
      </c>
      <c r="Z228" s="184" t="inlineStr">
        <is>
          <t>Realtime</t>
        </is>
      </c>
      <c r="AA228" s="184" t="inlineStr">
        <is>
          <t>Bidang Sarana, Prasarana dan Informasi</t>
        </is>
      </c>
      <c r="AB228" s="184" t="inlineStr">
        <is>
          <t>Disdamkar</t>
        </is>
      </c>
      <c r="AC228" s="178" t="inlineStr">
        <is>
          <t>Noviyanti Gantini</t>
        </is>
      </c>
      <c r="AD228" s="178" t="n">
        <v>85220376631</v>
      </c>
      <c r="AE228" s="178" t="inlineStr">
        <is>
          <t>operatorkomunikasi.disdamkar@gmail.com</t>
        </is>
      </c>
      <c r="AF228" s="288" t="n"/>
      <c r="AG228" s="68" t="inlineStr">
        <is>
          <t>Insidentil</t>
        </is>
      </c>
      <c r="AH228" s="284" t="n"/>
      <c r="AI228" s="284" t="n"/>
      <c r="AJ228" s="284" t="n"/>
      <c r="AK228" s="284" t="n"/>
      <c r="AL228" s="284" t="n"/>
      <c r="AM228" s="284" t="n"/>
      <c r="AN228" s="284" t="n"/>
      <c r="AO228" s="284" t="n"/>
      <c r="AP228" s="284" t="n"/>
      <c r="AQ228" s="284" t="n"/>
      <c r="AR228" s="284" t="n"/>
      <c r="AS228" s="284" t="n"/>
    </row>
    <row r="229">
      <c r="A229" s="182" t="n">
        <v>2</v>
      </c>
      <c r="B229" s="178" t="inlineStr">
        <is>
          <t>Laporan Kejadian Penyelamatan dan Kedaruratan Lainnya</t>
        </is>
      </c>
      <c r="C229" t="inlineStr">
        <is>
          <t>DISDAMKAR</t>
        </is>
      </c>
      <c r="D229" s="178" t="inlineStr">
        <is>
          <t>Merupakan layanan untuk monitoring jumlah pelaporan dan progres penanganan kejadian penyelamatan dan darurat lainnya yang dilakukan oleh pasukan lapangan</t>
        </is>
      </c>
      <c r="E229" s="178" t="inlineStr">
        <is>
          <t>Permendagri 114/2028 tentang Standar Teknis Pelayanan Dasar pada Standar Pelayanan Minimal Sub Urusan Kebakaran Daerah Kabupaten/Kota</t>
        </is>
      </c>
      <c r="F229" s="70" t="inlineStr">
        <is>
          <t>https://drive.google.com/drive/folders/1Ejl6GsPadSWWZ-gXvbwNU62zsG4t_RcK?usp=drive_link</t>
        </is>
      </c>
      <c r="G229" s="184" t="inlineStr">
        <is>
          <t>PEMELIHARAAN KEAMANAN DAN KETERTIBAN MASYARAKAT</t>
        </is>
      </c>
      <c r="H229" s="184" t="inlineStr">
        <is>
          <t>Masyarakat</t>
        </is>
      </c>
      <c r="I229" s="184" t="inlineStr">
        <is>
          <t>Lokasi kejadian, Objek terbakar, Nama, No.HP, Dokumentasi kejadian, NIK</t>
        </is>
      </c>
      <c r="J229" s="178" t="inlineStr">
        <is>
          <t>Berita Acara Pelaporan (BAP) Penyelamatan dan kedaruratan lainnya</t>
        </is>
      </c>
      <c r="K229" s="184" t="inlineStr">
        <is>
          <t>Terbatas</t>
        </is>
      </c>
      <c r="L229" s="184" t="inlineStr">
        <is>
          <t>Terdapat</t>
        </is>
      </c>
      <c r="M229" s="184" t="inlineStr">
        <is>
          <t>Harian</t>
        </is>
      </c>
      <c r="N229" s="190" t="n"/>
      <c r="O229" s="184" t="inlineStr">
        <is>
          <t>Pihak Ke 3</t>
        </is>
      </c>
      <c r="P229" s="184" t="inlineStr">
        <is>
          <t>Kab. Bandung</t>
        </is>
      </c>
      <c r="Q229" s="184" t="inlineStr">
        <is>
          <t>Website dan Mobile</t>
        </is>
      </c>
      <c r="R229" s="70" t="inlineStr">
        <is>
          <t>https://apar.bandungkab.go.id</t>
        </is>
      </c>
      <c r="S229" s="184" t="inlineStr">
        <is>
          <t>Secara Online</t>
        </is>
      </c>
      <c r="T229" s="184" t="inlineStr">
        <is>
          <t>Transaksi</t>
        </is>
      </c>
      <c r="U229" s="98" t="n">
        <v>2023</v>
      </c>
      <c r="V229" s="184" t="inlineStr">
        <is>
          <t>Aktif</t>
        </is>
      </c>
      <c r="W229" s="184" t="inlineStr">
        <is>
          <t>Ya</t>
        </is>
      </c>
      <c r="X229" s="184" t="inlineStr">
        <is>
          <t>NTPD 112</t>
        </is>
      </c>
      <c r="Y229" s="184" t="inlineStr">
        <is>
          <t>API</t>
        </is>
      </c>
      <c r="Z229" s="184" t="inlineStr">
        <is>
          <t>Realtime</t>
        </is>
      </c>
      <c r="AA229" s="184" t="inlineStr">
        <is>
          <t>Bidang Sarana, Prasarana dan Informasi</t>
        </is>
      </c>
      <c r="AB229" s="184" t="inlineStr">
        <is>
          <t>Disdamkar</t>
        </is>
      </c>
      <c r="AC229" s="178" t="inlineStr">
        <is>
          <t>Noviyanti Gantini</t>
        </is>
      </c>
      <c r="AD229" s="178" t="n">
        <v>85220376631</v>
      </c>
      <c r="AE229" s="178" t="inlineStr">
        <is>
          <t>operatorkomunikasi.disdamkar@gmail.com</t>
        </is>
      </c>
      <c r="AF229" s="288" t="n"/>
      <c r="AG229" s="68" t="inlineStr">
        <is>
          <t>Insidentil</t>
        </is>
      </c>
      <c r="AH229" s="284" t="n"/>
      <c r="AI229" s="284" t="n"/>
      <c r="AJ229" s="284" t="n"/>
      <c r="AK229" s="284" t="n"/>
      <c r="AL229" s="284" t="n"/>
      <c r="AM229" s="284" t="n"/>
      <c r="AN229" s="284" t="n"/>
      <c r="AO229" s="284" t="n"/>
      <c r="AP229" s="284" t="n"/>
      <c r="AQ229" s="284" t="n"/>
      <c r="AR229" s="284" t="n"/>
      <c r="AS229" s="284" t="n"/>
    </row>
    <row r="230">
      <c r="A230" s="182" t="n">
        <v>3</v>
      </c>
      <c r="B230" s="178" t="inlineStr">
        <is>
          <t>Permohonan perbaikan dan pemeliharaan kendaraan</t>
        </is>
      </c>
      <c r="C230" t="inlineStr">
        <is>
          <t>DISDAMKAR</t>
        </is>
      </c>
      <c r="D230" s="178" t="inlineStr">
        <is>
          <t>Merupakan layanan untuk pengajuan perbaikan dan atau pemeliharaan rutin kendaraan operasional pemadam kebakaran dan penyelamatan</t>
        </is>
      </c>
      <c r="E230" s="178" t="inlineStr">
        <is>
          <t>Permendagri 122/2018 tentang Standardisasi Sarana dan Prasarana Pemadam Kebakaran di Daerah</t>
        </is>
      </c>
      <c r="F230" s="70" t="inlineStr">
        <is>
          <t>https://drive.google.com/drive/folders/1Ejl6GsPadSWWZ-gXvbwNU62zsG4t_RcK?usp=drive_link</t>
        </is>
      </c>
      <c r="G230" s="184" t="inlineStr">
        <is>
          <t>PENGELOLAAN SARANA DAN PRASARANA TRANSPORTASI</t>
        </is>
      </c>
      <c r="H230" s="184" t="inlineStr">
        <is>
          <t>Pegawai</t>
        </is>
      </c>
      <c r="I230" s="184" t="inlineStr">
        <is>
          <t>Identitas Operator Unit (Driver), Identitas Komandan Regu, Nomor Lambung Unit, Bidang, Regu, Keluhan pada Kendaraan, Rencana Perbaikan (sparepart/service)</t>
        </is>
      </c>
      <c r="J230" s="178" t="inlineStr">
        <is>
          <t>Laporan perbaikan unit (SPJ realisasi keuangan dan realisasi fisik pemeliharaan)</t>
        </is>
      </c>
      <c r="K230" s="184" t="inlineStr">
        <is>
          <t>Terbatas</t>
        </is>
      </c>
      <c r="L230" s="184" t="inlineStr">
        <is>
          <t>Tidak terdapat</t>
        </is>
      </c>
      <c r="M230" s="184" t="inlineStr">
        <is>
          <t>Lainnya</t>
        </is>
      </c>
      <c r="N230" s="97" t="inlineStr">
        <is>
          <t>google formulir</t>
        </is>
      </c>
      <c r="O230" s="184" t="inlineStr">
        <is>
          <t>OPD</t>
        </is>
      </c>
      <c r="P230" s="184" t="inlineStr">
        <is>
          <t>Kab. Bandung</t>
        </is>
      </c>
      <c r="Q230" s="184" t="inlineStr">
        <is>
          <t>Website</t>
        </is>
      </c>
      <c r="R230" s="70" t="inlineStr">
        <is>
          <t>https://bit.ly/3J7M46m?r=qr</t>
        </is>
      </c>
      <c r="S230" s="184" t="inlineStr">
        <is>
          <t>Secara Online</t>
        </is>
      </c>
      <c r="T230" s="184" t="inlineStr">
        <is>
          <t>Informasi</t>
        </is>
      </c>
      <c r="U230" s="98" t="n">
        <v>2024</v>
      </c>
      <c r="V230" s="184" t="inlineStr">
        <is>
          <t>Aktif</t>
        </is>
      </c>
      <c r="W230" s="184" t="inlineStr">
        <is>
          <t>Tidak</t>
        </is>
      </c>
      <c r="X230" s="184" t="inlineStr">
        <is>
          <t>Tidak Terintegrasi</t>
        </is>
      </c>
      <c r="Y230" s="184" t="inlineStr">
        <is>
          <t>Tidak Terintegrasi</t>
        </is>
      </c>
      <c r="Z230" s="184" t="inlineStr">
        <is>
          <t>Tidak Terintegrasi</t>
        </is>
      </c>
      <c r="AA230" s="184" t="inlineStr">
        <is>
          <t>Bidang Sarana, Prasarana dan Informasi</t>
        </is>
      </c>
      <c r="AB230" s="184" t="inlineStr">
        <is>
          <t>Disdamkar</t>
        </is>
      </c>
      <c r="AC230" s="178" t="inlineStr">
        <is>
          <t>Noviyanti Gantini</t>
        </is>
      </c>
      <c r="AD230" s="178" t="n">
        <v>85220376631</v>
      </c>
      <c r="AE230" s="178" t="inlineStr">
        <is>
          <t>operatorkomunikasi.disdamkar@gmail.com</t>
        </is>
      </c>
      <c r="AF230" s="288" t="n"/>
      <c r="AG230" s="68" t="inlineStr">
        <is>
          <t>Insidentil</t>
        </is>
      </c>
      <c r="AH230" s="284" t="n"/>
      <c r="AI230" s="284" t="n"/>
      <c r="AJ230" s="284" t="n"/>
      <c r="AK230" s="284" t="n"/>
      <c r="AL230" s="284" t="n"/>
      <c r="AM230" s="284" t="n"/>
      <c r="AN230" s="284" t="n"/>
      <c r="AO230" s="284" t="n"/>
      <c r="AP230" s="284" t="n"/>
      <c r="AQ230" s="284" t="n"/>
      <c r="AR230" s="284" t="n"/>
      <c r="AS230" s="284" t="n"/>
    </row>
    <row r="231">
      <c r="A231" s="182" t="n">
        <v>4</v>
      </c>
      <c r="B231" s="178" t="inlineStr">
        <is>
          <t>Pemeliharaan rutin kendaraan operasional</t>
        </is>
      </c>
      <c r="C231" t="inlineStr">
        <is>
          <t>DISDAMKAR</t>
        </is>
      </c>
      <c r="D231" s="178" t="inlineStr">
        <is>
          <t>Merupakan layanan untuk monitoring status dan kondisi setiap kendaraan operasional pemadam kebakaran dan penyelamatan</t>
        </is>
      </c>
      <c r="E231" s="178" t="inlineStr">
        <is>
          <t>Permendagri 122/2018 tentang Standardisasi Sarana dan Prasarana Pemadam Kebakaran di Daerah</t>
        </is>
      </c>
      <c r="F231" s="70" t="inlineStr">
        <is>
          <t>https://drive.google.com/drive/folders/1Ejl6GsPadSWWZ-gXvbwNU62zsG4t_RcK?usp=drive_link</t>
        </is>
      </c>
      <c r="G231" s="184" t="inlineStr">
        <is>
          <t>PENGELOLAAN SARANA DAN PRASARANA TRANSPORTASI</t>
        </is>
      </c>
      <c r="H231" s="184" t="inlineStr">
        <is>
          <t>Pegawai</t>
        </is>
      </c>
      <c r="I231" s="184" t="inlineStr">
        <is>
          <t>Identitas Operator Unit (Driver), Identitas Komandan Regu, Nomor Lambung Unit, Bidang, Regu, Ceklis kondisi kendaraan</t>
        </is>
      </c>
      <c r="J231" s="178" t="inlineStr">
        <is>
          <t>Laporan pemeliharaan kendaraan operasional</t>
        </is>
      </c>
      <c r="K231" s="184" t="inlineStr">
        <is>
          <t>Terbatas</t>
        </is>
      </c>
      <c r="L231" s="184" t="inlineStr">
        <is>
          <t>Tidak terdapat</t>
        </is>
      </c>
      <c r="M231" s="184" t="inlineStr">
        <is>
          <t>Lainnya</t>
        </is>
      </c>
      <c r="N231" s="97" t="inlineStr">
        <is>
          <t>google formulir</t>
        </is>
      </c>
      <c r="O231" s="184" t="inlineStr">
        <is>
          <t>OPD</t>
        </is>
      </c>
      <c r="P231" s="184" t="inlineStr">
        <is>
          <t>Kab. Bandung</t>
        </is>
      </c>
      <c r="Q231" s="184" t="inlineStr">
        <is>
          <t>Website</t>
        </is>
      </c>
      <c r="R231" s="70" t="inlineStr">
        <is>
          <t>https://bit.ly/4maEzdy?r=qr</t>
        </is>
      </c>
      <c r="S231" s="184" t="inlineStr">
        <is>
          <t>Secara Online</t>
        </is>
      </c>
      <c r="T231" s="184" t="inlineStr">
        <is>
          <t>Informasi</t>
        </is>
      </c>
      <c r="U231" s="98" t="n">
        <v>2024</v>
      </c>
      <c r="V231" s="184" t="inlineStr">
        <is>
          <t>Aktif</t>
        </is>
      </c>
      <c r="W231" s="184" t="inlineStr">
        <is>
          <t>Tidak</t>
        </is>
      </c>
      <c r="X231" s="184" t="inlineStr">
        <is>
          <t>Tidak Terintegrasi</t>
        </is>
      </c>
      <c r="Y231" s="184" t="inlineStr">
        <is>
          <t>Tidak Terintegrasi</t>
        </is>
      </c>
      <c r="Z231" s="184" t="inlineStr">
        <is>
          <t>Tidak Terintegrasi</t>
        </is>
      </c>
      <c r="AA231" s="184" t="inlineStr">
        <is>
          <t>Bidang Sarana, Prasarana dan Informasi</t>
        </is>
      </c>
      <c r="AB231" s="184" t="inlineStr">
        <is>
          <t>Disdamkar</t>
        </is>
      </c>
      <c r="AC231" s="178" t="inlineStr">
        <is>
          <t>Noviyanti Gantini</t>
        </is>
      </c>
      <c r="AD231" s="178" t="n">
        <v>85220376631</v>
      </c>
      <c r="AE231" s="178" t="inlineStr">
        <is>
          <t>operatorkomunikasi.disdamkar@gmail.com</t>
        </is>
      </c>
      <c r="AF231" s="288" t="n"/>
      <c r="AG231" s="68" t="inlineStr">
        <is>
          <t>Bulanan</t>
        </is>
      </c>
      <c r="AH231" s="284" t="n"/>
      <c r="AI231" s="284" t="n"/>
      <c r="AJ231" s="284" t="n"/>
      <c r="AK231" s="284" t="n"/>
      <c r="AL231" s="284" t="n"/>
      <c r="AM231" s="284" t="n"/>
      <c r="AN231" s="284" t="n"/>
      <c r="AO231" s="284" t="n"/>
      <c r="AP231" s="284" t="n"/>
      <c r="AQ231" s="284" t="n"/>
      <c r="AR231" s="284" t="n"/>
      <c r="AS231" s="284" t="n"/>
    </row>
    <row r="232">
      <c r="A232" s="182" t="n">
        <v>5</v>
      </c>
      <c r="B232" s="178" t="inlineStr">
        <is>
          <t>Pembentukan dan Pembinaan Relawan Pemadam Kebakaran (REDKAR BEDAS SIAGA)</t>
        </is>
      </c>
      <c r="C232" t="inlineStr">
        <is>
          <t>DISDAMKAR</t>
        </is>
      </c>
      <c r="D232" s="178" t="inlineStr">
        <is>
          <t>Tujuannya untuk memberdayakan masyarakat desa agak tercipta lingkungan yang aman dari bahaya kebakaran serta fungsi lainnya yaitu sebagai perpanjangan tangan Disdamkar yang dapat bekerja sama dengan pasukan lapangan dalam melaksanakan penanggulangan kebakaran, penyelamatan, penyuluhan/sosialisasi, dan penyebaran informasi</t>
        </is>
      </c>
      <c r="E232" s="178" t="inlineStr">
        <is>
          <t>Permendagri nomor 364.1-306 tahun 2020 pedoman pembinaan relawan pemadam kebakaran</t>
        </is>
      </c>
      <c r="F232" s="70" t="inlineStr">
        <is>
          <t>https://drive.google.com/drive/folders/1Ejl6GsPadSWWZ-gXvbwNU62zsG4t_RcK?usp=drive_link</t>
        </is>
      </c>
      <c r="G232" s="184" t="inlineStr">
        <is>
          <t>PEMBERDAYAAN DAN PERAN MASYARAKAT</t>
        </is>
      </c>
      <c r="H232" s="184" t="inlineStr">
        <is>
          <t>Masyarakat</t>
        </is>
      </c>
      <c r="I232" s="184" t="inlineStr">
        <is>
          <t>Usulan peserta dari hasil Musrenbang</t>
        </is>
      </c>
      <c r="J232" s="178" t="inlineStr">
        <is>
          <t>SK Keanggotaan REDKAR, Dokumen verifikasi kepesertaan REDKAR dari Kemendagri, Kartu anggota, sertifikat, data base jumlah REDKAR</t>
        </is>
      </c>
      <c r="K232" s="184" t="inlineStr">
        <is>
          <t>Terbatas</t>
        </is>
      </c>
      <c r="L232" s="184" t="inlineStr">
        <is>
          <t>Terdapat</t>
        </is>
      </c>
      <c r="M232" s="184" t="inlineStr">
        <is>
          <t>Bulanan</t>
        </is>
      </c>
      <c r="N232" s="97" t="inlineStr">
        <is>
          <t>Form manual</t>
        </is>
      </c>
      <c r="O232" s="184" t="inlineStr">
        <is>
          <t>OPD</t>
        </is>
      </c>
      <c r="P232" s="184" t="inlineStr">
        <is>
          <t>Kab. Bandung</t>
        </is>
      </c>
      <c r="Q232" s="184" t="inlineStr">
        <is>
          <t>Desktop</t>
        </is>
      </c>
      <c r="R232" s="178" t="inlineStr">
        <is>
          <t>tidak ada</t>
        </is>
      </c>
      <c r="S232" s="184" t="inlineStr">
        <is>
          <t>Secara Offline</t>
        </is>
      </c>
      <c r="T232" s="184" t="inlineStr">
        <is>
          <t>Transaksi</t>
        </is>
      </c>
      <c r="U232" s="98" t="n">
        <v>2021</v>
      </c>
      <c r="V232" s="184" t="inlineStr">
        <is>
          <t>Non Aktif</t>
        </is>
      </c>
      <c r="W232" s="184" t="inlineStr">
        <is>
          <t>Tidak</t>
        </is>
      </c>
      <c r="X232" s="184" t="inlineStr">
        <is>
          <t>Tidak Terintegrasi</t>
        </is>
      </c>
      <c r="Y232" s="184" t="inlineStr">
        <is>
          <t>Tidak Terintegrasi</t>
        </is>
      </c>
      <c r="Z232" s="184" t="inlineStr">
        <is>
          <t>Tidak Terintegrasi</t>
        </is>
      </c>
      <c r="AA232" s="184" t="inlineStr">
        <is>
          <t>Bidang Pencegahan Kebakaran</t>
        </is>
      </c>
      <c r="AB232" s="184" t="inlineStr">
        <is>
          <t>Disdamkar</t>
        </is>
      </c>
      <c r="AC232" s="178" t="inlineStr">
        <is>
          <t>Salsabila Yasmine</t>
        </is>
      </c>
      <c r="AD232" s="178" t="inlineStr">
        <is>
          <t>0822-1342-3494</t>
        </is>
      </c>
      <c r="AE232" s="178" t="inlineStr">
        <is>
          <t>-</t>
        </is>
      </c>
      <c r="AF232" s="288" t="n"/>
      <c r="AG232" s="68" t="inlineStr">
        <is>
          <t>Tahunan</t>
        </is>
      </c>
      <c r="AH232" s="284" t="n"/>
      <c r="AI232" s="284" t="n"/>
      <c r="AJ232" s="284" t="n"/>
      <c r="AK232" s="284" t="n"/>
      <c r="AL232" s="284" t="n"/>
      <c r="AM232" s="284" t="n"/>
      <c r="AN232" s="284" t="n"/>
      <c r="AO232" s="284" t="n"/>
      <c r="AP232" s="284" t="n"/>
      <c r="AQ232" s="284" t="n"/>
      <c r="AR232" s="284" t="n"/>
      <c r="AS232" s="284" t="n"/>
    </row>
    <row r="233">
      <c r="A233" s="182" t="n">
        <v>6</v>
      </c>
      <c r="B233" s="178" t="inlineStr">
        <is>
          <t>Pemberdayaan Masyarakat dalam Pencegahan dan Penanggulangan Kebakaran melalui Sosialisai dan Edukasi Masyarakat</t>
        </is>
      </c>
      <c r="C233" t="inlineStr">
        <is>
          <t>DISDAMKAR</t>
        </is>
      </c>
      <c r="D233" s="178" t="inlineStr">
        <is>
          <t>Merupakan layanan untuk memberikan edukasi dan sosialisasi pencegahan dini kebakaran kepada masyarakat dan dunia usaha</t>
        </is>
      </c>
      <c r="E233" s="178" t="inlineStr">
        <is>
          <t>Peraturan Bupati Bandung Nomor 80 Tahun 2016 Tentang Uraian Tugas, Fungsi dan Tata Kerja Dinas Kebakaran.</t>
        </is>
      </c>
      <c r="F233" s="70" t="inlineStr">
        <is>
          <t>https://drive.google.com/drive/folders/1Ejl6GsPadSWWZ-gXvbwNU62zsG4t_RcK?usp=drive_link</t>
        </is>
      </c>
      <c r="G233" s="184" t="inlineStr">
        <is>
          <t>PEMBERDAYAAN DAN PERAN MASYARAKAT</t>
        </is>
      </c>
      <c r="H233" s="184" t="inlineStr">
        <is>
          <t>Masyarakat</t>
        </is>
      </c>
      <c r="I233" s="184" t="inlineStr">
        <is>
          <t>Surat permohonan</t>
        </is>
      </c>
      <c r="J233" s="178" t="inlineStr">
        <is>
          <t>Data base jumlah masyarakat yang mendapatkan layanan sosialisasi</t>
        </is>
      </c>
      <c r="K233" s="184" t="inlineStr">
        <is>
          <t>Terbatas</t>
        </is>
      </c>
      <c r="L233" s="184" t="inlineStr">
        <is>
          <t>Tidak terdapat</t>
        </is>
      </c>
      <c r="M233" s="184" t="inlineStr">
        <is>
          <t>Bulanan</t>
        </is>
      </c>
      <c r="N233" s="97" t="inlineStr">
        <is>
          <t>Form manual</t>
        </is>
      </c>
      <c r="O233" s="184" t="inlineStr">
        <is>
          <t>OPD</t>
        </is>
      </c>
      <c r="P233" s="184" t="inlineStr">
        <is>
          <t>Kab. Bandung</t>
        </is>
      </c>
      <c r="Q233" s="184" t="inlineStr">
        <is>
          <t>Desktop</t>
        </is>
      </c>
      <c r="R233" s="178" t="inlineStr">
        <is>
          <t>tidak ada</t>
        </is>
      </c>
      <c r="S233" s="184" t="inlineStr">
        <is>
          <t>Secara Offline</t>
        </is>
      </c>
      <c r="T233" s="184" t="inlineStr">
        <is>
          <t>Informasi</t>
        </is>
      </c>
      <c r="U233" s="98" t="n">
        <v>2021</v>
      </c>
      <c r="V233" s="184" t="inlineStr">
        <is>
          <t>Non Aktif</t>
        </is>
      </c>
      <c r="W233" s="184" t="inlineStr">
        <is>
          <t>Tidak</t>
        </is>
      </c>
      <c r="X233" s="184" t="inlineStr">
        <is>
          <t>Tidak Terintegrasi</t>
        </is>
      </c>
      <c r="Y233" s="184" t="inlineStr">
        <is>
          <t>Tidak Terintegrasi</t>
        </is>
      </c>
      <c r="Z233" s="184" t="inlineStr">
        <is>
          <t>Tidak Terintegrasi</t>
        </is>
      </c>
      <c r="AA233" s="184" t="inlineStr">
        <is>
          <t>Bidang Pencegahan Kebakaran</t>
        </is>
      </c>
      <c r="AB233" s="184" t="inlineStr">
        <is>
          <t>Disdamkar</t>
        </is>
      </c>
      <c r="AC233" s="178" t="inlineStr">
        <is>
          <t>Salsabila Yasmine</t>
        </is>
      </c>
      <c r="AD233" s="178" t="inlineStr">
        <is>
          <t>0822-1342-3494</t>
        </is>
      </c>
      <c r="AE233" s="178" t="inlineStr">
        <is>
          <t>-</t>
        </is>
      </c>
      <c r="AF233" s="288" t="n"/>
      <c r="AG233" s="68" t="inlineStr">
        <is>
          <t>Setiap Saat</t>
        </is>
      </c>
      <c r="AH233" s="284" t="n"/>
      <c r="AI233" s="284" t="n"/>
      <c r="AJ233" s="284" t="n"/>
      <c r="AK233" s="284" t="n"/>
      <c r="AL233" s="284" t="n"/>
      <c r="AM233" s="284" t="n"/>
      <c r="AN233" s="284" t="n"/>
      <c r="AO233" s="284" t="n"/>
      <c r="AP233" s="284" t="n"/>
      <c r="AQ233" s="284" t="n"/>
      <c r="AR233" s="284" t="n"/>
      <c r="AS233" s="284" t="n"/>
    </row>
    <row r="234">
      <c r="A234" s="182" t="n">
        <v>7</v>
      </c>
      <c r="B234" s="178" t="inlineStr">
        <is>
          <t>Pendataan dan Inspeksi Proteksi Kebakaran</t>
        </is>
      </c>
      <c r="C234" t="inlineStr">
        <is>
          <t>DISDAMKAR</t>
        </is>
      </c>
      <c r="D234" s="178" t="inlineStr">
        <is>
          <t>Merupakan layanan pemeriksaan dan uji riksa sarana dan prasarana proteksi kebakaran pada bangunan gedung di wilayah kabupaten bandung</t>
        </is>
      </c>
      <c r="E234" s="178" t="inlineStr">
        <is>
          <t>- Undang - Undang Bangunan Gedung Nomor 28 tahun 2002 tentang Bangunan Gedung
 - Peraturan Pemerintah Nomor 16 tahun 2021 tentang Peraturan Pelaksanaan Undang-Undang Nomor 28 Tahun 2002 tentang Bangunan Gedung
 - Peraturan Menteri Pekerjaan Umum dan Perumahan Rakyat Nomor 26/PRT/M/2008 tentang Persyaratan Teknis Sistem Proteksi Kebakaran pada Bangunan Gedung dan Lingkungan
 - Peraturan Daerah Kabupaten Bandung Nomor 7 Tahun 2009 tentang Pencegahan dan Penanggulangan Bahaya Kebakaran
 - Peraturan Daerah Kabupaten Bandung Nomor 14 tahun 2012 tentang Perubahan Atas Peraturan Daerah Kabupaten Bandung Nomor 7 Tahun 2009 Tentang Pencegahan dan Penanggulangan Bahaya Kebakaran
 - Peraturan Bupati Bandung Nomor 13 tahun 2010 tentang Petunjuk Pelaksanaan dan Petunjuk Teknis Peraturan Daerah Kabupaten Bandung Nomor 7 Tahun 2009 tentang Pencegahan dan Penanggulangan Bahaya Kebakaran</t>
        </is>
      </c>
      <c r="F234" s="70" t="inlineStr">
        <is>
          <t>https://drive.google.com/drive/folders/1Ejl6GsPadSWWZ-gXvbwNU62zsG4t_RcK?usp=drive_link</t>
        </is>
      </c>
      <c r="G234" s="184" t="inlineStr">
        <is>
          <t>PENATAAN BANGUNAN GEDUNG</t>
        </is>
      </c>
      <c r="H234" s="184" t="inlineStr">
        <is>
          <t>Masyarakat</t>
        </is>
      </c>
      <c r="I234" s="184" t="inlineStr">
        <is>
          <t>- Data bangunan gedung yang memenuhi standar proteksi kebakaran</t>
        </is>
      </c>
      <c r="J234" s="184" t="inlineStr">
        <is>
          <t>- Data bangunan gedung yang memenuhi standar proteksi kebakaran</t>
        </is>
      </c>
      <c r="K234" s="184" t="inlineStr">
        <is>
          <t>Terbatas</t>
        </is>
      </c>
      <c r="L234" s="184" t="inlineStr">
        <is>
          <t>Terdapat</t>
        </is>
      </c>
      <c r="M234" s="184" t="inlineStr">
        <is>
          <t>Tahunan</t>
        </is>
      </c>
      <c r="N234" s="97" t="inlineStr">
        <is>
          <t>Form manual</t>
        </is>
      </c>
      <c r="O234" s="184" t="inlineStr">
        <is>
          <t>OPD</t>
        </is>
      </c>
      <c r="P234" s="184" t="inlineStr">
        <is>
          <t>Kab. Bandung</t>
        </is>
      </c>
      <c r="Q234" s="184" t="inlineStr">
        <is>
          <t>Desktop</t>
        </is>
      </c>
      <c r="R234" s="178" t="inlineStr">
        <is>
          <t>tidak ada</t>
        </is>
      </c>
      <c r="S234" s="184" t="inlineStr">
        <is>
          <t>Secara Offline</t>
        </is>
      </c>
      <c r="T234" s="184" t="inlineStr">
        <is>
          <t>Informasi</t>
        </is>
      </c>
      <c r="U234" s="98" t="n">
        <v>2017</v>
      </c>
      <c r="V234" s="184" t="inlineStr">
        <is>
          <t>Non Aktif</t>
        </is>
      </c>
      <c r="W234" s="184" t="inlineStr">
        <is>
          <t>Tidak</t>
        </is>
      </c>
      <c r="X234" s="184" t="inlineStr">
        <is>
          <t>Tidak Terintegrasi</t>
        </is>
      </c>
      <c r="Y234" s="184" t="inlineStr">
        <is>
          <t>Tidak Terintegrasi</t>
        </is>
      </c>
      <c r="Z234" s="184" t="inlineStr">
        <is>
          <t>Tidak Terintegrasi</t>
        </is>
      </c>
      <c r="AA234" s="184" t="inlineStr">
        <is>
          <t>Bidang Pencegahan pada Disdamkar Kab. Bandung</t>
        </is>
      </c>
      <c r="AB234" s="184" t="inlineStr">
        <is>
          <t>Disdamkar</t>
        </is>
      </c>
      <c r="AC234" s="178" t="inlineStr">
        <is>
          <t>1. Ekki Malik Ibrahim, S.T.
 2. Rifqi Faza Maulana, S.Ars.</t>
        </is>
      </c>
      <c r="AD234" s="178" t="inlineStr">
        <is>
          <t>081320090620
 082120207124</t>
        </is>
      </c>
      <c r="AE234" s="178" t="inlineStr">
        <is>
          <t>-</t>
        </is>
      </c>
      <c r="AF234" s="288" t="n"/>
      <c r="AG234" s="68" t="inlineStr">
        <is>
          <t>Setiap Saat</t>
        </is>
      </c>
      <c r="AH234" s="284" t="n"/>
      <c r="AI234" s="284" t="n"/>
      <c r="AJ234" s="284" t="n"/>
      <c r="AK234" s="284" t="n"/>
      <c r="AL234" s="284" t="n"/>
      <c r="AM234" s="284" t="n"/>
      <c r="AN234" s="284" t="n"/>
      <c r="AO234" s="284" t="n"/>
      <c r="AP234" s="284" t="n"/>
      <c r="AQ234" s="284" t="n"/>
      <c r="AR234" s="284" t="n"/>
      <c r="AS234" s="284" t="n"/>
    </row>
    <row r="235">
      <c r="A235" s="182" t="n">
        <v>8</v>
      </c>
      <c r="B235" s="178" t="inlineStr">
        <is>
          <t>Investigasi pasca Kebakaran</t>
        </is>
      </c>
      <c r="C235" t="inlineStr">
        <is>
          <t>DISDAMKAR</t>
        </is>
      </c>
      <c r="D235" s="178" t="inlineStr">
        <is>
          <t>Merupakan layanan investigasi pada kejadian pasca kebakaran</t>
        </is>
      </c>
      <c r="E235" s="178" t="inlineStr">
        <is>
          <t>Permendagri 114/2028 tentang Standar Teknis Pelayanan Dasar pada Standar Pelayanan Minimal Sub Urusan Kebakaran Daerah Kabupaten/Kota</t>
        </is>
      </c>
      <c r="F235" s="70" t="inlineStr">
        <is>
          <t>https://drive.google.com/drive/folders/1Ejl6GsPadSWWZ-gXvbwNU62zsG4t_RcK?usp=drive_link</t>
        </is>
      </c>
      <c r="G235" s="184" t="inlineStr">
        <is>
          <t>PEMELIHARAAN KEAMANAN DAN KETERTIBAN MASYARAKAT</t>
        </is>
      </c>
      <c r="H235" s="184" t="inlineStr">
        <is>
          <t>Masyarakat</t>
        </is>
      </c>
      <c r="I235" s="184" t="inlineStr">
        <is>
          <t>Lokasi kejadian, Objek terbakar, Nama, No.HP, Dokumentasi kejadian, NIK, Dugaan penyebab kebakaran, taksiran aset selamat dan terbakar</t>
        </is>
      </c>
      <c r="J235" s="178" t="inlineStr">
        <is>
          <t>Laporan hasil investigasi</t>
        </is>
      </c>
      <c r="K235" s="184" t="inlineStr">
        <is>
          <t>Terbatas</t>
        </is>
      </c>
      <c r="L235" s="184" t="inlineStr">
        <is>
          <t>Terdapat</t>
        </is>
      </c>
      <c r="M235" s="184" t="inlineStr">
        <is>
          <t>Bulanan</t>
        </is>
      </c>
      <c r="N235" s="97" t="inlineStr">
        <is>
          <t>Fom manual</t>
        </is>
      </c>
      <c r="O235" s="184" t="inlineStr">
        <is>
          <t>OPD</t>
        </is>
      </c>
      <c r="P235" s="184" t="inlineStr">
        <is>
          <t>Kab. Bandung</t>
        </is>
      </c>
      <c r="Q235" s="184" t="inlineStr">
        <is>
          <t>Desktop</t>
        </is>
      </c>
      <c r="R235" s="178" t="inlineStr">
        <is>
          <t>tidak ada</t>
        </is>
      </c>
      <c r="S235" s="184" t="inlineStr">
        <is>
          <t>Secara Offline</t>
        </is>
      </c>
      <c r="T235" s="184" t="inlineStr">
        <is>
          <t>Informasi</t>
        </is>
      </c>
      <c r="U235" s="98" t="n">
        <v>2021</v>
      </c>
      <c r="V235" s="184" t="inlineStr">
        <is>
          <t>Non Aktif</t>
        </is>
      </c>
      <c r="W235" s="184" t="inlineStr">
        <is>
          <t>Tidak</t>
        </is>
      </c>
      <c r="X235" s="184" t="inlineStr">
        <is>
          <t>Tidak Terintegrasi</t>
        </is>
      </c>
      <c r="Y235" s="184" t="inlineStr">
        <is>
          <t>Tidak Terintegrasi</t>
        </is>
      </c>
      <c r="Z235" s="184" t="inlineStr">
        <is>
          <t>Tidak Terintegrasi</t>
        </is>
      </c>
      <c r="AA235" s="184" t="inlineStr">
        <is>
          <t>Bidang Pemadaman</t>
        </is>
      </c>
      <c r="AB235" s="184" t="inlineStr">
        <is>
          <t>Disdamkar</t>
        </is>
      </c>
      <c r="AC235" s="178" t="inlineStr">
        <is>
          <t>Rizki Nauval Mujahid</t>
        </is>
      </c>
      <c r="AD235" s="178" t="inlineStr">
        <is>
          <t>0896-5632-7735</t>
        </is>
      </c>
      <c r="AE235" s="178" t="inlineStr">
        <is>
          <t>-</t>
        </is>
      </c>
      <c r="AF235" s="288" t="n"/>
      <c r="AG235" s="68" t="inlineStr">
        <is>
          <t>Insidentil</t>
        </is>
      </c>
      <c r="AH235" s="284" t="n"/>
      <c r="AI235" s="284" t="n"/>
      <c r="AJ235" s="284" t="n"/>
      <c r="AK235" s="284" t="n"/>
      <c r="AL235" s="284" t="n"/>
      <c r="AM235" s="284" t="n"/>
      <c r="AN235" s="284" t="n"/>
      <c r="AO235" s="284" t="n"/>
      <c r="AP235" s="284" t="n"/>
      <c r="AQ235" s="284" t="n"/>
      <c r="AR235" s="284" t="n"/>
      <c r="AS235" s="284" t="n"/>
    </row>
    <row r="236">
      <c r="A236" s="182" t="n">
        <v>9</v>
      </c>
      <c r="B236" s="178" t="inlineStr">
        <is>
          <t>Permohonan Informasi Publik Secara Offline</t>
        </is>
      </c>
      <c r="C236" t="inlineStr">
        <is>
          <t>DISDAMKAR</t>
        </is>
      </c>
      <c r="D236" s="178" t="inlineStr">
        <is>
          <t>Layanan Permohonan Informasi Publik melalui Tatap Muka Langsung / hadir ke lokasi</t>
        </is>
      </c>
      <c r="E236" s="178" t="inlineStr">
        <is>
          <t>Kepbup nomor 487/Kep.196-Humas/2016 tentang Pengesahan SOP Keterbukaan Informasi Publik di Lingkungan Pemerintah Kabupaten Bandung</t>
        </is>
      </c>
      <c r="F236" s="178" t="inlineStr">
        <is>
          <t>-</t>
        </is>
      </c>
      <c r="G236" s="184" t="inlineStr">
        <is>
          <t>INFORMASI DAN DIPLOMASI PUBLIK</t>
        </is>
      </c>
      <c r="H236" s="184" t="inlineStr">
        <is>
          <t>Masyarakat</t>
        </is>
      </c>
      <c r="I236" s="184" t="inlineStr">
        <is>
          <t>Form Permohonan Informasi Publik</t>
        </is>
      </c>
      <c r="J236" s="178" t="inlineStr">
        <is>
          <t>Informasi Publi sesuai Permohonan</t>
        </is>
      </c>
      <c r="K236" s="184" t="inlineStr">
        <is>
          <t>Terbuka</t>
        </is>
      </c>
      <c r="L236" s="184" t="inlineStr">
        <is>
          <t>Tidak terdapat</t>
        </is>
      </c>
      <c r="M236" s="184" t="inlineStr">
        <is>
          <t>Tahunan</t>
        </is>
      </c>
      <c r="N236" s="97" t="inlineStr">
        <is>
          <t>Tidak ada</t>
        </is>
      </c>
      <c r="O236" s="184" t="inlineStr">
        <is>
          <t>Diskominfo</t>
        </is>
      </c>
      <c r="P236" s="184" t="inlineStr">
        <is>
          <t>Kab. Bandung</t>
        </is>
      </c>
      <c r="Q236" s="184" t="inlineStr">
        <is>
          <t>Website</t>
        </is>
      </c>
      <c r="R236" s="178" t="inlineStr">
        <is>
          <t>tidak ada</t>
        </is>
      </c>
      <c r="S236" s="184" t="inlineStr">
        <is>
          <t>Secara Offline</t>
        </is>
      </c>
      <c r="T236" s="184" t="inlineStr">
        <is>
          <t>Informasi</t>
        </is>
      </c>
      <c r="U236" s="98" t="n">
        <v>2021</v>
      </c>
      <c r="V236" s="184" t="inlineStr">
        <is>
          <t>Non Aktif</t>
        </is>
      </c>
      <c r="W236" s="184" t="inlineStr">
        <is>
          <t>Tidak</t>
        </is>
      </c>
      <c r="X236" s="184" t="inlineStr">
        <is>
          <t>Tidak Terintegrasi</t>
        </is>
      </c>
      <c r="Y236" s="184" t="inlineStr">
        <is>
          <t>Tidak Terintegrasi</t>
        </is>
      </c>
      <c r="Z236" s="184" t="inlineStr">
        <is>
          <t>Tidak Terintegrasi</t>
        </is>
      </c>
      <c r="AA236" s="184" t="inlineStr">
        <is>
          <t>Sekretariat - Umum dan Kepegawaian</t>
        </is>
      </c>
      <c r="AB236" s="184" t="inlineStr">
        <is>
          <t>Disdamkar</t>
        </is>
      </c>
      <c r="AC236" s="178" t="inlineStr">
        <is>
          <t>Muhammad Heda Nurhidayatulloh</t>
        </is>
      </c>
      <c r="AD236" s="178" t="inlineStr">
        <is>
          <t>0822-1918-5277</t>
        </is>
      </c>
      <c r="AE236" s="178" t="inlineStr">
        <is>
          <t>-</t>
        </is>
      </c>
      <c r="AF236" s="288" t="n"/>
      <c r="AG236" s="68" t="inlineStr">
        <is>
          <t>Setiap Saat</t>
        </is>
      </c>
      <c r="AH236" s="284" t="n"/>
      <c r="AI236" s="284" t="n"/>
      <c r="AJ236" s="284" t="n"/>
      <c r="AK236" s="284" t="n"/>
      <c r="AL236" s="284" t="n"/>
      <c r="AM236" s="284" t="n"/>
      <c r="AN236" s="284" t="n"/>
      <c r="AO236" s="284" t="n"/>
      <c r="AP236" s="284" t="n"/>
      <c r="AQ236" s="284" t="n"/>
      <c r="AR236" s="284" t="n"/>
      <c r="AS236" s="284" t="n"/>
    </row>
    <row r="237">
      <c r="A237" s="182" t="n">
        <v>10</v>
      </c>
      <c r="B237" s="178" t="inlineStr">
        <is>
          <t>Permohonan Informasi Publik Secara Online</t>
        </is>
      </c>
      <c r="C237" t="inlineStr">
        <is>
          <t>DISDAMKAR</t>
        </is>
      </c>
      <c r="D237" s="178" t="inlineStr">
        <is>
          <t>Layanan Permohonan Informasi Publik melalui Aplikasi PPID</t>
        </is>
      </c>
      <c r="E237" s="178" t="inlineStr">
        <is>
          <t>Kepbup nomor 487/Kep.196-Humas/2016 tentang Pengesahan SOP Keterbukaan Informasi Publik di Lingkungan Pemerintah Kabupaten Bandung</t>
        </is>
      </c>
      <c r="F237" s="178" t="inlineStr">
        <is>
          <t>-</t>
        </is>
      </c>
      <c r="G237" s="184" t="inlineStr">
        <is>
          <t>INFORMASI DAN DIPLOMASI PUBLIK</t>
        </is>
      </c>
      <c r="H237" s="184" t="inlineStr">
        <is>
          <t>Masyarakat</t>
        </is>
      </c>
      <c r="I237" s="184" t="inlineStr">
        <is>
          <t>Permohonan Informasi Publik</t>
        </is>
      </c>
      <c r="J237" s="178" t="inlineStr">
        <is>
          <t>Informasi Publi sesuai Permohonan</t>
        </is>
      </c>
      <c r="K237" s="184" t="inlineStr">
        <is>
          <t>Terbuka</t>
        </is>
      </c>
      <c r="L237" s="184" t="inlineStr">
        <is>
          <t>Tidak terdapat</t>
        </is>
      </c>
      <c r="M237" s="184" t="inlineStr">
        <is>
          <t>Tahunan</t>
        </is>
      </c>
      <c r="N237" s="144" t="inlineStr">
        <is>
          <t>PPID</t>
        </is>
      </c>
      <c r="O237" s="184" t="inlineStr">
        <is>
          <t>Diskominfo</t>
        </is>
      </c>
      <c r="P237" s="184" t="inlineStr">
        <is>
          <t>Kab. Bandung</t>
        </is>
      </c>
      <c r="Q237" s="184" t="inlineStr">
        <is>
          <t>Mobile</t>
        </is>
      </c>
      <c r="R237" s="70" t="inlineStr">
        <is>
          <t>ppid.bandungkab.go.id</t>
        </is>
      </c>
      <c r="S237" s="184" t="inlineStr">
        <is>
          <t>Secara Online</t>
        </is>
      </c>
      <c r="T237" s="184" t="inlineStr">
        <is>
          <t>Informasi</t>
        </is>
      </c>
      <c r="U237" s="98" t="n">
        <v>2021</v>
      </c>
      <c r="V237" s="184" t="inlineStr">
        <is>
          <t>Aktif</t>
        </is>
      </c>
      <c r="W237" s="184" t="inlineStr">
        <is>
          <t>Tidak</t>
        </is>
      </c>
      <c r="X237" s="184" t="inlineStr">
        <is>
          <t>Tidak Terintegrasi</t>
        </is>
      </c>
      <c r="Y237" s="184" t="inlineStr">
        <is>
          <t>Tidak Terintegrasi</t>
        </is>
      </c>
      <c r="Z237" s="184" t="inlineStr">
        <is>
          <t>Tidak Terintegrasi</t>
        </is>
      </c>
      <c r="AA237" s="184" t="inlineStr">
        <is>
          <t>Sekretariat - Umum dan Kepegawaian</t>
        </is>
      </c>
      <c r="AB237" s="184" t="inlineStr">
        <is>
          <t>Disdamkar</t>
        </is>
      </c>
      <c r="AC237" s="178" t="inlineStr">
        <is>
          <t>Muhammad Heda Nurhidayatulloh</t>
        </is>
      </c>
      <c r="AD237" s="178" t="inlineStr">
        <is>
          <t>0822-1918-5277</t>
        </is>
      </c>
      <c r="AE237" s="178" t="inlineStr">
        <is>
          <t>-</t>
        </is>
      </c>
      <c r="AF237" s="288" t="n"/>
      <c r="AG237" s="68" t="inlineStr">
        <is>
          <t>Setiap Saat</t>
        </is>
      </c>
      <c r="AH237" s="284" t="n"/>
      <c r="AI237" s="284" t="n"/>
      <c r="AJ237" s="284" t="n"/>
      <c r="AK237" s="284" t="n"/>
      <c r="AL237" s="284" t="n"/>
      <c r="AM237" s="284" t="n"/>
      <c r="AN237" s="284" t="n"/>
      <c r="AO237" s="284" t="n"/>
      <c r="AP237" s="284" t="n"/>
      <c r="AQ237" s="284" t="n"/>
      <c r="AR237" s="284" t="n"/>
      <c r="AS237" s="284" t="n"/>
    </row>
    <row r="238">
      <c r="A238" s="182" t="e">
        <v>#REF!</v>
      </c>
      <c r="B238" s="178" t="inlineStr">
        <is>
          <t>Dukungan Pemberdayaan Masyarakat / Relawan Pemadam Kebakaran Melalui Penyediaan Sarana dan Prasarana</t>
        </is>
      </c>
      <c r="C238" t="inlineStr">
        <is>
          <t>DISDAMKAR</t>
        </is>
      </c>
      <c r="D238" s="178" t="inlineStr">
        <is>
          <t>Meminimalisir dampak kejadian kebakaran berupa korban jiwa dan harta benda,dengan tujuan tercapainya kelancaran pelaksanaan kegiatan</t>
        </is>
      </c>
      <c r="E238" s="178" t="inlineStr">
        <is>
          <t>Peraturan Bupati Bandung Nomor 13 Tahun 2010 Tentang Petunjuk Pelaksanaan dan Petunjuk Teknis Peraturan Daerah Kabupaten Bandung Nomor 7 Tahun 2009 Tentang Penanggulangan dan Pencegahan Kebakaran.</t>
        </is>
      </c>
      <c r="F238" s="70" t="inlineStr">
        <is>
          <t>https://drive.google.com/drive/folders/1Ejl6GsPadSWWZ-gXvbwNU62zsG4t_RcK?usp=drive_link</t>
        </is>
      </c>
      <c r="G238" s="184" t="inlineStr">
        <is>
          <t>PEMBERDAYAAN DAN PERAN MASYARAKAT</t>
        </is>
      </c>
      <c r="H238" s="184" t="inlineStr">
        <is>
          <t>Masyarakat</t>
        </is>
      </c>
      <c r="I238" s="184" t="inlineStr">
        <is>
          <t>Proposal usulan, SK Desa yang mendapatkan dukungan sarpras</t>
        </is>
      </c>
      <c r="J238" s="178" t="inlineStr">
        <is>
          <t>Laporan hasil kegiatan dukungan sarpas</t>
        </is>
      </c>
      <c r="K238" s="184" t="inlineStr">
        <is>
          <t>Terbatas</t>
        </is>
      </c>
      <c r="L238" s="184" t="inlineStr">
        <is>
          <t>Tidak terdapat</t>
        </is>
      </c>
      <c r="M238" s="184" t="inlineStr">
        <is>
          <t>Tahunan</t>
        </is>
      </c>
      <c r="N238" s="97" t="inlineStr">
        <is>
          <t>Form manual</t>
        </is>
      </c>
      <c r="O238" s="184" t="inlineStr">
        <is>
          <t>OPD</t>
        </is>
      </c>
      <c r="P238" s="184" t="inlineStr">
        <is>
          <t>Kab. Bandung</t>
        </is>
      </c>
      <c r="Q238" s="184" t="inlineStr">
        <is>
          <t>Desktop</t>
        </is>
      </c>
      <c r="R238" s="178" t="inlineStr">
        <is>
          <t>tidak ada</t>
        </is>
      </c>
      <c r="S238" s="184" t="inlineStr">
        <is>
          <t>Secara Offline</t>
        </is>
      </c>
      <c r="T238" s="184" t="inlineStr">
        <is>
          <t>Transaksi</t>
        </is>
      </c>
      <c r="U238" s="98" t="n">
        <v>2021</v>
      </c>
      <c r="V238" s="184" t="inlineStr">
        <is>
          <t>Non Aktif</t>
        </is>
      </c>
      <c r="W238" s="184" t="inlineStr">
        <is>
          <t>Tidak</t>
        </is>
      </c>
      <c r="X238" s="184" t="inlineStr">
        <is>
          <t>Tidak Terintegrasi</t>
        </is>
      </c>
      <c r="Y238" s="184" t="inlineStr">
        <is>
          <t>Tidak Terintegrasi</t>
        </is>
      </c>
      <c r="Z238" s="184" t="inlineStr">
        <is>
          <t>Tidak Terintegrasi</t>
        </is>
      </c>
      <c r="AA238" s="184" t="inlineStr">
        <is>
          <t>Bidang Pencegahan Kebakaran</t>
        </is>
      </c>
      <c r="AB238" s="184" t="inlineStr">
        <is>
          <t>Disdamkar</t>
        </is>
      </c>
      <c r="AC238" s="178" t="inlineStr">
        <is>
          <t>Salsabila Yasmine</t>
        </is>
      </c>
      <c r="AD238" s="178" t="inlineStr">
        <is>
          <t>0822-1342-3494</t>
        </is>
      </c>
      <c r="AE238" s="178" t="inlineStr">
        <is>
          <t>-</t>
        </is>
      </c>
      <c r="AF238" s="288" t="n"/>
      <c r="AG238" s="68" t="inlineStr">
        <is>
          <t>Tahunan</t>
        </is>
      </c>
      <c r="AH238" s="284" t="n"/>
      <c r="AI238" s="284" t="n"/>
      <c r="AJ238" s="284" t="n"/>
      <c r="AK238" s="284" t="n"/>
      <c r="AL238" s="284" t="n"/>
      <c r="AM238" s="284" t="n"/>
      <c r="AN238" s="284" t="n"/>
      <c r="AO238" s="284" t="n"/>
      <c r="AP238" s="284" t="n"/>
      <c r="AQ238" s="284" t="n"/>
      <c r="AR238" s="284" t="n"/>
      <c r="AS238" s="284" t="n"/>
    </row>
    <row r="239">
      <c r="A239" s="182" t="n">
        <v>13</v>
      </c>
      <c r="B239" s="178" t="inlineStr">
        <is>
          <t>Pencatatan Surat Masuk dan Keluar</t>
        </is>
      </c>
      <c r="C239" t="inlineStr">
        <is>
          <t>DISDAMKAR</t>
        </is>
      </c>
      <c r="D239" s="178" t="inlineStr">
        <is>
          <t>Untuk Pencatatan Surat Masuk, Surat Keluar, Agenda Kegiatan serta Pencatatan Legalisir Salinan Dokumen</t>
        </is>
      </c>
      <c r="E239" s="178" t="inlineStr">
        <is>
          <t>Peraturan Arsip Nasional Republik Indonesia nomor 9 Tahun 2018 tentang Pedoman Pemeliharaan Arsip Dinamis</t>
        </is>
      </c>
      <c r="F239" s="288" t="n"/>
      <c r="G239" s="184" t="inlineStr">
        <is>
          <t>PENGELOLAAN INFORMASI PUBLIK</t>
        </is>
      </c>
      <c r="H239" s="184" t="inlineStr">
        <is>
          <t>Pegawai</t>
        </is>
      </c>
      <c r="I239" s="184" t="inlineStr">
        <is>
          <t>Data Surat Masuk, Pengirim Surat</t>
        </is>
      </c>
      <c r="J239" s="178" t="inlineStr">
        <is>
          <t>Data Pengelolaan Kearsipan Surat Masuk dan Keluar, Agenda Kegiatan, Rekap Legalisir Salinan Dokumen</t>
        </is>
      </c>
      <c r="K239" s="184" t="inlineStr">
        <is>
          <t>Terbatas</t>
        </is>
      </c>
      <c r="L239" s="184" t="inlineStr">
        <is>
          <t>Terdapat</t>
        </is>
      </c>
      <c r="M239" s="184" t="inlineStr">
        <is>
          <t>Bulanan</t>
        </is>
      </c>
      <c r="N239" s="97" t="inlineStr">
        <is>
          <t>Google form</t>
        </is>
      </c>
      <c r="O239" s="184" t="inlineStr">
        <is>
          <t>OPD</t>
        </is>
      </c>
      <c r="P239" s="184" t="inlineStr">
        <is>
          <t>Kab. Bandung</t>
        </is>
      </c>
      <c r="Q239" s="184" t="inlineStr">
        <is>
          <t>Website</t>
        </is>
      </c>
      <c r="R239" s="178" t="inlineStr">
        <is>
          <t>tidak ada</t>
        </is>
      </c>
      <c r="S239" s="184" t="inlineStr">
        <is>
          <t>Secara Online</t>
        </is>
      </c>
      <c r="T239" s="184" t="inlineStr">
        <is>
          <t>Transaksi</t>
        </is>
      </c>
      <c r="U239" s="98" t="n">
        <v>2024</v>
      </c>
      <c r="V239" s="184" t="inlineStr">
        <is>
          <t>Aktif</t>
        </is>
      </c>
      <c r="W239" s="184" t="inlineStr">
        <is>
          <t>Tidak</t>
        </is>
      </c>
      <c r="X239" s="184" t="inlineStr">
        <is>
          <t>Tidak Terintegrasi</t>
        </is>
      </c>
      <c r="Y239" s="184" t="inlineStr">
        <is>
          <t>Tidak Terintegrasi</t>
        </is>
      </c>
      <c r="Z239" s="184" t="inlineStr">
        <is>
          <t>Tidak Terintegrasi</t>
        </is>
      </c>
      <c r="AA239" s="184" t="inlineStr">
        <is>
          <t>Sekretariat - Umum dan Kepegawaian</t>
        </is>
      </c>
      <c r="AB239" s="184" t="inlineStr">
        <is>
          <t>Disdamkar</t>
        </is>
      </c>
      <c r="AC239" s="178" t="inlineStr">
        <is>
          <t>Muhammad Heda Nurhidayatulloh</t>
        </is>
      </c>
      <c r="AD239" s="178" t="inlineStr">
        <is>
          <t>0822-1918-5277</t>
        </is>
      </c>
      <c r="AE239" s="178" t="inlineStr">
        <is>
          <t>disdamkar@bandungkab.go.id</t>
        </is>
      </c>
      <c r="AF239" s="288" t="n"/>
      <c r="AG239" s="68" t="inlineStr">
        <is>
          <t>Harian</t>
        </is>
      </c>
      <c r="AH239" s="284" t="n"/>
      <c r="AI239" s="284" t="n"/>
      <c r="AJ239" s="284" t="n"/>
      <c r="AK239" s="284" t="n"/>
      <c r="AL239" s="284" t="n"/>
      <c r="AM239" s="284" t="n"/>
      <c r="AN239" s="284" t="n"/>
      <c r="AO239" s="284" t="n"/>
      <c r="AP239" s="284" t="n"/>
      <c r="AQ239" s="284" t="n"/>
      <c r="AR239" s="284" t="n"/>
      <c r="AS239" s="284" t="n"/>
    </row>
    <row r="240">
      <c r="A240" s="71" t="inlineStr">
        <is>
          <t>DISPAREKRAF</t>
        </is>
      </c>
      <c r="B240" s="58" t="n"/>
      <c r="D240" s="58" t="n"/>
      <c r="E240" s="58" t="n"/>
      <c r="F240" s="58" t="n"/>
      <c r="G240" s="58" t="n"/>
      <c r="H240" s="58" t="n"/>
      <c r="I240" s="58" t="n"/>
      <c r="J240" s="58" t="n"/>
      <c r="K240" s="58" t="n"/>
      <c r="L240" s="58" t="n"/>
      <c r="M240" s="58" t="n"/>
      <c r="N240" s="58" t="n"/>
      <c r="O240" s="58" t="n"/>
      <c r="P240" s="58" t="n"/>
      <c r="Q240" s="58" t="n"/>
      <c r="R240" s="58" t="n"/>
      <c r="S240" s="58" t="n"/>
      <c r="T240" s="58" t="n"/>
      <c r="U240" s="58" t="n"/>
      <c r="V240" s="58" t="n"/>
      <c r="W240" s="58" t="n"/>
      <c r="X240" s="58" t="n"/>
      <c r="Y240" s="58" t="n"/>
      <c r="Z240" s="58" t="n"/>
      <c r="AA240" s="58" t="n"/>
      <c r="AB240" s="58" t="n"/>
      <c r="AC240" s="58" t="n"/>
      <c r="AD240" s="58" t="n"/>
      <c r="AE240" s="58" t="n"/>
      <c r="AF240" s="200" t="n"/>
      <c r="AG240" s="200" t="n"/>
      <c r="AH240" s="284" t="n"/>
      <c r="AI240" s="284" t="n"/>
      <c r="AJ240" s="284" t="n"/>
      <c r="AK240" s="284" t="n"/>
      <c r="AL240" s="284" t="n"/>
      <c r="AM240" s="284" t="n"/>
      <c r="AN240" s="284" t="n"/>
      <c r="AO240" s="284" t="n"/>
      <c r="AP240" s="284" t="n"/>
      <c r="AQ240" s="284" t="n"/>
      <c r="AR240" s="284" t="n"/>
      <c r="AS240" s="284" t="n"/>
    </row>
    <row r="241">
      <c r="A241" s="182" t="n">
        <v>4</v>
      </c>
      <c r="B241" s="178" t="inlineStr">
        <is>
          <t>Layanan Pendataan Kunjungan Wisatawan</t>
        </is>
      </c>
      <c r="C241" t="inlineStr">
        <is>
          <t>DISPAREKRAF</t>
        </is>
      </c>
      <c r="D241" s="178" t="inlineStr">
        <is>
          <t>- Menyediakan data mengenai jumlah kunjungan wisatawan, profil usaha pariwisata, dan grafik kunjungan wisatawan (domestik maupun mancanegara).
 - Mendukung perencanaan dan kebijakan pembangunan pariwisata daerah.
 - Memantau perkembangan tren pariwisata secara berkala untuk melihat pertumbuhan sektor pariwisata.
 - Mendorong promosi dan investasi dengan data yang dapat dijadikan dasar analisis potensi pasar wisata.
 - Alat monitoring dan evaluasi dalam pelaksanaan program dan kegiatan kepariwisataan.</t>
        </is>
      </c>
      <c r="E241" s="178" t="inlineStr">
        <is>
          <t>Undang-Undang Nomor 10 Tahun 2009 tentang Kepariwisataan, terkait :
 - Pasal 14 huruf g: Pemerintah dan pemerintah daerah berkewajiban menyediakan data dan informasi kepariwisataan secara lengkap, akurat, dan terkini.
 - Pasal 30: Setiap usaha pariwisata wajib menyampaikan data dan informasi yang benar kepada pemerintah/pemerintah daerah.
 Peraturan Bupati No 82 Tahun 2019, tentang Tatakelola Satu Data Daerah</t>
        </is>
      </c>
      <c r="F241" s="70" t="inlineStr">
        <is>
          <t>https://drive.google.com/drive/u/1/folders/1OmZJCQ07S-vIbWQDO6jSHpZyJaE2oGJM</t>
        </is>
      </c>
      <c r="G241" s="184" t="inlineStr">
        <is>
          <t>PENGELOLAAN DATA STATISTIK</t>
        </is>
      </c>
      <c r="H241" s="184" t="inlineStr">
        <is>
          <t>Pelaku Bisnis</t>
        </is>
      </c>
      <c r="I241" s="184" t="inlineStr">
        <is>
          <t>- Data Pengunjung/wisatawan domestik maupun mancanegara
 - Data usaha Pariwisata (Daya Tarik Wisata, Akomodasi, Makan dan Minum, Rekreasi dan Hiburan serta Wisata Tirta.)
 - Informasi Destinasi Wisata (tiket masuk, jam operasional dll.)</t>
        </is>
      </c>
      <c r="J241" s="178" t="inlineStr">
        <is>
          <t>Data tren kunjungan wisatawan dan media promosi usaha wisata</t>
        </is>
      </c>
      <c r="K241" s="184" t="inlineStr">
        <is>
          <t>Terbatas</t>
        </is>
      </c>
      <c r="L241" s="184" t="inlineStr">
        <is>
          <t>Terdapat</t>
        </is>
      </c>
      <c r="M241" s="184" t="inlineStr">
        <is>
          <t>Lainnya</t>
        </is>
      </c>
      <c r="N241" s="97" t="inlineStr">
        <is>
          <t>SIM BARRAYA</t>
        </is>
      </c>
      <c r="O241" s="184" t="inlineStr">
        <is>
          <t>OPD</t>
        </is>
      </c>
      <c r="P241" s="184" t="inlineStr">
        <is>
          <t>Kab. Bandung</t>
        </is>
      </c>
      <c r="Q241" s="184" t="inlineStr">
        <is>
          <t>Website</t>
        </is>
      </c>
      <c r="R241" s="70" t="inlineStr">
        <is>
          <t>https://simbarraya.bandungkab.go.id/</t>
        </is>
      </c>
      <c r="S241" s="184" t="inlineStr">
        <is>
          <t>Secara Online</t>
        </is>
      </c>
      <c r="T241" s="184" t="inlineStr">
        <is>
          <t>Informasi</t>
        </is>
      </c>
      <c r="U241" s="184" t="n">
        <v>2022</v>
      </c>
      <c r="V241" s="184" t="inlineStr">
        <is>
          <t>Aktif</t>
        </is>
      </c>
      <c r="W241" s="184" t="inlineStr">
        <is>
          <t>Tidak</t>
        </is>
      </c>
      <c r="X241" s="184" t="inlineStr">
        <is>
          <t>Tidak Terintegrasi</t>
        </is>
      </c>
      <c r="Y241" s="184" t="inlineStr">
        <is>
          <t>Tidak Terintegrasi</t>
        </is>
      </c>
      <c r="Z241" s="184" t="inlineStr">
        <is>
          <t>Tidak Terintegrasi</t>
        </is>
      </c>
      <c r="AA241" s="184" t="inlineStr">
        <is>
          <t>Bidang Ekonomi Kreatif</t>
        </is>
      </c>
      <c r="AB241" s="184" t="inlineStr">
        <is>
          <t>Disparekraf</t>
        </is>
      </c>
      <c r="AC241" s="178" t="inlineStr">
        <is>
          <t>- Moch Syahril Anas, S.Kom</t>
        </is>
      </c>
      <c r="AD241" s="98" t="n">
        <v>89678500033</v>
      </c>
      <c r="AE241" s="178" t="inlineStr">
        <is>
          <t>syahrilanas09@gmail.com</t>
        </is>
      </c>
      <c r="AF241" s="288" t="n"/>
      <c r="AG241" s="288" t="n"/>
      <c r="AH241" s="216" t="inlineStr">
        <is>
          <t>pelaku usaha</t>
        </is>
      </c>
      <c r="AI241" s="284" t="n"/>
      <c r="AJ241" s="284" t="n"/>
      <c r="AK241" s="284" t="n"/>
      <c r="AL241" s="284" t="n"/>
      <c r="AM241" s="284" t="n"/>
      <c r="AN241" s="284" t="n"/>
      <c r="AO241" s="284" t="n"/>
      <c r="AP241" s="284" t="n"/>
      <c r="AQ241" s="284" t="n"/>
      <c r="AR241" s="284" t="n"/>
      <c r="AS241" s="284" t="n"/>
    </row>
    <row r="242">
      <c r="A242" s="71" t="inlineStr">
        <is>
          <t>SATPOL PP</t>
        </is>
      </c>
      <c r="B242" s="58" t="n"/>
      <c r="D242" s="58" t="n"/>
      <c r="E242" s="58" t="n"/>
      <c r="F242" s="58" t="n"/>
      <c r="G242" s="58" t="n"/>
      <c r="H242" s="58" t="n"/>
      <c r="I242" s="58" t="n"/>
      <c r="J242" s="58" t="n"/>
      <c r="K242" s="58" t="n"/>
      <c r="L242" s="58" t="n"/>
      <c r="M242" s="58" t="n"/>
      <c r="N242" s="58" t="n"/>
      <c r="O242" s="58" t="n"/>
      <c r="P242" s="58" t="n"/>
      <c r="Q242" s="58" t="n"/>
      <c r="R242" s="58" t="n"/>
      <c r="S242" s="58" t="n"/>
      <c r="T242" s="58" t="n"/>
      <c r="U242" s="58" t="n"/>
      <c r="V242" s="58" t="n"/>
      <c r="W242" s="58" t="n"/>
      <c r="X242" s="58" t="n"/>
      <c r="Y242" s="58" t="n"/>
      <c r="Z242" s="58" t="n"/>
      <c r="AA242" s="58" t="n"/>
      <c r="AB242" s="58" t="n"/>
      <c r="AC242" s="58" t="n"/>
      <c r="AD242" s="58" t="n"/>
      <c r="AE242" s="58" t="n"/>
      <c r="AF242" s="200" t="n"/>
      <c r="AG242" s="200" t="n"/>
      <c r="AH242" s="284" t="n"/>
      <c r="AI242" s="284" t="n"/>
      <c r="AJ242" s="284" t="n"/>
      <c r="AK242" s="284" t="n"/>
      <c r="AL242" s="284" t="n"/>
      <c r="AM242" s="284" t="n"/>
      <c r="AN242" s="284" t="n"/>
      <c r="AO242" s="284" t="n"/>
      <c r="AP242" s="284" t="n"/>
      <c r="AQ242" s="284" t="n"/>
      <c r="AR242" s="284" t="n"/>
      <c r="AS242" s="284" t="n"/>
    </row>
    <row r="243">
      <c r="A243" s="71" t="inlineStr">
        <is>
          <t>BAPPERIDA</t>
        </is>
      </c>
      <c r="B243" s="58" t="n"/>
      <c r="D243" s="58" t="n"/>
      <c r="E243" s="58" t="n"/>
      <c r="F243" s="58" t="n"/>
      <c r="G243" s="58" t="n"/>
      <c r="H243" s="58" t="n"/>
      <c r="I243" s="58" t="n"/>
      <c r="J243" s="58" t="n"/>
      <c r="K243" s="58" t="n"/>
      <c r="L243" s="58" t="n"/>
      <c r="M243" s="58" t="n"/>
      <c r="N243" s="58" t="n"/>
      <c r="O243" s="58" t="n"/>
      <c r="P243" s="58" t="n"/>
      <c r="Q243" s="58" t="n"/>
      <c r="R243" s="58" t="n"/>
      <c r="S243" s="58" t="n"/>
      <c r="T243" s="58" t="n"/>
      <c r="U243" s="58" t="n"/>
      <c r="V243" s="58" t="n"/>
      <c r="W243" s="58" t="n"/>
      <c r="X243" s="58" t="n"/>
      <c r="Y243" s="58" t="n"/>
      <c r="Z243" s="58" t="n"/>
      <c r="AA243" s="58" t="n"/>
      <c r="AB243" s="58" t="n"/>
      <c r="AC243" s="58" t="n"/>
      <c r="AD243" s="58" t="n"/>
      <c r="AE243" s="58" t="n"/>
      <c r="AF243" s="200" t="n"/>
      <c r="AG243" s="200" t="n"/>
      <c r="AH243" s="284" t="n"/>
      <c r="AI243" s="284" t="n"/>
      <c r="AJ243" s="284" t="n"/>
      <c r="AK243" s="284" t="n"/>
      <c r="AL243" s="284" t="n"/>
      <c r="AM243" s="284" t="n"/>
      <c r="AN243" s="284" t="n"/>
      <c r="AO243" s="284" t="n"/>
      <c r="AP243" s="284" t="n"/>
      <c r="AQ243" s="284" t="n"/>
      <c r="AR243" s="284" t="n"/>
      <c r="AS243" s="284" t="n"/>
    </row>
    <row r="244">
      <c r="A244" s="182" t="n">
        <v>1</v>
      </c>
      <c r="B244" s="178" t="inlineStr">
        <is>
          <t>Layanan Call center 112</t>
        </is>
      </c>
      <c r="C244" t="inlineStr">
        <is>
          <t>BAPPERIDA</t>
        </is>
      </c>
      <c r="D244" s="178" t="inlineStr">
        <is>
          <t>Tujuan Inovasi APIK: · Meningkatkan pengelolaan data inovasi yang tersebar di seluruh Perangkat Daerah · Meningkatkan efektivitas dan efisiensi dalam pelaporan data inovasi dari Perangkat Daerah ke Bappelitbangda · Menyediakan data inovasi untuk pelaksanaan Lomba dan atau Penghargaan Inovasi di tingkat Kabupaten Bandung</t>
        </is>
      </c>
      <c r="E244" s="178" t="inlineStr">
        <is>
          <t>Peraturan Pemerintah Nomor 38 Tahun 2017 tentang Inovasi Daerah</t>
        </is>
      </c>
      <c r="F244" s="70" t="inlineStr">
        <is>
          <t>https://drive.google.com/file/d/1U5Ce3fAIo3YOESTLI_rdag9_xK_sncgn/view?usp=sharing</t>
        </is>
      </c>
      <c r="G244" s="184" t="inlineStr">
        <is>
          <t>PENGUATAN EKOSISTEM RISET DAN INOVASI</t>
        </is>
      </c>
      <c r="H244" s="184" t="inlineStr">
        <is>
          <t>Pegawai</t>
        </is>
      </c>
      <c r="I244" s="184" t="inlineStr">
        <is>
          <t>Data Inovasi Daerah</t>
        </is>
      </c>
      <c r="J244" s="178" t="inlineStr">
        <is>
          <t>Indeks Inovasi Daerah Kabupaten Bandung</t>
        </is>
      </c>
      <c r="K244" s="184" t="inlineStr">
        <is>
          <t>Terbatas</t>
        </is>
      </c>
      <c r="L244" s="184" t="inlineStr">
        <is>
          <t>Tidak terdapat</t>
        </is>
      </c>
      <c r="M244" s="184" t="inlineStr">
        <is>
          <t>Tahunan</t>
        </is>
      </c>
      <c r="N244" s="97" t="inlineStr">
        <is>
          <t>APIK</t>
        </is>
      </c>
      <c r="O244" s="184" t="inlineStr">
        <is>
          <t>Diskominfo</t>
        </is>
      </c>
      <c r="P244" s="184" t="inlineStr">
        <is>
          <t>Kab. Bandung</t>
        </is>
      </c>
      <c r="Q244" s="184" t="inlineStr">
        <is>
          <t>Website</t>
        </is>
      </c>
      <c r="R244" s="70" t="inlineStr">
        <is>
          <t>https://apik.bandungkab.go.id/v2/apik/</t>
        </is>
      </c>
      <c r="S244" s="184" t="inlineStr">
        <is>
          <t>Secara Online</t>
        </is>
      </c>
      <c r="T244" s="184" t="inlineStr">
        <is>
          <t>Informasi</t>
        </is>
      </c>
      <c r="U244" s="98" t="n">
        <v>2019</v>
      </c>
      <c r="V244" s="184" t="inlineStr">
        <is>
          <t>Aktif</t>
        </is>
      </c>
      <c r="W244" s="184" t="inlineStr">
        <is>
          <t>Ya</t>
        </is>
      </c>
      <c r="X244" s="184" t="inlineStr">
        <is>
          <t>Terintegrasi dengan Aplikasi BDS</t>
        </is>
      </c>
      <c r="Y244" s="184" t="inlineStr">
        <is>
          <t>Web Service</t>
        </is>
      </c>
      <c r="Z244" s="184" t="inlineStr">
        <is>
          <t>Realtime</t>
        </is>
      </c>
      <c r="AA244" s="184" t="inlineStr">
        <is>
          <t>Bidang Riset dan Inovasi</t>
        </is>
      </c>
      <c r="AB244" s="184" t="inlineStr">
        <is>
          <t>Bapperida</t>
        </is>
      </c>
      <c r="AC244" s="178" t="inlineStr">
        <is>
          <t>Ajat Sudrajat</t>
        </is>
      </c>
      <c r="AD244" s="98" t="n">
        <v>8170222882</v>
      </c>
      <c r="AE244" s="178" t="inlineStr">
        <is>
          <t>jatsudrajat@gmail.com</t>
        </is>
      </c>
      <c r="AF244" s="77" t="n">
        <v>29</v>
      </c>
      <c r="AG244" s="67" t="inlineStr">
        <is>
          <t>Semesteran</t>
        </is>
      </c>
      <c r="AH244" s="216" t="inlineStr">
        <is>
          <t>OPD</t>
        </is>
      </c>
      <c r="AI244" s="284" t="n"/>
      <c r="AJ244" s="284" t="n"/>
      <c r="AK244" s="284" t="n"/>
      <c r="AL244" s="284" t="n"/>
      <c r="AM244" s="284" t="n"/>
      <c r="AN244" s="284" t="n"/>
      <c r="AO244" s="284" t="n"/>
      <c r="AP244" s="284" t="n"/>
      <c r="AQ244" s="284" t="n"/>
      <c r="AR244" s="284" t="n"/>
      <c r="AS244" s="284" t="n"/>
    </row>
    <row r="245">
      <c r="A245" s="191" t="n">
        <v>2</v>
      </c>
      <c r="B245" s="192" t="inlineStr">
        <is>
          <t>APIK V2 (Aplikasi Informasi Kelitbangan V2)</t>
        </is>
      </c>
      <c r="C245" t="inlineStr">
        <is>
          <t>BAPPERIDA</t>
        </is>
      </c>
      <c r="D245" s="193" t="inlineStr">
        <is>
          <t>Merancang dan mengelola rencana pembangunan untuk mencapai pertumbuhan ekonomi, pemerataan pembangunan, dan kesejahteraan masyarakat</t>
        </is>
      </c>
      <c r="E245" s="178" t="inlineStr">
        <is>
          <t>Peraturan Pemerintah Nomor 38 Tahun 2017 tentang Inovasi Daerah</t>
        </is>
      </c>
      <c r="F245" s="70" t="inlineStr">
        <is>
          <t>https://drive.google.com/file/d/1U5Ce3fAIo3YOESTLI_rdag9_xK_sncgn/view?usp=sharing</t>
        </is>
      </c>
      <c r="G245" s="184" t="inlineStr">
        <is>
          <t>PERENCANAAN PEMBANGUNAN</t>
        </is>
      </c>
      <c r="H245" s="184" t="inlineStr">
        <is>
          <t>Instansi Pemerintah Lainnya</t>
        </is>
      </c>
      <c r="I245" s="184" t="inlineStr">
        <is>
          <t>Data Perencanaan Pembangunan Daerah</t>
        </is>
      </c>
      <c r="J245" s="288" t="n"/>
      <c r="K245" s="184" t="inlineStr">
        <is>
          <t>Terbatas</t>
        </is>
      </c>
      <c r="L245" s="184" t="inlineStr">
        <is>
          <t>Tidak terdapat</t>
        </is>
      </c>
      <c r="M245" s="184" t="inlineStr">
        <is>
          <t>Tahunan</t>
        </is>
      </c>
      <c r="N245" s="97" t="inlineStr">
        <is>
          <t>SIPD</t>
        </is>
      </c>
      <c r="O245" s="184" t="inlineStr">
        <is>
          <t>Pusat</t>
        </is>
      </c>
      <c r="P245" s="184" t="inlineStr">
        <is>
          <t>Pusat</t>
        </is>
      </c>
      <c r="Q245" s="184" t="inlineStr">
        <is>
          <t>Website</t>
        </is>
      </c>
      <c r="R245" s="288" t="n"/>
      <c r="S245" s="184" t="inlineStr">
        <is>
          <t>Secara Online</t>
        </is>
      </c>
      <c r="T245" s="184" t="inlineStr">
        <is>
          <t>Informasi</t>
        </is>
      </c>
      <c r="U245" s="288" t="n"/>
      <c r="V245" s="184" t="inlineStr">
        <is>
          <t>Aktif</t>
        </is>
      </c>
      <c r="W245" s="184" t="inlineStr">
        <is>
          <t>Tidak</t>
        </is>
      </c>
      <c r="X245" s="288" t="n"/>
      <c r="Y245" s="184" t="inlineStr">
        <is>
          <t>Tidak Terintegrasi</t>
        </is>
      </c>
      <c r="Z245" s="184" t="inlineStr">
        <is>
          <t>Realtime</t>
        </is>
      </c>
      <c r="AA245" s="288" t="n"/>
      <c r="AB245" s="288" t="n"/>
      <c r="AC245" s="178" t="inlineStr">
        <is>
          <t>Pusdatin Kemendagri</t>
        </is>
      </c>
      <c r="AD245" s="178" t="inlineStr">
        <is>
          <t>Pusdatin Kemendagri</t>
        </is>
      </c>
      <c r="AE245" s="178" t="inlineStr">
        <is>
          <t>Pusdatin Kemendagri</t>
        </is>
      </c>
      <c r="AF245" s="77" t="n">
        <v>29</v>
      </c>
      <c r="AG245" s="67" t="inlineStr">
        <is>
          <t>Semesteran</t>
        </is>
      </c>
      <c r="AH245" s="194" t="inlineStr">
        <is>
          <t>OPD, Kec, Masrakat Umum</t>
        </is>
      </c>
      <c r="AI245" s="284" t="n"/>
      <c r="AJ245" s="284" t="n"/>
      <c r="AK245" s="284" t="n"/>
      <c r="AL245" s="284" t="n"/>
      <c r="AM245" s="284" t="n"/>
      <c r="AN245" s="284" t="n"/>
      <c r="AO245" s="284" t="n"/>
      <c r="AP245" s="284" t="n"/>
      <c r="AQ245" s="284" t="n"/>
      <c r="AR245" s="284" t="n"/>
      <c r="AS245" s="284" t="n"/>
    </row>
    <row r="246">
      <c r="A246" s="191" t="n">
        <v>3</v>
      </c>
      <c r="B246" s="193" t="inlineStr">
        <is>
          <t>Layanan Kelitbangan</t>
        </is>
      </c>
      <c r="C246" t="inlineStr">
        <is>
          <t>BAPPERIDA</t>
        </is>
      </c>
      <c r="D246" s="193" t="inlineStr">
        <is>
          <t>Memberikan informasi dan analisis kepada pemerintah daerah untuk mendukung pengambilan keputusan yang bijaksana</t>
        </is>
      </c>
      <c r="E246" s="178" t="inlineStr">
        <is>
          <t>Peraturan Pemerintah Nomor 38 Tahun 2017 tentang Inovasi Daerah</t>
        </is>
      </c>
      <c r="F246" s="70" t="inlineStr">
        <is>
          <t>https://drive.google.com/file/d/1U5Ce3fAIo3YOESTLI_rdag9_xK_sncgn/view?usp=sharing</t>
        </is>
      </c>
      <c r="G246" s="184" t="inlineStr">
        <is>
          <t>RISET DAN INOVASI</t>
        </is>
      </c>
      <c r="H246" s="184" t="inlineStr">
        <is>
          <t>Pegawai</t>
        </is>
      </c>
      <c r="I246" s="184" t="inlineStr">
        <is>
          <t>Data Inovasi Daerah</t>
        </is>
      </c>
      <c r="J246" s="178" t="inlineStr">
        <is>
          <t>Indeks Inovasi Daerah Kabupaten Bandung</t>
        </is>
      </c>
      <c r="K246" s="184" t="inlineStr">
        <is>
          <t>Terbatas</t>
        </is>
      </c>
      <c r="L246" s="184" t="inlineStr">
        <is>
          <t>Tidak terdapat</t>
        </is>
      </c>
      <c r="M246" s="184" t="inlineStr">
        <is>
          <t>Tahunan</t>
        </is>
      </c>
      <c r="N246" s="97" t="inlineStr">
        <is>
          <t>APIK</t>
        </is>
      </c>
      <c r="O246" s="184" t="inlineStr">
        <is>
          <t>Diskominfo</t>
        </is>
      </c>
      <c r="P246" s="184" t="inlineStr">
        <is>
          <t>Kab. Bandung</t>
        </is>
      </c>
      <c r="Q246" s="184" t="inlineStr">
        <is>
          <t>Website</t>
        </is>
      </c>
      <c r="R246" s="70" t="inlineStr">
        <is>
          <t>https://apik.bandungkab.go.id/apik/login</t>
        </is>
      </c>
      <c r="S246" s="184" t="inlineStr">
        <is>
          <t>Secara Online</t>
        </is>
      </c>
      <c r="T246" s="184" t="inlineStr">
        <is>
          <t>Informasi</t>
        </is>
      </c>
      <c r="U246" s="98" t="n">
        <v>2023</v>
      </c>
      <c r="V246" s="184" t="inlineStr">
        <is>
          <t>Aktif</t>
        </is>
      </c>
      <c r="W246" s="184" t="inlineStr">
        <is>
          <t>Ya</t>
        </is>
      </c>
      <c r="X246" s="184" t="inlineStr">
        <is>
          <t>Terintegrasi dengan Aplikasi BDS</t>
        </is>
      </c>
      <c r="Y246" s="184" t="inlineStr">
        <is>
          <t>Web Service</t>
        </is>
      </c>
      <c r="Z246" s="184" t="inlineStr">
        <is>
          <t>Realtime</t>
        </is>
      </c>
      <c r="AA246" s="184" t="inlineStr">
        <is>
          <t>Bidang Riset dan Inovasi</t>
        </is>
      </c>
      <c r="AB246" s="184" t="inlineStr">
        <is>
          <t>Bapperida</t>
        </is>
      </c>
      <c r="AC246" s="178" t="inlineStr">
        <is>
          <t>Ajat Sudrajat</t>
        </is>
      </c>
      <c r="AD246" s="98" t="n">
        <v>8170222882</v>
      </c>
      <c r="AE246" s="178" t="inlineStr">
        <is>
          <t>jatsudrajat@gmail.com</t>
        </is>
      </c>
      <c r="AF246" s="77" t="n">
        <v>29</v>
      </c>
      <c r="AG246" s="67" t="inlineStr">
        <is>
          <t>Semesteran</t>
        </is>
      </c>
      <c r="AH246" s="194" t="inlineStr">
        <is>
          <t>OPD, Kec, Masrakat Umum</t>
        </is>
      </c>
      <c r="AI246" s="284" t="n"/>
      <c r="AJ246" s="284" t="n"/>
      <c r="AK246" s="284" t="n"/>
      <c r="AL246" s="284" t="n"/>
      <c r="AM246" s="284" t="n"/>
      <c r="AN246" s="284" t="n"/>
      <c r="AO246" s="284" t="n"/>
      <c r="AP246" s="284" t="n"/>
      <c r="AQ246" s="284" t="n"/>
      <c r="AR246" s="284" t="n"/>
      <c r="AS246" s="284" t="n"/>
    </row>
    <row r="247">
      <c r="A247" s="191" t="n">
        <v>4</v>
      </c>
      <c r="B247" s="193" t="inlineStr">
        <is>
          <t>Layanan Monev Perencanaan</t>
        </is>
      </c>
      <c r="C247" t="inlineStr">
        <is>
          <t>BAPPERIDA</t>
        </is>
      </c>
      <c r="D247" s="193" t="inlineStr">
        <is>
          <t>Memastikan implementasi rencana pembangunan berjalan sesuai dengan yang direncanakan dan mengukur capaian hasil secara berkala</t>
        </is>
      </c>
      <c r="E247" s="178" t="inlineStr">
        <is>
          <t>Permendagri Nomor 86 Tahun 2017 tentang Tata Cara Perencanaan, Pengendalian dan Evaluasi Pembangunan Daerah, Tata Cara Evaluasi Rancangan Peraturan Daerah tentang Rancangan Peraturan Daerah Tentang Rencana Pembangunan Jangka Panjang Daerah dan Rencana Pembangunan Jangka Menengah Daerah, Serta Tata Cara Perubahan Rencana Pembangunan Jangka Panjang Daerah, Rencana Pembangunan Jangka Menengah Daerah, dan Rencana Kerja Pemerintah Daerah</t>
        </is>
      </c>
      <c r="F247" s="70" t="inlineStr">
        <is>
          <t>https://drive.google.com/file/d/1AyIKCXVfBqPx9cvvRoccmxKK7sXqNBS7/view?usp=drive_link</t>
        </is>
      </c>
      <c r="G247" s="184" t="inlineStr">
        <is>
          <t>MONITORING DAN EVALUASI ANGGARAN</t>
        </is>
      </c>
      <c r="H247" s="184" t="inlineStr">
        <is>
          <t>Pegawai</t>
        </is>
      </c>
      <c r="I247" s="184" t="inlineStr">
        <is>
          <t>Data Kinerja dan Anggaran perTriwulan</t>
        </is>
      </c>
      <c r="J247" s="178" t="inlineStr">
        <is>
          <t>Data Capaian Kinerja dan Anggaran</t>
        </is>
      </c>
      <c r="K247" s="184" t="inlineStr">
        <is>
          <t>Terbatas</t>
        </is>
      </c>
      <c r="L247" s="184" t="inlineStr">
        <is>
          <t>Tidak terdapat</t>
        </is>
      </c>
      <c r="M247" s="184" t="inlineStr">
        <is>
          <t>Lainnya</t>
        </is>
      </c>
      <c r="N247" s="97" t="inlineStr">
        <is>
          <t>SIDALMONEP</t>
        </is>
      </c>
      <c r="O247" s="184" t="inlineStr">
        <is>
          <t>Pihak Ke 3</t>
        </is>
      </c>
      <c r="P247" s="184" t="inlineStr">
        <is>
          <t>Kab. Bandung</t>
        </is>
      </c>
      <c r="Q247" s="184" t="inlineStr">
        <is>
          <t>Website</t>
        </is>
      </c>
      <c r="R247" s="70" t="inlineStr">
        <is>
          <t>sidalmonep.bandungkab.go.id</t>
        </is>
      </c>
      <c r="S247" s="184" t="inlineStr">
        <is>
          <t>Secara Online</t>
        </is>
      </c>
      <c r="T247" s="184" t="inlineStr">
        <is>
          <t>Informasi</t>
        </is>
      </c>
      <c r="U247" s="98" t="n">
        <v>2018</v>
      </c>
      <c r="V247" s="184" t="inlineStr">
        <is>
          <t>Aktif</t>
        </is>
      </c>
      <c r="W247" s="184" t="inlineStr">
        <is>
          <t>Ya</t>
        </is>
      </c>
      <c r="X247" s="184" t="inlineStr">
        <is>
          <t>Terintegrasi dengan Aplikasi BDS</t>
        </is>
      </c>
      <c r="Y247" s="184" t="inlineStr">
        <is>
          <t>Tidak Terintegrasi</t>
        </is>
      </c>
      <c r="Z247" s="184" t="inlineStr">
        <is>
          <t>Tidak Terintegrasi</t>
        </is>
      </c>
      <c r="AA247" s="184" t="inlineStr">
        <is>
          <t>Bidang PPEPD</t>
        </is>
      </c>
      <c r="AB247" s="184" t="inlineStr">
        <is>
          <t>Bapperida</t>
        </is>
      </c>
      <c r="AC247" s="178" t="inlineStr">
        <is>
          <t>Erwin Jaya Santosa, S.T</t>
        </is>
      </c>
      <c r="AD247" s="178" t="inlineStr">
        <is>
          <t>0878-2500-6421</t>
        </is>
      </c>
      <c r="AE247" s="178" t="inlineStr">
        <is>
          <t>eza.santosa@gmail.com</t>
        </is>
      </c>
      <c r="AF247" s="77" t="n">
        <v>28</v>
      </c>
      <c r="AG247" s="67" t="inlineStr">
        <is>
          <t>triwulan</t>
        </is>
      </c>
      <c r="AH247" s="216" t="inlineStr">
        <is>
          <t>OPD</t>
        </is>
      </c>
      <c r="AI247" s="284" t="n"/>
      <c r="AJ247" s="284" t="n"/>
      <c r="AK247" s="284" t="n"/>
      <c r="AL247" s="284" t="n"/>
      <c r="AM247" s="284" t="n"/>
      <c r="AN247" s="284" t="n"/>
      <c r="AO247" s="284" t="n"/>
      <c r="AP247" s="284" t="n"/>
      <c r="AQ247" s="284" t="n"/>
      <c r="AR247" s="284" t="n"/>
      <c r="AS247" s="284" t="n"/>
    </row>
    <row r="248">
      <c r="A248" s="191" t="n">
        <v>5</v>
      </c>
      <c r="B248" s="193" t="inlineStr">
        <is>
          <t>Layanan Baperida Jurnal Riset</t>
        </is>
      </c>
      <c r="C248" t="inlineStr">
        <is>
          <t>BAPPERIDA</t>
        </is>
      </c>
      <c r="D248" s="193" t="inlineStr">
        <is>
          <t>Mendorong dan mendukung penelitian serta pengembangan di berbagai sektor untuk meningkatkan inovasi dan pemahaman dalam pembangunan daerah</t>
        </is>
      </c>
      <c r="E248" s="178" t="inlineStr">
        <is>
          <t>1. Undang-undang Nomor 11 Tahun 2019 tentang Sistem Nasional Ilmu Pengetahuan dan Teknologi.
 2. Daerah Nomor 7 Tahun 2016 tentang Rencana Pembangunan Jangka Menengah Daerah Tahu n
  9. Peraturan Bupati Bandung Nomor 67 Tahun 2017 tentang Pedoman Pelaksanaan Penelitian dan
  Pengembangan di Lingkungan Pemerintah Kabupaten Bandung.</t>
        </is>
      </c>
      <c r="F248" s="70" t="inlineStr">
        <is>
          <t>https://drive.google.com/file/d/1JhS_khzdBgbJD9WfRdXNmMfYuI_ppqJR/view?usp=sharing</t>
        </is>
      </c>
      <c r="G248" s="184" t="inlineStr">
        <is>
          <t>PENGUATAN EKOSISTEM RISET DAN INOVASI</t>
        </is>
      </c>
      <c r="H248" s="184" t="inlineStr">
        <is>
          <t>Masyarakat</t>
        </is>
      </c>
      <c r="I248" s="184" t="inlineStr">
        <is>
          <t>Data Jurnal</t>
        </is>
      </c>
      <c r="J248" s="178" t="inlineStr">
        <is>
          <t>Jurnal</t>
        </is>
      </c>
      <c r="K248" s="184" t="inlineStr">
        <is>
          <t>Terbuka</t>
        </is>
      </c>
      <c r="L248" s="184" t="inlineStr">
        <is>
          <t>Tidak terdapat</t>
        </is>
      </c>
      <c r="M248" s="184" t="inlineStr">
        <is>
          <t>Bulanan</t>
        </is>
      </c>
      <c r="N248" s="97" t="inlineStr">
        <is>
          <t>BAJURI</t>
        </is>
      </c>
      <c r="O248" s="184" t="inlineStr">
        <is>
          <t>Diskominfo</t>
        </is>
      </c>
      <c r="P248" s="184" t="inlineStr">
        <is>
          <t>Kab. Bandung</t>
        </is>
      </c>
      <c r="Q248" s="184" t="inlineStr">
        <is>
          <t>Website</t>
        </is>
      </c>
      <c r="R248" s="70" t="inlineStr">
        <is>
          <t>https://bajuri.bandungkab.go.id/</t>
        </is>
      </c>
      <c r="S248" s="184" t="inlineStr">
        <is>
          <t>Secara Online</t>
        </is>
      </c>
      <c r="T248" s="184" t="inlineStr">
        <is>
          <t>Informasi</t>
        </is>
      </c>
      <c r="U248" s="98" t="n">
        <v>2024</v>
      </c>
      <c r="V248" s="184" t="inlineStr">
        <is>
          <t>Aktif</t>
        </is>
      </c>
      <c r="W248" s="184" t="inlineStr">
        <is>
          <t>Ya</t>
        </is>
      </c>
      <c r="X248" s="184" t="inlineStr">
        <is>
          <t>Terintegrasi dengan aplikasi BDS</t>
        </is>
      </c>
      <c r="Y248" s="184" t="inlineStr">
        <is>
          <t>Web Service</t>
        </is>
      </c>
      <c r="Z248" s="184" t="inlineStr">
        <is>
          <t>Realtime</t>
        </is>
      </c>
      <c r="AA248" s="184" t="inlineStr">
        <is>
          <t>Bidang Riset dan Inovasi</t>
        </is>
      </c>
      <c r="AB248" s="184" t="inlineStr">
        <is>
          <t>Bapperida</t>
        </is>
      </c>
      <c r="AC248" s="178" t="inlineStr">
        <is>
          <t>Martius</t>
        </is>
      </c>
      <c r="AD248" s="98" t="n">
        <v>82218897073</v>
      </c>
      <c r="AE248" s="178" t="inlineStr">
        <is>
          <t>martius2876@gmail.com</t>
        </is>
      </c>
      <c r="AF248" s="77" t="n">
        <v>29</v>
      </c>
      <c r="AG248" s="67" t="inlineStr">
        <is>
          <t>semesteran</t>
        </is>
      </c>
      <c r="AH248" s="216" t="inlineStr">
        <is>
          <t>OPD</t>
        </is>
      </c>
      <c r="AI248" s="284" t="n"/>
      <c r="AJ248" s="284" t="n"/>
      <c r="AK248" s="284" t="n"/>
      <c r="AL248" s="284" t="n"/>
      <c r="AM248" s="284" t="n"/>
      <c r="AN248" s="284" t="n"/>
      <c r="AO248" s="284" t="n"/>
      <c r="AP248" s="284" t="n"/>
      <c r="AQ248" s="284" t="n"/>
      <c r="AR248" s="284" t="n"/>
      <c r="AS248" s="284" t="n"/>
    </row>
    <row r="249">
      <c r="A249" s="99" t="n">
        <v>6</v>
      </c>
      <c r="B249" s="100" t="inlineStr">
        <is>
          <t>Sistem Informasi Pemetaan Desa demi Desa
 Terintegrasi dan Terpadu Berbasis Digital Menuju Kabupaten Bandung Lengkap, yang
 merupakan rencana aplikasi berbasis web</t>
        </is>
      </c>
      <c r="C249" t="inlineStr">
        <is>
          <t>BAPPERIDA</t>
        </is>
      </c>
      <c r="D249" s="100" t="inlineStr">
        <is>
          <t>Sistem Informasi Pemetaan Desa demi Desa
 Terintegrasi dan Terpadu Berbasis Digital Menuju Kabupaten Bandung Lengkap, yang
 merupakan rencana aplikasi berbasis web yang bertujuan mewujudkan tertib
 administrasi pertanahan Kabupaten Bandung dan memuat antara lain:
 •Forum Satu Data (Berbagi data Lokasi Kemiskinan, Strategis Pembangunan, Pendapatan,
 Kebencanaan, dll);
 •Kerjasama Pemetaan dan Sertifikasi Bidang Tanah Tingkat Desa;
 •Kerjasama Pembinaan Hukum Pertanahan;</t>
        </is>
      </c>
      <c r="E249" s="100" t="inlineStr">
        <is>
          <t>Undang-Undang Nomor 26 Tahun 2007 tentang Penataan Ruang;
 Undang-Undang Nomor 4 Tahun 2011 Tentang Informasi Geospasial
 Undang-Undang Nomor 23 Tahun 2014 tentang Pemerintahan Daerah;
 Peraturan Pemerintah Nomor 26 Tahun 2008 tentang Rencana Tata Ruang Wilayah Nasional;
 Peraturan Pemerintah Nomor 21 Tahun 2021 tentang Penyelenggaraan Penataan Ruang;
 Peraturan Presiden Republik Indonesia Nomor 39 Tahun 2019 tentang Satu Data Indonesia;
 Peraturan Presiden No. 23 Tahun 2021 tentang Perubahan Atas Peraturan Presiden Nomor 9 Tahun 2016 Tentang Percepatan Pelaksanaan Kebijakan Satu Peta pada Tingkat Ketelitian Peta Skala 1:50.000
 Peraturan Bupati Bandung Nomor 82 tahun 2019 tentang Tata Kelola Satu Data Daerah;</t>
        </is>
      </c>
      <c r="F249" s="286" t="n"/>
      <c r="G249" s="102" t="inlineStr">
        <is>
          <t>PENYEDIAAN INFRASTRUKTUR DASAR GEOSPASIAL TEMATIK PERTANAHAN DAN RUANG</t>
        </is>
      </c>
      <c r="H249" s="102" t="inlineStr">
        <is>
          <t>Instansi Pemerintah Lainnya</t>
        </is>
      </c>
      <c r="I249" s="102" t="inlineStr">
        <is>
          <t>Data Spasial;
 Data Tabulasi:</t>
        </is>
      </c>
      <c r="J249" s="100" t="inlineStr">
        <is>
          <t>Data spasial Hasil Integrasi Pertanahan dan Penataan ruang,</t>
        </is>
      </c>
      <c r="K249" s="102" t="inlineStr">
        <is>
          <t>Tertutup</t>
        </is>
      </c>
      <c r="L249" s="102" t="inlineStr">
        <is>
          <t>Terdapat</t>
        </is>
      </c>
      <c r="M249" s="102" t="inlineStr">
        <is>
          <t>Tahunan</t>
        </is>
      </c>
      <c r="N249" s="286" t="n"/>
      <c r="O249" s="102" t="inlineStr">
        <is>
          <t>Pihak Ke 3</t>
        </is>
      </c>
      <c r="P249" s="102" t="inlineStr">
        <is>
          <t>Kab. Bandung</t>
        </is>
      </c>
      <c r="Q249" s="102" t="inlineStr">
        <is>
          <t>Website dan Mobile</t>
        </is>
      </c>
      <c r="R249" s="286" t="n"/>
      <c r="S249" s="102" t="inlineStr">
        <is>
          <t>Secara Offline</t>
        </is>
      </c>
      <c r="T249" s="102" t="inlineStr">
        <is>
          <t>Informasi</t>
        </is>
      </c>
      <c r="U249" s="104" t="n">
        <v>2025</v>
      </c>
      <c r="V249" s="102" t="inlineStr">
        <is>
          <t>Maintenance</t>
        </is>
      </c>
      <c r="W249" s="102" t="inlineStr">
        <is>
          <t>Tidak</t>
        </is>
      </c>
      <c r="X249" s="286" t="n"/>
      <c r="Y249" s="102" t="inlineStr">
        <is>
          <t>Manual</t>
        </is>
      </c>
      <c r="Z249" s="102" t="inlineStr">
        <is>
          <t>Tahunan</t>
        </is>
      </c>
      <c r="AA249" s="288" t="n"/>
      <c r="AB249" s="184" t="inlineStr">
        <is>
          <t>Bapperida</t>
        </is>
      </c>
      <c r="AC249" s="178" t="inlineStr">
        <is>
          <t>Singgih Herdian P</t>
        </is>
      </c>
      <c r="AD249" s="178" t="n">
        <v>88223540075</v>
      </c>
      <c r="AE249" s="178" t="inlineStr">
        <is>
          <t>singgihherdianp@gmail.com</t>
        </is>
      </c>
      <c r="AF249" s="67" t="inlineStr">
        <is>
          <t>15, 24, 27, 28, 29, 31, 32, 51</t>
        </is>
      </c>
      <c r="AG249" s="288" t="n"/>
      <c r="AH249" s="216" t="inlineStr">
        <is>
          <t>Bappenda dan BPN</t>
        </is>
      </c>
      <c r="AJ249" s="284" t="n"/>
      <c r="AK249" s="284" t="n"/>
      <c r="AL249" s="284" t="n"/>
      <c r="AM249" s="284" t="n"/>
      <c r="AN249" s="284" t="n"/>
      <c r="AO249" s="284" t="n"/>
      <c r="AP249" s="284" t="n"/>
      <c r="AQ249" s="284" t="n"/>
      <c r="AR249" s="284" t="n"/>
      <c r="AS249" s="284" t="n"/>
    </row>
    <row r="250">
      <c r="A250" s="182" t="n">
        <v>7</v>
      </c>
      <c r="B250" s="178" t="inlineStr">
        <is>
          <t>Penilaian Managemen Resiko</t>
        </is>
      </c>
      <c r="C250" t="inlineStr">
        <is>
          <t>BAPPERIDA</t>
        </is>
      </c>
      <c r="D250" s="178" t="inlineStr">
        <is>
          <t>Alat bantu digital yang memfasilitasi monitoring, evaluasi, dan pelaporan kinerja secara elektronik. Untuk mendukung pelaksanaan tugas pengawasan secara optimal, cepat, dan akurat.</t>
        </is>
      </c>
      <c r="E250" s="178" t="inlineStr">
        <is>
          <t>Permenpan RB Nomor 88 Tahun 2021 tentang Petunjuk Teknis Penyusunan Penilaian SAKIP;</t>
        </is>
      </c>
      <c r="F250" s="288" t="n"/>
      <c r="G250" s="184" t="inlineStr">
        <is>
          <t>PENINGKATAN KUALITAS REFORMASI BIROKRASI, PENGAWASAN, DAN AKUNTABILITAS KINERJA</t>
        </is>
      </c>
      <c r="H250" s="184" t="inlineStr">
        <is>
          <t>Instansi Pemerintah Lainnya</t>
        </is>
      </c>
      <c r="I250" s="184" t="inlineStr">
        <is>
          <t>Dokumen pendukung SAKIP</t>
        </is>
      </c>
      <c r="J250" s="178" t="inlineStr">
        <is>
          <t>Hasil evaluasi SAKIP</t>
        </is>
      </c>
      <c r="K250" s="184" t="inlineStr">
        <is>
          <t>Tertutup</t>
        </is>
      </c>
      <c r="L250" s="184" t="inlineStr">
        <is>
          <t>Terdapat</t>
        </is>
      </c>
      <c r="M250" s="184" t="inlineStr">
        <is>
          <t>Tahunan</t>
        </is>
      </c>
      <c r="N250" s="97" t="inlineStr">
        <is>
          <t>SIMWAS</t>
        </is>
      </c>
      <c r="O250" s="184" t="inlineStr">
        <is>
          <t>Pihak Ke 3</t>
        </is>
      </c>
      <c r="P250" s="184" t="inlineStr">
        <is>
          <t>Kab. Bandung</t>
        </is>
      </c>
      <c r="Q250" s="184" t="inlineStr">
        <is>
          <t>Website</t>
        </is>
      </c>
      <c r="R250" s="70" t="inlineStr">
        <is>
          <t>simwas.bandungkab.go.id</t>
        </is>
      </c>
      <c r="S250" s="184" t="inlineStr">
        <is>
          <t>Secara Online</t>
        </is>
      </c>
      <c r="T250" s="184" t="inlineStr">
        <is>
          <t>Transaksi</t>
        </is>
      </c>
      <c r="U250" s="98" t="n">
        <v>2025</v>
      </c>
      <c r="V250" s="184" t="inlineStr">
        <is>
          <t>Aktif</t>
        </is>
      </c>
      <c r="W250" s="184" t="inlineStr">
        <is>
          <t>Tidak</t>
        </is>
      </c>
      <c r="X250" s="184" t="inlineStr">
        <is>
          <t>tidak Terintegrasi</t>
        </is>
      </c>
      <c r="Y250" s="184" t="inlineStr">
        <is>
          <t>Tidak Terintegrasi</t>
        </is>
      </c>
      <c r="Z250" s="184" t="inlineStr">
        <is>
          <t>Tidak Terintegrasi</t>
        </is>
      </c>
      <c r="AA250" s="184" t="inlineStr">
        <is>
          <t>Inspektur Pembantu I dan IV</t>
        </is>
      </c>
      <c r="AB250" s="184" t="inlineStr">
        <is>
          <t>Inspektorat</t>
        </is>
      </c>
      <c r="AC250" s="76" t="inlineStr">
        <is>
          <t>Ratna</t>
        </is>
      </c>
      <c r="AD250" s="106" t="n">
        <v>8132016216</v>
      </c>
      <c r="AE250" s="288" t="n"/>
      <c r="AF250" s="288" t="n"/>
      <c r="AG250" s="68" t="inlineStr">
        <is>
          <t>Tahunan</t>
        </is>
      </c>
      <c r="AH250" s="216" t="inlineStr">
        <is>
          <t>INSPEKTORAT</t>
        </is>
      </c>
      <c r="AI250" s="284" t="n"/>
      <c r="AJ250" s="284" t="n"/>
      <c r="AK250" s="284" t="n"/>
      <c r="AL250" s="284" t="n"/>
      <c r="AM250" s="284" t="n"/>
      <c r="AN250" s="284" t="n"/>
      <c r="AO250" s="284" t="n"/>
      <c r="AP250" s="284" t="n"/>
      <c r="AQ250" s="284" t="n"/>
      <c r="AR250" s="284" t="n"/>
      <c r="AS250" s="284" t="n"/>
    </row>
    <row r="251">
      <c r="A251" s="182" t="n">
        <v>8</v>
      </c>
      <c r="B251" s="178" t="inlineStr">
        <is>
          <t>Pengawasan Tindak Lanjut Pemeriksaan APIP</t>
        </is>
      </c>
      <c r="C251" t="inlineStr">
        <is>
          <t>BAPPERIDA</t>
        </is>
      </c>
      <c r="D251" s="178" t="inlineStr">
        <is>
          <t>Sistem Layanan untuk proses monitoring dan evaluasi tindak lanjut atas Laporan Hasil Pemeriksaan untuk Objek Pemeriksaan seperti, Perangkat Daerah, Kecamatan, Sekolah, Puskesmas, dsb.</t>
        </is>
      </c>
      <c r="E251" s="178" t="inlineStr">
        <is>
          <t>PERBUP NO 77 TAHUN 2023PEDOMAN PEMANTAUAN PELAKSANAAN TINDAK LANJUT REKOMENDASI HASIL PEMERIKSAAN APARAT PENG AW AS AN INTERN PEMERINTAH DI LINGKUNGAN PEMERINTAH DAERAH KABUPATEN BANDUNG</t>
        </is>
      </c>
      <c r="F251" s="288" t="n"/>
      <c r="G251" s="184" t="inlineStr">
        <is>
          <t>PENINGKATAN KUALITAS REFORMASI BIROKRASI, PENGAWASAN, DAN AKUNTABILITAS KINERJA</t>
        </is>
      </c>
      <c r="H251" s="184" t="inlineStr">
        <is>
          <t>Instansi Pemerintah Lainnya</t>
        </is>
      </c>
      <c r="I251" s="184" t="inlineStr">
        <is>
          <t>Database Objek Pemeriksaan, Data Inputan Laporan Hasil Pemeriksaan</t>
        </is>
      </c>
      <c r="J251" s="178" t="inlineStr">
        <is>
          <t>Persentase Tindak Lanjut atas Laporan Hasil Pemeriksaan</t>
        </is>
      </c>
      <c r="K251" s="184" t="inlineStr">
        <is>
          <t>Rahasia</t>
        </is>
      </c>
      <c r="L251" s="184" t="inlineStr">
        <is>
          <t>Terdapat</t>
        </is>
      </c>
      <c r="M251" s="184" t="inlineStr">
        <is>
          <t>Lainnya</t>
        </is>
      </c>
      <c r="N251" s="97" t="inlineStr">
        <is>
          <t>SIMASLAHAT</t>
        </is>
      </c>
      <c r="O251" s="184" t="inlineStr">
        <is>
          <t>Pihak Ke 3</t>
        </is>
      </c>
      <c r="P251" s="184" t="inlineStr">
        <is>
          <t>Kab. Bandung</t>
        </is>
      </c>
      <c r="Q251" s="184" t="inlineStr">
        <is>
          <t>Website dan Mobile</t>
        </is>
      </c>
      <c r="R251" s="70" t="inlineStr">
        <is>
          <t>https://simaslahat.bandungkab.go.id/</t>
        </is>
      </c>
      <c r="S251" s="184" t="inlineStr">
        <is>
          <t>Secara Online</t>
        </is>
      </c>
      <c r="T251" s="184" t="inlineStr">
        <is>
          <t>Transaksi</t>
        </is>
      </c>
      <c r="U251" s="184" t="n">
        <v>2022</v>
      </c>
      <c r="V251" s="184" t="inlineStr">
        <is>
          <t>Aktif</t>
        </is>
      </c>
      <c r="W251" s="184" t="inlineStr">
        <is>
          <t>Tidak</t>
        </is>
      </c>
      <c r="X251" s="184" t="inlineStr">
        <is>
          <t>Tidak Terintegrasi</t>
        </is>
      </c>
      <c r="Y251" s="184" t="inlineStr">
        <is>
          <t>Tidak Terintegrasi</t>
        </is>
      </c>
      <c r="Z251" s="184" t="inlineStr">
        <is>
          <t>Tidak Terintegrasi</t>
        </is>
      </c>
      <c r="AA251" s="184" t="inlineStr">
        <is>
          <t>Sub Bagian Analisis dan Evaluasi</t>
        </is>
      </c>
      <c r="AB251" s="288" t="n"/>
      <c r="AC251" s="178" t="inlineStr">
        <is>
          <t>Rani</t>
        </is>
      </c>
      <c r="AD251" s="178" t="inlineStr">
        <is>
          <t>813-2247-5890</t>
        </is>
      </c>
      <c r="AE251" s="288" t="n"/>
      <c r="AF251" s="288" t="n"/>
      <c r="AG251" s="68" t="inlineStr">
        <is>
          <t>Bulanan</t>
        </is>
      </c>
      <c r="AH251" s="216" t="inlineStr">
        <is>
          <t>INSPEKTORAT</t>
        </is>
      </c>
      <c r="AI251" s="284" t="n"/>
      <c r="AJ251" s="284" t="n"/>
      <c r="AK251" s="284" t="n"/>
      <c r="AL251" s="284" t="n"/>
      <c r="AM251" s="284" t="n"/>
      <c r="AN251" s="284" t="n"/>
      <c r="AO251" s="284" t="n"/>
      <c r="AP251" s="284" t="n"/>
      <c r="AQ251" s="284" t="n"/>
      <c r="AR251" s="284" t="n"/>
      <c r="AS251" s="284" t="n"/>
    </row>
    <row r="252">
      <c r="A252" s="182" t="n">
        <v>9</v>
      </c>
      <c r="B252" s="178" t="inlineStr">
        <is>
          <t>Penyajian kumpulan data statistik sektoral</t>
        </is>
      </c>
      <c r="C252" t="inlineStr">
        <is>
          <t>BAPPERIDA</t>
        </is>
      </c>
      <c r="D252" s="178" t="inlineStr">
        <is>
          <t>SI-MASDA (Sistem Informasi Manajemen Statistik Daerah) adalah Website Online yang menyajikan kumpulan data statistik sektoral yang dihasilkan dari aktifitas pengumpulan data yang dikelola di Perangkat Daerah (PD) dan diproses melalui pengolahan data di Bidang Statistik Diskominfo untuk disajikan menjadi produk analisis data Statistik Sektoral yang diupload kedalam Website SI-MASDA untuk dipublikasi dan disajikan kepada pengunjung Website dan pengguna lainnya yang membutuhkan data tersebut</t>
        </is>
      </c>
      <c r="E252" s="288" t="n"/>
      <c r="F252" s="288" t="n"/>
      <c r="G252" s="288" t="n"/>
      <c r="H252" s="288" t="n"/>
      <c r="I252" s="288" t="n"/>
      <c r="J252" s="288" t="n"/>
      <c r="K252" s="288" t="n"/>
      <c r="L252" s="288" t="n"/>
      <c r="M252" s="288" t="n"/>
      <c r="N252" s="97" t="inlineStr">
        <is>
          <t>SIMASDA</t>
        </is>
      </c>
      <c r="O252" s="288" t="n"/>
      <c r="P252" s="184" t="inlineStr">
        <is>
          <t>Kab. Bandung</t>
        </is>
      </c>
      <c r="Q252" s="184" t="inlineStr">
        <is>
          <t>Website dan Mobile</t>
        </is>
      </c>
      <c r="R252" s="70" t="inlineStr">
        <is>
          <t>https://simasda.bandungkab.go.id/</t>
        </is>
      </c>
      <c r="S252" s="184" t="inlineStr">
        <is>
          <t>Secara Online</t>
        </is>
      </c>
      <c r="T252" s="288" t="n"/>
      <c r="U252" s="288" t="n"/>
      <c r="V252" s="288" t="n"/>
      <c r="W252" s="288" t="n"/>
      <c r="X252" s="288" t="n"/>
      <c r="Y252" s="288" t="n"/>
      <c r="Z252" s="288" t="n"/>
      <c r="AA252" s="288" t="n"/>
      <c r="AB252" s="184" t="inlineStr">
        <is>
          <t>Diskominfo</t>
        </is>
      </c>
      <c r="AC252" s="178" t="inlineStr">
        <is>
          <t>Bu Rinrin Destiati</t>
        </is>
      </c>
      <c r="AD252" s="98" t="n">
        <v>81323976172</v>
      </c>
      <c r="AE252" s="288" t="n"/>
      <c r="AF252" s="288" t="n"/>
      <c r="AG252" s="288" t="n"/>
      <c r="AH252" s="216" t="inlineStr">
        <is>
          <t>DISKOMINFO</t>
        </is>
      </c>
      <c r="AI252" s="284" t="n"/>
      <c r="AJ252" s="284" t="n"/>
      <c r="AK252" s="284" t="n"/>
      <c r="AL252" s="284" t="n"/>
      <c r="AM252" s="284" t="n"/>
      <c r="AN252" s="284" t="n"/>
      <c r="AO252" s="284" t="n"/>
      <c r="AP252" s="284" t="n"/>
      <c r="AQ252" s="284" t="n"/>
      <c r="AR252" s="284" t="n"/>
      <c r="AS252" s="284" t="n"/>
    </row>
    <row r="253">
      <c r="A253" s="182" t="n">
        <v>10</v>
      </c>
      <c r="B253" s="178" t="inlineStr">
        <is>
          <t>Layanan pengusulan standar data statistik dan pelaporan metadata statisti</t>
        </is>
      </c>
      <c r="C253" t="inlineStr">
        <is>
          <t>BAPPERIDA</t>
        </is>
      </c>
      <c r="D253" s="178" t="inlineStr">
        <is>
          <t>Indonesia Data Hub merupakan one stop collaboration platform yang bertujuan untuk meningkatkan literasi data dan value of statistics serta mendukung interoperabilitas data dan kolaborasi eksplorasi terhadap data.</t>
        </is>
      </c>
      <c r="E253" s="288" t="n"/>
      <c r="F253" s="288" t="n"/>
      <c r="G253" s="288" t="n"/>
      <c r="H253" s="288" t="n"/>
      <c r="I253" s="288" t="n"/>
      <c r="J253" s="288" t="n"/>
      <c r="K253" s="288" t="n"/>
      <c r="L253" s="288" t="n"/>
      <c r="M253" s="288" t="n"/>
      <c r="N253" s="97" t="inlineStr">
        <is>
          <t>INDAH</t>
        </is>
      </c>
      <c r="O253" s="288" t="n"/>
      <c r="P253" s="184" t="inlineStr">
        <is>
          <t>Kab. Bandung</t>
        </is>
      </c>
      <c r="Q253" s="184" t="inlineStr">
        <is>
          <t>Website dan Mobile</t>
        </is>
      </c>
      <c r="R253" s="70" t="inlineStr">
        <is>
          <t>https://indah.bps.go.id/</t>
        </is>
      </c>
      <c r="S253" s="184" t="inlineStr">
        <is>
          <t>Secara Online</t>
        </is>
      </c>
      <c r="T253" s="288" t="n"/>
      <c r="U253" s="288" t="n"/>
      <c r="V253" s="288" t="n"/>
      <c r="W253" s="288" t="n"/>
      <c r="X253" s="288" t="n"/>
      <c r="Y253" s="288" t="n"/>
      <c r="Z253" s="288" t="n"/>
      <c r="AA253" s="288" t="n"/>
      <c r="AB253" s="288" t="n"/>
      <c r="AC253" s="178" t="inlineStr">
        <is>
          <t>Bu Tutut</t>
        </is>
      </c>
      <c r="AD253" s="98" t="n">
        <v>81223467651</v>
      </c>
      <c r="AE253" s="288" t="n"/>
      <c r="AF253" s="288" t="n"/>
      <c r="AG253" s="288" t="n"/>
      <c r="AH253" s="216" t="inlineStr">
        <is>
          <t>BPS</t>
        </is>
      </c>
      <c r="AI253" s="284" t="n"/>
      <c r="AJ253" s="284" t="n"/>
      <c r="AK253" s="284" t="n"/>
      <c r="AL253" s="284" t="n"/>
      <c r="AM253" s="284" t="n"/>
      <c r="AN253" s="284" t="n"/>
      <c r="AO253" s="284" t="n"/>
      <c r="AP253" s="284" t="n"/>
      <c r="AQ253" s="284" t="n"/>
      <c r="AR253" s="284" t="n"/>
      <c r="AS253" s="284" t="n"/>
    </row>
    <row r="254">
      <c r="A254" s="182" t="n">
        <v>11</v>
      </c>
      <c r="B254" s="178" t="inlineStr">
        <is>
          <t>Layanan bagi instansi pemerintah untuk mendapatkan rekomendasi penyelenggaraan kegiatan statistik sektoral dari BPS.</t>
        </is>
      </c>
      <c r="C254" t="inlineStr">
        <is>
          <t>BAPPERIDA</t>
        </is>
      </c>
      <c r="D254" s="178" t="inlineStr">
        <is>
          <t>Rekomendasi kegiatan statistik merupakan saran dan masukan yang diberikan oleh BPS terhadap rancangan kegiatan statistik sektoral yang disampaikan oleh Kementerian/Lembaga/Dinas/Instansi Pemerintah Lainnya (K/L/D/I).</t>
        </is>
      </c>
      <c r="E254" s="288" t="n"/>
      <c r="F254" s="288" t="n"/>
      <c r="G254" s="288" t="n"/>
      <c r="H254" s="288" t="n"/>
      <c r="I254" s="288" t="n"/>
      <c r="J254" s="288" t="n"/>
      <c r="K254" s="288" t="n"/>
      <c r="L254" s="288" t="n"/>
      <c r="M254" s="288" t="n"/>
      <c r="N254" s="97" t="inlineStr">
        <is>
          <t>ROMANTIK</t>
        </is>
      </c>
      <c r="O254" s="288" t="n"/>
      <c r="P254" s="184" t="inlineStr">
        <is>
          <t>Kab. Bandung</t>
        </is>
      </c>
      <c r="Q254" s="184" t="inlineStr">
        <is>
          <t>Website dan Mobile</t>
        </is>
      </c>
      <c r="R254" s="70" t="inlineStr">
        <is>
          <t>https://romantik.web.bps.go.id/</t>
        </is>
      </c>
      <c r="S254" s="184" t="inlineStr">
        <is>
          <t>Secara Online</t>
        </is>
      </c>
      <c r="T254" s="288" t="n"/>
      <c r="U254" s="288" t="n"/>
      <c r="V254" s="288" t="n"/>
      <c r="W254" s="288" t="n"/>
      <c r="X254" s="288" t="n"/>
      <c r="Y254" s="288" t="n"/>
      <c r="Z254" s="288" t="n"/>
      <c r="AA254" s="288" t="n"/>
      <c r="AB254" s="288" t="n"/>
      <c r="AC254" s="178" t="inlineStr">
        <is>
          <t>Bu Tutut</t>
        </is>
      </c>
      <c r="AD254" s="98" t="n">
        <v>81223467651</v>
      </c>
      <c r="AE254" s="288" t="n"/>
      <c r="AF254" s="288" t="n"/>
      <c r="AG254" s="288" t="n"/>
      <c r="AH254" s="216" t="inlineStr">
        <is>
          <t>BPS</t>
        </is>
      </c>
      <c r="AI254" s="284" t="n"/>
      <c r="AJ254" s="284" t="n"/>
      <c r="AK254" s="284" t="n"/>
      <c r="AL254" s="284" t="n"/>
      <c r="AM254" s="284" t="n"/>
      <c r="AN254" s="284" t="n"/>
      <c r="AO254" s="284" t="n"/>
      <c r="AP254" s="284" t="n"/>
      <c r="AQ254" s="284" t="n"/>
      <c r="AR254" s="284" t="n"/>
      <c r="AS254" s="284" t="n"/>
    </row>
    <row r="255">
      <c r="A255" s="182" t="n">
        <v>12</v>
      </c>
      <c r="B255" s="178" t="inlineStr">
        <is>
          <t>Layanan rencana kebutuhan barang milik daerah</t>
        </is>
      </c>
      <c r="C255" t="inlineStr">
        <is>
          <t>BAPPERIDA</t>
        </is>
      </c>
      <c r="D255" s="178" t="inlineStr">
        <is>
          <t>Membantu pemerintah daerah dalam merencanakan kebutuhan barang atau aset daerah secara sistematis, efektif, dan sesuai dengan kebutuhan setiap organisasi perangkat daerah (OPD) sebagai dasar penyusunan anggaran dalam APBD.</t>
        </is>
      </c>
      <c r="E255" s="288" t="n"/>
      <c r="F255" s="288" t="n"/>
      <c r="G255" s="288" t="n"/>
      <c r="H255" s="288" t="n"/>
      <c r="I255" s="288" t="n"/>
      <c r="J255" s="288" t="n"/>
      <c r="K255" s="288" t="n"/>
      <c r="L255" s="288" t="n"/>
      <c r="M255" s="288" t="n"/>
      <c r="N255" s="97" t="inlineStr">
        <is>
          <t>RKBMD</t>
        </is>
      </c>
      <c r="O255" s="288" t="n"/>
      <c r="P255" s="184" t="inlineStr">
        <is>
          <t>Kab. Bandung</t>
        </is>
      </c>
      <c r="Q255" s="184" t="inlineStr">
        <is>
          <t>Website dan Mobile</t>
        </is>
      </c>
      <c r="R255" s="70" t="inlineStr">
        <is>
          <t>https://rkbmd.e-planningbmd.id/</t>
        </is>
      </c>
      <c r="S255" s="184" t="inlineStr">
        <is>
          <t>Secara Online</t>
        </is>
      </c>
      <c r="T255" s="288" t="n"/>
      <c r="U255" s="288" t="n"/>
      <c r="V255" s="288" t="n"/>
      <c r="W255" s="288" t="n"/>
      <c r="X255" s="288" t="n"/>
      <c r="Y255" s="288" t="n"/>
      <c r="Z255" s="288" t="n"/>
      <c r="AA255" s="288" t="n"/>
      <c r="AB255" s="288" t="n"/>
      <c r="AC255" s="288" t="n"/>
      <c r="AD255" s="288" t="n"/>
      <c r="AE255" s="288" t="n"/>
      <c r="AF255" s="288" t="n"/>
      <c r="AG255" s="288" t="n"/>
      <c r="AH255" s="216" t="inlineStr">
        <is>
          <t>BKAD</t>
        </is>
      </c>
      <c r="AI255" s="284" t="n"/>
      <c r="AJ255" s="284" t="n"/>
      <c r="AK255" s="284" t="n"/>
      <c r="AL255" s="284" t="n"/>
      <c r="AM255" s="284" t="n"/>
      <c r="AN255" s="284" t="n"/>
      <c r="AO255" s="284" t="n"/>
      <c r="AP255" s="284" t="n"/>
      <c r="AQ255" s="284" t="n"/>
      <c r="AR255" s="284" t="n"/>
      <c r="AS255" s="284" t="n"/>
    </row>
    <row r="256">
      <c r="A256" s="182" t="n">
        <v>13</v>
      </c>
      <c r="B256" s="178" t="inlineStr">
        <is>
          <t>Layanan Pengantar Pajak</t>
        </is>
      </c>
      <c r="C256" t="inlineStr">
        <is>
          <t>BAPPERIDA</t>
        </is>
      </c>
      <c r="D256" s="178" t="inlineStr">
        <is>
          <t>Membantu pemerintah daerah dalam mengelola, menyimpan, dan mendokumentasikan data serta dokumen Barang Milik Daerah secara digital agar proses perencanaan, pengelolaan, dan pengawasan aset daerah dapat dilakukan dengan lebih efektif, tertib, transparan, dan akuntabel.</t>
        </is>
      </c>
      <c r="E256" s="288" t="n"/>
      <c r="F256" s="288" t="n"/>
      <c r="G256" s="288" t="n"/>
      <c r="H256" s="288" t="n"/>
      <c r="I256" s="288" t="n"/>
      <c r="J256" s="288" t="n"/>
      <c r="K256" s="288" t="n"/>
      <c r="L256" s="288" t="n"/>
      <c r="M256" s="288" t="n"/>
      <c r="N256" s="195" t="inlineStr">
        <is>
          <t>e-PERSEDIAAN</t>
        </is>
      </c>
      <c r="O256" s="288" t="n"/>
      <c r="P256" s="184" t="inlineStr">
        <is>
          <t>Kab. Bandung</t>
        </is>
      </c>
      <c r="Q256" s="184" t="inlineStr">
        <is>
          <t>Website dan Mobile</t>
        </is>
      </c>
      <c r="R256" s="70" t="inlineStr">
        <is>
          <t>https://persediaanbmd.bandungkab.go.id/</t>
        </is>
      </c>
      <c r="S256" s="184" t="inlineStr">
        <is>
          <t>Secara Online</t>
        </is>
      </c>
      <c r="T256" s="288" t="n"/>
      <c r="U256" s="288" t="n"/>
      <c r="V256" s="288" t="n"/>
      <c r="W256" s="288" t="n"/>
      <c r="X256" s="288" t="n"/>
      <c r="Y256" s="288" t="n"/>
      <c r="Z256" s="288" t="n"/>
      <c r="AA256" s="288" t="n"/>
      <c r="AB256" s="288" t="n"/>
      <c r="AC256" s="288" t="n"/>
      <c r="AD256" s="288" t="n"/>
      <c r="AE256" s="288" t="n"/>
      <c r="AF256" s="288" t="n"/>
      <c r="AG256" s="288" t="n"/>
      <c r="AH256" s="216" t="inlineStr">
        <is>
          <t>BKAD</t>
        </is>
      </c>
      <c r="AI256" s="284" t="n"/>
      <c r="AJ256" s="284" t="n"/>
      <c r="AK256" s="284" t="n"/>
      <c r="AL256" s="284" t="n"/>
      <c r="AM256" s="284" t="n"/>
      <c r="AN256" s="284" t="n"/>
      <c r="AO256" s="284" t="n"/>
      <c r="AP256" s="284" t="n"/>
      <c r="AQ256" s="284" t="n"/>
      <c r="AR256" s="284" t="n"/>
      <c r="AS256" s="284" t="n"/>
    </row>
    <row r="257">
      <c r="A257" s="182" t="n">
        <v>14</v>
      </c>
      <c r="B257" s="178" t="inlineStr">
        <is>
          <t>Layanan Pengelolaan Kinerja ASN</t>
        </is>
      </c>
      <c r="C257" t="inlineStr">
        <is>
          <t>BAPPERIDA</t>
        </is>
      </c>
      <c r="D257" s="178" t="inlineStr">
        <is>
          <t>Layanan Pengelolaan Penilaian Kinerja ASN di Lingkungan Pemerintah Kabupaten Bandung untuk mewujudkan suatu layanan kepegawaian yang cepat, efektif, efisien, dan akurat dengan memanfaatkan teknologi komunikasi dan informasi berupa sistem yang terpadu meliputi pendataan, pengolahan, prosedur, sumber daya manusia, dan teknologi informasi.</t>
        </is>
      </c>
      <c r="E257" s="178" t="inlineStr">
        <is>
          <t>Peraturan Bupati Bandung No. 341 Tahun 2022 Tentang Pengelolaan Kinerja ASN dan Perubahan No. 273 Tahun 2023 Tentang Perubahan Atas Peraturan Bupati Bandung No. 341 Tahun 2022 Tentang Pengelolaan Kinerja ASN</t>
        </is>
      </c>
      <c r="F257" s="184" t="inlineStr">
        <is>
          <t>isikan dengan link dokumen berbentuk pdf terkait SOP / Proses Bisnis layanan</t>
        </is>
      </c>
      <c r="G257" s="184" t="inlineStr">
        <is>
          <t>PENATAAN SUMBER DAYA MANUSIA APARATUR</t>
        </is>
      </c>
      <c r="H257" s="184" t="inlineStr">
        <is>
          <t>Pegawai</t>
        </is>
      </c>
      <c r="I257" s="184" t="inlineStr">
        <is>
          <t>Data Pengguna</t>
        </is>
      </c>
      <c r="J257" s="178" t="inlineStr">
        <is>
          <t>Produk Hasil Penilaian Kinerja ASN, seperti Laporan Kinerja Bulanan dan Sasaran Kinerja Pegawai Tahunan</t>
        </is>
      </c>
      <c r="K257" s="184" t="inlineStr">
        <is>
          <t>Terbatas</t>
        </is>
      </c>
      <c r="L257" s="184" t="inlineStr">
        <is>
          <t>Terdapat</t>
        </is>
      </c>
      <c r="M257" s="184" t="inlineStr">
        <is>
          <t>Harian</t>
        </is>
      </c>
      <c r="N257" s="97" t="inlineStr">
        <is>
          <t>SASIKAP EVO</t>
        </is>
      </c>
      <c r="O257" s="184" t="inlineStr">
        <is>
          <t>Pihak Ke 3</t>
        </is>
      </c>
      <c r="P257" s="184" t="inlineStr">
        <is>
          <t>Kab. Bandung</t>
        </is>
      </c>
      <c r="Q257" s="184" t="inlineStr">
        <is>
          <t>Website</t>
        </is>
      </c>
      <c r="R257" s="70" t="inlineStr">
        <is>
          <t>https://sso.bandungkab.go.id/</t>
        </is>
      </c>
      <c r="S257" s="184" t="inlineStr">
        <is>
          <t>Secara Online</t>
        </is>
      </c>
      <c r="T257" s="184" t="inlineStr">
        <is>
          <t>Transaksi</t>
        </is>
      </c>
      <c r="U257" s="184" t="n">
        <v>2017</v>
      </c>
      <c r="V257" s="184" t="inlineStr">
        <is>
          <t>Aktif</t>
        </is>
      </c>
      <c r="W257" s="184" t="inlineStr">
        <is>
          <t>Ya</t>
        </is>
      </c>
      <c r="X257" s="184" t="inlineStr">
        <is>
          <t>DHE ASN</t>
        </is>
      </c>
      <c r="Y257" s="184" t="inlineStr">
        <is>
          <t>Database to Database</t>
        </is>
      </c>
      <c r="Z257" s="184" t="inlineStr">
        <is>
          <t>Harian</t>
        </is>
      </c>
      <c r="AA257" s="184" t="inlineStr">
        <is>
          <t>Bidang Penilaian Kinerja dan Pengembangan ASN</t>
        </is>
      </c>
      <c r="AB257" s="184" t="inlineStr">
        <is>
          <t>BKPSDM</t>
        </is>
      </c>
      <c r="AC257" s="178" t="inlineStr">
        <is>
          <t>DEDI RADI, S.Kom M.M.</t>
        </is>
      </c>
      <c r="AD257" s="178" t="n">
        <v>82133111001</v>
      </c>
      <c r="AE257" s="70" t="inlineStr">
        <is>
          <t>mailto:dediradi@gmail.com</t>
        </is>
      </c>
      <c r="AF257" s="68" t="n">
        <v>28</v>
      </c>
      <c r="AG257" s="178" t="inlineStr">
        <is>
          <t>Layanan Kenaikan Gaji Berkala</t>
        </is>
      </c>
      <c r="AH257" s="284" t="n"/>
      <c r="AI257" s="284" t="n"/>
      <c r="AJ257" s="284" t="n"/>
      <c r="AK257" s="284" t="n"/>
      <c r="AL257" s="284" t="n"/>
      <c r="AM257" s="284" t="n"/>
      <c r="AN257" s="284" t="n"/>
      <c r="AO257" s="284" t="n"/>
      <c r="AP257" s="284" t="n"/>
      <c r="AQ257" s="284" t="n"/>
      <c r="AR257" s="284" t="n"/>
      <c r="AS257" s="284" t="n"/>
    </row>
    <row r="258">
      <c r="A258" s="182" t="n">
        <v>15</v>
      </c>
      <c r="B258" s="178" t="inlineStr">
        <is>
          <t>Layanan Kenaikan Gaji Berkala</t>
        </is>
      </c>
      <c r="C258" t="inlineStr">
        <is>
          <t>BAPPERIDA</t>
        </is>
      </c>
      <c r="D258" s="178" t="inlineStr">
        <is>
          <t>Layanan Kenaikan Gaji Berkala merupakan pelayanan administrasi kepegawaian yang diberikan kepada ASN sebagai pemenuhan hak atas penyesuaian gaji pokok sesuai dengan masa kerja dan ketentuan peraturan yang berlaku yang berfungsi untuk memastikan tertib administrasi, memberikan kepastian serta penghargaan atas pengabdian pegawai, sekaligus meningkatkan kesejahteraan melalui penyesuaian penghasilan secara berkala.</t>
        </is>
      </c>
      <c r="E258" s="178" t="inlineStr">
        <is>
          <t>Surat Edaran Sekretariat Daerah No. 800/786/BKPSDM Tanggal 23 Maret 2020 Tentang Pelayanan Administrasi Kepegawaian Paperless pada Badan Kepegawaian dan Pengembangan Sumber Daya Manusia Kabupaten Bandung</t>
        </is>
      </c>
      <c r="F258" s="70" t="inlineStr">
        <is>
          <t>https://drive.google.com/file/d/18x4SyFaMTJIHq1ORgmmghi6RwxlrdqOk/view?usp=sharing</t>
        </is>
      </c>
      <c r="G258" s="184" t="inlineStr">
        <is>
          <t>PENATAAN SUMBER DAYA MANUSIA APARATUR</t>
        </is>
      </c>
      <c r="H258" s="184" t="inlineStr">
        <is>
          <t>Pegawai</t>
        </is>
      </c>
      <c r="I258" s="184" t="inlineStr">
        <is>
          <t>Data Pengguna</t>
        </is>
      </c>
      <c r="J258" s="178" t="inlineStr">
        <is>
          <t>Produk Layanan Kepegawaian</t>
        </is>
      </c>
      <c r="K258" s="184" t="inlineStr">
        <is>
          <t>Terbatas</t>
        </is>
      </c>
      <c r="L258" s="184" t="inlineStr">
        <is>
          <t>Terdapat</t>
        </is>
      </c>
      <c r="M258" s="184" t="inlineStr">
        <is>
          <t>Harian</t>
        </is>
      </c>
      <c r="N258" s="97" t="inlineStr">
        <is>
          <t>SSO</t>
        </is>
      </c>
      <c r="O258" s="184" t="inlineStr">
        <is>
          <t>OPD</t>
        </is>
      </c>
      <c r="P258" s="184" t="inlineStr">
        <is>
          <t>Kab. Bandung</t>
        </is>
      </c>
      <c r="Q258" s="184" t="inlineStr">
        <is>
          <t>Website</t>
        </is>
      </c>
      <c r="R258" s="70" t="inlineStr">
        <is>
          <t>https://sso.bandungkab.go.id/</t>
        </is>
      </c>
      <c r="S258" s="184" t="inlineStr">
        <is>
          <t>Secara Online</t>
        </is>
      </c>
      <c r="T258" s="184" t="inlineStr">
        <is>
          <t>Transaksi</t>
        </is>
      </c>
      <c r="U258" s="184" t="n">
        <v>2020</v>
      </c>
      <c r="V258" s="184" t="inlineStr">
        <is>
          <t>Aktif</t>
        </is>
      </c>
      <c r="W258" s="184" t="inlineStr">
        <is>
          <t>Ya</t>
        </is>
      </c>
      <c r="X258" s="184" t="inlineStr">
        <is>
          <t>SI ASN</t>
        </is>
      </c>
      <c r="Y258" s="184" t="inlineStr">
        <is>
          <t>Database to Database</t>
        </is>
      </c>
      <c r="Z258" s="184" t="inlineStr">
        <is>
          <t>Harian</t>
        </is>
      </c>
      <c r="AA258" s="184" t="inlineStr">
        <is>
          <t>Bidang Pengadaan Pemberhentian dan Informasi Kepegawaian ASN</t>
        </is>
      </c>
      <c r="AB258" s="184" t="inlineStr">
        <is>
          <t>BKPSDM</t>
        </is>
      </c>
      <c r="AC258" s="178" t="inlineStr">
        <is>
          <t>LEMI CANDRA LESMANA, ST</t>
        </is>
      </c>
      <c r="AD258" s="178" t="n">
        <v>82129997000</v>
      </c>
      <c r="AE258" s="70" t="inlineStr">
        <is>
          <t>mailto:lemicandra@gmail.com</t>
        </is>
      </c>
      <c r="AF258" s="288" t="n"/>
      <c r="AG258" s="288" t="n"/>
      <c r="AH258" s="284" t="n"/>
      <c r="AI258" s="284" t="n"/>
      <c r="AJ258" s="284" t="n"/>
      <c r="AK258" s="284" t="n"/>
      <c r="AL258" s="284" t="n"/>
      <c r="AM258" s="284" t="n"/>
      <c r="AN258" s="284" t="n"/>
      <c r="AO258" s="284" t="n"/>
      <c r="AP258" s="284" t="n"/>
      <c r="AQ258" s="284" t="n"/>
      <c r="AR258" s="284" t="n"/>
      <c r="AS258" s="284" t="n"/>
    </row>
    <row r="259">
      <c r="A259" s="182" t="n">
        <v>16</v>
      </c>
      <c r="B259" s="178" t="inlineStr">
        <is>
          <t>Layanan Administrasi Surat Menyurat</t>
        </is>
      </c>
      <c r="C259" t="inlineStr">
        <is>
          <t>BAPPERIDA</t>
        </is>
      </c>
      <c r="D259" s="288" t="n"/>
      <c r="E259" s="288" t="n"/>
      <c r="F259" s="288" t="n"/>
      <c r="G259" s="288" t="n"/>
      <c r="H259" s="184" t="inlineStr">
        <is>
          <t>Pegawai</t>
        </is>
      </c>
      <c r="I259" s="288" t="n"/>
      <c r="J259" s="288" t="n"/>
      <c r="K259" s="288" t="n"/>
      <c r="L259" s="288" t="n"/>
      <c r="M259" s="288" t="n"/>
      <c r="N259" s="93" t="inlineStr">
        <is>
          <t>SULTAN (e-office)</t>
        </is>
      </c>
      <c r="O259" s="184" t="inlineStr">
        <is>
          <t>Diskominfo</t>
        </is>
      </c>
      <c r="P259" s="184" t="inlineStr">
        <is>
          <t>Kab. Bandung</t>
        </is>
      </c>
      <c r="Q259" s="184" t="inlineStr">
        <is>
          <t>Mobile</t>
        </is>
      </c>
      <c r="R259" s="70" t="inlineStr">
        <is>
          <t>https://sultan.bandungkab.go.id/login</t>
        </is>
      </c>
      <c r="S259" s="184" t="inlineStr">
        <is>
          <t>Secara Online</t>
        </is>
      </c>
      <c r="T259" s="288" t="n"/>
      <c r="U259" s="288" t="n"/>
      <c r="V259" s="288" t="n"/>
      <c r="W259" s="288" t="n"/>
      <c r="X259" s="288" t="n"/>
      <c r="Y259" s="288" t="n"/>
      <c r="Z259" s="288" t="n"/>
      <c r="AA259" s="288" t="n"/>
      <c r="AB259" s="288" t="n"/>
      <c r="AC259" s="288" t="n"/>
      <c r="AD259" s="288" t="n"/>
      <c r="AE259" s="288" t="n"/>
      <c r="AF259" s="288" t="n"/>
      <c r="AG259" s="288" t="n"/>
      <c r="AH259" s="284" t="n"/>
      <c r="AI259" s="284" t="n"/>
      <c r="AJ259" s="284" t="n"/>
      <c r="AK259" s="284" t="n"/>
      <c r="AL259" s="284" t="n"/>
      <c r="AM259" s="284" t="n"/>
      <c r="AN259" s="284" t="n"/>
      <c r="AO259" s="284" t="n"/>
      <c r="AP259" s="284" t="n"/>
      <c r="AQ259" s="284" t="n"/>
      <c r="AR259" s="284" t="n"/>
      <c r="AS259" s="284" t="n"/>
    </row>
    <row r="260">
      <c r="A260" s="71" t="inlineStr">
        <is>
          <t>BKAD</t>
        </is>
      </c>
      <c r="B260" s="58" t="n"/>
      <c r="D260" s="58" t="n"/>
      <c r="E260" s="58" t="n"/>
      <c r="F260" s="58" t="n"/>
      <c r="G260" s="58" t="n"/>
      <c r="H260" s="58" t="n"/>
      <c r="I260" s="58" t="n"/>
      <c r="J260" s="58" t="n"/>
      <c r="K260" s="58" t="n"/>
      <c r="L260" s="58" t="n"/>
      <c r="M260" s="58" t="n"/>
      <c r="N260" s="58" t="n"/>
      <c r="O260" s="58" t="n"/>
      <c r="P260" s="58" t="n"/>
      <c r="Q260" s="58" t="n"/>
      <c r="R260" s="58" t="n"/>
      <c r="S260" s="58" t="n"/>
      <c r="T260" s="58" t="n"/>
      <c r="U260" s="58" t="n"/>
      <c r="V260" s="58" t="n"/>
      <c r="W260" s="58" t="n"/>
      <c r="X260" s="58" t="n"/>
      <c r="Y260" s="58" t="n"/>
      <c r="Z260" s="58" t="n"/>
      <c r="AA260" s="58" t="n"/>
      <c r="AB260" s="58" t="n"/>
      <c r="AC260" s="58" t="n"/>
      <c r="AD260" s="58" t="n"/>
      <c r="AE260" s="58" t="n"/>
      <c r="AF260" s="200" t="n"/>
      <c r="AG260" s="200" t="n"/>
      <c r="AH260" s="284" t="n"/>
      <c r="AI260" s="284" t="n"/>
      <c r="AJ260" s="284" t="n"/>
      <c r="AK260" s="284" t="n"/>
      <c r="AL260" s="284" t="n"/>
      <c r="AM260" s="284" t="n"/>
      <c r="AN260" s="284" t="n"/>
      <c r="AO260" s="284" t="n"/>
      <c r="AP260" s="284" t="n"/>
      <c r="AQ260" s="284" t="n"/>
      <c r="AR260" s="284" t="n"/>
      <c r="AS260" s="284" t="n"/>
    </row>
    <row r="261">
      <c r="A261" s="182" t="n">
        <v>2</v>
      </c>
      <c r="B261" s="178" t="inlineStr">
        <is>
          <t>SURAT MASUK/NASKAH/DOKUMEN</t>
        </is>
      </c>
      <c r="C261" t="inlineStr">
        <is>
          <t>BKAD</t>
        </is>
      </c>
      <c r="D261" s="178" t="inlineStr">
        <is>
          <t>Layanan Surat Masuk/Naskah/Dokumen bertujuan untuk memberikan akses informasi publik secara resmi, memastikan setiap naskah dinas diterima, diperiksa, dan didisposisi sesuai ketentuan tata naskah dinas, serta menghasilkan tanggapan atau surat jawaban tertulis bagi pemohon. Fungsi layanan ini meliputi penerimaan dan pemeriksaan permohonan beserta persyaratan, verifikasi serta disposisi berjenjang oleh pejabat terkait (Kasubag Umpeg, Sekretaris Badan, hingga Kepala BKAD), pencatatan dan distribusi naskah dinas sesuai arahan pimpinan, hingga penyediaan kanal pengaduan melalui website resmi BKAD Kabupaten Bandung, dengan prinsip pelayanan cepat, transparan, dan akuntabel.</t>
        </is>
      </c>
      <c r="E261" s="288" t="n"/>
      <c r="F261" s="288" t="n"/>
      <c r="G261" s="184" t="inlineStr">
        <is>
          <t>PENINGKATAN KUALITAS PELAYANAN PUBLIK</t>
        </is>
      </c>
      <c r="H261" s="184" t="inlineStr">
        <is>
          <t>Instansi Pemerintah Lainnya</t>
        </is>
      </c>
      <c r="I261" s="184" t="inlineStr">
        <is>
          <t>Data Surat Masuk</t>
        </is>
      </c>
      <c r="J261" s="178" t="inlineStr">
        <is>
          <t>Data Surat Masuk telah di proses</t>
        </is>
      </c>
      <c r="K261" s="184" t="inlineStr">
        <is>
          <t>Tertutup</t>
        </is>
      </c>
      <c r="L261" s="184" t="inlineStr">
        <is>
          <t>Tidak terdapat</t>
        </is>
      </c>
      <c r="M261" s="184" t="inlineStr">
        <is>
          <t>Harian</t>
        </is>
      </c>
      <c r="N261" s="130" t="inlineStr">
        <is>
          <t>SIAP</t>
        </is>
      </c>
      <c r="O261" s="184" t="inlineStr">
        <is>
          <t>Pihak Ke 3</t>
        </is>
      </c>
      <c r="P261" s="184" t="inlineStr">
        <is>
          <t>Kab. Bandung</t>
        </is>
      </c>
      <c r="Q261" s="184" t="inlineStr">
        <is>
          <t>Website</t>
        </is>
      </c>
      <c r="R261" s="70" t="inlineStr">
        <is>
          <t>https://pelayanan.bandungkab.dapda.id/</t>
        </is>
      </c>
      <c r="S261" s="184" t="inlineStr">
        <is>
          <t>Secara Online</t>
        </is>
      </c>
      <c r="T261" s="184" t="inlineStr">
        <is>
          <t>Informasi</t>
        </is>
      </c>
      <c r="U261" s="98" t="n">
        <v>2024</v>
      </c>
      <c r="V261" s="184" t="inlineStr">
        <is>
          <t>Aktif</t>
        </is>
      </c>
      <c r="W261" s="184" t="inlineStr">
        <is>
          <t>Tidak</t>
        </is>
      </c>
      <c r="X261" s="184" t="inlineStr">
        <is>
          <t>Tidak Terintegrasi</t>
        </is>
      </c>
      <c r="Y261" s="184" t="inlineStr">
        <is>
          <t>Tidak Terintegrasi</t>
        </is>
      </c>
      <c r="Z261" s="184" t="inlineStr">
        <is>
          <t>Tidak Terintegrasi</t>
        </is>
      </c>
      <c r="AA261" s="184" t="inlineStr">
        <is>
          <t>Sekretariat</t>
        </is>
      </c>
      <c r="AB261" s="184" t="inlineStr">
        <is>
          <t>BKAD</t>
        </is>
      </c>
      <c r="AC261" s="288" t="n"/>
      <c r="AD261" s="288" t="n"/>
      <c r="AE261" s="288" t="n"/>
      <c r="AF261" s="288" t="n"/>
      <c r="AG261" s="288" t="n"/>
      <c r="AH261" s="284" t="n"/>
      <c r="AI261" s="284" t="n"/>
      <c r="AJ261" s="284" t="n"/>
      <c r="AK261" s="284" t="n"/>
      <c r="AL261" s="284" t="n"/>
      <c r="AM261" s="284" t="n"/>
      <c r="AN261" s="284" t="n"/>
      <c r="AO261" s="284" t="n"/>
      <c r="AP261" s="284" t="n"/>
      <c r="AQ261" s="284" t="n"/>
      <c r="AR261" s="284" t="n"/>
      <c r="AS261" s="284" t="n"/>
    </row>
    <row r="262">
      <c r="A262" s="182" t="n">
        <v>6</v>
      </c>
      <c r="B262" s="178" t="inlineStr">
        <is>
          <t>PENYUSUNAN HARGA SATUAN POKOK KEGIATAN (HSPK) DAN ANALISIS STANDAR BELANJA (ASB)</t>
        </is>
      </c>
      <c r="C262" t="inlineStr">
        <is>
          <t>BKAD</t>
        </is>
      </c>
      <c r="D262" s="178" t="inlineStr">
        <is>
          <t>Sebagai media untuk menghimpun usulan ASB Konstruksi dan Non Konstruksi dari seluruh Perangkat Daerah di lingkungan Pemerintah Kabupaten Bandung dalam rangka penyusunan Peraturan Bupati Bandung tentang HSPK dan ASB</t>
        </is>
      </c>
      <c r="E262" s="178" t="inlineStr">
        <is>
          <t>Undang-Undang Nomor 23 Tahun 2014 tentang Pemerintah Daerah; Peraturan Pemerintah Nomor 12 Tahun 2019 tentang Pengelolaan Keuangan Daerah; Peraturan Menteri Dalam Negeri Nomor 77 Tahun 2020 tentang Pedoman Teknis Pengelolaan Keuangan Daerah.</t>
        </is>
      </c>
      <c r="F262" s="70" t="inlineStr">
        <is>
          <t>https://drive.google.com/file/d/1Wq5fbFaB6cGVodoz0G93rd3_HKNa842I/view?usp=sharing</t>
        </is>
      </c>
      <c r="G262" s="184" t="inlineStr">
        <is>
          <t>PERENCANAAN DAN PENGANGGARAN APBN</t>
        </is>
      </c>
      <c r="H262" s="184" t="inlineStr">
        <is>
          <t>Instansi Pemerintah Lainnya</t>
        </is>
      </c>
      <c r="I262" s="184" t="inlineStr">
        <is>
          <t>Data Usulan ASB Konstruksi dan Non Konstruksi</t>
        </is>
      </c>
      <c r="J262" s="178" t="inlineStr">
        <is>
          <t>Data Usulan ASB Konstruksi dan Non Konstruksi yang telah diverifikasi oleh Bidang Anggaran</t>
        </is>
      </c>
      <c r="K262" s="184" t="inlineStr">
        <is>
          <t>Terbuka</t>
        </is>
      </c>
      <c r="L262" s="184" t="inlineStr">
        <is>
          <t>Tidak terdapat</t>
        </is>
      </c>
      <c r="M262" s="184" t="inlineStr">
        <is>
          <t>Tahunan</t>
        </is>
      </c>
      <c r="N262" s="97" t="inlineStr">
        <is>
          <t>HSPKASB E-PLANNING</t>
        </is>
      </c>
      <c r="O262" s="184" t="inlineStr">
        <is>
          <t>Pihak Ke 3</t>
        </is>
      </c>
      <c r="P262" s="184" t="inlineStr">
        <is>
          <t>Kab. Bandung</t>
        </is>
      </c>
      <c r="Q262" s="184" t="inlineStr">
        <is>
          <t>Website</t>
        </is>
      </c>
      <c r="R262" s="70" t="inlineStr">
        <is>
          <t>https://hspkasb.e-planningbmd.id/auth</t>
        </is>
      </c>
      <c r="S262" s="184" t="inlineStr">
        <is>
          <t>Secara Online</t>
        </is>
      </c>
      <c r="T262" s="184" t="inlineStr">
        <is>
          <t>Transaksi</t>
        </is>
      </c>
      <c r="U262" s="98" t="n">
        <v>2022</v>
      </c>
      <c r="V262" s="184" t="inlineStr">
        <is>
          <t>Aktif</t>
        </is>
      </c>
      <c r="W262" s="184" t="inlineStr">
        <is>
          <t>Ya</t>
        </is>
      </c>
      <c r="X262" s="184" t="inlineStr">
        <is>
          <t>SSH SBU E-Planning</t>
        </is>
      </c>
      <c r="Y262" s="184" t="inlineStr">
        <is>
          <t>API</t>
        </is>
      </c>
      <c r="Z262" s="184" t="inlineStr">
        <is>
          <t>Realtime</t>
        </is>
      </c>
      <c r="AA262" s="184" t="inlineStr">
        <is>
          <t>Bidang Anggaran</t>
        </is>
      </c>
      <c r="AB262" s="184" t="inlineStr">
        <is>
          <t>BKAD</t>
        </is>
      </c>
      <c r="AC262" s="178" t="inlineStr">
        <is>
          <t>Yanti Daryati</t>
        </is>
      </c>
      <c r="AD262" s="178" t="n">
        <v>85314238177</v>
      </c>
      <c r="AE262" s="178" t="inlineStr">
        <is>
          <t>yantidaryati46@gmail.com</t>
        </is>
      </c>
      <c r="AF262" s="288" t="n"/>
      <c r="AG262" s="288" t="n"/>
      <c r="AH262" s="284" t="n"/>
      <c r="AI262" s="284" t="n"/>
      <c r="AJ262" s="284" t="n"/>
      <c r="AK262" s="284" t="n"/>
      <c r="AL262" s="284" t="n"/>
      <c r="AM262" s="284" t="n"/>
      <c r="AN262" s="284" t="n"/>
      <c r="AO262" s="284" t="n"/>
      <c r="AP262" s="284" t="n"/>
      <c r="AQ262" s="284" t="n"/>
      <c r="AR262" s="284" t="n"/>
      <c r="AS262" s="284" t="n"/>
    </row>
    <row r="263">
      <c r="A263" s="182" t="n">
        <v>17</v>
      </c>
      <c r="B263" s="178" t="inlineStr">
        <is>
          <t>DANA DESA KEPADA PEMERINTAH DESA</t>
        </is>
      </c>
      <c r="C263" t="inlineStr">
        <is>
          <t>BKAD</t>
        </is>
      </c>
      <c r="D263" s="196" t="inlineStr">
        <is>
          <t>Dana Desa (DD) adalah dana yang bersumber dari Anggaran Pendapatan dan Belanja Negara (APBN) yang dialokasikan melalui Anggaran Pendapatan dan Belanja Daerah (APBD) Kabupaten/Kota, dan ditransfer ke rekening desa. Dana ini ditujukan untuk membiayai penyelenggaraan pemerintahan, pembangunan, pembinaan kemasyarakatan, dan pemberdayaan masyarakat desa.</t>
        </is>
      </c>
      <c r="E263" s="178" t="inlineStr">
        <is>
          <t>Undang-Undang Nomor 17 Tahun 2003 tentang Keuangan Negara.Undang-Undang Nomor 1 Tahun 2004 tentang Perbendaharaan Negara.Undang-Undang Nomor 23 Tahun 2014 tentang Pemerintahan Daerah.Peraturan Presiden Nomor 95 Tahun 2018 tentang Sistem Pemerintahan Berbasis Elektronik (SPBE).</t>
        </is>
      </c>
      <c r="F263" s="288" t="n"/>
      <c r="G263" s="184" t="inlineStr">
        <is>
          <t>PENINGKATAN KUALITAS PELAYANAN PUBLIK</t>
        </is>
      </c>
      <c r="H263" s="184" t="inlineStr">
        <is>
          <t>Instansi Pemerintah Lainnya</t>
        </is>
      </c>
      <c r="I263" s="184" t="inlineStr">
        <is>
          <t>Usulan Rekomendasi Dari DPMD</t>
        </is>
      </c>
      <c r="J263" s="178" t="inlineStr">
        <is>
          <t>Terbitan SP2D</t>
        </is>
      </c>
      <c r="K263" s="184" t="inlineStr">
        <is>
          <t>Tertutup</t>
        </is>
      </c>
      <c r="L263" s="184" t="inlineStr">
        <is>
          <t>Terdapat</t>
        </is>
      </c>
      <c r="M263" s="184" t="inlineStr">
        <is>
          <t>Harian</t>
        </is>
      </c>
      <c r="N263" s="130" t="inlineStr">
        <is>
          <t>Si-Desa</t>
        </is>
      </c>
      <c r="O263" s="184" t="inlineStr">
        <is>
          <t>Pihak Ke 3</t>
        </is>
      </c>
      <c r="P263" s="184" t="inlineStr">
        <is>
          <t>Pihak Ke 3 (Lisensi)</t>
        </is>
      </c>
      <c r="Q263" s="184" t="inlineStr">
        <is>
          <t>Website</t>
        </is>
      </c>
      <c r="R263" s="70" t="inlineStr">
        <is>
          <t>https://sidesa.bandungkab.dapda.id/login</t>
        </is>
      </c>
      <c r="S263" s="184" t="inlineStr">
        <is>
          <t>Secara Online</t>
        </is>
      </c>
      <c r="T263" s="184" t="inlineStr">
        <is>
          <t>Informasi</t>
        </is>
      </c>
      <c r="U263" s="184" t="n">
        <v>2024</v>
      </c>
      <c r="V263" s="184" t="inlineStr">
        <is>
          <t>Aktif</t>
        </is>
      </c>
      <c r="W263" s="184" t="inlineStr">
        <is>
          <t>Tidak</t>
        </is>
      </c>
      <c r="X263" s="184" t="inlineStr">
        <is>
          <t>Tidak Terintegrasi</t>
        </is>
      </c>
      <c r="Y263" s="184" t="inlineStr">
        <is>
          <t>Tidak Terintegrasi</t>
        </is>
      </c>
      <c r="Z263" s="184" t="inlineStr">
        <is>
          <t>Tidak Terintegrasi</t>
        </is>
      </c>
      <c r="AA263" s="184" t="inlineStr">
        <is>
          <t>Sekretariat</t>
        </is>
      </c>
      <c r="AB263" s="184" t="inlineStr">
        <is>
          <t>BKAD</t>
        </is>
      </c>
      <c r="AC263" s="288" t="n"/>
      <c r="AD263" s="288" t="n"/>
      <c r="AE263" s="288" t="n"/>
      <c r="AF263" s="288" t="n"/>
      <c r="AG263" s="288" t="n"/>
      <c r="AH263" s="284" t="n"/>
      <c r="AI263" s="284" t="n"/>
      <c r="AJ263" s="284" t="n"/>
      <c r="AK263" s="284" t="n"/>
      <c r="AL263" s="284" t="n"/>
      <c r="AM263" s="284" t="n"/>
      <c r="AN263" s="284" t="n"/>
      <c r="AO263" s="284" t="n"/>
      <c r="AP263" s="284" t="n"/>
      <c r="AQ263" s="284" t="n"/>
      <c r="AR263" s="284" t="n"/>
      <c r="AS263" s="284" t="n"/>
    </row>
    <row r="264">
      <c r="A264" s="182" t="n">
        <v>23</v>
      </c>
      <c r="B264" s="132" t="inlineStr">
        <is>
          <t>REKONSILIASI DATA KEUANGAN DALAM RANGKA PENYUSUNAN LAPORAN KEUANGAN</t>
        </is>
      </c>
      <c r="C264" t="inlineStr">
        <is>
          <t>BKAD</t>
        </is>
      </c>
      <c r="D264" s="197" t="inlineStr">
        <is>
          <t>Layanan Rekonsiliasi Data Keuangan dalam rangka penyusunan laporan keuangan bertujuan untuk memastikan kesesuaian, kelengkapan, dan keakuratan data keuangan antara SKPD dengan Bidang Akuntansi dan Pelaporan Keuangan. Melalui layanan ini dilakukan verifikasi dan klarifikasi data, pemeriksaan dokumen, serta koordinasi antara pihak terkait, sehingga dapat diterbitkan Berita Acara Rekonsiliasi sebagai bukti kesesuaian angka yang disajikan. Dengan demikian, layanan ini berfungsi untuk mendukung tersusunnya laporan keuangan daerah yang akurat, transparan, dapat dipertanggungjawabkan, dan sesuai dengan ketentuan yang berlaku.</t>
        </is>
      </c>
      <c r="E264" s="200" t="n"/>
      <c r="F264" s="132" t="inlineStr">
        <is>
          <t>belum tersedia</t>
        </is>
      </c>
      <c r="G264" s="184" t="inlineStr">
        <is>
          <t>PENINGKATAN KUALITAS PELAYANAN PUBLIK</t>
        </is>
      </c>
      <c r="H264" s="184" t="inlineStr">
        <is>
          <t>Pegawai</t>
        </is>
      </c>
      <c r="I264" s="184" t="inlineStr">
        <is>
          <t>data realisasi</t>
        </is>
      </c>
      <c r="J264" s="178" t="inlineStr">
        <is>
          <t>data rekonsiliasi</t>
        </is>
      </c>
      <c r="K264" s="184" t="inlineStr">
        <is>
          <t>Terbatas</t>
        </is>
      </c>
      <c r="L264" s="184" t="inlineStr">
        <is>
          <t>Tidak terdapat</t>
        </is>
      </c>
      <c r="M264" s="184" t="inlineStr">
        <is>
          <t>Bulanan</t>
        </is>
      </c>
      <c r="N264" s="97" t="inlineStr">
        <is>
          <t>soreang</t>
        </is>
      </c>
      <c r="O264" s="184" t="inlineStr">
        <is>
          <t>Pihak Ke 3</t>
        </is>
      </c>
      <c r="P264" s="184" t="inlineStr">
        <is>
          <t>Kab. Bandung</t>
        </is>
      </c>
      <c r="Q264" s="184" t="inlineStr">
        <is>
          <t>Website</t>
        </is>
      </c>
      <c r="R264" s="70" t="inlineStr">
        <is>
          <t>soreang.dapda.id</t>
        </is>
      </c>
      <c r="S264" s="184" t="inlineStr">
        <is>
          <t>Secara Online</t>
        </is>
      </c>
      <c r="T264" s="184" t="inlineStr">
        <is>
          <t>Informasi</t>
        </is>
      </c>
      <c r="U264" s="178" t="inlineStr">
        <is>
          <t>2024-2025</t>
        </is>
      </c>
      <c r="V264" s="184" t="inlineStr">
        <is>
          <t>Aktif</t>
        </is>
      </c>
      <c r="W264" s="184" t="inlineStr">
        <is>
          <t>Tidak</t>
        </is>
      </c>
      <c r="X264" s="184" t="inlineStr">
        <is>
          <t>Tidak Terintegrasi</t>
        </is>
      </c>
      <c r="Y264" s="184" t="inlineStr">
        <is>
          <t>Tidak Terintegrasi</t>
        </is>
      </c>
      <c r="Z264" s="184" t="inlineStr">
        <is>
          <t>Tidak Terintegrasi</t>
        </is>
      </c>
      <c r="AA264" s="184" t="inlineStr">
        <is>
          <t>Perben aklap</t>
        </is>
      </c>
      <c r="AB264" s="184" t="inlineStr">
        <is>
          <t>BKAD</t>
        </is>
      </c>
      <c r="AC264" s="288" t="n"/>
      <c r="AD264" s="288" t="n"/>
      <c r="AE264" s="288" t="n"/>
      <c r="AF264" s="288" t="n"/>
      <c r="AG264" s="288" t="n"/>
      <c r="AH264" s="284" t="n"/>
      <c r="AI264" s="284" t="n"/>
      <c r="AJ264" s="284" t="n"/>
      <c r="AK264" s="284" t="n"/>
      <c r="AL264" s="284" t="n"/>
      <c r="AM264" s="284" t="n"/>
      <c r="AN264" s="284" t="n"/>
      <c r="AO264" s="284" t="n"/>
      <c r="AP264" s="284" t="n"/>
      <c r="AQ264" s="284" t="n"/>
      <c r="AR264" s="284" t="n"/>
      <c r="AS264" s="284" t="n"/>
    </row>
    <row r="265">
      <c r="A265" s="182" t="n">
        <v>26</v>
      </c>
      <c r="B265" s="132" t="inlineStr">
        <is>
          <t>KONSOLIDASI PENYUSUNAN LAPORAN BARANG MILIK DAERAН</t>
        </is>
      </c>
      <c r="C265" t="inlineStr">
        <is>
          <t>BKAD</t>
        </is>
      </c>
      <c r="D265" s="132" t="inlineStr">
        <is>
          <t>Merupakan proses menghimpun dan menyusun laporan barang milik daerah 
 dalam rangka penyusunan laporan keuangan pemerintah daerah</t>
        </is>
      </c>
      <c r="E265" s="132" t="inlineStr">
        <is>
          <t>Peremndagri 47 tahun 2021, Perda no 3 tahun 2017, Perbup no 94 tahun 2020, Perbup 178 tahun 2020, Perbup 240 Tahun 2024</t>
        </is>
      </c>
      <c r="F265" s="198" t="inlineStr">
        <is>
          <t>https://drive.google.com/file/d/1YRKKugsMdrXTfIPPP5t9vIuPmcSmeJi-/view?usp=sharing</t>
        </is>
      </c>
      <c r="G265" s="184" t="inlineStr">
        <is>
          <t>AKUNTANSI DAN PELAPORAN KEUANGAN</t>
        </is>
      </c>
      <c r="H265" s="184" t="inlineStr">
        <is>
          <t>Instansi Pemerintah Lainnya</t>
        </is>
      </c>
      <c r="I265" s="184" t="inlineStr">
        <is>
          <t>Data belanja modal</t>
        </is>
      </c>
      <c r="J265" s="178" t="inlineStr">
        <is>
          <t>- Laporan neraca
 - Laporan penyusutan
 - Laporan mutasi tambah/kurang aset
 - Laporan KIB</t>
        </is>
      </c>
      <c r="K265" s="184" t="inlineStr">
        <is>
          <t>Tertutup</t>
        </is>
      </c>
      <c r="L265" s="184" t="inlineStr">
        <is>
          <t>Tidak terdapat</t>
        </is>
      </c>
      <c r="M265" s="184" t="inlineStr">
        <is>
          <t>Tahunan</t>
        </is>
      </c>
      <c r="N265" s="97" t="inlineStr">
        <is>
          <t>DIARVIS BMD</t>
        </is>
      </c>
      <c r="O265" s="184" t="inlineStr">
        <is>
          <t>Pihak Ke 3</t>
        </is>
      </c>
      <c r="P265" s="184" t="inlineStr">
        <is>
          <t>Kab. Bandung</t>
        </is>
      </c>
      <c r="Q265" s="184" t="inlineStr">
        <is>
          <t>Website</t>
        </is>
      </c>
      <c r="R265" s="70" t="inlineStr">
        <is>
          <t>https://penatausahaan-dev-bmd.bandungkab.go.id/login#pembukuan</t>
        </is>
      </c>
      <c r="S265" s="184" t="inlineStr">
        <is>
          <t>Secara Online</t>
        </is>
      </c>
      <c r="T265" s="184" t="inlineStr">
        <is>
          <t>Transaksi</t>
        </is>
      </c>
      <c r="U265" s="98" t="n">
        <v>2024</v>
      </c>
      <c r="V265" s="184" t="inlineStr">
        <is>
          <t>Maintenance</t>
        </is>
      </c>
      <c r="W265" s="184" t="inlineStr">
        <is>
          <t>Tidak</t>
        </is>
      </c>
      <c r="X265" s="184" t="inlineStr">
        <is>
          <t>DIARVIS BMD</t>
        </is>
      </c>
      <c r="Y265" s="184" t="inlineStr">
        <is>
          <t>API</t>
        </is>
      </c>
      <c r="Z265" s="184" t="inlineStr">
        <is>
          <t>Realtime</t>
        </is>
      </c>
      <c r="AA265" s="184" t="inlineStr">
        <is>
          <t>Bidang BMD</t>
        </is>
      </c>
      <c r="AB265" s="184" t="inlineStr">
        <is>
          <t>BKAD</t>
        </is>
      </c>
      <c r="AC265" s="178" t="inlineStr">
        <is>
          <t>Yohan Nugroho</t>
        </is>
      </c>
      <c r="AD265" s="178" t="n">
        <v>89526465926</v>
      </c>
      <c r="AE265" s="178" t="inlineStr">
        <is>
          <t>jojonugraha33@gmail.com</t>
        </is>
      </c>
      <c r="AF265" s="288" t="n"/>
      <c r="AG265" s="288" t="n"/>
      <c r="AH265" s="284" t="n"/>
      <c r="AI265" s="284" t="n"/>
      <c r="AJ265" s="284" t="n"/>
      <c r="AK265" s="284" t="n"/>
      <c r="AL265" s="284" t="n"/>
      <c r="AM265" s="284" t="n"/>
      <c r="AN265" s="284" t="n"/>
      <c r="AO265" s="284" t="n"/>
      <c r="AP265" s="284" t="n"/>
      <c r="AQ265" s="284" t="n"/>
      <c r="AR265" s="284" t="n"/>
      <c r="AS265" s="284" t="n"/>
    </row>
    <row r="266">
      <c r="A266" s="182" t="n">
        <v>27</v>
      </c>
      <c r="B266" s="132" t="inlineStr">
        <is>
          <t>PERENCANAAN KEBUTUHAN BARANG MILIK DAERAH</t>
        </is>
      </c>
      <c r="C266" t="inlineStr">
        <is>
          <t>BKAD</t>
        </is>
      </c>
      <c r="D266" s="132" t="inlineStr">
        <is>
          <t>Sebagai media untuk menghimpun usulan Rencana Kebutuhan Barang Milik Daerah (RKBMD) dari seluruh Perangkat Daerah di lingkungan Pemerintah Kabupaten Bandung dalam rangka penyusunan Keputusan Sekretaris Daerah tentang RKBMD</t>
        </is>
      </c>
      <c r="E266" s="132" t="inlineStr">
        <is>
          <t>Permendagri 19 Tahun 2016, Permendagri 7 Tahun 2024</t>
        </is>
      </c>
      <c r="F266" s="198" t="inlineStr">
        <is>
          <t>https://docs.google.com/spreadsheets/d/1GrF7yl0eJIiOHTS8n_w_9Sp-PAVtSvEu/edit?usp=drive_link&amp;ouid=100880423975394660255&amp;rtpof=true&amp;sd=true</t>
        </is>
      </c>
      <c r="G266" s="184" t="inlineStr">
        <is>
          <t>PERENCANAAN DAN PENGANGGARAN APBN</t>
        </is>
      </c>
      <c r="H266" s="184" t="inlineStr">
        <is>
          <t>Instansi Pemerintah Lainnya</t>
        </is>
      </c>
      <c r="I266" s="184" t="inlineStr">
        <is>
          <t>Usulan RKBMD</t>
        </is>
      </c>
      <c r="J266" s="178" t="inlineStr">
        <is>
          <t>Keputusan Sekretaris Daerah Kabupaten Bandung Tentang RKBMD</t>
        </is>
      </c>
      <c r="K266" s="184" t="inlineStr">
        <is>
          <t>Terbuka</t>
        </is>
      </c>
      <c r="L266" s="184" t="inlineStr">
        <is>
          <t>Tidak terdapat</t>
        </is>
      </c>
      <c r="M266" s="184" t="inlineStr">
        <is>
          <t>Tahunan</t>
        </is>
      </c>
      <c r="N266" s="144" t="inlineStr">
        <is>
          <t>RKBMD</t>
        </is>
      </c>
      <c r="O266" s="184" t="inlineStr">
        <is>
          <t>Pihak Ke 3</t>
        </is>
      </c>
      <c r="P266" s="184" t="inlineStr">
        <is>
          <t>Kab. Bandung</t>
        </is>
      </c>
      <c r="Q266" s="184" t="inlineStr">
        <is>
          <t>Website</t>
        </is>
      </c>
      <c r="R266" s="70" t="inlineStr">
        <is>
          <t>rkbmd.e-planningbmd.id</t>
        </is>
      </c>
      <c r="S266" s="184" t="inlineStr">
        <is>
          <t>Secara Online</t>
        </is>
      </c>
      <c r="T266" s="184" t="inlineStr">
        <is>
          <t>Transaksi</t>
        </is>
      </c>
      <c r="U266" s="98" t="n">
        <v>2022</v>
      </c>
      <c r="V266" s="184" t="inlineStr">
        <is>
          <t>Aktif</t>
        </is>
      </c>
      <c r="W266" s="184" t="inlineStr">
        <is>
          <t>Tidak</t>
        </is>
      </c>
      <c r="X266" s="184" t="inlineStr">
        <is>
          <t>E-Planning BMD</t>
        </is>
      </c>
      <c r="Y266" s="184" t="inlineStr">
        <is>
          <t>API</t>
        </is>
      </c>
      <c r="Z266" s="184" t="inlineStr">
        <is>
          <t>Realtime</t>
        </is>
      </c>
      <c r="AA266" s="184" t="inlineStr">
        <is>
          <t>Bidang BMD</t>
        </is>
      </c>
      <c r="AB266" s="184" t="inlineStr">
        <is>
          <t>BKAD</t>
        </is>
      </c>
      <c r="AC266" s="178" t="inlineStr">
        <is>
          <t>Linda Indirawati</t>
        </is>
      </c>
      <c r="AD266" s="178" t="n">
        <v>82116915820</v>
      </c>
      <c r="AE266" s="178" t="inlineStr">
        <is>
          <t>indirawatilinda@gmail.com</t>
        </is>
      </c>
      <c r="AF266" s="288" t="n"/>
      <c r="AG266" s="288" t="n"/>
      <c r="AH266" s="284" t="n"/>
      <c r="AI266" s="284" t="n"/>
      <c r="AJ266" s="284" t="n"/>
      <c r="AK266" s="284" t="n"/>
      <c r="AL266" s="284" t="n"/>
      <c r="AM266" s="284" t="n"/>
      <c r="AN266" s="284" t="n"/>
      <c r="AO266" s="284" t="n"/>
      <c r="AP266" s="284" t="n"/>
      <c r="AQ266" s="284" t="n"/>
      <c r="AR266" s="284" t="n"/>
      <c r="AS266" s="284" t="n"/>
    </row>
    <row r="267">
      <c r="A267" s="182" t="n">
        <v>28</v>
      </c>
      <c r="B267" s="132" t="inlineStr">
        <is>
          <t>STANDAR PELAYANAN PENYUSUNAN STANDAR HARGA SATUAN</t>
        </is>
      </c>
      <c r="C267" t="inlineStr">
        <is>
          <t>BKAD</t>
        </is>
      </c>
      <c r="D267" s="132" t="inlineStr">
        <is>
          <t>SHS menjadi acuan bagi seluruh perangkat daerah dalam menetapkan harga satuan barang dan jasa untuk menyusun rencana kerja dan anggaran (RKA) serta rancangan peraturan daerah tentang APBD</t>
        </is>
      </c>
      <c r="E267" s="132" t="inlineStr">
        <is>
          <t>Perpres 72 Tahun 2025 , Perbup 84 Tahun 2025</t>
        </is>
      </c>
      <c r="F267" s="198" t="inlineStr">
        <is>
          <t>https://drive.google.com/file/d/1pRxS9hpYYxPfeElynApRSPgiKe_xbqQZ/view?usp=drive_link</t>
        </is>
      </c>
      <c r="G267" s="184" t="inlineStr">
        <is>
          <t>PERENCANAAN DAN PENGANGGARAN APBN</t>
        </is>
      </c>
      <c r="H267" s="184" t="inlineStr">
        <is>
          <t>Instansi Pemerintah Lainnya</t>
        </is>
      </c>
      <c r="I267" s="184" t="inlineStr">
        <is>
          <t>Data Usulan SHS meliputi SSH dan SBU</t>
        </is>
      </c>
      <c r="J267" s="178" t="inlineStr">
        <is>
          <t>Data Usulan SHS yang telah diverifikasi oleh Bidang BMD</t>
        </is>
      </c>
      <c r="K267" s="184" t="inlineStr">
        <is>
          <t>Terbuka</t>
        </is>
      </c>
      <c r="L267" s="184" t="inlineStr">
        <is>
          <t>Tidak terdapat</t>
        </is>
      </c>
      <c r="M267" s="184" t="inlineStr">
        <is>
          <t>Tahunan</t>
        </is>
      </c>
      <c r="N267" s="144" t="inlineStr">
        <is>
          <t>E-PLANNING BMD</t>
        </is>
      </c>
      <c r="O267" s="184" t="inlineStr">
        <is>
          <t>Pihak Ke 3</t>
        </is>
      </c>
      <c r="P267" s="184" t="inlineStr">
        <is>
          <t>Kab. Bandung</t>
        </is>
      </c>
      <c r="Q267" s="184" t="inlineStr">
        <is>
          <t>Website</t>
        </is>
      </c>
      <c r="R267" s="70" t="inlineStr">
        <is>
          <t>https://e-planningbmd.id/</t>
        </is>
      </c>
      <c r="S267" s="184" t="inlineStr">
        <is>
          <t>Secara Online</t>
        </is>
      </c>
      <c r="T267" s="184" t="inlineStr">
        <is>
          <t>Transaksi</t>
        </is>
      </c>
      <c r="U267" s="98" t="n">
        <v>2021</v>
      </c>
      <c r="V267" s="184" t="inlineStr">
        <is>
          <t>Aktif</t>
        </is>
      </c>
      <c r="W267" s="184" t="inlineStr">
        <is>
          <t>Ya</t>
        </is>
      </c>
      <c r="X267" s="184" t="inlineStr">
        <is>
          <t>SSHSBU E-Planning</t>
        </is>
      </c>
      <c r="Y267" s="184" t="inlineStr">
        <is>
          <t>API</t>
        </is>
      </c>
      <c r="Z267" s="184" t="inlineStr">
        <is>
          <t>Realtime</t>
        </is>
      </c>
      <c r="AA267" s="184" t="inlineStr">
        <is>
          <t>Bidang BMD</t>
        </is>
      </c>
      <c r="AB267" s="184" t="inlineStr">
        <is>
          <t>BKAD</t>
        </is>
      </c>
      <c r="AC267" s="178" t="inlineStr">
        <is>
          <t>Ira</t>
        </is>
      </c>
      <c r="AD267" s="178" t="n">
        <v>87838661789</v>
      </c>
      <c r="AE267" s="178" t="inlineStr">
        <is>
          <t>irair712@gmail.com</t>
        </is>
      </c>
      <c r="AF267" s="288" t="n"/>
      <c r="AG267" s="288" t="n"/>
      <c r="AH267" s="284" t="n"/>
      <c r="AI267" s="284" t="n"/>
      <c r="AJ267" s="284" t="n"/>
      <c r="AK267" s="284" t="n"/>
      <c r="AL267" s="284" t="n"/>
      <c r="AM267" s="284" t="n"/>
      <c r="AN267" s="284" t="n"/>
      <c r="AO267" s="284" t="n"/>
      <c r="AP267" s="284" t="n"/>
      <c r="AQ267" s="284" t="n"/>
      <c r="AR267" s="284" t="n"/>
      <c r="AS267" s="284" t="n"/>
    </row>
    <row r="268">
      <c r="A268" s="182" t="n">
        <v>29</v>
      </c>
      <c r="B268" s="132" t="inlineStr">
        <is>
          <t>PENGHAPUSAN BARANG MILIK DAERAH (BMD)</t>
        </is>
      </c>
      <c r="C268" t="inlineStr">
        <is>
          <t>BKAD</t>
        </is>
      </c>
      <c r="D268" s="132" t="inlineStr">
        <is>
          <t>Mengelola Proses penghapusan BMD meliputi tiga alur utama: 
 - Pemindahtanganan melalui lelang
 - Pemindahtanganan melalui hibah
 - Pemusnahan
 Setiap alur memiliki persyaratan, prosedur, dan dokumen yang berbeda-beda. Kompleksitas ini sering menghambat pengusul dan proses penghapusan karena proses yang panjang sehingga memakan waktu lama dan rentan terhadap kesalahan administrasi. maka dibuat digitalisasi untuk memudahkan pemohon dan pengelola penghapusan.</t>
        </is>
      </c>
      <c r="E268" s="132" t="inlineStr">
        <is>
          <t>Permendagri No. 7 Tahun 2024 dan Permendagri sebelumnya sebagai pedoman umum,
 Peraturan Pemerintah No. 27 Tahun 2014,
 Peraturan Daerah yang mengatur tata cara pelaksanaan pemindahtanganan, pemusnahan, dan penghapusan</t>
        </is>
      </c>
      <c r="F268" s="132" t="inlineStr">
        <is>
          <t>Belum tersedia</t>
        </is>
      </c>
      <c r="G268" s="184" t="inlineStr">
        <is>
          <t>AKUNTANSI DAN PELAPORAN KEUANGAN</t>
        </is>
      </c>
      <c r="H268" s="184" t="inlineStr">
        <is>
          <t>Instansi Pemerintah Lainnya</t>
        </is>
      </c>
      <c r="I268" s="184" t="inlineStr">
        <is>
          <t>Data Barang Rusak Berat, Data Usulan Penghapusan, Dokumen Proses Penghapusan</t>
        </is>
      </c>
      <c r="J268" s="178" t="inlineStr">
        <is>
          <t>Format Usulan, Informasi Status Progess Penghapusan, SK Penghapusan</t>
        </is>
      </c>
      <c r="K268" s="184" t="inlineStr">
        <is>
          <t>Terbuka</t>
        </is>
      </c>
      <c r="L268" s="184" t="inlineStr">
        <is>
          <t>Tidak terdapat</t>
        </is>
      </c>
      <c r="M268" s="184" t="inlineStr">
        <is>
          <t>Tahunan</t>
        </is>
      </c>
      <c r="N268" s="199" t="inlineStr">
        <is>
          <t>E-PENGHAPUSAN BMD</t>
        </is>
      </c>
      <c r="O268" s="184" t="inlineStr">
        <is>
          <t>Pihak Ke 3</t>
        </is>
      </c>
      <c r="P268" s="184" t="inlineStr">
        <is>
          <t>Kab. Bandung</t>
        </is>
      </c>
      <c r="Q268" s="184" t="inlineStr">
        <is>
          <t>Website</t>
        </is>
      </c>
      <c r="R268" s="70" t="inlineStr">
        <is>
          <t>https://e-penghapusanbmd.id/</t>
        </is>
      </c>
      <c r="S268" s="184" t="inlineStr">
        <is>
          <t>Secara Online</t>
        </is>
      </c>
      <c r="T268" s="184" t="inlineStr">
        <is>
          <t>Transaksi</t>
        </is>
      </c>
      <c r="U268" s="98" t="n">
        <v>2024</v>
      </c>
      <c r="V268" s="184" t="inlineStr">
        <is>
          <t>Aktif</t>
        </is>
      </c>
      <c r="W268" s="184" t="inlineStr">
        <is>
          <t>Tidak</t>
        </is>
      </c>
      <c r="X268" s="184" t="inlineStr">
        <is>
          <t>diarvis (dalam pengembangan)</t>
        </is>
      </c>
      <c r="Y268" s="184" t="inlineStr">
        <is>
          <t>API</t>
        </is>
      </c>
      <c r="Z268" s="184" t="inlineStr">
        <is>
          <t>Lainnya</t>
        </is>
      </c>
      <c r="AA268" s="184" t="inlineStr">
        <is>
          <t>BMD</t>
        </is>
      </c>
      <c r="AB268" s="184" t="inlineStr">
        <is>
          <t>BKAD</t>
        </is>
      </c>
      <c r="AC268" s="178" t="inlineStr">
        <is>
          <t>indra</t>
        </is>
      </c>
      <c r="AD268" s="178" t="n">
        <v>82116608826</v>
      </c>
      <c r="AE268" s="178" t="inlineStr">
        <is>
          <t>indratroya@gmail.com</t>
        </is>
      </c>
      <c r="AF268" s="288" t="n"/>
      <c r="AG268" s="288" t="n"/>
      <c r="AH268" s="284" t="n"/>
      <c r="AI268" s="284" t="n"/>
      <c r="AJ268" s="284" t="n"/>
      <c r="AK268" s="284" t="n"/>
      <c r="AL268" s="284" t="n"/>
      <c r="AM268" s="284" t="n"/>
      <c r="AN268" s="284" t="n"/>
      <c r="AO268" s="284" t="n"/>
      <c r="AP268" s="284" t="n"/>
      <c r="AQ268" s="284" t="n"/>
      <c r="AR268" s="284" t="n"/>
      <c r="AS268" s="284" t="n"/>
    </row>
    <row r="269">
      <c r="A269" s="182" t="n">
        <v>30</v>
      </c>
      <c r="B269" s="132" t="inlineStr">
        <is>
          <t>DIGITALISASI PENCATATAN PERSEDIAAN BARANG</t>
        </is>
      </c>
      <c r="C269" t="inlineStr">
        <is>
          <t>BKAD</t>
        </is>
      </c>
      <c r="D269" s="76" t="inlineStr">
        <is>
          <t>Digitalisasi ini bertujuan untuk membantu OPD dalam mengelola persediaan barang secara lebih efektif, terstruktur, akurat dan realtime. Dengan digitalisasi, pencatatan transaksi keluar-masuk barang dapat dilakukan secara otomatis dan terdokumentasi dengan baik sehingga meminimalkan kesalahan manual, mempercepat proses administrasi, serta mendukung pengambilan keputusan berdasarkan data yang valid</t>
        </is>
      </c>
      <c r="E269" s="132" t="inlineStr">
        <is>
          <t>Permendagri 47 Tahun 2021</t>
        </is>
      </c>
      <c r="F269" s="132" t="inlineStr">
        <is>
          <t>Belum tersedia</t>
        </is>
      </c>
      <c r="G269" s="184" t="inlineStr">
        <is>
          <t>AKUNTANSI DAN PELAPORAN KEUANGAN</t>
        </is>
      </c>
      <c r="H269" s="184" t="inlineStr">
        <is>
          <t>Instansi Pemerintah Lainnya</t>
        </is>
      </c>
      <c r="I269" s="184" t="inlineStr">
        <is>
          <t>Data Transaksi Masuk dan keluar barang pakai habis</t>
        </is>
      </c>
      <c r="J269" s="76" t="inlineStr">
        <is>
          <t>- Laporan stockopname
 - Riwayat transaksi
 - Kartu barang persdiaan
 - Laporan Penggunaan barang
 - Laporan barag rusak/usang
 - Rekapitulasi nilai persediaan</t>
        </is>
      </c>
      <c r="K269" s="184" t="inlineStr">
        <is>
          <t>Terbuka</t>
        </is>
      </c>
      <c r="L269" s="184" t="inlineStr">
        <is>
          <t>Tidak terdapat</t>
        </is>
      </c>
      <c r="M269" s="184" t="inlineStr">
        <is>
          <t>Harian</t>
        </is>
      </c>
      <c r="N269" s="97" t="inlineStr">
        <is>
          <t>e-PERSEDIAAN</t>
        </is>
      </c>
      <c r="O269" s="184" t="inlineStr">
        <is>
          <t>OPD</t>
        </is>
      </c>
      <c r="P269" s="184" t="inlineStr">
        <is>
          <t>Kab. Bandung</t>
        </is>
      </c>
      <c r="Q269" s="184" t="inlineStr">
        <is>
          <t>Website</t>
        </is>
      </c>
      <c r="R269" s="70" t="inlineStr">
        <is>
          <t>https://persediaanbmd.bandungkab.go.id/</t>
        </is>
      </c>
      <c r="S269" s="184" t="inlineStr">
        <is>
          <t>Secara Online</t>
        </is>
      </c>
      <c r="T269" s="184" t="inlineStr">
        <is>
          <t>Transaksi</t>
        </is>
      </c>
      <c r="U269" s="98" t="n">
        <v>2023</v>
      </c>
      <c r="V269" s="184" t="inlineStr">
        <is>
          <t>Aktif</t>
        </is>
      </c>
      <c r="W269" s="184" t="inlineStr">
        <is>
          <t>Ya</t>
        </is>
      </c>
      <c r="X269" s="184" t="inlineStr">
        <is>
          <t>e-penghapusan dan diarvis (dalam pengembangan)</t>
        </is>
      </c>
      <c r="Y269" s="184" t="inlineStr">
        <is>
          <t>API</t>
        </is>
      </c>
      <c r="Z269" s="184" t="inlineStr">
        <is>
          <t>Lainnya</t>
        </is>
      </c>
      <c r="AA269" s="184" t="inlineStr">
        <is>
          <t>Barang Milik Daerah</t>
        </is>
      </c>
      <c r="AB269" s="184" t="inlineStr">
        <is>
          <t>BKAD</t>
        </is>
      </c>
      <c r="AC269" s="178" t="inlineStr">
        <is>
          <t>Cecep Sutisna</t>
        </is>
      </c>
      <c r="AD269" s="178" t="n">
        <v>83822355705</v>
      </c>
      <c r="AE269" s="178" t="inlineStr">
        <is>
          <t>cecepsutisna488@gmail.com</t>
        </is>
      </c>
      <c r="AF269" s="288" t="n"/>
      <c r="AG269" s="288" t="n"/>
      <c r="AH269" s="284" t="n"/>
      <c r="AI269" s="284" t="n"/>
      <c r="AJ269" s="284" t="n"/>
      <c r="AK269" s="284" t="n"/>
      <c r="AL269" s="284" t="n"/>
      <c r="AM269" s="284" t="n"/>
      <c r="AN269" s="284" t="n"/>
      <c r="AO269" s="284" t="n"/>
      <c r="AP269" s="284" t="n"/>
      <c r="AQ269" s="284" t="n"/>
      <c r="AR269" s="284" t="n"/>
      <c r="AS269" s="284" t="n"/>
    </row>
    <row r="270">
      <c r="A270" s="182" t="n">
        <v>31</v>
      </c>
      <c r="B270" s="200" t="n"/>
      <c r="D270" s="200" t="n"/>
      <c r="E270" s="200" t="n"/>
      <c r="F270" s="132" t="inlineStr">
        <is>
          <t>Belum tersedia</t>
        </is>
      </c>
      <c r="G270" s="288" t="n"/>
      <c r="H270" s="184" t="inlineStr">
        <is>
          <t>Instansi Pemerintah Lainnya</t>
        </is>
      </c>
      <c r="I270" s="288" t="n"/>
      <c r="J270" s="200" t="n"/>
      <c r="K270" s="184" t="inlineStr">
        <is>
          <t>Terbuka</t>
        </is>
      </c>
      <c r="L270" s="184" t="inlineStr">
        <is>
          <t>Tidak terdapat</t>
        </is>
      </c>
      <c r="M270" s="184" t="inlineStr">
        <is>
          <t>Lainnya</t>
        </is>
      </c>
      <c r="N270" s="93" t="inlineStr">
        <is>
          <t>DIARVIS BMD</t>
        </is>
      </c>
      <c r="O270" s="184" t="inlineStr">
        <is>
          <t>Pihak Ke 3</t>
        </is>
      </c>
      <c r="P270" s="184" t="inlineStr">
        <is>
          <t>Kab. Bandung</t>
        </is>
      </c>
      <c r="Q270" s="184" t="inlineStr">
        <is>
          <t>Website</t>
        </is>
      </c>
      <c r="R270" s="132" t="inlineStr">
        <is>
          <t>DIARVIS E-BMD</t>
        </is>
      </c>
      <c r="S270" s="184" t="inlineStr">
        <is>
          <t>Secara Online</t>
        </is>
      </c>
      <c r="T270" s="184" t="inlineStr">
        <is>
          <t>Transaksi</t>
        </is>
      </c>
      <c r="U270" s="98" t="n">
        <v>2024</v>
      </c>
      <c r="V270" s="184" t="inlineStr">
        <is>
          <t>Aktif</t>
        </is>
      </c>
      <c r="W270" s="184" t="inlineStr">
        <is>
          <t>Tidak</t>
        </is>
      </c>
      <c r="X270" s="184" t="inlineStr">
        <is>
          <t>e-penghapusan dan e-planning (dalam pengembangan)</t>
        </is>
      </c>
      <c r="Y270" s="184" t="inlineStr">
        <is>
          <t>API</t>
        </is>
      </c>
      <c r="Z270" s="184" t="inlineStr">
        <is>
          <t>Lainnya</t>
        </is>
      </c>
      <c r="AA270" s="184" t="inlineStr">
        <is>
          <t>Barang Milik Daerah</t>
        </is>
      </c>
      <c r="AB270" s="184" t="inlineStr">
        <is>
          <t>BKAD</t>
        </is>
      </c>
      <c r="AC270" s="178" t="inlineStr">
        <is>
          <t>Fadlan</t>
        </is>
      </c>
      <c r="AD270" s="178" t="inlineStr">
        <is>
          <t>‪085155431332‬</t>
        </is>
      </c>
      <c r="AE270" s="288" t="n"/>
      <c r="AF270" s="288" t="n"/>
      <c r="AG270" s="288" t="n"/>
      <c r="AH270" s="284" t="n"/>
      <c r="AI270" s="284" t="n"/>
      <c r="AJ270" s="284" t="n"/>
      <c r="AK270" s="284" t="n"/>
      <c r="AL270" s="284" t="n"/>
      <c r="AM270" s="284" t="n"/>
      <c r="AN270" s="284" t="n"/>
      <c r="AO270" s="284" t="n"/>
      <c r="AP270" s="284" t="n"/>
      <c r="AQ270" s="284" t="n"/>
      <c r="AR270" s="284" t="n"/>
      <c r="AS270" s="284" t="n"/>
    </row>
    <row r="271">
      <c r="A271" s="71" t="inlineStr">
        <is>
          <t>BAPENDA</t>
        </is>
      </c>
      <c r="B271" s="58" t="n"/>
      <c r="D271" s="58" t="n"/>
      <c r="E271" s="58" t="n"/>
      <c r="F271" s="58" t="n"/>
      <c r="G271" s="58" t="n"/>
      <c r="H271" s="58" t="n"/>
      <c r="I271" s="58" t="n"/>
      <c r="J271" s="58" t="n"/>
      <c r="K271" s="58" t="n"/>
      <c r="L271" s="58" t="n"/>
      <c r="M271" s="58" t="n"/>
      <c r="N271" s="58" t="n"/>
      <c r="O271" s="58" t="n"/>
      <c r="P271" s="58" t="n"/>
      <c r="Q271" s="58" t="n"/>
      <c r="R271" s="58" t="n"/>
      <c r="S271" s="58" t="n"/>
      <c r="T271" s="58" t="n"/>
      <c r="U271" s="58" t="n"/>
      <c r="V271" s="58" t="n"/>
      <c r="W271" s="58" t="n"/>
      <c r="X271" s="58" t="n"/>
      <c r="Y271" s="58" t="n"/>
      <c r="Z271" s="58" t="n"/>
      <c r="AA271" s="58" t="n"/>
      <c r="AB271" s="58" t="n"/>
      <c r="AC271" s="58" t="n"/>
      <c r="AD271" s="58" t="n"/>
      <c r="AE271" s="58" t="n"/>
      <c r="AF271" s="200" t="n"/>
      <c r="AG271" s="200" t="n"/>
      <c r="AH271" s="284" t="n"/>
      <c r="AI271" s="284" t="n"/>
      <c r="AJ271" s="284" t="n"/>
      <c r="AK271" s="284" t="n"/>
      <c r="AL271" s="284" t="n"/>
      <c r="AM271" s="284" t="n"/>
      <c r="AN271" s="284" t="n"/>
      <c r="AO271" s="284" t="n"/>
      <c r="AP271" s="284" t="n"/>
      <c r="AQ271" s="284" t="n"/>
      <c r="AR271" s="284" t="n"/>
      <c r="AS271" s="284" t="n"/>
    </row>
    <row r="272">
      <c r="A272" s="175" t="n">
        <v>1</v>
      </c>
      <c r="B272" s="201" t="inlineStr">
        <is>
          <t>Pendaftaran Wajib Pajak Baru:
 PBJT Makanan dan/atau Minuman, PBJT Tenaga Listrik, PBJT Jasa Perhotelan, PBJT Jasa Parkir, PBJT Jasa Kesenian dan Hiburan, Pajak Reklame, Pajak Mineral Bukan Logam dan Batuan (MBLB) dan Pajak Air Tanah</t>
        </is>
      </c>
      <c r="C272" t="inlineStr">
        <is>
          <t>BAPENDA</t>
        </is>
      </c>
      <c r="D272" s="201" t="inlineStr">
        <is>
          <t>Layanan yang disediakan oleh Badan Pendapatan Daerah bagi masyarakat untuk pendaftaran wajib pajak baru kategori:
 1. PBJT Makanan dan/atau Minuman
 2. PBJT Tenaga Listrik
 3. PBJT Jasa Perhotelan
 4. PBJT Jasa Parkir
 5. PBJT Jasa Kesenian dan Hiburan
 6. Pajak Reklame
 7. Pajak Mineral Bukan Logam dan Batuan (MBLB)
 8. Pajak Air Tanah</t>
        </is>
      </c>
      <c r="E272" s="201" t="inlineStr">
        <is>
          <t>1. Peraturan Daerah Kabupaten Bandung Nomor 10 Tahun 2023 tentang Pajak Daerah dan Retribusi Daerah
 2. Peraturan Bupati Bandung Nomor 289 Tahun 2023 tentang Tata Cara Pemungutan Pajak Daerah</t>
        </is>
      </c>
      <c r="F272" s="70" t="inlineStr">
        <is>
          <t>https://drive.google.com/file/d/13chpwS3hzckDO6lZ62iqJLre18eSmtSR/view?usp=sharing</t>
        </is>
      </c>
      <c r="G272" s="176" t="inlineStr">
        <is>
          <t>PENINGKATAN KUALITAS PELAYANAN PUBLIK</t>
        </is>
      </c>
      <c r="H272" s="184" t="inlineStr">
        <is>
          <t>Masyarakat &amp; Pelaku Bisnis</t>
        </is>
      </c>
      <c r="I272" s="201" t="inlineStr">
        <is>
          <t>1. KTP
 2. Nomor Pokok Wajib Pajak (NPWP)
 3. Izin Usaha</t>
        </is>
      </c>
      <c r="J272" s="201" t="inlineStr">
        <is>
          <t>NPWPD (Nomor Pokok Wajib Pajak Daerah)</t>
        </is>
      </c>
      <c r="K272" s="176" t="inlineStr">
        <is>
          <t>Terbatas</t>
        </is>
      </c>
      <c r="L272" s="176" t="inlineStr">
        <is>
          <t>Terdapat</t>
        </is>
      </c>
      <c r="M272" s="176" t="inlineStr">
        <is>
          <t>Harian</t>
        </is>
      </c>
      <c r="N272" s="97" t="inlineStr">
        <is>
          <t>e-SPTPD</t>
        </is>
      </c>
      <c r="O272" s="176" t="inlineStr">
        <is>
          <t>Pihak Ke 3</t>
        </is>
      </c>
      <c r="P272" s="176" t="inlineStr">
        <is>
          <t>Kab. Bandung</t>
        </is>
      </c>
      <c r="Q272" s="176" t="inlineStr">
        <is>
          <t>Website dan Mobile</t>
        </is>
      </c>
      <c r="R272" s="70" t="inlineStr">
        <is>
          <t>https://e-sptpd.bandungkab.go.id/site/login</t>
        </is>
      </c>
      <c r="S272" s="176" t="inlineStr">
        <is>
          <t>Secara Online</t>
        </is>
      </c>
      <c r="T272" s="176" t="inlineStr">
        <is>
          <t>Transaksi</t>
        </is>
      </c>
      <c r="U272" s="176" t="n">
        <v>2020</v>
      </c>
      <c r="V272" s="176" t="inlineStr">
        <is>
          <t>Aktif</t>
        </is>
      </c>
      <c r="W272" s="176" t="inlineStr">
        <is>
          <t>Ya</t>
        </is>
      </c>
      <c r="X272" s="201" t="inlineStr">
        <is>
          <t>SIP-PAD (Sistem Informasi Pengelolaan Pendapatan Asli Daerah)</t>
        </is>
      </c>
      <c r="Y272" s="176" t="inlineStr">
        <is>
          <t>API</t>
        </is>
      </c>
      <c r="Z272" s="176" t="inlineStr">
        <is>
          <t>Realtime</t>
        </is>
      </c>
      <c r="AA272" s="201" t="inlineStr">
        <is>
          <t>Bidang Pajak I</t>
        </is>
      </c>
      <c r="AB272" s="176" t="inlineStr">
        <is>
          <t>Bapenda</t>
        </is>
      </c>
      <c r="AC272" s="201" t="inlineStr">
        <is>
          <t>Tri Putra Apriyono</t>
        </is>
      </c>
      <c r="AD272" s="201" t="n">
        <v>82240473904</v>
      </c>
      <c r="AE272" s="176" t="inlineStr">
        <is>
          <t>-</t>
        </is>
      </c>
      <c r="AF272" s="288" t="n"/>
      <c r="AG272" s="288" t="n"/>
      <c r="AH272" s="202" t="n"/>
      <c r="AI272" s="284" t="n"/>
      <c r="AJ272" s="284" t="n"/>
      <c r="AK272" s="284" t="n"/>
      <c r="AL272" s="284" t="n"/>
      <c r="AM272" s="284" t="n"/>
      <c r="AN272" s="284" t="n"/>
      <c r="AO272" s="284" t="n"/>
      <c r="AP272" s="284" t="n"/>
      <c r="AQ272" s="284" t="n"/>
      <c r="AR272" s="284" t="n"/>
      <c r="AS272" s="284" t="n"/>
    </row>
    <row r="273">
      <c r="A273" s="175" t="n">
        <v>2</v>
      </c>
      <c r="B273" s="201" t="inlineStr">
        <is>
          <t>Pendaftaran Objek Pajak Baru Pajak Bumi dan Bangunan Perdesaan dan Perkotaan (PBB-P2)</t>
        </is>
      </c>
      <c r="C273" t="inlineStr">
        <is>
          <t>BAPENDA</t>
        </is>
      </c>
      <c r="D273" s="201" t="inlineStr">
        <is>
          <t>Layanan yang disediakan oleh Badan Pendapatan Daerah bagi masyarakat untuk pendaftaran objek pajak baru kategori Pajak Bumi dan Bangunan Perdesaan dan Perkotaan (PBB-P2).</t>
        </is>
      </c>
      <c r="E273" s="201" t="inlineStr">
        <is>
          <t>1. Peraturan Daerah Kabupaten Bandung Nomor 10 Tahun 2023 tentang Pajak Daerah dan Retribusi Daerah
 2. Peraturan Bupati Bandung Nomor 289 Tahun 2023 tentang Tata Cara Pemungutan Pajak Daerah</t>
        </is>
      </c>
      <c r="F273" s="70" t="inlineStr">
        <is>
          <t>https://drive.google.com/file/d/1EleK6UBDx7lBx-8YOCfg6TAbMx8HdYBj/view?usp=sharing</t>
        </is>
      </c>
      <c r="G273" s="176" t="inlineStr">
        <is>
          <t>PENINGKATAN KUALITAS PELAYANAN PUBLIK</t>
        </is>
      </c>
      <c r="H273" s="184" t="inlineStr">
        <is>
          <t>Masyarakat &amp; Pelaku Bisnis</t>
        </is>
      </c>
      <c r="I273" s="201" t="inlineStr">
        <is>
          <t>1. KTP
 2. NPWP
 3. Data Objek Pajak yang sesuai dengan bukti kepemilikan
 4. SPOP
 5. LSPOP</t>
        </is>
      </c>
      <c r="J273" s="201" t="inlineStr">
        <is>
          <t>SPPT PBB-P2</t>
        </is>
      </c>
      <c r="K273" s="176" t="inlineStr">
        <is>
          <t>Terbatas</t>
        </is>
      </c>
      <c r="L273" s="176" t="inlineStr">
        <is>
          <t>Terdapat</t>
        </is>
      </c>
      <c r="M273" s="176" t="inlineStr">
        <is>
          <t>Harian</t>
        </is>
      </c>
      <c r="N273" s="97" t="inlineStr">
        <is>
          <t>SISMIOP</t>
        </is>
      </c>
      <c r="O273" s="176" t="inlineStr">
        <is>
          <t>Pihak Ke 3</t>
        </is>
      </c>
      <c r="P273" s="176" t="inlineStr">
        <is>
          <t>Kab. Bandung</t>
        </is>
      </c>
      <c r="Q273" s="176" t="inlineStr">
        <is>
          <t>Website</t>
        </is>
      </c>
      <c r="R273" s="70" t="inlineStr">
        <is>
          <t>pbb-online.bandungkab.go.id</t>
        </is>
      </c>
      <c r="S273" s="176" t="inlineStr">
        <is>
          <t>Secara Online</t>
        </is>
      </c>
      <c r="T273" s="176" t="inlineStr">
        <is>
          <t>Transaksi</t>
        </is>
      </c>
      <c r="U273" s="176" t="n">
        <v>2012</v>
      </c>
      <c r="V273" s="176" t="inlineStr">
        <is>
          <t>Aktif</t>
        </is>
      </c>
      <c r="W273" s="176" t="inlineStr">
        <is>
          <t>Ya</t>
        </is>
      </c>
      <c r="X273" s="201" t="inlineStr">
        <is>
          <t>1. Dashboard Pimpinan
 2. Bank BJB</t>
        </is>
      </c>
      <c r="Y273" s="176" t="inlineStr">
        <is>
          <t>API</t>
        </is>
      </c>
      <c r="Z273" s="176" t="inlineStr">
        <is>
          <t>Realtime</t>
        </is>
      </c>
      <c r="AA273" s="201" t="inlineStr">
        <is>
          <t>Bidang Pajak II</t>
        </is>
      </c>
      <c r="AB273" s="176" t="inlineStr">
        <is>
          <t>Bapenda</t>
        </is>
      </c>
      <c r="AC273" s="201" t="inlineStr">
        <is>
          <t>Ipang Maulana Ibrahim</t>
        </is>
      </c>
      <c r="AD273" s="201" t="n">
        <v>81321159892</v>
      </c>
      <c r="AE273" s="176" t="inlineStr">
        <is>
          <t>-</t>
        </is>
      </c>
      <c r="AF273" s="288" t="n"/>
      <c r="AG273" s="288" t="n"/>
      <c r="AH273" s="202" t="n"/>
      <c r="AI273" s="284" t="n"/>
      <c r="AJ273" s="284" t="n"/>
      <c r="AK273" s="284" t="n"/>
      <c r="AL273" s="284" t="n"/>
      <c r="AM273" s="284" t="n"/>
      <c r="AN273" s="284" t="n"/>
      <c r="AO273" s="284" t="n"/>
      <c r="AP273" s="284" t="n"/>
      <c r="AQ273" s="284" t="n"/>
      <c r="AR273" s="284" t="n"/>
      <c r="AS273" s="284" t="n"/>
    </row>
    <row r="274">
      <c r="A274" s="175" t="n">
        <v>3</v>
      </c>
      <c r="B274" s="201" t="inlineStr">
        <is>
          <t>Penerbitan Salinan Surat Pemberitahuan Pajak Terhutang (SPPT) Pajak Bumi dan Bangunan Perdesaan dan Perkotaan (PBB-P2)</t>
        </is>
      </c>
      <c r="C274" t="inlineStr">
        <is>
          <t>BAPENDA</t>
        </is>
      </c>
      <c r="D274" s="201" t="inlineStr">
        <is>
          <t>Layanan yang disediakan oleh Badan Pendapatan Daerah bagi masyarakat untuk penerbitan Salinan Surat Pemberitahuan Pajak Terhutang (SPPT) Pajak Bumi dan Bangunan Perdesaan dan Perkotaan (PBB-P2).</t>
        </is>
      </c>
      <c r="E274" s="201" t="inlineStr">
        <is>
          <t>1. Peraturan Daerah Kabupaten Bandung Nomor 10 Tahun 2023 tentang Pajak Daerah dan Retribusi Daerah
 2. Peraturan Bupati Bandung Nomor 289 Tahun 2023 tentang Tata Cara Pemungutan Pajak Daerah</t>
        </is>
      </c>
      <c r="F274" s="70" t="inlineStr">
        <is>
          <t>https://drive.google.com/file/d/1CloKUh40TI8aJ_npp4ASJNSlnRVawVBn/view?usp=sharing</t>
        </is>
      </c>
      <c r="G274" s="176" t="inlineStr">
        <is>
          <t>PENINGKATAN KUALITAS PELAYANAN PUBLIK</t>
        </is>
      </c>
      <c r="H274" s="184" t="inlineStr">
        <is>
          <t>Masyarakat &amp; Pelaku Bisnis</t>
        </is>
      </c>
      <c r="I274" s="201" t="inlineStr">
        <is>
          <t>1. NOP
 2. Tahun Pajak SPPT PBB-P2</t>
        </is>
      </c>
      <c r="J274" s="201" t="inlineStr">
        <is>
          <t>SPPT PBB-P2</t>
        </is>
      </c>
      <c r="K274" s="176" t="inlineStr">
        <is>
          <t>Terbatas</t>
        </is>
      </c>
      <c r="L274" s="176" t="inlineStr">
        <is>
          <t>Terdapat</t>
        </is>
      </c>
      <c r="M274" s="176" t="inlineStr">
        <is>
          <t>Harian</t>
        </is>
      </c>
      <c r="N274" s="97" t="inlineStr">
        <is>
          <t>Aplikasi Cetak SPPT</t>
        </is>
      </c>
      <c r="O274" s="176" t="inlineStr">
        <is>
          <t>OPD</t>
        </is>
      </c>
      <c r="P274" s="176" t="inlineStr">
        <is>
          <t>Kab. Bandung</t>
        </is>
      </c>
      <c r="Q274" s="176" t="inlineStr">
        <is>
          <t>Website</t>
        </is>
      </c>
      <c r="R274" s="201" t="inlineStr">
        <is>
          <t>192.168.255.225/bandung-cetak/cetak-SPPT</t>
        </is>
      </c>
      <c r="S274" s="176" t="inlineStr">
        <is>
          <t>Secara Online</t>
        </is>
      </c>
      <c r="T274" s="176" t="inlineStr">
        <is>
          <t>Transaksi</t>
        </is>
      </c>
      <c r="U274" s="176" t="n">
        <v>2023</v>
      </c>
      <c r="V274" s="176" t="inlineStr">
        <is>
          <t>Aktif</t>
        </is>
      </c>
      <c r="W274" s="176" t="inlineStr">
        <is>
          <t>Ya</t>
        </is>
      </c>
      <c r="X274" s="201" t="inlineStr">
        <is>
          <t>1. Dashboard Pimpinan
 2. Bank BJB</t>
        </is>
      </c>
      <c r="Y274" s="176" t="inlineStr">
        <is>
          <t>API</t>
        </is>
      </c>
      <c r="Z274" s="176" t="inlineStr">
        <is>
          <t>Realtime</t>
        </is>
      </c>
      <c r="AA274" s="201" t="inlineStr">
        <is>
          <t>Bidang Pajak II</t>
        </is>
      </c>
      <c r="AB274" s="176" t="inlineStr">
        <is>
          <t>Bapenda</t>
        </is>
      </c>
      <c r="AC274" s="201" t="inlineStr">
        <is>
          <t>Ipang Maulana Ibrahim</t>
        </is>
      </c>
      <c r="AD274" s="201" t="n">
        <v>81321159892</v>
      </c>
      <c r="AE274" s="176" t="inlineStr">
        <is>
          <t>-</t>
        </is>
      </c>
      <c r="AF274" s="288" t="n"/>
      <c r="AG274" s="288" t="n"/>
      <c r="AH274" s="202" t="n"/>
      <c r="AI274" s="284" t="n"/>
      <c r="AJ274" s="284" t="n"/>
      <c r="AK274" s="284" t="n"/>
      <c r="AL274" s="284" t="n"/>
      <c r="AM274" s="284" t="n"/>
      <c r="AN274" s="284" t="n"/>
      <c r="AO274" s="284" t="n"/>
      <c r="AP274" s="284" t="n"/>
      <c r="AQ274" s="284" t="n"/>
      <c r="AR274" s="284" t="n"/>
      <c r="AS274" s="284" t="n"/>
    </row>
    <row r="275">
      <c r="A275" s="175" t="n">
        <v>7</v>
      </c>
      <c r="B275" s="201" t="inlineStr">
        <is>
          <t>Validasi Bea Perolehan Hak atas Tanah dan Bangunan (BPHTB)</t>
        </is>
      </c>
      <c r="C275" t="inlineStr">
        <is>
          <t>BAPENDA</t>
        </is>
      </c>
      <c r="D275" s="201" t="inlineStr">
        <is>
          <t>Layanan yang disediakan oleh Badan Pendapatan Daerah bagi masyarakat untuk melakukan validasi (pengujian/pengesahan) terhadap Bea Perolehan Hak atas Tanah dan Bangunan (BPHTB) agar sesuai dengan standar dan tujuannya.</t>
        </is>
      </c>
      <c r="E275" s="201" t="inlineStr">
        <is>
          <t>1. Peraturan Daerah Kabupaten Bandung Nomor 10 Tahun 2023 tentang Pajak Daerah dan Retribusi Daerah
 2. Peraturan Bupati Bandung Nomor 289 Tahun 2023 tentang Tata Cara Pemungutan Pajak Daerah</t>
        </is>
      </c>
      <c r="F275" s="70" t="inlineStr">
        <is>
          <t>https://drive.google.com/drive/folders/1psrMJUnyozjImYwLa6s5MSyj6ohEJYQO?usp=sharing</t>
        </is>
      </c>
      <c r="G275" s="176" t="inlineStr">
        <is>
          <t>PENINGKATAN KUALITAS PELAYANAN PUBLIK</t>
        </is>
      </c>
      <c r="H275" s="184" t="inlineStr">
        <is>
          <t>Masyarakat &amp; Pelaku Bisnis</t>
        </is>
      </c>
      <c r="I275" s="201" t="inlineStr">
        <is>
          <t>1. KTP
 2. NPWP
 3. NOP PBB-P2
 4. Bukti Kepemilikan (SHM/Akte Jual Beli)
 5. Kwitansi (untuk harga transaksi)</t>
        </is>
      </c>
      <c r="J275" s="201" t="inlineStr">
        <is>
          <t>SSPD BPHTB</t>
        </is>
      </c>
      <c r="K275" s="176" t="inlineStr">
        <is>
          <t>Terbatas</t>
        </is>
      </c>
      <c r="L275" s="176" t="inlineStr">
        <is>
          <t>Terdapat</t>
        </is>
      </c>
      <c r="M275" s="176" t="inlineStr">
        <is>
          <t>Harian</t>
        </is>
      </c>
      <c r="N275" s="97" t="inlineStr">
        <is>
          <t>e-BPHTB Sibedas Tangguh</t>
        </is>
      </c>
      <c r="O275" s="176" t="inlineStr">
        <is>
          <t>Pihak Ke 3</t>
        </is>
      </c>
      <c r="P275" s="176" t="inlineStr">
        <is>
          <t>Kab. Bandung</t>
        </is>
      </c>
      <c r="Q275" s="176" t="inlineStr">
        <is>
          <t>Website</t>
        </is>
      </c>
      <c r="R275" s="70" t="inlineStr">
        <is>
          <t>https://bphtb2.bandungkab.go.id/</t>
        </is>
      </c>
      <c r="S275" s="176" t="inlineStr">
        <is>
          <t>Secara Online</t>
        </is>
      </c>
      <c r="T275" s="176" t="inlineStr">
        <is>
          <t>Transaksi</t>
        </is>
      </c>
      <c r="U275" s="176" t="n">
        <v>2025</v>
      </c>
      <c r="V275" s="176" t="inlineStr">
        <is>
          <t>Aktif</t>
        </is>
      </c>
      <c r="W275" s="176" t="inlineStr">
        <is>
          <t>Ya</t>
        </is>
      </c>
      <c r="X275" s="201" t="inlineStr">
        <is>
          <t>1. Dashboard Pimpinan
 2. Bank BJB</t>
        </is>
      </c>
      <c r="Y275" s="176" t="inlineStr">
        <is>
          <t>API</t>
        </is>
      </c>
      <c r="Z275" s="176" t="inlineStr">
        <is>
          <t>Realtime</t>
        </is>
      </c>
      <c r="AA275" s="201" t="inlineStr">
        <is>
          <t>Bidang Pajak II</t>
        </is>
      </c>
      <c r="AB275" s="176" t="inlineStr">
        <is>
          <t>Bapenda</t>
        </is>
      </c>
      <c r="AC275" s="201" t="inlineStr">
        <is>
          <t>Ipang Maulana Ibrahim</t>
        </is>
      </c>
      <c r="AD275" s="201" t="n">
        <v>81321159892</v>
      </c>
      <c r="AE275" s="176" t="inlineStr">
        <is>
          <t>-</t>
        </is>
      </c>
      <c r="AF275" s="288" t="n"/>
      <c r="AG275" s="288" t="n"/>
      <c r="AH275" s="202" t="n"/>
      <c r="AI275" s="284" t="n"/>
      <c r="AJ275" s="284" t="n"/>
      <c r="AK275" s="284" t="n"/>
      <c r="AL275" s="284" t="n"/>
      <c r="AM275" s="284" t="n"/>
      <c r="AN275" s="284" t="n"/>
      <c r="AO275" s="284" t="n"/>
      <c r="AP275" s="284" t="n"/>
      <c r="AQ275" s="284" t="n"/>
      <c r="AR275" s="284" t="n"/>
      <c r="AS275" s="284" t="n"/>
    </row>
    <row r="276">
      <c r="A276" s="175" t="n">
        <v>11</v>
      </c>
      <c r="B276" s="201" t="inlineStr">
        <is>
          <t>Penetapan Pajak Daerah:
 PBJT Makanan dan/atau Minuman, PBJT Jasa Perhotelan, PBJT Jasa Parkir, PBJT Jasa Kesenian dan Hiburan, Pajak Reklame, Pajak Mineral Bukan Logam dan Batuan (MBLB) dan Pajak Air Tanah</t>
        </is>
      </c>
      <c r="C276" t="inlineStr">
        <is>
          <t>BAPENDA</t>
        </is>
      </c>
      <c r="D276" s="201" t="inlineStr">
        <is>
          <t>Layanan yang disediakan oleh Badan Pendapatan Daerah bagi masyarakat dalam hal menetapkan pajak daerah untuk kategori:
 1. PBJT Makanan dan/atau Minuman
 2. PBJT Jasa Perhotelan
 3. PBJT Jasa Parkir
 4. PBJT Jasa Kesenian dan Hiburan
 5. Pajak Reklame
 6. Pajak Mineral Bukan Logam dan Batuan (MBLB)
 7. Pajak Air Tanah</t>
        </is>
      </c>
      <c r="E276" s="201" t="inlineStr">
        <is>
          <t>1. Peraturan Daerah Kabupaten Bandung Nomor 10 Tahun 2023 tentang Pajak Daerah dan Retribusi Daerah
 2. Peraturan Bupati Bandung Nomor 289 Tahun 2023 tentang Tata Cara Pemungutan Pajak Daerah</t>
        </is>
      </c>
      <c r="F276" s="70" t="inlineStr">
        <is>
          <t>https://drive.google.com/drive/folders/1YBsK-2pdfsgxA-SPqsa5WMZzipvbo0Zl?usp=sharing</t>
        </is>
      </c>
      <c r="G276" s="176" t="inlineStr">
        <is>
          <t>PENINGKATAN KUALITAS PELAYANAN PUBLIK</t>
        </is>
      </c>
      <c r="H276" s="184" t="inlineStr">
        <is>
          <t>Masyarakat &amp; Pelaku Bisnis</t>
        </is>
      </c>
      <c r="I276" s="201" t="inlineStr">
        <is>
          <t>Nilai Pajak SPTPD</t>
        </is>
      </c>
      <c r="J276" s="201" t="inlineStr">
        <is>
          <t>Surat Ketetapan Pajak Daerah (SKPD)</t>
        </is>
      </c>
      <c r="K276" s="176" t="inlineStr">
        <is>
          <t>Terbatas</t>
        </is>
      </c>
      <c r="L276" s="176" t="inlineStr">
        <is>
          <t>Terdapat</t>
        </is>
      </c>
      <c r="M276" s="176" t="inlineStr">
        <is>
          <t>Harian</t>
        </is>
      </c>
      <c r="N276" s="97" t="inlineStr">
        <is>
          <t>SIP-PAD</t>
        </is>
      </c>
      <c r="O276" s="176" t="inlineStr">
        <is>
          <t>Pihak Ke 3</t>
        </is>
      </c>
      <c r="P276" s="176" t="inlineStr">
        <is>
          <t>Kab. Bandung</t>
        </is>
      </c>
      <c r="Q276" s="176" t="inlineStr">
        <is>
          <t>Website dan Mobile</t>
        </is>
      </c>
      <c r="R276" s="70" t="inlineStr">
        <is>
          <t>https://e-pad.bandungkab.go.id/index.php/user/login</t>
        </is>
      </c>
      <c r="S276" s="176" t="inlineStr">
        <is>
          <t>Secara Online</t>
        </is>
      </c>
      <c r="T276" s="176" t="inlineStr">
        <is>
          <t>Transaksi</t>
        </is>
      </c>
      <c r="U276" s="176" t="n">
        <v>2020</v>
      </c>
      <c r="V276" s="176" t="inlineStr">
        <is>
          <t>Aktif</t>
        </is>
      </c>
      <c r="W276" s="176" t="inlineStr">
        <is>
          <t>Ya</t>
        </is>
      </c>
      <c r="X276" s="201" t="inlineStr">
        <is>
          <t>e-SPTPD (Eletronik Surat Pemberitahuan Pajak Daerah)</t>
        </is>
      </c>
      <c r="Y276" s="176" t="inlineStr">
        <is>
          <t>API</t>
        </is>
      </c>
      <c r="Z276" s="176" t="inlineStr">
        <is>
          <t>Realtime</t>
        </is>
      </c>
      <c r="AA276" s="201" t="inlineStr">
        <is>
          <t>Bidang Pajak I</t>
        </is>
      </c>
      <c r="AB276" s="176" t="inlineStr">
        <is>
          <t>Bapenda</t>
        </is>
      </c>
      <c r="AC276" s="201" t="inlineStr">
        <is>
          <t>Tri Putra Apriyono</t>
        </is>
      </c>
      <c r="AD276" s="201" t="n">
        <v>82240473904</v>
      </c>
      <c r="AE276" s="176" t="inlineStr">
        <is>
          <t>-</t>
        </is>
      </c>
      <c r="AF276" s="288" t="n"/>
      <c r="AG276" s="288" t="n"/>
      <c r="AH276" s="202" t="n"/>
      <c r="AI276" s="284" t="n"/>
      <c r="AJ276" s="284" t="n"/>
      <c r="AK276" s="284" t="n"/>
      <c r="AL276" s="284" t="n"/>
      <c r="AM276" s="284" t="n"/>
      <c r="AN276" s="284" t="n"/>
      <c r="AO276" s="284" t="n"/>
      <c r="AP276" s="284" t="n"/>
      <c r="AQ276" s="284" t="n"/>
      <c r="AR276" s="284" t="n"/>
      <c r="AS276" s="284" t="n"/>
    </row>
    <row r="277">
      <c r="A277" s="175" t="n">
        <v>12</v>
      </c>
      <c r="B277" s="201" t="inlineStr">
        <is>
          <t>Pembetulan Objek Pajak/Identitas Wajib Pajak:
 PBJT Makanan dan/atau Minuman, PBJT Tenaga Listrik, PBJT Jasa Perhotelan, PBJT Jasa Parkir, PBJT Jasa Kesenian dan Hiburan, Pajak Reklame, Pajak Mineral Bukan Logam dan Batuan (MBLB) dan Pajak Air Tanah</t>
        </is>
      </c>
      <c r="C277" t="inlineStr">
        <is>
          <t>BAPENDA</t>
        </is>
      </c>
      <c r="D277" s="201" t="inlineStr">
        <is>
          <t>Layanan yang disediakan oleh Badan Pendapatan Daerah bagi masyarakat dalam hal pembentukan objek pajak/identitas wajib pajak untuk kategori:
 1. PBJT Makanan dan/atau Minuman
 2. PBJT Tenaga Listrik
 3. PBJT Jasa Perhotelan
 4. PBJT Jasa Parkir
 5. PBJT Jasa Kesenian dan Hiburan
 6. Pajak Reklame
 7. Pajak Mineral Bukan Logam dan Batuan (MBLB)
 8. Pajak Air Tanah</t>
        </is>
      </c>
      <c r="E277" s="201" t="inlineStr">
        <is>
          <t>1. Peraturan Daerah Kabupaten Bandung Nomor 10 Tahun 2023 tentang Pajak Daerah dan Retribusi Daerah
 2. Peraturan Bupati Bandung Nomor 289 Tahun 2023 tentang Tata Cara Pemungutan Pajak Daerah</t>
        </is>
      </c>
      <c r="F277" s="70" t="inlineStr">
        <is>
          <t>https://drive.google.com/file/d/1zeOij3UFpS15e2vMm5gUifY3P4hnkjQm/view?usp=sharing</t>
        </is>
      </c>
      <c r="G277" s="176" t="inlineStr">
        <is>
          <t>PENINGKATAN KUALITAS PELAYANAN PUBLIK</t>
        </is>
      </c>
      <c r="H277" s="184" t="inlineStr">
        <is>
          <t>Masyarakat &amp; Pelaku Bisnis</t>
        </is>
      </c>
      <c r="I277" s="201" t="inlineStr">
        <is>
          <t>1. Nama Usaha
 2. Alamat Usaha
 3. Tanggal Operasional Usaha
 4. Jenis Izin Usaha
 5. Nomor Izin Usaha
 6. Tanggal Izin Usaha
 7. Jenis Pajak
 8. Jenis Pungutan Pajak Daerah</t>
        </is>
      </c>
      <c r="J277" s="201" t="inlineStr">
        <is>
          <t>Objek Pajak</t>
        </is>
      </c>
      <c r="K277" s="176" t="inlineStr">
        <is>
          <t>Terbatas</t>
        </is>
      </c>
      <c r="L277" s="176" t="inlineStr">
        <is>
          <t>Terdapat</t>
        </is>
      </c>
      <c r="M277" s="176" t="inlineStr">
        <is>
          <t>Harian</t>
        </is>
      </c>
      <c r="N277" s="97" t="inlineStr">
        <is>
          <t>e-SPTPD</t>
        </is>
      </c>
      <c r="O277" s="176" t="inlineStr">
        <is>
          <t>Pihak Ke 3</t>
        </is>
      </c>
      <c r="P277" s="176" t="inlineStr">
        <is>
          <t>Kab. Bandung</t>
        </is>
      </c>
      <c r="Q277" s="176" t="inlineStr">
        <is>
          <t>Website dan Mobile</t>
        </is>
      </c>
      <c r="R277" s="70" t="inlineStr">
        <is>
          <t>https://e-sptpd.bandungkab.go.id/site/login</t>
        </is>
      </c>
      <c r="S277" s="176" t="inlineStr">
        <is>
          <t>Secara Online</t>
        </is>
      </c>
      <c r="T277" s="176" t="inlineStr">
        <is>
          <t>Transaksi</t>
        </is>
      </c>
      <c r="U277" s="176" t="n">
        <v>2020</v>
      </c>
      <c r="V277" s="176" t="inlineStr">
        <is>
          <t>Aktif</t>
        </is>
      </c>
      <c r="W277" s="176" t="inlineStr">
        <is>
          <t>Ya</t>
        </is>
      </c>
      <c r="X277" s="201" t="inlineStr">
        <is>
          <t>SIP-PAD (Sistem Informasi Pengelolaan Pendapatan Asli Daerah)</t>
        </is>
      </c>
      <c r="Y277" s="176" t="inlineStr">
        <is>
          <t>API</t>
        </is>
      </c>
      <c r="Z277" s="176" t="inlineStr">
        <is>
          <t>Realtime</t>
        </is>
      </c>
      <c r="AA277" s="201" t="inlineStr">
        <is>
          <t>Bidang Pajak I</t>
        </is>
      </c>
      <c r="AB277" s="176" t="inlineStr">
        <is>
          <t>Bapenda</t>
        </is>
      </c>
      <c r="AC277" s="201" t="inlineStr">
        <is>
          <t>Tri Putra Apriyono</t>
        </is>
      </c>
      <c r="AD277" s="201" t="n">
        <v>82240473904</v>
      </c>
      <c r="AE277" s="176" t="inlineStr">
        <is>
          <t>-</t>
        </is>
      </c>
      <c r="AF277" s="288" t="n"/>
      <c r="AG277" s="288" t="n"/>
      <c r="AH277" s="202" t="n"/>
      <c r="AI277" s="284" t="n"/>
      <c r="AJ277" s="284" t="n"/>
      <c r="AK277" s="284" t="n"/>
      <c r="AL277" s="284" t="n"/>
      <c r="AM277" s="284" t="n"/>
      <c r="AN277" s="284" t="n"/>
      <c r="AO277" s="284" t="n"/>
      <c r="AP277" s="284" t="n"/>
      <c r="AQ277" s="284" t="n"/>
      <c r="AR277" s="284" t="n"/>
      <c r="AS277" s="284" t="n"/>
    </row>
    <row r="278">
      <c r="A278" s="175" t="n">
        <v>15</v>
      </c>
      <c r="B278" s="204" t="n"/>
      <c r="D278" s="204" t="n"/>
      <c r="E278" s="204" t="n"/>
      <c r="F278" s="204" t="n"/>
      <c r="G278" s="204" t="n"/>
      <c r="H278" s="288" t="n"/>
      <c r="I278" s="204" t="n"/>
      <c r="J278" s="204" t="n"/>
      <c r="K278" s="204" t="n"/>
      <c r="L278" s="204" t="n"/>
      <c r="M278" s="204" t="n"/>
      <c r="N278" s="97" t="inlineStr">
        <is>
          <t>e-SKM</t>
        </is>
      </c>
      <c r="O278" s="176" t="inlineStr">
        <is>
          <t>Diskominfo</t>
        </is>
      </c>
      <c r="P278" s="176" t="inlineStr">
        <is>
          <t>Kab. Bandung</t>
        </is>
      </c>
      <c r="Q278" s="176" t="inlineStr">
        <is>
          <t>Website dan Mobile</t>
        </is>
      </c>
      <c r="R278" s="70" t="inlineStr">
        <is>
          <t>https://skm.bandungkab.go.id/login</t>
        </is>
      </c>
      <c r="S278" s="176" t="inlineStr">
        <is>
          <t>Secara Online</t>
        </is>
      </c>
      <c r="T278" s="176" t="inlineStr">
        <is>
          <t>Transaksi</t>
        </is>
      </c>
      <c r="U278" s="176" t="n">
        <v>2021</v>
      </c>
      <c r="V278" s="176" t="inlineStr">
        <is>
          <t>Aktif</t>
        </is>
      </c>
      <c r="W278" s="176" t="inlineStr">
        <is>
          <t>Ya</t>
        </is>
      </c>
      <c r="X278" s="201" t="inlineStr">
        <is>
          <t>Website Bapenda Kabupaten Bandung (https://bapenda.bandungkab.go.id/)</t>
        </is>
      </c>
      <c r="Y278" s="176" t="inlineStr">
        <is>
          <t>Database to Database</t>
        </is>
      </c>
      <c r="Z278" s="176" t="inlineStr">
        <is>
          <t>Realtime</t>
        </is>
      </c>
      <c r="AA278" s="201" t="inlineStr">
        <is>
          <t>Biro Organisasi</t>
        </is>
      </c>
      <c r="AB278" s="176" t="inlineStr">
        <is>
          <t>Setda</t>
        </is>
      </c>
      <c r="AC278" s="204" t="n"/>
      <c r="AD278" s="204" t="n"/>
      <c r="AE278" s="204" t="n"/>
      <c r="AF278" s="288" t="n"/>
      <c r="AG278" s="288" t="n"/>
      <c r="AH278" s="202" t="n"/>
      <c r="AI278" s="284" t="n"/>
      <c r="AJ278" s="284" t="n"/>
      <c r="AK278" s="284" t="n"/>
      <c r="AL278" s="284" t="n"/>
      <c r="AM278" s="284" t="n"/>
      <c r="AN278" s="284" t="n"/>
      <c r="AO278" s="284" t="n"/>
      <c r="AP278" s="284" t="n"/>
      <c r="AQ278" s="284" t="n"/>
      <c r="AR278" s="284" t="n"/>
      <c r="AS278" s="284" t="n"/>
    </row>
    <row r="279">
      <c r="A279" s="175" t="n">
        <v>16</v>
      </c>
      <c r="B279" s="204" t="n"/>
      <c r="D279" s="204" t="n"/>
      <c r="E279" s="204" t="n"/>
      <c r="F279" s="204" t="n"/>
      <c r="G279" s="204" t="n"/>
      <c r="H279" s="288" t="n"/>
      <c r="I279" s="204" t="n"/>
      <c r="J279" s="204" t="n"/>
      <c r="K279" s="204" t="n"/>
      <c r="L279" s="204" t="n"/>
      <c r="M279" s="204" t="n"/>
      <c r="N279" s="97" t="inlineStr">
        <is>
          <t>Simpel BKPSDM</t>
        </is>
      </c>
      <c r="O279" s="176" t="inlineStr">
        <is>
          <t>OPD</t>
        </is>
      </c>
      <c r="P279" s="176" t="inlineStr">
        <is>
          <t>Kab. Bandung</t>
        </is>
      </c>
      <c r="Q279" s="176" t="inlineStr">
        <is>
          <t>Website</t>
        </is>
      </c>
      <c r="R279" s="70" t="inlineStr">
        <is>
          <t>https://sso.bandungkab.go.id/</t>
        </is>
      </c>
      <c r="S279" s="176" t="inlineStr">
        <is>
          <t>Secara Online</t>
        </is>
      </c>
      <c r="T279" s="176" t="inlineStr">
        <is>
          <t>Transaksi</t>
        </is>
      </c>
      <c r="U279" s="184" t="n">
        <v>2020</v>
      </c>
      <c r="V279" s="176" t="inlineStr">
        <is>
          <t>Aktif</t>
        </is>
      </c>
      <c r="W279" s="176" t="inlineStr">
        <is>
          <t>Ya</t>
        </is>
      </c>
      <c r="X279" s="184" t="inlineStr">
        <is>
          <t>SI ASN</t>
        </is>
      </c>
      <c r="Y279" s="176" t="inlineStr">
        <is>
          <t>Database to Database</t>
        </is>
      </c>
      <c r="Z279" s="176" t="inlineStr">
        <is>
          <t>Harian</t>
        </is>
      </c>
      <c r="AA279" s="178" t="inlineStr">
        <is>
          <t>Bidang Pengadaan Pemberhentian dan Informasi Kepegawaian ASN</t>
        </is>
      </c>
      <c r="AB279" s="176" t="inlineStr">
        <is>
          <t>BKPSDM</t>
        </is>
      </c>
      <c r="AC279" s="204" t="n"/>
      <c r="AD279" s="204" t="n"/>
      <c r="AE279" s="204" t="n"/>
      <c r="AF279" s="288" t="n"/>
      <c r="AG279" s="288" t="n"/>
      <c r="AH279" s="202" t="n"/>
      <c r="AI279" s="284" t="n"/>
      <c r="AJ279" s="284" t="n"/>
      <c r="AK279" s="284" t="n"/>
      <c r="AL279" s="284" t="n"/>
      <c r="AM279" s="284" t="n"/>
      <c r="AN279" s="284" t="n"/>
      <c r="AO279" s="284" t="n"/>
      <c r="AP279" s="284" t="n"/>
      <c r="AQ279" s="284" t="n"/>
      <c r="AR279" s="284" t="n"/>
      <c r="AS279" s="284" t="n"/>
    </row>
    <row r="280">
      <c r="A280" s="175" t="n">
        <v>17</v>
      </c>
      <c r="B280" s="204" t="n"/>
      <c r="D280" s="204" t="n"/>
      <c r="E280" s="204" t="n"/>
      <c r="F280" s="204" t="n"/>
      <c r="G280" s="204" t="n"/>
      <c r="H280" s="288" t="n"/>
      <c r="I280" s="204" t="n"/>
      <c r="J280" s="204" t="n"/>
      <c r="K280" s="204" t="n"/>
      <c r="L280" s="204" t="n"/>
      <c r="M280" s="204" t="n"/>
      <c r="N280" s="97" t="inlineStr">
        <is>
          <t>SASIKAP EVO</t>
        </is>
      </c>
      <c r="O280" s="176" t="inlineStr">
        <is>
          <t>Pihak Ke 3</t>
        </is>
      </c>
      <c r="P280" s="176" t="inlineStr">
        <is>
          <t>Kab. Bandung</t>
        </is>
      </c>
      <c r="Q280" s="176" t="inlineStr">
        <is>
          <t>Website</t>
        </is>
      </c>
      <c r="R280" s="70" t="inlineStr">
        <is>
          <t>https://sso.bandungkab.go.id/</t>
        </is>
      </c>
      <c r="S280" s="176" t="inlineStr">
        <is>
          <t>Secara Online</t>
        </is>
      </c>
      <c r="T280" s="176" t="inlineStr">
        <is>
          <t>Transaksi</t>
        </is>
      </c>
      <c r="U280" s="184" t="n">
        <v>2017</v>
      </c>
      <c r="V280" s="176" t="inlineStr">
        <is>
          <t>Aktif</t>
        </is>
      </c>
      <c r="W280" s="176" t="inlineStr">
        <is>
          <t>Ya</t>
        </is>
      </c>
      <c r="X280" s="184" t="inlineStr">
        <is>
          <t>DHE ASN</t>
        </is>
      </c>
      <c r="Y280" s="176" t="inlineStr">
        <is>
          <t>Database to Database</t>
        </is>
      </c>
      <c r="Z280" s="176" t="inlineStr">
        <is>
          <t>Harian</t>
        </is>
      </c>
      <c r="AA280" s="178" t="inlineStr">
        <is>
          <t>Bidang Penilaian Kinerja dan Pengembangan ASN</t>
        </is>
      </c>
      <c r="AB280" s="176" t="inlineStr">
        <is>
          <t>BKPSDM</t>
        </is>
      </c>
      <c r="AC280" s="204" t="n"/>
      <c r="AD280" s="204" t="n"/>
      <c r="AE280" s="204" t="n"/>
      <c r="AF280" s="288" t="n"/>
      <c r="AG280" s="288" t="n"/>
      <c r="AH280" s="202" t="n"/>
      <c r="AI280" s="284" t="n"/>
      <c r="AJ280" s="284" t="n"/>
      <c r="AK280" s="284" t="n"/>
      <c r="AL280" s="284" t="n"/>
      <c r="AM280" s="284" t="n"/>
      <c r="AN280" s="284" t="n"/>
      <c r="AO280" s="284" t="n"/>
      <c r="AP280" s="284" t="n"/>
      <c r="AQ280" s="284" t="n"/>
      <c r="AR280" s="284" t="n"/>
      <c r="AS280" s="284" t="n"/>
    </row>
    <row r="281">
      <c r="A281" s="175" t="n">
        <v>18</v>
      </c>
      <c r="B281" s="204" t="n"/>
      <c r="D281" s="204" t="n"/>
      <c r="E281" s="204" t="n"/>
      <c r="F281" s="204" t="n"/>
      <c r="G281" s="204" t="n"/>
      <c r="H281" s="288" t="n"/>
      <c r="I281" s="204" t="n"/>
      <c r="J281" s="204" t="n"/>
      <c r="K281" s="204" t="n"/>
      <c r="L281" s="204" t="n"/>
      <c r="M281" s="204" t="n"/>
      <c r="N281" s="97" t="inlineStr">
        <is>
          <t>DHE</t>
        </is>
      </c>
      <c r="O281" s="176" t="inlineStr">
        <is>
          <t>Diskominfo</t>
        </is>
      </c>
      <c r="P281" s="176" t="inlineStr">
        <is>
          <t>Kab. Bandung</t>
        </is>
      </c>
      <c r="Q281" s="176" t="inlineStr">
        <is>
          <t>Website dan Mobile</t>
        </is>
      </c>
      <c r="R281" s="70" t="inlineStr">
        <is>
          <t>https://e-absensi.bandungkab.go.id/login</t>
        </is>
      </c>
      <c r="S281" s="176" t="inlineStr">
        <is>
          <t>Secara Online</t>
        </is>
      </c>
      <c r="T281" s="176" t="inlineStr">
        <is>
          <t>Transaksi</t>
        </is>
      </c>
      <c r="U281" s="176" t="inlineStr">
        <is>
          <t>-</t>
        </is>
      </c>
      <c r="V281" s="176" t="inlineStr">
        <is>
          <t>Aktif</t>
        </is>
      </c>
      <c r="W281" s="176" t="inlineStr">
        <is>
          <t>Ya</t>
        </is>
      </c>
      <c r="X281" s="176" t="inlineStr">
        <is>
          <t>SASIKAP EVO</t>
        </is>
      </c>
      <c r="Y281" s="176" t="inlineStr">
        <is>
          <t>Database to Database</t>
        </is>
      </c>
      <c r="Z281" s="176" t="inlineStr">
        <is>
          <t>Harian</t>
        </is>
      </c>
      <c r="AA281" s="176" t="inlineStr">
        <is>
          <t>-</t>
        </is>
      </c>
      <c r="AB281" s="176" t="inlineStr">
        <is>
          <t>Diskominfo</t>
        </is>
      </c>
      <c r="AC281" s="204" t="n"/>
      <c r="AD281" s="204" t="n"/>
      <c r="AE281" s="204" t="n"/>
      <c r="AF281" s="288" t="n"/>
      <c r="AG281" s="288" t="n"/>
      <c r="AH281" s="202" t="n"/>
      <c r="AI281" s="284" t="n"/>
      <c r="AJ281" s="284" t="n"/>
      <c r="AK281" s="284" t="n"/>
      <c r="AL281" s="284" t="n"/>
      <c r="AM281" s="284" t="n"/>
      <c r="AN281" s="284" t="n"/>
      <c r="AO281" s="284" t="n"/>
      <c r="AP281" s="284" t="n"/>
      <c r="AQ281" s="284" t="n"/>
      <c r="AR281" s="284" t="n"/>
      <c r="AS281" s="284" t="n"/>
    </row>
    <row r="282">
      <c r="A282" s="175" t="n">
        <v>19</v>
      </c>
      <c r="B282" s="204" t="n"/>
      <c r="D282" s="204" t="n"/>
      <c r="E282" s="204" t="n"/>
      <c r="F282" s="204" t="n"/>
      <c r="G282" s="204" t="n"/>
      <c r="H282" s="288" t="n"/>
      <c r="I282" s="204" t="n"/>
      <c r="J282" s="204" t="n"/>
      <c r="K282" s="204" t="n"/>
      <c r="L282" s="204" t="n"/>
      <c r="M282" s="204" t="n"/>
      <c r="N282" s="97" t="inlineStr">
        <is>
          <t>SURABI</t>
        </is>
      </c>
      <c r="O282" s="176" t="inlineStr">
        <is>
          <t>Provinsi</t>
        </is>
      </c>
      <c r="P282" s="176" t="inlineStr">
        <is>
          <t>Provinsi</t>
        </is>
      </c>
      <c r="Q282" s="176" t="inlineStr">
        <is>
          <t>Website dan Mobile</t>
        </is>
      </c>
      <c r="R282" s="70" t="inlineStr">
        <is>
          <t>surabi.jabarprov.go.id</t>
        </is>
      </c>
      <c r="S282" s="176" t="inlineStr">
        <is>
          <t>Secara Online</t>
        </is>
      </c>
      <c r="T282" s="176" t="inlineStr">
        <is>
          <t>Transaksi</t>
        </is>
      </c>
      <c r="U282" s="176" t="n">
        <v>2024</v>
      </c>
      <c r="V282" s="176" t="inlineStr">
        <is>
          <t>Aktif</t>
        </is>
      </c>
      <c r="W282" s="176" t="inlineStr">
        <is>
          <t>Ya</t>
        </is>
      </c>
      <c r="X282" s="68" t="inlineStr">
        <is>
          <t>-</t>
        </is>
      </c>
      <c r="Y282" s="176" t="inlineStr">
        <is>
          <t>API</t>
        </is>
      </c>
      <c r="Z282" s="176" t="inlineStr">
        <is>
          <t>Bulanan</t>
        </is>
      </c>
      <c r="AA282" s="201" t="inlineStr">
        <is>
          <t>Biro Organisasi Sekretariat Daerah Provinsi Jawa Barat</t>
        </is>
      </c>
      <c r="AB282" s="176" t="inlineStr">
        <is>
          <t>Setda</t>
        </is>
      </c>
      <c r="AC282" s="204" t="n"/>
      <c r="AD282" s="204" t="n"/>
      <c r="AE282" s="204" t="n"/>
      <c r="AF282" s="288" t="n"/>
      <c r="AG282" s="288" t="n"/>
      <c r="AH282" s="202" t="n"/>
      <c r="AI282" s="284" t="n"/>
      <c r="AJ282" s="284" t="n"/>
      <c r="AK282" s="284" t="n"/>
      <c r="AL282" s="284" t="n"/>
      <c r="AM282" s="284" t="n"/>
      <c r="AN282" s="284" t="n"/>
      <c r="AO282" s="284" t="n"/>
      <c r="AP282" s="284" t="n"/>
      <c r="AQ282" s="284" t="n"/>
      <c r="AR282" s="284" t="n"/>
      <c r="AS282" s="284" t="n"/>
    </row>
    <row r="283">
      <c r="A283" s="175" t="n">
        <v>20</v>
      </c>
      <c r="B283" s="204" t="n"/>
      <c r="D283" s="204" t="n"/>
      <c r="E283" s="204" t="n"/>
      <c r="F283" s="204" t="n"/>
      <c r="G283" s="204" t="n"/>
      <c r="H283" s="288" t="n"/>
      <c r="I283" s="204" t="n"/>
      <c r="J283" s="204" t="n"/>
      <c r="K283" s="204" t="n"/>
      <c r="L283" s="204" t="n"/>
      <c r="M283" s="204" t="n"/>
      <c r="N283" s="97" t="inlineStr">
        <is>
          <t>SIPD</t>
        </is>
      </c>
      <c r="O283" s="184" t="inlineStr">
        <is>
          <t>Pusat</t>
        </is>
      </c>
      <c r="P283" s="184" t="inlineStr">
        <is>
          <t>Pusat</t>
        </is>
      </c>
      <c r="Q283" s="184" t="inlineStr">
        <is>
          <t>Website dan Mobile</t>
        </is>
      </c>
      <c r="R283" s="75" t="inlineStr">
        <is>
          <t>https://SIPD.kemendagri.go.id/auth/login</t>
        </is>
      </c>
      <c r="S283" s="184" t="inlineStr">
        <is>
          <t>Secara Online</t>
        </is>
      </c>
      <c r="T283" s="184" t="inlineStr">
        <is>
          <t>Transaksi</t>
        </is>
      </c>
      <c r="U283" s="68" t="inlineStr">
        <is>
          <t>-</t>
        </is>
      </c>
      <c r="V283" s="184" t="inlineStr">
        <is>
          <t>Aktif</t>
        </is>
      </c>
      <c r="W283" s="184" t="inlineStr">
        <is>
          <t>Tidak</t>
        </is>
      </c>
      <c r="X283" s="68" t="inlineStr">
        <is>
          <t>-</t>
        </is>
      </c>
      <c r="Y283" s="184" t="inlineStr">
        <is>
          <t>Tidak Terintegrasi</t>
        </is>
      </c>
      <c r="Z283" s="184" t="inlineStr">
        <is>
          <t>Tidak Terintegrasi</t>
        </is>
      </c>
      <c r="AA283" s="68" t="inlineStr">
        <is>
          <t>-</t>
        </is>
      </c>
      <c r="AB283" s="184" t="inlineStr">
        <is>
          <t>Setda</t>
        </is>
      </c>
      <c r="AC283" s="204" t="n"/>
      <c r="AD283" s="204" t="n"/>
      <c r="AE283" s="204" t="n"/>
      <c r="AF283" s="288" t="n"/>
      <c r="AG283" s="288" t="n"/>
      <c r="AH283" s="202" t="n"/>
      <c r="AI283" s="284" t="n"/>
      <c r="AJ283" s="284" t="n"/>
      <c r="AK283" s="284" t="n"/>
      <c r="AL283" s="284" t="n"/>
      <c r="AM283" s="284" t="n"/>
      <c r="AN283" s="284" t="n"/>
      <c r="AO283" s="284" t="n"/>
      <c r="AP283" s="284" t="n"/>
      <c r="AQ283" s="284" t="n"/>
      <c r="AR283" s="284" t="n"/>
      <c r="AS283" s="284" t="n"/>
    </row>
    <row r="284">
      <c r="A284" s="175" t="n">
        <v>21</v>
      </c>
      <c r="B284" s="206" t="n"/>
      <c r="D284" s="206" t="n"/>
      <c r="E284" s="206" t="n"/>
      <c r="F284" s="206" t="n"/>
      <c r="G284" s="204" t="n"/>
      <c r="H284" s="288" t="n"/>
      <c r="I284" s="204" t="n"/>
      <c r="J284" s="204" t="n"/>
      <c r="K284" s="204" t="n"/>
      <c r="L284" s="204" t="n"/>
      <c r="M284" s="204" t="n"/>
      <c r="N284" s="97" t="inlineStr">
        <is>
          <t>SIPD</t>
        </is>
      </c>
      <c r="O284" s="184" t="inlineStr">
        <is>
          <t>Pusat</t>
        </is>
      </c>
      <c r="P284" s="184" t="inlineStr">
        <is>
          <t>Pusat</t>
        </is>
      </c>
      <c r="Q284" s="184" t="inlineStr">
        <is>
          <t>Website dan Mobile</t>
        </is>
      </c>
      <c r="R284" s="75" t="inlineStr">
        <is>
          <t>https://SIPD.kemendagri.go.id/auth/login</t>
        </is>
      </c>
      <c r="S284" s="184" t="inlineStr">
        <is>
          <t>Secara Online</t>
        </is>
      </c>
      <c r="T284" s="184" t="inlineStr">
        <is>
          <t>Informasi</t>
        </is>
      </c>
      <c r="U284" s="68" t="inlineStr">
        <is>
          <t>-</t>
        </is>
      </c>
      <c r="V284" s="184" t="inlineStr">
        <is>
          <t>Aktif</t>
        </is>
      </c>
      <c r="W284" s="184" t="inlineStr">
        <is>
          <t>Tidak</t>
        </is>
      </c>
      <c r="X284" s="68" t="inlineStr">
        <is>
          <t>-</t>
        </is>
      </c>
      <c r="Y284" s="184" t="inlineStr">
        <is>
          <t>Tidak Terintegrasi</t>
        </is>
      </c>
      <c r="Z284" s="184" t="inlineStr">
        <is>
          <t>Tidak Terintegrasi</t>
        </is>
      </c>
      <c r="AA284" s="68" t="inlineStr">
        <is>
          <t>-</t>
        </is>
      </c>
      <c r="AB284" s="184" t="inlineStr">
        <is>
          <t>Setda</t>
        </is>
      </c>
      <c r="AC284" s="204" t="n"/>
      <c r="AD284" s="204" t="n"/>
      <c r="AE284" s="204" t="n"/>
      <c r="AF284" s="288" t="n"/>
      <c r="AG284" s="288" t="n"/>
      <c r="AH284" s="202" t="n"/>
      <c r="AI284" s="284" t="n"/>
      <c r="AJ284" s="284" t="n"/>
      <c r="AK284" s="284" t="n"/>
      <c r="AL284" s="284" t="n"/>
      <c r="AM284" s="284" t="n"/>
      <c r="AN284" s="284" t="n"/>
      <c r="AO284" s="284" t="n"/>
      <c r="AP284" s="284" t="n"/>
      <c r="AQ284" s="284" t="n"/>
      <c r="AR284" s="284" t="n"/>
      <c r="AS284" s="284" t="n"/>
    </row>
    <row r="285">
      <c r="A285" s="175" t="n">
        <v>22</v>
      </c>
      <c r="B285" s="206" t="n"/>
      <c r="D285" s="206" t="n"/>
      <c r="E285" s="206" t="n"/>
      <c r="F285" s="206" t="n"/>
      <c r="G285" s="204" t="n"/>
      <c r="H285" s="288" t="n"/>
      <c r="I285" s="204" t="n"/>
      <c r="J285" s="204" t="n"/>
      <c r="K285" s="204" t="n"/>
      <c r="L285" s="204" t="n"/>
      <c r="M285" s="204" t="n"/>
      <c r="N285" s="97" t="inlineStr">
        <is>
          <t>SIMDA</t>
        </is>
      </c>
      <c r="O285" s="184" t="inlineStr">
        <is>
          <t>Pusat</t>
        </is>
      </c>
      <c r="P285" s="184" t="inlineStr">
        <is>
          <t>Pusat</t>
        </is>
      </c>
      <c r="Q285" s="184" t="inlineStr">
        <is>
          <t>Desktop</t>
        </is>
      </c>
      <c r="R285" s="68" t="inlineStr">
        <is>
          <t>-</t>
        </is>
      </c>
      <c r="S285" s="184" t="inlineStr">
        <is>
          <t>Secara Online</t>
        </is>
      </c>
      <c r="T285" s="184" t="inlineStr">
        <is>
          <t>Informasi</t>
        </is>
      </c>
      <c r="U285" s="68" t="inlineStr">
        <is>
          <t>-</t>
        </is>
      </c>
      <c r="V285" s="184" t="inlineStr">
        <is>
          <t>Aktif</t>
        </is>
      </c>
      <c r="W285" s="184" t="inlineStr">
        <is>
          <t>Tidak</t>
        </is>
      </c>
      <c r="X285" s="68" t="inlineStr">
        <is>
          <t>-</t>
        </is>
      </c>
      <c r="Y285" s="184" t="inlineStr">
        <is>
          <t>Tidak Terintegrasi</t>
        </is>
      </c>
      <c r="Z285" s="184" t="inlineStr">
        <is>
          <t>Tidak Terintegrasi</t>
        </is>
      </c>
      <c r="AA285" s="68" t="inlineStr">
        <is>
          <t>-</t>
        </is>
      </c>
      <c r="AB285" s="184" t="inlineStr">
        <is>
          <t>Setda</t>
        </is>
      </c>
      <c r="AC285" s="288" t="n"/>
      <c r="AD285" s="288" t="n"/>
      <c r="AE285" s="288" t="n"/>
      <c r="AF285" s="288" t="n"/>
      <c r="AG285" s="288" t="n"/>
      <c r="AH285" s="202" t="n"/>
      <c r="AI285" s="284" t="n"/>
      <c r="AJ285" s="284" t="n"/>
      <c r="AK285" s="284" t="n"/>
      <c r="AL285" s="284" t="n"/>
      <c r="AM285" s="284" t="n"/>
      <c r="AN285" s="284" t="n"/>
      <c r="AO285" s="284" t="n"/>
      <c r="AP285" s="284" t="n"/>
      <c r="AQ285" s="284" t="n"/>
      <c r="AR285" s="284" t="n"/>
      <c r="AS285" s="284" t="n"/>
    </row>
    <row r="286">
      <c r="A286" s="182" t="n">
        <v>23</v>
      </c>
      <c r="B286" s="200" t="n"/>
      <c r="D286" s="200" t="n"/>
      <c r="E286" s="200" t="n"/>
      <c r="F286" s="200" t="n"/>
      <c r="G286" s="288" t="n"/>
      <c r="H286" s="288" t="n"/>
      <c r="I286" s="288" t="n"/>
      <c r="J286" s="288" t="n"/>
      <c r="K286" s="288" t="n"/>
      <c r="L286" s="288" t="n"/>
      <c r="M286" s="288" t="n"/>
      <c r="N286" s="97" t="inlineStr">
        <is>
          <t>SPSE</t>
        </is>
      </c>
      <c r="O286" s="184" t="inlineStr">
        <is>
          <t>Pusat</t>
        </is>
      </c>
      <c r="P286" s="184" t="inlineStr">
        <is>
          <t>Pusat</t>
        </is>
      </c>
      <c r="Q286" s="184" t="inlineStr">
        <is>
          <t>Website dan Mobile</t>
        </is>
      </c>
      <c r="R286" s="75" t="inlineStr">
        <is>
          <t>https://spse.inaproc.id/bandungkab/</t>
        </is>
      </c>
      <c r="S286" s="184" t="inlineStr">
        <is>
          <t>Secara Online</t>
        </is>
      </c>
      <c r="T286" s="184" t="inlineStr">
        <is>
          <t>Informasi</t>
        </is>
      </c>
      <c r="U286" s="68" t="inlineStr">
        <is>
          <t>-</t>
        </is>
      </c>
      <c r="V286" s="184" t="inlineStr">
        <is>
          <t>Aktif</t>
        </is>
      </c>
      <c r="W286" s="184" t="inlineStr">
        <is>
          <t>Tidak</t>
        </is>
      </c>
      <c r="X286" s="68" t="inlineStr">
        <is>
          <t>-</t>
        </is>
      </c>
      <c r="Y286" s="184" t="inlineStr">
        <is>
          <t>Tidak Terintegrasi</t>
        </is>
      </c>
      <c r="Z286" s="184" t="inlineStr">
        <is>
          <t>Tidak Terintegrasi</t>
        </is>
      </c>
      <c r="AA286" s="68" t="inlineStr">
        <is>
          <t>-</t>
        </is>
      </c>
      <c r="AB286" s="184" t="inlineStr">
        <is>
          <t>Setda</t>
        </is>
      </c>
      <c r="AC286" s="288" t="n"/>
      <c r="AD286" s="288" t="n"/>
      <c r="AE286" s="288" t="n"/>
      <c r="AF286" s="288" t="n"/>
      <c r="AG286" s="288" t="n"/>
      <c r="AH286" s="284" t="n"/>
      <c r="AI286" s="284" t="n"/>
      <c r="AJ286" s="284" t="n"/>
      <c r="AK286" s="284" t="n"/>
      <c r="AL286" s="284" t="n"/>
      <c r="AM286" s="284" t="n"/>
      <c r="AN286" s="284" t="n"/>
      <c r="AO286" s="284" t="n"/>
      <c r="AP286" s="284" t="n"/>
      <c r="AQ286" s="284" t="n"/>
      <c r="AR286" s="284" t="n"/>
      <c r="AS286" s="284" t="n"/>
    </row>
    <row r="287">
      <c r="A287" s="182" t="n">
        <v>24</v>
      </c>
      <c r="B287" s="200" t="n"/>
      <c r="D287" s="200" t="n"/>
      <c r="E287" s="200" t="n"/>
      <c r="F287" s="200" t="n"/>
      <c r="G287" s="288" t="n"/>
      <c r="H287" s="288" t="n"/>
      <c r="I287" s="288" t="n"/>
      <c r="J287" s="288" t="n"/>
      <c r="K287" s="288" t="n"/>
      <c r="L287" s="288" t="n"/>
      <c r="M287" s="288" t="n"/>
      <c r="N287" s="97" t="inlineStr">
        <is>
          <t>SIPPHADE</t>
        </is>
      </c>
      <c r="O287" s="184" t="inlineStr">
        <is>
          <t>OPD</t>
        </is>
      </c>
      <c r="P287" s="184" t="inlineStr">
        <is>
          <t>Kab. Bandung</t>
        </is>
      </c>
      <c r="Q287" s="184" t="inlineStr">
        <is>
          <t>Website dan Mobile</t>
        </is>
      </c>
      <c r="R287" s="75" t="inlineStr">
        <is>
          <t>https://sipphade.bandungkab.go.id/#/pages/login</t>
        </is>
      </c>
      <c r="S287" s="184" t="inlineStr">
        <is>
          <t>Secara Online</t>
        </is>
      </c>
      <c r="T287" s="184" t="inlineStr">
        <is>
          <t>Informasi</t>
        </is>
      </c>
      <c r="U287" s="68" t="inlineStr">
        <is>
          <t>-</t>
        </is>
      </c>
      <c r="V287" s="184" t="inlineStr">
        <is>
          <t>Aktif</t>
        </is>
      </c>
      <c r="W287" s="184" t="inlineStr">
        <is>
          <t>Tidak</t>
        </is>
      </c>
      <c r="X287" s="68" t="inlineStr">
        <is>
          <t>-</t>
        </is>
      </c>
      <c r="Y287" s="184" t="inlineStr">
        <is>
          <t>Tidak Terintegrasi</t>
        </is>
      </c>
      <c r="Z287" s="184" t="inlineStr">
        <is>
          <t>Tidak Terintegrasi</t>
        </is>
      </c>
      <c r="AA287" s="68" t="inlineStr">
        <is>
          <t>-</t>
        </is>
      </c>
      <c r="AB287" s="184" t="inlineStr">
        <is>
          <t>Setda</t>
        </is>
      </c>
      <c r="AC287" s="288" t="n"/>
      <c r="AD287" s="288" t="n"/>
      <c r="AE287" s="288" t="n"/>
      <c r="AF287" s="288" t="n"/>
      <c r="AG287" s="288" t="n"/>
      <c r="AH287" s="284" t="n"/>
      <c r="AI287" s="284" t="n"/>
      <c r="AJ287" s="284" t="n"/>
      <c r="AK287" s="284" t="n"/>
      <c r="AL287" s="284" t="n"/>
      <c r="AM287" s="284" t="n"/>
      <c r="AN287" s="284" t="n"/>
      <c r="AO287" s="284" t="n"/>
      <c r="AP287" s="284" t="n"/>
      <c r="AQ287" s="284" t="n"/>
      <c r="AR287" s="284" t="n"/>
      <c r="AS287" s="284" t="n"/>
    </row>
    <row r="288">
      <c r="A288" s="182" t="n">
        <v>25</v>
      </c>
      <c r="B288" s="200" t="n"/>
      <c r="D288" s="200" t="n"/>
      <c r="E288" s="200" t="n"/>
      <c r="F288" s="200" t="n"/>
      <c r="G288" s="288" t="n"/>
      <c r="H288" s="288" t="n"/>
      <c r="I288" s="288" t="n"/>
      <c r="J288" s="288" t="n"/>
      <c r="K288" s="288" t="n"/>
      <c r="L288" s="288" t="n"/>
      <c r="M288" s="288" t="n"/>
      <c r="N288" s="97" t="inlineStr">
        <is>
          <t>SIMBANGUN</t>
        </is>
      </c>
      <c r="O288" s="184" t="inlineStr">
        <is>
          <t>OPD</t>
        </is>
      </c>
      <c r="P288" s="184" t="inlineStr">
        <is>
          <t>Kab. Bandung</t>
        </is>
      </c>
      <c r="Q288" s="184" t="inlineStr">
        <is>
          <t>Website dan Mobile</t>
        </is>
      </c>
      <c r="R288" s="68" t="inlineStr">
        <is>
          <t>-</t>
        </is>
      </c>
      <c r="S288" s="184" t="inlineStr">
        <is>
          <t>Secara Online</t>
        </is>
      </c>
      <c r="T288" s="184" t="inlineStr">
        <is>
          <t>Informasi</t>
        </is>
      </c>
      <c r="U288" s="68" t="inlineStr">
        <is>
          <t>-</t>
        </is>
      </c>
      <c r="V288" s="184" t="inlineStr">
        <is>
          <t>Aktif</t>
        </is>
      </c>
      <c r="W288" s="184" t="inlineStr">
        <is>
          <t>Tidak</t>
        </is>
      </c>
      <c r="X288" s="68" t="inlineStr">
        <is>
          <t>-</t>
        </is>
      </c>
      <c r="Y288" s="184" t="inlineStr">
        <is>
          <t>Tidak Terintegrasi</t>
        </is>
      </c>
      <c r="Z288" s="184" t="inlineStr">
        <is>
          <t>Tidak Terintegrasi</t>
        </is>
      </c>
      <c r="AA288" s="68" t="inlineStr">
        <is>
          <t>-</t>
        </is>
      </c>
      <c r="AB288" s="184" t="inlineStr">
        <is>
          <t>Setda</t>
        </is>
      </c>
      <c r="AC288" s="288" t="n"/>
      <c r="AD288" s="288" t="n"/>
      <c r="AE288" s="288" t="n"/>
      <c r="AF288" s="288" t="n"/>
      <c r="AG288" s="288" t="n"/>
      <c r="AH288" s="284" t="n"/>
      <c r="AI288" s="284" t="n"/>
      <c r="AJ288" s="284" t="n"/>
      <c r="AK288" s="284" t="n"/>
      <c r="AL288" s="284" t="n"/>
      <c r="AM288" s="284" t="n"/>
      <c r="AN288" s="284" t="n"/>
      <c r="AO288" s="284" t="n"/>
      <c r="AP288" s="284" t="n"/>
      <c r="AQ288" s="284" t="n"/>
      <c r="AR288" s="284" t="n"/>
      <c r="AS288" s="284" t="n"/>
    </row>
    <row r="289">
      <c r="A289" s="182" t="n">
        <v>26</v>
      </c>
      <c r="B289" s="200" t="n"/>
      <c r="D289" s="200" t="n"/>
      <c r="E289" s="200" t="n"/>
      <c r="F289" s="200" t="n"/>
      <c r="G289" s="288" t="n"/>
      <c r="H289" s="288" t="n"/>
      <c r="I289" s="288" t="n"/>
      <c r="J289" s="288" t="n"/>
      <c r="K289" s="288" t="n"/>
      <c r="L289" s="288" t="n"/>
      <c r="M289" s="288" t="n"/>
      <c r="N289" s="97" t="inlineStr">
        <is>
          <t>SULTAN (e-office)</t>
        </is>
      </c>
      <c r="O289" s="184" t="inlineStr">
        <is>
          <t>Diskominfo</t>
        </is>
      </c>
      <c r="P289" s="184" t="inlineStr">
        <is>
          <t>Kab. Bandung</t>
        </is>
      </c>
      <c r="Q289" s="184" t="inlineStr">
        <is>
          <t>Website dan Mobile</t>
        </is>
      </c>
      <c r="R289" s="75" t="inlineStr">
        <is>
          <t>https://sultan.bandungkab.go.id/login</t>
        </is>
      </c>
      <c r="S289" s="184" t="inlineStr">
        <is>
          <t>Secara Online</t>
        </is>
      </c>
      <c r="T289" s="184" t="inlineStr">
        <is>
          <t>Informasi</t>
        </is>
      </c>
      <c r="U289" s="68" t="inlineStr">
        <is>
          <t>-</t>
        </is>
      </c>
      <c r="V289" s="184" t="inlineStr">
        <is>
          <t>Aktif</t>
        </is>
      </c>
      <c r="W289" s="184" t="inlineStr">
        <is>
          <t>Tidak</t>
        </is>
      </c>
      <c r="X289" s="68" t="inlineStr">
        <is>
          <t>-</t>
        </is>
      </c>
      <c r="Y289" s="184" t="inlineStr">
        <is>
          <t>Tidak Terintegrasi</t>
        </is>
      </c>
      <c r="Z289" s="184" t="inlineStr">
        <is>
          <t>Tidak Terintegrasi</t>
        </is>
      </c>
      <c r="AA289" s="68" t="inlineStr">
        <is>
          <t>-</t>
        </is>
      </c>
      <c r="AB289" s="184" t="inlineStr">
        <is>
          <t>Setda</t>
        </is>
      </c>
      <c r="AC289" s="288" t="n"/>
      <c r="AD289" s="288" t="n"/>
      <c r="AE289" s="288" t="n"/>
      <c r="AF289" s="288" t="n"/>
      <c r="AG289" s="288" t="n"/>
      <c r="AH289" s="284" t="n"/>
      <c r="AI289" s="284" t="n"/>
      <c r="AJ289" s="284" t="n"/>
      <c r="AK289" s="284" t="n"/>
      <c r="AL289" s="284" t="n"/>
      <c r="AM289" s="284" t="n"/>
      <c r="AN289" s="284" t="n"/>
      <c r="AO289" s="284" t="n"/>
      <c r="AP289" s="284" t="n"/>
      <c r="AQ289" s="284" t="n"/>
      <c r="AR289" s="284" t="n"/>
      <c r="AS289" s="284" t="n"/>
    </row>
    <row r="290">
      <c r="A290" s="182" t="n">
        <v>27</v>
      </c>
      <c r="B290" s="200" t="n"/>
      <c r="D290" s="200" t="n"/>
      <c r="E290" s="200" t="n"/>
      <c r="F290" s="200" t="n"/>
      <c r="G290" s="288" t="n"/>
      <c r="H290" s="288" t="n"/>
      <c r="I290" s="288" t="n"/>
      <c r="J290" s="288" t="n"/>
      <c r="K290" s="288" t="n"/>
      <c r="L290" s="288" t="n"/>
      <c r="M290" s="288" t="n"/>
      <c r="N290" s="97" t="inlineStr">
        <is>
          <t>SIMASDA</t>
        </is>
      </c>
      <c r="O290" s="184" t="inlineStr">
        <is>
          <t>Diskominfo</t>
        </is>
      </c>
      <c r="P290" s="184" t="inlineStr">
        <is>
          <t>Kab. Bandung</t>
        </is>
      </c>
      <c r="Q290" s="184" t="inlineStr">
        <is>
          <t>Website dan Mobile</t>
        </is>
      </c>
      <c r="R290" s="75" t="inlineStr">
        <is>
          <t>https://simasda.bandungkab.go.id/</t>
        </is>
      </c>
      <c r="S290" s="184" t="inlineStr">
        <is>
          <t>Secara Online</t>
        </is>
      </c>
      <c r="T290" s="184" t="inlineStr">
        <is>
          <t>Informasi</t>
        </is>
      </c>
      <c r="U290" s="68" t="inlineStr">
        <is>
          <t>-</t>
        </is>
      </c>
      <c r="V290" s="184" t="inlineStr">
        <is>
          <t>Aktif</t>
        </is>
      </c>
      <c r="W290" s="184" t="inlineStr">
        <is>
          <t>Tidak</t>
        </is>
      </c>
      <c r="X290" s="68" t="inlineStr">
        <is>
          <t>-</t>
        </is>
      </c>
      <c r="Y290" s="184" t="inlineStr">
        <is>
          <t>Tidak Terintegrasi</t>
        </is>
      </c>
      <c r="Z290" s="184" t="inlineStr">
        <is>
          <t>Tidak Terintegrasi</t>
        </is>
      </c>
      <c r="AA290" s="68" t="inlineStr">
        <is>
          <t>-</t>
        </is>
      </c>
      <c r="AB290" s="184" t="inlineStr">
        <is>
          <t>Setda</t>
        </is>
      </c>
      <c r="AC290" s="288" t="n"/>
      <c r="AD290" s="288" t="n"/>
      <c r="AE290" s="288" t="n"/>
      <c r="AF290" s="288" t="n"/>
      <c r="AG290" s="288" t="n"/>
      <c r="AH290" s="284" t="n"/>
      <c r="AI290" s="284" t="n"/>
      <c r="AJ290" s="284" t="n"/>
      <c r="AK290" s="284" t="n"/>
      <c r="AL290" s="284" t="n"/>
      <c r="AM290" s="284" t="n"/>
      <c r="AN290" s="284" t="n"/>
      <c r="AO290" s="284" t="n"/>
      <c r="AP290" s="284" t="n"/>
      <c r="AQ290" s="284" t="n"/>
      <c r="AR290" s="284" t="n"/>
      <c r="AS290" s="284" t="n"/>
    </row>
    <row r="291">
      <c r="A291" s="71" t="inlineStr">
        <is>
          <t>BKPSDM</t>
        </is>
      </c>
      <c r="B291" s="58" t="n"/>
      <c r="D291" s="58" t="n"/>
      <c r="E291" s="58" t="n"/>
      <c r="F291" s="58" t="n"/>
      <c r="G291" s="58" t="n"/>
      <c r="H291" s="58" t="n"/>
      <c r="I291" s="58" t="n"/>
      <c r="J291" s="58" t="n"/>
      <c r="K291" s="58" t="n"/>
      <c r="L291" s="58" t="n"/>
      <c r="M291" s="58" t="n"/>
      <c r="N291" s="58" t="n"/>
      <c r="O291" s="58" t="n"/>
      <c r="P291" s="58" t="n"/>
      <c r="Q291" s="58" t="n"/>
      <c r="R291" s="58" t="n"/>
      <c r="S291" s="58" t="n"/>
      <c r="T291" s="58" t="n"/>
      <c r="U291" s="58" t="n"/>
      <c r="V291" s="58" t="n"/>
      <c r="W291" s="58" t="n"/>
      <c r="X291" s="58" t="n"/>
      <c r="Y291" s="58" t="n"/>
      <c r="Z291" s="58" t="n"/>
      <c r="AA291" s="58" t="n"/>
      <c r="AB291" s="58" t="n"/>
      <c r="AC291" s="58" t="n"/>
      <c r="AD291" s="58" t="n"/>
      <c r="AE291" s="58" t="n"/>
      <c r="AF291" s="200" t="n"/>
      <c r="AG291" s="200" t="n"/>
      <c r="AH291" s="284" t="n"/>
      <c r="AI291" s="284" t="n"/>
      <c r="AJ291" s="284" t="n"/>
      <c r="AK291" s="284" t="n"/>
      <c r="AL291" s="284" t="n"/>
      <c r="AM291" s="284" t="n"/>
      <c r="AN291" s="284" t="n"/>
      <c r="AO291" s="284" t="n"/>
      <c r="AP291" s="284" t="n"/>
      <c r="AQ291" s="284" t="n"/>
      <c r="AR291" s="284" t="n"/>
      <c r="AS291" s="284" t="n"/>
    </row>
    <row r="292">
      <c r="A292" s="207" t="n">
        <v>1</v>
      </c>
      <c r="B292" s="208" t="inlineStr">
        <is>
          <t>Layanan Pengelolaan Kinerja ASN</t>
        </is>
      </c>
      <c r="C292" t="inlineStr">
        <is>
          <t>BKPSDM</t>
        </is>
      </c>
      <c r="D292" s="208" t="inlineStr">
        <is>
          <t>Layanan Pengelolaan Penilaian Kinerja ASN di Lingkungan Pemerintah Kabupaten Bandung untuk mewujudkan suatu layanan kepegawaian yang cepat, efektif, efisien, dan akurat dengan memanfaatkan teknologi komunikasi dan informasi berupa sistem yang terpadu meliputi pendataan, pengolahan, prosedur, sumber daya manusia, dan teknologi informasi.</t>
        </is>
      </c>
      <c r="E292" s="208" t="inlineStr">
        <is>
          <t>Peraturan Bupati Bandung No. 341 Tahun 2022 Tentang Pengelolaan Kinerja ASN dan Perubahan No. 273 Tahun 2023 Tentang Perubahan Atas Peraturan Bupati Bandung No. 341 Tahun 2022 Tentang Pengelolaan Kinerja ASN</t>
        </is>
      </c>
      <c r="F292" s="70" t="inlineStr">
        <is>
          <t>https://drive.google.com/file/d/1-u8BdMLGCu4aICHYLsA_St6eYZj99BZB/view?usp=drive_link</t>
        </is>
      </c>
      <c r="G292" s="208" t="inlineStr">
        <is>
          <t>PENATAAN SUMBER DAYA MANUSIA APARATUR</t>
        </is>
      </c>
      <c r="H292" s="208" t="inlineStr">
        <is>
          <t>Pegawai</t>
        </is>
      </c>
      <c r="I292" s="209" t="inlineStr">
        <is>
          <t>Data Pengguna</t>
        </is>
      </c>
      <c r="J292" s="208" t="inlineStr">
        <is>
          <t>Produk Hasil Penilaian Kinerja ASN, seperti Laporan Kinerja Bulanan dan Sasaran Kinerja Pegawai Tahunan</t>
        </is>
      </c>
      <c r="K292" s="208" t="inlineStr">
        <is>
          <t>Terbatas</t>
        </is>
      </c>
      <c r="L292" s="208" t="inlineStr">
        <is>
          <t>Terdapat</t>
        </is>
      </c>
      <c r="M292" s="208" t="inlineStr">
        <is>
          <t>Harian</t>
        </is>
      </c>
      <c r="N292" s="97" t="inlineStr">
        <is>
          <t>SASIKAP EVO</t>
        </is>
      </c>
      <c r="O292" s="208" t="inlineStr">
        <is>
          <t>Pihak Ke 3</t>
        </is>
      </c>
      <c r="P292" s="208" t="inlineStr">
        <is>
          <t>Kab. Bandung</t>
        </is>
      </c>
      <c r="Q292" s="208" t="inlineStr">
        <is>
          <t>Website</t>
        </is>
      </c>
      <c r="R292" s="75" t="inlineStr">
        <is>
          <t>https://sso.bandungkab.go.id</t>
        </is>
      </c>
      <c r="S292" s="208" t="inlineStr">
        <is>
          <t>Secara Online</t>
        </is>
      </c>
      <c r="T292" s="208" t="inlineStr">
        <is>
          <t>Transaksi</t>
        </is>
      </c>
      <c r="U292" s="209" t="n">
        <v>2017</v>
      </c>
      <c r="V292" s="208" t="inlineStr">
        <is>
          <t>Aktif</t>
        </is>
      </c>
      <c r="W292" s="208" t="inlineStr">
        <is>
          <t>Ya</t>
        </is>
      </c>
      <c r="X292" s="209" t="inlineStr">
        <is>
          <t>DHE ASN</t>
        </is>
      </c>
      <c r="Y292" s="208" t="inlineStr">
        <is>
          <t>Database to Database</t>
        </is>
      </c>
      <c r="Z292" s="208" t="inlineStr">
        <is>
          <t>Harian</t>
        </is>
      </c>
      <c r="AA292" s="209" t="inlineStr">
        <is>
          <t>Bidang Penilaian Kinerja dan Pengembangan ASN</t>
        </is>
      </c>
      <c r="AB292" s="208" t="inlineStr">
        <is>
          <t>BKPSDM</t>
        </is>
      </c>
      <c r="AC292" s="208" t="inlineStr">
        <is>
          <t>DEDI RADI, S.Kom M.M.</t>
        </is>
      </c>
      <c r="AD292" s="208" t="n">
        <v>82133111001</v>
      </c>
      <c r="AE292" s="75" t="inlineStr">
        <is>
          <t>dediradi@gmail.com</t>
        </is>
      </c>
      <c r="AF292" s="210" t="n">
        <v>28</v>
      </c>
      <c r="AG292" s="210" t="inlineStr">
        <is>
          <t>Insidentil</t>
        </is>
      </c>
      <c r="AH292" s="211" t="n"/>
      <c r="AI292" s="284" t="n"/>
      <c r="AJ292" s="284" t="n"/>
      <c r="AK292" s="284" t="n"/>
      <c r="AL292" s="284" t="n"/>
      <c r="AM292" s="284" t="n"/>
      <c r="AN292" s="284" t="n"/>
      <c r="AO292" s="284" t="n"/>
      <c r="AP292" s="284" t="n"/>
      <c r="AQ292" s="284" t="n"/>
      <c r="AR292" s="284" t="n"/>
      <c r="AS292" s="284" t="n"/>
    </row>
    <row r="293">
      <c r="A293" s="212" t="n">
        <v>2</v>
      </c>
      <c r="B293" s="201" t="inlineStr">
        <is>
          <t>Layanan Kenaikan Gaji Berkala</t>
        </is>
      </c>
      <c r="C293" t="inlineStr">
        <is>
          <t>BKPSDM</t>
        </is>
      </c>
      <c r="D293" s="213" t="inlineStr">
        <is>
          <t>Layanan Kenaikan Gaji Berkala merupakan pelayanan administrasi kepegawaian yang diberikan kepada ASN sebagai pemenuhan hak atas penyesuaian gaji pokok sesuai dengan masa kerja dan ketentuan peraturan yang berlaku yang berfungsi untuk memastikan tertib administrasi, memberikan kepastian serta penghargaan atas pengabdian pegawai, sekaligus meningkatkan kesejahteraan melalui penyesuaian penghasilan secara berkala.</t>
        </is>
      </c>
      <c r="E293" s="201" t="inlineStr">
        <is>
          <t>Surat Edaran Sekretariat Daerah No. 800/786/BKPSDM Tanggal 23 Maret 2020 Tentang Pelayanan Administrasi Kepegawaian Paperless pada Badan Kepegawaian dan Pengembangan Sumber Daya Manusia Kabupaten Bandung</t>
        </is>
      </c>
      <c r="F293" s="70" t="inlineStr">
        <is>
          <t>https://drive.google.com/file/d/18x4SyFaMTJIHq1ORgmmghi6RwxlrdqOk/view?usp=sharing</t>
        </is>
      </c>
      <c r="G293" s="213" t="inlineStr">
        <is>
          <t>PENATAAN SUMBER DAYA MANUSIA APARATUR</t>
        </is>
      </c>
      <c r="H293" s="201" t="inlineStr">
        <is>
          <t>Pegawai</t>
        </is>
      </c>
      <c r="I293" s="214" t="inlineStr">
        <is>
          <t>Data Pengguna</t>
        </is>
      </c>
      <c r="J293" s="201" t="inlineStr">
        <is>
          <t>Produk Layanan Kepegawaian</t>
        </is>
      </c>
      <c r="K293" s="213" t="inlineStr">
        <is>
          <t>Terbatas</t>
        </is>
      </c>
      <c r="L293" s="213" t="inlineStr">
        <is>
          <t>Terdapat</t>
        </is>
      </c>
      <c r="M293" s="213" t="inlineStr">
        <is>
          <t>Harian</t>
        </is>
      </c>
      <c r="N293" s="97" t="inlineStr">
        <is>
          <t>Simpel BKPSDM</t>
        </is>
      </c>
      <c r="O293" s="213" t="inlineStr">
        <is>
          <t>OPD</t>
        </is>
      </c>
      <c r="P293" s="213" t="inlineStr">
        <is>
          <t>Kab. Bandung</t>
        </is>
      </c>
      <c r="Q293" s="213" t="inlineStr">
        <is>
          <t>Website</t>
        </is>
      </c>
      <c r="R293" s="75" t="inlineStr">
        <is>
          <t>https://sso.bandungkab.go.id</t>
        </is>
      </c>
      <c r="S293" s="213" t="inlineStr">
        <is>
          <t>Secara Online</t>
        </is>
      </c>
      <c r="T293" s="213" t="inlineStr">
        <is>
          <t>Transaksi</t>
        </is>
      </c>
      <c r="U293" s="214" t="n">
        <v>2020</v>
      </c>
      <c r="V293" s="213" t="inlineStr">
        <is>
          <t>Aktif</t>
        </is>
      </c>
      <c r="W293" s="213" t="inlineStr">
        <is>
          <t>Ya</t>
        </is>
      </c>
      <c r="X293" s="214" t="inlineStr">
        <is>
          <t>SI ASN</t>
        </is>
      </c>
      <c r="Y293" s="213" t="inlineStr">
        <is>
          <t>Database to Database</t>
        </is>
      </c>
      <c r="Z293" s="213" t="inlineStr">
        <is>
          <t>Harian</t>
        </is>
      </c>
      <c r="AA293" s="176" t="inlineStr">
        <is>
          <t>Bidang Pengadaan Pemberhentian dan Informasi Kepegawaian ASN</t>
        </is>
      </c>
      <c r="AB293" s="201" t="inlineStr">
        <is>
          <t>BKPSDM</t>
        </is>
      </c>
      <c r="AC293" s="201" t="inlineStr">
        <is>
          <t>LEMI CANDRA LESMANA, ST</t>
        </is>
      </c>
      <c r="AD293" s="201" t="n">
        <v>82129997000</v>
      </c>
      <c r="AE293" s="75" t="inlineStr">
        <is>
          <t>lemicandra@gmail.com</t>
        </is>
      </c>
      <c r="AF293" s="204" t="n"/>
      <c r="AG293" s="204" t="n"/>
      <c r="AH293" s="215" t="n"/>
      <c r="AI293" s="284" t="n"/>
      <c r="AJ293" s="284" t="n"/>
      <c r="AK293" s="284" t="n"/>
      <c r="AL293" s="284" t="n"/>
      <c r="AM293" s="284" t="n"/>
      <c r="AN293" s="284" t="n"/>
      <c r="AO293" s="284" t="n"/>
      <c r="AP293" s="284" t="n"/>
      <c r="AQ293" s="284" t="n"/>
      <c r="AR293" s="284" t="n"/>
      <c r="AS293" s="284" t="n"/>
    </row>
    <row r="294">
      <c r="A294" s="71" t="inlineStr">
        <is>
          <t>BAKESBANGPOL</t>
        </is>
      </c>
      <c r="B294" s="58" t="n"/>
      <c r="D294" s="58" t="n"/>
      <c r="E294" s="58" t="n"/>
      <c r="F294" s="58" t="n"/>
      <c r="G294" s="58" t="n"/>
      <c r="H294" s="58" t="n"/>
      <c r="I294" s="58" t="n"/>
      <c r="J294" s="58" t="n"/>
      <c r="K294" s="58" t="n"/>
      <c r="L294" s="58" t="n"/>
      <c r="M294" s="58" t="n"/>
      <c r="N294" s="58" t="n"/>
      <c r="O294" s="58" t="n"/>
      <c r="P294" s="58" t="n"/>
      <c r="Q294" s="58" t="n"/>
      <c r="R294" s="58" t="n"/>
      <c r="S294" s="58" t="n"/>
      <c r="T294" s="58" t="n"/>
      <c r="U294" s="58" t="n"/>
      <c r="V294" s="58" t="n"/>
      <c r="W294" s="58" t="n"/>
      <c r="X294" s="58" t="n"/>
      <c r="Y294" s="58" t="n"/>
      <c r="Z294" s="58" t="n"/>
      <c r="AA294" s="58" t="n"/>
      <c r="AB294" s="58" t="n"/>
      <c r="AC294" s="58" t="n"/>
      <c r="AD294" s="58" t="n"/>
      <c r="AE294" s="58" t="n"/>
      <c r="AF294" s="200" t="n"/>
      <c r="AG294" s="200" t="n"/>
      <c r="AH294" s="284" t="n"/>
      <c r="AI294" s="284" t="n"/>
      <c r="AJ294" s="284" t="n"/>
      <c r="AK294" s="284" t="n"/>
      <c r="AL294" s="284" t="n"/>
      <c r="AM294" s="284" t="n"/>
      <c r="AN294" s="284" t="n"/>
      <c r="AO294" s="284" t="n"/>
      <c r="AP294" s="284" t="n"/>
      <c r="AQ294" s="284" t="n"/>
      <c r="AR294" s="284" t="n"/>
      <c r="AS294" s="284" t="n"/>
    </row>
    <row r="295">
      <c r="A295" s="182" t="n">
        <v>1</v>
      </c>
      <c r="B295" s="184" t="inlineStr">
        <is>
          <t>Layanan Penerbitan Surat Keterangan Penelitian</t>
        </is>
      </c>
      <c r="C295" t="inlineStr">
        <is>
          <t>BAKESBANGPOL</t>
        </is>
      </c>
      <c r="D295" s="184" t="inlineStr">
        <is>
          <t>Layanan penerbitan Surat Keterangan Penelitian di Badan Kesatuan Bangsa dan Politik memiliki tujuan untuk memberikan kepastian hukum dan legalitas bagi mahasiswa, dosen, peneliti, maupun lembaga riset yang akan melakukan penelitian di wilayah daerah. Selain itu, penerbitan Surat Keterangan Penelitian juga dimaksudkan sebagai dasar administrasi bagi instansi pemerintah maupun masyarakat dalam memberikan izin akses data atau informasi kepada peneliti. Layanan ini juga berfungsi sebagai sarana pencatatan dan dokumentasi kegiatan penelitian yang masuk ke daerah, sehingga pemerintah memiliki basis data yang jelas mengenai bidang-bidang penelitian yang dilakukan.</t>
        </is>
      </c>
      <c r="E295" s="184" t="inlineStr">
        <is>
          <t>Permendagri 7 Tahun 2014</t>
        </is>
      </c>
      <c r="F295" s="131" t="inlineStr">
        <is>
          <t>https://drive.google.com/file/d/1PXizS0lsGfzHef1oqj26L6YEq9Ht-TsF/view?usp=sharing</t>
        </is>
      </c>
      <c r="G295" s="184" t="inlineStr">
        <is>
          <t>PENINGKATAN KUALITAS PELAYANAN PUBLIK</t>
        </is>
      </c>
      <c r="H295" s="184" t="inlineStr">
        <is>
          <t>Masyarakat</t>
        </is>
      </c>
      <c r="I295" s="184" t="inlineStr">
        <is>
          <t>Ktp, Surat Pengantar dari Kampus, Proposal, Surat ijin Lokasi untuk kkn/pkl</t>
        </is>
      </c>
      <c r="J295" s="184" t="inlineStr">
        <is>
          <t>Surat Izin Penelitian, Surat Izin magang/PKL/Magang</t>
        </is>
      </c>
      <c r="K295" s="184" t="inlineStr">
        <is>
          <t>Terbatas</t>
        </is>
      </c>
      <c r="L295" s="184" t="inlineStr">
        <is>
          <t>Terdapat</t>
        </is>
      </c>
      <c r="M295" s="184" t="inlineStr">
        <is>
          <t>Harian</t>
        </is>
      </c>
      <c r="N295" s="130" t="inlineStr">
        <is>
          <t>Microsoft Office</t>
        </is>
      </c>
      <c r="O295" s="184" t="inlineStr">
        <is>
          <t>OPD</t>
        </is>
      </c>
      <c r="P295" s="184" t="inlineStr">
        <is>
          <t>Kab. Bandung</t>
        </is>
      </c>
      <c r="Q295" s="184" t="inlineStr">
        <is>
          <t>Desktop</t>
        </is>
      </c>
      <c r="R295" s="184" t="inlineStr">
        <is>
          <t>Word dan Excel</t>
        </is>
      </c>
      <c r="S295" s="184" t="inlineStr">
        <is>
          <t>Secara Offline</t>
        </is>
      </c>
      <c r="T295" s="184" t="inlineStr">
        <is>
          <t>Informasi</t>
        </is>
      </c>
      <c r="U295" s="184" t="n">
        <v>2009</v>
      </c>
      <c r="V295" s="184" t="inlineStr">
        <is>
          <t>Aktif</t>
        </is>
      </c>
      <c r="W295" s="184" t="inlineStr">
        <is>
          <t>Tidak</t>
        </is>
      </c>
      <c r="X295" s="184" t="inlineStr">
        <is>
          <t>Tidak Terintegrasi</t>
        </is>
      </c>
      <c r="Y295" s="184" t="inlineStr">
        <is>
          <t>Manual</t>
        </is>
      </c>
      <c r="Z295" s="184" t="inlineStr">
        <is>
          <t>Tidak Terintegrasi</t>
        </is>
      </c>
      <c r="AA295" s="184" t="inlineStr">
        <is>
          <t>Bidang Ideologi, Wawasan Kebangsaan dan Karakter Bangsa</t>
        </is>
      </c>
      <c r="AB295" s="184" t="inlineStr">
        <is>
          <t>Bakesbangpol</t>
        </is>
      </c>
      <c r="AC295" s="184" t="inlineStr">
        <is>
          <t>Sugiarto, S.Sos</t>
        </is>
      </c>
      <c r="AD295" s="184" t="n">
        <v>82315879914</v>
      </c>
      <c r="AE295" s="184" t="inlineStr">
        <is>
          <t>alexsugiarto005@gmail.com</t>
        </is>
      </c>
      <c r="AF295" s="288" t="n"/>
      <c r="AG295" s="68" t="inlineStr">
        <is>
          <t>Harian</t>
        </is>
      </c>
      <c r="AH295" s="284" t="n"/>
      <c r="AI295" s="284" t="n"/>
      <c r="AJ295" s="284" t="n"/>
      <c r="AK295" s="284" t="n"/>
      <c r="AL295" s="284" t="n"/>
      <c r="AM295" s="284" t="n"/>
      <c r="AN295" s="284" t="n"/>
      <c r="AO295" s="284" t="n"/>
      <c r="AP295" s="284" t="n"/>
      <c r="AQ295" s="284" t="n"/>
      <c r="AR295" s="284" t="n"/>
      <c r="AS295" s="284" t="n"/>
    </row>
    <row r="296">
      <c r="A296" s="182" t="n">
        <v>2</v>
      </c>
      <c r="B296" s="178" t="inlineStr">
        <is>
          <t>Layanan Lapor Ormas</t>
        </is>
      </c>
      <c r="C296" t="inlineStr">
        <is>
          <t>BAKESBANGPOL</t>
        </is>
      </c>
      <c r="D296" s="133" t="inlineStr">
        <is>
          <t>Layanan Lapor Ormas di Kesbangpol bertujuan untuk mendata dan memantau keberadaan serta aktivitas organisasi kemasyarakatan agar tercipta ketertiban administrasi, akuntabilitas, dan basis data yang valid. Layanan ini berfungsi sebagai sarana pendataan, evaluasi, dan pembinaan ormas, sekaligus memastikan aktivitasnya sesuai aturan hukum serta berkontribusi positif bagi masyarakat dan stabilitas daerah.</t>
        </is>
      </c>
      <c r="E296" s="178" t="inlineStr">
        <is>
          <t>Undang-Undang Nomor 17 Tahun 2013 tentang Organisasi Kemasyarakatan
 Undang-Undang Nomor 16 Tahun 2017 (tentang Penetapan Perppu Nomor 2 Tahun 2017 menjadi Undang-Undang)
 Peraturan Pemerintah Nomor 58 Tahun 2016 tentang Pelaksanaan Undang-Undang Nomor 17 Tahun 2013 tentang Organisasi Kemasyarakatan
 Peraturan Menteri Dalam Negeri Nomor 57 Tahun 2017 tentang Pendaftaran dan Pengelolaan Sistem Informasi Organisasi Kemasyarakatan</t>
        </is>
      </c>
      <c r="F296" s="70" t="inlineStr">
        <is>
          <t>https://drive.google.com/file/d/1Ytr1MO33D981VKk7RIXXUdXU9tmvqtIl/view?usp=sharing</t>
        </is>
      </c>
      <c r="G296" s="184" t="inlineStr">
        <is>
          <t>PENINGKATAN KUALITAS PELAYANAN PUBLIK</t>
        </is>
      </c>
      <c r="H296" s="184" t="inlineStr">
        <is>
          <t>Masyarakat</t>
        </is>
      </c>
      <c r="I296" s="184" t="inlineStr">
        <is>
          <t>Data identitas ormas, legalitas ormas, kepengurusan ormas, keanggotaan dan lampiran pendukung</t>
        </is>
      </c>
      <c r="J296" s="178" t="inlineStr">
        <is>
          <t>Tercatatnya Data Ormas</t>
        </is>
      </c>
      <c r="K296" s="184" t="inlineStr">
        <is>
          <t>Rahasia</t>
        </is>
      </c>
      <c r="L296" s="184" t="inlineStr">
        <is>
          <t>Terdapat</t>
        </is>
      </c>
      <c r="M296" s="184" t="inlineStr">
        <is>
          <t>Bulanan</t>
        </is>
      </c>
      <c r="N296" s="97" t="inlineStr">
        <is>
          <t>Google formulir</t>
        </is>
      </c>
      <c r="O296" s="184" t="inlineStr">
        <is>
          <t>OPD</t>
        </is>
      </c>
      <c r="P296" s="184" t="inlineStr">
        <is>
          <t>Kab. Bandung</t>
        </is>
      </c>
      <c r="Q296" s="184" t="inlineStr">
        <is>
          <t>Desktop</t>
        </is>
      </c>
      <c r="R296" s="70" t="inlineStr">
        <is>
          <t>https://docs.google.com/forms/d/e/1FAIpQLScgtcVM1HIFI6Kb84RdU-NURHvy6qz13ikmHRCejwiPs-g2KQ/viewform?pli=1</t>
        </is>
      </c>
      <c r="S296" s="184" t="inlineStr">
        <is>
          <t>Secara Online</t>
        </is>
      </c>
      <c r="T296" s="184" t="inlineStr">
        <is>
          <t>Informasi</t>
        </is>
      </c>
      <c r="U296" s="98" t="n">
        <v>2024</v>
      </c>
      <c r="V296" s="184" t="inlineStr">
        <is>
          <t>Aktif</t>
        </is>
      </c>
      <c r="W296" s="184" t="inlineStr">
        <is>
          <t>Tidak</t>
        </is>
      </c>
      <c r="X296" s="184" t="inlineStr">
        <is>
          <t>Tidak Terintegrasi</t>
        </is>
      </c>
      <c r="Y296" s="184" t="inlineStr">
        <is>
          <t>Manual</t>
        </is>
      </c>
      <c r="Z296" s="184" t="inlineStr">
        <is>
          <t>Lainnya</t>
        </is>
      </c>
      <c r="AA296" s="184" t="inlineStr">
        <is>
          <t>Bidang Politik dalam Negeri</t>
        </is>
      </c>
      <c r="AB296" s="184" t="inlineStr">
        <is>
          <t>Bakesbangpol</t>
        </is>
      </c>
      <c r="AC296" s="178" t="inlineStr">
        <is>
          <t>MUHAMMAD FADLI MUSTHAFA S.M.</t>
        </is>
      </c>
      <c r="AD296" s="184" t="n">
        <v>82219137079</v>
      </c>
      <c r="AE296" s="184" t="inlineStr">
        <is>
          <t>fadlimusthafa15@gmail.com</t>
        </is>
      </c>
      <c r="AF296" s="68" t="n">
        <v>53</v>
      </c>
      <c r="AG296" s="68" t="inlineStr">
        <is>
          <t>Setiap Saat</t>
        </is>
      </c>
      <c r="AH296" s="216" t="n"/>
      <c r="AI296" s="284" t="n"/>
      <c r="AJ296" s="284" t="n"/>
      <c r="AK296" s="284" t="n"/>
      <c r="AL296" s="284" t="n"/>
      <c r="AM296" s="284" t="n"/>
      <c r="AN296" s="284" t="n"/>
      <c r="AO296" s="284" t="n"/>
      <c r="AP296" s="284" t="n"/>
      <c r="AQ296" s="284" t="n"/>
      <c r="AR296" s="284" t="n"/>
      <c r="AS296" s="284" t="n"/>
    </row>
    <row r="297">
      <c r="A297" s="71" t="inlineStr">
        <is>
          <t>BPBD</t>
        </is>
      </c>
      <c r="B297" s="58" t="n"/>
      <c r="D297" s="58" t="n"/>
      <c r="E297" s="58" t="n"/>
      <c r="F297" s="58" t="n"/>
      <c r="G297" s="58" t="n"/>
      <c r="H297" s="58" t="n"/>
      <c r="I297" s="58" t="n"/>
      <c r="J297" s="58" t="n"/>
      <c r="K297" s="58" t="n"/>
      <c r="L297" s="58" t="n"/>
      <c r="M297" s="58" t="n"/>
      <c r="N297" s="58" t="n"/>
      <c r="O297" s="58" t="n"/>
      <c r="P297" s="58" t="n"/>
      <c r="Q297" s="58" t="n"/>
      <c r="R297" s="58" t="n"/>
      <c r="S297" s="58" t="n"/>
      <c r="T297" s="58" t="n"/>
      <c r="U297" s="58" t="n"/>
      <c r="V297" s="58" t="n"/>
      <c r="W297" s="58" t="n"/>
      <c r="X297" s="58" t="n"/>
      <c r="Y297" s="58" t="n"/>
      <c r="Z297" s="58" t="n"/>
      <c r="AA297" s="58" t="n"/>
      <c r="AB297" s="58" t="n"/>
      <c r="AC297" s="58" t="n"/>
      <c r="AD297" s="58" t="n"/>
      <c r="AE297" s="58" t="n"/>
      <c r="AF297" s="200" t="n"/>
      <c r="AG297" s="200" t="n"/>
      <c r="AH297" s="284" t="n"/>
      <c r="AI297" s="284" t="n"/>
      <c r="AJ297" s="284" t="n"/>
      <c r="AK297" s="284" t="n"/>
      <c r="AL297" s="284" t="n"/>
      <c r="AM297" s="284" t="n"/>
      <c r="AN297" s="284" t="n"/>
      <c r="AO297" s="284" t="n"/>
      <c r="AP297" s="284" t="n"/>
      <c r="AQ297" s="284" t="n"/>
      <c r="AR297" s="284" t="n"/>
      <c r="AS297" s="284" t="n"/>
    </row>
    <row r="298">
      <c r="A298" s="182" t="n">
        <v>1</v>
      </c>
      <c r="B298" s="178" t="inlineStr">
        <is>
          <t>Layanan Lapor Kejadian Bencana</t>
        </is>
      </c>
      <c r="C298" t="inlineStr">
        <is>
          <t>BPBD</t>
        </is>
      </c>
      <c r="D298" s="178" t="inlineStr">
        <is>
          <t>Membantu masyarakat untuk melaporkan kejadian bencana kepada pemerintah daerah sehingga tindakan tanggap darurat dapat dilakukan dengan cepat dan tepat.</t>
        </is>
      </c>
      <c r="E298" s="178" t="inlineStr">
        <is>
          <t>Undang - undang Nomor 24 Tahun 2007 tentang Penanggulangan Bencana</t>
        </is>
      </c>
      <c r="F298" s="70" t="inlineStr">
        <is>
          <t>https://drive.google.com/file/d/1OVv4yCmrgdrfLSeSS5ewogAtczV2aIlF/view?usp=sharing</t>
        </is>
      </c>
      <c r="G298" s="184" t="inlineStr">
        <is>
          <t>PENYELENGGARAAN PENANGGULANGAN BENCANA</t>
        </is>
      </c>
      <c r="H298" s="184" t="inlineStr">
        <is>
          <t>Masyarakat</t>
        </is>
      </c>
      <c r="I298" s="217" t="inlineStr">
        <is>
          <t>Data Kejadian Bencana</t>
        </is>
      </c>
      <c r="J298" s="184" t="inlineStr">
        <is>
          <t>Data Kejadian Bencana</t>
        </is>
      </c>
      <c r="K298" s="184" t="inlineStr">
        <is>
          <t>Terbuka</t>
        </is>
      </c>
      <c r="L298" s="184" t="inlineStr">
        <is>
          <t>Tidak terdapat</t>
        </is>
      </c>
      <c r="M298" s="184" t="inlineStr">
        <is>
          <t>Harian</t>
        </is>
      </c>
      <c r="N298" s="130" t="inlineStr">
        <is>
          <t>TITATU</t>
        </is>
      </c>
      <c r="O298" s="184" t="inlineStr">
        <is>
          <t>Diskominfo</t>
        </is>
      </c>
      <c r="P298" s="184" t="inlineStr">
        <is>
          <t>Kab. Bandung</t>
        </is>
      </c>
      <c r="Q298" s="184" t="inlineStr">
        <is>
          <t>Mobile</t>
        </is>
      </c>
      <c r="R298" s="70" t="inlineStr">
        <is>
          <t>https://play.google.com/store/apps/details?id=com.diskominfo.bpbd</t>
        </is>
      </c>
      <c r="S298" s="184" t="inlineStr">
        <is>
          <t>Secara Online</t>
        </is>
      </c>
      <c r="T298" s="184" t="inlineStr">
        <is>
          <t>Informasi</t>
        </is>
      </c>
      <c r="U298" s="98" t="n">
        <v>2022</v>
      </c>
      <c r="V298" s="184" t="inlineStr">
        <is>
          <t>Non Aktif</t>
        </is>
      </c>
      <c r="W298" s="184" t="inlineStr">
        <is>
          <t>Tidak</t>
        </is>
      </c>
      <c r="X298" s="288" t="n"/>
      <c r="Y298" s="184" t="inlineStr">
        <is>
          <t>Tidak Terintegrasi</t>
        </is>
      </c>
      <c r="Z298" s="184" t="inlineStr">
        <is>
          <t>Tidak Terintegrasi</t>
        </is>
      </c>
      <c r="AA298" s="218" t="inlineStr">
        <is>
          <t>Bidang Kedaruratan dan Logistik</t>
        </is>
      </c>
      <c r="AB298" s="184" t="inlineStr">
        <is>
          <t>BPBD</t>
        </is>
      </c>
      <c r="AC298" s="288" t="n"/>
      <c r="AD298" s="288" t="n"/>
      <c r="AE298" s="288" t="n"/>
      <c r="AF298" s="200" t="n"/>
      <c r="AG298" s="200" t="n"/>
      <c r="AH298" s="284" t="n"/>
      <c r="AI298" s="284" t="n"/>
      <c r="AJ298" s="284" t="n"/>
      <c r="AK298" s="284" t="n"/>
      <c r="AL298" s="284" t="n"/>
      <c r="AM298" s="284" t="n"/>
      <c r="AN298" s="284" t="n"/>
      <c r="AO298" s="284" t="n"/>
      <c r="AP298" s="284" t="n"/>
      <c r="AQ298" s="284" t="n"/>
      <c r="AR298" s="284" t="n"/>
      <c r="AS298" s="284" t="n"/>
    </row>
    <row r="299">
      <c r="A299" s="182" t="n">
        <v>2</v>
      </c>
      <c r="B299" s="178" t="inlineStr">
        <is>
          <t>Layanan Pusat Pengendalian Operasi Penanggulangan Bencana</t>
        </is>
      </c>
      <c r="C299" t="inlineStr">
        <is>
          <t>BPBD</t>
        </is>
      </c>
      <c r="D299" s="178" t="inlineStr">
        <is>
          <t>Menjadi pusat koordinasi dan pengendalian operasi penanggulangan bencana untuk memastikan respon yang efisien dan terkoordinasi dari berbagai instansi terkait.</t>
        </is>
      </c>
      <c r="E299" s="178" t="inlineStr">
        <is>
          <t>Undang - undang Nomor 24 Tahun 2007 tentang Penanggulangan Bencana</t>
        </is>
      </c>
      <c r="F299" s="70" t="inlineStr">
        <is>
          <t>https://drive.google.com/file/d/1OVv4yCmrgdrfLSeSS5ewogAtczV2aIlF/view?usp=sharing</t>
        </is>
      </c>
      <c r="G299" s="184" t="inlineStr">
        <is>
          <t>PENYELENGGARAAN PENANGGULANGAN BENCANA</t>
        </is>
      </c>
      <c r="H299" s="184" t="inlineStr">
        <is>
          <t>Pegawai</t>
        </is>
      </c>
      <c r="I299" s="217" t="inlineStr">
        <is>
          <t>Data Penanggulangan Bencana</t>
        </is>
      </c>
      <c r="J299" s="184" t="inlineStr">
        <is>
          <t>Data Kejadian Bencana</t>
        </is>
      </c>
      <c r="K299" s="184" t="inlineStr">
        <is>
          <t>Terbuka</t>
        </is>
      </c>
      <c r="L299" s="288" t="n"/>
      <c r="M299" s="184" t="inlineStr">
        <is>
          <t>Harian</t>
        </is>
      </c>
      <c r="N299" s="130" t="inlineStr">
        <is>
          <t>DIBI</t>
        </is>
      </c>
      <c r="O299" s="288" t="n"/>
      <c r="P299" s="288" t="n"/>
      <c r="Q299" s="184" t="inlineStr">
        <is>
          <t>Website</t>
        </is>
      </c>
      <c r="R299" s="70" t="inlineStr">
        <is>
          <t>http://dibi.bnpb.go.id/</t>
        </is>
      </c>
      <c r="S299" s="184" t="inlineStr">
        <is>
          <t>Secara Online</t>
        </is>
      </c>
      <c r="T299" s="184" t="inlineStr">
        <is>
          <t>Informasi</t>
        </is>
      </c>
      <c r="U299" s="288" t="n"/>
      <c r="V299" s="184" t="inlineStr">
        <is>
          <t>Aktif</t>
        </is>
      </c>
      <c r="W299" s="288" t="n"/>
      <c r="X299" s="288" t="n"/>
      <c r="Y299" s="184" t="inlineStr">
        <is>
          <t>Tidak Terintegrasi</t>
        </is>
      </c>
      <c r="Z299" s="288" t="n"/>
      <c r="AA299" s="184" t="inlineStr">
        <is>
          <t>Bidang Kedaruratan dan Logistik</t>
        </is>
      </c>
      <c r="AB299" s="184" t="inlineStr">
        <is>
          <t>BPBD</t>
        </is>
      </c>
      <c r="AC299" s="288" t="n"/>
      <c r="AD299" s="288" t="n"/>
      <c r="AE299" s="288" t="n"/>
      <c r="AF299" s="200" t="n"/>
      <c r="AG299" s="200" t="n"/>
      <c r="AH299" s="284" t="n"/>
      <c r="AI299" s="284" t="n"/>
      <c r="AJ299" s="284" t="n"/>
      <c r="AK299" s="284" t="n"/>
      <c r="AL299" s="284" t="n"/>
      <c r="AM299" s="284" t="n"/>
      <c r="AN299" s="284" t="n"/>
      <c r="AO299" s="284" t="n"/>
      <c r="AP299" s="284" t="n"/>
      <c r="AQ299" s="284" t="n"/>
      <c r="AR299" s="284" t="n"/>
      <c r="AS299" s="284" t="n"/>
    </row>
    <row r="300">
      <c r="A300" s="182" t="n">
        <v>4</v>
      </c>
      <c r="B300" s="178" t="inlineStr">
        <is>
          <t>Layanan Sosialiasi Bimbingan Bencana</t>
        </is>
      </c>
      <c r="C300" t="inlineStr">
        <is>
          <t>BPBD</t>
        </is>
      </c>
      <c r="D300" s="178" t="inlineStr">
        <is>
          <t>Menyediakan informasi dan bimbingan kepada masyarakat tentang cara menghadapi bencana, termasuk tindakan evakuasi, persiapan tanggap darurat, dan pemulihan pasca-bencana.</t>
        </is>
      </c>
      <c r="E300" s="178" t="inlineStr">
        <is>
          <t>Undang - undang Nomor 24 Tahun 2007 tentang Penanggulangan Bencana</t>
        </is>
      </c>
      <c r="F300" s="70" t="inlineStr">
        <is>
          <t>https://docs.google.com/spreadsheets/d/1l5-2zqpZNcqk1vc27yahE2fBaLI9m7gY/edit?usp=sharing&amp;ouid=116583022603845992448&amp;rtpof=true&amp;sd=true</t>
        </is>
      </c>
      <c r="G300" s="184" t="inlineStr">
        <is>
          <t>PENYELENGGARAAN PENANGGULANGAN BENCANA</t>
        </is>
      </c>
      <c r="H300" s="184" t="inlineStr">
        <is>
          <t>Masyarakat</t>
        </is>
      </c>
      <c r="I300" s="184" t="inlineStr">
        <is>
          <t>Data Sosialisasi Bimbingan Bencana</t>
        </is>
      </c>
      <c r="J300" s="184" t="inlineStr">
        <is>
          <t>Data Sosialisasi Bimbingan Bencana</t>
        </is>
      </c>
      <c r="K300" s="184" t="inlineStr">
        <is>
          <t>Terbuka</t>
        </is>
      </c>
      <c r="L300" s="288" t="n"/>
      <c r="M300" s="184" t="inlineStr">
        <is>
          <t>Harian</t>
        </is>
      </c>
      <c r="N300" s="97" t="inlineStr">
        <is>
          <t>ARJUNA</t>
        </is>
      </c>
      <c r="O300" s="184" t="inlineStr">
        <is>
          <t>Pihak Ke 3</t>
        </is>
      </c>
      <c r="P300" s="184" t="inlineStr">
        <is>
          <t>Pihak Ke 3 (Lisensi)</t>
        </is>
      </c>
      <c r="Q300" s="184" t="inlineStr">
        <is>
          <t>Mobile</t>
        </is>
      </c>
      <c r="R300" s="70" t="inlineStr">
        <is>
          <t>https://drive.google.com/drive/folders/1B5BkNR_l7v0dpf1e8Y6cIlWcgjAqRVF5?usp=drive_link</t>
        </is>
      </c>
      <c r="S300" s="184" t="inlineStr">
        <is>
          <t>Secara Online</t>
        </is>
      </c>
      <c r="T300" s="184" t="inlineStr">
        <is>
          <t>Informasi</t>
        </is>
      </c>
      <c r="U300" s="98" t="n">
        <v>2022</v>
      </c>
      <c r="V300" s="184" t="inlineStr">
        <is>
          <t>Aktif</t>
        </is>
      </c>
      <c r="W300" s="184" t="inlineStr">
        <is>
          <t>Tidak</t>
        </is>
      </c>
      <c r="X300" s="288" t="n"/>
      <c r="Y300" s="184" t="inlineStr">
        <is>
          <t>Tidak Terintegrasi</t>
        </is>
      </c>
      <c r="Z300" s="288" t="n"/>
      <c r="AA300" s="184" t="inlineStr">
        <is>
          <t>Bidang Pencegahan dan Kesiapsiagaan</t>
        </is>
      </c>
      <c r="AB300" s="184" t="inlineStr">
        <is>
          <t>BPBD</t>
        </is>
      </c>
      <c r="AC300" s="288" t="n"/>
      <c r="AD300" s="288" t="n"/>
      <c r="AE300" s="288" t="n"/>
      <c r="AF300" s="200" t="n"/>
      <c r="AG300" s="200" t="n"/>
      <c r="AH300" s="284" t="n"/>
      <c r="AI300" s="284" t="n"/>
      <c r="AJ300" s="284" t="n"/>
      <c r="AK300" s="284" t="n"/>
      <c r="AL300" s="284" t="n"/>
      <c r="AM300" s="284" t="n"/>
      <c r="AN300" s="284" t="n"/>
      <c r="AO300" s="284" t="n"/>
      <c r="AP300" s="284" t="n"/>
      <c r="AQ300" s="284" t="n"/>
      <c r="AR300" s="284" t="n"/>
      <c r="AS300" s="284" t="n"/>
    </row>
    <row r="301">
      <c r="A301" s="71" t="inlineStr">
        <is>
          <t>RSUD MAJALAYA</t>
        </is>
      </c>
      <c r="B301" s="58" t="n"/>
      <c r="D301" s="58" t="n"/>
      <c r="E301" s="58" t="n"/>
      <c r="F301" s="58" t="n"/>
      <c r="G301" s="58" t="n"/>
      <c r="H301" s="58" t="n"/>
      <c r="I301" s="58" t="n"/>
      <c r="J301" s="58" t="n"/>
      <c r="K301" s="58" t="n"/>
      <c r="L301" s="58" t="n"/>
      <c r="M301" s="58" t="n"/>
      <c r="N301" s="58" t="n"/>
      <c r="O301" s="58" t="n"/>
      <c r="P301" s="58" t="n"/>
      <c r="Q301" s="58" t="n"/>
      <c r="R301" s="58" t="n"/>
      <c r="S301" s="58" t="n"/>
      <c r="T301" s="58" t="n"/>
      <c r="U301" s="58" t="n"/>
      <c r="V301" s="58" t="n"/>
      <c r="W301" s="58" t="n"/>
      <c r="X301" s="58" t="n"/>
      <c r="Y301" s="58" t="n"/>
      <c r="Z301" s="58" t="n"/>
      <c r="AA301" s="58" t="n"/>
      <c r="AB301" s="58" t="n"/>
      <c r="AC301" s="58" t="n"/>
      <c r="AD301" s="58" t="n"/>
      <c r="AE301" s="58" t="n"/>
      <c r="AF301" s="200" t="n"/>
      <c r="AG301" s="200" t="n"/>
      <c r="AH301" s="284" t="n"/>
      <c r="AI301" s="284" t="n"/>
      <c r="AJ301" s="284" t="n"/>
      <c r="AK301" s="284" t="n"/>
      <c r="AL301" s="284" t="n"/>
      <c r="AM301" s="284" t="n"/>
      <c r="AN301" s="284" t="n"/>
      <c r="AO301" s="284" t="n"/>
      <c r="AP301" s="284" t="n"/>
      <c r="AQ301" s="284" t="n"/>
      <c r="AR301" s="284" t="n"/>
      <c r="AS301" s="284" t="n"/>
    </row>
    <row r="302">
      <c r="A302" s="180" t="n">
        <v>1</v>
      </c>
      <c r="B302" s="184" t="inlineStr">
        <is>
          <t>Layanan Integrasi Ekosistem Digital Rumah Sakit (SIMRS)</t>
        </is>
      </c>
      <c r="C302" t="inlineStr">
        <is>
          <t>RSUD MAJALAYA</t>
        </is>
      </c>
      <c r="D302"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302" s="184" t="inlineStr">
        <is>
          <t>Peraturan Menteri Kesehatan Nomor 82 Tahun 2013 Tentang Sistem Informasi Manajemen Rumah Sakit</t>
        </is>
      </c>
      <c r="F302" s="131" t="inlineStr">
        <is>
          <t>https://drive.google.com/file/d/1T1U4oNUqZS1NcFlgpFY6CJRp0CcQqlBv/view?usp=drive_link</t>
        </is>
      </c>
      <c r="G302" s="184" t="inlineStr">
        <is>
          <t>PENGELOLAAN PELAYANAN KESEHATAN</t>
        </is>
      </c>
      <c r="H302" s="184" t="inlineStr">
        <is>
          <t>Masyarakat</t>
        </is>
      </c>
      <c r="I302" s="184" t="inlineStr">
        <is>
          <t>Data pasien, mulai dari info pribadi hingga catatan medis pasien</t>
        </is>
      </c>
      <c r="J302" s="178" t="inlineStr">
        <is>
          <t>Data rekam medis pasien</t>
        </is>
      </c>
      <c r="K302" s="184" t="inlineStr">
        <is>
          <t>Rahasia</t>
        </is>
      </c>
      <c r="L302" s="184" t="inlineStr">
        <is>
          <t>Terdapat</t>
        </is>
      </c>
      <c r="M302" s="184" t="inlineStr">
        <is>
          <t>Lainnya</t>
        </is>
      </c>
      <c r="N302" s="130" t="inlineStr">
        <is>
          <t>SIMRS Majalaya</t>
        </is>
      </c>
      <c r="O302" s="184" t="inlineStr">
        <is>
          <t>Pihak Ke 3</t>
        </is>
      </c>
      <c r="P302" s="184" t="inlineStr">
        <is>
          <t>Kab. Bandung</t>
        </is>
      </c>
      <c r="Q302" s="184" t="inlineStr">
        <is>
          <t>Desktop</t>
        </is>
      </c>
      <c r="R302" s="184" t="inlineStr">
        <is>
          <t>Internal (Rahasia)</t>
        </is>
      </c>
      <c r="S302" s="184" t="inlineStr">
        <is>
          <t>Secara Offline</t>
        </is>
      </c>
      <c r="T302" s="184" t="inlineStr">
        <is>
          <t>Transaksi</t>
        </is>
      </c>
      <c r="U302" s="184" t="n">
        <v>2023</v>
      </c>
      <c r="V302" s="184" t="inlineStr">
        <is>
          <t>Aktif</t>
        </is>
      </c>
      <c r="W302" s="184" t="inlineStr">
        <is>
          <t>Ya</t>
        </is>
      </c>
      <c r="X302" s="184" t="inlineStr">
        <is>
          <t>VClaim BPJS, Satusehat, Eklaim INACBGs, Siranap</t>
        </is>
      </c>
      <c r="Y302" s="184" t="inlineStr">
        <is>
          <t>Web Service</t>
        </is>
      </c>
      <c r="Z302" s="184" t="inlineStr">
        <is>
          <t>Realtime</t>
        </is>
      </c>
      <c r="AA302" s="184" t="inlineStr">
        <is>
          <t>Bidang Penunjang Non Medis</t>
        </is>
      </c>
      <c r="AB302" s="184" t="inlineStr">
        <is>
          <t>Dinkes</t>
        </is>
      </c>
      <c r="AC302" s="184" t="inlineStr">
        <is>
          <t>dr. Yessy Agustina, M.H.</t>
        </is>
      </c>
      <c r="AD302" s="184" t="n">
        <v>8129487531</v>
      </c>
      <c r="AE302" s="184" t="inlineStr">
        <is>
          <t>yessy_agst@yahoo.com</t>
        </is>
      </c>
      <c r="AF302" s="184" t="n">
        <v>8</v>
      </c>
      <c r="AG302" s="184" t="inlineStr">
        <is>
          <t>Setiap Saat</t>
        </is>
      </c>
      <c r="AH302" s="284" t="n"/>
      <c r="AI302" s="284" t="n"/>
      <c r="AJ302" s="284" t="n"/>
      <c r="AK302" s="284" t="n"/>
      <c r="AL302" s="284" t="n"/>
      <c r="AM302" s="284" t="n"/>
      <c r="AN302" s="284" t="n"/>
      <c r="AO302" s="284" t="n"/>
      <c r="AP302" s="284" t="n"/>
      <c r="AQ302" s="284" t="n"/>
      <c r="AR302" s="284" t="n"/>
      <c r="AS302" s="284" t="n"/>
    </row>
    <row r="303">
      <c r="A303" s="180" t="n">
        <v>2</v>
      </c>
      <c r="B303" s="184" t="inlineStr">
        <is>
          <t>Layanan Pelaporan Kepatuhan Lingkungan Hidup</t>
        </is>
      </c>
      <c r="C303" t="inlineStr">
        <is>
          <t>RSUD MAJALAYA</t>
        </is>
      </c>
      <c r="D303" s="176" t="inlineStr">
        <is>
          <t>Sistem pendukung keputusan yang menghubungkan data pelaporan lingkungan SIMPEL, memberikan insight real-time bagi pemerintah dalam memantau kepatuhan dari kualitas lingkungan</t>
        </is>
      </c>
      <c r="E303" s="184" t="inlineStr">
        <is>
          <t>Permen LHK No. P.87/Menlhk/Setjen/Kum.1/11/2016; UU No. 32 Tahun 2009 tentang Perlindungan dan Pengelolaan Lingkungan Hidup (pasal 68) dan PP No. 22 Tahun 2021</t>
        </is>
      </c>
      <c r="F303" s="131" t="inlineStr">
        <is>
          <t>https://drive.google.com/drive/folders/1vjgfqjMxOGjNMjW_D5TVCMti_1yMqG0T?usp=sharing</t>
        </is>
      </c>
      <c r="G303" s="184" t="inlineStr">
        <is>
          <t>PENGELOLAAN IRIGASI PERTANIAN, KONSERVASI AIR DAN LINGKUNGAN HIDUP</t>
        </is>
      </c>
      <c r="H303" s="184" t="inlineStr">
        <is>
          <t>Pelaku Bisnis</t>
        </is>
      </c>
      <c r="I303" s="184" t="inlineStr">
        <is>
          <t>Hasil Pemantauan Lingkungan RSUD Majalaya</t>
        </is>
      </c>
      <c r="J303" s="184" t="inlineStr">
        <is>
          <t>Hasil Pemantauan Lingkungan RSUD Majalaya</t>
        </is>
      </c>
      <c r="K303" s="184" t="inlineStr">
        <is>
          <t>Terbatas</t>
        </is>
      </c>
      <c r="L303" s="184" t="inlineStr">
        <is>
          <t>Terdapat</t>
        </is>
      </c>
      <c r="M303" s="184" t="inlineStr">
        <is>
          <t>Bulanan</t>
        </is>
      </c>
      <c r="N303" s="130" t="inlineStr">
        <is>
          <t>SIMPEL Kemenlh</t>
        </is>
      </c>
      <c r="O303" s="184" t="inlineStr">
        <is>
          <t>Pusat</t>
        </is>
      </c>
      <c r="P303" s="184" t="inlineStr">
        <is>
          <t>Pusat</t>
        </is>
      </c>
      <c r="Q303" s="184" t="inlineStr">
        <is>
          <t>Website</t>
        </is>
      </c>
      <c r="R303" s="131" t="inlineStr">
        <is>
          <t>simpel.menlhk.go.id</t>
        </is>
      </c>
      <c r="S303" s="184" t="inlineStr">
        <is>
          <t>Secara Online</t>
        </is>
      </c>
      <c r="T303" s="184" t="inlineStr">
        <is>
          <t>Informasi</t>
        </is>
      </c>
      <c r="U303" s="184" t="n">
        <v>2016</v>
      </c>
      <c r="V303" s="184" t="inlineStr">
        <is>
          <t>Aktif</t>
        </is>
      </c>
      <c r="W303" s="184" t="inlineStr">
        <is>
          <t>Ya</t>
        </is>
      </c>
      <c r="X303" s="184" t="inlineStr">
        <is>
          <t>OSS RBA dan AMDAL NET</t>
        </is>
      </c>
      <c r="Y303" s="184" t="inlineStr">
        <is>
          <t>Database to Database</t>
        </is>
      </c>
      <c r="Z303" s="184" t="inlineStr">
        <is>
          <t>Realtime</t>
        </is>
      </c>
      <c r="AA303" s="184" t="inlineStr">
        <is>
          <t>Instalasi Kesling dan IPAL</t>
        </is>
      </c>
      <c r="AB303" s="184" t="inlineStr">
        <is>
          <t>DLH</t>
        </is>
      </c>
      <c r="AC303" s="184" t="inlineStr">
        <is>
          <t>Hj. Titin Partini, SKM</t>
        </is>
      </c>
      <c r="AD303" s="184" t="n">
        <v>82121996969</v>
      </c>
      <c r="AE303" s="184" t="inlineStr">
        <is>
          <t>keslingrsudmajalaya@gmail.com</t>
        </is>
      </c>
      <c r="AF303" s="184" t="n">
        <v>41</v>
      </c>
      <c r="AG303" s="184" t="inlineStr">
        <is>
          <t>Harian</t>
        </is>
      </c>
      <c r="AH303" s="284" t="n"/>
      <c r="AI303" s="284" t="n"/>
      <c r="AJ303" s="284" t="n"/>
      <c r="AK303" s="284" t="n"/>
      <c r="AL303" s="284" t="n"/>
      <c r="AM303" s="284" t="n"/>
      <c r="AN303" s="284" t="n"/>
      <c r="AO303" s="284" t="n"/>
      <c r="AP303" s="284" t="n"/>
      <c r="AQ303" s="284" t="n"/>
      <c r="AR303" s="284" t="n"/>
      <c r="AS303" s="284" t="n"/>
    </row>
    <row r="304">
      <c r="A304" s="180" t="n">
        <v>3</v>
      </c>
      <c r="B304" s="184" t="inlineStr">
        <is>
          <t>Layanan pelaporan limbah rumah sakit</t>
        </is>
      </c>
      <c r="C304" t="inlineStr">
        <is>
          <t>RSUD MAJALAYA</t>
        </is>
      </c>
      <c r="D304" s="184" t="inlineStr">
        <is>
          <t>Rekapitulasi pelaporan kelola limbah medis dan kesling fasyankes</t>
        </is>
      </c>
      <c r="E304" s="288" t="n"/>
      <c r="F304" s="184" t="inlineStr">
        <is>
          <t>-</t>
        </is>
      </c>
      <c r="G304" s="184" t="inlineStr">
        <is>
          <t>PENGELOLAAN LIMBAH BAHAN BERBAHAYA DAN BERACUN</t>
        </is>
      </c>
      <c r="H304" s="184" t="inlineStr">
        <is>
          <t>Pelaku Bisnis</t>
        </is>
      </c>
      <c r="I304" s="184" t="inlineStr">
        <is>
          <t>Timbulan limbah medis</t>
        </is>
      </c>
      <c r="J304" s="184" t="inlineStr">
        <is>
          <t>Timbulan limbah medis</t>
        </is>
      </c>
      <c r="K304" s="184" t="inlineStr">
        <is>
          <t>Terbatas</t>
        </is>
      </c>
      <c r="L304" s="184" t="inlineStr">
        <is>
          <t>Tidak terdapat</t>
        </is>
      </c>
      <c r="M304" s="184" t="inlineStr">
        <is>
          <t>Bulanan</t>
        </is>
      </c>
      <c r="N304" s="130" t="inlineStr">
        <is>
          <t>website Kobotoolbox</t>
        </is>
      </c>
      <c r="O304" s="184" t="inlineStr">
        <is>
          <t>Provinsi</t>
        </is>
      </c>
      <c r="P304" s="184" t="inlineStr">
        <is>
          <t>Provinsi</t>
        </is>
      </c>
      <c r="Q304" s="184" t="inlineStr">
        <is>
          <t>Website</t>
        </is>
      </c>
      <c r="R304" s="131" t="inlineStr">
        <is>
          <t>https://ee.kobotoolbox.org/x/YQp13dFa</t>
        </is>
      </c>
      <c r="S304" s="184" t="inlineStr">
        <is>
          <t>Secara Online</t>
        </is>
      </c>
      <c r="T304" s="184" t="inlineStr">
        <is>
          <t>Informasi</t>
        </is>
      </c>
      <c r="U304" s="184" t="n">
        <v>2024</v>
      </c>
      <c r="V304" s="184" t="inlineStr">
        <is>
          <t>Aktif</t>
        </is>
      </c>
      <c r="W304" s="184" t="inlineStr">
        <is>
          <t>Tidak</t>
        </is>
      </c>
      <c r="X304" s="184" t="inlineStr">
        <is>
          <t>Tidak Terintegrasi</t>
        </is>
      </c>
      <c r="Y304" s="184" t="inlineStr">
        <is>
          <t>Tidak Terintegrasi</t>
        </is>
      </c>
      <c r="Z304" s="184" t="inlineStr">
        <is>
          <t>Tidak Terintegrasi</t>
        </is>
      </c>
      <c r="AA304" s="184" t="inlineStr">
        <is>
          <t>Instalasi Kesling dan IPAL</t>
        </is>
      </c>
      <c r="AB304" s="184" t="inlineStr">
        <is>
          <t>Dinkes</t>
        </is>
      </c>
      <c r="AC304" s="184" t="inlineStr">
        <is>
          <t>Hj. Titin Partini, SKM</t>
        </is>
      </c>
      <c r="AD304" s="184" t="n">
        <v>82121996969</v>
      </c>
      <c r="AE304" s="184" t="inlineStr">
        <is>
          <t>keslingrsudmajalaya@gmail.com</t>
        </is>
      </c>
      <c r="AF304" s="288" t="n"/>
      <c r="AG304" s="184" t="inlineStr">
        <is>
          <t>Bulanan</t>
        </is>
      </c>
      <c r="AH304" s="284" t="n"/>
      <c r="AI304" s="284" t="n"/>
      <c r="AJ304" s="284" t="n"/>
      <c r="AK304" s="284" t="n"/>
      <c r="AL304" s="284" t="n"/>
      <c r="AM304" s="284" t="n"/>
      <c r="AN304" s="284" t="n"/>
      <c r="AO304" s="284" t="n"/>
      <c r="AP304" s="284" t="n"/>
      <c r="AQ304" s="284" t="n"/>
      <c r="AR304" s="284" t="n"/>
      <c r="AS304" s="284" t="n"/>
    </row>
    <row r="305">
      <c r="A305" s="180" t="n">
        <v>4</v>
      </c>
      <c r="B305" s="184" t="inlineStr">
        <is>
          <t>Layanan pengelolaan persediaan BMD</t>
        </is>
      </c>
      <c r="C305" t="inlineStr">
        <is>
          <t>RSUD MAJALAYA</t>
        </is>
      </c>
      <c r="D305" s="184" t="inlineStr">
        <is>
          <t>Aplikasi untuk mengelola BMD berupa barang persediaan. Digunakan untuk mencatat, memantau dan melaporkan stock barang persediaan secara real time guna mendukung operasional rumah sakit dan pemertintah daerah.</t>
        </is>
      </c>
      <c r="E305" s="184" t="inlineStr">
        <is>
          <t>Peraturan pemerintah dalam negeri no 47 tahun 2021</t>
        </is>
      </c>
      <c r="F305" s="288" t="n"/>
      <c r="G305" s="288" t="n"/>
      <c r="H305" s="184" t="inlineStr">
        <is>
          <t>Instansi Pemerintah Lainnya</t>
        </is>
      </c>
      <c r="I305" s="184" t="inlineStr">
        <is>
          <t>Data barang</t>
        </is>
      </c>
      <c r="J305" s="178" t="inlineStr">
        <is>
          <t>Catatan transaksi keluar masuk barang</t>
        </is>
      </c>
      <c r="K305" s="184" t="inlineStr">
        <is>
          <t>Terbatas</t>
        </is>
      </c>
      <c r="L305" s="184" t="inlineStr">
        <is>
          <t>Terdapat</t>
        </is>
      </c>
      <c r="M305" s="184" t="inlineStr">
        <is>
          <t>Tahunan</t>
        </is>
      </c>
      <c r="N305" s="130" t="inlineStr">
        <is>
          <t>e-persediaan</t>
        </is>
      </c>
      <c r="O305" s="184" t="inlineStr">
        <is>
          <t>OPD</t>
        </is>
      </c>
      <c r="P305" s="184" t="inlineStr">
        <is>
          <t>Kab. Bandung</t>
        </is>
      </c>
      <c r="Q305" s="184" t="inlineStr">
        <is>
          <t>Website</t>
        </is>
      </c>
      <c r="R305" s="131" t="inlineStr">
        <is>
          <t>persediaanbmd.bandungkab.go.id</t>
        </is>
      </c>
      <c r="S305" s="184" t="inlineStr">
        <is>
          <t>Secara Online</t>
        </is>
      </c>
      <c r="T305" s="184" t="inlineStr">
        <is>
          <t>Transaksi</t>
        </is>
      </c>
      <c r="U305" s="176" t="n">
        <v>2023</v>
      </c>
      <c r="V305" s="184" t="inlineStr">
        <is>
          <t>Aktif</t>
        </is>
      </c>
      <c r="W305" s="184" t="inlineStr">
        <is>
          <t>Tidak</t>
        </is>
      </c>
      <c r="X305" s="184" t="inlineStr">
        <is>
          <t>Tidak Terintegrasi</t>
        </is>
      </c>
      <c r="Y305" s="184" t="inlineStr">
        <is>
          <t>Tidak Terintegrasi</t>
        </is>
      </c>
      <c r="Z305" s="184" t="inlineStr">
        <is>
          <t>Tidak Terintegrasi</t>
        </is>
      </c>
      <c r="AA305" s="184" t="inlineStr">
        <is>
          <t>Bidang Umum dan Kepegawaian</t>
        </is>
      </c>
      <c r="AB305" s="184" t="inlineStr">
        <is>
          <t>BKAD</t>
        </is>
      </c>
      <c r="AC305" s="184" t="inlineStr">
        <is>
          <t>Nelly Nurahmayanti, A.Md</t>
        </is>
      </c>
      <c r="AD305" s="184" t="n">
        <v>81224666679</v>
      </c>
      <c r="AE305" s="184" t="inlineStr">
        <is>
          <t>zenelly79@gmail.com</t>
        </is>
      </c>
      <c r="AF305" s="288" t="n"/>
      <c r="AG305" s="184" t="inlineStr">
        <is>
          <t>Harian</t>
        </is>
      </c>
      <c r="AH305" s="284" t="n"/>
      <c r="AI305" s="284" t="n"/>
      <c r="AJ305" s="284" t="n"/>
      <c r="AK305" s="284" t="n"/>
      <c r="AL305" s="284" t="n"/>
      <c r="AM305" s="284" t="n"/>
      <c r="AN305" s="284" t="n"/>
      <c r="AO305" s="284" t="n"/>
      <c r="AP305" s="284" t="n"/>
      <c r="AQ305" s="284" t="n"/>
      <c r="AR305" s="284" t="n"/>
      <c r="AS305" s="284" t="n"/>
    </row>
    <row r="306">
      <c r="A306" s="180" t="n">
        <v>5</v>
      </c>
      <c r="B306" s="184" t="inlineStr">
        <is>
          <t>Layanan Informasi Gaji ASN</t>
        </is>
      </c>
      <c r="C306" t="inlineStr">
        <is>
          <t>RSUD MAJALAYA</t>
        </is>
      </c>
      <c r="D306" s="184" t="inlineStr">
        <is>
          <t>Aplikasi Sistem Informasi Gaji (SIMGaji) Taspen untuk memproses data gaji PNS di lingkungan pemerintah daerah.</t>
        </is>
      </c>
      <c r="E306" s="184" t="inlineStr">
        <is>
          <t>Peraturan Pemerintah Nomor 5 Tahun 2024 tentang Perubahan Kesembilan Belas atas Peraturan Pemerintah Nomor 7 Tahun 1977 tentang Peraturan Gaji Pegawai Negeri Sipil</t>
        </is>
      </c>
      <c r="F306" s="288" t="n"/>
      <c r="G306" s="184" t="inlineStr">
        <is>
          <t>PEMBINAAN KEUANGAN DAERAH</t>
        </is>
      </c>
      <c r="H306" s="184" t="inlineStr">
        <is>
          <t>Pegawai</t>
        </is>
      </c>
      <c r="I306" s="184" t="inlineStr">
        <is>
          <t>Data Pegawai, Data Gaji, Data Tunjangan</t>
        </is>
      </c>
      <c r="J306" s="178" t="inlineStr">
        <is>
          <t>Perubahan Data Gaji Pegawai, Ledger Gaji</t>
        </is>
      </c>
      <c r="K306" s="184" t="inlineStr">
        <is>
          <t>Tertutup</t>
        </is>
      </c>
      <c r="L306" s="184" t="inlineStr">
        <is>
          <t>Terdapat</t>
        </is>
      </c>
      <c r="M306" s="184" t="inlineStr">
        <is>
          <t>Harian</t>
        </is>
      </c>
      <c r="N306" s="130" t="inlineStr">
        <is>
          <t>SIMgaji</t>
        </is>
      </c>
      <c r="O306" s="184" t="inlineStr">
        <is>
          <t>Pihak Ke 3</t>
        </is>
      </c>
      <c r="P306" s="184" t="inlineStr">
        <is>
          <t>Pihak Ke 3 (Lisensi)</t>
        </is>
      </c>
      <c r="Q306" s="184" t="inlineStr">
        <is>
          <t>Website</t>
        </is>
      </c>
      <c r="R306" s="131" t="inlineStr">
        <is>
          <t>https://simgajiweb.taspen.co.id/</t>
        </is>
      </c>
      <c r="S306" s="184" t="inlineStr">
        <is>
          <t>Secara Online</t>
        </is>
      </c>
      <c r="T306" s="184" t="inlineStr">
        <is>
          <t>Informasi</t>
        </is>
      </c>
      <c r="U306" s="184" t="n">
        <v>2023</v>
      </c>
      <c r="V306" s="184" t="inlineStr">
        <is>
          <t>Aktif</t>
        </is>
      </c>
      <c r="W306" s="184" t="inlineStr">
        <is>
          <t>Tidak</t>
        </is>
      </c>
      <c r="X306" s="184" t="inlineStr">
        <is>
          <t>Tidak Terintegrasi</t>
        </is>
      </c>
      <c r="Y306" s="184" t="inlineStr">
        <is>
          <t>Tidak Terintegrasi</t>
        </is>
      </c>
      <c r="Z306" s="184" t="inlineStr">
        <is>
          <t>Tidak Terintegrasi</t>
        </is>
      </c>
      <c r="AA306" s="184" t="inlineStr">
        <is>
          <t>Bagian Keuangan</t>
        </is>
      </c>
      <c r="AB306" s="184" t="inlineStr">
        <is>
          <t>BKAD</t>
        </is>
      </c>
      <c r="AC306" s="184" t="inlineStr">
        <is>
          <t>Yanti Widiyanti, S.E.</t>
        </is>
      </c>
      <c r="AD306" s="184" t="n">
        <v>8996105849</v>
      </c>
      <c r="AE306" s="184" t="inlineStr">
        <is>
          <t>yantiwidiyanti268@gmail.com</t>
        </is>
      </c>
      <c r="AF306" s="288" t="n"/>
      <c r="AG306" s="184" t="inlineStr">
        <is>
          <t>Bulanan</t>
        </is>
      </c>
      <c r="AH306" s="284" t="n"/>
      <c r="AI306" s="284" t="n"/>
      <c r="AJ306" s="284" t="n"/>
      <c r="AK306" s="284" t="n"/>
      <c r="AL306" s="284" t="n"/>
      <c r="AM306" s="284" t="n"/>
      <c r="AN306" s="284" t="n"/>
      <c r="AO306" s="284" t="n"/>
      <c r="AP306" s="284" t="n"/>
      <c r="AQ306" s="284" t="n"/>
      <c r="AR306" s="284" t="n"/>
      <c r="AS306" s="284" t="n"/>
    </row>
    <row r="307">
      <c r="A307" s="180" t="n">
        <v>6</v>
      </c>
      <c r="B307" s="184" t="inlineStr">
        <is>
          <t>Layanan pelaporan penerimaan retribusi daerah</t>
        </is>
      </c>
      <c r="C307" t="inlineStr">
        <is>
          <t>RSUD MAJALAYA</t>
        </is>
      </c>
      <c r="D307" s="184" t="inlineStr">
        <is>
          <t>Aplikasi Entry Laporan Penerimaan Retribusi Daerah</t>
        </is>
      </c>
      <c r="E307" s="184" t="inlineStr">
        <is>
          <t>Perda Kabupaten Bandung No 10 Tahun 2023 Tentang Pajak Daerah dan Retribusi Daerah</t>
        </is>
      </c>
      <c r="F307" s="288" t="n"/>
      <c r="G307" s="184" t="inlineStr">
        <is>
          <t>PENGELOLAAN PENERIMAAN DAN PENDAPATAN NEGARA</t>
        </is>
      </c>
      <c r="H307" s="184" t="inlineStr">
        <is>
          <t>Instansi Pemerintah Lainnya</t>
        </is>
      </c>
      <c r="I307" s="184" t="inlineStr">
        <is>
          <t>Data Pendapatan</t>
        </is>
      </c>
      <c r="J307" s="178" t="inlineStr">
        <is>
          <t>Laporan Realisasi Pendapatan</t>
        </is>
      </c>
      <c r="K307" s="184" t="inlineStr">
        <is>
          <t>Rahasia</t>
        </is>
      </c>
      <c r="L307" s="184" t="inlineStr">
        <is>
          <t>Tidak terdapat</t>
        </is>
      </c>
      <c r="M307" s="184" t="inlineStr">
        <is>
          <t>Harian</t>
        </is>
      </c>
      <c r="N307" s="130" t="inlineStr">
        <is>
          <t>e-RETRIBUSI</t>
        </is>
      </c>
      <c r="O307" s="184" t="inlineStr">
        <is>
          <t>OPD</t>
        </is>
      </c>
      <c r="P307" s="184" t="inlineStr">
        <is>
          <t>Kab. Bandung</t>
        </is>
      </c>
      <c r="Q307" s="184" t="inlineStr">
        <is>
          <t>Website</t>
        </is>
      </c>
      <c r="R307" s="131" t="inlineStr">
        <is>
          <t>https://e-retribusi.bandungkab.go.id/</t>
        </is>
      </c>
      <c r="S307" s="184" t="inlineStr">
        <is>
          <t>Secara Online</t>
        </is>
      </c>
      <c r="T307" s="184" t="inlineStr">
        <is>
          <t>Informasi</t>
        </is>
      </c>
      <c r="U307" s="184" t="n">
        <v>2024</v>
      </c>
      <c r="V307" s="184" t="inlineStr">
        <is>
          <t>Aktif</t>
        </is>
      </c>
      <c r="W307" s="184" t="inlineStr">
        <is>
          <t>Tidak</t>
        </is>
      </c>
      <c r="X307" s="184" t="inlineStr">
        <is>
          <t>Tidak Terintegrasi</t>
        </is>
      </c>
      <c r="Y307" s="184" t="inlineStr">
        <is>
          <t>Tidak Terintegrasi</t>
        </is>
      </c>
      <c r="Z307" s="184" t="inlineStr">
        <is>
          <t>Tidak Terintegrasi</t>
        </is>
      </c>
      <c r="AA307" s="184" t="inlineStr">
        <is>
          <t>Retribusi Daerah</t>
        </is>
      </c>
      <c r="AB307" s="184" t="inlineStr">
        <is>
          <t>Bapenda</t>
        </is>
      </c>
      <c r="AC307" s="131" t="inlineStr">
        <is>
          <t>Fidriansyah, A.Md</t>
        </is>
      </c>
      <c r="AD307" s="184" t="n">
        <v>89682973688</v>
      </c>
      <c r="AE307" s="184" t="inlineStr">
        <is>
          <t>fidriansyahsena@gmail.com</t>
        </is>
      </c>
      <c r="AF307" s="288" t="n"/>
      <c r="AG307" s="184" t="inlineStr">
        <is>
          <t>Harian</t>
        </is>
      </c>
      <c r="AH307" s="284" t="n"/>
      <c r="AI307" s="284" t="n"/>
      <c r="AJ307" s="284" t="n"/>
      <c r="AK307" s="284" t="n"/>
      <c r="AL307" s="284" t="n"/>
      <c r="AM307" s="284" t="n"/>
      <c r="AN307" s="284" t="n"/>
      <c r="AO307" s="284" t="n"/>
      <c r="AP307" s="284" t="n"/>
      <c r="AQ307" s="284" t="n"/>
      <c r="AR307" s="284" t="n"/>
      <c r="AS307" s="284" t="n"/>
    </row>
    <row r="308">
      <c r="A308" s="180" t="n">
        <v>7</v>
      </c>
      <c r="B308" s="184" t="inlineStr">
        <is>
          <t>Layanan pengelolaan informasi keuangan daerah</t>
        </is>
      </c>
      <c r="C308" t="inlineStr">
        <is>
          <t>RSUD MAJALAYA</t>
        </is>
      </c>
      <c r="D308" s="184" t="inlineStr">
        <is>
          <t>Pengelolaan Informasi Keuangan Daerah - meliputi Perencanaan Anggaran Daerah, Penatausahaan Keuangan Daerah, Akuntansi dan Pelaporan Keuangan Daerah.</t>
        </is>
      </c>
      <c r="E308" s="184" t="inlineStr">
        <is>
          <t>Permendagri No 14 Tahun 2025 tentang Pedoman Penyusunan APBD Tahun 2026 Yang di dukung Oleh UU 23/2014, PP No 12/2019 dan Permendagri 70/2019.</t>
        </is>
      </c>
      <c r="F308" s="288" t="n"/>
      <c r="G308" s="184" t="inlineStr">
        <is>
          <t>PERENCANAAN DAN PENGANGGARAN APBN</t>
        </is>
      </c>
      <c r="H308" s="184" t="inlineStr">
        <is>
          <t>Instansi Pemerintah Lainnya</t>
        </is>
      </c>
      <c r="I308" s="184" t="inlineStr">
        <is>
          <t>Dari Mulai Penganggaran, Penatausahaan dan Pelaporan Keuangan</t>
        </is>
      </c>
      <c r="J308" s="178" t="inlineStr">
        <is>
          <t>Data perencanaan dan penganggaran</t>
        </is>
      </c>
      <c r="K308" s="184" t="inlineStr">
        <is>
          <t>Terbatas</t>
        </is>
      </c>
      <c r="L308" s="184" t="inlineStr">
        <is>
          <t>Terdapat</t>
        </is>
      </c>
      <c r="M308" s="184" t="inlineStr">
        <is>
          <t>Harian</t>
        </is>
      </c>
      <c r="N308" s="130" t="inlineStr">
        <is>
          <t>SIPD</t>
        </is>
      </c>
      <c r="O308" s="184" t="inlineStr">
        <is>
          <t>Pusat</t>
        </is>
      </c>
      <c r="P308" s="184" t="inlineStr">
        <is>
          <t>Pusat</t>
        </is>
      </c>
      <c r="Q308" s="184" t="inlineStr">
        <is>
          <t>Website</t>
        </is>
      </c>
      <c r="R308" s="131" t="inlineStr">
        <is>
          <t>https://sipd.kemendagri.go.id/</t>
        </is>
      </c>
      <c r="S308" s="184" t="inlineStr">
        <is>
          <t>Secara Online</t>
        </is>
      </c>
      <c r="T308" s="184" t="inlineStr">
        <is>
          <t>Informasi</t>
        </is>
      </c>
      <c r="U308" s="184" t="n">
        <v>2021</v>
      </c>
      <c r="V308" s="184" t="inlineStr">
        <is>
          <t>Aktif</t>
        </is>
      </c>
      <c r="W308" s="184" t="inlineStr">
        <is>
          <t>Ya</t>
        </is>
      </c>
      <c r="X308" s="184" t="inlineStr">
        <is>
          <t>SIRUP, e-planning</t>
        </is>
      </c>
      <c r="Y308" s="184" t="inlineStr">
        <is>
          <t>Web Service</t>
        </is>
      </c>
      <c r="Z308" s="288" t="n"/>
      <c r="AA308" s="184" t="inlineStr">
        <is>
          <t>Bagian Keuangan, Bagian Perencanaan dan Kehumasan</t>
        </is>
      </c>
      <c r="AB308" s="184" t="inlineStr">
        <is>
          <t>BKAD</t>
        </is>
      </c>
      <c r="AC308" s="131" t="inlineStr">
        <is>
          <t>Susi Herawati, S.Ak, Fidriansyah A.Md</t>
        </is>
      </c>
      <c r="AD308" s="184" t="inlineStr">
        <is>
          <t>089656642966 - 089682973688</t>
        </is>
      </c>
      <c r="AE308" s="184" t="inlineStr">
        <is>
          <t>susi.herawati30@yahoo.com - fidriansyahsena@gmail.com</t>
        </is>
      </c>
      <c r="AF308" s="288" t="n"/>
      <c r="AG308" s="184" t="inlineStr">
        <is>
          <t>Bulanan</t>
        </is>
      </c>
      <c r="AH308" s="194" t="inlineStr">
        <is>
          <t>bapperida</t>
        </is>
      </c>
      <c r="AI308" s="284" t="n"/>
      <c r="AJ308" s="284" t="n"/>
      <c r="AK308" s="284" t="n"/>
      <c r="AL308" s="284" t="n"/>
      <c r="AM308" s="284" t="n"/>
      <c r="AN308" s="284" t="n"/>
      <c r="AO308" s="284" t="n"/>
      <c r="AP308" s="284" t="n"/>
      <c r="AQ308" s="284" t="n"/>
      <c r="AR308" s="284" t="n"/>
      <c r="AS308" s="284" t="n"/>
    </row>
    <row r="309">
      <c r="A309" s="180" t="n">
        <v>8</v>
      </c>
      <c r="B309" s="184" t="inlineStr">
        <is>
          <t>Layanan pengelolaan pengadaan barang dan jasa</t>
        </is>
      </c>
      <c r="C309" t="inlineStr">
        <is>
          <t>RSUD MAJALAYA</t>
        </is>
      </c>
      <c r="D309" s="184" t="inlineStr">
        <is>
          <t>Untuk membantu proses perencanaan pengadaan barang/jasa pemerintah agar lebih transparan, terencana, dan mudah diakses oleh publik maupun penyedia</t>
        </is>
      </c>
      <c r="E309" s="184" t="inlineStr">
        <is>
          <t>1) Peraturan Presiden (Perpres) Nomor 46 Tahun 2025 adalah perubahan kedua atas Perpres 16 Tahun 2018 tentang Pengadaan Barang/Jasa Pemerintah;
 2) Peraturan LKPP Nomor 11 Tahun 2021 tentang Pedoman Perencanaan Pengadaan Barang/Jasa Pemerintah;</t>
        </is>
      </c>
      <c r="F309" s="288" t="n"/>
      <c r="G309" s="184" t="inlineStr">
        <is>
          <t>PERENCANAAN DAN PENGANGGARAN APBN</t>
        </is>
      </c>
      <c r="H309" s="184" t="inlineStr">
        <is>
          <t>Pelaku Bisnis</t>
        </is>
      </c>
      <c r="I309" s="184" t="inlineStr">
        <is>
          <t>Data rencana umum pengadaan</t>
        </is>
      </c>
      <c r="J309" s="178" t="inlineStr">
        <is>
          <t>Informasi rencana paket pengadaan barang/jasa pemerintah</t>
        </is>
      </c>
      <c r="K309" s="184" t="inlineStr">
        <is>
          <t>Terbuka</t>
        </is>
      </c>
      <c r="L309" s="184" t="inlineStr">
        <is>
          <t>Terdapat</t>
        </is>
      </c>
      <c r="M309" s="184" t="inlineStr">
        <is>
          <t>Harian</t>
        </is>
      </c>
      <c r="N309" s="130" t="inlineStr">
        <is>
          <t>SIRUP</t>
        </is>
      </c>
      <c r="O309" s="184" t="inlineStr">
        <is>
          <t>Pusat</t>
        </is>
      </c>
      <c r="P309" s="184" t="inlineStr">
        <is>
          <t>Pusat</t>
        </is>
      </c>
      <c r="Q309" s="184" t="inlineStr">
        <is>
          <t>Website</t>
        </is>
      </c>
      <c r="R309" s="131" t="inlineStr">
        <is>
          <t>https://sirup.inaproc.id/sirup/loginctr/index</t>
        </is>
      </c>
      <c r="S309" s="184" t="inlineStr">
        <is>
          <t>Secara Online</t>
        </is>
      </c>
      <c r="T309" s="184" t="inlineStr">
        <is>
          <t>Informasi</t>
        </is>
      </c>
      <c r="U309" s="184" t="n">
        <v>2010</v>
      </c>
      <c r="V309" s="184" t="inlineStr">
        <is>
          <t>Aktif</t>
        </is>
      </c>
      <c r="W309" s="184" t="inlineStr">
        <is>
          <t>Ya</t>
        </is>
      </c>
      <c r="X309" s="184" t="inlineStr">
        <is>
          <t>SPSE, E-Katalog LKPP</t>
        </is>
      </c>
      <c r="Y309" s="184" t="inlineStr">
        <is>
          <t>Database to Database</t>
        </is>
      </c>
      <c r="Z309" s="184" t="inlineStr">
        <is>
          <t>Realtime</t>
        </is>
      </c>
      <c r="AA309" s="184" t="inlineStr">
        <is>
          <t>Bagian Perencanaan dan Kehumasan</t>
        </is>
      </c>
      <c r="AB309" s="184" t="inlineStr">
        <is>
          <t>Setda</t>
        </is>
      </c>
      <c r="AC309" s="184" t="inlineStr">
        <is>
          <t>Anindya Meilasari Dewi, SE</t>
        </is>
      </c>
      <c r="AD309" s="184" t="n">
        <v>85294011791</v>
      </c>
      <c r="AE309" s="184" t="inlineStr">
        <is>
          <t>anindyameilasaridewi@gmail.com</t>
        </is>
      </c>
      <c r="AF309" s="288" t="n"/>
      <c r="AG309" s="184" t="inlineStr">
        <is>
          <t>Harian</t>
        </is>
      </c>
      <c r="AH309" s="284" t="n"/>
      <c r="AI309" s="284" t="n"/>
      <c r="AJ309" s="284" t="n"/>
      <c r="AK309" s="284" t="n"/>
      <c r="AL309" s="284" t="n"/>
      <c r="AM309" s="284" t="n"/>
      <c r="AN309" s="284" t="n"/>
      <c r="AO309" s="284" t="n"/>
      <c r="AP309" s="284" t="n"/>
      <c r="AQ309" s="284" t="n"/>
      <c r="AR309" s="284" t="n"/>
      <c r="AS309" s="284" t="n"/>
    </row>
    <row r="310">
      <c r="A310" s="180" t="n">
        <v>9</v>
      </c>
      <c r="B310" s="184" t="inlineStr">
        <is>
          <t>Layanan Informasi Pengawasan Tindak Lanjut Hasil Pemeriksaan Terpadu</t>
        </is>
      </c>
      <c r="C310" t="inlineStr">
        <is>
          <t>RSUD MAJALAYA</t>
        </is>
      </c>
      <c r="D310" s="184" t="inlineStr">
        <is>
          <t>Pengelolaan dan pemantauan hasil evaluasi/ tindak lanjut rekomendasi atas pemeriksaan yang dilaksanakan oleh APIP</t>
        </is>
      </c>
      <c r="E310" s="184" t="inlineStr">
        <is>
          <t>Peraturan Pemerintah Nomor 12 Tahun 2017 tentang pembinaan dan pengawasan penyelenggaraan pemerintah daerah</t>
        </is>
      </c>
      <c r="F310" s="288" t="n"/>
      <c r="G310" s="184" t="inlineStr">
        <is>
          <t>PENINGKATAN KUALITAS REFORMASI BIROKRASI, PENGAWASAN, DAN AKUNTABILITAS KINERJA</t>
        </is>
      </c>
      <c r="H310" s="184" t="inlineStr">
        <is>
          <t>Instansi Pemerintah Lainnya</t>
        </is>
      </c>
      <c r="I310" s="184" t="inlineStr">
        <is>
          <t>Dokumen Tindak Lanjut rekomendasi hasil pemeriksaan</t>
        </is>
      </c>
      <c r="J310" s="178" t="inlineStr">
        <is>
          <t>Informasi Capaian Hasil Rekomendasi</t>
        </is>
      </c>
      <c r="K310" s="184" t="inlineStr">
        <is>
          <t>Tertutup</t>
        </is>
      </c>
      <c r="L310" s="184" t="inlineStr">
        <is>
          <t>Tidak terdapat</t>
        </is>
      </c>
      <c r="M310" s="184" t="inlineStr">
        <is>
          <t>Lainnya</t>
        </is>
      </c>
      <c r="N310" s="130" t="inlineStr">
        <is>
          <t>SIMASLAHAT</t>
        </is>
      </c>
      <c r="O310" s="184" t="inlineStr">
        <is>
          <t>OPD</t>
        </is>
      </c>
      <c r="P310" s="184" t="inlineStr">
        <is>
          <t>Kab. Bandung</t>
        </is>
      </c>
      <c r="Q310" s="184" t="inlineStr">
        <is>
          <t>Website</t>
        </is>
      </c>
      <c r="R310" s="131" t="inlineStr">
        <is>
          <t>https://simaslahat.bandungkab.go.id/login</t>
        </is>
      </c>
      <c r="S310" s="184" t="inlineStr">
        <is>
          <t>Secara Online</t>
        </is>
      </c>
      <c r="T310" s="184" t="inlineStr">
        <is>
          <t>Informasi</t>
        </is>
      </c>
      <c r="U310" s="184" t="n">
        <v>2023</v>
      </c>
      <c r="V310" s="184" t="inlineStr">
        <is>
          <t>Aktif</t>
        </is>
      </c>
      <c r="W310" s="184" t="inlineStr">
        <is>
          <t>Tidak</t>
        </is>
      </c>
      <c r="X310" s="184" t="inlineStr">
        <is>
          <t>Tidak Terintegrasi</t>
        </is>
      </c>
      <c r="Y310" s="184" t="inlineStr">
        <is>
          <t>Tidak Terintegrasi</t>
        </is>
      </c>
      <c r="Z310" s="184" t="inlineStr">
        <is>
          <t>Tidak Terintegrasi</t>
        </is>
      </c>
      <c r="AA310" s="184" t="inlineStr">
        <is>
          <t>Bagian Keuangan</t>
        </is>
      </c>
      <c r="AB310" s="184" t="inlineStr">
        <is>
          <t>Inspektorat</t>
        </is>
      </c>
      <c r="AC310" s="184" t="inlineStr">
        <is>
          <t>Susi Herawati, S.Ak</t>
        </is>
      </c>
      <c r="AD310" s="184" t="n">
        <v>89656642966</v>
      </c>
      <c r="AE310" s="184" t="inlineStr">
        <is>
          <t>susi.herawati30@yahoo.com</t>
        </is>
      </c>
      <c r="AF310" s="288" t="n"/>
      <c r="AG310" s="184" t="inlineStr">
        <is>
          <t>Insidentil</t>
        </is>
      </c>
      <c r="AH310" s="284" t="n"/>
      <c r="AI310" s="284" t="n"/>
      <c r="AJ310" s="284" t="n"/>
      <c r="AK310" s="284" t="n"/>
      <c r="AL310" s="284" t="n"/>
      <c r="AM310" s="284" t="n"/>
      <c r="AN310" s="284" t="n"/>
      <c r="AO310" s="284" t="n"/>
      <c r="AP310" s="284" t="n"/>
      <c r="AQ310" s="284" t="n"/>
      <c r="AR310" s="284" t="n"/>
      <c r="AS310" s="284" t="n"/>
    </row>
    <row r="311">
      <c r="A311" s="180" t="n">
        <v>10</v>
      </c>
      <c r="B311" s="184" t="inlineStr">
        <is>
          <t>Layanan pelaporan pembayaran pajak</t>
        </is>
      </c>
      <c r="C311" t="inlineStr">
        <is>
          <t>RSUD MAJALAYA</t>
        </is>
      </c>
      <c r="D311" s="184" t="inlineStr">
        <is>
          <t>Fungsi Utama: Melaporkan penghitungan dan pembayaran pajak daerah, objek pajak, serta harta/kewajiban secara digital.</t>
        </is>
      </c>
      <c r="E311" s="184"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311" s="184"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311" s="184" t="inlineStr">
        <is>
          <t>PEMBINAAN KEUANGAN DAERAH</t>
        </is>
      </c>
      <c r="H311" s="184" t="inlineStr">
        <is>
          <t>Instansi Pemerintah Lainnya</t>
        </is>
      </c>
      <c r="I311" s="184" t="inlineStr">
        <is>
          <t>Pajak makanan dan minuman pasien</t>
        </is>
      </c>
      <c r="J311" s="178" t="inlineStr">
        <is>
          <t>Bukti setor pajak</t>
        </is>
      </c>
      <c r="K311" s="184" t="inlineStr">
        <is>
          <t>Terbuka</t>
        </is>
      </c>
      <c r="L311" s="184" t="inlineStr">
        <is>
          <t>Tidak terdapat</t>
        </is>
      </c>
      <c r="M311" s="184" t="inlineStr">
        <is>
          <t>Harian</t>
        </is>
      </c>
      <c r="N311" s="130" t="inlineStr">
        <is>
          <t>E-SPTPD</t>
        </is>
      </c>
      <c r="O311" s="184" t="inlineStr">
        <is>
          <t>OPD</t>
        </is>
      </c>
      <c r="P311" s="184" t="inlineStr">
        <is>
          <t>Kab. Bandung</t>
        </is>
      </c>
      <c r="Q311" s="184" t="inlineStr">
        <is>
          <t>Website</t>
        </is>
      </c>
      <c r="R311" s="131" t="inlineStr">
        <is>
          <t>e-sptpd.bandungkab.go.id.</t>
        </is>
      </c>
      <c r="S311" s="184" t="inlineStr">
        <is>
          <t>Secara Online</t>
        </is>
      </c>
      <c r="T311" s="184" t="inlineStr">
        <is>
          <t>Transaksi</t>
        </is>
      </c>
      <c r="U311" s="184" t="n">
        <v>2018</v>
      </c>
      <c r="V311" s="184" t="inlineStr">
        <is>
          <t>Aktif</t>
        </is>
      </c>
      <c r="W311" s="184" t="inlineStr">
        <is>
          <t>Ya</t>
        </is>
      </c>
      <c r="X311" s="184" t="inlineStr">
        <is>
          <t>Tidak Terintegrasi</t>
        </is>
      </c>
      <c r="Y311" s="184" t="inlineStr">
        <is>
          <t>Tidak Terintegrasi</t>
        </is>
      </c>
      <c r="Z311" s="184" t="inlineStr">
        <is>
          <t>Bulanan</t>
        </is>
      </c>
      <c r="AA311" s="184" t="inlineStr">
        <is>
          <t>Bagian Keuangan</t>
        </is>
      </c>
      <c r="AB311" s="184" t="inlineStr">
        <is>
          <t>Bapenda</t>
        </is>
      </c>
      <c r="AC311" s="184" t="inlineStr">
        <is>
          <t>Mimin Mintarsih dan Haneu Nuraeni</t>
        </is>
      </c>
      <c r="AD311" s="184" t="inlineStr">
        <is>
          <t>081222537833 dan 082116135826</t>
        </is>
      </c>
      <c r="AE311" s="184" t="inlineStr">
        <is>
          <t>mintarsihmimin7990@gmail.com dan haneunuraeni@gmail.com</t>
        </is>
      </c>
      <c r="AF311" s="288" t="n"/>
      <c r="AG311" s="184" t="inlineStr">
        <is>
          <t>Harian</t>
        </is>
      </c>
      <c r="AH311" s="284" t="n"/>
      <c r="AI311" s="284" t="n"/>
      <c r="AJ311" s="284" t="n"/>
      <c r="AK311" s="284" t="n"/>
      <c r="AL311" s="284" t="n"/>
      <c r="AM311" s="284" t="n"/>
      <c r="AN311" s="284" t="n"/>
      <c r="AO311" s="284" t="n"/>
      <c r="AP311" s="284" t="n"/>
      <c r="AQ311" s="284" t="n"/>
      <c r="AR311" s="284" t="n"/>
      <c r="AS311" s="284" t="n"/>
    </row>
    <row r="312">
      <c r="A312" s="180" t="n">
        <v>11</v>
      </c>
      <c r="B312" s="184" t="inlineStr">
        <is>
          <t>Layanan pengelolaan data statistik</t>
        </is>
      </c>
      <c r="C312" t="inlineStr">
        <is>
          <t>RSUD MAJALAYA</t>
        </is>
      </c>
      <c r="D312" s="184" t="inlineStr">
        <is>
          <t>Untuk mendukung pengelolaan data statistik di tingkat daerah serta berfungsi untuk mengelola, menyajikan, dan mempublikasikan data statistik sektoral</t>
        </is>
      </c>
      <c r="E312" s="184" t="inlineStr">
        <is>
          <t>Peraturan Bupati Bandung Nomor 82 Tahun 2019 tentang Tata Kelola Satu Data Daerah</t>
        </is>
      </c>
      <c r="F312" s="288" t="n"/>
      <c r="G312" s="184" t="inlineStr">
        <is>
          <t>PENGELOLAAN DATA STATISTIK</t>
        </is>
      </c>
      <c r="H312" s="184" t="inlineStr">
        <is>
          <t>Instansi Pemerintah Lainnya</t>
        </is>
      </c>
      <c r="I312" s="184" t="inlineStr">
        <is>
          <t>Data Statistik Sektoral</t>
        </is>
      </c>
      <c r="J312" s="184" t="inlineStr">
        <is>
          <t>Data Statistik Sektoral</t>
        </is>
      </c>
      <c r="K312" s="184" t="inlineStr">
        <is>
          <t>Terbuka</t>
        </is>
      </c>
      <c r="L312" s="184" t="inlineStr">
        <is>
          <t>Tidak terdapat</t>
        </is>
      </c>
      <c r="M312" s="184" t="inlineStr">
        <is>
          <t>Harian</t>
        </is>
      </c>
      <c r="N312" s="130" t="inlineStr">
        <is>
          <t>SIMASDA</t>
        </is>
      </c>
      <c r="O312" s="184" t="inlineStr">
        <is>
          <t>Diskominfo</t>
        </is>
      </c>
      <c r="P312" s="184" t="inlineStr">
        <is>
          <t>Kab. Bandung</t>
        </is>
      </c>
      <c r="Q312" s="184" t="inlineStr">
        <is>
          <t>Website</t>
        </is>
      </c>
      <c r="R312" s="131" t="inlineStr">
        <is>
          <t>https://simasda.bandungkab.go.id/</t>
        </is>
      </c>
      <c r="S312" s="184" t="inlineStr">
        <is>
          <t>Secara Online</t>
        </is>
      </c>
      <c r="T312" s="184" t="inlineStr">
        <is>
          <t>Informasi</t>
        </is>
      </c>
      <c r="U312" s="184" t="n">
        <v>2021</v>
      </c>
      <c r="V312" s="184" t="inlineStr">
        <is>
          <t>Aktif</t>
        </is>
      </c>
      <c r="W312" s="184" t="inlineStr">
        <is>
          <t>Ya</t>
        </is>
      </c>
      <c r="X312" s="184" t="inlineStr">
        <is>
          <t>Satu Data Kabupaten Bandung</t>
        </is>
      </c>
      <c r="Y312" s="184" t="inlineStr">
        <is>
          <t>Web Service</t>
        </is>
      </c>
      <c r="Z312" s="184" t="inlineStr">
        <is>
          <t>Realtime</t>
        </is>
      </c>
      <c r="AA312" s="184" t="inlineStr">
        <is>
          <t>Bagian Perencanaan dan Kehumasan</t>
        </is>
      </c>
      <c r="AB312" s="184" t="inlineStr">
        <is>
          <t>Diskominfo</t>
        </is>
      </c>
      <c r="AC312" s="184" t="inlineStr">
        <is>
          <t>Anindya Meilasari Dewi, SE</t>
        </is>
      </c>
      <c r="AD312" s="184" t="n">
        <v>85294011791</v>
      </c>
      <c r="AE312" s="184" t="inlineStr">
        <is>
          <t>anindyameilasaridewi@gmail.com</t>
        </is>
      </c>
      <c r="AF312" s="288" t="n"/>
      <c r="AG312" s="184" t="inlineStr">
        <is>
          <t>Setiap Saat</t>
        </is>
      </c>
      <c r="AH312" s="284" t="n"/>
      <c r="AI312" s="284" t="n"/>
      <c r="AJ312" s="284" t="n"/>
      <c r="AK312" s="284" t="n"/>
      <c r="AL312" s="284" t="n"/>
      <c r="AM312" s="284" t="n"/>
      <c r="AN312" s="284" t="n"/>
      <c r="AO312" s="284" t="n"/>
      <c r="AP312" s="284" t="n"/>
      <c r="AQ312" s="284" t="n"/>
      <c r="AR312" s="284" t="n"/>
      <c r="AS312" s="284" t="n"/>
    </row>
    <row r="313">
      <c r="A313" s="180" t="n">
        <v>12</v>
      </c>
      <c r="B313" s="184" t="inlineStr">
        <is>
          <t>Layanan Pengelolaan Gudang Logistik</t>
        </is>
      </c>
      <c r="C313" t="inlineStr">
        <is>
          <t>RSUD MAJALAYA</t>
        </is>
      </c>
      <c r="D313" s="184" t="inlineStr">
        <is>
          <t>Pengelolaan barang-barang penunjang operasional rumah sakit di luar obat dan BMHP, pencatatan barang mulai dari masuk hingga keluar disertai dokumentasi dan laporan transaksi</t>
        </is>
      </c>
      <c r="E313" s="288" t="n"/>
      <c r="F313" s="288" t="n"/>
      <c r="G313" s="184" t="inlineStr">
        <is>
          <t>PENGELOLAAN SUMBER DAYA DAN PERANGKAT INFORMATIKA</t>
        </is>
      </c>
      <c r="H313" s="184" t="inlineStr">
        <is>
          <t>Instansi Pemerintah Lainnya</t>
        </is>
      </c>
      <c r="I313" s="184" t="inlineStr">
        <is>
          <t>Data Barang</t>
        </is>
      </c>
      <c r="J313" s="178" t="inlineStr">
        <is>
          <t>Catatan transaksi keluar masuk barang</t>
        </is>
      </c>
      <c r="K313" s="184" t="inlineStr">
        <is>
          <t>Terbatas</t>
        </is>
      </c>
      <c r="L313" s="184" t="inlineStr">
        <is>
          <t>Tidak terdapat</t>
        </is>
      </c>
      <c r="M313" s="288" t="n"/>
      <c r="N313" s="130" t="inlineStr">
        <is>
          <t>Layanan Pengelolaan Gudang Logistik Majalaya</t>
        </is>
      </c>
      <c r="O313" s="184" t="inlineStr">
        <is>
          <t>OPD</t>
        </is>
      </c>
      <c r="P313" s="184" t="inlineStr">
        <is>
          <t>Kab. Bandung</t>
        </is>
      </c>
      <c r="Q313" s="184" t="inlineStr">
        <is>
          <t>Desktop</t>
        </is>
      </c>
      <c r="R313" s="184" t="inlineStr">
        <is>
          <t>(Internal)</t>
        </is>
      </c>
      <c r="S313" s="184" t="inlineStr">
        <is>
          <t>Secara Offline</t>
        </is>
      </c>
      <c r="T313" s="184" t="inlineStr">
        <is>
          <t>Informasi</t>
        </is>
      </c>
      <c r="U313" s="184" t="n">
        <v>2015</v>
      </c>
      <c r="V313" s="184" t="inlineStr">
        <is>
          <t>Aktif</t>
        </is>
      </c>
      <c r="W313" s="184" t="inlineStr">
        <is>
          <t>Tidak</t>
        </is>
      </c>
      <c r="X313" s="184" t="inlineStr">
        <is>
          <t>Tidak terintegrasi</t>
        </is>
      </c>
      <c r="Y313" s="184" t="inlineStr">
        <is>
          <t>Tidak Terintegrasi</t>
        </is>
      </c>
      <c r="Z313" s="184" t="inlineStr">
        <is>
          <t>Tidak Terintegrasi</t>
        </is>
      </c>
      <c r="AA313" s="184" t="inlineStr">
        <is>
          <t>Bagian Umum dan Kepegawaian</t>
        </is>
      </c>
      <c r="AB313" s="184" t="inlineStr">
        <is>
          <t>Dinkes</t>
        </is>
      </c>
      <c r="AC313" s="288" t="n"/>
      <c r="AD313" s="288" t="n"/>
      <c r="AE313" s="288" t="n"/>
      <c r="AF313" s="288" t="n"/>
      <c r="AG313" s="184" t="inlineStr">
        <is>
          <t>Bulanan</t>
        </is>
      </c>
      <c r="AH313" s="284" t="n"/>
      <c r="AI313" s="284" t="n"/>
      <c r="AJ313" s="284" t="n"/>
      <c r="AK313" s="284" t="n"/>
      <c r="AL313" s="284" t="n"/>
      <c r="AM313" s="284" t="n"/>
      <c r="AN313" s="284" t="n"/>
      <c r="AO313" s="284" t="n"/>
      <c r="AP313" s="284" t="n"/>
      <c r="AQ313" s="284" t="n"/>
      <c r="AR313" s="284" t="n"/>
      <c r="AS313" s="284" t="n"/>
    </row>
    <row r="314">
      <c r="A314" s="180" t="n">
        <v>13</v>
      </c>
      <c r="B314" s="184" t="inlineStr">
        <is>
          <t>Layanan Rujukan</t>
        </is>
      </c>
      <c r="C314" t="inlineStr">
        <is>
          <t>RSUD MAJALAYA</t>
        </is>
      </c>
      <c r="D314"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314" s="184" t="inlineStr">
        <is>
          <t>Surat Edaran Menteri Kesehatan Nomor HK.02.02/I/1161/2022 tentang Implementasi Penggunaan Aplikasi SISRUTE</t>
        </is>
      </c>
      <c r="F314" s="184" t="inlineStr">
        <is>
          <t>SOP RUJUKAN</t>
        </is>
      </c>
      <c r="G314" s="184" t="inlineStr">
        <is>
          <t>PENGELOLAAN PELAYANAN KESEHATAN</t>
        </is>
      </c>
      <c r="H314" s="184" t="inlineStr">
        <is>
          <t>Masyarakat</t>
        </is>
      </c>
      <c r="I314" s="184" t="inlineStr">
        <is>
          <t>Data Klinis dan Kebutuhan rujukan pasien</t>
        </is>
      </c>
      <c r="J314" s="178" t="inlineStr">
        <is>
          <t>Penerimaan rujukan sesuai kebutuhan pasien</t>
        </is>
      </c>
      <c r="K314" s="184" t="inlineStr">
        <is>
          <t>Terbatas</t>
        </is>
      </c>
      <c r="L314" s="184" t="inlineStr">
        <is>
          <t>Terdapat</t>
        </is>
      </c>
      <c r="M314" s="184" t="inlineStr">
        <is>
          <t>Harian</t>
        </is>
      </c>
      <c r="N314" s="130" t="inlineStr">
        <is>
          <t>SISRUTE</t>
        </is>
      </c>
      <c r="O314" s="184" t="inlineStr">
        <is>
          <t>Pusat</t>
        </is>
      </c>
      <c r="P314" s="184" t="inlineStr">
        <is>
          <t>Pusat</t>
        </is>
      </c>
      <c r="Q314" s="184" t="inlineStr">
        <is>
          <t>Website</t>
        </is>
      </c>
      <c r="R314" s="131" t="inlineStr">
        <is>
          <t>https://sisrute.kemkes.go.id/</t>
        </is>
      </c>
      <c r="S314" s="184" t="inlineStr">
        <is>
          <t>Secara Online</t>
        </is>
      </c>
      <c r="T314" s="184" t="inlineStr">
        <is>
          <t>Informasi</t>
        </is>
      </c>
      <c r="U314" s="184" t="n">
        <v>2016</v>
      </c>
      <c r="V314" s="184" t="inlineStr">
        <is>
          <t>Aktif</t>
        </is>
      </c>
      <c r="W314" s="184" t="inlineStr">
        <is>
          <t>Tidak</t>
        </is>
      </c>
      <c r="X314" s="184" t="inlineStr">
        <is>
          <t>Tidak terintegrasi</t>
        </is>
      </c>
      <c r="Y314" s="184" t="inlineStr">
        <is>
          <t>Tidak Terintegrasi</t>
        </is>
      </c>
      <c r="Z314" s="184" t="inlineStr">
        <is>
          <t>Tidak Terintegrasi</t>
        </is>
      </c>
      <c r="AA314" s="184" t="inlineStr">
        <is>
          <t>Bagian Pelayanan Medik</t>
        </is>
      </c>
      <c r="AB314" s="184" t="inlineStr">
        <is>
          <t>Dinkes</t>
        </is>
      </c>
      <c r="AC314" s="288" t="n"/>
      <c r="AD314" s="288" t="n"/>
      <c r="AE314" s="288" t="n"/>
      <c r="AF314" s="288" t="n"/>
      <c r="AG314" s="184" t="inlineStr">
        <is>
          <t>Harian</t>
        </is>
      </c>
      <c r="AH314" s="284" t="n"/>
      <c r="AI314" s="284" t="n"/>
      <c r="AJ314" s="284" t="n"/>
      <c r="AK314" s="284" t="n"/>
      <c r="AL314" s="284" t="n"/>
      <c r="AM314" s="284" t="n"/>
      <c r="AN314" s="284" t="n"/>
      <c r="AO314" s="284" t="n"/>
      <c r="AP314" s="284" t="n"/>
      <c r="AQ314" s="284" t="n"/>
      <c r="AR314" s="284" t="n"/>
      <c r="AS314" s="284" t="n"/>
    </row>
    <row r="315">
      <c r="A315" s="180" t="n">
        <v>14</v>
      </c>
      <c r="B315" s="184" t="inlineStr">
        <is>
          <t>Layanan Pelaporan Pajak</t>
        </is>
      </c>
      <c r="C315" t="inlineStr">
        <is>
          <t>RSUD MAJALAYA</t>
        </is>
      </c>
      <c r="D315" s="184" t="inlineStr">
        <is>
          <t>Coretax (Core Tax Administration System/CTAS) adalah sistem administrasi perpajakan baru Direktorat Jenderal Pajak (DJP) yang mengintegrasikan seluruh proses bisnis perpajakan—pendaftaran, pelaporan SPT, pembayaran, hingga pemeriksaan—dalam satu portal terpadu</t>
        </is>
      </c>
      <c r="E315" s="184"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315" s="288" t="n"/>
      <c r="G315" s="184" t="inlineStr">
        <is>
          <t>AKUNTANSI DAN PELAPORAN KEUANGAN</t>
        </is>
      </c>
      <c r="H315" s="184" t="inlineStr">
        <is>
          <t>Pegawai</t>
        </is>
      </c>
      <c r="I315" s="184" t="inlineStr">
        <is>
          <t>Pajak PPH 21, PPH 22, PPH 23 Dan PPN</t>
        </is>
      </c>
      <c r="J315" s="178" t="inlineStr">
        <is>
          <t>Bukti setor pajak</t>
        </is>
      </c>
      <c r="K315" s="184" t="inlineStr">
        <is>
          <t>Terbatas</t>
        </is>
      </c>
      <c r="L315" s="184" t="inlineStr">
        <is>
          <t>Terdapat</t>
        </is>
      </c>
      <c r="M315" s="184" t="inlineStr">
        <is>
          <t>Harian</t>
        </is>
      </c>
      <c r="N315" s="130" t="inlineStr">
        <is>
          <t>Coretax</t>
        </is>
      </c>
      <c r="O315" s="184" t="inlineStr">
        <is>
          <t>Pusat</t>
        </is>
      </c>
      <c r="P315" s="184" t="inlineStr">
        <is>
          <t>Pusat</t>
        </is>
      </c>
      <c r="Q315" s="184" t="inlineStr">
        <is>
          <t>Website</t>
        </is>
      </c>
      <c r="R315" s="131" t="inlineStr">
        <is>
          <t>https://coretaxdjp.pajak.go.id</t>
        </is>
      </c>
      <c r="S315" s="184" t="inlineStr">
        <is>
          <t>Secara Online</t>
        </is>
      </c>
      <c r="T315" s="184" t="inlineStr">
        <is>
          <t>Transaksi</t>
        </is>
      </c>
      <c r="U315" s="184" t="n">
        <v>2025</v>
      </c>
      <c r="V315" s="184" t="inlineStr">
        <is>
          <t>Aktif</t>
        </is>
      </c>
      <c r="W315" s="184" t="inlineStr">
        <is>
          <t>Ya</t>
        </is>
      </c>
      <c r="X315" s="184" t="inlineStr">
        <is>
          <t>coretax</t>
        </is>
      </c>
      <c r="Y315" s="184" t="inlineStr">
        <is>
          <t>Web Service</t>
        </is>
      </c>
      <c r="Z315" s="184" t="inlineStr">
        <is>
          <t>Bulanan</t>
        </is>
      </c>
      <c r="AA315" s="184" t="inlineStr">
        <is>
          <t>Bagian Keuangan</t>
        </is>
      </c>
      <c r="AB315" s="184" t="inlineStr">
        <is>
          <t>BKAD</t>
        </is>
      </c>
      <c r="AC315" s="184" t="inlineStr">
        <is>
          <t>Mimin Mintarsih,S.E dan Shandy Budi Oetama,S.E</t>
        </is>
      </c>
      <c r="AD315" s="184" t="inlineStr">
        <is>
          <t>081222537833 dan 085720024777</t>
        </is>
      </c>
      <c r="AE315" s="184" t="inlineStr">
        <is>
          <t>mintarsihmimin7990@gmail.com dan shandy.oetama@gmail.com</t>
        </is>
      </c>
      <c r="AF315" s="288" t="n"/>
      <c r="AG315" s="184" t="inlineStr">
        <is>
          <t>Bulanan</t>
        </is>
      </c>
      <c r="AH315" s="284" t="n"/>
      <c r="AI315" s="284" t="n"/>
      <c r="AJ315" s="284" t="n"/>
      <c r="AK315" s="284" t="n"/>
      <c r="AL315" s="284" t="n"/>
      <c r="AM315" s="284" t="n"/>
      <c r="AN315" s="284" t="n"/>
      <c r="AO315" s="284" t="n"/>
      <c r="AP315" s="284" t="n"/>
      <c r="AQ315" s="284" t="n"/>
      <c r="AR315" s="284" t="n"/>
      <c r="AS315" s="284" t="n"/>
    </row>
    <row r="316">
      <c r="A316" s="180" t="n">
        <v>15</v>
      </c>
      <c r="B316" s="184" t="inlineStr">
        <is>
          <t>Layanan Sistem Rekonsiliasi Pajak</t>
        </is>
      </c>
      <c r="C316" t="inlineStr">
        <is>
          <t>RSUD MAJALAYA</t>
        </is>
      </c>
      <c r="D316" s="184"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316" s="184" t="inlineStr">
        <is>
          <t>PMK 67/PMK.07/2024: Peraturan Menteri Keuangan (PMK) ini mengatur tentang rekonsiliasi pajak pusat yang disetorkan pemda ke RKUN dan menjadi dasar validasi untuk penyaluran Dana Bagi Hasil (DBH) PPh dan DBH PBB.</t>
        </is>
      </c>
      <c r="F316" s="288" t="n"/>
      <c r="G316" s="184" t="inlineStr">
        <is>
          <t>AKUNTANSI DAN PELAPORAN KEUANGAN</t>
        </is>
      </c>
      <c r="H316" s="184" t="inlineStr">
        <is>
          <t>Instansi Pemerintah Lainnya</t>
        </is>
      </c>
      <c r="I316" s="184" t="inlineStr">
        <is>
          <t>Pajak yang bersumber dari APBD</t>
        </is>
      </c>
      <c r="J316" s="178" t="inlineStr">
        <is>
          <t>Bukti setor pajak</t>
        </is>
      </c>
      <c r="K316" s="184" t="inlineStr">
        <is>
          <t>Terbatas</t>
        </is>
      </c>
      <c r="L316" s="184" t="inlineStr">
        <is>
          <t>Tidak terdapat</t>
        </is>
      </c>
      <c r="M316" s="184" t="inlineStr">
        <is>
          <t>Bulanan</t>
        </is>
      </c>
      <c r="N316" s="130" t="inlineStr">
        <is>
          <t>SIREKON</t>
        </is>
      </c>
      <c r="O316" s="184" t="inlineStr">
        <is>
          <t>Diskominfo</t>
        </is>
      </c>
      <c r="P316" s="184" t="inlineStr">
        <is>
          <t>Kab. Bandung</t>
        </is>
      </c>
      <c r="Q316" s="184" t="inlineStr">
        <is>
          <t>Website</t>
        </is>
      </c>
      <c r="R316" s="131" t="inlineStr">
        <is>
          <t>https://sirekonpajak.bandungkab.go.id/</t>
        </is>
      </c>
      <c r="S316" s="184" t="inlineStr">
        <is>
          <t>Secara Online</t>
        </is>
      </c>
      <c r="T316" s="184" t="inlineStr">
        <is>
          <t>Informasi</t>
        </is>
      </c>
      <c r="U316" s="184" t="n">
        <v>2022</v>
      </c>
      <c r="V316" s="184" t="inlineStr">
        <is>
          <t>Aktif</t>
        </is>
      </c>
      <c r="W316" s="184" t="inlineStr">
        <is>
          <t>Ya</t>
        </is>
      </c>
      <c r="X316" s="288" t="n"/>
      <c r="Y316" s="184" t="inlineStr">
        <is>
          <t>Web Service</t>
        </is>
      </c>
      <c r="Z316" s="184" t="inlineStr">
        <is>
          <t>Bulanan</t>
        </is>
      </c>
      <c r="AA316" s="184" t="inlineStr">
        <is>
          <t>Bagian Keuangan</t>
        </is>
      </c>
      <c r="AB316" s="184" t="inlineStr">
        <is>
          <t>BKAD</t>
        </is>
      </c>
      <c r="AC316" s="184" t="inlineStr">
        <is>
          <t>Soleh Nurdin,SAB dan Shandy Budi Oetama,S.E</t>
        </is>
      </c>
      <c r="AD316" s="184" t="inlineStr">
        <is>
          <t>081322777660 dan 085720024777</t>
        </is>
      </c>
      <c r="AE316" s="184" t="inlineStr">
        <is>
          <t>solehnurdin1969@gmail.com dan shandy.oetama@gmail.com</t>
        </is>
      </c>
      <c r="AF316" s="288" t="n"/>
      <c r="AG316" s="184" t="inlineStr">
        <is>
          <t>Bulanan</t>
        </is>
      </c>
      <c r="AH316" s="284" t="n"/>
      <c r="AI316" s="284" t="n"/>
      <c r="AJ316" s="284" t="n"/>
      <c r="AK316" s="284" t="n"/>
      <c r="AL316" s="284" t="n"/>
      <c r="AM316" s="284" t="n"/>
      <c r="AN316" s="284" t="n"/>
      <c r="AO316" s="284" t="n"/>
      <c r="AP316" s="284" t="n"/>
      <c r="AQ316" s="284" t="n"/>
      <c r="AR316" s="284" t="n"/>
      <c r="AS316" s="284" t="n"/>
    </row>
    <row r="317">
      <c r="A317" s="180" t="n">
        <v>16</v>
      </c>
      <c r="B317" s="184" t="inlineStr">
        <is>
          <t>Layanan Informasi Modul Penerimaan Negara (MPN)</t>
        </is>
      </c>
      <c r="C317" t="inlineStr">
        <is>
          <t>RSUD MAJALAYA</t>
        </is>
      </c>
      <c r="D317" s="184" t="inlineStr">
        <is>
          <t>memodernisasi pengelolaan penerimaan negara, memudahkan wajib pajak/bayar dalam menyetorkan pajak, bea cukai, dan PNBP secara aman, cepat, dan 24/7.</t>
        </is>
      </c>
      <c r="E317" s="184" t="inlineStr">
        <is>
          <t>PMK Nomor 225/PMK.05/2020 tentang Sistem Penerimaan Negara secara Elektronik,</t>
        </is>
      </c>
      <c r="F317" s="288" t="n"/>
      <c r="G317" s="184" t="inlineStr">
        <is>
          <t>AKUNTANSI DAN PELAPORAN KEUANGAN</t>
        </is>
      </c>
      <c r="H317" s="184" t="inlineStr">
        <is>
          <t>Instansi Pemerintah Lainnya</t>
        </is>
      </c>
      <c r="I317" s="184" t="inlineStr">
        <is>
          <t>BPJS 1% dan 4%</t>
        </is>
      </c>
      <c r="J317" s="178" t="inlineStr">
        <is>
          <t>Bukti setor BPJS 1% dan 4%</t>
        </is>
      </c>
      <c r="K317" s="184" t="inlineStr">
        <is>
          <t>Terbatas</t>
        </is>
      </c>
      <c r="L317" s="184" t="inlineStr">
        <is>
          <t>Tidak terdapat</t>
        </is>
      </c>
      <c r="M317" s="184" t="inlineStr">
        <is>
          <t>Bulanan</t>
        </is>
      </c>
      <c r="N317" s="130" t="inlineStr">
        <is>
          <t>MPN Kemenkeu</t>
        </is>
      </c>
      <c r="O317" s="184" t="inlineStr">
        <is>
          <t>Pusat</t>
        </is>
      </c>
      <c r="P317" s="184" t="inlineStr">
        <is>
          <t>Pusat</t>
        </is>
      </c>
      <c r="Q317" s="184" t="inlineStr">
        <is>
          <t>Website</t>
        </is>
      </c>
      <c r="R317" s="131" t="inlineStr">
        <is>
          <t>https://mpn.kemenkeu.go.id</t>
        </is>
      </c>
      <c r="S317" s="184" t="inlineStr">
        <is>
          <t>Secara Online</t>
        </is>
      </c>
      <c r="T317" s="184" t="inlineStr">
        <is>
          <t>Transaksi</t>
        </is>
      </c>
      <c r="U317" s="288" t="n"/>
      <c r="V317" s="184" t="inlineStr">
        <is>
          <t>Aktif</t>
        </is>
      </c>
      <c r="W317" s="184" t="inlineStr">
        <is>
          <t>Ya</t>
        </is>
      </c>
      <c r="X317" s="184" t="inlineStr">
        <is>
          <t>BPJS</t>
        </is>
      </c>
      <c r="Y317" s="184" t="inlineStr">
        <is>
          <t>Tidak Terintegrasi</t>
        </is>
      </c>
      <c r="Z317" s="184" t="inlineStr">
        <is>
          <t>Tidak Terintegrasi</t>
        </is>
      </c>
      <c r="AA317" s="184" t="inlineStr">
        <is>
          <t>Bagian Keuangan</t>
        </is>
      </c>
      <c r="AB317" s="184" t="inlineStr">
        <is>
          <t>BKAD</t>
        </is>
      </c>
      <c r="AC317" s="184" t="inlineStr">
        <is>
          <t>Soleh Nurdin,SAB , Mimin Mintarih,S.E dan Shandy Budi Oetama,S.E</t>
        </is>
      </c>
      <c r="AD317" s="184" t="inlineStr">
        <is>
          <t>081222537833 , 081322777660 dan 085720024777</t>
        </is>
      </c>
      <c r="AE317" s="184" t="inlineStr">
        <is>
          <t>mintarsihmimin7990@gmail.comsolehnurdin1969@gmail.com dan shandy.oetama@gmail.com</t>
        </is>
      </c>
      <c r="AF317" s="288" t="n"/>
      <c r="AG317" s="184" t="inlineStr">
        <is>
          <t>Bulanan</t>
        </is>
      </c>
      <c r="AH317" s="284" t="n"/>
      <c r="AI317" s="284" t="n"/>
      <c r="AJ317" s="284" t="n"/>
      <c r="AK317" s="284" t="n"/>
      <c r="AL317" s="284" t="n"/>
      <c r="AM317" s="284" t="n"/>
      <c r="AN317" s="284" t="n"/>
      <c r="AO317" s="284" t="n"/>
      <c r="AP317" s="284" t="n"/>
      <c r="AQ317" s="284" t="n"/>
      <c r="AR317" s="284" t="n"/>
      <c r="AS317" s="284" t="n"/>
    </row>
    <row r="318">
      <c r="A318" s="180" t="n">
        <v>17</v>
      </c>
      <c r="B318" s="184" t="inlineStr">
        <is>
          <t>Layanan Informasi Tuberkulosis (SITB)</t>
        </is>
      </c>
      <c r="C318" t="inlineStr">
        <is>
          <t>RSUD MAJALAYA</t>
        </is>
      </c>
      <c r="D318" s="184"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318" s="184"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318" s="131" t="inlineStr">
        <is>
          <t>https://drive.google.com/drive/folders/1MppwIbicgeJnTSmBS08CzfVFAUOfmdja?usp=sharing</t>
        </is>
      </c>
      <c r="G318" s="184" t="inlineStr">
        <is>
          <t>PENGELOLAAN PELAYANAN KESEHATAN</t>
        </is>
      </c>
      <c r="H318" s="184" t="inlineStr">
        <is>
          <t>Masyarakat</t>
        </is>
      </c>
      <c r="I318" s="184" t="inlineStr">
        <is>
          <t>Identitas pasien, data klinis dan faktor risiko, data pemeriksaan diagnostik (mikroskopis sputum, Tes Cepat Molekuler (TCM), kultur, dan uji kepekaan obat), data pengobatan pasien TB, pemantauan dan evaluasi pengobatan.</t>
        </is>
      </c>
      <c r="J318" s="178" t="inlineStr">
        <is>
          <t>Data jumlah kasus TB yang terlaporkan (distribusi kasus berdasarkan umur, jenis kelamin, wilayah, serta jenis TB ), data hasil pemeriksaan diagnostik, data pemantauan dan data hasil indikator kinerja program TB.</t>
        </is>
      </c>
      <c r="K318" s="184" t="inlineStr">
        <is>
          <t>Terbatas</t>
        </is>
      </c>
      <c r="L318" s="184" t="inlineStr">
        <is>
          <t>Terdapat</t>
        </is>
      </c>
      <c r="M318" s="184" t="inlineStr">
        <is>
          <t>Lainnya</t>
        </is>
      </c>
      <c r="N318" s="130" t="inlineStr">
        <is>
          <t>Sistem Informasi Tuberkulosis (SITB)</t>
        </is>
      </c>
      <c r="O318" s="184" t="inlineStr">
        <is>
          <t>Pusat</t>
        </is>
      </c>
      <c r="P318" s="184" t="inlineStr">
        <is>
          <t>Pusat</t>
        </is>
      </c>
      <c r="Q318" s="184" t="inlineStr">
        <is>
          <t>Website dan Mobile</t>
        </is>
      </c>
      <c r="R318" s="131" t="inlineStr">
        <is>
          <t>http://dkijabarbanten.sitb.id/</t>
        </is>
      </c>
      <c r="S318" s="184" t="inlineStr">
        <is>
          <t>Secara Online</t>
        </is>
      </c>
      <c r="T318" s="184" t="inlineStr">
        <is>
          <t>Informasi</t>
        </is>
      </c>
      <c r="U318" s="184" t="n">
        <v>2018</v>
      </c>
      <c r="V318" s="184" t="inlineStr">
        <is>
          <t>Aktif</t>
        </is>
      </c>
      <c r="W318" s="184" t="inlineStr">
        <is>
          <t>Ya</t>
        </is>
      </c>
      <c r="X318" s="184" t="inlineStr">
        <is>
          <t>SATUSEHAT Platform, Sistem Informasi HIV/AIDS dan IMS (SIHA), Sistem Informasi Manajemen Rumah Sakit (SIMRS) dan Sistem Kewaspadaan Dini dan Respons (SKDR).</t>
        </is>
      </c>
      <c r="Y318" s="184" t="inlineStr">
        <is>
          <t>API</t>
        </is>
      </c>
      <c r="Z318" s="184" t="inlineStr">
        <is>
          <t>Realtime</t>
        </is>
      </c>
      <c r="AA318" s="184" t="inlineStr">
        <is>
          <t>Bidang Pelayanan Medis</t>
        </is>
      </c>
      <c r="AB318" s="184" t="inlineStr">
        <is>
          <t>Dinkes</t>
        </is>
      </c>
      <c r="AC318" s="184" t="inlineStr">
        <is>
          <t>Yudha Radityadana</t>
        </is>
      </c>
      <c r="AD318" s="184" t="n">
        <v>82124726619</v>
      </c>
      <c r="AE318" s="184" t="inlineStr">
        <is>
          <t>yudharadityadana@gmail.com dan yudha.radityadana41@ui.ac.id</t>
        </is>
      </c>
      <c r="AF318" s="288" t="n"/>
      <c r="AG318" s="184" t="inlineStr">
        <is>
          <t>Setiap Saat</t>
        </is>
      </c>
      <c r="AH318" s="284" t="n"/>
      <c r="AI318" s="284" t="n"/>
      <c r="AJ318" s="284" t="n"/>
      <c r="AK318" s="284" t="n"/>
      <c r="AL318" s="284" t="n"/>
      <c r="AM318" s="284" t="n"/>
      <c r="AN318" s="284" t="n"/>
      <c r="AO318" s="284" t="n"/>
      <c r="AP318" s="284" t="n"/>
      <c r="AQ318" s="284" t="n"/>
      <c r="AR318" s="284" t="n"/>
      <c r="AS318" s="284" t="n"/>
    </row>
    <row r="319">
      <c r="A319" s="180" t="n">
        <v>18</v>
      </c>
      <c r="B319" s="184" t="inlineStr">
        <is>
          <t>Layanan administrasi kepegawaian</t>
        </is>
      </c>
      <c r="C319" t="inlineStr">
        <is>
          <t>RSUD MAJALAYA</t>
        </is>
      </c>
      <c r="D319" s="184" t="inlineStr">
        <is>
          <t>Sistem informasi kepegawaian ASN Kabupaten Bandung. Fungsi nya untuk layanan administrasi kepegawaian ASN, mulai dari kenaikan pangkat, kenaikan gaji berkala, cuti, pensiun, ijin belajar dll</t>
        </is>
      </c>
      <c r="E319" s="184" t="inlineStr">
        <is>
          <t>Undang Undang Nomor 20 Tahun 2023 ttg ASN</t>
        </is>
      </c>
      <c r="F319" s="288" t="n"/>
      <c r="G319" s="184" t="inlineStr">
        <is>
          <t>PENATAAN SUMBER DAYA MANUSIA APARATUR</t>
        </is>
      </c>
      <c r="H319" s="184" t="inlineStr">
        <is>
          <t>Pegawai</t>
        </is>
      </c>
      <c r="I319" s="184" t="inlineStr">
        <is>
          <t>data kepegawaian</t>
        </is>
      </c>
      <c r="J319" s="178" t="inlineStr">
        <is>
          <t>layanan administrasi kepegawaian</t>
        </is>
      </c>
      <c r="K319" s="184" t="inlineStr">
        <is>
          <t>Terbatas</t>
        </is>
      </c>
      <c r="L319" s="184" t="inlineStr">
        <is>
          <t>Terdapat</t>
        </is>
      </c>
      <c r="M319" s="184" t="inlineStr">
        <is>
          <t>Bulanan</t>
        </is>
      </c>
      <c r="N319" s="130" t="inlineStr">
        <is>
          <t>simpel bkpsdm</t>
        </is>
      </c>
      <c r="O319" s="184" t="inlineStr">
        <is>
          <t>OPD</t>
        </is>
      </c>
      <c r="P319" s="184" t="inlineStr">
        <is>
          <t>Kab. Bandung</t>
        </is>
      </c>
      <c r="Q319" s="184" t="inlineStr">
        <is>
          <t>Website</t>
        </is>
      </c>
      <c r="R319" s="131" t="inlineStr">
        <is>
          <t>simpelbkpsdm.bandungkab.go.id</t>
        </is>
      </c>
      <c r="S319" s="184" t="inlineStr">
        <is>
          <t>Secara Online</t>
        </is>
      </c>
      <c r="T319" s="184" t="inlineStr">
        <is>
          <t>Informasi</t>
        </is>
      </c>
      <c r="U319" s="184" t="n">
        <v>2018</v>
      </c>
      <c r="V319" s="184" t="inlineStr">
        <is>
          <t>Aktif</t>
        </is>
      </c>
      <c r="W319" s="184" t="inlineStr">
        <is>
          <t>Ya</t>
        </is>
      </c>
      <c r="X319" s="184" t="inlineStr">
        <is>
          <t>SIASN</t>
        </is>
      </c>
      <c r="Y319" s="184" t="inlineStr">
        <is>
          <t>Database to Database</t>
        </is>
      </c>
      <c r="Z319" s="184" t="inlineStr">
        <is>
          <t>Lainnya</t>
        </is>
      </c>
      <c r="AA319" s="184" t="inlineStr">
        <is>
          <t>Bagian Umum dan Kepegawaian</t>
        </is>
      </c>
      <c r="AB319" s="184" t="inlineStr">
        <is>
          <t>BKPSDM</t>
        </is>
      </c>
      <c r="AC319" s="184" t="inlineStr">
        <is>
          <t>Dede Sarifudin, Welga Adibayu</t>
        </is>
      </c>
      <c r="AD319" s="184" t="n">
        <v>85222063396</v>
      </c>
      <c r="AE319" s="184" t="inlineStr">
        <is>
          <t>kepegawaian.rsud.majalay@gmail.com</t>
        </is>
      </c>
      <c r="AF319" s="288" t="n"/>
      <c r="AG319" s="184" t="inlineStr">
        <is>
          <t>Setiap Saat</t>
        </is>
      </c>
      <c r="AH319" s="284" t="n"/>
      <c r="AI319" s="284" t="n"/>
      <c r="AJ319" s="284" t="n"/>
      <c r="AK319" s="284" t="n"/>
      <c r="AL319" s="284" t="n"/>
      <c r="AM319" s="284" t="n"/>
      <c r="AN319" s="284" t="n"/>
      <c r="AO319" s="284" t="n"/>
      <c r="AP319" s="284" t="n"/>
      <c r="AQ319" s="284" t="n"/>
      <c r="AR319" s="284" t="n"/>
      <c r="AS319" s="284" t="n"/>
    </row>
    <row r="320">
      <c r="A320" s="180" t="n">
        <v>19</v>
      </c>
      <c r="B320" s="184" t="inlineStr">
        <is>
          <t>Layanan Daftar Hadir Eletronik</t>
        </is>
      </c>
      <c r="C320" t="inlineStr">
        <is>
          <t>RSUD MAJALAYA</t>
        </is>
      </c>
      <c r="D320" s="184" t="inlineStr">
        <is>
          <t>Layanan presensi kehadiran ASN</t>
        </is>
      </c>
      <c r="E320" s="184" t="inlineStr">
        <is>
          <t>Undang Undang Nomor 20 Tahun 2023 ttg ASN</t>
        </is>
      </c>
      <c r="F320" s="288" t="n"/>
      <c r="G320" s="184" t="inlineStr">
        <is>
          <t>PENATAAN SUMBER DAYA MANUSIA APARATUR</t>
        </is>
      </c>
      <c r="H320" s="184" t="inlineStr">
        <is>
          <t>Pegawai</t>
        </is>
      </c>
      <c r="I320" s="184" t="inlineStr">
        <is>
          <t>Kehadiran ASN</t>
        </is>
      </c>
      <c r="J320" s="178" t="inlineStr">
        <is>
          <t>Kehadiran ASN</t>
        </is>
      </c>
      <c r="K320" s="184" t="inlineStr">
        <is>
          <t>Terbatas</t>
        </is>
      </c>
      <c r="L320" s="184" t="inlineStr">
        <is>
          <t>Terdapat</t>
        </is>
      </c>
      <c r="M320" s="184" t="inlineStr">
        <is>
          <t>Harian</t>
        </is>
      </c>
      <c r="N320" s="130" t="inlineStr">
        <is>
          <t>DHE</t>
        </is>
      </c>
      <c r="O320" s="184" t="inlineStr">
        <is>
          <t>OPD</t>
        </is>
      </c>
      <c r="P320" s="184" t="inlineStr">
        <is>
          <t>Kab. Bandung</t>
        </is>
      </c>
      <c r="Q320" s="184" t="inlineStr">
        <is>
          <t>Mobile</t>
        </is>
      </c>
      <c r="R320" s="220" t="inlineStr">
        <is>
          <t>DHE</t>
        </is>
      </c>
      <c r="S320" s="184" t="inlineStr">
        <is>
          <t>Secara Online</t>
        </is>
      </c>
      <c r="T320" s="184" t="inlineStr">
        <is>
          <t>Informasi</t>
        </is>
      </c>
      <c r="U320" s="288" t="n"/>
      <c r="V320" s="184" t="inlineStr">
        <is>
          <t>Aktif</t>
        </is>
      </c>
      <c r="W320" s="184" t="inlineStr">
        <is>
          <t>Ya</t>
        </is>
      </c>
      <c r="X320" s="184" t="inlineStr">
        <is>
          <t>e-absensi, sasikap</t>
        </is>
      </c>
      <c r="Y320" s="184" t="inlineStr">
        <is>
          <t>Web Service</t>
        </is>
      </c>
      <c r="Z320" s="184" t="inlineStr">
        <is>
          <t>Harian</t>
        </is>
      </c>
      <c r="AA320" s="184" t="inlineStr">
        <is>
          <t>Bagian Umum dan Kepegawaian</t>
        </is>
      </c>
      <c r="AB320" s="184" t="inlineStr">
        <is>
          <t>Diskominfo</t>
        </is>
      </c>
      <c r="AC320" s="184" t="inlineStr">
        <is>
          <t>Dede Sarifudin, Welga Adibayu, Iis Ismawati</t>
        </is>
      </c>
      <c r="AD320" s="184" t="n">
        <v>85222063396</v>
      </c>
      <c r="AE320" s="184" t="inlineStr">
        <is>
          <t>kepegawaian.rsud.majalay@gmail.com</t>
        </is>
      </c>
      <c r="AF320" s="288" t="n"/>
      <c r="AG320" s="184" t="inlineStr">
        <is>
          <t>Setiap Saat</t>
        </is>
      </c>
      <c r="AH320" s="284" t="n"/>
      <c r="AI320" s="284" t="n"/>
      <c r="AJ320" s="284" t="n"/>
      <c r="AK320" s="284" t="n"/>
      <c r="AL320" s="284" t="n"/>
      <c r="AM320" s="284" t="n"/>
      <c r="AN320" s="284" t="n"/>
      <c r="AO320" s="284" t="n"/>
      <c r="AP320" s="284" t="n"/>
      <c r="AQ320" s="284" t="n"/>
      <c r="AR320" s="284" t="n"/>
      <c r="AS320" s="284" t="n"/>
    </row>
    <row r="321">
      <c r="A321" s="180" t="n">
        <v>20</v>
      </c>
      <c r="B321" s="184" t="inlineStr">
        <is>
          <t>Layanan surat menyurat elektronik</t>
        </is>
      </c>
      <c r="C321" t="inlineStr">
        <is>
          <t>RSUD MAJALAYA</t>
        </is>
      </c>
      <c r="D321" s="184" t="inlineStr">
        <is>
          <t>Layanan surat menyurat</t>
        </is>
      </c>
      <c r="E321" s="288" t="n"/>
      <c r="F321" s="288" t="n"/>
      <c r="G321" s="184" t="inlineStr">
        <is>
          <t>PENATAAN SISTEM KELEMBAGAAN</t>
        </is>
      </c>
      <c r="H321" s="184" t="inlineStr">
        <is>
          <t>Pegawai</t>
        </is>
      </c>
      <c r="I321" s="184" t="inlineStr">
        <is>
          <t>surat dinas</t>
        </is>
      </c>
      <c r="J321" s="178" t="inlineStr">
        <is>
          <t>surat dinas</t>
        </is>
      </c>
      <c r="K321" s="184" t="inlineStr">
        <is>
          <t>Terbatas</t>
        </is>
      </c>
      <c r="L321" s="184" t="inlineStr">
        <is>
          <t>Tidak terdapat</t>
        </is>
      </c>
      <c r="M321" s="184" t="inlineStr">
        <is>
          <t>Harian</t>
        </is>
      </c>
      <c r="N321" s="130" t="inlineStr">
        <is>
          <t>Sultan (E-OFFICE)</t>
        </is>
      </c>
      <c r="O321" s="184" t="inlineStr">
        <is>
          <t>OPD</t>
        </is>
      </c>
      <c r="P321" s="184" t="inlineStr">
        <is>
          <t>Kab. Bandung</t>
        </is>
      </c>
      <c r="Q321" s="184" t="inlineStr">
        <is>
          <t>Website dan Mobile</t>
        </is>
      </c>
      <c r="R321" s="131" t="inlineStr">
        <is>
          <t>sultan.banadungkab.go.id</t>
        </is>
      </c>
      <c r="S321" s="184" t="inlineStr">
        <is>
          <t>Secara Online</t>
        </is>
      </c>
      <c r="T321" s="184" t="inlineStr">
        <is>
          <t>Informasi</t>
        </is>
      </c>
      <c r="U321" s="288" t="n"/>
      <c r="V321" s="184" t="inlineStr">
        <is>
          <t>Aktif</t>
        </is>
      </c>
      <c r="W321" s="184" t="inlineStr">
        <is>
          <t>Tidak</t>
        </is>
      </c>
      <c r="X321" s="184" t="inlineStr">
        <is>
          <t>tidak terintegrasi</t>
        </is>
      </c>
      <c r="Y321" s="184" t="inlineStr">
        <is>
          <t>Tidak Terintegrasi</t>
        </is>
      </c>
      <c r="Z321" s="184" t="inlineStr">
        <is>
          <t>Tidak Terintegrasi</t>
        </is>
      </c>
      <c r="AA321" s="184" t="inlineStr">
        <is>
          <t>semua bidang/bagian</t>
        </is>
      </c>
      <c r="AB321" s="184" t="inlineStr">
        <is>
          <t>Diskominfo</t>
        </is>
      </c>
      <c r="AC321" s="184" t="inlineStr">
        <is>
          <t>Dede Sarifudin, Welga Adibayu, Dea Hiluri, Rahmi Fthorani</t>
        </is>
      </c>
      <c r="AD321" s="184" t="n">
        <v>85222063396</v>
      </c>
      <c r="AE321" s="184" t="inlineStr">
        <is>
          <t>kepegawaian.rsud.majalay@gmail.com</t>
        </is>
      </c>
      <c r="AF321" s="288" t="n"/>
      <c r="AG321" s="184" t="inlineStr">
        <is>
          <t>Setiap Saat</t>
        </is>
      </c>
      <c r="AH321" s="284" t="n"/>
      <c r="AI321" s="284" t="n"/>
      <c r="AJ321" s="284" t="n"/>
      <c r="AK321" s="284" t="n"/>
      <c r="AL321" s="284" t="n"/>
      <c r="AM321" s="284" t="n"/>
      <c r="AN321" s="284" t="n"/>
      <c r="AO321" s="284" t="n"/>
      <c r="AP321" s="284" t="n"/>
      <c r="AQ321" s="284" t="n"/>
      <c r="AR321" s="284" t="n"/>
      <c r="AS321" s="284" t="n"/>
    </row>
    <row r="322">
      <c r="A322" s="180" t="n">
        <v>21</v>
      </c>
      <c r="B322" s="184" t="inlineStr">
        <is>
          <t>Laporan aktivitas harian ASN</t>
        </is>
      </c>
      <c r="C322" t="inlineStr">
        <is>
          <t>RSUD MAJALAYA</t>
        </is>
      </c>
      <c r="D322" s="184" t="inlineStr">
        <is>
          <t>Laporan aktivitas harian ASN</t>
        </is>
      </c>
      <c r="E322" s="184" t="inlineStr">
        <is>
          <t>Undang Undang Nomor 20 Tahun 2023 ttg ASN</t>
        </is>
      </c>
      <c r="F322" s="288" t="n"/>
      <c r="G322" s="184" t="inlineStr">
        <is>
          <t>PENATAAN SUMBER DAYA MANUSIA APARATUR</t>
        </is>
      </c>
      <c r="H322" s="184" t="inlineStr">
        <is>
          <t>Pegawai</t>
        </is>
      </c>
      <c r="I322" s="184" t="inlineStr">
        <is>
          <t>aktivitas ASN</t>
        </is>
      </c>
      <c r="J322" s="178" t="inlineStr">
        <is>
          <t>aktivitas ASN</t>
        </is>
      </c>
      <c r="K322" s="184" t="inlineStr">
        <is>
          <t>Terbatas</t>
        </is>
      </c>
      <c r="L322" s="184" t="inlineStr">
        <is>
          <t>Tidak terdapat</t>
        </is>
      </c>
      <c r="M322" s="184" t="inlineStr">
        <is>
          <t>Harian</t>
        </is>
      </c>
      <c r="N322" s="130" t="inlineStr">
        <is>
          <t>SASIKAP EVO</t>
        </is>
      </c>
      <c r="O322" s="184" t="inlineStr">
        <is>
          <t>Diskominfo</t>
        </is>
      </c>
      <c r="P322" s="184" t="inlineStr">
        <is>
          <t>Kab. Bandung</t>
        </is>
      </c>
      <c r="Q322" s="184" t="inlineStr">
        <is>
          <t>Website dan Mobile</t>
        </is>
      </c>
      <c r="R322" s="131" t="inlineStr">
        <is>
          <t>sso.bandungkab.go.id</t>
        </is>
      </c>
      <c r="S322" s="184" t="inlineStr">
        <is>
          <t>Secara Online</t>
        </is>
      </c>
      <c r="T322" s="184" t="inlineStr">
        <is>
          <t>Informasi</t>
        </is>
      </c>
      <c r="U322" s="288" t="n"/>
      <c r="V322" s="184" t="inlineStr">
        <is>
          <t>Aktif</t>
        </is>
      </c>
      <c r="W322" s="184" t="inlineStr">
        <is>
          <t>Ya</t>
        </is>
      </c>
      <c r="X322" s="184" t="inlineStr">
        <is>
          <t>e-absensi, DHE</t>
        </is>
      </c>
      <c r="Y322" s="184" t="inlineStr">
        <is>
          <t>Web Service</t>
        </is>
      </c>
      <c r="Z322" s="184" t="inlineStr">
        <is>
          <t>Realtime</t>
        </is>
      </c>
      <c r="AA322" s="184" t="inlineStr">
        <is>
          <t>semua bidang/bagian</t>
        </is>
      </c>
      <c r="AB322" s="184" t="inlineStr">
        <is>
          <t>BKPSDM</t>
        </is>
      </c>
      <c r="AC322" s="184" t="inlineStr">
        <is>
          <t>Dede Sarifudin, Welga Adibayu</t>
        </is>
      </c>
      <c r="AD322" s="184" t="n">
        <v>85222063396</v>
      </c>
      <c r="AE322" s="184" t="inlineStr">
        <is>
          <t>kepegawaian.rsud.majalay@gmail.com</t>
        </is>
      </c>
      <c r="AF322" s="288" t="n"/>
      <c r="AG322" s="184" t="inlineStr">
        <is>
          <t>Harian</t>
        </is>
      </c>
      <c r="AH322" s="284" t="n"/>
      <c r="AI322" s="284" t="n"/>
      <c r="AJ322" s="284" t="n"/>
      <c r="AK322" s="284" t="n"/>
      <c r="AL322" s="284" t="n"/>
      <c r="AM322" s="284" t="n"/>
      <c r="AN322" s="284" t="n"/>
      <c r="AO322" s="284" t="n"/>
      <c r="AP322" s="284" t="n"/>
      <c r="AQ322" s="284" t="n"/>
      <c r="AR322" s="284" t="n"/>
      <c r="AS322" s="284" t="n"/>
    </row>
    <row r="323">
      <c r="A323" s="180" t="n">
        <v>22</v>
      </c>
      <c r="B323" s="184" t="inlineStr">
        <is>
          <t>Layanan informasi tenaga kesehatan</t>
        </is>
      </c>
      <c r="C323" t="inlineStr">
        <is>
          <t>RSUD MAJALAYA</t>
        </is>
      </c>
      <c r="D323" s="184" t="inlineStr">
        <is>
          <t>database tenaga kesehatan</t>
        </is>
      </c>
      <c r="E323" s="184" t="inlineStr">
        <is>
          <t>Undang-undang np 17 Tahun 2023 ttg kesehatn</t>
        </is>
      </c>
      <c r="F323" s="288" t="n"/>
      <c r="G323" s="184" t="inlineStr">
        <is>
          <t>PENGEMBANGAN DAN PEMBERDAYAAN SUMBER DAYA MANUSIA KESEHATAN</t>
        </is>
      </c>
      <c r="H323" s="184" t="inlineStr">
        <is>
          <t>Pegawai</t>
        </is>
      </c>
      <c r="I323" s="184" t="inlineStr">
        <is>
          <t>database tenaga kesehatan</t>
        </is>
      </c>
      <c r="J323" s="184" t="inlineStr">
        <is>
          <t>database tenaga kesehatan</t>
        </is>
      </c>
      <c r="K323" s="184" t="inlineStr">
        <is>
          <t>Terbatas</t>
        </is>
      </c>
      <c r="L323" s="184" t="inlineStr">
        <is>
          <t>Terdapat</t>
        </is>
      </c>
      <c r="M323" s="184" t="inlineStr">
        <is>
          <t>Harian</t>
        </is>
      </c>
      <c r="N323" s="130" t="inlineStr">
        <is>
          <t>SISDMK</t>
        </is>
      </c>
      <c r="O323" s="184" t="inlineStr">
        <is>
          <t>Pusat</t>
        </is>
      </c>
      <c r="P323" s="184" t="inlineStr">
        <is>
          <t>Pusat</t>
        </is>
      </c>
      <c r="Q323" s="184" t="inlineStr">
        <is>
          <t>Website dan Mobile</t>
        </is>
      </c>
      <c r="R323" s="131" t="inlineStr">
        <is>
          <t>sisdmk.kemkes.go.id</t>
        </is>
      </c>
      <c r="S323" s="184" t="inlineStr">
        <is>
          <t>Secara Online</t>
        </is>
      </c>
      <c r="T323" s="184" t="inlineStr">
        <is>
          <t>Informasi</t>
        </is>
      </c>
      <c r="U323" s="288" t="n"/>
      <c r="V323" s="184" t="inlineStr">
        <is>
          <t>Aktif</t>
        </is>
      </c>
      <c r="W323" s="184" t="inlineStr">
        <is>
          <t>Ya</t>
        </is>
      </c>
      <c r="X323" s="288" t="n"/>
      <c r="Y323" s="184" t="inlineStr">
        <is>
          <t>Web Service</t>
        </is>
      </c>
      <c r="Z323" s="184" t="inlineStr">
        <is>
          <t>Realtime</t>
        </is>
      </c>
      <c r="AA323" s="184" t="inlineStr">
        <is>
          <t>semua bidang/bagian</t>
        </is>
      </c>
      <c r="AB323" s="184" t="inlineStr">
        <is>
          <t>Dinkes</t>
        </is>
      </c>
      <c r="AC323" s="184" t="inlineStr">
        <is>
          <t>Dede Sarifudin, Welga Adibayu, Iis Ismawati</t>
        </is>
      </c>
      <c r="AD323" s="184" t="n">
        <v>85222063396</v>
      </c>
      <c r="AE323" s="184" t="inlineStr">
        <is>
          <t>kepegawaian.rsud.majalay@gmail.com</t>
        </is>
      </c>
      <c r="AF323" s="288" t="n"/>
      <c r="AG323" s="184" t="inlineStr">
        <is>
          <t>Setiap Saat</t>
        </is>
      </c>
      <c r="AH323" s="284" t="n"/>
      <c r="AI323" s="284" t="n"/>
      <c r="AJ323" s="284" t="n"/>
      <c r="AK323" s="284" t="n"/>
      <c r="AL323" s="284" t="n"/>
      <c r="AM323" s="284" t="n"/>
      <c r="AN323" s="284" t="n"/>
      <c r="AO323" s="284" t="n"/>
      <c r="AP323" s="284" t="n"/>
      <c r="AQ323" s="284" t="n"/>
      <c r="AR323" s="284" t="n"/>
      <c r="AS323" s="284" t="n"/>
    </row>
    <row r="324">
      <c r="A324" s="180" t="n">
        <v>23</v>
      </c>
      <c r="B324" s="184" t="inlineStr">
        <is>
          <t>Layanan pelaporan pelayanan kesehatan</t>
        </is>
      </c>
      <c r="C324" t="inlineStr">
        <is>
          <t>RSUD MAJALAYA</t>
        </is>
      </c>
      <c r="D324" s="176" t="inlineStr">
        <is>
          <t>Pelaporan pelayanan kesehatan mencakup Data dasar RS, Profil, Update tempat tidur, Laporan KLB/Pandemi, Kompetensi RS, Rekapitulasi Laporan</t>
        </is>
      </c>
      <c r="E324" s="184" t="inlineStr">
        <is>
          <t>Direktorat Jenderal Kesehatan Lanjutan Kemenkes</t>
        </is>
      </c>
      <c r="F324" s="200" t="n"/>
      <c r="G324" s="184" t="inlineStr">
        <is>
          <t>PENGELOLAAN PELAYANAN KESEHATAN</t>
        </is>
      </c>
      <c r="H324" s="184" t="inlineStr">
        <is>
          <t>Instansi Pemerintah Lainnya</t>
        </is>
      </c>
      <c r="I324" s="184" t="inlineStr">
        <is>
          <t>Data dasar RS, Profil, Update tempat tidur, Laporan KLB/Pandemi, Kompetensi RS, Rekapitulasi Laporan</t>
        </is>
      </c>
      <c r="J324" s="178" t="inlineStr">
        <is>
          <t>Laporan Updating</t>
        </is>
      </c>
      <c r="K324" s="184" t="inlineStr">
        <is>
          <t>Terbatas</t>
        </is>
      </c>
      <c r="L324" s="184" t="inlineStr">
        <is>
          <t>Tidak terdapat</t>
        </is>
      </c>
      <c r="M324" s="184" t="inlineStr">
        <is>
          <t>Harian</t>
        </is>
      </c>
      <c r="N324" s="97" t="inlineStr">
        <is>
          <t>RS Online</t>
        </is>
      </c>
      <c r="O324" s="184" t="inlineStr">
        <is>
          <t>Pusat</t>
        </is>
      </c>
      <c r="P324" s="184" t="inlineStr">
        <is>
          <t>Pusat</t>
        </is>
      </c>
      <c r="Q324" s="67" t="inlineStr">
        <is>
          <t>Website</t>
        </is>
      </c>
      <c r="R324" s="131" t="inlineStr">
        <is>
          <t>sirs.kemkes.go.id</t>
        </is>
      </c>
      <c r="S324" s="184" t="inlineStr">
        <is>
          <t>Secara Online</t>
        </is>
      </c>
      <c r="T324" s="184" t="inlineStr">
        <is>
          <t>Informasi</t>
        </is>
      </c>
      <c r="U324" s="288" t="n"/>
      <c r="V324" s="184" t="inlineStr">
        <is>
          <t>Aktif</t>
        </is>
      </c>
      <c r="W324" s="184" t="inlineStr">
        <is>
          <t>Ya</t>
        </is>
      </c>
      <c r="X324" s="184" t="inlineStr">
        <is>
          <t>tidak Terintegrasi</t>
        </is>
      </c>
      <c r="Y324" s="184" t="inlineStr">
        <is>
          <t>Tidak Terintegrasi</t>
        </is>
      </c>
      <c r="Z324" s="184" t="inlineStr">
        <is>
          <t>Realtime</t>
        </is>
      </c>
      <c r="AA324" s="184" t="inlineStr">
        <is>
          <t>Bidang Penunjang Medik dan Pelayanan Medik</t>
        </is>
      </c>
      <c r="AB324" s="184" t="inlineStr">
        <is>
          <t>Dinkes</t>
        </is>
      </c>
      <c r="AC324" s="184" t="inlineStr">
        <is>
          <t>Sonia Dwi Octavianti</t>
        </is>
      </c>
      <c r="AD324" s="184" t="n">
        <v>85721324997</v>
      </c>
      <c r="AE324" s="288" t="n"/>
      <c r="AF324" s="288" t="n"/>
      <c r="AG324" s="184" t="inlineStr">
        <is>
          <t>Harian</t>
        </is>
      </c>
      <c r="AH324" s="284" t="n"/>
      <c r="AI324" s="284" t="n"/>
      <c r="AJ324" s="284" t="n"/>
      <c r="AK324" s="284" t="n"/>
      <c r="AL324" s="284" t="n"/>
      <c r="AM324" s="284" t="n"/>
      <c r="AN324" s="284" t="n"/>
      <c r="AO324" s="284" t="n"/>
      <c r="AP324" s="284" t="n"/>
      <c r="AQ324" s="284" t="n"/>
      <c r="AR324" s="284" t="n"/>
      <c r="AS324" s="284" t="n"/>
    </row>
    <row r="325">
      <c r="A325" s="180" t="n">
        <v>24</v>
      </c>
      <c r="B325" s="184" t="inlineStr">
        <is>
          <t>Layanan pelaporan kinerja</t>
        </is>
      </c>
      <c r="C325" t="inlineStr">
        <is>
          <t>RSUD MAJALAYA</t>
        </is>
      </c>
      <c r="D325" s="221"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325"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325" s="288" t="n"/>
      <c r="G325" s="184" t="inlineStr">
        <is>
          <t>PENINGKATAN KUALITAS REFORMASI BIROKRASI, PENGAWASAN, DAN AKUNTABILITAS KINERJA</t>
        </is>
      </c>
      <c r="H325" s="184" t="inlineStr">
        <is>
          <t>Instansi Pemerintah Lainnya</t>
        </is>
      </c>
      <c r="I325" s="184" t="inlineStr">
        <is>
          <t>Data Capaian Kinerja Program dan Kegiatan, Indikator
 Data Capaian Pelaksanaan Anggaran dan Belanja
 Narasi Permasalahan dan Solusi
 Tindak lanjut Reomendasi DPRD
 Data Dukung Capaian Kinerja Berupa Penghargaan</t>
        </is>
      </c>
      <c r="J325" s="222" t="inlineStr">
        <is>
          <t>Dokumen digital yang terstruktur dan tervalidasi yang nantinya dicetak atau disampaikan secara elektronik sebagai bentuk pertanggungjawaban Kepala Daerah kepada DPRD.</t>
        </is>
      </c>
      <c r="K325" s="184" t="inlineStr">
        <is>
          <t>Terbuka</t>
        </is>
      </c>
      <c r="L325" s="184" t="inlineStr">
        <is>
          <t>Tidak terdapat</t>
        </is>
      </c>
      <c r="M325" s="184" t="inlineStr">
        <is>
          <t>Tahunan</t>
        </is>
      </c>
      <c r="N325" s="130" t="inlineStr">
        <is>
          <t>E-LKPJ</t>
        </is>
      </c>
      <c r="O325" s="184" t="inlineStr">
        <is>
          <t>OPD</t>
        </is>
      </c>
      <c r="P325" s="184" t="inlineStr">
        <is>
          <t>Kab. Bandung</t>
        </is>
      </c>
      <c r="Q325" s="184" t="inlineStr">
        <is>
          <t>Website</t>
        </is>
      </c>
      <c r="R325" s="131" t="inlineStr">
        <is>
          <t>https://e-lkpj.id/login</t>
        </is>
      </c>
      <c r="S325" s="184" t="inlineStr">
        <is>
          <t>Secara Online</t>
        </is>
      </c>
      <c r="T325" s="184" t="inlineStr">
        <is>
          <t>Informasi</t>
        </is>
      </c>
      <c r="U325" s="288" t="n"/>
      <c r="V325" s="184" t="inlineStr">
        <is>
          <t>Aktif</t>
        </is>
      </c>
      <c r="W325" s="184" t="inlineStr">
        <is>
          <t>Ya</t>
        </is>
      </c>
      <c r="X325" s="184" t="inlineStr">
        <is>
          <t>SIDALMONEP</t>
        </is>
      </c>
      <c r="Y325" s="288" t="n"/>
      <c r="Z325" s="288" t="n"/>
      <c r="AA325" s="184" t="inlineStr">
        <is>
          <t>Bagian Perencanaan dan Kehumasan</t>
        </is>
      </c>
      <c r="AB325" s="184" t="inlineStr">
        <is>
          <t>Setda</t>
        </is>
      </c>
      <c r="AC325" s="184" t="inlineStr">
        <is>
          <t>Dadang Hermawan, S.T</t>
        </is>
      </c>
      <c r="AD325" s="184" t="n">
        <v>88901612437</v>
      </c>
      <c r="AE325" s="184" t="inlineStr">
        <is>
          <t>rsudmajalaya.program@gmail.com</t>
        </is>
      </c>
      <c r="AF325" s="288" t="n"/>
      <c r="AG325" s="184" t="inlineStr">
        <is>
          <t>Tahunan</t>
        </is>
      </c>
      <c r="AH325" s="284" t="n"/>
      <c r="AI325" s="284" t="n"/>
      <c r="AJ325" s="284" t="n"/>
      <c r="AK325" s="284" t="n"/>
      <c r="AL325" s="284" t="n"/>
      <c r="AM325" s="284" t="n"/>
      <c r="AN325" s="284" t="n"/>
      <c r="AO325" s="284" t="n"/>
      <c r="AP325" s="284" t="n"/>
      <c r="AQ325" s="284" t="n"/>
      <c r="AR325" s="284" t="n"/>
      <c r="AS325" s="284" t="n"/>
    </row>
    <row r="326">
      <c r="A326" s="180" t="n">
        <v>25</v>
      </c>
      <c r="B326" s="184" t="inlineStr">
        <is>
          <t>Layanan monitoring dan evaluasi</t>
        </is>
      </c>
      <c r="C326" t="inlineStr">
        <is>
          <t>RSUD MAJALAYA</t>
        </is>
      </c>
      <c r="D326" s="184"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326" s="184" t="inlineStr">
        <is>
          <t>Permendagri Nomor 86 Tahun 2017: Peraturan menteri ini merupakan dasar utama tentang Tata Cara Perencanaan, Pengendalian, dan Evaluasi Pembangunan Daerah</t>
        </is>
      </c>
      <c r="F326" s="288" t="n"/>
      <c r="G326" s="184" t="inlineStr">
        <is>
          <t>MONITORING DAN EVALUASI ANGGARAN</t>
        </is>
      </c>
      <c r="H326" s="184" t="inlineStr">
        <is>
          <t>Instansi Pemerintah Lainnya</t>
        </is>
      </c>
      <c r="I326" s="184"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326" s="184" t="inlineStr">
        <is>
          <t>Laporan Evaluasi RKPD, Rekapitulasi Capaian Kinerja Perangkat Daerah</t>
        </is>
      </c>
      <c r="K326" s="184" t="inlineStr">
        <is>
          <t>Terbuka</t>
        </is>
      </c>
      <c r="L326" s="184" t="inlineStr">
        <is>
          <t>Tidak terdapat</t>
        </is>
      </c>
      <c r="M326" s="184" t="inlineStr">
        <is>
          <t>Bulanan</t>
        </is>
      </c>
      <c r="N326" s="130" t="inlineStr">
        <is>
          <t>Sidalmonep</t>
        </is>
      </c>
      <c r="O326" s="184" t="inlineStr">
        <is>
          <t>OPD</t>
        </is>
      </c>
      <c r="P326" s="184" t="inlineStr">
        <is>
          <t>Kab. Bandung</t>
        </is>
      </c>
      <c r="Q326" s="184" t="inlineStr">
        <is>
          <t>Website</t>
        </is>
      </c>
      <c r="R326" s="131" t="inlineStr">
        <is>
          <t>https://sidalmonep.bandungkab.go.id/app</t>
        </is>
      </c>
      <c r="S326" s="184" t="inlineStr">
        <is>
          <t>Secara Online</t>
        </is>
      </c>
      <c r="T326" s="184" t="inlineStr">
        <is>
          <t>Informasi</t>
        </is>
      </c>
      <c r="U326" s="288" t="n"/>
      <c r="V326" s="184" t="inlineStr">
        <is>
          <t>Aktif</t>
        </is>
      </c>
      <c r="W326" s="184" t="inlineStr">
        <is>
          <t>Ya</t>
        </is>
      </c>
      <c r="X326" s="184" t="inlineStr">
        <is>
          <t>e-lkpj</t>
        </is>
      </c>
      <c r="Y326" s="288" t="n"/>
      <c r="Z326" s="288" t="n"/>
      <c r="AA326" s="184" t="inlineStr">
        <is>
          <t>Bagian Perencanaan dan Kehumasan</t>
        </is>
      </c>
      <c r="AB326" s="184" t="inlineStr">
        <is>
          <t>Bapperida</t>
        </is>
      </c>
      <c r="AC326" s="184" t="inlineStr">
        <is>
          <t>Dadang Hermawan, S.T</t>
        </is>
      </c>
      <c r="AD326" s="184" t="n">
        <v>88901612437</v>
      </c>
      <c r="AE326" s="184" t="inlineStr">
        <is>
          <t>rsudmajalaya.program@gmail.com</t>
        </is>
      </c>
      <c r="AF326" s="288" t="n"/>
      <c r="AG326" s="184" t="inlineStr">
        <is>
          <t>Bulanan</t>
        </is>
      </c>
      <c r="AH326" s="284" t="n"/>
      <c r="AI326" s="284" t="n"/>
      <c r="AJ326" s="284" t="n"/>
      <c r="AK326" s="284" t="n"/>
      <c r="AL326" s="284" t="n"/>
      <c r="AM326" s="284" t="n"/>
      <c r="AN326" s="284" t="n"/>
      <c r="AO326" s="284" t="n"/>
      <c r="AP326" s="284" t="n"/>
      <c r="AQ326" s="284" t="n"/>
      <c r="AR326" s="284" t="n"/>
      <c r="AS326" s="284" t="n"/>
    </row>
    <row r="327">
      <c r="A327" s="180" t="n">
        <v>26</v>
      </c>
      <c r="B327" s="184" t="inlineStr">
        <is>
          <t>Layanan survey kepuasan masyarakat</t>
        </is>
      </c>
      <c r="C327" t="inlineStr">
        <is>
          <t>RSUD MAJALAYA</t>
        </is>
      </c>
      <c r="D327" s="17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327" s="184" t="inlineStr">
        <is>
          <t>-Peraturan Pemerintah Nomor 96 Tahun 2012 tentang Pelaksanaan Undang-undang Nomor 25 Tahun 2009 tentang Pelayanan Publik
 -Peraturan Menteri PANRB No. 14 Tahun 2017 tentang Pedoman Penyusunan Survei Kepuasan Masyarakat (SKM)</t>
        </is>
      </c>
      <c r="F327" s="288" t="n"/>
      <c r="G327" s="184" t="inlineStr">
        <is>
          <t>INFORMASI DAN DIPLOMASI PUBLIK</t>
        </is>
      </c>
      <c r="H327" s="184" t="inlineStr">
        <is>
          <t>Masyarakat</t>
        </is>
      </c>
      <c r="I327" s="184" t="inlineStr">
        <is>
          <t>Hasil Responden Survey Kepuasan Masyarakat (SKM)</t>
        </is>
      </c>
      <c r="J327" s="178" t="inlineStr">
        <is>
          <t>Laporan dan Hasil rekapan SKM</t>
        </is>
      </c>
      <c r="K327" s="184" t="inlineStr">
        <is>
          <t>Terbuka</t>
        </is>
      </c>
      <c r="L327" s="184" t="inlineStr">
        <is>
          <t>Terdapat</t>
        </is>
      </c>
      <c r="M327" s="184" t="inlineStr">
        <is>
          <t>Bulanan</t>
        </is>
      </c>
      <c r="N327" s="130" t="inlineStr">
        <is>
          <t>E-SKM</t>
        </is>
      </c>
      <c r="O327" s="184" t="inlineStr">
        <is>
          <t>OPD</t>
        </is>
      </c>
      <c r="P327" s="184" t="inlineStr">
        <is>
          <t>Kab. Bandung</t>
        </is>
      </c>
      <c r="Q327" s="184" t="inlineStr">
        <is>
          <t>Website</t>
        </is>
      </c>
      <c r="R327" s="131" t="inlineStr">
        <is>
          <t>https://skm.bandungkab.go.id/</t>
        </is>
      </c>
      <c r="S327" s="184" t="inlineStr">
        <is>
          <t>Secara Online</t>
        </is>
      </c>
      <c r="T327" s="184" t="inlineStr">
        <is>
          <t>Informasi</t>
        </is>
      </c>
      <c r="U327" s="288" t="n"/>
      <c r="V327" s="184" t="inlineStr">
        <is>
          <t>Aktif</t>
        </is>
      </c>
      <c r="W327" s="184" t="inlineStr">
        <is>
          <t>Tidak</t>
        </is>
      </c>
      <c r="X327" s="184" t="inlineStr">
        <is>
          <t>Tidak Terintegrasi</t>
        </is>
      </c>
      <c r="Y327" s="184" t="inlineStr">
        <is>
          <t>Tidak Terintegrasi</t>
        </is>
      </c>
      <c r="Z327" s="184" t="inlineStr">
        <is>
          <t>Tidak Terintegrasi</t>
        </is>
      </c>
      <c r="AA327" s="184" t="inlineStr">
        <is>
          <t>Bagian Perencanaan dan Kehumasan</t>
        </is>
      </c>
      <c r="AB327" s="184" t="inlineStr">
        <is>
          <t>Setda</t>
        </is>
      </c>
      <c r="AC327" s="184" t="inlineStr">
        <is>
          <t>Krisna Aji Putra, S.I.Kom</t>
        </is>
      </c>
      <c r="AD327" s="184" t="n">
        <v>82118454036</v>
      </c>
      <c r="AE327" s="184" t="inlineStr">
        <is>
          <t>humasrsudmajalaya1@gmail.com</t>
        </is>
      </c>
      <c r="AF327" s="288" t="n"/>
      <c r="AG327" s="184" t="inlineStr">
        <is>
          <t>Setiap Saat</t>
        </is>
      </c>
      <c r="AH327" s="284" t="n"/>
      <c r="AI327" s="284" t="n"/>
      <c r="AJ327" s="284" t="n"/>
      <c r="AK327" s="284" t="n"/>
      <c r="AL327" s="284" t="n"/>
      <c r="AM327" s="284" t="n"/>
      <c r="AN327" s="284" t="n"/>
      <c r="AO327" s="284" t="n"/>
      <c r="AP327" s="284" t="n"/>
      <c r="AQ327" s="284" t="n"/>
      <c r="AR327" s="284" t="n"/>
      <c r="AS327" s="284" t="n"/>
    </row>
    <row r="328">
      <c r="A328" s="180" t="n">
        <v>27</v>
      </c>
      <c r="B328" s="184" t="inlineStr">
        <is>
          <t>Layanan informasi pelayanan publik</t>
        </is>
      </c>
      <c r="C328" t="inlineStr">
        <is>
          <t>RSUD MAJALAYA</t>
        </is>
      </c>
      <c r="D328" s="178" t="inlineStr">
        <is>
          <t>mempermudah masyarakat mengakses informasi layanan publik secara terpadu, transparan, dan akuntabel. Fungsi utamanya adalah mengintegrasikan data standar pelayanan (syarat, prosedur, waktu, biaya) dari berbagai instansi pemerintah</t>
        </is>
      </c>
      <c r="E328" s="184" t="inlineStr">
        <is>
          <t>-Peraturan Pemerintah Nomor 96 Tahun 2012 tentang Pelaksanaan Undang-undang Nomor 25 Tahun 2009 tentang Pelayanan Publik
 -Peraturan Menteri PANRB No. 14 Tahun 2017 tentang Pedoman Penyusunan Survei Kepuasan Masyarakat (SKM)</t>
        </is>
      </c>
      <c r="F328" s="288" t="n"/>
      <c r="G328" s="184" t="inlineStr">
        <is>
          <t>INFORMASI DAN DIPLOMASI PUBLIK</t>
        </is>
      </c>
      <c r="H328" s="184" t="inlineStr">
        <is>
          <t>Instansi Pemerintah Lainnya</t>
        </is>
      </c>
      <c r="I328" s="184" t="inlineStr">
        <is>
          <t>Identitas Instansi, Standar Pelayanan, Informasi Tambahan</t>
        </is>
      </c>
      <c r="J328" s="184" t="inlineStr">
        <is>
          <t>Informasi komprehensif mengenai penyelanggaraan pelayanan publik oleh instansi pemerintah</t>
        </is>
      </c>
      <c r="K328" s="184" t="inlineStr">
        <is>
          <t>Terbuka</t>
        </is>
      </c>
      <c r="L328" s="184" t="inlineStr">
        <is>
          <t>Tidak terdapat</t>
        </is>
      </c>
      <c r="M328" s="184" t="inlineStr">
        <is>
          <t>Lainnya</t>
        </is>
      </c>
      <c r="N328" s="130" t="inlineStr">
        <is>
          <t>SIPPN</t>
        </is>
      </c>
      <c r="O328" s="184" t="inlineStr">
        <is>
          <t>Pusat</t>
        </is>
      </c>
      <c r="P328" s="184" t="inlineStr">
        <is>
          <t>Pusat</t>
        </is>
      </c>
      <c r="Q328" s="184" t="inlineStr">
        <is>
          <t>Website</t>
        </is>
      </c>
      <c r="R328" s="131" t="inlineStr">
        <is>
          <t>https://sippn.menpan.go.id/</t>
        </is>
      </c>
      <c r="S328" s="184" t="inlineStr">
        <is>
          <t>Secara Online</t>
        </is>
      </c>
      <c r="T328" s="184" t="inlineStr">
        <is>
          <t>Informasi</t>
        </is>
      </c>
      <c r="U328" s="288" t="n"/>
      <c r="V328" s="184" t="inlineStr">
        <is>
          <t>Aktif</t>
        </is>
      </c>
      <c r="W328" s="184" t="inlineStr">
        <is>
          <t>Tidak</t>
        </is>
      </c>
      <c r="X328" s="184" t="inlineStr">
        <is>
          <t>Tidak Terintegrasi</t>
        </is>
      </c>
      <c r="Y328" s="184" t="inlineStr">
        <is>
          <t>Tidak Terintegrasi</t>
        </is>
      </c>
      <c r="Z328" s="184" t="inlineStr">
        <is>
          <t>Tidak Terintegrasi</t>
        </is>
      </c>
      <c r="AA328" s="184" t="inlineStr">
        <is>
          <t>Bagian Perencanaan dan Kehumasan</t>
        </is>
      </c>
      <c r="AB328" s="184" t="inlineStr">
        <is>
          <t>Dinkes</t>
        </is>
      </c>
      <c r="AC328" s="184" t="inlineStr">
        <is>
          <t>Krisna Aji Putra, S.I.Kom</t>
        </is>
      </c>
      <c r="AD328" s="184" t="n">
        <v>82118454036</v>
      </c>
      <c r="AE328" s="184" t="inlineStr">
        <is>
          <t>humasrsudmajalaya1@gmail.com</t>
        </is>
      </c>
      <c r="AF328" s="288" t="n"/>
      <c r="AG328" s="184" t="inlineStr">
        <is>
          <t>Insidentil</t>
        </is>
      </c>
      <c r="AH328" s="284" t="n"/>
      <c r="AI328" s="284" t="n"/>
      <c r="AJ328" s="284" t="n"/>
      <c r="AK328" s="284" t="n"/>
      <c r="AL328" s="284" t="n"/>
      <c r="AM328" s="284" t="n"/>
      <c r="AN328" s="284" t="n"/>
      <c r="AO328" s="284" t="n"/>
      <c r="AP328" s="284" t="n"/>
      <c r="AQ328" s="284" t="n"/>
      <c r="AR328" s="284" t="n"/>
      <c r="AS328" s="284" t="n"/>
    </row>
    <row r="329">
      <c r="A329" s="180" t="n">
        <v>28</v>
      </c>
      <c r="B329" s="184" t="inlineStr">
        <is>
          <t>Layanan Pengaduan Masyarakat</t>
        </is>
      </c>
      <c r="C329" t="inlineStr">
        <is>
          <t>RSUD MAJALAYA</t>
        </is>
      </c>
      <c r="D329" s="17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329" s="184" t="inlineStr">
        <is>
          <t>-Undang-Undang Nomor 25 Tahun 2009 tentang Pelayanan Publik
 -Peraturan Presiden Nomor 76 Tahun 2013 tentang Pengelolaan Pengaduan Pelayanan Publik, dan 
 -Peraturan Menteri PANRB Nomor 3 Tahun 2015</t>
        </is>
      </c>
      <c r="F329" s="288" t="n"/>
      <c r="G329" s="184" t="inlineStr">
        <is>
          <t>INFORMASI DAN DIPLOMASI PUBLIK</t>
        </is>
      </c>
      <c r="H329" s="184" t="inlineStr">
        <is>
          <t>Masyarakat</t>
        </is>
      </c>
      <c r="I329" s="184" t="inlineStr">
        <is>
          <t>Laporan Pengaduan yang telah di disposisikan dari pemda ke OPD</t>
        </is>
      </c>
      <c r="J329" s="178" t="inlineStr">
        <is>
          <t>Pengaduan yang telah di tindak lanjut</t>
        </is>
      </c>
      <c r="K329" s="184" t="inlineStr">
        <is>
          <t>Terbatas</t>
        </is>
      </c>
      <c r="L329" s="184" t="inlineStr">
        <is>
          <t>Terdapat</t>
        </is>
      </c>
      <c r="M329" s="184" t="inlineStr">
        <is>
          <t>Lainnya</t>
        </is>
      </c>
      <c r="N329" s="130" t="inlineStr">
        <is>
          <t>SP4N Lapor</t>
        </is>
      </c>
      <c r="O329" s="184" t="inlineStr">
        <is>
          <t>Pusat</t>
        </is>
      </c>
      <c r="P329" s="184" t="inlineStr">
        <is>
          <t>Pusat</t>
        </is>
      </c>
      <c r="Q329" s="184" t="inlineStr">
        <is>
          <t>Website</t>
        </is>
      </c>
      <c r="R329" s="131" t="inlineStr">
        <is>
          <t>https://www.lapor.go.id/</t>
        </is>
      </c>
      <c r="S329" s="184" t="inlineStr">
        <is>
          <t>Secara Online</t>
        </is>
      </c>
      <c r="T329" s="184" t="inlineStr">
        <is>
          <t>Informasi</t>
        </is>
      </c>
      <c r="U329" s="288" t="n"/>
      <c r="V329" s="184" t="inlineStr">
        <is>
          <t>Aktif</t>
        </is>
      </c>
      <c r="W329" s="184" t="inlineStr">
        <is>
          <t>Tidak</t>
        </is>
      </c>
      <c r="X329" s="184" t="inlineStr">
        <is>
          <t>Tidak Terintegrasi</t>
        </is>
      </c>
      <c r="Y329" s="184" t="inlineStr">
        <is>
          <t>Tidak Terintegrasi</t>
        </is>
      </c>
      <c r="Z329" s="184" t="inlineStr">
        <is>
          <t>Tidak Terintegrasi</t>
        </is>
      </c>
      <c r="AA329" s="184" t="inlineStr">
        <is>
          <t>Bagian Perencanaan dan Kehumasan</t>
        </is>
      </c>
      <c r="AB329" s="184" t="inlineStr">
        <is>
          <t>Diskominfo</t>
        </is>
      </c>
      <c r="AC329" s="184" t="inlineStr">
        <is>
          <t>Krisna Aji Putra, S.I.Kom</t>
        </is>
      </c>
      <c r="AD329" s="184" t="n">
        <v>82118454036</v>
      </c>
      <c r="AE329" s="184" t="inlineStr">
        <is>
          <t>humasrsudmajalaya1@gmail.com</t>
        </is>
      </c>
      <c r="AF329" s="288" t="n"/>
      <c r="AG329" s="184" t="inlineStr">
        <is>
          <t>Insidentil</t>
        </is>
      </c>
      <c r="AH329" s="284" t="n"/>
      <c r="AI329" s="284" t="n"/>
      <c r="AJ329" s="284" t="n"/>
      <c r="AK329" s="284" t="n"/>
      <c r="AL329" s="284" t="n"/>
      <c r="AM329" s="284" t="n"/>
      <c r="AN329" s="284" t="n"/>
      <c r="AO329" s="284" t="n"/>
      <c r="AP329" s="284" t="n"/>
      <c r="AQ329" s="284" t="n"/>
      <c r="AR329" s="284" t="n"/>
      <c r="AS329" s="284" t="n"/>
    </row>
    <row r="330">
      <c r="A330" s="180" t="n">
        <v>29</v>
      </c>
      <c r="B330" s="184" t="inlineStr">
        <is>
          <t>Layanan informasi perangkat daerah</t>
        </is>
      </c>
      <c r="C330" t="inlineStr">
        <is>
          <t>RSUD MAJALAYA</t>
        </is>
      </c>
      <c r="D330" s="178" t="inlineStr">
        <is>
          <t>menjamin hak warga negara atas informasi, mendorong transparansi, akuntabilitas, dan partisipasi publik di badan publik. Fungsinya meliputi pengelolaan, penyimpanan, pendokumentasian, serta penyediaan layanan informasi yang cepat, tepat, dan sederhana</t>
        </is>
      </c>
      <c r="E330" s="184" t="inlineStr">
        <is>
          <t>Undang-Undang Nomor 14 Tahun 2008 tentang Keterbukaan Informasi Publik (UU KIP)</t>
        </is>
      </c>
      <c r="F330" s="288" t="n"/>
      <c r="G330" s="184" t="inlineStr">
        <is>
          <t>INFORMASI DAN DIPLOMASI PUBLIK</t>
        </is>
      </c>
      <c r="H330" s="184" t="inlineStr">
        <is>
          <t>Masyarakat</t>
        </is>
      </c>
      <c r="I330" s="184" t="inlineStr">
        <is>
          <t>Informasi Keseluruhan pelayanan publik</t>
        </is>
      </c>
      <c r="J330" s="178" t="inlineStr">
        <is>
          <t>dokumen organisasi, anggaran, laporan tahunan, serta perizinan</t>
        </is>
      </c>
      <c r="K330" s="184" t="inlineStr">
        <is>
          <t>Terbuka</t>
        </is>
      </c>
      <c r="L330" s="184" t="inlineStr">
        <is>
          <t>Tidak terdapat</t>
        </is>
      </c>
      <c r="M330" s="184" t="inlineStr">
        <is>
          <t>Lainnya</t>
        </is>
      </c>
      <c r="N330" s="130" t="inlineStr">
        <is>
          <t>PPID</t>
        </is>
      </c>
      <c r="O330" s="184" t="inlineStr">
        <is>
          <t>Diskominfo</t>
        </is>
      </c>
      <c r="P330" s="184" t="inlineStr">
        <is>
          <t>Kab. Bandung</t>
        </is>
      </c>
      <c r="Q330" s="184" t="inlineStr">
        <is>
          <t>Website</t>
        </is>
      </c>
      <c r="R330" s="131" t="inlineStr">
        <is>
          <t>https://ppid.bandungkab.go.id/dashboard</t>
        </is>
      </c>
      <c r="S330" s="184" t="inlineStr">
        <is>
          <t>Secara Online</t>
        </is>
      </c>
      <c r="T330" s="184" t="inlineStr">
        <is>
          <t>Informasi</t>
        </is>
      </c>
      <c r="U330" s="288" t="n"/>
      <c r="V330" s="184" t="inlineStr">
        <is>
          <t>Aktif</t>
        </is>
      </c>
      <c r="W330" s="184" t="inlineStr">
        <is>
          <t>Tidak</t>
        </is>
      </c>
      <c r="X330" s="184" t="inlineStr">
        <is>
          <t>Tidak Terintegrasi</t>
        </is>
      </c>
      <c r="Y330" s="184" t="inlineStr">
        <is>
          <t>Tidak Terintegrasi</t>
        </is>
      </c>
      <c r="Z330" s="184" t="inlineStr">
        <is>
          <t>Tidak Terintegrasi</t>
        </is>
      </c>
      <c r="AA330" s="184" t="inlineStr">
        <is>
          <t>Bagian Perencanaan dan Kehumasan</t>
        </is>
      </c>
      <c r="AB330" s="184" t="inlineStr">
        <is>
          <t>Diskominfo</t>
        </is>
      </c>
      <c r="AC330" s="184" t="inlineStr">
        <is>
          <t>Krisna Aji Putra, S.I.Kom</t>
        </is>
      </c>
      <c r="AD330" s="184" t="n">
        <v>82118454036</v>
      </c>
      <c r="AE330" s="184" t="inlineStr">
        <is>
          <t>humasrsudmajalaya1@gmail.com</t>
        </is>
      </c>
      <c r="AF330" s="288" t="n"/>
      <c r="AG330" s="184" t="inlineStr">
        <is>
          <t>Insidentil</t>
        </is>
      </c>
      <c r="AH330" s="284" t="n"/>
      <c r="AI330" s="284" t="n"/>
      <c r="AJ330" s="284" t="n"/>
      <c r="AK330" s="284" t="n"/>
      <c r="AL330" s="284" t="n"/>
      <c r="AM330" s="284" t="n"/>
      <c r="AN330" s="284" t="n"/>
      <c r="AO330" s="284" t="n"/>
      <c r="AP330" s="284" t="n"/>
      <c r="AQ330" s="284" t="n"/>
      <c r="AR330" s="284" t="n"/>
      <c r="AS330" s="284" t="n"/>
    </row>
    <row r="331">
      <c r="A331" s="180" t="n">
        <v>30</v>
      </c>
      <c r="B331" s="184" t="inlineStr">
        <is>
          <t>Layanan informasi inovasi perangkat daerah</t>
        </is>
      </c>
      <c r="C331" t="inlineStr">
        <is>
          <t>RSUD MAJALAYA</t>
        </is>
      </c>
      <c r="D331" s="178" t="inlineStr">
        <is>
          <t>mengoptimalkan pengelolaan, pendokumentasian, dan penyebarluasan hasil penelitian serta inovasi daerah secara digital guna mendukung pengambilan kebijakan berbasis data dan berungsi sebagai tempat penyimpanan data dan kelengkapan satuan inovasi yang ditetapkan oleh Kemendagri</t>
        </is>
      </c>
      <c r="E331" s="184" t="inlineStr">
        <is>
          <t>- Peraturan BRIN Nomor 5 Tahun 2023: Mengatur tentang tata kelola data riset dan inovasi, termasuk penggunaan aplikasi untuk monitoring dan evaluasi kelitbangan daerah.
 - Peraturan Presiden (Perpres) Nomor 78 Tahun 2021 tentang BRIN: Menetapkan BRIN sebagai lembaga yang mengintegrasikan penelitian, pengembangan, pengkajian, penerapan, serta invensi dan inovasi</t>
        </is>
      </c>
      <c r="F331" s="288" t="n"/>
      <c r="G331" s="184" t="inlineStr">
        <is>
          <t>INFORMASI DAN DIPLOMASI PUBLIK</t>
        </is>
      </c>
      <c r="H331" s="184" t="inlineStr">
        <is>
          <t>Instansi Pemerintah Lainnya</t>
        </is>
      </c>
      <c r="I331" s="184" t="inlineStr">
        <is>
          <t>Inovasi yang terdaftar di APIK</t>
        </is>
      </c>
      <c r="J331" s="178" t="inlineStr">
        <is>
          <t>Data Inovasi</t>
        </is>
      </c>
      <c r="K331" s="184" t="inlineStr">
        <is>
          <t>Terbuka</t>
        </is>
      </c>
      <c r="L331" s="184" t="inlineStr">
        <is>
          <t>Tidak terdapat</t>
        </is>
      </c>
      <c r="M331" s="184" t="inlineStr">
        <is>
          <t>Lainnya</t>
        </is>
      </c>
      <c r="N331" s="130" t="inlineStr">
        <is>
          <t>APIK</t>
        </is>
      </c>
      <c r="O331" s="184" t="inlineStr">
        <is>
          <t>OPD</t>
        </is>
      </c>
      <c r="P331" s="184" t="inlineStr">
        <is>
          <t>Kab. Bandung</t>
        </is>
      </c>
      <c r="Q331" s="184" t="inlineStr">
        <is>
          <t>Website</t>
        </is>
      </c>
      <c r="R331" s="131" t="inlineStr">
        <is>
          <t>https://apik.bandungkab.go.id/apik/login</t>
        </is>
      </c>
      <c r="S331" s="184" t="inlineStr">
        <is>
          <t>Secara Online</t>
        </is>
      </c>
      <c r="T331" s="184" t="inlineStr">
        <is>
          <t>Informasi</t>
        </is>
      </c>
      <c r="U331" s="288" t="n"/>
      <c r="V331" s="184" t="inlineStr">
        <is>
          <t>Aktif</t>
        </is>
      </c>
      <c r="W331" s="184" t="inlineStr">
        <is>
          <t>Tidak</t>
        </is>
      </c>
      <c r="X331" s="184" t="inlineStr">
        <is>
          <t>Tidak Terintegrasi</t>
        </is>
      </c>
      <c r="Y331" s="184" t="inlineStr">
        <is>
          <t>Tidak Terintegrasi</t>
        </is>
      </c>
      <c r="Z331" s="184" t="inlineStr">
        <is>
          <t>Tidak Terintegrasi</t>
        </is>
      </c>
      <c r="AA331" s="184" t="inlineStr">
        <is>
          <t>Bagian Perencanaan dan Kehumasan</t>
        </is>
      </c>
      <c r="AB331" s="184" t="inlineStr">
        <is>
          <t>Bapperida</t>
        </is>
      </c>
      <c r="AC331" s="184" t="inlineStr">
        <is>
          <t>Krisna Aji Putra, S.I.Kom</t>
        </is>
      </c>
      <c r="AD331" s="184" t="n">
        <v>82118454036</v>
      </c>
      <c r="AE331" s="184" t="inlineStr">
        <is>
          <t>humasrsudmajalaya1@gmail.com</t>
        </is>
      </c>
      <c r="AF331" s="288" t="n"/>
      <c r="AG331" s="184" t="inlineStr">
        <is>
          <t>Insidentil</t>
        </is>
      </c>
      <c r="AH331" s="284" t="n"/>
      <c r="AI331" s="284" t="n"/>
      <c r="AJ331" s="284" t="n"/>
      <c r="AK331" s="284" t="n"/>
      <c r="AL331" s="284" t="n"/>
      <c r="AM331" s="284" t="n"/>
      <c r="AN331" s="284" t="n"/>
      <c r="AO331" s="284" t="n"/>
      <c r="AP331" s="284" t="n"/>
      <c r="AQ331" s="284" t="n"/>
      <c r="AR331" s="284" t="n"/>
      <c r="AS331" s="284" t="n"/>
    </row>
    <row r="332">
      <c r="A332" s="180" t="n">
        <v>31</v>
      </c>
      <c r="B332" s="184" t="inlineStr">
        <is>
          <t>Layanan informasi mutu fasilitas layanan kesehatan</t>
        </is>
      </c>
      <c r="C332" t="inlineStr">
        <is>
          <t>RSUD MAJALAYA</t>
        </is>
      </c>
      <c r="D332" s="178" t="inlineStr">
        <is>
          <t>untuk mengumpulkan dan memantau data kualitas pelayanan kesehatan secara terintegrasi, sehingga dapat digunakan untuk evaluasi, peningkatan mutu, dan pengambilan kebijakan di bidang kesehatan.</t>
        </is>
      </c>
      <c r="E332"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332" s="288" t="n"/>
      <c r="G332" s="184" t="inlineStr">
        <is>
          <t>PENGELOLAAN PELAYANAN KESEHATAN</t>
        </is>
      </c>
      <c r="H332" s="184" t="inlineStr">
        <is>
          <t>Instansi Pemerintah Lainnya</t>
        </is>
      </c>
      <c r="I332" s="178" t="inlineStr">
        <is>
          <t>1. Indikator Mutu Nasional 
 2. Pelaporan HAIS
 3. Pelaporan Insiden Keselamatan Pasien</t>
        </is>
      </c>
      <c r="J332" s="178" t="inlineStr">
        <is>
          <t>Data Monitoring dan Evaluasi</t>
        </is>
      </c>
      <c r="K332" s="184" t="inlineStr">
        <is>
          <t>Terbatas</t>
        </is>
      </c>
      <c r="L332" s="184" t="inlineStr">
        <is>
          <t>Tidak terdapat</t>
        </is>
      </c>
      <c r="M332" s="184" t="inlineStr">
        <is>
          <t>Bulanan</t>
        </is>
      </c>
      <c r="N332" s="130" t="inlineStr">
        <is>
          <t>MUTU FASYANKES</t>
        </is>
      </c>
      <c r="O332" s="184" t="inlineStr">
        <is>
          <t>Pusat</t>
        </is>
      </c>
      <c r="P332" s="184" t="inlineStr">
        <is>
          <t>Pusat</t>
        </is>
      </c>
      <c r="Q332" s="184" t="inlineStr">
        <is>
          <t>Website</t>
        </is>
      </c>
      <c r="R332" s="223" t="inlineStr">
        <is>
          <t>https://mutufasyankes.kemkes.go.id/</t>
        </is>
      </c>
      <c r="S332" s="184" t="inlineStr">
        <is>
          <t>Secara Online</t>
        </is>
      </c>
      <c r="T332" s="184" t="inlineStr">
        <is>
          <t>Informasi</t>
        </is>
      </c>
      <c r="U332" s="288" t="n"/>
      <c r="V332" s="184" t="inlineStr">
        <is>
          <t>Aktif</t>
        </is>
      </c>
      <c r="W332" s="288" t="n"/>
      <c r="X332" s="288" t="n"/>
      <c r="Y332" s="288" t="n"/>
      <c r="Z332" s="288" t="n"/>
      <c r="AA332" s="184" t="inlineStr">
        <is>
          <t>Komite Mutu</t>
        </is>
      </c>
      <c r="AB332" s="184" t="inlineStr">
        <is>
          <t>Dinkes</t>
        </is>
      </c>
      <c r="AC332" s="131" t="inlineStr">
        <is>
          <t>Endah Mawarni, A.Md.Kes</t>
        </is>
      </c>
      <c r="AD332" s="184" t="n">
        <v>8812229285</v>
      </c>
      <c r="AE332" s="184" t="inlineStr">
        <is>
          <t>komite.pmkp.rsudmajalaya@gmail.com</t>
        </is>
      </c>
      <c r="AF332" s="288" t="n"/>
      <c r="AG332" s="184" t="inlineStr">
        <is>
          <t>Bulanan</t>
        </is>
      </c>
      <c r="AH332" s="284" t="n"/>
      <c r="AI332" s="284" t="n"/>
      <c r="AJ332" s="284" t="n"/>
      <c r="AK332" s="284" t="n"/>
      <c r="AL332" s="284" t="n"/>
      <c r="AM332" s="284" t="n"/>
      <c r="AN332" s="284" t="n"/>
      <c r="AO332" s="284" t="n"/>
      <c r="AP332" s="284" t="n"/>
      <c r="AQ332" s="284" t="n"/>
      <c r="AR332" s="284" t="n"/>
      <c r="AS332" s="284" t="n"/>
    </row>
    <row r="333">
      <c r="A333" s="180" t="n">
        <v>32</v>
      </c>
      <c r="B333" s="184" t="inlineStr">
        <is>
          <t>Layanan manajemen data fasilitas kesehatan</t>
        </is>
      </c>
      <c r="C333" t="inlineStr">
        <is>
          <t>RSUD MAJALAYA</t>
        </is>
      </c>
      <c r="D333" s="67" t="inlineStr">
        <is>
          <t>database dan sistem manajemen data fasilitas kesehatan yang bekerja sama dengan BPJS Kesehatan untuk mendukung pelayanan peserta BPJS</t>
        </is>
      </c>
      <c r="E333"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333" s="288" t="n"/>
      <c r="G333" s="184" t="inlineStr">
        <is>
          <t>PENGELOLAAN PELAYANAN KESEHATAN</t>
        </is>
      </c>
      <c r="H333" s="184" t="inlineStr">
        <is>
          <t>Instansi Pemerintah Lainnya</t>
        </is>
      </c>
      <c r="I333" s="178" t="inlineStr">
        <is>
          <t>1. Data Identitas Fasilitas Kesehatan
 2. Data Perizinan dan Legalitas
 3. Data Tenaga Kesehatan
 4. Data Sarana dan Prasarana
 5. Data Jenis Layanan Kesehatan
 6. Data Kapasitas Pelayanan
 7. Data Kerja Sama dengan BPJS
 8. Dokumen Pendukung</t>
        </is>
      </c>
      <c r="J333" s="178" t="inlineStr">
        <is>
          <t>1. Profil Fasilitas Kesehatan
 2. Data Sebaran Fasilitas Kesehatan
 3. Data Tenaga Kesehatan
 4. Data Sarana dan Prasarana
 5. Data Jenis dan Kapasitas Layanan
 6. Status dan Riwayat Kerja Sama
 7. Laporan dan Monitoring Fasilitas Kesehatan</t>
        </is>
      </c>
      <c r="K333" s="184" t="inlineStr">
        <is>
          <t>Terbatas</t>
        </is>
      </c>
      <c r="L333" s="184" t="inlineStr">
        <is>
          <t>Terdapat</t>
        </is>
      </c>
      <c r="M333" s="184" t="inlineStr">
        <is>
          <t>Lainnya</t>
        </is>
      </c>
      <c r="N333" s="130" t="inlineStr">
        <is>
          <t>HFIS BPJS</t>
        </is>
      </c>
      <c r="O333" s="184" t="inlineStr">
        <is>
          <t>Pusat</t>
        </is>
      </c>
      <c r="P333" s="184" t="inlineStr">
        <is>
          <t>Pusat</t>
        </is>
      </c>
      <c r="Q333" s="184" t="inlineStr">
        <is>
          <t>Website</t>
        </is>
      </c>
      <c r="R333" s="223" t="inlineStr">
        <is>
          <t>:Health Facilities Information System (H.F.I.S):</t>
        </is>
      </c>
      <c r="S333" s="184" t="inlineStr">
        <is>
          <t>Secara Online</t>
        </is>
      </c>
      <c r="T333" s="184" t="inlineStr">
        <is>
          <t>Informasi</t>
        </is>
      </c>
      <c r="U333" s="288" t="n"/>
      <c r="V333" s="184" t="inlineStr">
        <is>
          <t>Aktif</t>
        </is>
      </c>
      <c r="W333" s="184" t="inlineStr">
        <is>
          <t>Ya</t>
        </is>
      </c>
      <c r="X333" s="184" t="inlineStr">
        <is>
          <t>Mobile JKN</t>
        </is>
      </c>
      <c r="Y333" s="184" t="inlineStr">
        <is>
          <t>Database to Database</t>
        </is>
      </c>
      <c r="Z333" s="184" t="inlineStr">
        <is>
          <t>Realtime</t>
        </is>
      </c>
      <c r="AA333" s="184" t="inlineStr">
        <is>
          <t>Bidang Pelayanan Medik</t>
        </is>
      </c>
      <c r="AB333" s="184" t="inlineStr">
        <is>
          <t>Dinkes</t>
        </is>
      </c>
      <c r="AC333" s="131" t="inlineStr">
        <is>
          <t>Endah Mawarni, A.Md.Kes</t>
        </is>
      </c>
      <c r="AD333" s="184" t="n">
        <v>8812229285</v>
      </c>
      <c r="AE333" s="131" t="inlineStr">
        <is>
          <t>hfisrs.rsudmajalaya@gmail.com</t>
        </is>
      </c>
      <c r="AF333" s="288" t="n"/>
      <c r="AG333" s="184" t="inlineStr">
        <is>
          <t>Insidentil</t>
        </is>
      </c>
      <c r="AH333" s="284" t="n"/>
      <c r="AI333" s="284" t="n"/>
      <c r="AJ333" s="284" t="n"/>
      <c r="AK333" s="284" t="n"/>
      <c r="AL333" s="284" t="n"/>
      <c r="AM333" s="284" t="n"/>
      <c r="AN333" s="284" t="n"/>
      <c r="AO333" s="284" t="n"/>
      <c r="AP333" s="284" t="n"/>
      <c r="AQ333" s="284" t="n"/>
      <c r="AR333" s="284" t="n"/>
      <c r="AS333" s="284" t="n"/>
    </row>
    <row r="334">
      <c r="A334" s="180" t="n">
        <v>33</v>
      </c>
      <c r="B334" s="178" t="inlineStr">
        <is>
          <t>Layanan manajemen data sarana prasarana alat kesehatan</t>
        </is>
      </c>
      <c r="C334" t="inlineStr">
        <is>
          <t>RSUD MAJALAYA</t>
        </is>
      </c>
      <c r="D334" s="224" t="inlineStr">
        <is>
          <t>sistem informasi berbasis web dari Kementerian Kesehatan untuk menghimpun data sarana, prasarana, dan alat kesehatan (SPA) di fasyankes</t>
        </is>
      </c>
      <c r="E334" s="225" t="inlineStr">
        <is>
          <t>Permenkes No. 31 Tahun 2018: Mengatur kewajiban pengisian, validasi, dan update data ASPAK oleh Fasyankes, Dinas Kesehatan Kabupaten/Kota, dan Dinas Kesehatan Provinsi</t>
        </is>
      </c>
      <c r="F334" s="288" t="n"/>
      <c r="G334" s="67" t="inlineStr">
        <is>
          <t>PENGELOLAAN PELAYANAN KESEHATAN</t>
        </is>
      </c>
      <c r="H334" s="184" t="inlineStr">
        <is>
          <t>Instansi Pemerintah Lainnya</t>
        </is>
      </c>
      <c r="I334" s="184" t="inlineStr">
        <is>
          <t>data sarana, prasarana, dan alat kesehatan (SPA) di fasyankes</t>
        </is>
      </c>
      <c r="J334" s="184" t="inlineStr">
        <is>
          <t>data sarana, prasarana, dan alat kesehatan (SPA) di fasyankes</t>
        </is>
      </c>
      <c r="K334" s="184" t="inlineStr">
        <is>
          <t>Tertutup</t>
        </is>
      </c>
      <c r="L334" s="184" t="inlineStr">
        <is>
          <t>Tidak terdapat</t>
        </is>
      </c>
      <c r="M334" s="184" t="inlineStr">
        <is>
          <t>Harian</t>
        </is>
      </c>
      <c r="N334" s="130" t="inlineStr">
        <is>
          <t>ASPAK</t>
        </is>
      </c>
      <c r="O334" s="184" t="inlineStr">
        <is>
          <t>Pusat</t>
        </is>
      </c>
      <c r="P334" s="184" t="inlineStr">
        <is>
          <t>Pusat</t>
        </is>
      </c>
      <c r="Q334" s="184" t="inlineStr">
        <is>
          <t>Website</t>
        </is>
      </c>
      <c r="R334" s="131" t="inlineStr">
        <is>
          <t>https://aspak.kemkes.go.id/aplikasi/site/index</t>
        </is>
      </c>
      <c r="S334" s="184" t="inlineStr">
        <is>
          <t>Secara Online</t>
        </is>
      </c>
      <c r="T334" s="184" t="inlineStr">
        <is>
          <t>Informasi</t>
        </is>
      </c>
      <c r="U334" s="184" t="n">
        <v>2018</v>
      </c>
      <c r="V334" s="184" t="inlineStr">
        <is>
          <t>Aktif</t>
        </is>
      </c>
      <c r="W334" s="67" t="inlineStr">
        <is>
          <t>Tidak</t>
        </is>
      </c>
      <c r="X334" s="184" t="inlineStr">
        <is>
          <t>tidak terintegrasi'</t>
        </is>
      </c>
      <c r="Y334" s="67" t="inlineStr">
        <is>
          <t>Tidak Terintegrasi</t>
        </is>
      </c>
      <c r="Z334" s="184" t="inlineStr">
        <is>
          <t>Tidak Terintegrasi</t>
        </is>
      </c>
      <c r="AA334" s="68" t="inlineStr">
        <is>
          <t>Bidang Pelayanan Medik</t>
        </is>
      </c>
      <c r="AB334" s="184" t="inlineStr">
        <is>
          <t>Dinkes</t>
        </is>
      </c>
      <c r="AC334" s="184" t="inlineStr">
        <is>
          <t>Sonia Dwi Octavianti</t>
        </is>
      </c>
      <c r="AD334" s="184" t="n">
        <v>85721324997</v>
      </c>
      <c r="AE334" s="288" t="n"/>
      <c r="AF334" s="288" t="n"/>
      <c r="AG334" s="68" t="inlineStr">
        <is>
          <t>Insidentil</t>
        </is>
      </c>
      <c r="AH334" s="284" t="n"/>
      <c r="AI334" s="284" t="n"/>
      <c r="AJ334" s="284" t="n"/>
      <c r="AK334" s="284" t="n"/>
      <c r="AL334" s="284" t="n"/>
      <c r="AM334" s="284" t="n"/>
      <c r="AN334" s="284" t="n"/>
      <c r="AO334" s="284" t="n"/>
      <c r="AP334" s="284" t="n"/>
      <c r="AQ334" s="284" t="n"/>
      <c r="AR334" s="284" t="n"/>
      <c r="AS334" s="284" t="n"/>
    </row>
    <row r="335">
      <c r="A335" s="180" t="n">
        <v>35</v>
      </c>
      <c r="B335" s="178" t="inlineStr">
        <is>
          <t>Layanan perencanaan BMD</t>
        </is>
      </c>
      <c r="C335" t="inlineStr">
        <is>
          <t>RSUD MAJALAYA</t>
        </is>
      </c>
      <c r="D335" s="226" t="inlineStr">
        <is>
          <t>RKBMD (Rencana Kebutuhan Barang Milik Daerah) Kabupaten Bandung adalah dokumen perencanaan strategis satu tahun yang disusun oleh Organisasi Perangkat Daerah (OPD) untuk merencanakan pengadaan, pemeliharaan, pemanfaatan, pemindahtanganan, dan penghapusan aset daerah</t>
        </is>
      </c>
      <c r="E335" s="225" t="inlineStr">
        <is>
          <t>Peraturan Menteri Dalam Negeri Nomor 7 Tahun 2024 tentang Pedoman Pengelolaan Barang Milik Daerah</t>
        </is>
      </c>
      <c r="F335" s="288" t="n"/>
      <c r="G335" s="288" t="n"/>
      <c r="H335" s="67" t="inlineStr">
        <is>
          <t>Instansi Pemerintah Lainnya</t>
        </is>
      </c>
      <c r="I335" s="226" t="inlineStr">
        <is>
          <t>perencanaan untuk pengadaan, pemeliharaan, pemanfaatan, pemindahtanganan, dan penghapusan</t>
        </is>
      </c>
      <c r="J335" s="67" t="inlineStr">
        <is>
          <t>perencanaan untuk pengadaan, pemeliharaan, pemanfaatan, pemindahtanganan, dan penghapusan</t>
        </is>
      </c>
      <c r="K335" s="184" t="inlineStr">
        <is>
          <t>Tertutup</t>
        </is>
      </c>
      <c r="L335" s="184" t="inlineStr">
        <is>
          <t>Tidak terdapat</t>
        </is>
      </c>
      <c r="M335" s="184" t="inlineStr">
        <is>
          <t>Tahunan</t>
        </is>
      </c>
      <c r="N335" s="130" t="inlineStr">
        <is>
          <t>RKBMD</t>
        </is>
      </c>
      <c r="O335" s="288" t="n"/>
      <c r="P335" s="184" t="inlineStr">
        <is>
          <t>Kab. Bandung</t>
        </is>
      </c>
      <c r="Q335" s="184" t="inlineStr">
        <is>
          <t>Website</t>
        </is>
      </c>
      <c r="R335" s="131" t="inlineStr">
        <is>
          <t>https://rkbmd.e-planningbmd.id/</t>
        </is>
      </c>
      <c r="S335" s="184" t="inlineStr">
        <is>
          <t>Secara Online</t>
        </is>
      </c>
      <c r="T335" s="184" t="inlineStr">
        <is>
          <t>Transaksi</t>
        </is>
      </c>
      <c r="U335" s="288" t="n"/>
      <c r="V335" s="184" t="inlineStr">
        <is>
          <t>Aktif</t>
        </is>
      </c>
      <c r="W335" s="67" t="inlineStr">
        <is>
          <t>Tidak</t>
        </is>
      </c>
      <c r="X335" s="67" t="inlineStr">
        <is>
          <t>Tidak terintegrasi</t>
        </is>
      </c>
      <c r="Y335" s="67" t="inlineStr">
        <is>
          <t>Tidak Terintegrasi</t>
        </is>
      </c>
      <c r="Z335" s="184" t="inlineStr">
        <is>
          <t>Tahunan</t>
        </is>
      </c>
      <c r="AA335" s="67" t="inlineStr">
        <is>
          <t>Bidang umum logistik</t>
        </is>
      </c>
      <c r="AB335" s="184" t="inlineStr">
        <is>
          <t>BKAD</t>
        </is>
      </c>
      <c r="AC335" s="184" t="inlineStr">
        <is>
          <t>Sonia Dwi Octavianti</t>
        </is>
      </c>
      <c r="AD335" s="184" t="n">
        <v>85721324997</v>
      </c>
      <c r="AE335" s="288" t="n"/>
      <c r="AF335" s="288" t="n"/>
      <c r="AG335" s="64" t="inlineStr">
        <is>
          <t>Insidentil</t>
        </is>
      </c>
      <c r="AH335" s="284" t="n"/>
      <c r="AI335" s="284" t="n"/>
      <c r="AJ335" s="284" t="n"/>
      <c r="AK335" s="284" t="n"/>
      <c r="AL335" s="284" t="n"/>
      <c r="AM335" s="284" t="n"/>
      <c r="AN335" s="284" t="n"/>
      <c r="AO335" s="284" t="n"/>
      <c r="AP335" s="284" t="n"/>
      <c r="AQ335" s="284" t="n"/>
      <c r="AR335" s="284" t="n"/>
      <c r="AS335" s="284" t="n"/>
    </row>
    <row r="336">
      <c r="A336" s="71" t="inlineStr">
        <is>
          <t>RSUD OTO ISKANDAR</t>
        </is>
      </c>
      <c r="B336" s="58" t="n"/>
      <c r="D336" s="58" t="n"/>
      <c r="E336" s="58" t="n"/>
      <c r="F336" s="58" t="n"/>
      <c r="G336" s="58" t="n"/>
      <c r="H336" s="58" t="n"/>
      <c r="I336" s="58" t="n"/>
      <c r="J336" s="58" t="n"/>
      <c r="K336" s="58" t="n"/>
      <c r="L336" s="58" t="n"/>
      <c r="M336" s="58" t="n"/>
      <c r="N336" s="58" t="n"/>
      <c r="O336" s="58" t="n"/>
      <c r="P336" s="58" t="n"/>
      <c r="Q336" s="58" t="n"/>
      <c r="R336" s="58" t="n"/>
      <c r="S336" s="58" t="n"/>
      <c r="T336" s="58" t="n"/>
      <c r="U336" s="58" t="n"/>
      <c r="V336" s="58" t="n"/>
      <c r="W336" s="58" t="n"/>
      <c r="X336" s="58" t="n"/>
      <c r="Y336" s="58" t="n"/>
      <c r="Z336" s="58" t="n"/>
      <c r="AA336" s="58" t="n"/>
      <c r="AB336" s="58" t="n"/>
      <c r="AC336" s="58" t="n"/>
      <c r="AD336" s="58" t="n"/>
      <c r="AE336" s="58" t="n"/>
      <c r="AF336" s="200" t="n"/>
      <c r="AG336" s="200" t="n"/>
      <c r="AH336" s="284" t="n"/>
      <c r="AI336" s="284" t="n"/>
      <c r="AJ336" s="284" t="n"/>
      <c r="AK336" s="284" t="n"/>
      <c r="AL336" s="284" t="n"/>
      <c r="AM336" s="284" t="n"/>
      <c r="AN336" s="284" t="n"/>
      <c r="AO336" s="284" t="n"/>
      <c r="AP336" s="284" t="n"/>
      <c r="AQ336" s="284" t="n"/>
      <c r="AR336" s="284" t="n"/>
      <c r="AS336" s="284" t="n"/>
    </row>
    <row r="337">
      <c r="A337" s="180" t="n">
        <v>1</v>
      </c>
      <c r="B337" s="184" t="inlineStr">
        <is>
          <t>Layanan Integrasi Ekosistem Digital Rumah Sakit (SIMRS)</t>
        </is>
      </c>
      <c r="C337" t="inlineStr">
        <is>
          <t>RSUD OTO ISKANDAR</t>
        </is>
      </c>
      <c r="D337"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337" s="184" t="inlineStr">
        <is>
          <t>Peraturan Menteri Kesehatan Nomor 82 Tahun 2013 Tentang Sistem Informasi Manajemen Rumah Sakit</t>
        </is>
      </c>
      <c r="F337" s="131" t="inlineStr">
        <is>
          <t>https://drive.google.com/file/d/1T1U4oNUqZS1NcFlgpFY6CJRp0CcQqlBv/view?usp=drive_link</t>
        </is>
      </c>
      <c r="G337" s="184" t="inlineStr">
        <is>
          <t>PENGELOLAAN PELAYANAN KESEHATAN</t>
        </is>
      </c>
      <c r="H337" s="184" t="inlineStr">
        <is>
          <t>Masyarakat</t>
        </is>
      </c>
      <c r="I337" s="184" t="inlineStr">
        <is>
          <t>Data pasien, mulai dari info pribadi hingga catatan medis pasien</t>
        </is>
      </c>
      <c r="J337" s="178" t="inlineStr">
        <is>
          <t>Data rekam medis pasien</t>
        </is>
      </c>
      <c r="K337" s="184" t="inlineStr">
        <is>
          <t>Rahasia</t>
        </is>
      </c>
      <c r="L337" s="184" t="inlineStr">
        <is>
          <t>Terdapat</t>
        </is>
      </c>
      <c r="M337" s="184" t="inlineStr">
        <is>
          <t>Lainnya</t>
        </is>
      </c>
      <c r="N337" s="130" t="inlineStr">
        <is>
          <t>SIMRS OTO ISKANDAR</t>
        </is>
      </c>
      <c r="O337" s="184" t="inlineStr">
        <is>
          <t>Pihak Ke 3</t>
        </is>
      </c>
      <c r="P337" s="184" t="inlineStr">
        <is>
          <t>Kab. Bandung</t>
        </is>
      </c>
      <c r="Q337" s="184" t="inlineStr">
        <is>
          <t>Desktop</t>
        </is>
      </c>
      <c r="R337" s="184" t="inlineStr">
        <is>
          <t>Internal (Rahasia)</t>
        </is>
      </c>
      <c r="S337" s="184" t="inlineStr">
        <is>
          <t>Secara Offline</t>
        </is>
      </c>
      <c r="T337" s="184" t="inlineStr">
        <is>
          <t>Transaksi</t>
        </is>
      </c>
      <c r="U337" s="184" t="n">
        <v>2023</v>
      </c>
      <c r="V337" s="184" t="inlineStr">
        <is>
          <t>Aktif</t>
        </is>
      </c>
      <c r="W337" s="184" t="inlineStr">
        <is>
          <t>Ya</t>
        </is>
      </c>
      <c r="X337" s="184" t="inlineStr">
        <is>
          <t>VClaim BPJS, Satusehat, Eklaim INACBGs, Siranap</t>
        </is>
      </c>
      <c r="Y337" s="184" t="inlineStr">
        <is>
          <t>Web Service</t>
        </is>
      </c>
      <c r="Z337" s="184" t="inlineStr">
        <is>
          <t>Realtime</t>
        </is>
      </c>
      <c r="AA337" s="184" t="inlineStr">
        <is>
          <t>Bidang Penunjang Non Medis</t>
        </is>
      </c>
      <c r="AB337" s="184" t="inlineStr">
        <is>
          <t>Dinkes</t>
        </is>
      </c>
      <c r="AC337" s="184" t="inlineStr">
        <is>
          <t>dr. Yessy Agustina, M.H.</t>
        </is>
      </c>
      <c r="AD337" s="184" t="n">
        <v>8129487531</v>
      </c>
      <c r="AE337" s="184" t="inlineStr">
        <is>
          <t>yessy_agst@yahoo.com</t>
        </is>
      </c>
      <c r="AF337" s="184" t="n">
        <v>8</v>
      </c>
      <c r="AG337" s="184" t="inlineStr">
        <is>
          <t>Setiap Saat</t>
        </is>
      </c>
      <c r="AH337" s="284" t="n"/>
      <c r="AI337" s="284" t="n"/>
      <c r="AJ337" s="284" t="n"/>
      <c r="AK337" s="284" t="n"/>
      <c r="AL337" s="284" t="n"/>
      <c r="AM337" s="284" t="n"/>
      <c r="AN337" s="284" t="n"/>
      <c r="AO337" s="284" t="n"/>
      <c r="AP337" s="284" t="n"/>
      <c r="AQ337" s="284" t="n"/>
      <c r="AR337" s="284" t="n"/>
      <c r="AS337" s="284" t="n"/>
    </row>
    <row r="338">
      <c r="A338" s="180" t="n">
        <v>2</v>
      </c>
      <c r="B338" s="184" t="inlineStr">
        <is>
          <t>Layanan Pelaporan Kepatuhan Lingkungan Hidup</t>
        </is>
      </c>
      <c r="C338" t="inlineStr">
        <is>
          <t>RSUD OTO ISKANDAR</t>
        </is>
      </c>
      <c r="D338" s="176" t="inlineStr">
        <is>
          <t>Sistem pendukung keputusan yang menghubungkan data pelaporan lingkungan SIMPEL, memberikan insight real-time bagi pemerintah dalam memantau kepatuhan dari kualitas lingkungan</t>
        </is>
      </c>
      <c r="E338" s="184" t="inlineStr">
        <is>
          <t>Permen LHK No. P.87/Menlhk/Setjen/Kum.1/11/2016; UU No. 32 Tahun 2009 tentang Perlindungan dan Pengelolaan Lingkungan Hidup (pasal 68) dan PP No. 22 Tahun 2021</t>
        </is>
      </c>
      <c r="F338" s="131" t="inlineStr">
        <is>
          <t>https://drive.google.com/drive/folders/1vjgfqjMxOGjNMjW_D5TVCMti_1yMqG0T?usp=sharing</t>
        </is>
      </c>
      <c r="G338" s="184" t="inlineStr">
        <is>
          <t>PENGELOLAAN IRIGASI PERTANIAN, KONSERVASI AIR DAN LINGKUNGAN HIDUP</t>
        </is>
      </c>
      <c r="H338" s="184" t="inlineStr">
        <is>
          <t>Pelaku Bisnis</t>
        </is>
      </c>
      <c r="I338" s="184" t="inlineStr">
        <is>
          <t>Hasil Pemantauan Lingkungan RSUD Majalaya</t>
        </is>
      </c>
      <c r="J338" s="184" t="inlineStr">
        <is>
          <t>Hasil Pemantauan Lingkungan RSUD Majalaya</t>
        </is>
      </c>
      <c r="K338" s="184" t="inlineStr">
        <is>
          <t>Terbatas</t>
        </is>
      </c>
      <c r="L338" s="184" t="inlineStr">
        <is>
          <t>Terdapat</t>
        </is>
      </c>
      <c r="M338" s="184" t="inlineStr">
        <is>
          <t>Bulanan</t>
        </is>
      </c>
      <c r="N338" s="130" t="inlineStr">
        <is>
          <t>SIMPEL Kemenlh</t>
        </is>
      </c>
      <c r="O338" s="184" t="inlineStr">
        <is>
          <t>Pusat</t>
        </is>
      </c>
      <c r="P338" s="184" t="inlineStr">
        <is>
          <t>Pusat</t>
        </is>
      </c>
      <c r="Q338" s="184" t="inlineStr">
        <is>
          <t>Website</t>
        </is>
      </c>
      <c r="R338" s="131" t="inlineStr">
        <is>
          <t>simpel.menlhk.go.id</t>
        </is>
      </c>
      <c r="S338" s="184" t="inlineStr">
        <is>
          <t>Secara Online</t>
        </is>
      </c>
      <c r="T338" s="184" t="inlineStr">
        <is>
          <t>Informasi</t>
        </is>
      </c>
      <c r="U338" s="184" t="n">
        <v>2016</v>
      </c>
      <c r="V338" s="184" t="inlineStr">
        <is>
          <t>Aktif</t>
        </is>
      </c>
      <c r="W338" s="184" t="inlineStr">
        <is>
          <t>Ya</t>
        </is>
      </c>
      <c r="X338" s="184" t="inlineStr">
        <is>
          <t>OSS RBA dan AMDAL NET</t>
        </is>
      </c>
      <c r="Y338" s="184" t="inlineStr">
        <is>
          <t>Database to Database</t>
        </is>
      </c>
      <c r="Z338" s="184" t="inlineStr">
        <is>
          <t>Realtime</t>
        </is>
      </c>
      <c r="AA338" s="184" t="inlineStr">
        <is>
          <t>Instalasi Kesling dan IPAL</t>
        </is>
      </c>
      <c r="AB338" s="184" t="inlineStr">
        <is>
          <t>DLH</t>
        </is>
      </c>
      <c r="AC338" s="184" t="inlineStr">
        <is>
          <t>Hj. Titin Partini, SKM</t>
        </is>
      </c>
      <c r="AD338" s="184" t="n">
        <v>82121996969</v>
      </c>
      <c r="AE338" s="184" t="inlineStr">
        <is>
          <t>keslingrsudmajalaya@gmail.com</t>
        </is>
      </c>
      <c r="AF338" s="184" t="n">
        <v>41</v>
      </c>
      <c r="AG338" s="184" t="inlineStr">
        <is>
          <t>Harian</t>
        </is>
      </c>
      <c r="AH338" s="284" t="n"/>
      <c r="AI338" s="284" t="n"/>
      <c r="AJ338" s="284" t="n"/>
      <c r="AK338" s="284" t="n"/>
      <c r="AL338" s="284" t="n"/>
      <c r="AM338" s="284" t="n"/>
      <c r="AN338" s="284" t="n"/>
      <c r="AO338" s="284" t="n"/>
      <c r="AP338" s="284" t="n"/>
      <c r="AQ338" s="284" t="n"/>
      <c r="AR338" s="284" t="n"/>
      <c r="AS338" s="284" t="n"/>
    </row>
    <row r="339">
      <c r="A339" s="180" t="n">
        <v>3</v>
      </c>
      <c r="B339" s="184" t="inlineStr">
        <is>
          <t>Layanan pelaporan limbah rumah sakit</t>
        </is>
      </c>
      <c r="C339" t="inlineStr">
        <is>
          <t>RSUD OTO ISKANDAR</t>
        </is>
      </c>
      <c r="D339" s="184" t="inlineStr">
        <is>
          <t>Rekapitulasi pelaporan kelola limbah medis dan kesling fasyankes</t>
        </is>
      </c>
      <c r="E339" s="288" t="n"/>
      <c r="F339" s="184" t="inlineStr">
        <is>
          <t>-</t>
        </is>
      </c>
      <c r="G339" s="184" t="inlineStr">
        <is>
          <t>PENGELOLAAN LIMBAH BAHAN BERBAHAYA DAN BERACUN</t>
        </is>
      </c>
      <c r="H339" s="184" t="inlineStr">
        <is>
          <t>Pelaku Bisnis</t>
        </is>
      </c>
      <c r="I339" s="184" t="inlineStr">
        <is>
          <t>Timbulan limbah medis</t>
        </is>
      </c>
      <c r="J339" s="184" t="inlineStr">
        <is>
          <t>Timbulan limbah medis</t>
        </is>
      </c>
      <c r="K339" s="184" t="inlineStr">
        <is>
          <t>Terbatas</t>
        </is>
      </c>
      <c r="L339" s="184" t="inlineStr">
        <is>
          <t>Tidak terdapat</t>
        </is>
      </c>
      <c r="M339" s="184" t="inlineStr">
        <is>
          <t>Bulanan</t>
        </is>
      </c>
      <c r="N339" s="130" t="inlineStr">
        <is>
          <t>website Kobotoolbox</t>
        </is>
      </c>
      <c r="O339" s="184" t="inlineStr">
        <is>
          <t>Provinsi</t>
        </is>
      </c>
      <c r="P339" s="184" t="inlineStr">
        <is>
          <t>Provinsi</t>
        </is>
      </c>
      <c r="Q339" s="184" t="inlineStr">
        <is>
          <t>Website</t>
        </is>
      </c>
      <c r="R339" s="131" t="inlineStr">
        <is>
          <t>https://ee.kobotoolbox.org/x/YQp13dFa</t>
        </is>
      </c>
      <c r="S339" s="184" t="inlineStr">
        <is>
          <t>Secara Online</t>
        </is>
      </c>
      <c r="T339" s="184" t="inlineStr">
        <is>
          <t>Informasi</t>
        </is>
      </c>
      <c r="U339" s="184" t="n">
        <v>2024</v>
      </c>
      <c r="V339" s="184" t="inlineStr">
        <is>
          <t>Aktif</t>
        </is>
      </c>
      <c r="W339" s="184" t="inlineStr">
        <is>
          <t>Tidak</t>
        </is>
      </c>
      <c r="X339" s="184" t="inlineStr">
        <is>
          <t>Tidak Terintegrasi</t>
        </is>
      </c>
      <c r="Y339" s="184" t="inlineStr">
        <is>
          <t>Tidak Terintegrasi</t>
        </is>
      </c>
      <c r="Z339" s="184" t="inlineStr">
        <is>
          <t>Tidak Terintegrasi</t>
        </is>
      </c>
      <c r="AA339" s="184" t="inlineStr">
        <is>
          <t>Instalasi Kesling dan IPAL</t>
        </is>
      </c>
      <c r="AB339" s="184" t="inlineStr">
        <is>
          <t>Dinkes</t>
        </is>
      </c>
      <c r="AC339" s="184" t="inlineStr">
        <is>
          <t>Hj. Titin Partini, SKM</t>
        </is>
      </c>
      <c r="AD339" s="184" t="n">
        <v>82121996969</v>
      </c>
      <c r="AE339" s="184" t="inlineStr">
        <is>
          <t>keslingrsudmajalaya@gmail.com</t>
        </is>
      </c>
      <c r="AF339" s="288" t="n"/>
      <c r="AG339" s="184" t="inlineStr">
        <is>
          <t>Bulanan</t>
        </is>
      </c>
      <c r="AH339" s="284" t="n"/>
      <c r="AI339" s="284" t="n"/>
      <c r="AJ339" s="284" t="n"/>
      <c r="AK339" s="284" t="n"/>
      <c r="AL339" s="284" t="n"/>
      <c r="AM339" s="284" t="n"/>
      <c r="AN339" s="284" t="n"/>
      <c r="AO339" s="284" t="n"/>
      <c r="AP339" s="284" t="n"/>
      <c r="AQ339" s="284" t="n"/>
      <c r="AR339" s="284" t="n"/>
      <c r="AS339" s="284" t="n"/>
    </row>
    <row r="340">
      <c r="A340" s="180" t="n">
        <v>4</v>
      </c>
      <c r="B340" s="184" t="inlineStr">
        <is>
          <t>Layanan pengelolaan persediaan BMD</t>
        </is>
      </c>
      <c r="C340" t="inlineStr">
        <is>
          <t>RSUD OTO ISKANDAR</t>
        </is>
      </c>
      <c r="D340" s="184" t="inlineStr">
        <is>
          <t>Aplikasi untuk mengelola BMD berupa barang persediaan. Digunakan untuk mencatat, memantau dan melaporkan stock barang persediaan secara real time guna mendukung operasional rumah sakit dan pemertintah daerah.</t>
        </is>
      </c>
      <c r="E340" s="184" t="inlineStr">
        <is>
          <t>Peraturan pemerintah dalam negeri no 47 tahun 2021</t>
        </is>
      </c>
      <c r="F340" s="288" t="n"/>
      <c r="G340" s="288" t="n"/>
      <c r="H340" s="184" t="inlineStr">
        <is>
          <t>Instansi Pemerintah Lainnya</t>
        </is>
      </c>
      <c r="I340" s="184" t="inlineStr">
        <is>
          <t>Data barang</t>
        </is>
      </c>
      <c r="J340" s="178" t="inlineStr">
        <is>
          <t>Catatan transaksi keluar masuk barang</t>
        </is>
      </c>
      <c r="K340" s="184" t="inlineStr">
        <is>
          <t>Terbatas</t>
        </is>
      </c>
      <c r="L340" s="184" t="inlineStr">
        <is>
          <t>Terdapat</t>
        </is>
      </c>
      <c r="M340" s="184" t="inlineStr">
        <is>
          <t>Tahunan</t>
        </is>
      </c>
      <c r="N340" s="130" t="inlineStr">
        <is>
          <t>e-persediaan</t>
        </is>
      </c>
      <c r="O340" s="184" t="inlineStr">
        <is>
          <t>OPD</t>
        </is>
      </c>
      <c r="P340" s="184" t="inlineStr">
        <is>
          <t>Kab. Bandung</t>
        </is>
      </c>
      <c r="Q340" s="184" t="inlineStr">
        <is>
          <t>Website</t>
        </is>
      </c>
      <c r="R340" s="131" t="inlineStr">
        <is>
          <t>persediaanbmd.bandungkab.go.id</t>
        </is>
      </c>
      <c r="S340" s="184" t="inlineStr">
        <is>
          <t>Secara Online</t>
        </is>
      </c>
      <c r="T340" s="184" t="inlineStr">
        <is>
          <t>Transaksi</t>
        </is>
      </c>
      <c r="U340" s="176" t="n">
        <v>2023</v>
      </c>
      <c r="V340" s="184" t="inlineStr">
        <is>
          <t>Aktif</t>
        </is>
      </c>
      <c r="W340" s="184" t="inlineStr">
        <is>
          <t>Tidak</t>
        </is>
      </c>
      <c r="X340" s="184" t="inlineStr">
        <is>
          <t>Tidak Terintegrasi</t>
        </is>
      </c>
      <c r="Y340" s="184" t="inlineStr">
        <is>
          <t>Tidak Terintegrasi</t>
        </is>
      </c>
      <c r="Z340" s="184" t="inlineStr">
        <is>
          <t>Tidak Terintegrasi</t>
        </is>
      </c>
      <c r="AA340" s="184" t="inlineStr">
        <is>
          <t>Bidang Umum dan Kepegawaian</t>
        </is>
      </c>
      <c r="AB340" s="184" t="inlineStr">
        <is>
          <t>BKAD</t>
        </is>
      </c>
      <c r="AC340" s="184" t="inlineStr">
        <is>
          <t>Nelly Nurahmayanti, A.Md</t>
        </is>
      </c>
      <c r="AD340" s="184" t="n">
        <v>81224666679</v>
      </c>
      <c r="AE340" s="184" t="inlineStr">
        <is>
          <t>zenelly79@gmail.com</t>
        </is>
      </c>
      <c r="AF340" s="288" t="n"/>
      <c r="AG340" s="184" t="inlineStr">
        <is>
          <t>Harian</t>
        </is>
      </c>
      <c r="AH340" s="284" t="n"/>
      <c r="AI340" s="284" t="n"/>
      <c r="AJ340" s="284" t="n"/>
      <c r="AK340" s="284" t="n"/>
      <c r="AL340" s="284" t="n"/>
      <c r="AM340" s="284" t="n"/>
      <c r="AN340" s="284" t="n"/>
      <c r="AO340" s="284" t="n"/>
      <c r="AP340" s="284" t="n"/>
      <c r="AQ340" s="284" t="n"/>
      <c r="AR340" s="284" t="n"/>
      <c r="AS340" s="284" t="n"/>
    </row>
    <row r="341">
      <c r="A341" s="180" t="n">
        <v>5</v>
      </c>
      <c r="B341" s="184" t="inlineStr">
        <is>
          <t>Layanan Informasi Gaji ASN</t>
        </is>
      </c>
      <c r="C341" t="inlineStr">
        <is>
          <t>RSUD OTO ISKANDAR</t>
        </is>
      </c>
      <c r="D341" s="184" t="inlineStr">
        <is>
          <t>Aplikasi Sistem Informasi Gaji (SIMGaji) Taspen untuk memproses data gaji PNS di lingkungan pemerintah daerah.</t>
        </is>
      </c>
      <c r="E341" s="184" t="inlineStr">
        <is>
          <t>Peraturan Pemerintah Nomor 5 Tahun 2024 tentang Perubahan Kesembilan Belas atas Peraturan Pemerintah Nomor 7 Tahun 1977 tentang Peraturan Gaji Pegawai Negeri Sipil</t>
        </is>
      </c>
      <c r="F341" s="288" t="n"/>
      <c r="G341" s="184" t="inlineStr">
        <is>
          <t>PEMBINAAN KEUANGAN DAERAH</t>
        </is>
      </c>
      <c r="H341" s="184" t="inlineStr">
        <is>
          <t>Pegawai</t>
        </is>
      </c>
      <c r="I341" s="184" t="inlineStr">
        <is>
          <t>Data Pegawai, Data Gaji, Data Tunjangan</t>
        </is>
      </c>
      <c r="J341" s="178" t="inlineStr">
        <is>
          <t>Perubahan Data Gaji Pegawai, Ledger Gaji</t>
        </is>
      </c>
      <c r="K341" s="184" t="inlineStr">
        <is>
          <t>Tertutup</t>
        </is>
      </c>
      <c r="L341" s="184" t="inlineStr">
        <is>
          <t>Terdapat</t>
        </is>
      </c>
      <c r="M341" s="184" t="inlineStr">
        <is>
          <t>Harian</t>
        </is>
      </c>
      <c r="N341" s="130" t="inlineStr">
        <is>
          <t>SIMgaji</t>
        </is>
      </c>
      <c r="O341" s="184" t="inlineStr">
        <is>
          <t>Pihak Ke 3</t>
        </is>
      </c>
      <c r="P341" s="184" t="inlineStr">
        <is>
          <t>Pihak Ke 3 (Lisensi)</t>
        </is>
      </c>
      <c r="Q341" s="184" t="inlineStr">
        <is>
          <t>Website</t>
        </is>
      </c>
      <c r="R341" s="131" t="inlineStr">
        <is>
          <t>https://simgajiweb.taspen.co.id/</t>
        </is>
      </c>
      <c r="S341" s="184" t="inlineStr">
        <is>
          <t>Secara Online</t>
        </is>
      </c>
      <c r="T341" s="184" t="inlineStr">
        <is>
          <t>Informasi</t>
        </is>
      </c>
      <c r="U341" s="184" t="n">
        <v>2023</v>
      </c>
      <c r="V341" s="184" t="inlineStr">
        <is>
          <t>Aktif</t>
        </is>
      </c>
      <c r="W341" s="184" t="inlineStr">
        <is>
          <t>Tidak</t>
        </is>
      </c>
      <c r="X341" s="184" t="inlineStr">
        <is>
          <t>Tidak Terintegrasi</t>
        </is>
      </c>
      <c r="Y341" s="184" t="inlineStr">
        <is>
          <t>Tidak Terintegrasi</t>
        </is>
      </c>
      <c r="Z341" s="184" t="inlineStr">
        <is>
          <t>Tidak Terintegrasi</t>
        </is>
      </c>
      <c r="AA341" s="184" t="inlineStr">
        <is>
          <t>Bagian Keuangan</t>
        </is>
      </c>
      <c r="AB341" s="184" t="inlineStr">
        <is>
          <t>BKAD</t>
        </is>
      </c>
      <c r="AC341" s="184" t="inlineStr">
        <is>
          <t>Yanti Widiyanti, S.E.</t>
        </is>
      </c>
      <c r="AD341" s="184" t="n">
        <v>8996105849</v>
      </c>
      <c r="AE341" s="184" t="inlineStr">
        <is>
          <t>yantiwidiyanti268@gmail.com</t>
        </is>
      </c>
      <c r="AF341" s="288" t="n"/>
      <c r="AG341" s="184" t="inlineStr">
        <is>
          <t>Bulanan</t>
        </is>
      </c>
      <c r="AH341" s="284" t="n"/>
      <c r="AI341" s="284" t="n"/>
      <c r="AJ341" s="284" t="n"/>
      <c r="AK341" s="284" t="n"/>
      <c r="AL341" s="284" t="n"/>
      <c r="AM341" s="284" t="n"/>
      <c r="AN341" s="284" t="n"/>
      <c r="AO341" s="284" t="n"/>
      <c r="AP341" s="284" t="n"/>
      <c r="AQ341" s="284" t="n"/>
      <c r="AR341" s="284" t="n"/>
      <c r="AS341" s="284" t="n"/>
    </row>
    <row r="342">
      <c r="A342" s="180" t="n">
        <v>6</v>
      </c>
      <c r="B342" s="184" t="inlineStr">
        <is>
          <t>Layanan pelaporan penerimaan retribusi daerah</t>
        </is>
      </c>
      <c r="C342" t="inlineStr">
        <is>
          <t>RSUD OTO ISKANDAR</t>
        </is>
      </c>
      <c r="D342" s="184" t="inlineStr">
        <is>
          <t>Aplikasi Entry Laporan Penerimaan Retribusi Daerah</t>
        </is>
      </c>
      <c r="E342" s="184" t="inlineStr">
        <is>
          <t>Perda Kabupaten Bandung No 10 Tahun 2023 Tentang Pajak Daerah dan Retribusi Daerah</t>
        </is>
      </c>
      <c r="F342" s="288" t="n"/>
      <c r="G342" s="184" t="inlineStr">
        <is>
          <t>PENGELOLAAN PENERIMAAN DAN PENDAPATAN NEGARA</t>
        </is>
      </c>
      <c r="H342" s="184" t="inlineStr">
        <is>
          <t>Instansi Pemerintah Lainnya</t>
        </is>
      </c>
      <c r="I342" s="184" t="inlineStr">
        <is>
          <t>Data Pendapatan</t>
        </is>
      </c>
      <c r="J342" s="178" t="inlineStr">
        <is>
          <t>Laporan Realisasi Pendapatan</t>
        </is>
      </c>
      <c r="K342" s="184" t="inlineStr">
        <is>
          <t>Rahasia</t>
        </is>
      </c>
      <c r="L342" s="184" t="inlineStr">
        <is>
          <t>Tidak terdapat</t>
        </is>
      </c>
      <c r="M342" s="184" t="inlineStr">
        <is>
          <t>Harian</t>
        </is>
      </c>
      <c r="N342" s="130" t="inlineStr">
        <is>
          <t>e-RETRIBUSI</t>
        </is>
      </c>
      <c r="O342" s="184" t="inlineStr">
        <is>
          <t>OPD</t>
        </is>
      </c>
      <c r="P342" s="184" t="inlineStr">
        <is>
          <t>Kab. Bandung</t>
        </is>
      </c>
      <c r="Q342" s="184" t="inlineStr">
        <is>
          <t>Website</t>
        </is>
      </c>
      <c r="R342" s="131" t="inlineStr">
        <is>
          <t>https://e-retribusi.bandungkab.go.id/</t>
        </is>
      </c>
      <c r="S342" s="184" t="inlineStr">
        <is>
          <t>Secara Online</t>
        </is>
      </c>
      <c r="T342" s="184" t="inlineStr">
        <is>
          <t>Informasi</t>
        </is>
      </c>
      <c r="U342" s="184" t="n">
        <v>2024</v>
      </c>
      <c r="V342" s="184" t="inlineStr">
        <is>
          <t>Aktif</t>
        </is>
      </c>
      <c r="W342" s="184" t="inlineStr">
        <is>
          <t>Tidak</t>
        </is>
      </c>
      <c r="X342" s="184" t="inlineStr">
        <is>
          <t>Tidak Terintegrasi</t>
        </is>
      </c>
      <c r="Y342" s="184" t="inlineStr">
        <is>
          <t>Tidak Terintegrasi</t>
        </is>
      </c>
      <c r="Z342" s="184" t="inlineStr">
        <is>
          <t>Tidak Terintegrasi</t>
        </is>
      </c>
      <c r="AA342" s="184" t="inlineStr">
        <is>
          <t>Retribusi Daerah</t>
        </is>
      </c>
      <c r="AB342" s="184" t="inlineStr">
        <is>
          <t>Bapenda</t>
        </is>
      </c>
      <c r="AC342" s="131" t="inlineStr">
        <is>
          <t>Fidriansyah, A.Md</t>
        </is>
      </c>
      <c r="AD342" s="184" t="n">
        <v>89682973688</v>
      </c>
      <c r="AE342" s="184" t="inlineStr">
        <is>
          <t>fidriansyahsena@gmail.com</t>
        </is>
      </c>
      <c r="AF342" s="288" t="n"/>
      <c r="AG342" s="184" t="inlineStr">
        <is>
          <t>Harian</t>
        </is>
      </c>
      <c r="AH342" s="284" t="n"/>
      <c r="AI342" s="284" t="n"/>
      <c r="AJ342" s="284" t="n"/>
      <c r="AK342" s="284" t="n"/>
      <c r="AL342" s="284" t="n"/>
      <c r="AM342" s="284" t="n"/>
      <c r="AN342" s="284" t="n"/>
      <c r="AO342" s="284" t="n"/>
      <c r="AP342" s="284" t="n"/>
      <c r="AQ342" s="284" t="n"/>
      <c r="AR342" s="284" t="n"/>
      <c r="AS342" s="284" t="n"/>
    </row>
    <row r="343">
      <c r="A343" s="180" t="n">
        <v>7</v>
      </c>
      <c r="B343" s="184" t="inlineStr">
        <is>
          <t>Layanan pengelolaan informasi keuangan daerah</t>
        </is>
      </c>
      <c r="C343" t="inlineStr">
        <is>
          <t>RSUD OTO ISKANDAR</t>
        </is>
      </c>
      <c r="D343" s="184" t="inlineStr">
        <is>
          <t>Pengelolaan Informasi Keuangan Daerah - meliputi Perencanaan Anggaran Daerah, Penatausahaan Keuangan Daerah, Akuntansi dan Pelaporan Keuangan Daerah.</t>
        </is>
      </c>
      <c r="E343" s="184" t="inlineStr">
        <is>
          <t>Permendagri No 14 Tahun 2025 tentang Pedoman Penyusunan APBD Tahun 2026 Yang di dukung Oleh UU 23/2014, PP No 12/2019 dan Permendagri 70/2019.</t>
        </is>
      </c>
      <c r="F343" s="288" t="n"/>
      <c r="G343" s="184" t="inlineStr">
        <is>
          <t>PERENCANAAN DAN PENGANGGARAN APBN</t>
        </is>
      </c>
      <c r="H343" s="184" t="inlineStr">
        <is>
          <t>Instansi Pemerintah Lainnya</t>
        </is>
      </c>
      <c r="I343" s="184" t="inlineStr">
        <is>
          <t>Dari Mulai Penganggaran, Penatausahaan dan Pelaporan Keuangan</t>
        </is>
      </c>
      <c r="J343" s="178" t="inlineStr">
        <is>
          <t>Data perencanaan dan penganggaran</t>
        </is>
      </c>
      <c r="K343" s="184" t="inlineStr">
        <is>
          <t>Terbatas</t>
        </is>
      </c>
      <c r="L343" s="184" t="inlineStr">
        <is>
          <t>Terdapat</t>
        </is>
      </c>
      <c r="M343" s="184" t="inlineStr">
        <is>
          <t>Harian</t>
        </is>
      </c>
      <c r="N343" s="130" t="inlineStr">
        <is>
          <t>SIPD</t>
        </is>
      </c>
      <c r="O343" s="184" t="inlineStr">
        <is>
          <t>Pusat</t>
        </is>
      </c>
      <c r="P343" s="184" t="inlineStr">
        <is>
          <t>Pusat</t>
        </is>
      </c>
      <c r="Q343" s="184" t="inlineStr">
        <is>
          <t>Website</t>
        </is>
      </c>
      <c r="R343" s="131" t="inlineStr">
        <is>
          <t>https://sipd.kemendagri.go.id/</t>
        </is>
      </c>
      <c r="S343" s="184" t="inlineStr">
        <is>
          <t>Secara Online</t>
        </is>
      </c>
      <c r="T343" s="184" t="inlineStr">
        <is>
          <t>Informasi</t>
        </is>
      </c>
      <c r="U343" s="184" t="n">
        <v>2021</v>
      </c>
      <c r="V343" s="184" t="inlineStr">
        <is>
          <t>Aktif</t>
        </is>
      </c>
      <c r="W343" s="184" t="inlineStr">
        <is>
          <t>Ya</t>
        </is>
      </c>
      <c r="X343" s="184" t="inlineStr">
        <is>
          <t>SIRUP, e-planning</t>
        </is>
      </c>
      <c r="Y343" s="184" t="inlineStr">
        <is>
          <t>Web Service</t>
        </is>
      </c>
      <c r="Z343" s="288" t="n"/>
      <c r="AA343" s="184" t="inlineStr">
        <is>
          <t>Bagian Keuangan, Bagian Perencanaan dan Kehumasan</t>
        </is>
      </c>
      <c r="AB343" s="184" t="inlineStr">
        <is>
          <t>BKAD</t>
        </is>
      </c>
      <c r="AC343" s="131" t="inlineStr">
        <is>
          <t>Susi Herawati, S.Ak, Fidriansyah A.Md</t>
        </is>
      </c>
      <c r="AD343" s="184" t="inlineStr">
        <is>
          <t>089656642966 - 089682973688</t>
        </is>
      </c>
      <c r="AE343" s="184" t="inlineStr">
        <is>
          <t>susi.herawati30@yahoo.com - fidriansyahsena@gmail.com</t>
        </is>
      </c>
      <c r="AF343" s="288" t="n"/>
      <c r="AG343" s="184" t="inlineStr">
        <is>
          <t>Bulanan</t>
        </is>
      </c>
      <c r="AH343" s="194" t="inlineStr">
        <is>
          <t>bapperida</t>
        </is>
      </c>
      <c r="AI343" s="284" t="n"/>
      <c r="AJ343" s="284" t="n"/>
      <c r="AK343" s="284" t="n"/>
      <c r="AL343" s="284" t="n"/>
      <c r="AM343" s="284" t="n"/>
      <c r="AN343" s="284" t="n"/>
      <c r="AO343" s="284" t="n"/>
      <c r="AP343" s="284" t="n"/>
      <c r="AQ343" s="284" t="n"/>
      <c r="AR343" s="284" t="n"/>
      <c r="AS343" s="284" t="n"/>
    </row>
    <row r="344">
      <c r="A344" s="180" t="n">
        <v>8</v>
      </c>
      <c r="B344" s="184" t="inlineStr">
        <is>
          <t>Layanan pengelolaan pengadaan barang dan jasa</t>
        </is>
      </c>
      <c r="C344" t="inlineStr">
        <is>
          <t>RSUD OTO ISKANDAR</t>
        </is>
      </c>
      <c r="D344" s="184" t="inlineStr">
        <is>
          <t>Untuk membantu proses perencanaan pengadaan barang/jasa pemerintah agar lebih transparan, terencana, dan mudah diakses oleh publik maupun penyedia</t>
        </is>
      </c>
      <c r="E344" s="184" t="inlineStr">
        <is>
          <t>1) Peraturan Presiden (Perpres) Nomor 46 Tahun 2025 adalah perubahan kedua atas Perpres 16 Tahun 2018 tentang Pengadaan Barang/Jasa Pemerintah;
 2) Peraturan LKPP Nomor 11 Tahun 2021 tentang Pedoman Perencanaan Pengadaan Barang/Jasa Pemerintah;</t>
        </is>
      </c>
      <c r="F344" s="288" t="n"/>
      <c r="G344" s="184" t="inlineStr">
        <is>
          <t>PERENCANAAN DAN PENGANGGARAN APBN</t>
        </is>
      </c>
      <c r="H344" s="184" t="inlineStr">
        <is>
          <t>Pelaku Bisnis</t>
        </is>
      </c>
      <c r="I344" s="184" t="inlineStr">
        <is>
          <t>Data rencana umum pengadaan</t>
        </is>
      </c>
      <c r="J344" s="178" t="inlineStr">
        <is>
          <t>Informasi rencana paket pengadaan barang/jasa pemerintah</t>
        </is>
      </c>
      <c r="K344" s="184" t="inlineStr">
        <is>
          <t>Terbuka</t>
        </is>
      </c>
      <c r="L344" s="184" t="inlineStr">
        <is>
          <t>Terdapat</t>
        </is>
      </c>
      <c r="M344" s="184" t="inlineStr">
        <is>
          <t>Harian</t>
        </is>
      </c>
      <c r="N344" s="130" t="inlineStr">
        <is>
          <t>SIRUP</t>
        </is>
      </c>
      <c r="O344" s="184" t="inlineStr">
        <is>
          <t>Pusat</t>
        </is>
      </c>
      <c r="P344" s="184" t="inlineStr">
        <is>
          <t>Pusat</t>
        </is>
      </c>
      <c r="Q344" s="184" t="inlineStr">
        <is>
          <t>Website</t>
        </is>
      </c>
      <c r="R344" s="131" t="inlineStr">
        <is>
          <t>https://sirup.inaproc.id/sirup/loginctr/index</t>
        </is>
      </c>
      <c r="S344" s="184" t="inlineStr">
        <is>
          <t>Secara Online</t>
        </is>
      </c>
      <c r="T344" s="184" t="inlineStr">
        <is>
          <t>Informasi</t>
        </is>
      </c>
      <c r="U344" s="184" t="n">
        <v>2010</v>
      </c>
      <c r="V344" s="184" t="inlineStr">
        <is>
          <t>Aktif</t>
        </is>
      </c>
      <c r="W344" s="184" t="inlineStr">
        <is>
          <t>Ya</t>
        </is>
      </c>
      <c r="X344" s="184" t="inlineStr">
        <is>
          <t>SPSE, E-Katalog LKPP</t>
        </is>
      </c>
      <c r="Y344" s="184" t="inlineStr">
        <is>
          <t>Database to Database</t>
        </is>
      </c>
      <c r="Z344" s="184" t="inlineStr">
        <is>
          <t>Realtime</t>
        </is>
      </c>
      <c r="AA344" s="184" t="inlineStr">
        <is>
          <t>Bagian Perencanaan dan Kehumasan</t>
        </is>
      </c>
      <c r="AB344" s="184" t="inlineStr">
        <is>
          <t>Setda</t>
        </is>
      </c>
      <c r="AC344" s="184" t="inlineStr">
        <is>
          <t>Anindya Meilasari Dewi, SE</t>
        </is>
      </c>
      <c r="AD344" s="184" t="n">
        <v>85294011791</v>
      </c>
      <c r="AE344" s="184" t="inlineStr">
        <is>
          <t>anindyameilasaridewi@gmail.com</t>
        </is>
      </c>
      <c r="AF344" s="288" t="n"/>
      <c r="AG344" s="184" t="inlineStr">
        <is>
          <t>Harian</t>
        </is>
      </c>
      <c r="AH344" s="284" t="n"/>
      <c r="AI344" s="284" t="n"/>
      <c r="AJ344" s="284" t="n"/>
      <c r="AK344" s="284" t="n"/>
      <c r="AL344" s="284" t="n"/>
      <c r="AM344" s="284" t="n"/>
      <c r="AN344" s="284" t="n"/>
      <c r="AO344" s="284" t="n"/>
      <c r="AP344" s="284" t="n"/>
      <c r="AQ344" s="284" t="n"/>
      <c r="AR344" s="284" t="n"/>
      <c r="AS344" s="284" t="n"/>
    </row>
    <row r="345">
      <c r="A345" s="180" t="n">
        <v>9</v>
      </c>
      <c r="B345" s="184" t="inlineStr">
        <is>
          <t>Layanan Informasi Pengawasan Tindak Lanjut Hasil Pemeriksaan Terpadu</t>
        </is>
      </c>
      <c r="C345" t="inlineStr">
        <is>
          <t>RSUD OTO ISKANDAR</t>
        </is>
      </c>
      <c r="D345" s="184" t="inlineStr">
        <is>
          <t>Pengelolaan dan pemantauan hasil evaluasi/ tindak lanjut rekomendasi atas pemeriksaan yang dilaksanakan oleh APIP</t>
        </is>
      </c>
      <c r="E345" s="184" t="inlineStr">
        <is>
          <t>Peraturan Pemerintah Nomor 12 Tahun 2017 tentang pembinaan dan pengawasan penyelenggaraan pemerintah daerah</t>
        </is>
      </c>
      <c r="F345" s="288" t="n"/>
      <c r="G345" s="184" t="inlineStr">
        <is>
          <t>PENINGKATAN KUALITAS REFORMASI BIROKRASI, PENGAWASAN, DAN AKUNTABILITAS KINERJA</t>
        </is>
      </c>
      <c r="H345" s="184" t="inlineStr">
        <is>
          <t>Instansi Pemerintah Lainnya</t>
        </is>
      </c>
      <c r="I345" s="184" t="inlineStr">
        <is>
          <t>Dokumen Tindak Lanjut rekomendasi hasil pemeriksaan</t>
        </is>
      </c>
      <c r="J345" s="178" t="inlineStr">
        <is>
          <t>Informasi Capaian Hasil Rekomendasi</t>
        </is>
      </c>
      <c r="K345" s="184" t="inlineStr">
        <is>
          <t>Tertutup</t>
        </is>
      </c>
      <c r="L345" s="184" t="inlineStr">
        <is>
          <t>Tidak terdapat</t>
        </is>
      </c>
      <c r="M345" s="184" t="inlineStr">
        <is>
          <t>Lainnya</t>
        </is>
      </c>
      <c r="N345" s="130" t="inlineStr">
        <is>
          <t>SIMASLAHAT</t>
        </is>
      </c>
      <c r="O345" s="184" t="inlineStr">
        <is>
          <t>OPD</t>
        </is>
      </c>
      <c r="P345" s="184" t="inlineStr">
        <is>
          <t>Kab. Bandung</t>
        </is>
      </c>
      <c r="Q345" s="184" t="inlineStr">
        <is>
          <t>Website</t>
        </is>
      </c>
      <c r="R345" s="131" t="inlineStr">
        <is>
          <t>https://simaslahat.bandungkab.go.id/login</t>
        </is>
      </c>
      <c r="S345" s="184" t="inlineStr">
        <is>
          <t>Secara Online</t>
        </is>
      </c>
      <c r="T345" s="184" t="inlineStr">
        <is>
          <t>Informasi</t>
        </is>
      </c>
      <c r="U345" s="184" t="n">
        <v>2023</v>
      </c>
      <c r="V345" s="184" t="inlineStr">
        <is>
          <t>Aktif</t>
        </is>
      </c>
      <c r="W345" s="184" t="inlineStr">
        <is>
          <t>Tidak</t>
        </is>
      </c>
      <c r="X345" s="184" t="inlineStr">
        <is>
          <t>Tidak Terintegrasi</t>
        </is>
      </c>
      <c r="Y345" s="184" t="inlineStr">
        <is>
          <t>Tidak Terintegrasi</t>
        </is>
      </c>
      <c r="Z345" s="184" t="inlineStr">
        <is>
          <t>Tidak Terintegrasi</t>
        </is>
      </c>
      <c r="AA345" s="184" t="inlineStr">
        <is>
          <t>Bagian Keuangan</t>
        </is>
      </c>
      <c r="AB345" s="184" t="inlineStr">
        <is>
          <t>Inspektorat</t>
        </is>
      </c>
      <c r="AC345" s="184" t="inlineStr">
        <is>
          <t>Susi Herawati, S.Ak</t>
        </is>
      </c>
      <c r="AD345" s="184" t="n">
        <v>89656642966</v>
      </c>
      <c r="AE345" s="184" t="inlineStr">
        <is>
          <t>susi.herawati30@yahoo.com</t>
        </is>
      </c>
      <c r="AF345" s="288" t="n"/>
      <c r="AG345" s="184" t="inlineStr">
        <is>
          <t>Insidentil</t>
        </is>
      </c>
      <c r="AH345" s="284" t="n"/>
      <c r="AI345" s="284" t="n"/>
      <c r="AJ345" s="284" t="n"/>
      <c r="AK345" s="284" t="n"/>
      <c r="AL345" s="284" t="n"/>
      <c r="AM345" s="284" t="n"/>
      <c r="AN345" s="284" t="n"/>
      <c r="AO345" s="284" t="n"/>
      <c r="AP345" s="284" t="n"/>
      <c r="AQ345" s="284" t="n"/>
      <c r="AR345" s="284" t="n"/>
      <c r="AS345" s="284" t="n"/>
    </row>
    <row r="346">
      <c r="A346" s="180" t="n">
        <v>10</v>
      </c>
      <c r="B346" s="184" t="inlineStr">
        <is>
          <t>Layanan pelaporan pembayaran pajak</t>
        </is>
      </c>
      <c r="C346" t="inlineStr">
        <is>
          <t>RSUD OTO ISKANDAR</t>
        </is>
      </c>
      <c r="D346" s="184" t="inlineStr">
        <is>
          <t>Fungsi Utama: Melaporkan penghitungan dan pembayaran pajak daerah, objek pajak, serta harta/kewajiban secara digital.</t>
        </is>
      </c>
      <c r="E346" s="184"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346" s="184"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346" s="184" t="inlineStr">
        <is>
          <t>PEMBINAAN KEUANGAN DAERAH</t>
        </is>
      </c>
      <c r="H346" s="184" t="inlineStr">
        <is>
          <t>Instansi Pemerintah Lainnya</t>
        </is>
      </c>
      <c r="I346" s="184" t="inlineStr">
        <is>
          <t>Pajak makanan dan minuman pasien</t>
        </is>
      </c>
      <c r="J346" s="178" t="inlineStr">
        <is>
          <t>Bukti setor pajak</t>
        </is>
      </c>
      <c r="K346" s="184" t="inlineStr">
        <is>
          <t>Terbuka</t>
        </is>
      </c>
      <c r="L346" s="184" t="inlineStr">
        <is>
          <t>Tidak terdapat</t>
        </is>
      </c>
      <c r="M346" s="184" t="inlineStr">
        <is>
          <t>Harian</t>
        </is>
      </c>
      <c r="N346" s="130" t="inlineStr">
        <is>
          <t>E-SPTPD</t>
        </is>
      </c>
      <c r="O346" s="184" t="inlineStr">
        <is>
          <t>OPD</t>
        </is>
      </c>
      <c r="P346" s="184" t="inlineStr">
        <is>
          <t>Kab. Bandung</t>
        </is>
      </c>
      <c r="Q346" s="184" t="inlineStr">
        <is>
          <t>Website</t>
        </is>
      </c>
      <c r="R346" s="131" t="inlineStr">
        <is>
          <t>e-sptpd.bandungkab.go.id.</t>
        </is>
      </c>
      <c r="S346" s="184" t="inlineStr">
        <is>
          <t>Secara Online</t>
        </is>
      </c>
      <c r="T346" s="184" t="inlineStr">
        <is>
          <t>Transaksi</t>
        </is>
      </c>
      <c r="U346" s="184" t="n">
        <v>2018</v>
      </c>
      <c r="V346" s="184" t="inlineStr">
        <is>
          <t>Aktif</t>
        </is>
      </c>
      <c r="W346" s="184" t="inlineStr">
        <is>
          <t>Ya</t>
        </is>
      </c>
      <c r="X346" s="184" t="inlineStr">
        <is>
          <t>Tidak Terintegrasi</t>
        </is>
      </c>
      <c r="Y346" s="184" t="inlineStr">
        <is>
          <t>Tidak Terintegrasi</t>
        </is>
      </c>
      <c r="Z346" s="184" t="inlineStr">
        <is>
          <t>Bulanan</t>
        </is>
      </c>
      <c r="AA346" s="184" t="inlineStr">
        <is>
          <t>Bagian Keuangan</t>
        </is>
      </c>
      <c r="AB346" s="184" t="inlineStr">
        <is>
          <t>Bapenda</t>
        </is>
      </c>
      <c r="AC346" s="184" t="inlineStr">
        <is>
          <t>Mimin Mintarsih dan Haneu Nuraeni</t>
        </is>
      </c>
      <c r="AD346" s="184" t="inlineStr">
        <is>
          <t>081222537833 dan 082116135826</t>
        </is>
      </c>
      <c r="AE346" s="184" t="inlineStr">
        <is>
          <t>mintarsihmimin7990@gmail.com dan haneunuraeni@gmail.com</t>
        </is>
      </c>
      <c r="AF346" s="288" t="n"/>
      <c r="AG346" s="184" t="inlineStr">
        <is>
          <t>Harian</t>
        </is>
      </c>
      <c r="AH346" s="284" t="n"/>
      <c r="AI346" s="284" t="n"/>
      <c r="AJ346" s="284" t="n"/>
      <c r="AK346" s="284" t="n"/>
      <c r="AL346" s="284" t="n"/>
      <c r="AM346" s="284" t="n"/>
      <c r="AN346" s="284" t="n"/>
      <c r="AO346" s="284" t="n"/>
      <c r="AP346" s="284" t="n"/>
      <c r="AQ346" s="284" t="n"/>
      <c r="AR346" s="284" t="n"/>
      <c r="AS346" s="284" t="n"/>
    </row>
    <row r="347">
      <c r="A347" s="180" t="n">
        <v>11</v>
      </c>
      <c r="B347" s="184" t="inlineStr">
        <is>
          <t>Layanan pengelolaan data statistik</t>
        </is>
      </c>
      <c r="C347" t="inlineStr">
        <is>
          <t>RSUD OTO ISKANDAR</t>
        </is>
      </c>
      <c r="D347" s="184" t="inlineStr">
        <is>
          <t>Untuk mendukung pengelolaan data statistik di tingkat daerah serta berfungsi untuk mengelola, menyajikan, dan mempublikasikan data statistik sektoral</t>
        </is>
      </c>
      <c r="E347" s="184" t="inlineStr">
        <is>
          <t>Peraturan Bupati Bandung Nomor 82 Tahun 2019 tentang Tata Kelola Satu Data Daerah</t>
        </is>
      </c>
      <c r="F347" s="288" t="n"/>
      <c r="G347" s="184" t="inlineStr">
        <is>
          <t>PENGELOLAAN DATA STATISTIK</t>
        </is>
      </c>
      <c r="H347" s="184" t="inlineStr">
        <is>
          <t>Instansi Pemerintah Lainnya</t>
        </is>
      </c>
      <c r="I347" s="184" t="inlineStr">
        <is>
          <t>Data Statistik Sektoral</t>
        </is>
      </c>
      <c r="J347" s="184" t="inlineStr">
        <is>
          <t>Data Statistik Sektoral</t>
        </is>
      </c>
      <c r="K347" s="184" t="inlineStr">
        <is>
          <t>Terbuka</t>
        </is>
      </c>
      <c r="L347" s="184" t="inlineStr">
        <is>
          <t>Tidak terdapat</t>
        </is>
      </c>
      <c r="M347" s="184" t="inlineStr">
        <is>
          <t>Harian</t>
        </is>
      </c>
      <c r="N347" s="130" t="inlineStr">
        <is>
          <t>SIMASDA</t>
        </is>
      </c>
      <c r="O347" s="184" t="inlineStr">
        <is>
          <t>Diskominfo</t>
        </is>
      </c>
      <c r="P347" s="184" t="inlineStr">
        <is>
          <t>Kab. Bandung</t>
        </is>
      </c>
      <c r="Q347" s="184" t="inlineStr">
        <is>
          <t>Website</t>
        </is>
      </c>
      <c r="R347" s="131" t="inlineStr">
        <is>
          <t>https://simasda.bandungkab.go.id/</t>
        </is>
      </c>
      <c r="S347" s="184" t="inlineStr">
        <is>
          <t>Secara Online</t>
        </is>
      </c>
      <c r="T347" s="184" t="inlineStr">
        <is>
          <t>Informasi</t>
        </is>
      </c>
      <c r="U347" s="184" t="n">
        <v>2021</v>
      </c>
      <c r="V347" s="184" t="inlineStr">
        <is>
          <t>Aktif</t>
        </is>
      </c>
      <c r="W347" s="184" t="inlineStr">
        <is>
          <t>Ya</t>
        </is>
      </c>
      <c r="X347" s="184" t="inlineStr">
        <is>
          <t>Satu Data Kabupaten Bandung</t>
        </is>
      </c>
      <c r="Y347" s="184" t="inlineStr">
        <is>
          <t>Web Service</t>
        </is>
      </c>
      <c r="Z347" s="184" t="inlineStr">
        <is>
          <t>Realtime</t>
        </is>
      </c>
      <c r="AA347" s="184" t="inlineStr">
        <is>
          <t>Bagian Perencanaan dan Kehumasan</t>
        </is>
      </c>
      <c r="AB347" s="184" t="inlineStr">
        <is>
          <t>Diskominfo</t>
        </is>
      </c>
      <c r="AC347" s="184" t="inlineStr">
        <is>
          <t>Anindya Meilasari Dewi, SE</t>
        </is>
      </c>
      <c r="AD347" s="184" t="n">
        <v>85294011791</v>
      </c>
      <c r="AE347" s="184" t="inlineStr">
        <is>
          <t>anindyameilasaridewi@gmail.com</t>
        </is>
      </c>
      <c r="AF347" s="288" t="n"/>
      <c r="AG347" s="184" t="inlineStr">
        <is>
          <t>Setiap Saat</t>
        </is>
      </c>
      <c r="AH347" s="284" t="n"/>
      <c r="AI347" s="284" t="n"/>
      <c r="AJ347" s="284" t="n"/>
      <c r="AK347" s="284" t="n"/>
      <c r="AL347" s="284" t="n"/>
      <c r="AM347" s="284" t="n"/>
      <c r="AN347" s="284" t="n"/>
      <c r="AO347" s="284" t="n"/>
      <c r="AP347" s="284" t="n"/>
      <c r="AQ347" s="284" t="n"/>
      <c r="AR347" s="284" t="n"/>
      <c r="AS347" s="284" t="n"/>
    </row>
    <row r="348">
      <c r="A348" s="180" t="n">
        <v>12</v>
      </c>
      <c r="B348" s="184" t="inlineStr">
        <is>
          <t>Layanan Pengelolaan Gudang Logistik</t>
        </is>
      </c>
      <c r="C348" t="inlineStr">
        <is>
          <t>RSUD OTO ISKANDAR</t>
        </is>
      </c>
      <c r="D348" s="184" t="inlineStr">
        <is>
          <t>Pengelolaan barang-barang penunjang operasional rumah sakit di luar obat dan BMHP, pencatatan barang mulai dari masuk hingga keluar disertai dokumentasi dan laporan transaksi</t>
        </is>
      </c>
      <c r="E348" s="288" t="n"/>
      <c r="F348" s="288" t="n"/>
      <c r="G348" s="184" t="inlineStr">
        <is>
          <t>PENGELOLAAN SUMBER DAYA DAN PERANGKAT INFORMATIKA</t>
        </is>
      </c>
      <c r="H348" s="184" t="inlineStr">
        <is>
          <t>Instansi Pemerintah Lainnya</t>
        </is>
      </c>
      <c r="I348" s="184" t="inlineStr">
        <is>
          <t>Data Barang</t>
        </is>
      </c>
      <c r="J348" s="178" t="inlineStr">
        <is>
          <t>Catatan transaksi keluar masuk barang</t>
        </is>
      </c>
      <c r="K348" s="184" t="inlineStr">
        <is>
          <t>Terbatas</t>
        </is>
      </c>
      <c r="L348" s="184" t="inlineStr">
        <is>
          <t>Tidak terdapat</t>
        </is>
      </c>
      <c r="M348" s="288" t="n"/>
      <c r="N348" s="130" t="inlineStr">
        <is>
          <t>Layanan Pengelolaan Gudang Logistik OTO</t>
        </is>
      </c>
      <c r="O348" s="184" t="inlineStr">
        <is>
          <t>OPD</t>
        </is>
      </c>
      <c r="P348" s="184" t="inlineStr">
        <is>
          <t>Kab. Bandung</t>
        </is>
      </c>
      <c r="Q348" s="184" t="inlineStr">
        <is>
          <t>Desktop</t>
        </is>
      </c>
      <c r="R348" s="184" t="inlineStr">
        <is>
          <t>(Internal)</t>
        </is>
      </c>
      <c r="S348" s="184" t="inlineStr">
        <is>
          <t>Secara Offline</t>
        </is>
      </c>
      <c r="T348" s="184" t="inlineStr">
        <is>
          <t>Informasi</t>
        </is>
      </c>
      <c r="U348" s="184" t="n">
        <v>2015</v>
      </c>
      <c r="V348" s="184" t="inlineStr">
        <is>
          <t>Aktif</t>
        </is>
      </c>
      <c r="W348" s="184" t="inlineStr">
        <is>
          <t>Tidak</t>
        </is>
      </c>
      <c r="X348" s="184" t="inlineStr">
        <is>
          <t>Tidak terintegrasi</t>
        </is>
      </c>
      <c r="Y348" s="184" t="inlineStr">
        <is>
          <t>Tidak Terintegrasi</t>
        </is>
      </c>
      <c r="Z348" s="184" t="inlineStr">
        <is>
          <t>Tidak Terintegrasi</t>
        </is>
      </c>
      <c r="AA348" s="184" t="inlineStr">
        <is>
          <t>Bagian Umum dan Kepegawaian</t>
        </is>
      </c>
      <c r="AB348" s="184" t="inlineStr">
        <is>
          <t>Dinkes</t>
        </is>
      </c>
      <c r="AC348" s="288" t="n"/>
      <c r="AD348" s="288" t="n"/>
      <c r="AE348" s="288" t="n"/>
      <c r="AF348" s="288" t="n"/>
      <c r="AG348" s="184" t="inlineStr">
        <is>
          <t>Bulanan</t>
        </is>
      </c>
      <c r="AH348" s="284" t="n"/>
      <c r="AI348" s="284" t="n"/>
      <c r="AJ348" s="284" t="n"/>
      <c r="AK348" s="284" t="n"/>
      <c r="AL348" s="284" t="n"/>
      <c r="AM348" s="284" t="n"/>
      <c r="AN348" s="284" t="n"/>
      <c r="AO348" s="284" t="n"/>
      <c r="AP348" s="284" t="n"/>
      <c r="AQ348" s="284" t="n"/>
      <c r="AR348" s="284" t="n"/>
      <c r="AS348" s="284" t="n"/>
    </row>
    <row r="349">
      <c r="A349" s="180" t="n">
        <v>13</v>
      </c>
      <c r="B349" s="184" t="inlineStr">
        <is>
          <t>Layanan Rujukan</t>
        </is>
      </c>
      <c r="C349" t="inlineStr">
        <is>
          <t>RSUD OTO ISKANDAR</t>
        </is>
      </c>
      <c r="D349"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349" s="184" t="inlineStr">
        <is>
          <t>Surat Edaran Menteri Kesehatan Nomor HK.02.02/I/1161/2022 tentang Implementasi Penggunaan Aplikasi SISRUTE</t>
        </is>
      </c>
      <c r="F349" s="184" t="inlineStr">
        <is>
          <t>SOP RUJUKAN</t>
        </is>
      </c>
      <c r="G349" s="184" t="inlineStr">
        <is>
          <t>PENGELOLAAN PELAYANAN KESEHATAN</t>
        </is>
      </c>
      <c r="H349" s="184" t="inlineStr">
        <is>
          <t>Masyarakat</t>
        </is>
      </c>
      <c r="I349" s="184" t="inlineStr">
        <is>
          <t>Data Klinis dan Kebutuhan rujukan pasien</t>
        </is>
      </c>
      <c r="J349" s="178" t="inlineStr">
        <is>
          <t>Penerimaan rujukan sesuai kebutuhan pasien</t>
        </is>
      </c>
      <c r="K349" s="184" t="inlineStr">
        <is>
          <t>Terbatas</t>
        </is>
      </c>
      <c r="L349" s="184" t="inlineStr">
        <is>
          <t>Terdapat</t>
        </is>
      </c>
      <c r="M349" s="184" t="inlineStr">
        <is>
          <t>Harian</t>
        </is>
      </c>
      <c r="N349" s="130" t="inlineStr">
        <is>
          <t>SISRUTE</t>
        </is>
      </c>
      <c r="O349" s="184" t="inlineStr">
        <is>
          <t>Pusat</t>
        </is>
      </c>
      <c r="P349" s="184" t="inlineStr">
        <is>
          <t>Pusat</t>
        </is>
      </c>
      <c r="Q349" s="184" t="inlineStr">
        <is>
          <t>Website</t>
        </is>
      </c>
      <c r="R349" s="131" t="inlineStr">
        <is>
          <t>https://sisrute.kemkes.go.id/</t>
        </is>
      </c>
      <c r="S349" s="184" t="inlineStr">
        <is>
          <t>Secara Online</t>
        </is>
      </c>
      <c r="T349" s="184" t="inlineStr">
        <is>
          <t>Informasi</t>
        </is>
      </c>
      <c r="U349" s="184" t="n">
        <v>2016</v>
      </c>
      <c r="V349" s="184" t="inlineStr">
        <is>
          <t>Aktif</t>
        </is>
      </c>
      <c r="W349" s="184" t="inlineStr">
        <is>
          <t>Tidak</t>
        </is>
      </c>
      <c r="X349" s="184" t="inlineStr">
        <is>
          <t>Tidak terintegrasi</t>
        </is>
      </c>
      <c r="Y349" s="184" t="inlineStr">
        <is>
          <t>Tidak Terintegrasi</t>
        </is>
      </c>
      <c r="Z349" s="184" t="inlineStr">
        <is>
          <t>Tidak Terintegrasi</t>
        </is>
      </c>
      <c r="AA349" s="184" t="inlineStr">
        <is>
          <t>Bagian Pelayanan Medik</t>
        </is>
      </c>
      <c r="AB349" s="184" t="inlineStr">
        <is>
          <t>Dinkes</t>
        </is>
      </c>
      <c r="AC349" s="288" t="n"/>
      <c r="AD349" s="288" t="n"/>
      <c r="AE349" s="288" t="n"/>
      <c r="AF349" s="288" t="n"/>
      <c r="AG349" s="184" t="inlineStr">
        <is>
          <t>Harian</t>
        </is>
      </c>
      <c r="AH349" s="284" t="n"/>
      <c r="AI349" s="284" t="n"/>
      <c r="AJ349" s="284" t="n"/>
      <c r="AK349" s="284" t="n"/>
      <c r="AL349" s="284" t="n"/>
      <c r="AM349" s="284" t="n"/>
      <c r="AN349" s="284" t="n"/>
      <c r="AO349" s="284" t="n"/>
      <c r="AP349" s="284" t="n"/>
      <c r="AQ349" s="284" t="n"/>
      <c r="AR349" s="284" t="n"/>
      <c r="AS349" s="284" t="n"/>
    </row>
    <row r="350">
      <c r="A350" s="180" t="n">
        <v>14</v>
      </c>
      <c r="B350" s="184" t="inlineStr">
        <is>
          <t>Layanan Pelaporan Pajak</t>
        </is>
      </c>
      <c r="C350" t="inlineStr">
        <is>
          <t>RSUD OTO ISKANDAR</t>
        </is>
      </c>
      <c r="D350" s="184" t="inlineStr">
        <is>
          <t>Coretax (Core Tax Administration System/CTAS) adalah sistem administrasi perpajakan baru Direktorat Jenderal Pajak (DJP) yang mengintegrasikan seluruh proses bisnis perpajakan—pendaftaran, pelaporan SPT, pembayaran, hingga pemeriksaan—dalam satu portal terpadu</t>
        </is>
      </c>
      <c r="E350" s="184"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350" s="288" t="n"/>
      <c r="G350" s="184" t="inlineStr">
        <is>
          <t>AKUNTANSI DAN PELAPORAN KEUANGAN</t>
        </is>
      </c>
      <c r="H350" s="184" t="inlineStr">
        <is>
          <t>Pegawai</t>
        </is>
      </c>
      <c r="I350" s="184" t="inlineStr">
        <is>
          <t>Pajak PPH 21, PPH 22, PPH 23 Dan PPN</t>
        </is>
      </c>
      <c r="J350" s="178" t="inlineStr">
        <is>
          <t>Bukti setor pajak</t>
        </is>
      </c>
      <c r="K350" s="184" t="inlineStr">
        <is>
          <t>Terbatas</t>
        </is>
      </c>
      <c r="L350" s="184" t="inlineStr">
        <is>
          <t>Terdapat</t>
        </is>
      </c>
      <c r="M350" s="184" t="inlineStr">
        <is>
          <t>Harian</t>
        </is>
      </c>
      <c r="N350" s="130" t="inlineStr">
        <is>
          <t>Coretax</t>
        </is>
      </c>
      <c r="O350" s="184" t="inlineStr">
        <is>
          <t>Pusat</t>
        </is>
      </c>
      <c r="P350" s="184" t="inlineStr">
        <is>
          <t>Pusat</t>
        </is>
      </c>
      <c r="Q350" s="184" t="inlineStr">
        <is>
          <t>Website</t>
        </is>
      </c>
      <c r="R350" s="131" t="inlineStr">
        <is>
          <t>https://coretaxdjp.pajak.go.id</t>
        </is>
      </c>
      <c r="S350" s="184" t="inlineStr">
        <is>
          <t>Secara Online</t>
        </is>
      </c>
      <c r="T350" s="184" t="inlineStr">
        <is>
          <t>Transaksi</t>
        </is>
      </c>
      <c r="U350" s="184" t="n">
        <v>2025</v>
      </c>
      <c r="V350" s="184" t="inlineStr">
        <is>
          <t>Aktif</t>
        </is>
      </c>
      <c r="W350" s="184" t="inlineStr">
        <is>
          <t>Ya</t>
        </is>
      </c>
      <c r="X350" s="184" t="inlineStr">
        <is>
          <t>coretax</t>
        </is>
      </c>
      <c r="Y350" s="184" t="inlineStr">
        <is>
          <t>Web Service</t>
        </is>
      </c>
      <c r="Z350" s="184" t="inlineStr">
        <is>
          <t>Bulanan</t>
        </is>
      </c>
      <c r="AA350" s="184" t="inlineStr">
        <is>
          <t>Bagian Keuangan</t>
        </is>
      </c>
      <c r="AB350" s="184" t="inlineStr">
        <is>
          <t>BKAD</t>
        </is>
      </c>
      <c r="AC350" s="184" t="inlineStr">
        <is>
          <t>Mimin Mintarsih,S.E dan Shandy Budi Oetama,S.E</t>
        </is>
      </c>
      <c r="AD350" s="184" t="inlineStr">
        <is>
          <t>081222537833 dan 085720024777</t>
        </is>
      </c>
      <c r="AE350" s="184" t="inlineStr">
        <is>
          <t>mintarsihmimin7990@gmail.com dan shandy.oetama@gmail.com</t>
        </is>
      </c>
      <c r="AF350" s="288" t="n"/>
      <c r="AG350" s="184" t="inlineStr">
        <is>
          <t>Bulanan</t>
        </is>
      </c>
      <c r="AH350" s="284" t="n"/>
      <c r="AI350" s="284" t="n"/>
      <c r="AJ350" s="284" t="n"/>
      <c r="AK350" s="284" t="n"/>
      <c r="AL350" s="284" t="n"/>
      <c r="AM350" s="284" t="n"/>
      <c r="AN350" s="284" t="n"/>
      <c r="AO350" s="284" t="n"/>
      <c r="AP350" s="284" t="n"/>
      <c r="AQ350" s="284" t="n"/>
      <c r="AR350" s="284" t="n"/>
      <c r="AS350" s="284" t="n"/>
    </row>
    <row r="351">
      <c r="A351" s="180" t="n">
        <v>15</v>
      </c>
      <c r="B351" s="184" t="inlineStr">
        <is>
          <t>Layanan Sistem Rekonsiliasi Pajak</t>
        </is>
      </c>
      <c r="C351" t="inlineStr">
        <is>
          <t>RSUD OTO ISKANDAR</t>
        </is>
      </c>
      <c r="D351" s="184"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351" s="184" t="inlineStr">
        <is>
          <t>PMK 67/PMK.07/2024: Peraturan Menteri Keuangan (PMK) ini mengatur tentang rekonsiliasi pajak pusat yang disetorkan pemda ke RKUN dan menjadi dasar validasi untuk penyaluran Dana Bagi Hasil (DBH) PPh dan DBH PBB.</t>
        </is>
      </c>
      <c r="F351" s="288" t="n"/>
      <c r="G351" s="184" t="inlineStr">
        <is>
          <t>AKUNTANSI DAN PELAPORAN KEUANGAN</t>
        </is>
      </c>
      <c r="H351" s="184" t="inlineStr">
        <is>
          <t>Instansi Pemerintah Lainnya</t>
        </is>
      </c>
      <c r="I351" s="184" t="inlineStr">
        <is>
          <t>Pajak yang bersumber dari APBD</t>
        </is>
      </c>
      <c r="J351" s="178" t="inlineStr">
        <is>
          <t>Bukti setor pajak</t>
        </is>
      </c>
      <c r="K351" s="184" t="inlineStr">
        <is>
          <t>Terbatas</t>
        </is>
      </c>
      <c r="L351" s="184" t="inlineStr">
        <is>
          <t>Tidak terdapat</t>
        </is>
      </c>
      <c r="M351" s="184" t="inlineStr">
        <is>
          <t>Bulanan</t>
        </is>
      </c>
      <c r="N351" s="130" t="inlineStr">
        <is>
          <t>SIREKON</t>
        </is>
      </c>
      <c r="O351" s="184" t="inlineStr">
        <is>
          <t>Diskominfo</t>
        </is>
      </c>
      <c r="P351" s="184" t="inlineStr">
        <is>
          <t>Kab. Bandung</t>
        </is>
      </c>
      <c r="Q351" s="184" t="inlineStr">
        <is>
          <t>Website</t>
        </is>
      </c>
      <c r="R351" s="131" t="inlineStr">
        <is>
          <t>https://sirekonpajak.bandungkab.go.id/</t>
        </is>
      </c>
      <c r="S351" s="184" t="inlineStr">
        <is>
          <t>Secara Online</t>
        </is>
      </c>
      <c r="T351" s="184" t="inlineStr">
        <is>
          <t>Informasi</t>
        </is>
      </c>
      <c r="U351" s="184" t="n">
        <v>2022</v>
      </c>
      <c r="V351" s="184" t="inlineStr">
        <is>
          <t>Aktif</t>
        </is>
      </c>
      <c r="W351" s="184" t="inlineStr">
        <is>
          <t>Ya</t>
        </is>
      </c>
      <c r="X351" s="288" t="n"/>
      <c r="Y351" s="184" t="inlineStr">
        <is>
          <t>Web Service</t>
        </is>
      </c>
      <c r="Z351" s="184" t="inlineStr">
        <is>
          <t>Bulanan</t>
        </is>
      </c>
      <c r="AA351" s="184" t="inlineStr">
        <is>
          <t>Bagian Keuangan</t>
        </is>
      </c>
      <c r="AB351" s="184" t="inlineStr">
        <is>
          <t>BKAD</t>
        </is>
      </c>
      <c r="AC351" s="184" t="inlineStr">
        <is>
          <t>Soleh Nurdin,SAB dan Shandy Budi Oetama,S.E</t>
        </is>
      </c>
      <c r="AD351" s="184" t="inlineStr">
        <is>
          <t>081322777660 dan 085720024777</t>
        </is>
      </c>
      <c r="AE351" s="184" t="inlineStr">
        <is>
          <t>solehnurdin1969@gmail.com dan shandy.oetama@gmail.com</t>
        </is>
      </c>
      <c r="AF351" s="288" t="n"/>
      <c r="AG351" s="184" t="inlineStr">
        <is>
          <t>Bulanan</t>
        </is>
      </c>
      <c r="AH351" s="284" t="n"/>
      <c r="AI351" s="284" t="n"/>
      <c r="AJ351" s="284" t="n"/>
      <c r="AK351" s="284" t="n"/>
      <c r="AL351" s="284" t="n"/>
      <c r="AM351" s="284" t="n"/>
      <c r="AN351" s="284" t="n"/>
      <c r="AO351" s="284" t="n"/>
      <c r="AP351" s="284" t="n"/>
      <c r="AQ351" s="284" t="n"/>
      <c r="AR351" s="284" t="n"/>
      <c r="AS351" s="284" t="n"/>
    </row>
    <row r="352">
      <c r="A352" s="180" t="n">
        <v>16</v>
      </c>
      <c r="B352" s="184" t="inlineStr">
        <is>
          <t>Layanan Informasi Modul Penerimaan Negara (MPN)</t>
        </is>
      </c>
      <c r="C352" t="inlineStr">
        <is>
          <t>RSUD OTO ISKANDAR</t>
        </is>
      </c>
      <c r="D352" s="184" t="inlineStr">
        <is>
          <t>memodernisasi pengelolaan penerimaan negara, memudahkan wajib pajak/bayar dalam menyetorkan pajak, bea cukai, dan PNBP secara aman, cepat, dan 24/7.</t>
        </is>
      </c>
      <c r="E352" s="184" t="inlineStr">
        <is>
          <t>PMK Nomor 225/PMK.05/2020 tentang Sistem Penerimaan Negara secara Elektronik,</t>
        </is>
      </c>
      <c r="F352" s="288" t="n"/>
      <c r="G352" s="184" t="inlineStr">
        <is>
          <t>AKUNTANSI DAN PELAPORAN KEUANGAN</t>
        </is>
      </c>
      <c r="H352" s="184" t="inlineStr">
        <is>
          <t>Instansi Pemerintah Lainnya</t>
        </is>
      </c>
      <c r="I352" s="184" t="inlineStr">
        <is>
          <t>BPJS 1% dan 4%</t>
        </is>
      </c>
      <c r="J352" s="178" t="inlineStr">
        <is>
          <t>Bukti setor BPJS 1% dan 4%</t>
        </is>
      </c>
      <c r="K352" s="184" t="inlineStr">
        <is>
          <t>Terbatas</t>
        </is>
      </c>
      <c r="L352" s="184" t="inlineStr">
        <is>
          <t>Tidak terdapat</t>
        </is>
      </c>
      <c r="M352" s="184" t="inlineStr">
        <is>
          <t>Bulanan</t>
        </is>
      </c>
      <c r="N352" s="130" t="inlineStr">
        <is>
          <t>MPN Kemenkeu</t>
        </is>
      </c>
      <c r="O352" s="184" t="inlineStr">
        <is>
          <t>Pusat</t>
        </is>
      </c>
      <c r="P352" s="184" t="inlineStr">
        <is>
          <t>Pusat</t>
        </is>
      </c>
      <c r="Q352" s="184" t="inlineStr">
        <is>
          <t>Website</t>
        </is>
      </c>
      <c r="R352" s="131" t="inlineStr">
        <is>
          <t>https://mpn.kemenkeu.go.id</t>
        </is>
      </c>
      <c r="S352" s="184" t="inlineStr">
        <is>
          <t>Secara Online</t>
        </is>
      </c>
      <c r="T352" s="184" t="inlineStr">
        <is>
          <t>Transaksi</t>
        </is>
      </c>
      <c r="U352" s="288" t="n"/>
      <c r="V352" s="184" t="inlineStr">
        <is>
          <t>Aktif</t>
        </is>
      </c>
      <c r="W352" s="184" t="inlineStr">
        <is>
          <t>Ya</t>
        </is>
      </c>
      <c r="X352" s="184" t="inlineStr">
        <is>
          <t>BPJS</t>
        </is>
      </c>
      <c r="Y352" s="184" t="inlineStr">
        <is>
          <t>Tidak Terintegrasi</t>
        </is>
      </c>
      <c r="Z352" s="184" t="inlineStr">
        <is>
          <t>Tidak Terintegrasi</t>
        </is>
      </c>
      <c r="AA352" s="184" t="inlineStr">
        <is>
          <t>Bagian Keuangan</t>
        </is>
      </c>
      <c r="AB352" s="184" t="inlineStr">
        <is>
          <t>BKAD</t>
        </is>
      </c>
      <c r="AC352" s="184" t="inlineStr">
        <is>
          <t>Soleh Nurdin,SAB , Mimin Mintarih,S.E dan Shandy Budi Oetama,S.E</t>
        </is>
      </c>
      <c r="AD352" s="184" t="inlineStr">
        <is>
          <t>081222537833 , 081322777660 dan 085720024777</t>
        </is>
      </c>
      <c r="AE352" s="184" t="inlineStr">
        <is>
          <t>mintarsihmimin7990@gmail.comsolehnurdin1969@gmail.com dan shandy.oetama@gmail.com</t>
        </is>
      </c>
      <c r="AF352" s="288" t="n"/>
      <c r="AG352" s="184" t="inlineStr">
        <is>
          <t>Bulanan</t>
        </is>
      </c>
      <c r="AH352" s="284" t="n"/>
      <c r="AI352" s="284" t="n"/>
      <c r="AJ352" s="284" t="n"/>
      <c r="AK352" s="284" t="n"/>
      <c r="AL352" s="284" t="n"/>
      <c r="AM352" s="284" t="n"/>
      <c r="AN352" s="284" t="n"/>
      <c r="AO352" s="284" t="n"/>
      <c r="AP352" s="284" t="n"/>
      <c r="AQ352" s="284" t="n"/>
      <c r="AR352" s="284" t="n"/>
      <c r="AS352" s="284" t="n"/>
    </row>
    <row r="353">
      <c r="A353" s="180" t="n">
        <v>17</v>
      </c>
      <c r="B353" s="184" t="inlineStr">
        <is>
          <t>Layanan Informasi Tuberkulosis (SITB)</t>
        </is>
      </c>
      <c r="C353" t="inlineStr">
        <is>
          <t>RSUD OTO ISKANDAR</t>
        </is>
      </c>
      <c r="D353" s="184"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353" s="184"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353" s="131" t="inlineStr">
        <is>
          <t>https://drive.google.com/drive/folders/1MppwIbicgeJnTSmBS08CzfVFAUOfmdja?usp=sharing</t>
        </is>
      </c>
      <c r="G353" s="184" t="inlineStr">
        <is>
          <t>PENGELOLAAN PELAYANAN KESEHATAN</t>
        </is>
      </c>
      <c r="H353" s="184" t="inlineStr">
        <is>
          <t>Masyarakat</t>
        </is>
      </c>
      <c r="I353" s="184" t="inlineStr">
        <is>
          <t>Identitas pasien, data klinis dan faktor risiko, data pemeriksaan diagnostik (mikroskopis sputum, Tes Cepat Molekuler (TCM), kultur, dan uji kepekaan obat), data pengobatan pasien TB, pemantauan dan evaluasi pengobatan.</t>
        </is>
      </c>
      <c r="J353" s="178" t="inlineStr">
        <is>
          <t>Data jumlah kasus TB yang terlaporkan (distribusi kasus berdasarkan umur, jenis kelamin, wilayah, serta jenis TB ), data hasil pemeriksaan diagnostik, data pemantauan dan data hasil indikator kinerja program TB.</t>
        </is>
      </c>
      <c r="K353" s="184" t="inlineStr">
        <is>
          <t>Terbatas</t>
        </is>
      </c>
      <c r="L353" s="184" t="inlineStr">
        <is>
          <t>Terdapat</t>
        </is>
      </c>
      <c r="M353" s="184" t="inlineStr">
        <is>
          <t>Lainnya</t>
        </is>
      </c>
      <c r="N353" s="130" t="inlineStr">
        <is>
          <t>Sistem Informasi Tuberkulosis (SITB)</t>
        </is>
      </c>
      <c r="O353" s="184" t="inlineStr">
        <is>
          <t>Pusat</t>
        </is>
      </c>
      <c r="P353" s="184" t="inlineStr">
        <is>
          <t>Pusat</t>
        </is>
      </c>
      <c r="Q353" s="184" t="inlineStr">
        <is>
          <t>Website dan Mobile</t>
        </is>
      </c>
      <c r="R353" s="131" t="inlineStr">
        <is>
          <t>http://dkijabarbanten.sitb.id/</t>
        </is>
      </c>
      <c r="S353" s="184" t="inlineStr">
        <is>
          <t>Secara Online</t>
        </is>
      </c>
      <c r="T353" s="184" t="inlineStr">
        <is>
          <t>Informasi</t>
        </is>
      </c>
      <c r="U353" s="184" t="n">
        <v>2018</v>
      </c>
      <c r="V353" s="184" t="inlineStr">
        <is>
          <t>Aktif</t>
        </is>
      </c>
      <c r="W353" s="184" t="inlineStr">
        <is>
          <t>Ya</t>
        </is>
      </c>
      <c r="X353" s="184" t="inlineStr">
        <is>
          <t>SATUSEHAT Platform, Sistem Informasi HIV/AIDS dan IMS (SIHA), Sistem Informasi Manajemen Rumah Sakit (SIMRS) dan Sistem Kewaspadaan Dini dan Respons (SKDR).</t>
        </is>
      </c>
      <c r="Y353" s="184" t="inlineStr">
        <is>
          <t>API</t>
        </is>
      </c>
      <c r="Z353" s="184" t="inlineStr">
        <is>
          <t>Realtime</t>
        </is>
      </c>
      <c r="AA353" s="184" t="inlineStr">
        <is>
          <t>Bidang Pelayanan Medis</t>
        </is>
      </c>
      <c r="AB353" s="184" t="inlineStr">
        <is>
          <t>Dinkes</t>
        </is>
      </c>
      <c r="AC353" s="184" t="inlineStr">
        <is>
          <t>Yudha Radityadana</t>
        </is>
      </c>
      <c r="AD353" s="184" t="n">
        <v>82124726619</v>
      </c>
      <c r="AE353" s="184" t="inlineStr">
        <is>
          <t>yudharadityadana@gmail.com dan yudha.radityadana41@ui.ac.id</t>
        </is>
      </c>
      <c r="AF353" s="288" t="n"/>
      <c r="AG353" s="184" t="inlineStr">
        <is>
          <t>Setiap Saat</t>
        </is>
      </c>
      <c r="AH353" s="284" t="n"/>
      <c r="AI353" s="284" t="n"/>
      <c r="AJ353" s="284" t="n"/>
      <c r="AK353" s="284" t="n"/>
      <c r="AL353" s="284" t="n"/>
      <c r="AM353" s="284" t="n"/>
      <c r="AN353" s="284" t="n"/>
      <c r="AO353" s="284" t="n"/>
      <c r="AP353" s="284" t="n"/>
      <c r="AQ353" s="284" t="n"/>
      <c r="AR353" s="284" t="n"/>
      <c r="AS353" s="284" t="n"/>
    </row>
    <row r="354">
      <c r="A354" s="180" t="n">
        <v>18</v>
      </c>
      <c r="B354" s="184" t="inlineStr">
        <is>
          <t>Layanan administrasi kepegawaian</t>
        </is>
      </c>
      <c r="C354" t="inlineStr">
        <is>
          <t>RSUD OTO ISKANDAR</t>
        </is>
      </c>
      <c r="D354" s="184" t="inlineStr">
        <is>
          <t>Sistem informasi kepegawaian ASN Kabupaten Bandung. Fungsi nya untuk layanan administrasi kepegawaian ASN, mulai dari kenaikan pangkat, kenaikan gaji berkala, cuti, pensiun, ijin belajar dll</t>
        </is>
      </c>
      <c r="E354" s="184" t="inlineStr">
        <is>
          <t>Undang Undang Nomor 20 Tahun 2023 ttg ASN</t>
        </is>
      </c>
      <c r="F354" s="288" t="n"/>
      <c r="G354" s="184" t="inlineStr">
        <is>
          <t>PENATAAN SUMBER DAYA MANUSIA APARATUR</t>
        </is>
      </c>
      <c r="H354" s="184" t="inlineStr">
        <is>
          <t>Pegawai</t>
        </is>
      </c>
      <c r="I354" s="184" t="inlineStr">
        <is>
          <t>data kepegawaian</t>
        </is>
      </c>
      <c r="J354" s="178" t="inlineStr">
        <is>
          <t>layanan administrasi kepegawaian</t>
        </is>
      </c>
      <c r="K354" s="184" t="inlineStr">
        <is>
          <t>Terbatas</t>
        </is>
      </c>
      <c r="L354" s="184" t="inlineStr">
        <is>
          <t>Terdapat</t>
        </is>
      </c>
      <c r="M354" s="184" t="inlineStr">
        <is>
          <t>Bulanan</t>
        </is>
      </c>
      <c r="N354" s="130" t="inlineStr">
        <is>
          <t>simpel bkpsdm</t>
        </is>
      </c>
      <c r="O354" s="184" t="inlineStr">
        <is>
          <t>OPD</t>
        </is>
      </c>
      <c r="P354" s="184" t="inlineStr">
        <is>
          <t>Kab. Bandung</t>
        </is>
      </c>
      <c r="Q354" s="184" t="inlineStr">
        <is>
          <t>Website</t>
        </is>
      </c>
      <c r="R354" s="131" t="inlineStr">
        <is>
          <t>simpelbkpsdm.bandungkab.go.id</t>
        </is>
      </c>
      <c r="S354" s="184" t="inlineStr">
        <is>
          <t>Secara Online</t>
        </is>
      </c>
      <c r="T354" s="184" t="inlineStr">
        <is>
          <t>Informasi</t>
        </is>
      </c>
      <c r="U354" s="184" t="n">
        <v>2018</v>
      </c>
      <c r="V354" s="184" t="inlineStr">
        <is>
          <t>Aktif</t>
        </is>
      </c>
      <c r="W354" s="184" t="inlineStr">
        <is>
          <t>Ya</t>
        </is>
      </c>
      <c r="X354" s="184" t="inlineStr">
        <is>
          <t>SIASN</t>
        </is>
      </c>
      <c r="Y354" s="184" t="inlineStr">
        <is>
          <t>Database to Database</t>
        </is>
      </c>
      <c r="Z354" s="184" t="inlineStr">
        <is>
          <t>Lainnya</t>
        </is>
      </c>
      <c r="AA354" s="184" t="inlineStr">
        <is>
          <t>Bagian Umum dan Kepegawaian</t>
        </is>
      </c>
      <c r="AB354" s="184" t="inlineStr">
        <is>
          <t>BKPSDM</t>
        </is>
      </c>
      <c r="AC354" s="184" t="inlineStr">
        <is>
          <t>Dede Sarifudin, Welga Adibayu</t>
        </is>
      </c>
      <c r="AD354" s="184" t="n">
        <v>85222063396</v>
      </c>
      <c r="AE354" s="184" t="inlineStr">
        <is>
          <t>kepegawaian.rsud.majalay@gmail.com</t>
        </is>
      </c>
      <c r="AF354" s="288" t="n"/>
      <c r="AG354" s="184" t="inlineStr">
        <is>
          <t>Setiap Saat</t>
        </is>
      </c>
      <c r="AH354" s="284" t="n"/>
      <c r="AI354" s="284" t="n"/>
      <c r="AJ354" s="284" t="n"/>
      <c r="AK354" s="284" t="n"/>
      <c r="AL354" s="284" t="n"/>
      <c r="AM354" s="284" t="n"/>
      <c r="AN354" s="284" t="n"/>
      <c r="AO354" s="284" t="n"/>
      <c r="AP354" s="284" t="n"/>
      <c r="AQ354" s="284" t="n"/>
      <c r="AR354" s="284" t="n"/>
      <c r="AS354" s="284" t="n"/>
    </row>
    <row r="355">
      <c r="A355" s="180" t="n">
        <v>19</v>
      </c>
      <c r="B355" s="184" t="inlineStr">
        <is>
          <t>Layanan Daftar Hadir Eletronik</t>
        </is>
      </c>
      <c r="C355" t="inlineStr">
        <is>
          <t>RSUD OTO ISKANDAR</t>
        </is>
      </c>
      <c r="D355" s="184" t="inlineStr">
        <is>
          <t>Layanan presensi kehadiran ASN</t>
        </is>
      </c>
      <c r="E355" s="184" t="inlineStr">
        <is>
          <t>Undang Undang Nomor 20 Tahun 2023 ttg ASN</t>
        </is>
      </c>
      <c r="F355" s="288" t="n"/>
      <c r="G355" s="184" t="inlineStr">
        <is>
          <t>PENATAAN SUMBER DAYA MANUSIA APARATUR</t>
        </is>
      </c>
      <c r="H355" s="184" t="inlineStr">
        <is>
          <t>Pegawai</t>
        </is>
      </c>
      <c r="I355" s="184" t="inlineStr">
        <is>
          <t>Kehadiran ASN</t>
        </is>
      </c>
      <c r="J355" s="178" t="inlineStr">
        <is>
          <t>Kehadiran ASN</t>
        </is>
      </c>
      <c r="K355" s="184" t="inlineStr">
        <is>
          <t>Terbatas</t>
        </is>
      </c>
      <c r="L355" s="184" t="inlineStr">
        <is>
          <t>Terdapat</t>
        </is>
      </c>
      <c r="M355" s="184" t="inlineStr">
        <is>
          <t>Harian</t>
        </is>
      </c>
      <c r="N355" s="130" t="inlineStr">
        <is>
          <t>DHE</t>
        </is>
      </c>
      <c r="O355" s="184" t="inlineStr">
        <is>
          <t>OPD</t>
        </is>
      </c>
      <c r="P355" s="184" t="inlineStr">
        <is>
          <t>Kab. Bandung</t>
        </is>
      </c>
      <c r="Q355" s="184" t="inlineStr">
        <is>
          <t>Mobile</t>
        </is>
      </c>
      <c r="R355" s="220" t="inlineStr">
        <is>
          <t>DHE</t>
        </is>
      </c>
      <c r="S355" s="184" t="inlineStr">
        <is>
          <t>Secara Online</t>
        </is>
      </c>
      <c r="T355" s="184" t="inlineStr">
        <is>
          <t>Informasi</t>
        </is>
      </c>
      <c r="U355" s="288" t="n"/>
      <c r="V355" s="184" t="inlineStr">
        <is>
          <t>Aktif</t>
        </is>
      </c>
      <c r="W355" s="184" t="inlineStr">
        <is>
          <t>Ya</t>
        </is>
      </c>
      <c r="X355" s="184" t="inlineStr">
        <is>
          <t>e-absensi, sasikap</t>
        </is>
      </c>
      <c r="Y355" s="184" t="inlineStr">
        <is>
          <t>Web Service</t>
        </is>
      </c>
      <c r="Z355" s="184" t="inlineStr">
        <is>
          <t>Harian</t>
        </is>
      </c>
      <c r="AA355" s="184" t="inlineStr">
        <is>
          <t>Bagian Umum dan Kepegawaian</t>
        </is>
      </c>
      <c r="AB355" s="184" t="inlineStr">
        <is>
          <t>Diskominfo</t>
        </is>
      </c>
      <c r="AC355" s="184" t="inlineStr">
        <is>
          <t>Dede Sarifudin, Welga Adibayu, Iis Ismawati</t>
        </is>
      </c>
      <c r="AD355" s="184" t="n">
        <v>85222063396</v>
      </c>
      <c r="AE355" s="184" t="inlineStr">
        <is>
          <t>kepegawaian.rsud.majalay@gmail.com</t>
        </is>
      </c>
      <c r="AF355" s="288" t="n"/>
      <c r="AG355" s="184" t="inlineStr">
        <is>
          <t>Setiap Saat</t>
        </is>
      </c>
      <c r="AH355" s="284" t="n"/>
      <c r="AI355" s="284" t="n"/>
      <c r="AJ355" s="284" t="n"/>
      <c r="AK355" s="284" t="n"/>
      <c r="AL355" s="284" t="n"/>
      <c r="AM355" s="284" t="n"/>
      <c r="AN355" s="284" t="n"/>
      <c r="AO355" s="284" t="n"/>
      <c r="AP355" s="284" t="n"/>
      <c r="AQ355" s="284" t="n"/>
      <c r="AR355" s="284" t="n"/>
      <c r="AS355" s="284" t="n"/>
    </row>
    <row r="356">
      <c r="A356" s="180" t="n">
        <v>20</v>
      </c>
      <c r="B356" s="184" t="inlineStr">
        <is>
          <t>Layanan surat menyurat elektronik</t>
        </is>
      </c>
      <c r="C356" t="inlineStr">
        <is>
          <t>RSUD OTO ISKANDAR</t>
        </is>
      </c>
      <c r="D356" s="184" t="inlineStr">
        <is>
          <t>Layanan surat menyurat</t>
        </is>
      </c>
      <c r="E356" s="288" t="n"/>
      <c r="F356" s="288" t="n"/>
      <c r="G356" s="184" t="inlineStr">
        <is>
          <t>PENATAAN SISTEM KELEMBAGAAN</t>
        </is>
      </c>
      <c r="H356" s="184" t="inlineStr">
        <is>
          <t>Pegawai</t>
        </is>
      </c>
      <c r="I356" s="184" t="inlineStr">
        <is>
          <t>surat dinas</t>
        </is>
      </c>
      <c r="J356" s="178" t="inlineStr">
        <is>
          <t>surat dinas</t>
        </is>
      </c>
      <c r="K356" s="184" t="inlineStr">
        <is>
          <t>Terbatas</t>
        </is>
      </c>
      <c r="L356" s="184" t="inlineStr">
        <is>
          <t>Tidak terdapat</t>
        </is>
      </c>
      <c r="M356" s="184" t="inlineStr">
        <is>
          <t>Harian</t>
        </is>
      </c>
      <c r="N356" s="130" t="inlineStr">
        <is>
          <t>Sultan</t>
        </is>
      </c>
      <c r="O356" s="184" t="inlineStr">
        <is>
          <t>OPD</t>
        </is>
      </c>
      <c r="P356" s="184" t="inlineStr">
        <is>
          <t>Kab. Bandung</t>
        </is>
      </c>
      <c r="Q356" s="184" t="inlineStr">
        <is>
          <t>Website dan Mobile</t>
        </is>
      </c>
      <c r="R356" s="131" t="inlineStr">
        <is>
          <t>sultan.banadungkab.go.id</t>
        </is>
      </c>
      <c r="S356" s="184" t="inlineStr">
        <is>
          <t>Secara Online</t>
        </is>
      </c>
      <c r="T356" s="184" t="inlineStr">
        <is>
          <t>Informasi</t>
        </is>
      </c>
      <c r="U356" s="288" t="n"/>
      <c r="V356" s="184" t="inlineStr">
        <is>
          <t>Aktif</t>
        </is>
      </c>
      <c r="W356" s="184" t="inlineStr">
        <is>
          <t>Tidak</t>
        </is>
      </c>
      <c r="X356" s="184" t="inlineStr">
        <is>
          <t>tidak terintegrasi</t>
        </is>
      </c>
      <c r="Y356" s="184" t="inlineStr">
        <is>
          <t>Tidak Terintegrasi</t>
        </is>
      </c>
      <c r="Z356" s="184" t="inlineStr">
        <is>
          <t>Tidak Terintegrasi</t>
        </is>
      </c>
      <c r="AA356" s="184" t="inlineStr">
        <is>
          <t>semua bidang/bagian</t>
        </is>
      </c>
      <c r="AB356" s="184" t="inlineStr">
        <is>
          <t>Diskominfo</t>
        </is>
      </c>
      <c r="AC356" s="184" t="inlineStr">
        <is>
          <t>Dede Sarifudin, Welga Adibayu, Dea Hiluri, Rahmi Fthorani</t>
        </is>
      </c>
      <c r="AD356" s="184" t="n">
        <v>85222063396</v>
      </c>
      <c r="AE356" s="184" t="inlineStr">
        <is>
          <t>kepegawaian.rsud.majalay@gmail.com</t>
        </is>
      </c>
      <c r="AF356" s="288" t="n"/>
      <c r="AG356" s="184" t="inlineStr">
        <is>
          <t>Setiap Saat</t>
        </is>
      </c>
      <c r="AH356" s="284" t="n"/>
      <c r="AI356" s="284" t="n"/>
      <c r="AJ356" s="284" t="n"/>
      <c r="AK356" s="284" t="n"/>
      <c r="AL356" s="284" t="n"/>
      <c r="AM356" s="284" t="n"/>
      <c r="AN356" s="284" t="n"/>
      <c r="AO356" s="284" t="n"/>
      <c r="AP356" s="284" t="n"/>
      <c r="AQ356" s="284" t="n"/>
      <c r="AR356" s="284" t="n"/>
      <c r="AS356" s="284" t="n"/>
    </row>
    <row r="357">
      <c r="A357" s="180" t="n">
        <v>21</v>
      </c>
      <c r="B357" s="184" t="inlineStr">
        <is>
          <t>Laporan aktivitas harian ASN</t>
        </is>
      </c>
      <c r="C357" t="inlineStr">
        <is>
          <t>RSUD OTO ISKANDAR</t>
        </is>
      </c>
      <c r="D357" s="184" t="inlineStr">
        <is>
          <t>Laporan aktivitas harian ASN</t>
        </is>
      </c>
      <c r="E357" s="184" t="inlineStr">
        <is>
          <t>Undang Undang Nomor 20 Tahun 2023 ttg ASN</t>
        </is>
      </c>
      <c r="F357" s="288" t="n"/>
      <c r="G357" s="184" t="inlineStr">
        <is>
          <t>PENATAAN SUMBER DAYA MANUSIA APARATUR</t>
        </is>
      </c>
      <c r="H357" s="184" t="inlineStr">
        <is>
          <t>Pegawai</t>
        </is>
      </c>
      <c r="I357" s="184" t="inlineStr">
        <is>
          <t>aktivitas ASN</t>
        </is>
      </c>
      <c r="J357" s="178" t="inlineStr">
        <is>
          <t>aktivitas ASN</t>
        </is>
      </c>
      <c r="K357" s="184" t="inlineStr">
        <is>
          <t>Terbatas</t>
        </is>
      </c>
      <c r="L357" s="184" t="inlineStr">
        <is>
          <t>Tidak terdapat</t>
        </is>
      </c>
      <c r="M357" s="184" t="inlineStr">
        <is>
          <t>Harian</t>
        </is>
      </c>
      <c r="N357" s="130" t="inlineStr">
        <is>
          <t>SASIKAP</t>
        </is>
      </c>
      <c r="O357" s="184" t="inlineStr">
        <is>
          <t>Diskominfo</t>
        </is>
      </c>
      <c r="P357" s="184" t="inlineStr">
        <is>
          <t>Kab. Bandung</t>
        </is>
      </c>
      <c r="Q357" s="184" t="inlineStr">
        <is>
          <t>Website dan Mobile</t>
        </is>
      </c>
      <c r="R357" s="131" t="inlineStr">
        <is>
          <t>sso.bandungkab.go.id</t>
        </is>
      </c>
      <c r="S357" s="184" t="inlineStr">
        <is>
          <t>Secara Online</t>
        </is>
      </c>
      <c r="T357" s="184" t="inlineStr">
        <is>
          <t>Informasi</t>
        </is>
      </c>
      <c r="U357" s="288" t="n"/>
      <c r="V357" s="184" t="inlineStr">
        <is>
          <t>Aktif</t>
        </is>
      </c>
      <c r="W357" s="184" t="inlineStr">
        <is>
          <t>Ya</t>
        </is>
      </c>
      <c r="X357" s="184" t="inlineStr">
        <is>
          <t>e-absensi, DHE</t>
        </is>
      </c>
      <c r="Y357" s="184" t="inlineStr">
        <is>
          <t>Web Service</t>
        </is>
      </c>
      <c r="Z357" s="184" t="inlineStr">
        <is>
          <t>Realtime</t>
        </is>
      </c>
      <c r="AA357" s="184" t="inlineStr">
        <is>
          <t>semua bidang/bagian</t>
        </is>
      </c>
      <c r="AB357" s="184" t="inlineStr">
        <is>
          <t>BKPSDM</t>
        </is>
      </c>
      <c r="AC357" s="184" t="inlineStr">
        <is>
          <t>Dede Sarifudin, Welga Adibayu</t>
        </is>
      </c>
      <c r="AD357" s="184" t="n">
        <v>85222063396</v>
      </c>
      <c r="AE357" s="184" t="inlineStr">
        <is>
          <t>kepegawaian.rsud.majalay@gmail.com</t>
        </is>
      </c>
      <c r="AF357" s="288" t="n"/>
      <c r="AG357" s="184" t="inlineStr">
        <is>
          <t>Harian</t>
        </is>
      </c>
      <c r="AH357" s="284" t="n"/>
      <c r="AI357" s="284" t="n"/>
      <c r="AJ357" s="284" t="n"/>
      <c r="AK357" s="284" t="n"/>
      <c r="AL357" s="284" t="n"/>
      <c r="AM357" s="284" t="n"/>
      <c r="AN357" s="284" t="n"/>
      <c r="AO357" s="284" t="n"/>
      <c r="AP357" s="284" t="n"/>
      <c r="AQ357" s="284" t="n"/>
      <c r="AR357" s="284" t="n"/>
      <c r="AS357" s="284" t="n"/>
    </row>
    <row r="358">
      <c r="A358" s="180" t="n">
        <v>22</v>
      </c>
      <c r="B358" s="184" t="inlineStr">
        <is>
          <t>Layanan informasi tenaga kesehatan</t>
        </is>
      </c>
      <c r="C358" t="inlineStr">
        <is>
          <t>RSUD OTO ISKANDAR</t>
        </is>
      </c>
      <c r="D358" s="184" t="inlineStr">
        <is>
          <t>database tenaga kesehatan</t>
        </is>
      </c>
      <c r="E358" s="184" t="inlineStr">
        <is>
          <t>Undang-undang np 17 Tahun 2023 ttg kesehatn</t>
        </is>
      </c>
      <c r="F358" s="288" t="n"/>
      <c r="G358" s="184" t="inlineStr">
        <is>
          <t>PENGEMBANGAN DAN PEMBERDAYAAN SUMBER DAYA MANUSIA KESEHATAN</t>
        </is>
      </c>
      <c r="H358" s="184" t="inlineStr">
        <is>
          <t>Pegawai</t>
        </is>
      </c>
      <c r="I358" s="184" t="inlineStr">
        <is>
          <t>database tenaga kesehatan</t>
        </is>
      </c>
      <c r="J358" s="184" t="inlineStr">
        <is>
          <t>database tenaga kesehatan</t>
        </is>
      </c>
      <c r="K358" s="184" t="inlineStr">
        <is>
          <t>Terbatas</t>
        </is>
      </c>
      <c r="L358" s="184" t="inlineStr">
        <is>
          <t>Terdapat</t>
        </is>
      </c>
      <c r="M358" s="184" t="inlineStr">
        <is>
          <t>Harian</t>
        </is>
      </c>
      <c r="N358" s="130" t="inlineStr">
        <is>
          <t>SISDMK</t>
        </is>
      </c>
      <c r="O358" s="184" t="inlineStr">
        <is>
          <t>Pusat</t>
        </is>
      </c>
      <c r="P358" s="184" t="inlineStr">
        <is>
          <t>Pusat</t>
        </is>
      </c>
      <c r="Q358" s="184" t="inlineStr">
        <is>
          <t>Website dan Mobile</t>
        </is>
      </c>
      <c r="R358" s="131" t="inlineStr">
        <is>
          <t>sisdmk.kemkes.go.id</t>
        </is>
      </c>
      <c r="S358" s="184" t="inlineStr">
        <is>
          <t>Secara Online</t>
        </is>
      </c>
      <c r="T358" s="184" t="inlineStr">
        <is>
          <t>Informasi</t>
        </is>
      </c>
      <c r="U358" s="288" t="n"/>
      <c r="V358" s="184" t="inlineStr">
        <is>
          <t>Aktif</t>
        </is>
      </c>
      <c r="W358" s="184" t="inlineStr">
        <is>
          <t>Ya</t>
        </is>
      </c>
      <c r="X358" s="288" t="n"/>
      <c r="Y358" s="184" t="inlineStr">
        <is>
          <t>Web Service</t>
        </is>
      </c>
      <c r="Z358" s="184" t="inlineStr">
        <is>
          <t>Realtime</t>
        </is>
      </c>
      <c r="AA358" s="184" t="inlineStr">
        <is>
          <t>semua bidang/bagian</t>
        </is>
      </c>
      <c r="AB358" s="184" t="inlineStr">
        <is>
          <t>Dinkes</t>
        </is>
      </c>
      <c r="AC358" s="184" t="inlineStr">
        <is>
          <t>Dede Sarifudin, Welga Adibayu, Iis Ismawati</t>
        </is>
      </c>
      <c r="AD358" s="184" t="n">
        <v>85222063396</v>
      </c>
      <c r="AE358" s="184" t="inlineStr">
        <is>
          <t>kepegawaian.rsud.majalay@gmail.com</t>
        </is>
      </c>
      <c r="AF358" s="288" t="n"/>
      <c r="AG358" s="184" t="inlineStr">
        <is>
          <t>Setiap Saat</t>
        </is>
      </c>
      <c r="AH358" s="284" t="n"/>
      <c r="AI358" s="284" t="n"/>
      <c r="AJ358" s="284" t="n"/>
      <c r="AK358" s="284" t="n"/>
      <c r="AL358" s="284" t="n"/>
      <c r="AM358" s="284" t="n"/>
      <c r="AN358" s="284" t="n"/>
      <c r="AO358" s="284" t="n"/>
      <c r="AP358" s="284" t="n"/>
      <c r="AQ358" s="284" t="n"/>
      <c r="AR358" s="284" t="n"/>
      <c r="AS358" s="284" t="n"/>
    </row>
    <row r="359">
      <c r="A359" s="180" t="n">
        <v>23</v>
      </c>
      <c r="B359" s="184" t="inlineStr">
        <is>
          <t>Layanan pelaporan pelayanan kesehatan</t>
        </is>
      </c>
      <c r="C359" t="inlineStr">
        <is>
          <t>RSUD OTO ISKANDAR</t>
        </is>
      </c>
      <c r="D359" s="176" t="inlineStr">
        <is>
          <t>Pelaporan pelayanan kesehatan mencakup Data dasar RS, Profil, Update tempat tidur, Laporan KLB/Pandemi, Kompetensi RS, Rekapitulasi Laporan</t>
        </is>
      </c>
      <c r="E359" s="184" t="inlineStr">
        <is>
          <t>Direktorat Jenderal Kesehatan Lanjutan Kemenkes</t>
        </is>
      </c>
      <c r="F359" s="200" t="n"/>
      <c r="G359" s="184" t="inlineStr">
        <is>
          <t>PENGELOLAAN PELAYANAN KESEHATAN</t>
        </is>
      </c>
      <c r="H359" s="184" t="inlineStr">
        <is>
          <t>Instansi Pemerintah Lainnya</t>
        </is>
      </c>
      <c r="I359" s="184" t="inlineStr">
        <is>
          <t>Data dasar RS, Profil, Update tempat tidur, Laporan KLB/Pandemi, Kompetensi RS, Rekapitulasi Laporan</t>
        </is>
      </c>
      <c r="J359" s="178" t="inlineStr">
        <is>
          <t>Laporan Updating</t>
        </is>
      </c>
      <c r="K359" s="184" t="inlineStr">
        <is>
          <t>Terbatas</t>
        </is>
      </c>
      <c r="L359" s="184" t="inlineStr">
        <is>
          <t>Tidak terdapat</t>
        </is>
      </c>
      <c r="M359" s="184" t="inlineStr">
        <is>
          <t>Harian</t>
        </is>
      </c>
      <c r="N359" s="97" t="inlineStr">
        <is>
          <t>RS Online</t>
        </is>
      </c>
      <c r="O359" s="184" t="inlineStr">
        <is>
          <t>Pusat</t>
        </is>
      </c>
      <c r="P359" s="184" t="inlineStr">
        <is>
          <t>Pusat</t>
        </is>
      </c>
      <c r="Q359" s="67" t="inlineStr">
        <is>
          <t>Website</t>
        </is>
      </c>
      <c r="R359" s="131" t="inlineStr">
        <is>
          <t>sirs.kemkes.go.id</t>
        </is>
      </c>
      <c r="S359" s="184" t="inlineStr">
        <is>
          <t>Secara Online</t>
        </is>
      </c>
      <c r="T359" s="184" t="inlineStr">
        <is>
          <t>Informasi</t>
        </is>
      </c>
      <c r="U359" s="288" t="n"/>
      <c r="V359" s="184" t="inlineStr">
        <is>
          <t>Aktif</t>
        </is>
      </c>
      <c r="W359" s="184" t="inlineStr">
        <is>
          <t>Ya</t>
        </is>
      </c>
      <c r="X359" s="184" t="inlineStr">
        <is>
          <t>tidak Terintegrasi</t>
        </is>
      </c>
      <c r="Y359" s="184" t="inlineStr">
        <is>
          <t>Tidak Terintegrasi</t>
        </is>
      </c>
      <c r="Z359" s="184" t="inlineStr">
        <is>
          <t>Realtime</t>
        </is>
      </c>
      <c r="AA359" s="184" t="inlineStr">
        <is>
          <t>Bidang Penunjang Medik dan Pelayanan Medik</t>
        </is>
      </c>
      <c r="AB359" s="184" t="inlineStr">
        <is>
          <t>Dinkes</t>
        </is>
      </c>
      <c r="AC359" s="184" t="inlineStr">
        <is>
          <t>Sonia Dwi Octavianti</t>
        </is>
      </c>
      <c r="AD359" s="184" t="n">
        <v>85721324997</v>
      </c>
      <c r="AE359" s="288" t="n"/>
      <c r="AF359" s="288" t="n"/>
      <c r="AG359" s="184" t="inlineStr">
        <is>
          <t>Harian</t>
        </is>
      </c>
      <c r="AH359" s="284" t="n"/>
      <c r="AI359" s="284" t="n"/>
      <c r="AJ359" s="284" t="n"/>
      <c r="AK359" s="284" t="n"/>
      <c r="AL359" s="284" t="n"/>
      <c r="AM359" s="284" t="n"/>
      <c r="AN359" s="284" t="n"/>
      <c r="AO359" s="284" t="n"/>
      <c r="AP359" s="284" t="n"/>
      <c r="AQ359" s="284" t="n"/>
      <c r="AR359" s="284" t="n"/>
      <c r="AS359" s="284" t="n"/>
    </row>
    <row r="360">
      <c r="A360" s="180" t="n">
        <v>24</v>
      </c>
      <c r="B360" s="184" t="inlineStr">
        <is>
          <t>Layanan pelaporan kinerja</t>
        </is>
      </c>
      <c r="C360" t="inlineStr">
        <is>
          <t>RSUD OTO ISKANDAR</t>
        </is>
      </c>
      <c r="D360" s="221"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360"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360" s="288" t="n"/>
      <c r="G360" s="184" t="inlineStr">
        <is>
          <t>PENINGKATAN KUALITAS REFORMASI BIROKRASI, PENGAWASAN, DAN AKUNTABILITAS KINERJA</t>
        </is>
      </c>
      <c r="H360" s="184" t="inlineStr">
        <is>
          <t>Instansi Pemerintah Lainnya</t>
        </is>
      </c>
      <c r="I360" s="184" t="inlineStr">
        <is>
          <t>Data Capaian Kinerja Program dan Kegiatan, Indikator
 Data Capaian Pelaksanaan Anggaran dan Belanja
 Narasi Permasalahan dan Solusi
 Tindak lanjut Reomendasi DPRD
 Data Dukung Capaian Kinerja Berupa Penghargaan</t>
        </is>
      </c>
      <c r="J360" s="222" t="inlineStr">
        <is>
          <t>Dokumen digital yang terstruktur dan tervalidasi yang nantinya dicetak atau disampaikan secara elektronik sebagai bentuk pertanggungjawaban Kepala Daerah kepada DPRD.</t>
        </is>
      </c>
      <c r="K360" s="184" t="inlineStr">
        <is>
          <t>Terbuka</t>
        </is>
      </c>
      <c r="L360" s="184" t="inlineStr">
        <is>
          <t>Tidak terdapat</t>
        </is>
      </c>
      <c r="M360" s="184" t="inlineStr">
        <is>
          <t>Tahunan</t>
        </is>
      </c>
      <c r="N360" s="130" t="inlineStr">
        <is>
          <t>E-LKPJ</t>
        </is>
      </c>
      <c r="O360" s="184" t="inlineStr">
        <is>
          <t>OPD</t>
        </is>
      </c>
      <c r="P360" s="184" t="inlineStr">
        <is>
          <t>Kab. Bandung</t>
        </is>
      </c>
      <c r="Q360" s="184" t="inlineStr">
        <is>
          <t>Website</t>
        </is>
      </c>
      <c r="R360" s="131" t="inlineStr">
        <is>
          <t>https://e-lkpj.id/login</t>
        </is>
      </c>
      <c r="S360" s="184" t="inlineStr">
        <is>
          <t>Secara Online</t>
        </is>
      </c>
      <c r="T360" s="184" t="inlineStr">
        <is>
          <t>Informasi</t>
        </is>
      </c>
      <c r="U360" s="288" t="n"/>
      <c r="V360" s="184" t="inlineStr">
        <is>
          <t>Aktif</t>
        </is>
      </c>
      <c r="W360" s="184" t="inlineStr">
        <is>
          <t>Ya</t>
        </is>
      </c>
      <c r="X360" s="184" t="inlineStr">
        <is>
          <t>SIDALMONEP</t>
        </is>
      </c>
      <c r="Y360" s="288" t="n"/>
      <c r="Z360" s="288" t="n"/>
      <c r="AA360" s="184" t="inlineStr">
        <is>
          <t>Bagian Perencanaan dan Kehumasan</t>
        </is>
      </c>
      <c r="AB360" s="184" t="inlineStr">
        <is>
          <t>Setda</t>
        </is>
      </c>
      <c r="AC360" s="184" t="inlineStr">
        <is>
          <t>Dadang Hermawan, S.T</t>
        </is>
      </c>
      <c r="AD360" s="184" t="n">
        <v>88901612437</v>
      </c>
      <c r="AE360" s="184" t="inlineStr">
        <is>
          <t>rsudmajalaya.program@gmail.com</t>
        </is>
      </c>
      <c r="AF360" s="288" t="n"/>
      <c r="AG360" s="184" t="inlineStr">
        <is>
          <t>Tahunan</t>
        </is>
      </c>
      <c r="AH360" s="284" t="n"/>
      <c r="AI360" s="284" t="n"/>
      <c r="AJ360" s="284" t="n"/>
      <c r="AK360" s="284" t="n"/>
      <c r="AL360" s="284" t="n"/>
      <c r="AM360" s="284" t="n"/>
      <c r="AN360" s="284" t="n"/>
      <c r="AO360" s="284" t="n"/>
      <c r="AP360" s="284" t="n"/>
      <c r="AQ360" s="284" t="n"/>
      <c r="AR360" s="284" t="n"/>
      <c r="AS360" s="284" t="n"/>
    </row>
    <row r="361">
      <c r="A361" s="180" t="n">
        <v>25</v>
      </c>
      <c r="B361" s="184" t="inlineStr">
        <is>
          <t>Layanan monitoring dan evaluasi</t>
        </is>
      </c>
      <c r="C361" t="inlineStr">
        <is>
          <t>RSUD OTO ISKANDAR</t>
        </is>
      </c>
      <c r="D361" s="184"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361" s="184" t="inlineStr">
        <is>
          <t>Permendagri Nomor 86 Tahun 2017: Peraturan menteri ini merupakan dasar utama tentang Tata Cara Perencanaan, Pengendalian, dan Evaluasi Pembangunan Daerah</t>
        </is>
      </c>
      <c r="F361" s="288" t="n"/>
      <c r="G361" s="184" t="inlineStr">
        <is>
          <t>MONITORING DAN EVALUASI ANGGARAN</t>
        </is>
      </c>
      <c r="H361" s="184" t="inlineStr">
        <is>
          <t>Instansi Pemerintah Lainnya</t>
        </is>
      </c>
      <c r="I361" s="184"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361" s="184" t="inlineStr">
        <is>
          <t>Laporan Evaluasi RKPD, Rekapitulasi Capaian Kinerja Perangkat Daerah</t>
        </is>
      </c>
      <c r="K361" s="184" t="inlineStr">
        <is>
          <t>Terbuka</t>
        </is>
      </c>
      <c r="L361" s="184" t="inlineStr">
        <is>
          <t>Tidak terdapat</t>
        </is>
      </c>
      <c r="M361" s="184" t="inlineStr">
        <is>
          <t>Bulanan</t>
        </is>
      </c>
      <c r="N361" s="130" t="inlineStr">
        <is>
          <t>Sidalmonep</t>
        </is>
      </c>
      <c r="O361" s="184" t="inlineStr">
        <is>
          <t>OPD</t>
        </is>
      </c>
      <c r="P361" s="184" t="inlineStr">
        <is>
          <t>Kab. Bandung</t>
        </is>
      </c>
      <c r="Q361" s="184" t="inlineStr">
        <is>
          <t>Website</t>
        </is>
      </c>
      <c r="R361" s="131" t="inlineStr">
        <is>
          <t>https://sidalmonep.bandungkab.go.id/app</t>
        </is>
      </c>
      <c r="S361" s="184" t="inlineStr">
        <is>
          <t>Secara Online</t>
        </is>
      </c>
      <c r="T361" s="184" t="inlineStr">
        <is>
          <t>Informasi</t>
        </is>
      </c>
      <c r="U361" s="288" t="n"/>
      <c r="V361" s="184" t="inlineStr">
        <is>
          <t>Aktif</t>
        </is>
      </c>
      <c r="W361" s="184" t="inlineStr">
        <is>
          <t>Ya</t>
        </is>
      </c>
      <c r="X361" s="184" t="inlineStr">
        <is>
          <t>e-lkpj</t>
        </is>
      </c>
      <c r="Y361" s="288" t="n"/>
      <c r="Z361" s="288" t="n"/>
      <c r="AA361" s="184" t="inlineStr">
        <is>
          <t>Bagian Perencanaan dan Kehumasan</t>
        </is>
      </c>
      <c r="AB361" s="184" t="inlineStr">
        <is>
          <t>Bapperida</t>
        </is>
      </c>
      <c r="AC361" s="184" t="inlineStr">
        <is>
          <t>Dadang Hermawan, S.T</t>
        </is>
      </c>
      <c r="AD361" s="184" t="n">
        <v>88901612437</v>
      </c>
      <c r="AE361" s="184" t="inlineStr">
        <is>
          <t>rsudmajalaya.program@gmail.com</t>
        </is>
      </c>
      <c r="AF361" s="288" t="n"/>
      <c r="AG361" s="184" t="inlineStr">
        <is>
          <t>Bulanan</t>
        </is>
      </c>
      <c r="AH361" s="284" t="n"/>
      <c r="AI361" s="284" t="n"/>
      <c r="AJ361" s="284" t="n"/>
      <c r="AK361" s="284" t="n"/>
      <c r="AL361" s="284" t="n"/>
      <c r="AM361" s="284" t="n"/>
      <c r="AN361" s="284" t="n"/>
      <c r="AO361" s="284" t="n"/>
      <c r="AP361" s="284" t="n"/>
      <c r="AQ361" s="284" t="n"/>
      <c r="AR361" s="284" t="n"/>
      <c r="AS361" s="284" t="n"/>
    </row>
    <row r="362">
      <c r="A362" s="180" t="n">
        <v>26</v>
      </c>
      <c r="B362" s="184" t="inlineStr">
        <is>
          <t>Layanan survey kepuasan masyarakat</t>
        </is>
      </c>
      <c r="C362" t="inlineStr">
        <is>
          <t>RSUD OTO ISKANDAR</t>
        </is>
      </c>
      <c r="D362" s="17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362" s="184" t="inlineStr">
        <is>
          <t>-Peraturan Pemerintah Nomor 96 Tahun 2012 tentang Pelaksanaan Undang-undang Nomor 25 Tahun 2009 tentang Pelayanan Publik
 -Peraturan Menteri PANRB No. 14 Tahun 2017 tentang Pedoman Penyusunan Survei Kepuasan Masyarakat (SKM)</t>
        </is>
      </c>
      <c r="F362" s="288" t="n"/>
      <c r="G362" s="184" t="inlineStr">
        <is>
          <t>INFORMASI DAN DIPLOMASI PUBLIK</t>
        </is>
      </c>
      <c r="H362" s="184" t="inlineStr">
        <is>
          <t>Masyarakat</t>
        </is>
      </c>
      <c r="I362" s="184" t="inlineStr">
        <is>
          <t>Hasil Responden Survey Kepuasan Masyarakat (SKM)</t>
        </is>
      </c>
      <c r="J362" s="178" t="inlineStr">
        <is>
          <t>Laporan dan Hasil rekapan SKM</t>
        </is>
      </c>
      <c r="K362" s="184" t="inlineStr">
        <is>
          <t>Terbuka</t>
        </is>
      </c>
      <c r="L362" s="184" t="inlineStr">
        <is>
          <t>Terdapat</t>
        </is>
      </c>
      <c r="M362" s="184" t="inlineStr">
        <is>
          <t>Bulanan</t>
        </is>
      </c>
      <c r="N362" s="130" t="inlineStr">
        <is>
          <t>E-SKM</t>
        </is>
      </c>
      <c r="O362" s="184" t="inlineStr">
        <is>
          <t>OPD</t>
        </is>
      </c>
      <c r="P362" s="184" t="inlineStr">
        <is>
          <t>Kab. Bandung</t>
        </is>
      </c>
      <c r="Q362" s="184" t="inlineStr">
        <is>
          <t>Website</t>
        </is>
      </c>
      <c r="R362" s="131" t="inlineStr">
        <is>
          <t>https://skm.bandungkab.go.id/</t>
        </is>
      </c>
      <c r="S362" s="184" t="inlineStr">
        <is>
          <t>Secara Online</t>
        </is>
      </c>
      <c r="T362" s="184" t="inlineStr">
        <is>
          <t>Informasi</t>
        </is>
      </c>
      <c r="U362" s="288" t="n"/>
      <c r="V362" s="184" t="inlineStr">
        <is>
          <t>Aktif</t>
        </is>
      </c>
      <c r="W362" s="184" t="inlineStr">
        <is>
          <t>Tidak</t>
        </is>
      </c>
      <c r="X362" s="184" t="inlineStr">
        <is>
          <t>Tidak Terintegrasi</t>
        </is>
      </c>
      <c r="Y362" s="184" t="inlineStr">
        <is>
          <t>Tidak Terintegrasi</t>
        </is>
      </c>
      <c r="Z362" s="184" t="inlineStr">
        <is>
          <t>Tidak Terintegrasi</t>
        </is>
      </c>
      <c r="AA362" s="184" t="inlineStr">
        <is>
          <t>Bagian Perencanaan dan Kehumasan</t>
        </is>
      </c>
      <c r="AB362" s="184" t="inlineStr">
        <is>
          <t>Setda</t>
        </is>
      </c>
      <c r="AC362" s="184" t="inlineStr">
        <is>
          <t>Krisna Aji Putra, S.I.Kom</t>
        </is>
      </c>
      <c r="AD362" s="184" t="n">
        <v>82118454036</v>
      </c>
      <c r="AE362" s="184" t="inlineStr">
        <is>
          <t>humasrsudmajalaya1@gmail.com</t>
        </is>
      </c>
      <c r="AF362" s="288" t="n"/>
      <c r="AG362" s="184" t="inlineStr">
        <is>
          <t>Setiap Saat</t>
        </is>
      </c>
      <c r="AH362" s="284" t="n"/>
      <c r="AI362" s="284" t="n"/>
      <c r="AJ362" s="284" t="n"/>
      <c r="AK362" s="284" t="n"/>
      <c r="AL362" s="284" t="n"/>
      <c r="AM362" s="284" t="n"/>
      <c r="AN362" s="284" t="n"/>
      <c r="AO362" s="284" t="n"/>
      <c r="AP362" s="284" t="n"/>
      <c r="AQ362" s="284" t="n"/>
      <c r="AR362" s="284" t="n"/>
      <c r="AS362" s="284" t="n"/>
    </row>
    <row r="363">
      <c r="A363" s="180" t="n">
        <v>27</v>
      </c>
      <c r="B363" s="184" t="inlineStr">
        <is>
          <t>Layanan informasi pelayanan publik</t>
        </is>
      </c>
      <c r="C363" t="inlineStr">
        <is>
          <t>RSUD OTO ISKANDAR</t>
        </is>
      </c>
      <c r="D363" s="178" t="inlineStr">
        <is>
          <t>mempermudah masyarakat mengakses informasi layanan publik secara terpadu, transparan, dan akuntabel. Fungsi utamanya adalah mengintegrasikan data standar pelayanan (syarat, prosedur, waktu, biaya) dari berbagai instansi pemerintah</t>
        </is>
      </c>
      <c r="E363" s="184" t="inlineStr">
        <is>
          <t>-Peraturan Pemerintah Nomor 96 Tahun 2012 tentang Pelaksanaan Undang-undang Nomor 25 Tahun 2009 tentang Pelayanan Publik
 -Peraturan Menteri PANRB No. 14 Tahun 2017 tentang Pedoman Penyusunan Survei Kepuasan Masyarakat (SKM)</t>
        </is>
      </c>
      <c r="F363" s="288" t="n"/>
      <c r="G363" s="184" t="inlineStr">
        <is>
          <t>INFORMASI DAN DIPLOMASI PUBLIK</t>
        </is>
      </c>
      <c r="H363" s="184" t="inlineStr">
        <is>
          <t>Instansi Pemerintah Lainnya</t>
        </is>
      </c>
      <c r="I363" s="184" t="inlineStr">
        <is>
          <t>Identitas Instansi, Standar Pelayanan, Informasi Tambahan</t>
        </is>
      </c>
      <c r="J363" s="184" t="inlineStr">
        <is>
          <t>Informasi komprehensif mengenai penyelanggaraan pelayanan publik oleh instansi pemerintah</t>
        </is>
      </c>
      <c r="K363" s="184" t="inlineStr">
        <is>
          <t>Terbuka</t>
        </is>
      </c>
      <c r="L363" s="184" t="inlineStr">
        <is>
          <t>Tidak terdapat</t>
        </is>
      </c>
      <c r="M363" s="184" t="inlineStr">
        <is>
          <t>Lainnya</t>
        </is>
      </c>
      <c r="N363" s="130" t="inlineStr">
        <is>
          <t>SIPPN</t>
        </is>
      </c>
      <c r="O363" s="184" t="inlineStr">
        <is>
          <t>Pusat</t>
        </is>
      </c>
      <c r="P363" s="184" t="inlineStr">
        <is>
          <t>Pusat</t>
        </is>
      </c>
      <c r="Q363" s="184" t="inlineStr">
        <is>
          <t>Website</t>
        </is>
      </c>
      <c r="R363" s="131" t="inlineStr">
        <is>
          <t>https://sippn.menpan.go.id/</t>
        </is>
      </c>
      <c r="S363" s="184" t="inlineStr">
        <is>
          <t>Secara Online</t>
        </is>
      </c>
      <c r="T363" s="184" t="inlineStr">
        <is>
          <t>Informasi</t>
        </is>
      </c>
      <c r="U363" s="288" t="n"/>
      <c r="V363" s="184" t="inlineStr">
        <is>
          <t>Aktif</t>
        </is>
      </c>
      <c r="W363" s="184" t="inlineStr">
        <is>
          <t>Tidak</t>
        </is>
      </c>
      <c r="X363" s="184" t="inlineStr">
        <is>
          <t>Tidak Terintegrasi</t>
        </is>
      </c>
      <c r="Y363" s="184" t="inlineStr">
        <is>
          <t>Tidak Terintegrasi</t>
        </is>
      </c>
      <c r="Z363" s="184" t="inlineStr">
        <is>
          <t>Tidak Terintegrasi</t>
        </is>
      </c>
      <c r="AA363" s="184" t="inlineStr">
        <is>
          <t>Bagian Perencanaan dan Kehumasan</t>
        </is>
      </c>
      <c r="AB363" s="184" t="inlineStr">
        <is>
          <t>Dinkes</t>
        </is>
      </c>
      <c r="AC363" s="184" t="inlineStr">
        <is>
          <t>Krisna Aji Putra, S.I.Kom</t>
        </is>
      </c>
      <c r="AD363" s="184" t="n">
        <v>82118454036</v>
      </c>
      <c r="AE363" s="184" t="inlineStr">
        <is>
          <t>humasrsudmajalaya1@gmail.com</t>
        </is>
      </c>
      <c r="AF363" s="288" t="n"/>
      <c r="AG363" s="184" t="inlineStr">
        <is>
          <t>Insidentil</t>
        </is>
      </c>
      <c r="AH363" s="284" t="n"/>
      <c r="AI363" s="284" t="n"/>
      <c r="AJ363" s="284" t="n"/>
      <c r="AK363" s="284" t="n"/>
      <c r="AL363" s="284" t="n"/>
      <c r="AM363" s="284" t="n"/>
      <c r="AN363" s="284" t="n"/>
      <c r="AO363" s="284" t="n"/>
      <c r="AP363" s="284" t="n"/>
      <c r="AQ363" s="284" t="n"/>
      <c r="AR363" s="284" t="n"/>
      <c r="AS363" s="284" t="n"/>
    </row>
    <row r="364">
      <c r="A364" s="180" t="n">
        <v>28</v>
      </c>
      <c r="B364" s="184" t="inlineStr">
        <is>
          <t>Layanan Pengaduan Masyarakat</t>
        </is>
      </c>
      <c r="C364" t="inlineStr">
        <is>
          <t>RSUD OTO ISKANDAR</t>
        </is>
      </c>
      <c r="D364" s="17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364" s="184" t="inlineStr">
        <is>
          <t>-Undang-Undang Nomor 25 Tahun 2009 tentang Pelayanan Publik
 -Peraturan Presiden Nomor 76 Tahun 2013 tentang Pengelolaan Pengaduan Pelayanan Publik, dan 
 -Peraturan Menteri PANRB Nomor 3 Tahun 2015</t>
        </is>
      </c>
      <c r="F364" s="288" t="n"/>
      <c r="G364" s="184" t="inlineStr">
        <is>
          <t>INFORMASI DAN DIPLOMASI PUBLIK</t>
        </is>
      </c>
      <c r="H364" s="184" t="inlineStr">
        <is>
          <t>Masyarakat</t>
        </is>
      </c>
      <c r="I364" s="184" t="inlineStr">
        <is>
          <t>Laporan Pengaduan yang telah di disposisikan dari pemda ke OPD</t>
        </is>
      </c>
      <c r="J364" s="178" t="inlineStr">
        <is>
          <t>Pengaduan yang telah di tindak lanjut</t>
        </is>
      </c>
      <c r="K364" s="184" t="inlineStr">
        <is>
          <t>Terbatas</t>
        </is>
      </c>
      <c r="L364" s="184" t="inlineStr">
        <is>
          <t>Terdapat</t>
        </is>
      </c>
      <c r="M364" s="184" t="inlineStr">
        <is>
          <t>Lainnya</t>
        </is>
      </c>
      <c r="N364" s="130" t="inlineStr">
        <is>
          <t>SP4N Lapor</t>
        </is>
      </c>
      <c r="O364" s="184" t="inlineStr">
        <is>
          <t>Pusat</t>
        </is>
      </c>
      <c r="P364" s="184" t="inlineStr">
        <is>
          <t>Pusat</t>
        </is>
      </c>
      <c r="Q364" s="184" t="inlineStr">
        <is>
          <t>Website</t>
        </is>
      </c>
      <c r="R364" s="131" t="inlineStr">
        <is>
          <t>https://www.lapor.go.id/</t>
        </is>
      </c>
      <c r="S364" s="184" t="inlineStr">
        <is>
          <t>Secara Online</t>
        </is>
      </c>
      <c r="T364" s="184" t="inlineStr">
        <is>
          <t>Informasi</t>
        </is>
      </c>
      <c r="U364" s="288" t="n"/>
      <c r="V364" s="184" t="inlineStr">
        <is>
          <t>Aktif</t>
        </is>
      </c>
      <c r="W364" s="184" t="inlineStr">
        <is>
          <t>Tidak</t>
        </is>
      </c>
      <c r="X364" s="184" t="inlineStr">
        <is>
          <t>Tidak Terintegrasi</t>
        </is>
      </c>
      <c r="Y364" s="184" t="inlineStr">
        <is>
          <t>Tidak Terintegrasi</t>
        </is>
      </c>
      <c r="Z364" s="184" t="inlineStr">
        <is>
          <t>Tidak Terintegrasi</t>
        </is>
      </c>
      <c r="AA364" s="184" t="inlineStr">
        <is>
          <t>Bagian Perencanaan dan Kehumasan</t>
        </is>
      </c>
      <c r="AB364" s="184" t="inlineStr">
        <is>
          <t>Diskominfo</t>
        </is>
      </c>
      <c r="AC364" s="184" t="inlineStr">
        <is>
          <t>Krisna Aji Putra, S.I.Kom</t>
        </is>
      </c>
      <c r="AD364" s="184" t="n">
        <v>82118454036</v>
      </c>
      <c r="AE364" s="184" t="inlineStr">
        <is>
          <t>humasrsudmajalaya1@gmail.com</t>
        </is>
      </c>
      <c r="AF364" s="288" t="n"/>
      <c r="AG364" s="184" t="inlineStr">
        <is>
          <t>Insidentil</t>
        </is>
      </c>
      <c r="AH364" s="284" t="n"/>
      <c r="AI364" s="284" t="n"/>
      <c r="AJ364" s="284" t="n"/>
      <c r="AK364" s="284" t="n"/>
      <c r="AL364" s="284" t="n"/>
      <c r="AM364" s="284" t="n"/>
      <c r="AN364" s="284" t="n"/>
      <c r="AO364" s="284" t="n"/>
      <c r="AP364" s="284" t="n"/>
      <c r="AQ364" s="284" t="n"/>
      <c r="AR364" s="284" t="n"/>
      <c r="AS364" s="284" t="n"/>
    </row>
    <row r="365">
      <c r="A365" s="180" t="n">
        <v>29</v>
      </c>
      <c r="B365" s="184" t="inlineStr">
        <is>
          <t>Layanan informasi perangkat daerah</t>
        </is>
      </c>
      <c r="C365" t="inlineStr">
        <is>
          <t>RSUD OTO ISKANDAR</t>
        </is>
      </c>
      <c r="D365" s="178" t="inlineStr">
        <is>
          <t>menjamin hak warga negara atas informasi, mendorong transparansi, akuntabilitas, dan partisipasi publik di badan publik. Fungsinya meliputi pengelolaan, penyimpanan, pendokumentasian, serta penyediaan layanan informasi yang cepat, tepat, dan sederhana</t>
        </is>
      </c>
      <c r="E365" s="184" t="inlineStr">
        <is>
          <t>Undang-Undang Nomor 14 Tahun 2008 tentang Keterbukaan Informasi Publik (UU KIP)</t>
        </is>
      </c>
      <c r="F365" s="288" t="n"/>
      <c r="G365" s="184" t="inlineStr">
        <is>
          <t>INFORMASI DAN DIPLOMASI PUBLIK</t>
        </is>
      </c>
      <c r="H365" s="184" t="inlineStr">
        <is>
          <t>Masyarakat</t>
        </is>
      </c>
      <c r="I365" s="184" t="inlineStr">
        <is>
          <t>Informasi Keseluruhan pelayanan publik</t>
        </is>
      </c>
      <c r="J365" s="178" t="inlineStr">
        <is>
          <t>dokumen organisasi, anggaran, laporan tahunan, serta perizinan</t>
        </is>
      </c>
      <c r="K365" s="184" t="inlineStr">
        <is>
          <t>Terbuka</t>
        </is>
      </c>
      <c r="L365" s="184" t="inlineStr">
        <is>
          <t>Tidak terdapat</t>
        </is>
      </c>
      <c r="M365" s="184" t="inlineStr">
        <is>
          <t>Lainnya</t>
        </is>
      </c>
      <c r="N365" s="130" t="inlineStr">
        <is>
          <t>PPID</t>
        </is>
      </c>
      <c r="O365" s="184" t="inlineStr">
        <is>
          <t>Diskominfo</t>
        </is>
      </c>
      <c r="P365" s="184" t="inlineStr">
        <is>
          <t>Kab. Bandung</t>
        </is>
      </c>
      <c r="Q365" s="184" t="inlineStr">
        <is>
          <t>Website</t>
        </is>
      </c>
      <c r="R365" s="131" t="inlineStr">
        <is>
          <t>https://ppid.bandungkab.go.id/dashboard</t>
        </is>
      </c>
      <c r="S365" s="184" t="inlineStr">
        <is>
          <t>Secara Online</t>
        </is>
      </c>
      <c r="T365" s="184" t="inlineStr">
        <is>
          <t>Informasi</t>
        </is>
      </c>
      <c r="U365" s="288" t="n"/>
      <c r="V365" s="184" t="inlineStr">
        <is>
          <t>Aktif</t>
        </is>
      </c>
      <c r="W365" s="184" t="inlineStr">
        <is>
          <t>Tidak</t>
        </is>
      </c>
      <c r="X365" s="184" t="inlineStr">
        <is>
          <t>Tidak Terintegrasi</t>
        </is>
      </c>
      <c r="Y365" s="184" t="inlineStr">
        <is>
          <t>Tidak Terintegrasi</t>
        </is>
      </c>
      <c r="Z365" s="184" t="inlineStr">
        <is>
          <t>Tidak Terintegrasi</t>
        </is>
      </c>
      <c r="AA365" s="184" t="inlineStr">
        <is>
          <t>Bagian Perencanaan dan Kehumasan</t>
        </is>
      </c>
      <c r="AB365" s="184" t="inlineStr">
        <is>
          <t>Diskominfo</t>
        </is>
      </c>
      <c r="AC365" s="184" t="inlineStr">
        <is>
          <t>Krisna Aji Putra, S.I.Kom</t>
        </is>
      </c>
      <c r="AD365" s="184" t="n">
        <v>82118454036</v>
      </c>
      <c r="AE365" s="184" t="inlineStr">
        <is>
          <t>humasrsudmajalaya1@gmail.com</t>
        </is>
      </c>
      <c r="AF365" s="288" t="n"/>
      <c r="AG365" s="184" t="inlineStr">
        <is>
          <t>Insidentil</t>
        </is>
      </c>
      <c r="AH365" s="284" t="n"/>
      <c r="AI365" s="284" t="n"/>
      <c r="AJ365" s="284" t="n"/>
      <c r="AK365" s="284" t="n"/>
      <c r="AL365" s="284" t="n"/>
      <c r="AM365" s="284" t="n"/>
      <c r="AN365" s="284" t="n"/>
      <c r="AO365" s="284" t="n"/>
      <c r="AP365" s="284" t="n"/>
      <c r="AQ365" s="284" t="n"/>
      <c r="AR365" s="284" t="n"/>
      <c r="AS365" s="284" t="n"/>
    </row>
    <row r="366">
      <c r="A366" s="180" t="n">
        <v>30</v>
      </c>
      <c r="B366" s="184" t="inlineStr">
        <is>
          <t>Layanan informasi inovasi perangkat daerah</t>
        </is>
      </c>
      <c r="C366" t="inlineStr">
        <is>
          <t>RSUD OTO ISKANDAR</t>
        </is>
      </c>
      <c r="D366" s="178" t="inlineStr">
        <is>
          <t>mengoptimalkan pengelolaan, pendokumentasian, dan penyebarluasan hasil penelitian serta inovasi daerah secara digital guna mendukung pengambilan kebijakan berbasis data dan berungsi sebagai tempat penyimpanan data dan kelengkapan satuan inovasi yang ditetapkan oleh Kemendagri</t>
        </is>
      </c>
      <c r="E366" s="184" t="inlineStr">
        <is>
          <t>- Peraturan BRIN Nomor 5 Tahun 2023: Mengatur tentang tata kelola data riset dan inovasi, termasuk penggunaan aplikasi untuk monitoring dan evaluasi kelitbangan daerah.
 - Peraturan Presiden (Perpres) Nomor 78 Tahun 2021 tentang BRIN: Menetapkan BRIN sebagai lembaga yang mengintegrasikan penelitian, pengembangan, pengkajian, penerapan, serta invensi dan inovasi</t>
        </is>
      </c>
      <c r="F366" s="288" t="n"/>
      <c r="G366" s="184" t="inlineStr">
        <is>
          <t>INFORMASI DAN DIPLOMASI PUBLIK</t>
        </is>
      </c>
      <c r="H366" s="184" t="inlineStr">
        <is>
          <t>Instansi Pemerintah Lainnya</t>
        </is>
      </c>
      <c r="I366" s="184" t="inlineStr">
        <is>
          <t>Inovasi yang terdaftar di APIK</t>
        </is>
      </c>
      <c r="J366" s="178" t="inlineStr">
        <is>
          <t>Data Inovasi</t>
        </is>
      </c>
      <c r="K366" s="184" t="inlineStr">
        <is>
          <t>Terbuka</t>
        </is>
      </c>
      <c r="L366" s="184" t="inlineStr">
        <is>
          <t>Tidak terdapat</t>
        </is>
      </c>
      <c r="M366" s="184" t="inlineStr">
        <is>
          <t>Lainnya</t>
        </is>
      </c>
      <c r="N366" s="130" t="inlineStr">
        <is>
          <t>APIK</t>
        </is>
      </c>
      <c r="O366" s="184" t="inlineStr">
        <is>
          <t>OPD</t>
        </is>
      </c>
      <c r="P366" s="184" t="inlineStr">
        <is>
          <t>Kab. Bandung</t>
        </is>
      </c>
      <c r="Q366" s="184" t="inlineStr">
        <is>
          <t>Website</t>
        </is>
      </c>
      <c r="R366" s="131" t="inlineStr">
        <is>
          <t>https://apik.bandungkab.go.id/apik/login</t>
        </is>
      </c>
      <c r="S366" s="184" t="inlineStr">
        <is>
          <t>Secara Online</t>
        </is>
      </c>
      <c r="T366" s="184" t="inlineStr">
        <is>
          <t>Informasi</t>
        </is>
      </c>
      <c r="U366" s="288" t="n"/>
      <c r="V366" s="184" t="inlineStr">
        <is>
          <t>Aktif</t>
        </is>
      </c>
      <c r="W366" s="184" t="inlineStr">
        <is>
          <t>Tidak</t>
        </is>
      </c>
      <c r="X366" s="184" t="inlineStr">
        <is>
          <t>Tidak Terintegrasi</t>
        </is>
      </c>
      <c r="Y366" s="184" t="inlineStr">
        <is>
          <t>Tidak Terintegrasi</t>
        </is>
      </c>
      <c r="Z366" s="184" t="inlineStr">
        <is>
          <t>Tidak Terintegrasi</t>
        </is>
      </c>
      <c r="AA366" s="184" t="inlineStr">
        <is>
          <t>Bagian Perencanaan dan Kehumasan</t>
        </is>
      </c>
      <c r="AB366" s="184" t="inlineStr">
        <is>
          <t>Bapperida</t>
        </is>
      </c>
      <c r="AC366" s="184" t="inlineStr">
        <is>
          <t>Krisna Aji Putra, S.I.Kom</t>
        </is>
      </c>
      <c r="AD366" s="184" t="n">
        <v>82118454036</v>
      </c>
      <c r="AE366" s="184" t="inlineStr">
        <is>
          <t>humasrsudmajalaya1@gmail.com</t>
        </is>
      </c>
      <c r="AF366" s="288" t="n"/>
      <c r="AG366" s="184" t="inlineStr">
        <is>
          <t>Insidentil</t>
        </is>
      </c>
      <c r="AH366" s="284" t="n"/>
      <c r="AI366" s="284" t="n"/>
      <c r="AJ366" s="284" t="n"/>
      <c r="AK366" s="284" t="n"/>
      <c r="AL366" s="284" t="n"/>
      <c r="AM366" s="284" t="n"/>
      <c r="AN366" s="284" t="n"/>
      <c r="AO366" s="284" t="n"/>
      <c r="AP366" s="284" t="n"/>
      <c r="AQ366" s="284" t="n"/>
      <c r="AR366" s="284" t="n"/>
      <c r="AS366" s="284" t="n"/>
    </row>
    <row r="367">
      <c r="A367" s="180" t="n">
        <v>31</v>
      </c>
      <c r="B367" s="184" t="inlineStr">
        <is>
          <t>Layanan informasi mutu fasilitas layanan kesehatan</t>
        </is>
      </c>
      <c r="C367" t="inlineStr">
        <is>
          <t>RSUD OTO ISKANDAR</t>
        </is>
      </c>
      <c r="D367" s="178" t="inlineStr">
        <is>
          <t>untuk mengumpulkan dan memantau data kualitas pelayanan kesehatan secara terintegrasi, sehingga dapat digunakan untuk evaluasi, peningkatan mutu, dan pengambilan kebijakan di bidang kesehatan.</t>
        </is>
      </c>
      <c r="E367"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367" s="288" t="n"/>
      <c r="G367" s="184" t="inlineStr">
        <is>
          <t>PENGELOLAAN PELAYANAN KESEHATAN</t>
        </is>
      </c>
      <c r="H367" s="184" t="inlineStr">
        <is>
          <t>Instansi Pemerintah Lainnya</t>
        </is>
      </c>
      <c r="I367" s="178" t="inlineStr">
        <is>
          <t>1. Indikator Mutu Nasional 
 2. Pelaporan HAIS
 3. Pelaporan Insiden Keselamatan Pasien</t>
        </is>
      </c>
      <c r="J367" s="178" t="inlineStr">
        <is>
          <t>Data Monitoring dan Evaluasi</t>
        </is>
      </c>
      <c r="K367" s="184" t="inlineStr">
        <is>
          <t>Terbatas</t>
        </is>
      </c>
      <c r="L367" s="184" t="inlineStr">
        <is>
          <t>Tidak terdapat</t>
        </is>
      </c>
      <c r="M367" s="184" t="inlineStr">
        <is>
          <t>Bulanan</t>
        </is>
      </c>
      <c r="N367" s="130" t="inlineStr">
        <is>
          <t>MUTU FASYANKES</t>
        </is>
      </c>
      <c r="O367" s="184" t="inlineStr">
        <is>
          <t>Pusat</t>
        </is>
      </c>
      <c r="P367" s="184" t="inlineStr">
        <is>
          <t>Pusat</t>
        </is>
      </c>
      <c r="Q367" s="184" t="inlineStr">
        <is>
          <t>Website</t>
        </is>
      </c>
      <c r="R367" s="223" t="inlineStr">
        <is>
          <t>https://mutufasyankes.kemkes.go.id/</t>
        </is>
      </c>
      <c r="S367" s="184" t="inlineStr">
        <is>
          <t>Secara Online</t>
        </is>
      </c>
      <c r="T367" s="184" t="inlineStr">
        <is>
          <t>Informasi</t>
        </is>
      </c>
      <c r="U367" s="288" t="n"/>
      <c r="V367" s="184" t="inlineStr">
        <is>
          <t>Aktif</t>
        </is>
      </c>
      <c r="W367" s="288" t="n"/>
      <c r="X367" s="288" t="n"/>
      <c r="Y367" s="288" t="n"/>
      <c r="Z367" s="288" t="n"/>
      <c r="AA367" s="184" t="inlineStr">
        <is>
          <t>Komite Mutu</t>
        </is>
      </c>
      <c r="AB367" s="184" t="inlineStr">
        <is>
          <t>Dinkes</t>
        </is>
      </c>
      <c r="AC367" s="131" t="inlineStr">
        <is>
          <t>Endah Mawarni, A.Md.Kes</t>
        </is>
      </c>
      <c r="AD367" s="184" t="n">
        <v>8812229285</v>
      </c>
      <c r="AE367" s="184" t="inlineStr">
        <is>
          <t>komite.pmkp.rsudmajalaya@gmail.com</t>
        </is>
      </c>
      <c r="AF367" s="288" t="n"/>
      <c r="AG367" s="184" t="inlineStr">
        <is>
          <t>Bulanan</t>
        </is>
      </c>
      <c r="AH367" s="284" t="n"/>
      <c r="AI367" s="284" t="n"/>
      <c r="AJ367" s="284" t="n"/>
      <c r="AK367" s="284" t="n"/>
      <c r="AL367" s="284" t="n"/>
      <c r="AM367" s="284" t="n"/>
      <c r="AN367" s="284" t="n"/>
      <c r="AO367" s="284" t="n"/>
      <c r="AP367" s="284" t="n"/>
      <c r="AQ367" s="284" t="n"/>
      <c r="AR367" s="284" t="n"/>
      <c r="AS367" s="284" t="n"/>
    </row>
    <row r="368">
      <c r="A368" s="180" t="n">
        <v>32</v>
      </c>
      <c r="B368" s="184" t="inlineStr">
        <is>
          <t>Layanan manajemen data fasilitas kesehatan</t>
        </is>
      </c>
      <c r="C368" t="inlineStr">
        <is>
          <t>RSUD OTO ISKANDAR</t>
        </is>
      </c>
      <c r="D368" s="67" t="inlineStr">
        <is>
          <t>database dan sistem manajemen data fasilitas kesehatan yang bekerja sama dengan BPJS Kesehatan untuk mendukung pelayanan peserta BPJS</t>
        </is>
      </c>
      <c r="E368"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368" s="288" t="n"/>
      <c r="G368" s="184" t="inlineStr">
        <is>
          <t>PENGELOLAAN PELAYANAN KESEHATAN</t>
        </is>
      </c>
      <c r="H368" s="184" t="inlineStr">
        <is>
          <t>Instansi Pemerintah Lainnya</t>
        </is>
      </c>
      <c r="I368" s="178" t="inlineStr">
        <is>
          <t>1. Data Identitas Fasilitas Kesehatan
 2. Data Perizinan dan Legalitas
 3. Data Tenaga Kesehatan
 4. Data Sarana dan Prasarana
 5. Data Jenis Layanan Kesehatan
 6. Data Kapasitas Pelayanan
 7. Data Kerja Sama dengan BPJS
 8. Dokumen Pendukung</t>
        </is>
      </c>
      <c r="J368" s="178" t="inlineStr">
        <is>
          <t>1. Profil Fasilitas Kesehatan
 2. Data Sebaran Fasilitas Kesehatan
 3. Data Tenaga Kesehatan
 4. Data Sarana dan Prasarana
 5. Data Jenis dan Kapasitas Layanan
 6. Status dan Riwayat Kerja Sama
 7. Laporan dan Monitoring Fasilitas Kesehatan</t>
        </is>
      </c>
      <c r="K368" s="184" t="inlineStr">
        <is>
          <t>Terbatas</t>
        </is>
      </c>
      <c r="L368" s="184" t="inlineStr">
        <is>
          <t>Terdapat</t>
        </is>
      </c>
      <c r="M368" s="184" t="inlineStr">
        <is>
          <t>Lainnya</t>
        </is>
      </c>
      <c r="N368" s="130" t="inlineStr">
        <is>
          <t>HFIS BPJS</t>
        </is>
      </c>
      <c r="O368" s="184" t="inlineStr">
        <is>
          <t>Pusat</t>
        </is>
      </c>
      <c r="P368" s="184" t="inlineStr">
        <is>
          <t>Pusat</t>
        </is>
      </c>
      <c r="Q368" s="184" t="inlineStr">
        <is>
          <t>Website</t>
        </is>
      </c>
      <c r="R368" s="223" t="inlineStr">
        <is>
          <t>:Health Facilities Information System (H.F.I.S):</t>
        </is>
      </c>
      <c r="S368" s="184" t="inlineStr">
        <is>
          <t>Secara Online</t>
        </is>
      </c>
      <c r="T368" s="184" t="inlineStr">
        <is>
          <t>Informasi</t>
        </is>
      </c>
      <c r="U368" s="288" t="n"/>
      <c r="V368" s="184" t="inlineStr">
        <is>
          <t>Aktif</t>
        </is>
      </c>
      <c r="W368" s="184" t="inlineStr">
        <is>
          <t>Ya</t>
        </is>
      </c>
      <c r="X368" s="184" t="inlineStr">
        <is>
          <t>Mobile JKN</t>
        </is>
      </c>
      <c r="Y368" s="184" t="inlineStr">
        <is>
          <t>Database to Database</t>
        </is>
      </c>
      <c r="Z368" s="184" t="inlineStr">
        <is>
          <t>Realtime</t>
        </is>
      </c>
      <c r="AA368" s="184" t="inlineStr">
        <is>
          <t>Bidang Pelayanan Medik</t>
        </is>
      </c>
      <c r="AB368" s="184" t="inlineStr">
        <is>
          <t>Dinkes</t>
        </is>
      </c>
      <c r="AC368" s="131" t="inlineStr">
        <is>
          <t>Endah Mawarni, A.Md.Kes</t>
        </is>
      </c>
      <c r="AD368" s="184" t="n">
        <v>8812229285</v>
      </c>
      <c r="AE368" s="131" t="inlineStr">
        <is>
          <t>hfisrs.rsudmajalaya@gmail.com</t>
        </is>
      </c>
      <c r="AF368" s="288" t="n"/>
      <c r="AG368" s="184" t="inlineStr">
        <is>
          <t>Insidentil</t>
        </is>
      </c>
      <c r="AH368" s="284" t="n"/>
      <c r="AI368" s="284" t="n"/>
      <c r="AJ368" s="284" t="n"/>
      <c r="AK368" s="284" t="n"/>
      <c r="AL368" s="284" t="n"/>
      <c r="AM368" s="284" t="n"/>
      <c r="AN368" s="284" t="n"/>
      <c r="AO368" s="284" t="n"/>
      <c r="AP368" s="284" t="n"/>
      <c r="AQ368" s="284" t="n"/>
      <c r="AR368" s="284" t="n"/>
      <c r="AS368" s="284" t="n"/>
    </row>
    <row r="369">
      <c r="A369" s="180" t="n">
        <v>33</v>
      </c>
      <c r="B369" s="178" t="inlineStr">
        <is>
          <t>Layanan manajemen data sarana prasarana alat kesehatan</t>
        </is>
      </c>
      <c r="C369" t="inlineStr">
        <is>
          <t>RSUD OTO ISKANDAR</t>
        </is>
      </c>
      <c r="D369" s="224" t="inlineStr">
        <is>
          <t>sistem informasi berbasis web dari Kementerian Kesehatan untuk menghimpun data sarana, prasarana, dan alat kesehatan (SPA) di fasyankes</t>
        </is>
      </c>
      <c r="E369" s="225" t="inlineStr">
        <is>
          <t>Permenkes No. 31 Tahun 2018: Mengatur kewajiban pengisian, validasi, dan update data ASPAK oleh Fasyankes, Dinas Kesehatan Kabupaten/Kota, dan Dinas Kesehatan Provinsi</t>
        </is>
      </c>
      <c r="F369" s="288" t="n"/>
      <c r="G369" s="67" t="inlineStr">
        <is>
          <t>PENGELOLAAN PELAYANAN KESEHATAN</t>
        </is>
      </c>
      <c r="H369" s="184" t="inlineStr">
        <is>
          <t>Instansi Pemerintah Lainnya</t>
        </is>
      </c>
      <c r="I369" s="184" t="inlineStr">
        <is>
          <t>data sarana, prasarana, dan alat kesehatan (SPA) di fasyankes</t>
        </is>
      </c>
      <c r="J369" s="184" t="inlineStr">
        <is>
          <t>data sarana, prasarana, dan alat kesehatan (SPA) di fasyankes</t>
        </is>
      </c>
      <c r="K369" s="184" t="inlineStr">
        <is>
          <t>Tertutup</t>
        </is>
      </c>
      <c r="L369" s="184" t="inlineStr">
        <is>
          <t>Tidak terdapat</t>
        </is>
      </c>
      <c r="M369" s="184" t="inlineStr">
        <is>
          <t>Harian</t>
        </is>
      </c>
      <c r="N369" s="130" t="inlineStr">
        <is>
          <t>ASPAK</t>
        </is>
      </c>
      <c r="O369" s="184" t="inlineStr">
        <is>
          <t>Pusat</t>
        </is>
      </c>
      <c r="P369" s="184" t="inlineStr">
        <is>
          <t>Pusat</t>
        </is>
      </c>
      <c r="Q369" s="184" t="inlineStr">
        <is>
          <t>Website</t>
        </is>
      </c>
      <c r="R369" s="131" t="inlineStr">
        <is>
          <t>https://aspak.kemkes.go.id/aplikasi/site/index</t>
        </is>
      </c>
      <c r="S369" s="184" t="inlineStr">
        <is>
          <t>Secara Online</t>
        </is>
      </c>
      <c r="T369" s="184" t="inlineStr">
        <is>
          <t>Informasi</t>
        </is>
      </c>
      <c r="U369" s="184" t="n">
        <v>2018</v>
      </c>
      <c r="V369" s="184" t="inlineStr">
        <is>
          <t>Aktif</t>
        </is>
      </c>
      <c r="W369" s="67" t="inlineStr">
        <is>
          <t>Tidak</t>
        </is>
      </c>
      <c r="X369" s="184" t="inlineStr">
        <is>
          <t>tidak terintegrasi'</t>
        </is>
      </c>
      <c r="Y369" s="67" t="inlineStr">
        <is>
          <t>Tidak Terintegrasi</t>
        </is>
      </c>
      <c r="Z369" s="184" t="inlineStr">
        <is>
          <t>Tidak Terintegrasi</t>
        </is>
      </c>
      <c r="AA369" s="68" t="inlineStr">
        <is>
          <t>Bidang Pelayanan Medik</t>
        </is>
      </c>
      <c r="AB369" s="184" t="inlineStr">
        <is>
          <t>Dinkes</t>
        </is>
      </c>
      <c r="AC369" s="184" t="inlineStr">
        <is>
          <t>Sonia Dwi Octavianti</t>
        </is>
      </c>
      <c r="AD369" s="184" t="n">
        <v>85721324997</v>
      </c>
      <c r="AE369" s="288" t="n"/>
      <c r="AF369" s="288" t="n"/>
      <c r="AG369" s="68" t="inlineStr">
        <is>
          <t>Insidentil</t>
        </is>
      </c>
      <c r="AH369" s="284" t="n"/>
      <c r="AI369" s="284" t="n"/>
      <c r="AJ369" s="284" t="n"/>
      <c r="AK369" s="284" t="n"/>
      <c r="AL369" s="284" t="n"/>
      <c r="AM369" s="284" t="n"/>
      <c r="AN369" s="284" t="n"/>
      <c r="AO369" s="284" t="n"/>
      <c r="AP369" s="284" t="n"/>
      <c r="AQ369" s="284" t="n"/>
      <c r="AR369" s="284" t="n"/>
      <c r="AS369" s="284" t="n"/>
    </row>
    <row r="370">
      <c r="A370" s="180" t="n">
        <v>35</v>
      </c>
      <c r="B370" s="178" t="inlineStr">
        <is>
          <t>Layanan perencanaan BMD</t>
        </is>
      </c>
      <c r="C370" t="inlineStr">
        <is>
          <t>RSUD OTO ISKANDAR</t>
        </is>
      </c>
      <c r="D370" s="226" t="inlineStr">
        <is>
          <t>RKBMD (Rencana Kebutuhan Barang Milik Daerah) Kabupaten Bandung adalah dokumen perencanaan strategis satu tahun yang disusun oleh Organisasi Perangkat Daerah (OPD) untuk merencanakan pengadaan, pemeliharaan, pemanfaatan, pemindahtanganan, dan penghapusan aset daerah</t>
        </is>
      </c>
      <c r="E370" s="225" t="inlineStr">
        <is>
          <t>Peraturan Menteri Dalam Negeri Nomor 7 Tahun 2024 tentang Pedoman Pengelolaan Barang Milik Daerah</t>
        </is>
      </c>
      <c r="F370" s="288" t="n"/>
      <c r="G370" s="288" t="n"/>
      <c r="H370" s="67" t="inlineStr">
        <is>
          <t>Instansi Pemerintah Lainnya</t>
        </is>
      </c>
      <c r="I370" s="226" t="inlineStr">
        <is>
          <t>perencanaan untuk pengadaan, pemeliharaan, pemanfaatan, pemindahtanganan, dan penghapusan</t>
        </is>
      </c>
      <c r="J370" s="67" t="inlineStr">
        <is>
          <t>perencanaan untuk pengadaan, pemeliharaan, pemanfaatan, pemindahtanganan, dan penghapusan</t>
        </is>
      </c>
      <c r="K370" s="184" t="inlineStr">
        <is>
          <t>Tertutup</t>
        </is>
      </c>
      <c r="L370" s="184" t="inlineStr">
        <is>
          <t>Tidak terdapat</t>
        </is>
      </c>
      <c r="M370" s="184" t="inlineStr">
        <is>
          <t>Tahunan</t>
        </is>
      </c>
      <c r="N370" s="130" t="inlineStr">
        <is>
          <t>RKBMD</t>
        </is>
      </c>
      <c r="O370" s="288" t="n"/>
      <c r="P370" s="184" t="inlineStr">
        <is>
          <t>Kab. Bandung</t>
        </is>
      </c>
      <c r="Q370" s="184" t="inlineStr">
        <is>
          <t>Website</t>
        </is>
      </c>
      <c r="R370" s="131" t="inlineStr">
        <is>
          <t>https://rkbmd.e-planningbmd.id/</t>
        </is>
      </c>
      <c r="S370" s="184" t="inlineStr">
        <is>
          <t>Secara Online</t>
        </is>
      </c>
      <c r="T370" s="184" t="inlineStr">
        <is>
          <t>Transaksi</t>
        </is>
      </c>
      <c r="U370" s="288" t="n"/>
      <c r="V370" s="184" t="inlineStr">
        <is>
          <t>Aktif</t>
        </is>
      </c>
      <c r="W370" s="67" t="inlineStr">
        <is>
          <t>Tidak</t>
        </is>
      </c>
      <c r="X370" s="67" t="inlineStr">
        <is>
          <t>Tidak terintegrasi</t>
        </is>
      </c>
      <c r="Y370" s="67" t="inlineStr">
        <is>
          <t>Tidak Terintegrasi</t>
        </is>
      </c>
      <c r="Z370" s="184" t="inlineStr">
        <is>
          <t>Tahunan</t>
        </is>
      </c>
      <c r="AA370" s="67" t="inlineStr">
        <is>
          <t>Bidang umum logistik</t>
        </is>
      </c>
      <c r="AB370" s="184" t="inlineStr">
        <is>
          <t>BKAD</t>
        </is>
      </c>
      <c r="AC370" s="184" t="inlineStr">
        <is>
          <t>Sonia Dwi Octavianti</t>
        </is>
      </c>
      <c r="AD370" s="184" t="n">
        <v>85721324997</v>
      </c>
      <c r="AE370" s="288" t="n"/>
      <c r="AF370" s="288" t="n"/>
      <c r="AG370" s="64" t="inlineStr">
        <is>
          <t>Insidentil</t>
        </is>
      </c>
      <c r="AH370" s="284" t="n"/>
      <c r="AI370" s="284" t="n"/>
      <c r="AJ370" s="284" t="n"/>
      <c r="AK370" s="284" t="n"/>
      <c r="AL370" s="284" t="n"/>
      <c r="AM370" s="284" t="n"/>
      <c r="AN370" s="284" t="n"/>
      <c r="AO370" s="284" t="n"/>
      <c r="AP370" s="284" t="n"/>
      <c r="AQ370" s="284" t="n"/>
      <c r="AR370" s="284" t="n"/>
      <c r="AS370" s="284" t="n"/>
    </row>
    <row r="371">
      <c r="A371" s="71" t="inlineStr">
        <is>
          <t>RSUD CICALENGKA</t>
        </is>
      </c>
      <c r="B371" s="58" t="n"/>
      <c r="D371" s="58" t="n"/>
      <c r="E371" s="58" t="n"/>
      <c r="F371" s="58" t="n"/>
      <c r="G371" s="58" t="n"/>
      <c r="H371" s="58" t="n"/>
      <c r="I371" s="58" t="n"/>
      <c r="J371" s="58" t="n"/>
      <c r="K371" s="58" t="n"/>
      <c r="L371" s="58" t="n"/>
      <c r="M371" s="58" t="n"/>
      <c r="N371" s="58" t="n"/>
      <c r="O371" s="58" t="n"/>
      <c r="P371" s="58" t="n"/>
      <c r="Q371" s="58" t="n"/>
      <c r="R371" s="58" t="n"/>
      <c r="S371" s="58" t="n"/>
      <c r="T371" s="58" t="n"/>
      <c r="U371" s="58" t="n"/>
      <c r="V371" s="58" t="n"/>
      <c r="W371" s="58" t="n"/>
      <c r="X371" s="58" t="n"/>
      <c r="Y371" s="58" t="n"/>
      <c r="Z371" s="58" t="n"/>
      <c r="AA371" s="58" t="n"/>
      <c r="AB371" s="58" t="n"/>
      <c r="AC371" s="58" t="n"/>
      <c r="AD371" s="58" t="n"/>
      <c r="AE371" s="58" t="n"/>
      <c r="AF371" s="200" t="n"/>
      <c r="AG371" s="200" t="n"/>
      <c r="AH371" s="284" t="n"/>
      <c r="AI371" s="284" t="n"/>
      <c r="AJ371" s="284" t="n"/>
      <c r="AK371" s="284" t="n"/>
      <c r="AL371" s="284" t="n"/>
      <c r="AM371" s="284" t="n"/>
      <c r="AN371" s="284" t="n"/>
      <c r="AO371" s="284" t="n"/>
      <c r="AP371" s="284" t="n"/>
      <c r="AQ371" s="284" t="n"/>
      <c r="AR371" s="284" t="n"/>
      <c r="AS371" s="284" t="n"/>
    </row>
    <row r="372">
      <c r="A372" s="227" t="n">
        <v>1</v>
      </c>
      <c r="B372" s="228" t="inlineStr">
        <is>
          <t>Layanan Integrasi Ekosistem Digital Rumah Sakit (SIMRS)</t>
        </is>
      </c>
      <c r="C372" t="inlineStr">
        <is>
          <t>RSUD CICALENGKA</t>
        </is>
      </c>
      <c r="D372" s="228"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372" s="229" t="inlineStr">
        <is>
          <t>Peraturan Menteri Kesehatan Nomor 82 Tahun 2013 Tentang Sistem Informasi Manajemen Rumah Sakit</t>
        </is>
      </c>
      <c r="F372" s="230" t="inlineStr">
        <is>
          <t>https://drive.google.com/file/d/1T1U4oNUqZS1NcFlgpFY6CJRp0CcQqlBv/view?usp=drive_link</t>
        </is>
      </c>
      <c r="G372" s="229" t="inlineStr">
        <is>
          <t>PENGELOLAAN PELAYANAN KESEHATAN</t>
        </is>
      </c>
      <c r="H372" s="229" t="inlineStr">
        <is>
          <t>Masyarakat</t>
        </is>
      </c>
      <c r="I372" s="229" t="inlineStr">
        <is>
          <t>Data pasien, mulai dari info pribadi hingga catatan medis pasien</t>
        </is>
      </c>
      <c r="J372" s="228" t="inlineStr">
        <is>
          <t>Data rekam medis pasien</t>
        </is>
      </c>
      <c r="K372" s="229" t="inlineStr">
        <is>
          <t>Rahasia</t>
        </is>
      </c>
      <c r="L372" s="229" t="inlineStr">
        <is>
          <t>Terdapat</t>
        </is>
      </c>
      <c r="M372" s="229" t="inlineStr">
        <is>
          <t>Lainnya</t>
        </is>
      </c>
      <c r="N372" s="231" t="inlineStr">
        <is>
          <t>SIMRS CICALENGKA</t>
        </is>
      </c>
      <c r="O372" s="229" t="inlineStr">
        <is>
          <t>Pihak Ke 3</t>
        </is>
      </c>
      <c r="P372" s="229" t="inlineStr">
        <is>
          <t>Kab. Bandung</t>
        </is>
      </c>
      <c r="Q372" s="229" t="inlineStr">
        <is>
          <t>Desktop</t>
        </is>
      </c>
      <c r="R372" s="229" t="inlineStr">
        <is>
          <t>Internal (Rahasia)</t>
        </is>
      </c>
      <c r="S372" s="229" t="inlineStr">
        <is>
          <t>Secara Offline</t>
        </is>
      </c>
      <c r="T372" s="229" t="inlineStr">
        <is>
          <t>Transaksi</t>
        </is>
      </c>
      <c r="U372" s="229" t="n">
        <v>2023</v>
      </c>
      <c r="V372" s="229" t="inlineStr">
        <is>
          <t>Aktif</t>
        </is>
      </c>
      <c r="W372" s="229" t="inlineStr">
        <is>
          <t>Ya</t>
        </is>
      </c>
      <c r="X372" s="229" t="inlineStr">
        <is>
          <t>VClaim BPJS, Satusehat, Eklaim INACBGs, Siranap</t>
        </is>
      </c>
      <c r="Y372" s="229" t="inlineStr">
        <is>
          <t>Web Service</t>
        </is>
      </c>
      <c r="Z372" s="229" t="inlineStr">
        <is>
          <t>Realtime</t>
        </is>
      </c>
      <c r="AA372" s="229" t="inlineStr">
        <is>
          <t>Bidang Penunjang Non Medis</t>
        </is>
      </c>
      <c r="AB372" s="229" t="inlineStr">
        <is>
          <t>Dinkes</t>
        </is>
      </c>
      <c r="AC372" s="229" t="inlineStr">
        <is>
          <t>Rizki Bachtiar, S.Kom</t>
        </is>
      </c>
      <c r="AD372" s="229" t="n">
        <v>81910001329</v>
      </c>
      <c r="AE372" s="229" t="inlineStr">
        <is>
          <t>rz1302@gmail.com</t>
        </is>
      </c>
      <c r="AF372" s="229" t="n">
        <v>8</v>
      </c>
      <c r="AG372" s="229" t="inlineStr">
        <is>
          <t>Setiap Saat</t>
        </is>
      </c>
      <c r="AH372" s="284" t="n"/>
      <c r="AI372" s="284" t="n"/>
      <c r="AJ372" s="284" t="n"/>
      <c r="AK372" s="284" t="n"/>
      <c r="AL372" s="284" t="n"/>
      <c r="AM372" s="284" t="n"/>
      <c r="AN372" s="284" t="n"/>
      <c r="AO372" s="284" t="n"/>
      <c r="AP372" s="284" t="n"/>
      <c r="AQ372" s="284" t="n"/>
      <c r="AR372" s="284" t="n"/>
      <c r="AS372" s="284" t="n"/>
    </row>
    <row r="373">
      <c r="A373" s="227" t="n">
        <v>2</v>
      </c>
      <c r="B373" s="228" t="inlineStr">
        <is>
          <t>Layanan Pelaporan Kepatuhan Lingkungan Hidup</t>
        </is>
      </c>
      <c r="C373" t="inlineStr">
        <is>
          <t>RSUD CICALENGKA</t>
        </is>
      </c>
      <c r="D373" s="232" t="inlineStr">
        <is>
          <t>Sistem pendukung keputusan yang menghubungkan data pelaporan lingkungan SIMPEL, memberikan insight real-time bagi pemerintah dalam memantau kepatuhan dari kualitas lingkungan</t>
        </is>
      </c>
      <c r="E373" s="229" t="inlineStr">
        <is>
          <t>Permen LHK No. P.87/Menlhk/Setjen/Kum.1/11/2016; UU No. 32 Tahun 2009 tentang Perlindungan dan Pengelolaan Lingkungan Hidup (pasal 68) dan PP No. 22 Tahun 2021</t>
        </is>
      </c>
      <c r="F373" s="230" t="inlineStr">
        <is>
          <t>https://drive.google.com/drive/folders/1vjgfqjMxOGjNMjW_D5TVCMti_1yMqG0T?usp=sharing</t>
        </is>
      </c>
      <c r="G373" s="229" t="inlineStr">
        <is>
          <t>PENGELOLAAN IRIGASI PERTANIAN, KONSERVASI AIR DAN LINGKUNGAN HIDUP</t>
        </is>
      </c>
      <c r="H373" s="229" t="inlineStr">
        <is>
          <t>Pelaku Bisnis</t>
        </is>
      </c>
      <c r="I373" s="229" t="inlineStr">
        <is>
          <t>Hasil Pemantauan Lingkungan RSUD Majalaya</t>
        </is>
      </c>
      <c r="J373" s="229" t="inlineStr">
        <is>
          <t>Hasil Pemantauan Lingkungan RSUD Majalaya</t>
        </is>
      </c>
      <c r="K373" s="229" t="inlineStr">
        <is>
          <t>Terbatas</t>
        </is>
      </c>
      <c r="L373" s="229" t="inlineStr">
        <is>
          <t>Terdapat</t>
        </is>
      </c>
      <c r="M373" s="229" t="inlineStr">
        <is>
          <t>Bulanan</t>
        </is>
      </c>
      <c r="N373" s="231" t="inlineStr">
        <is>
          <t>SIMPEL Kemenlh</t>
        </is>
      </c>
      <c r="O373" s="229" t="inlineStr">
        <is>
          <t>Pusat</t>
        </is>
      </c>
      <c r="P373" s="229" t="inlineStr">
        <is>
          <t>Pusat</t>
        </is>
      </c>
      <c r="Q373" s="229" t="inlineStr">
        <is>
          <t>Website</t>
        </is>
      </c>
      <c r="R373" s="233" t="inlineStr">
        <is>
          <t>simpel.menlhk.go.id</t>
        </is>
      </c>
      <c r="S373" s="229" t="inlineStr">
        <is>
          <t>Secara Online</t>
        </is>
      </c>
      <c r="T373" s="229" t="inlineStr">
        <is>
          <t>Informasi</t>
        </is>
      </c>
      <c r="U373" s="229" t="n">
        <v>2016</v>
      </c>
      <c r="V373" s="229" t="inlineStr">
        <is>
          <t>Aktif</t>
        </is>
      </c>
      <c r="W373" s="229" t="inlineStr">
        <is>
          <t>Ya</t>
        </is>
      </c>
      <c r="X373" s="229" t="inlineStr">
        <is>
          <t>OSS RBA dan AMDAL NET</t>
        </is>
      </c>
      <c r="Y373" s="229" t="inlineStr">
        <is>
          <t>Database to Database</t>
        </is>
      </c>
      <c r="Z373" s="229" t="inlineStr">
        <is>
          <t>Realtime</t>
        </is>
      </c>
      <c r="AA373" s="229" t="inlineStr">
        <is>
          <t>Instalasi Kesling dan IPAL</t>
        </is>
      </c>
      <c r="AB373" s="229" t="inlineStr">
        <is>
          <t>DLH</t>
        </is>
      </c>
      <c r="AC373" s="229" t="inlineStr">
        <is>
          <t>Yoga Hanifah, A.Md.KL</t>
        </is>
      </c>
      <c r="AD373" s="229" t="n">
        <v>81287746069</v>
      </c>
      <c r="AE373" s="229" t="inlineStr">
        <is>
          <t>yogahans27@gmail.com</t>
        </is>
      </c>
      <c r="AF373" s="229" t="n">
        <v>41</v>
      </c>
      <c r="AG373" s="229" t="inlineStr">
        <is>
          <t>Harian</t>
        </is>
      </c>
      <c r="AH373" s="284" t="n"/>
      <c r="AI373" s="284" t="n"/>
      <c r="AJ373" s="284" t="n"/>
      <c r="AK373" s="284" t="n"/>
      <c r="AL373" s="284" t="n"/>
      <c r="AM373" s="284" t="n"/>
      <c r="AN373" s="284" t="n"/>
      <c r="AO373" s="284" t="n"/>
      <c r="AP373" s="284" t="n"/>
      <c r="AQ373" s="284" t="n"/>
      <c r="AR373" s="284" t="n"/>
      <c r="AS373" s="284" t="n"/>
    </row>
    <row r="374">
      <c r="A374" s="227" t="n">
        <v>3</v>
      </c>
      <c r="B374" s="228" t="inlineStr">
        <is>
          <t>Layanan pelaporan limbah rumah sakit</t>
        </is>
      </c>
      <c r="C374" t="inlineStr">
        <is>
          <t>RSUD CICALENGKA</t>
        </is>
      </c>
      <c r="D374" s="228" t="inlineStr">
        <is>
          <t>Rekapitulasi pelaporan kelola limbah medis dan kesling fasyankes</t>
        </is>
      </c>
      <c r="E374" s="288" t="n"/>
      <c r="F374" s="228" t="inlineStr">
        <is>
          <t>-</t>
        </is>
      </c>
      <c r="G374" s="229" t="inlineStr">
        <is>
          <t>PENGELOLAAN LIMBAH BAHAN BERBAHAYA DAN BERACUN</t>
        </is>
      </c>
      <c r="H374" s="229" t="inlineStr">
        <is>
          <t>Pelaku Bisnis</t>
        </is>
      </c>
      <c r="I374" s="229" t="inlineStr">
        <is>
          <t>Timbulan limbah medis</t>
        </is>
      </c>
      <c r="J374" s="229" t="inlineStr">
        <is>
          <t>Timbulan limbah medis</t>
        </is>
      </c>
      <c r="K374" s="229" t="inlineStr">
        <is>
          <t>Terbatas</t>
        </is>
      </c>
      <c r="L374" s="229" t="inlineStr">
        <is>
          <t>Tidak terdapat</t>
        </is>
      </c>
      <c r="M374" s="229" t="inlineStr">
        <is>
          <t>Bulanan</t>
        </is>
      </c>
      <c r="N374" s="231" t="inlineStr">
        <is>
          <t>website Kobotoolbox</t>
        </is>
      </c>
      <c r="O374" s="229" t="inlineStr">
        <is>
          <t>Provinsi</t>
        </is>
      </c>
      <c r="P374" s="229" t="inlineStr">
        <is>
          <t>Provinsi</t>
        </is>
      </c>
      <c r="Q374" s="229" t="inlineStr">
        <is>
          <t>Website</t>
        </is>
      </c>
      <c r="R374" s="233" t="inlineStr">
        <is>
          <t>https://ee.kobotoolbox.org/x/YQp13dFa</t>
        </is>
      </c>
      <c r="S374" s="229" t="inlineStr">
        <is>
          <t>Secara Online</t>
        </is>
      </c>
      <c r="T374" s="229" t="inlineStr">
        <is>
          <t>Informasi</t>
        </is>
      </c>
      <c r="U374" s="229" t="n">
        <v>2024</v>
      </c>
      <c r="V374" s="229" t="inlineStr">
        <is>
          <t>Aktif</t>
        </is>
      </c>
      <c r="W374" s="229" t="inlineStr">
        <is>
          <t>Tidak</t>
        </is>
      </c>
      <c r="X374" s="229" t="inlineStr">
        <is>
          <t>Tidak Terintegrasi</t>
        </is>
      </c>
      <c r="Y374" s="229" t="inlineStr">
        <is>
          <t>Tidak Terintegrasi</t>
        </is>
      </c>
      <c r="Z374" s="229" t="inlineStr">
        <is>
          <t>Tidak Terintegrasi</t>
        </is>
      </c>
      <c r="AA374" s="229" t="inlineStr">
        <is>
          <t>Instalasi Kesling dan IPAL</t>
        </is>
      </c>
      <c r="AB374" s="229" t="inlineStr">
        <is>
          <t>Dinkes</t>
        </is>
      </c>
      <c r="AC374" s="229" t="inlineStr">
        <is>
          <t>Yuyun Siti Nurjanah, S.K.M</t>
        </is>
      </c>
      <c r="AD374" s="229" t="n">
        <v>8122470644</v>
      </c>
      <c r="AE374" s="229" t="inlineStr">
        <is>
          <t>sitinurjanahyuyun@gmail.com</t>
        </is>
      </c>
      <c r="AF374" s="288" t="n"/>
      <c r="AG374" s="229" t="inlineStr">
        <is>
          <t>Bulanan</t>
        </is>
      </c>
      <c r="AH374" s="284" t="n"/>
      <c r="AI374" s="284" t="n"/>
      <c r="AJ374" s="284" t="n"/>
      <c r="AK374" s="284" t="n"/>
      <c r="AL374" s="284" t="n"/>
      <c r="AM374" s="284" t="n"/>
      <c r="AN374" s="284" t="n"/>
      <c r="AO374" s="284" t="n"/>
      <c r="AP374" s="284" t="n"/>
      <c r="AQ374" s="284" t="n"/>
      <c r="AR374" s="284" t="n"/>
      <c r="AS374" s="284" t="n"/>
    </row>
    <row r="375">
      <c r="A375" s="227" t="n">
        <v>4</v>
      </c>
      <c r="B375" s="232" t="inlineStr">
        <is>
          <t>Layanan pengelolaan persediaan BMD</t>
        </is>
      </c>
      <c r="C375" t="inlineStr">
        <is>
          <t>RSUD CICALENGKA</t>
        </is>
      </c>
      <c r="D375" s="228" t="inlineStr">
        <is>
          <t>Aplikasi untuk mengelola BMD berupa barang persediaan. Digunakan untuk mencatat, memantau dan melaporkan stock barang persediaan secara real time guna mendukung operasional rumah sakit dan pemertintah daerah.</t>
        </is>
      </c>
      <c r="E375" s="229" t="inlineStr">
        <is>
          <t>Peraturan pemerintah dalam negeri no 47 tahun 2021</t>
        </is>
      </c>
      <c r="F375" s="288" t="n"/>
      <c r="G375" s="288" t="n"/>
      <c r="H375" s="229" t="inlineStr">
        <is>
          <t>Instansi Pemerintah Lainnya</t>
        </is>
      </c>
      <c r="I375" s="229" t="inlineStr">
        <is>
          <t>Data barang</t>
        </is>
      </c>
      <c r="J375" s="228" t="inlineStr">
        <is>
          <t>Catatan transaksi keluar masuk barang</t>
        </is>
      </c>
      <c r="K375" s="229" t="inlineStr">
        <is>
          <t>Terbatas</t>
        </is>
      </c>
      <c r="L375" s="229" t="inlineStr">
        <is>
          <t>Terdapat</t>
        </is>
      </c>
      <c r="M375" s="229" t="inlineStr">
        <is>
          <t>Tahunan</t>
        </is>
      </c>
      <c r="N375" s="231" t="inlineStr">
        <is>
          <t>e-persediaan</t>
        </is>
      </c>
      <c r="O375" s="229" t="inlineStr">
        <is>
          <t>OPD</t>
        </is>
      </c>
      <c r="P375" s="229" t="inlineStr">
        <is>
          <t>Kab. Bandung</t>
        </is>
      </c>
      <c r="Q375" s="229" t="inlineStr">
        <is>
          <t>Website</t>
        </is>
      </c>
      <c r="R375" s="233" t="inlineStr">
        <is>
          <t>persediaanbmd.bandungkab.go.id</t>
        </is>
      </c>
      <c r="S375" s="229" t="inlineStr">
        <is>
          <t>Secara Online</t>
        </is>
      </c>
      <c r="T375" s="229" t="inlineStr">
        <is>
          <t>Transaksi</t>
        </is>
      </c>
      <c r="U375" s="234" t="n">
        <v>2023</v>
      </c>
      <c r="V375" s="229" t="inlineStr">
        <is>
          <t>Aktif</t>
        </is>
      </c>
      <c r="W375" s="229" t="inlineStr">
        <is>
          <t>Tidak</t>
        </is>
      </c>
      <c r="X375" s="229" t="inlineStr">
        <is>
          <t>Tidak Terintegrasi</t>
        </is>
      </c>
      <c r="Y375" s="229" t="inlineStr">
        <is>
          <t>Tidak Terintegrasi</t>
        </is>
      </c>
      <c r="Z375" s="229" t="inlineStr">
        <is>
          <t>Tidak Terintegrasi</t>
        </is>
      </c>
      <c r="AA375" s="229" t="inlineStr">
        <is>
          <t>Bidang Umum dan Kepegawaian</t>
        </is>
      </c>
      <c r="AB375" s="229" t="inlineStr">
        <is>
          <t>BKAD</t>
        </is>
      </c>
      <c r="AC375" s="229" t="inlineStr">
        <is>
          <t>Andi Kusdiana, S.Si</t>
        </is>
      </c>
      <c r="AD375" s="229" t="inlineStr">
        <is>
          <t>0896-8335-3506</t>
        </is>
      </c>
      <c r="AE375" s="229" t="inlineStr">
        <is>
          <t>andi_kusdiana@yahoo.co.id</t>
        </is>
      </c>
      <c r="AF375" s="288" t="n"/>
      <c r="AG375" s="229" t="inlineStr">
        <is>
          <t>Harian</t>
        </is>
      </c>
      <c r="AH375" s="284" t="n"/>
      <c r="AI375" s="284" t="n"/>
      <c r="AJ375" s="284" t="n"/>
      <c r="AK375" s="284" t="n"/>
      <c r="AL375" s="284" t="n"/>
      <c r="AM375" s="284" t="n"/>
      <c r="AN375" s="284" t="n"/>
      <c r="AO375" s="284" t="n"/>
      <c r="AP375" s="284" t="n"/>
      <c r="AQ375" s="284" t="n"/>
      <c r="AR375" s="284" t="n"/>
      <c r="AS375" s="284" t="n"/>
    </row>
    <row r="376">
      <c r="A376" s="227" t="n">
        <v>5</v>
      </c>
      <c r="B376" s="228" t="inlineStr">
        <is>
          <t>Layanan Informasi Gaji ASN</t>
        </is>
      </c>
      <c r="C376" t="inlineStr">
        <is>
          <t>RSUD CICALENGKA</t>
        </is>
      </c>
      <c r="D376" s="228" t="inlineStr">
        <is>
          <t>Aplikasi Sistem Informasi Gaji (SIMGaji) Taspen untuk memproses data gaji PNS di lingkungan pemerintah daerah.</t>
        </is>
      </c>
      <c r="E376" s="229" t="inlineStr">
        <is>
          <t>Peraturan Pemerintah Nomor 5 Tahun 2024 tentang Perubahan Kesembilan Belas atas Peraturan Pemerintah Nomor 7 Tahun 1977 tentang Peraturan Gaji Pegawai Negeri Sipil</t>
        </is>
      </c>
      <c r="F376" s="288" t="n"/>
      <c r="G376" s="229" t="inlineStr">
        <is>
          <t>PEMBINAAN KEUANGAN DAERAH</t>
        </is>
      </c>
      <c r="H376" s="229" t="inlineStr">
        <is>
          <t>Pegawai</t>
        </is>
      </c>
      <c r="I376" s="229" t="inlineStr">
        <is>
          <t>Data Pegawai, Data Gaji, Data Tunjangan</t>
        </is>
      </c>
      <c r="J376" s="228" t="inlineStr">
        <is>
          <t>Perubahan Data Gaji Pegawai, Ledger Gaji</t>
        </is>
      </c>
      <c r="K376" s="229" t="inlineStr">
        <is>
          <t>Tertutup</t>
        </is>
      </c>
      <c r="L376" s="229" t="inlineStr">
        <is>
          <t>Terdapat</t>
        </is>
      </c>
      <c r="M376" s="229" t="inlineStr">
        <is>
          <t>Harian</t>
        </is>
      </c>
      <c r="N376" s="231" t="inlineStr">
        <is>
          <t>SIMgaji</t>
        </is>
      </c>
      <c r="O376" s="229" t="inlineStr">
        <is>
          <t>Pihak Ke 3</t>
        </is>
      </c>
      <c r="P376" s="229" t="inlineStr">
        <is>
          <t>Pihak Ke 3 (Lisensi)</t>
        </is>
      </c>
      <c r="Q376" s="229" t="inlineStr">
        <is>
          <t>Website</t>
        </is>
      </c>
      <c r="R376" s="233" t="inlineStr">
        <is>
          <t>https://simgajiweb.taspen.co.id/</t>
        </is>
      </c>
      <c r="S376" s="229" t="inlineStr">
        <is>
          <t>Secara Online</t>
        </is>
      </c>
      <c r="T376" s="229" t="inlineStr">
        <is>
          <t>Informasi</t>
        </is>
      </c>
      <c r="U376" s="229" t="n">
        <v>2023</v>
      </c>
      <c r="V376" s="229" t="inlineStr">
        <is>
          <t>Aktif</t>
        </is>
      </c>
      <c r="W376" s="229" t="inlineStr">
        <is>
          <t>Tidak</t>
        </is>
      </c>
      <c r="X376" s="229" t="inlineStr">
        <is>
          <t>Tidak Terintegrasi</t>
        </is>
      </c>
      <c r="Y376" s="229" t="inlineStr">
        <is>
          <t>Tidak Terintegrasi</t>
        </is>
      </c>
      <c r="Z376" s="229" t="inlineStr">
        <is>
          <t>Tidak Terintegrasi</t>
        </is>
      </c>
      <c r="AA376" s="229" t="inlineStr">
        <is>
          <t>Bagian Keuangan</t>
        </is>
      </c>
      <c r="AB376" s="229" t="inlineStr">
        <is>
          <t>BKAD</t>
        </is>
      </c>
      <c r="AC376" s="229" t="inlineStr">
        <is>
          <t>Nurfatikhah, SST</t>
        </is>
      </c>
      <c r="AD376" s="229" t="n">
        <v>85716358699</v>
      </c>
      <c r="AE376" s="229" t="inlineStr">
        <is>
          <t>nurfatikhahp@gmail.com</t>
        </is>
      </c>
      <c r="AF376" s="288" t="n"/>
      <c r="AG376" s="229" t="inlineStr">
        <is>
          <t>Bulanan</t>
        </is>
      </c>
      <c r="AH376" s="284" t="n"/>
      <c r="AI376" s="284" t="n"/>
      <c r="AJ376" s="284" t="n"/>
      <c r="AK376" s="284" t="n"/>
      <c r="AL376" s="284" t="n"/>
      <c r="AM376" s="284" t="n"/>
      <c r="AN376" s="284" t="n"/>
      <c r="AO376" s="284" t="n"/>
      <c r="AP376" s="284" t="n"/>
      <c r="AQ376" s="284" t="n"/>
      <c r="AR376" s="284" t="n"/>
      <c r="AS376" s="284" t="n"/>
    </row>
    <row r="377">
      <c r="A377" s="227" t="n">
        <v>6</v>
      </c>
      <c r="B377" s="228" t="inlineStr">
        <is>
          <t>Layanan pelaporan penerimaan retribusi daerah</t>
        </is>
      </c>
      <c r="C377" t="inlineStr">
        <is>
          <t>RSUD CICALENGKA</t>
        </is>
      </c>
      <c r="D377" s="228" t="inlineStr">
        <is>
          <t>Aplikasi Entry Laporan Penerimaan Retribusi Daerah</t>
        </is>
      </c>
      <c r="E377" s="229" t="inlineStr">
        <is>
          <t>Perda Kabupaten Bandung No 10 Tahun 2023 Tentang Pajak Daerah dan Retribusi Daerah</t>
        </is>
      </c>
      <c r="F377" s="288" t="n"/>
      <c r="G377" s="229" t="inlineStr">
        <is>
          <t>PENGELOLAAN PENERIMAAN DAN PENDAPATAN NEGARA</t>
        </is>
      </c>
      <c r="H377" s="229" t="inlineStr">
        <is>
          <t>Instansi Pemerintah Lainnya</t>
        </is>
      </c>
      <c r="I377" s="229" t="inlineStr">
        <is>
          <t>Data Pendapatan</t>
        </is>
      </c>
      <c r="J377" s="228" t="inlineStr">
        <is>
          <t>Laporan Realisasi Pendapatan</t>
        </is>
      </c>
      <c r="K377" s="229" t="inlineStr">
        <is>
          <t>Rahasia</t>
        </is>
      </c>
      <c r="L377" s="229" t="inlineStr">
        <is>
          <t>Tidak terdapat</t>
        </is>
      </c>
      <c r="M377" s="229" t="inlineStr">
        <is>
          <t>Harian</t>
        </is>
      </c>
      <c r="N377" s="231" t="inlineStr">
        <is>
          <t>e-retribusi</t>
        </is>
      </c>
      <c r="O377" s="229" t="inlineStr">
        <is>
          <t>OPD</t>
        </is>
      </c>
      <c r="P377" s="229" t="inlineStr">
        <is>
          <t>Kab. Bandung</t>
        </is>
      </c>
      <c r="Q377" s="229" t="inlineStr">
        <is>
          <t>Website</t>
        </is>
      </c>
      <c r="R377" s="233" t="inlineStr">
        <is>
          <t>https://e-retribusi.bandungkab.go.id/</t>
        </is>
      </c>
      <c r="S377" s="229" t="inlineStr">
        <is>
          <t>Secara Online</t>
        </is>
      </c>
      <c r="T377" s="229" t="inlineStr">
        <is>
          <t>Informasi</t>
        </is>
      </c>
      <c r="U377" s="229" t="n">
        <v>2024</v>
      </c>
      <c r="V377" s="229" t="inlineStr">
        <is>
          <t>Aktif</t>
        </is>
      </c>
      <c r="W377" s="229" t="inlineStr">
        <is>
          <t>Tidak</t>
        </is>
      </c>
      <c r="X377" s="229" t="inlineStr">
        <is>
          <t>Tidak Terintegrasi</t>
        </is>
      </c>
      <c r="Y377" s="229" t="inlineStr">
        <is>
          <t>Tidak Terintegrasi</t>
        </is>
      </c>
      <c r="Z377" s="229" t="inlineStr">
        <is>
          <t>Tidak Terintegrasi</t>
        </is>
      </c>
      <c r="AA377" s="229" t="inlineStr">
        <is>
          <t>Retribusi Daerah</t>
        </is>
      </c>
      <c r="AB377" s="229" t="inlineStr">
        <is>
          <t>Bapenda</t>
        </is>
      </c>
      <c r="AC377" s="229" t="inlineStr">
        <is>
          <t>Dadang Senjaya</t>
        </is>
      </c>
      <c r="AD377" s="229" t="n">
        <v>82130300369</v>
      </c>
      <c r="AE377" s="229" t="inlineStr">
        <is>
          <t>dadangsenjaya69@gmail.com</t>
        </is>
      </c>
      <c r="AF377" s="288" t="n"/>
      <c r="AG377" s="229" t="inlineStr">
        <is>
          <t>Harian</t>
        </is>
      </c>
      <c r="AH377" s="284" t="n"/>
      <c r="AI377" s="284" t="n"/>
      <c r="AJ377" s="284" t="n"/>
      <c r="AK377" s="284" t="n"/>
      <c r="AL377" s="284" t="n"/>
      <c r="AM377" s="284" t="n"/>
      <c r="AN377" s="284" t="n"/>
      <c r="AO377" s="284" t="n"/>
      <c r="AP377" s="284" t="n"/>
      <c r="AQ377" s="284" t="n"/>
      <c r="AR377" s="284" t="n"/>
      <c r="AS377" s="284" t="n"/>
    </row>
    <row r="378">
      <c r="A378" s="227" t="n">
        <v>7</v>
      </c>
      <c r="B378" s="228" t="inlineStr">
        <is>
          <t>Layanan pengelolaan informasi keuangan daerah</t>
        </is>
      </c>
      <c r="C378" t="inlineStr">
        <is>
          <t>RSUD CICALENGKA</t>
        </is>
      </c>
      <c r="D378" s="228" t="inlineStr">
        <is>
          <t>Pengelolaan Informasi Keuangan Daerah - meliputi Perencanaan Anggaran Daerah, Penatausahaan Keuangan Daerah, Akuntansi dan Pelaporan Keuangan Daerah.</t>
        </is>
      </c>
      <c r="E378" s="229" t="inlineStr">
        <is>
          <t>Permendagri No 14 Tahun 2025 tentang Pedoman Penyusunan APBD Tahun 2026 Yang di dukung Oleh UU 23/2014, PP No 12/2019 dan Permendagri 70/2019.</t>
        </is>
      </c>
      <c r="F378" s="288" t="n"/>
      <c r="G378" s="229" t="inlineStr">
        <is>
          <t>PERENCANAAN DAN PENGANGGARAN APBN</t>
        </is>
      </c>
      <c r="H378" s="229" t="inlineStr">
        <is>
          <t>Instansi Pemerintah Lainnya</t>
        </is>
      </c>
      <c r="I378" s="229" t="inlineStr">
        <is>
          <t>Dari Mulai Penganggaran, Penatausahaan dan Pelaporan Keuangan</t>
        </is>
      </c>
      <c r="J378" s="228" t="inlineStr">
        <is>
          <t>Data perencanaan dan penganggaran</t>
        </is>
      </c>
      <c r="K378" s="229" t="inlineStr">
        <is>
          <t>Terbatas</t>
        </is>
      </c>
      <c r="L378" s="229" t="inlineStr">
        <is>
          <t>Terdapat</t>
        </is>
      </c>
      <c r="M378" s="229" t="inlineStr">
        <is>
          <t>Harian</t>
        </is>
      </c>
      <c r="N378" s="231" t="inlineStr">
        <is>
          <t>SIPD</t>
        </is>
      </c>
      <c r="O378" s="229" t="inlineStr">
        <is>
          <t>Pusat</t>
        </is>
      </c>
      <c r="P378" s="229" t="inlineStr">
        <is>
          <t>Pusat</t>
        </is>
      </c>
      <c r="Q378" s="229" t="inlineStr">
        <is>
          <t>Website</t>
        </is>
      </c>
      <c r="R378" s="233" t="inlineStr">
        <is>
          <t>https://sipd.kemendagri.go.id/</t>
        </is>
      </c>
      <c r="S378" s="229" t="inlineStr">
        <is>
          <t>Secara Online</t>
        </is>
      </c>
      <c r="T378" s="229" t="inlineStr">
        <is>
          <t>Informasi</t>
        </is>
      </c>
      <c r="U378" s="229" t="n">
        <v>2021</v>
      </c>
      <c r="V378" s="229" t="inlineStr">
        <is>
          <t>Aktif</t>
        </is>
      </c>
      <c r="W378" s="229" t="inlineStr">
        <is>
          <t>Ya</t>
        </is>
      </c>
      <c r="X378" s="229" t="inlineStr">
        <is>
          <t>SIRUP, e-planning</t>
        </is>
      </c>
      <c r="Y378" s="229" t="inlineStr">
        <is>
          <t>Web Service</t>
        </is>
      </c>
      <c r="Z378" s="288" t="n"/>
      <c r="AA378" s="229" t="inlineStr">
        <is>
          <t>Bagian Keuangan, Bagian Perencanaan dan Kehumasan</t>
        </is>
      </c>
      <c r="AB378" s="229" t="inlineStr">
        <is>
          <t>BKAD</t>
        </is>
      </c>
      <c r="AC378" s="288" t="n"/>
      <c r="AD378" s="288" t="n"/>
      <c r="AE378" s="288" t="n"/>
      <c r="AF378" s="288" t="n"/>
      <c r="AG378" s="229" t="inlineStr">
        <is>
          <t>Bulanan</t>
        </is>
      </c>
      <c r="AH378" s="284" t="n"/>
      <c r="AI378" s="284" t="n"/>
      <c r="AJ378" s="284" t="n"/>
      <c r="AK378" s="284" t="n"/>
      <c r="AL378" s="284" t="n"/>
      <c r="AM378" s="284" t="n"/>
      <c r="AN378" s="284" t="n"/>
      <c r="AO378" s="284" t="n"/>
      <c r="AP378" s="284" t="n"/>
      <c r="AQ378" s="284" t="n"/>
      <c r="AR378" s="284" t="n"/>
      <c r="AS378" s="284" t="n"/>
    </row>
    <row r="379">
      <c r="A379" s="227" t="n">
        <v>8</v>
      </c>
      <c r="B379" s="228" t="inlineStr">
        <is>
          <t>Layanan pengelolaan pengadaan barang dan jasa</t>
        </is>
      </c>
      <c r="C379" t="inlineStr">
        <is>
          <t>RSUD CICALENGKA</t>
        </is>
      </c>
      <c r="D379" s="228" t="inlineStr">
        <is>
          <t>Untuk membantu proses perencanaan pengadaan barang/jasa pemerintah agar lebih transparan, terencana, dan mudah diakses oleh publik maupun penyedia</t>
        </is>
      </c>
      <c r="E379" s="229" t="inlineStr">
        <is>
          <t>1) Peraturan Presiden (Perpres) Nomor 46 Tahun 2025 adalah perubahan kedua atas Perpres 16 Tahun 2018 tentang Pengadaan Barang/Jasa Pemerintah;
 2) Peraturan LKPP Nomor 11 Tahun 2021 tentang Pedoman Perencanaan Pengadaan Barang/Jasa Pemerintah;</t>
        </is>
      </c>
      <c r="F379" s="288" t="n"/>
      <c r="G379" s="229" t="inlineStr">
        <is>
          <t>PERENCANAAN DAN PENGANGGARAN APBN</t>
        </is>
      </c>
      <c r="H379" s="229" t="inlineStr">
        <is>
          <t>Pelaku Bisnis</t>
        </is>
      </c>
      <c r="I379" s="229" t="inlineStr">
        <is>
          <t>Data rencana umum pengadaan</t>
        </is>
      </c>
      <c r="J379" s="228" t="inlineStr">
        <is>
          <t>Informasi rencana paket pengadaan barang/jasa pemerintah</t>
        </is>
      </c>
      <c r="K379" s="229" t="inlineStr">
        <is>
          <t>Terbuka</t>
        </is>
      </c>
      <c r="L379" s="229" t="inlineStr">
        <is>
          <t>Terdapat</t>
        </is>
      </c>
      <c r="M379" s="229" t="inlineStr">
        <is>
          <t>Harian</t>
        </is>
      </c>
      <c r="N379" s="231" t="inlineStr">
        <is>
          <t>SIRUP</t>
        </is>
      </c>
      <c r="O379" s="229" t="inlineStr">
        <is>
          <t>Pusat</t>
        </is>
      </c>
      <c r="P379" s="229" t="inlineStr">
        <is>
          <t>Pusat</t>
        </is>
      </c>
      <c r="Q379" s="229" t="inlineStr">
        <is>
          <t>Website</t>
        </is>
      </c>
      <c r="R379" s="233" t="inlineStr">
        <is>
          <t>https://sirup.inaproc.id/sirup/loginctr/index</t>
        </is>
      </c>
      <c r="S379" s="229" t="inlineStr">
        <is>
          <t>Secara Online</t>
        </is>
      </c>
      <c r="T379" s="229" t="inlineStr">
        <is>
          <t>Informasi</t>
        </is>
      </c>
      <c r="U379" s="229" t="n">
        <v>2010</v>
      </c>
      <c r="V379" s="229" t="inlineStr">
        <is>
          <t>Aktif</t>
        </is>
      </c>
      <c r="W379" s="229" t="inlineStr">
        <is>
          <t>Ya</t>
        </is>
      </c>
      <c r="X379" s="229" t="inlineStr">
        <is>
          <t>SPSE, E-Katalog LKPP</t>
        </is>
      </c>
      <c r="Y379" s="229" t="inlineStr">
        <is>
          <t>Database to Database</t>
        </is>
      </c>
      <c r="Z379" s="229" t="inlineStr">
        <is>
          <t>Realtime</t>
        </is>
      </c>
      <c r="AA379" s="229" t="inlineStr">
        <is>
          <t>Bagian Perencanaan dan Kehumasan</t>
        </is>
      </c>
      <c r="AB379" s="229" t="inlineStr">
        <is>
          <t>Setda</t>
        </is>
      </c>
      <c r="AC379" s="288" t="n"/>
      <c r="AD379" s="288" t="n"/>
      <c r="AE379" s="288" t="n"/>
      <c r="AF379" s="288" t="n"/>
      <c r="AG379" s="229" t="inlineStr">
        <is>
          <t>Harian</t>
        </is>
      </c>
      <c r="AH379" s="284" t="n"/>
      <c r="AI379" s="284" t="n"/>
      <c r="AJ379" s="284" t="n"/>
      <c r="AK379" s="284" t="n"/>
      <c r="AL379" s="284" t="n"/>
      <c r="AM379" s="284" t="n"/>
      <c r="AN379" s="284" t="n"/>
      <c r="AO379" s="284" t="n"/>
      <c r="AP379" s="284" t="n"/>
      <c r="AQ379" s="284" t="n"/>
      <c r="AR379" s="284" t="n"/>
      <c r="AS379" s="284" t="n"/>
    </row>
    <row r="380">
      <c r="A380" s="227" t="n">
        <v>9</v>
      </c>
      <c r="B380" s="228" t="inlineStr">
        <is>
          <t>Layanan Informasi Pengawasan Tindak Lanjut Hasil Pemeriksaan Terpadu</t>
        </is>
      </c>
      <c r="C380" t="inlineStr">
        <is>
          <t>RSUD CICALENGKA</t>
        </is>
      </c>
      <c r="D380" s="228" t="inlineStr">
        <is>
          <t>Pengelolaan dan pemantauan hasil evaluasi/ tindak lanjut rekomendasi atas pemeriksaan yang dilaksanakan oleh APIP</t>
        </is>
      </c>
      <c r="E380" s="229" t="inlineStr">
        <is>
          <t>Peraturan Pemerintah Nomor 12 Tahun 2017 tentang pembinaan dan pengawasan penyelenggaraan pemerintah daerah</t>
        </is>
      </c>
      <c r="F380" s="288" t="n"/>
      <c r="G380" s="229" t="inlineStr">
        <is>
          <t>PENINGKATAN KUALITAS REFORMASI BIROKRASI, PENGAWASAN, DAN AKUNTABILITAS KINERJA</t>
        </is>
      </c>
      <c r="H380" s="229" t="inlineStr">
        <is>
          <t>Instansi Pemerintah Lainnya</t>
        </is>
      </c>
      <c r="I380" s="229" t="inlineStr">
        <is>
          <t>Dokumen Tindak Lanjut rekomendasi hasil pemeriksaan</t>
        </is>
      </c>
      <c r="J380" s="228" t="inlineStr">
        <is>
          <t>Informasi Capaian Hasil Rekomendasi</t>
        </is>
      </c>
      <c r="K380" s="229" t="inlineStr">
        <is>
          <t>Tertutup</t>
        </is>
      </c>
      <c r="L380" s="229" t="inlineStr">
        <is>
          <t>Tidak terdapat</t>
        </is>
      </c>
      <c r="M380" s="229" t="inlineStr">
        <is>
          <t>Lainnya</t>
        </is>
      </c>
      <c r="N380" s="231" t="inlineStr">
        <is>
          <t>SIMASLAHAT</t>
        </is>
      </c>
      <c r="O380" s="229" t="inlineStr">
        <is>
          <t>OPD</t>
        </is>
      </c>
      <c r="P380" s="229" t="inlineStr">
        <is>
          <t>Kab. Bandung</t>
        </is>
      </c>
      <c r="Q380" s="229" t="inlineStr">
        <is>
          <t>Website</t>
        </is>
      </c>
      <c r="R380" s="233" t="inlineStr">
        <is>
          <t>https://simaslahat.bandungkab.go.id/login</t>
        </is>
      </c>
      <c r="S380" s="229" t="inlineStr">
        <is>
          <t>Secara Online</t>
        </is>
      </c>
      <c r="T380" s="229" t="inlineStr">
        <is>
          <t>Informasi</t>
        </is>
      </c>
      <c r="U380" s="229" t="n">
        <v>2023</v>
      </c>
      <c r="V380" s="229" t="inlineStr">
        <is>
          <t>Aktif</t>
        </is>
      </c>
      <c r="W380" s="229" t="inlineStr">
        <is>
          <t>Tidak</t>
        </is>
      </c>
      <c r="X380" s="229" t="inlineStr">
        <is>
          <t>Tidak Terintegrasi</t>
        </is>
      </c>
      <c r="Y380" s="229" t="inlineStr">
        <is>
          <t>Tidak Terintegrasi</t>
        </is>
      </c>
      <c r="Z380" s="229" t="inlineStr">
        <is>
          <t>Tidak Terintegrasi</t>
        </is>
      </c>
      <c r="AA380" s="229" t="inlineStr">
        <is>
          <t>Bagian Keuangan</t>
        </is>
      </c>
      <c r="AB380" s="229" t="inlineStr">
        <is>
          <t>Inspektorat</t>
        </is>
      </c>
      <c r="AC380" s="288" t="n"/>
      <c r="AD380" s="288" t="n"/>
      <c r="AE380" s="288" t="n"/>
      <c r="AF380" s="288" t="n"/>
      <c r="AG380" s="229" t="inlineStr">
        <is>
          <t>Insidentil</t>
        </is>
      </c>
      <c r="AH380" s="284" t="n"/>
      <c r="AI380" s="284" t="n"/>
      <c r="AJ380" s="284" t="n"/>
      <c r="AK380" s="284" t="n"/>
      <c r="AL380" s="284" t="n"/>
      <c r="AM380" s="284" t="n"/>
      <c r="AN380" s="284" t="n"/>
      <c r="AO380" s="284" t="n"/>
      <c r="AP380" s="284" t="n"/>
      <c r="AQ380" s="284" t="n"/>
      <c r="AR380" s="284" t="n"/>
      <c r="AS380" s="284" t="n"/>
    </row>
    <row r="381">
      <c r="A381" s="227" t="n">
        <v>10</v>
      </c>
      <c r="B381" s="228" t="inlineStr">
        <is>
          <t>Layanan pelaporan pembayaran pajak</t>
        </is>
      </c>
      <c r="C381" t="inlineStr">
        <is>
          <t>RSUD CICALENGKA</t>
        </is>
      </c>
      <c r="D381" s="228" t="inlineStr">
        <is>
          <t>Fungsi Utama: Melaporkan penghitungan dan pembayaran pajak daerah, objek pajak, serta harta/kewajiban secara digital.</t>
        </is>
      </c>
      <c r="E381" s="229"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381" s="228"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381" s="229" t="inlineStr">
        <is>
          <t>PEMBINAAN KEUANGAN DAERAH</t>
        </is>
      </c>
      <c r="H381" s="229" t="inlineStr">
        <is>
          <t>Instansi Pemerintah Lainnya</t>
        </is>
      </c>
      <c r="I381" s="229" t="inlineStr">
        <is>
          <t>Pajak makanan dan minuman pasien</t>
        </is>
      </c>
      <c r="J381" s="228" t="inlineStr">
        <is>
          <t>Bukti setor pajak</t>
        </is>
      </c>
      <c r="K381" s="229" t="inlineStr">
        <is>
          <t>Terbuka</t>
        </is>
      </c>
      <c r="L381" s="229" t="inlineStr">
        <is>
          <t>Tidak terdapat</t>
        </is>
      </c>
      <c r="M381" s="229" t="inlineStr">
        <is>
          <t>Harian</t>
        </is>
      </c>
      <c r="N381" s="231" t="inlineStr">
        <is>
          <t>E-SPTPD</t>
        </is>
      </c>
      <c r="O381" s="229" t="inlineStr">
        <is>
          <t>OPD</t>
        </is>
      </c>
      <c r="P381" s="229" t="inlineStr">
        <is>
          <t>Kab. Bandung</t>
        </is>
      </c>
      <c r="Q381" s="229" t="inlineStr">
        <is>
          <t>Website</t>
        </is>
      </c>
      <c r="R381" s="233" t="inlineStr">
        <is>
          <t>e-sptpd.bandungkab.go.id.</t>
        </is>
      </c>
      <c r="S381" s="229" t="inlineStr">
        <is>
          <t>Secara Online</t>
        </is>
      </c>
      <c r="T381" s="229" t="inlineStr">
        <is>
          <t>Transaksi</t>
        </is>
      </c>
      <c r="U381" s="229" t="n">
        <v>2018</v>
      </c>
      <c r="V381" s="229" t="inlineStr">
        <is>
          <t>Aktif</t>
        </is>
      </c>
      <c r="W381" s="229" t="inlineStr">
        <is>
          <t>Ya</t>
        </is>
      </c>
      <c r="X381" s="229" t="inlineStr">
        <is>
          <t>Tidak Terintegrasi</t>
        </is>
      </c>
      <c r="Y381" s="229" t="inlineStr">
        <is>
          <t>Tidak Terintegrasi</t>
        </is>
      </c>
      <c r="Z381" s="229" t="inlineStr">
        <is>
          <t>Bulanan</t>
        </is>
      </c>
      <c r="AA381" s="229" t="inlineStr">
        <is>
          <t>Bagian Keuangan</t>
        </is>
      </c>
      <c r="AB381" s="229" t="inlineStr">
        <is>
          <t>Bapenda</t>
        </is>
      </c>
      <c r="AC381" s="229" t="inlineStr">
        <is>
          <t>Dhini Lestika Anggraeni, A.Md</t>
        </is>
      </c>
      <c r="AD381" s="229" t="n">
        <v>81321703044</v>
      </c>
      <c r="AE381" s="229" t="inlineStr">
        <is>
          <t>dhini.101205@gmail.com</t>
        </is>
      </c>
      <c r="AF381" s="288" t="n"/>
      <c r="AG381" s="229" t="inlineStr">
        <is>
          <t>Harian</t>
        </is>
      </c>
      <c r="AH381" s="284" t="n"/>
      <c r="AI381" s="284" t="n"/>
      <c r="AJ381" s="284" t="n"/>
      <c r="AK381" s="284" t="n"/>
      <c r="AL381" s="284" t="n"/>
      <c r="AM381" s="284" t="n"/>
      <c r="AN381" s="284" t="n"/>
      <c r="AO381" s="284" t="n"/>
      <c r="AP381" s="284" t="n"/>
      <c r="AQ381" s="284" t="n"/>
      <c r="AR381" s="284" t="n"/>
      <c r="AS381" s="284" t="n"/>
    </row>
    <row r="382">
      <c r="A382" s="227" t="n">
        <v>11</v>
      </c>
      <c r="B382" s="228" t="inlineStr">
        <is>
          <t>Layanan pengelolaan data statistik</t>
        </is>
      </c>
      <c r="C382" t="inlineStr">
        <is>
          <t>RSUD CICALENGKA</t>
        </is>
      </c>
      <c r="D382" s="228" t="inlineStr">
        <is>
          <t>Untuk mendukung pengelolaan data statistik di tingkat daerah serta berfungsi untuk mengelola, menyajikan, dan mempublikasikan data statistik sektoral</t>
        </is>
      </c>
      <c r="E382" s="229" t="inlineStr">
        <is>
          <t>Peraturan Bupati Bandung Nomor 82 Tahun 2019 tentang Tata Kelola Satu Data Daerah</t>
        </is>
      </c>
      <c r="F382" s="288" t="n"/>
      <c r="G382" s="229" t="inlineStr">
        <is>
          <t>PENGELOLAAN DATA STATISTIK</t>
        </is>
      </c>
      <c r="H382" s="229" t="inlineStr">
        <is>
          <t>Instansi Pemerintah Lainnya</t>
        </is>
      </c>
      <c r="I382" s="229" t="inlineStr">
        <is>
          <t>Data Statistik Sektoral</t>
        </is>
      </c>
      <c r="J382" s="229" t="inlineStr">
        <is>
          <t>Data Statistik Sektoral</t>
        </is>
      </c>
      <c r="K382" s="229" t="inlineStr">
        <is>
          <t>Terbuka</t>
        </is>
      </c>
      <c r="L382" s="229" t="inlineStr">
        <is>
          <t>Tidak terdapat</t>
        </is>
      </c>
      <c r="M382" s="229" t="inlineStr">
        <is>
          <t>Harian</t>
        </is>
      </c>
      <c r="N382" s="231" t="inlineStr">
        <is>
          <t>SIMASDA</t>
        </is>
      </c>
      <c r="O382" s="229" t="inlineStr">
        <is>
          <t>Diskominfo</t>
        </is>
      </c>
      <c r="P382" s="229" t="inlineStr">
        <is>
          <t>Kab. Bandung</t>
        </is>
      </c>
      <c r="Q382" s="229" t="inlineStr">
        <is>
          <t>Website</t>
        </is>
      </c>
      <c r="R382" s="233" t="inlineStr">
        <is>
          <t>https://simasda.bandungkab.go.id/</t>
        </is>
      </c>
      <c r="S382" s="229" t="inlineStr">
        <is>
          <t>Secara Online</t>
        </is>
      </c>
      <c r="T382" s="229" t="inlineStr">
        <is>
          <t>Informasi</t>
        </is>
      </c>
      <c r="U382" s="229" t="n">
        <v>2021</v>
      </c>
      <c r="V382" s="229" t="inlineStr">
        <is>
          <t>Aktif</t>
        </is>
      </c>
      <c r="W382" s="229" t="inlineStr">
        <is>
          <t>Ya</t>
        </is>
      </c>
      <c r="X382" s="229" t="inlineStr">
        <is>
          <t>Satu Data Kabupaten Bandung</t>
        </is>
      </c>
      <c r="Y382" s="229" t="inlineStr">
        <is>
          <t>Web Service</t>
        </is>
      </c>
      <c r="Z382" s="229" t="inlineStr">
        <is>
          <t>Realtime</t>
        </is>
      </c>
      <c r="AA382" s="229" t="inlineStr">
        <is>
          <t>Bagian Perencanaan dan Kehumasan</t>
        </is>
      </c>
      <c r="AB382" s="229" t="inlineStr">
        <is>
          <t>Diskominfo</t>
        </is>
      </c>
      <c r="AC382" s="288" t="n"/>
      <c r="AD382" s="288" t="n"/>
      <c r="AE382" s="288" t="n"/>
      <c r="AF382" s="288" t="n"/>
      <c r="AG382" s="229" t="inlineStr">
        <is>
          <t>Setiap Saat</t>
        </is>
      </c>
      <c r="AH382" s="284" t="n"/>
      <c r="AI382" s="284" t="n"/>
      <c r="AJ382" s="284" t="n"/>
      <c r="AK382" s="284" t="n"/>
      <c r="AL382" s="284" t="n"/>
      <c r="AM382" s="284" t="n"/>
      <c r="AN382" s="284" t="n"/>
      <c r="AO382" s="284" t="n"/>
      <c r="AP382" s="284" t="n"/>
      <c r="AQ382" s="284" t="n"/>
      <c r="AR382" s="284" t="n"/>
      <c r="AS382" s="284" t="n"/>
    </row>
    <row r="383">
      <c r="A383" s="227" t="n">
        <v>12</v>
      </c>
      <c r="B383" s="228" t="inlineStr">
        <is>
          <t>Layanan Rujukan</t>
        </is>
      </c>
      <c r="C383" t="inlineStr">
        <is>
          <t>RSUD CICALENGKA</t>
        </is>
      </c>
      <c r="D383" s="235"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383" s="229" t="inlineStr">
        <is>
          <t>Surat Edaran Menteri Kesehatan Nomor HK.02.02/I/1161/2022 tentang Implementasi Penggunaan Aplikasi SISRUTE</t>
        </is>
      </c>
      <c r="F383" s="228" t="inlineStr">
        <is>
          <t>SOP RUJUKAN</t>
        </is>
      </c>
      <c r="G383" s="229" t="inlineStr">
        <is>
          <t>PENGELOLAAN PELAYANAN KESEHATAN</t>
        </is>
      </c>
      <c r="H383" s="229" t="inlineStr">
        <is>
          <t>Masyarakat</t>
        </is>
      </c>
      <c r="I383" s="229" t="inlineStr">
        <is>
          <t>Data Klinis dan Kebutuhan rujukan pasien</t>
        </is>
      </c>
      <c r="J383" s="228" t="inlineStr">
        <is>
          <t>Penerimaan rujukan sesuai kebutuhan pasien</t>
        </is>
      </c>
      <c r="K383" s="229" t="inlineStr">
        <is>
          <t>Terbatas</t>
        </is>
      </c>
      <c r="L383" s="229" t="inlineStr">
        <is>
          <t>Terdapat</t>
        </is>
      </c>
      <c r="M383" s="229" t="inlineStr">
        <is>
          <t>Harian</t>
        </is>
      </c>
      <c r="N383" s="231" t="inlineStr">
        <is>
          <t>SISRUTE</t>
        </is>
      </c>
      <c r="O383" s="229" t="inlineStr">
        <is>
          <t>Pusat</t>
        </is>
      </c>
      <c r="P383" s="229" t="inlineStr">
        <is>
          <t>Pusat</t>
        </is>
      </c>
      <c r="Q383" s="229" t="inlineStr">
        <is>
          <t>Website</t>
        </is>
      </c>
      <c r="R383" s="233" t="inlineStr">
        <is>
          <t>https://sisrute.kemkes.go.id/</t>
        </is>
      </c>
      <c r="S383" s="229" t="inlineStr">
        <is>
          <t>Secara Online</t>
        </is>
      </c>
      <c r="T383" s="229" t="inlineStr">
        <is>
          <t>Informasi</t>
        </is>
      </c>
      <c r="U383" s="229" t="n">
        <v>2016</v>
      </c>
      <c r="V383" s="229" t="inlineStr">
        <is>
          <t>Aktif</t>
        </is>
      </c>
      <c r="W383" s="229" t="inlineStr">
        <is>
          <t>Tidak</t>
        </is>
      </c>
      <c r="X383" s="229" t="inlineStr">
        <is>
          <t>Tidak terintegrasi</t>
        </is>
      </c>
      <c r="Y383" s="229" t="inlineStr">
        <is>
          <t>Tidak Terintegrasi</t>
        </is>
      </c>
      <c r="Z383" s="229" t="inlineStr">
        <is>
          <t>Tidak Terintegrasi</t>
        </is>
      </c>
      <c r="AA383" s="229" t="inlineStr">
        <is>
          <t>Bagian Pelayanan Medik</t>
        </is>
      </c>
      <c r="AB383" s="229" t="inlineStr">
        <is>
          <t>Dinkes</t>
        </is>
      </c>
      <c r="AC383" s="288" t="n"/>
      <c r="AD383" s="288" t="n"/>
      <c r="AE383" s="288" t="n"/>
      <c r="AF383" s="288" t="n"/>
      <c r="AG383" s="229" t="inlineStr">
        <is>
          <t>Harian</t>
        </is>
      </c>
      <c r="AH383" s="284" t="n"/>
      <c r="AI383" s="284" t="n"/>
      <c r="AJ383" s="284" t="n"/>
      <c r="AK383" s="284" t="n"/>
      <c r="AL383" s="284" t="n"/>
      <c r="AM383" s="284" t="n"/>
      <c r="AN383" s="284" t="n"/>
      <c r="AO383" s="284" t="n"/>
      <c r="AP383" s="284" t="n"/>
      <c r="AQ383" s="284" t="n"/>
      <c r="AR383" s="284" t="n"/>
      <c r="AS383" s="284" t="n"/>
    </row>
    <row r="384">
      <c r="A384" s="227" t="n">
        <v>13</v>
      </c>
      <c r="B384" s="228" t="inlineStr">
        <is>
          <t>Layanan Pelaporan Pajak</t>
        </is>
      </c>
      <c r="C384" t="inlineStr">
        <is>
          <t>RSUD CICALENGKA</t>
        </is>
      </c>
      <c r="D384" s="228" t="inlineStr">
        <is>
          <t>Coretax (Core Tax Administration System/CTAS) adalah sistem administrasi perpajakan baru Direktorat Jenderal Pajak (DJP) yang mengintegrasikan seluruh proses bisnis perpajakan—pendaftaran, pelaporan SPT, pembayaran, hingga pemeriksaan—dalam satu portal terpadu</t>
        </is>
      </c>
      <c r="E384" s="229"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384" s="288" t="n"/>
      <c r="G384" s="229" t="inlineStr">
        <is>
          <t>AKUNTANSI DAN PELAPORAN KEUANGAN</t>
        </is>
      </c>
      <c r="H384" s="229" t="inlineStr">
        <is>
          <t>Pegawai</t>
        </is>
      </c>
      <c r="I384" s="229" t="inlineStr">
        <is>
          <t>Pajak PPH 21, PPH 22, PPH 23 Dan PPN</t>
        </is>
      </c>
      <c r="J384" s="228" t="inlineStr">
        <is>
          <t>Bukti setor pajak</t>
        </is>
      </c>
      <c r="K384" s="229" t="inlineStr">
        <is>
          <t>Terbatas</t>
        </is>
      </c>
      <c r="L384" s="229" t="inlineStr">
        <is>
          <t>Terdapat</t>
        </is>
      </c>
      <c r="M384" s="229" t="inlineStr">
        <is>
          <t>Harian</t>
        </is>
      </c>
      <c r="N384" s="231" t="inlineStr">
        <is>
          <t>Coretax</t>
        </is>
      </c>
      <c r="O384" s="229" t="inlineStr">
        <is>
          <t>Pusat</t>
        </is>
      </c>
      <c r="P384" s="229" t="inlineStr">
        <is>
          <t>Pusat</t>
        </is>
      </c>
      <c r="Q384" s="229" t="inlineStr">
        <is>
          <t>Website</t>
        </is>
      </c>
      <c r="R384" s="233" t="inlineStr">
        <is>
          <t>https://coretaxdjp.pajak.go.id</t>
        </is>
      </c>
      <c r="S384" s="229" t="inlineStr">
        <is>
          <t>Secara Online</t>
        </is>
      </c>
      <c r="T384" s="229" t="inlineStr">
        <is>
          <t>Transaksi</t>
        </is>
      </c>
      <c r="U384" s="229" t="n">
        <v>2025</v>
      </c>
      <c r="V384" s="229" t="inlineStr">
        <is>
          <t>Aktif</t>
        </is>
      </c>
      <c r="W384" s="229" t="inlineStr">
        <is>
          <t>Ya</t>
        </is>
      </c>
      <c r="X384" s="229" t="inlineStr">
        <is>
          <t>coretax</t>
        </is>
      </c>
      <c r="Y384" s="229" t="inlineStr">
        <is>
          <t>Web Service</t>
        </is>
      </c>
      <c r="Z384" s="229" t="inlineStr">
        <is>
          <t>Bulanan</t>
        </is>
      </c>
      <c r="AA384" s="229" t="inlineStr">
        <is>
          <t>Bagian Keuangan</t>
        </is>
      </c>
      <c r="AB384" s="229" t="inlineStr">
        <is>
          <t>BKAD</t>
        </is>
      </c>
      <c r="AC384" s="229" t="inlineStr">
        <is>
          <t>- Yasmina Natasya, S.Ak dan Iip Nadifah, A.Md.M</t>
        </is>
      </c>
      <c r="AD384" s="229" t="inlineStr">
        <is>
          <t>082111311546 dan 082326462698</t>
        </is>
      </c>
      <c r="AE384" s="229" t="inlineStr">
        <is>
          <t>natasyayasmina08@gmail.com dan Iip Nadifah, A.Md.M</t>
        </is>
      </c>
      <c r="AF384" s="288" t="n"/>
      <c r="AG384" s="229" t="inlineStr">
        <is>
          <t>Bulanan</t>
        </is>
      </c>
      <c r="AH384" s="284" t="n"/>
      <c r="AI384" s="284" t="n"/>
      <c r="AJ384" s="284" t="n"/>
      <c r="AK384" s="284" t="n"/>
      <c r="AL384" s="284" t="n"/>
      <c r="AM384" s="284" t="n"/>
      <c r="AN384" s="284" t="n"/>
      <c r="AO384" s="284" t="n"/>
      <c r="AP384" s="284" t="n"/>
      <c r="AQ384" s="284" t="n"/>
      <c r="AR384" s="284" t="n"/>
      <c r="AS384" s="284" t="n"/>
    </row>
    <row r="385">
      <c r="A385" s="227" t="n">
        <v>14</v>
      </c>
      <c r="B385" s="228" t="inlineStr">
        <is>
          <t>Layanan Sistem Rekonsiliasi Pajak</t>
        </is>
      </c>
      <c r="C385" t="inlineStr">
        <is>
          <t>RSUD CICALENGKA</t>
        </is>
      </c>
      <c r="D385" s="228"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385" s="229" t="inlineStr">
        <is>
          <t>PMK 67/PMK.07/2024: Peraturan Menteri Keuangan (PMK) ini mengatur tentang rekonsiliasi pajak pusat yang disetorkan pemda ke RKUN dan menjadi dasar validasi untuk penyaluran Dana Bagi Hasil (DBH) PPh dan DBH PBB.</t>
        </is>
      </c>
      <c r="F385" s="288" t="n"/>
      <c r="G385" s="229" t="inlineStr">
        <is>
          <t>AKUNTANSI DAN PELAPORAN KEUANGAN</t>
        </is>
      </c>
      <c r="H385" s="229" t="inlineStr">
        <is>
          <t>Instansi Pemerintah Lainnya</t>
        </is>
      </c>
      <c r="I385" s="229" t="inlineStr">
        <is>
          <t>Pajak yang bersumber dari APBD</t>
        </is>
      </c>
      <c r="J385" s="228" t="inlineStr">
        <is>
          <t>Bukti setor pajak</t>
        </is>
      </c>
      <c r="K385" s="229" t="inlineStr">
        <is>
          <t>Terbatas</t>
        </is>
      </c>
      <c r="L385" s="229" t="inlineStr">
        <is>
          <t>Tidak terdapat</t>
        </is>
      </c>
      <c r="M385" s="229" t="inlineStr">
        <is>
          <t>Bulanan</t>
        </is>
      </c>
      <c r="N385" s="231" t="inlineStr">
        <is>
          <t>SIREKON</t>
        </is>
      </c>
      <c r="O385" s="229" t="inlineStr">
        <is>
          <t>Diskominfo</t>
        </is>
      </c>
      <c r="P385" s="229" t="inlineStr">
        <is>
          <t>Kab. Bandung</t>
        </is>
      </c>
      <c r="Q385" s="229" t="inlineStr">
        <is>
          <t>Website</t>
        </is>
      </c>
      <c r="R385" s="233" t="inlineStr">
        <is>
          <t>https://sirekonpajak.bandungkab.go.id/</t>
        </is>
      </c>
      <c r="S385" s="229" t="inlineStr">
        <is>
          <t>Secara Online</t>
        </is>
      </c>
      <c r="T385" s="229" t="inlineStr">
        <is>
          <t>Informasi</t>
        </is>
      </c>
      <c r="U385" s="229" t="n">
        <v>2022</v>
      </c>
      <c r="V385" s="229" t="inlineStr">
        <is>
          <t>Aktif</t>
        </is>
      </c>
      <c r="W385" s="229" t="inlineStr">
        <is>
          <t>Ya</t>
        </is>
      </c>
      <c r="X385" s="288" t="n"/>
      <c r="Y385" s="229" t="inlineStr">
        <is>
          <t>Web Service</t>
        </is>
      </c>
      <c r="Z385" s="229" t="inlineStr">
        <is>
          <t>Bulanan</t>
        </is>
      </c>
      <c r="AA385" s="229" t="inlineStr">
        <is>
          <t>Bagian Keuangan</t>
        </is>
      </c>
      <c r="AB385" s="229" t="inlineStr">
        <is>
          <t>BKAD</t>
        </is>
      </c>
      <c r="AC385" s="229" t="inlineStr">
        <is>
          <t>Yasmina Natasya, S.Ak</t>
        </is>
      </c>
      <c r="AD385" s="229" t="n">
        <v>82111311546</v>
      </c>
      <c r="AE385" s="229" t="inlineStr">
        <is>
          <t>natasyayasmina08@gmail.com dan Iip Nadifah, A.Md.M</t>
        </is>
      </c>
      <c r="AF385" s="288" t="n"/>
      <c r="AG385" s="229" t="inlineStr">
        <is>
          <t>Bulanan</t>
        </is>
      </c>
      <c r="AH385" s="284" t="n"/>
      <c r="AI385" s="284" t="n"/>
      <c r="AJ385" s="284" t="n"/>
      <c r="AK385" s="284" t="n"/>
      <c r="AL385" s="284" t="n"/>
      <c r="AM385" s="284" t="n"/>
      <c r="AN385" s="284" t="n"/>
      <c r="AO385" s="284" t="n"/>
      <c r="AP385" s="284" t="n"/>
      <c r="AQ385" s="284" t="n"/>
      <c r="AR385" s="284" t="n"/>
      <c r="AS385" s="284" t="n"/>
    </row>
    <row r="386">
      <c r="A386" s="227" t="n">
        <v>15</v>
      </c>
      <c r="B386" s="228" t="inlineStr">
        <is>
          <t>Layanan Informasi Modul Penerimaan Negara (MPN)</t>
        </is>
      </c>
      <c r="C386" t="inlineStr">
        <is>
          <t>RSUD CICALENGKA</t>
        </is>
      </c>
      <c r="D386" s="228" t="inlineStr">
        <is>
          <t>memodernisasi pengelolaan penerimaan negara, memudahkan wajib pajak/bayar dalam menyetorkan pajak, bea cukai, dan PNBP secara aman, cepat, dan 24/7.</t>
        </is>
      </c>
      <c r="E386" s="229" t="inlineStr">
        <is>
          <t>PMK Nomor 225/PMK.05/2020 tentang Sistem Penerimaan Negara secara Elektronik,</t>
        </is>
      </c>
      <c r="F386" s="288" t="n"/>
      <c r="G386" s="229" t="inlineStr">
        <is>
          <t>AKUNTANSI DAN PELAPORAN KEUANGAN</t>
        </is>
      </c>
      <c r="H386" s="229" t="inlineStr">
        <is>
          <t>Instansi Pemerintah Lainnya</t>
        </is>
      </c>
      <c r="I386" s="229" t="inlineStr">
        <is>
          <t>BPJS 1% dan 4%</t>
        </is>
      </c>
      <c r="J386" s="228" t="inlineStr">
        <is>
          <t>Bukti setor BPJS 1% dan 4%</t>
        </is>
      </c>
      <c r="K386" s="229" t="inlineStr">
        <is>
          <t>Terbatas</t>
        </is>
      </c>
      <c r="L386" s="229" t="inlineStr">
        <is>
          <t>Tidak terdapat</t>
        </is>
      </c>
      <c r="M386" s="229" t="inlineStr">
        <is>
          <t>Bulanan</t>
        </is>
      </c>
      <c r="N386" s="231" t="inlineStr">
        <is>
          <t>MPN Kemenkeu</t>
        </is>
      </c>
      <c r="O386" s="229" t="inlineStr">
        <is>
          <t>Pusat</t>
        </is>
      </c>
      <c r="P386" s="229" t="inlineStr">
        <is>
          <t>Pusat</t>
        </is>
      </c>
      <c r="Q386" s="229" t="inlineStr">
        <is>
          <t>Website</t>
        </is>
      </c>
      <c r="R386" s="233" t="inlineStr">
        <is>
          <t>https://mpn.kemenkeu.go.id</t>
        </is>
      </c>
      <c r="S386" s="229" t="inlineStr">
        <is>
          <t>Secara Online</t>
        </is>
      </c>
      <c r="T386" s="229" t="inlineStr">
        <is>
          <t>Transaksi</t>
        </is>
      </c>
      <c r="U386" s="288" t="n"/>
      <c r="V386" s="229" t="inlineStr">
        <is>
          <t>Aktif</t>
        </is>
      </c>
      <c r="W386" s="229" t="inlineStr">
        <is>
          <t>Ya</t>
        </is>
      </c>
      <c r="X386" s="229" t="inlineStr">
        <is>
          <t>BPJS</t>
        </is>
      </c>
      <c r="Y386" s="229" t="inlineStr">
        <is>
          <t>Tidak Terintegrasi</t>
        </is>
      </c>
      <c r="Z386" s="229" t="inlineStr">
        <is>
          <t>Tidak Terintegrasi</t>
        </is>
      </c>
      <c r="AA386" s="229" t="inlineStr">
        <is>
          <t>Bagian Keuangan</t>
        </is>
      </c>
      <c r="AB386" s="229" t="inlineStr">
        <is>
          <t>BKAD</t>
        </is>
      </c>
      <c r="AC386" s="229" t="inlineStr">
        <is>
          <t>Dhini Lestika Anggraeni, A.Md</t>
        </is>
      </c>
      <c r="AD386" s="229" t="n">
        <v>81321703044</v>
      </c>
      <c r="AE386" s="229" t="inlineStr">
        <is>
          <t>dhini.101205@gmail.com</t>
        </is>
      </c>
      <c r="AF386" s="288" t="n"/>
      <c r="AG386" s="229" t="inlineStr">
        <is>
          <t>Bulanan</t>
        </is>
      </c>
      <c r="AH386" s="284" t="n"/>
      <c r="AI386" s="284" t="n"/>
      <c r="AJ386" s="284" t="n"/>
      <c r="AK386" s="284" t="n"/>
      <c r="AL386" s="284" t="n"/>
      <c r="AM386" s="284" t="n"/>
      <c r="AN386" s="284" t="n"/>
      <c r="AO386" s="284" t="n"/>
      <c r="AP386" s="284" t="n"/>
      <c r="AQ386" s="284" t="n"/>
      <c r="AR386" s="284" t="n"/>
      <c r="AS386" s="284" t="n"/>
    </row>
    <row r="387">
      <c r="A387" s="227" t="n">
        <v>16</v>
      </c>
      <c r="B387" s="228" t="inlineStr">
        <is>
          <t>Layanan Informasi Tuberkulosis (SITB)</t>
        </is>
      </c>
      <c r="C387" t="inlineStr">
        <is>
          <t>RSUD CICALENGKA</t>
        </is>
      </c>
      <c r="D387" s="228"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387" s="229"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387" s="230" t="inlineStr">
        <is>
          <t>https://drive.google.com/drive/folders/1MppwIbicgeJnTSmBS08CzfVFAUOfmdja?usp=sharing</t>
        </is>
      </c>
      <c r="G387" s="229" t="inlineStr">
        <is>
          <t>PENGELOLAAN PELAYANAN KESEHATAN</t>
        </is>
      </c>
      <c r="H387" s="229" t="inlineStr">
        <is>
          <t>Masyarakat</t>
        </is>
      </c>
      <c r="I387" s="229" t="inlineStr">
        <is>
          <t>Identitas pasien, data klinis dan faktor risiko, data pemeriksaan diagnostik (mikroskopis sputum, Tes Cepat Molekuler (TCM), kultur, dan uji kepekaan obat), data pengobatan pasien TB, pemantauan dan evaluasi pengobatan.</t>
        </is>
      </c>
      <c r="J387" s="228" t="inlineStr">
        <is>
          <t>Data jumlah kasus TB yang terlaporkan (distribusi kasus berdasarkan umur, jenis kelamin, wilayah, serta jenis TB ), data hasil pemeriksaan diagnostik, data pemantauan dan data hasil indikator kinerja program TB.</t>
        </is>
      </c>
      <c r="K387" s="229" t="inlineStr">
        <is>
          <t>Terbatas</t>
        </is>
      </c>
      <c r="L387" s="229" t="inlineStr">
        <is>
          <t>Terdapat</t>
        </is>
      </c>
      <c r="M387" s="229" t="inlineStr">
        <is>
          <t>Lainnya</t>
        </is>
      </c>
      <c r="N387" s="231" t="inlineStr">
        <is>
          <t>Sistem Informasi Tuberkulosis (SITB)</t>
        </is>
      </c>
      <c r="O387" s="229" t="inlineStr">
        <is>
          <t>Pusat</t>
        </is>
      </c>
      <c r="P387" s="229" t="inlineStr">
        <is>
          <t>Pusat</t>
        </is>
      </c>
      <c r="Q387" s="229" t="inlineStr">
        <is>
          <t>Website dan Mobile</t>
        </is>
      </c>
      <c r="R387" s="233" t="inlineStr">
        <is>
          <t>http://dkijabarbanten.sitb.id/</t>
        </is>
      </c>
      <c r="S387" s="229" t="inlineStr">
        <is>
          <t>Secara Online</t>
        </is>
      </c>
      <c r="T387" s="229" t="inlineStr">
        <is>
          <t>Informasi</t>
        </is>
      </c>
      <c r="U387" s="229" t="n">
        <v>2018</v>
      </c>
      <c r="V387" s="229" t="inlineStr">
        <is>
          <t>Aktif</t>
        </is>
      </c>
      <c r="W387" s="229" t="inlineStr">
        <is>
          <t>Ya</t>
        </is>
      </c>
      <c r="X387" s="229" t="inlineStr">
        <is>
          <t>SATUSEHAT Platform, Sistem Informasi HIV/AIDS dan IMS (SIHA), Sistem Informasi Manajemen Rumah Sakit (SIMRS) dan Sistem Kewaspadaan Dini dan Respons (SKDR).</t>
        </is>
      </c>
      <c r="Y387" s="229" t="inlineStr">
        <is>
          <t>API</t>
        </is>
      </c>
      <c r="Z387" s="229" t="inlineStr">
        <is>
          <t>Realtime</t>
        </is>
      </c>
      <c r="AA387" s="229" t="inlineStr">
        <is>
          <t>Bidang Pelayanan Medis</t>
        </is>
      </c>
      <c r="AB387" s="229" t="inlineStr">
        <is>
          <t>Dinkes</t>
        </is>
      </c>
      <c r="AC387" s="288" t="n"/>
      <c r="AD387" s="288" t="n"/>
      <c r="AE387" s="288" t="n"/>
      <c r="AF387" s="288" t="n"/>
      <c r="AG387" s="229" t="inlineStr">
        <is>
          <t>Setiap Saat</t>
        </is>
      </c>
      <c r="AH387" s="284" t="n"/>
      <c r="AI387" s="284" t="n"/>
      <c r="AJ387" s="284" t="n"/>
      <c r="AK387" s="284" t="n"/>
      <c r="AL387" s="284" t="n"/>
      <c r="AM387" s="284" t="n"/>
      <c r="AN387" s="284" t="n"/>
      <c r="AO387" s="284" t="n"/>
      <c r="AP387" s="284" t="n"/>
      <c r="AQ387" s="284" t="n"/>
      <c r="AR387" s="284" t="n"/>
      <c r="AS387" s="284" t="n"/>
    </row>
    <row r="388">
      <c r="A388" s="227" t="n">
        <v>17</v>
      </c>
      <c r="B388" s="228" t="inlineStr">
        <is>
          <t>Layanan administrasi kepegawaian</t>
        </is>
      </c>
      <c r="C388" t="inlineStr">
        <is>
          <t>RSUD CICALENGKA</t>
        </is>
      </c>
      <c r="D388" s="228" t="inlineStr">
        <is>
          <t>Sistem informasi kepegawaian ASN Kabupaten Bandung. Fungsi nya untuk layanan administrasi kepegawaian ASN, mulai dari kenaikan pangkat, kenaikan gaji berkala, cuti, pensiun, ijin belajar dll</t>
        </is>
      </c>
      <c r="E388" s="229" t="inlineStr">
        <is>
          <t>Undang Undang Nomor 20 Tahun 2023 ttg ASN</t>
        </is>
      </c>
      <c r="F388" s="288" t="n"/>
      <c r="G388" s="229" t="inlineStr">
        <is>
          <t>PENATAAN SUMBER DAYA MANUSIA APARATUR</t>
        </is>
      </c>
      <c r="H388" s="229" t="inlineStr">
        <is>
          <t>Pegawai</t>
        </is>
      </c>
      <c r="I388" s="229" t="inlineStr">
        <is>
          <t>data kepegawaian</t>
        </is>
      </c>
      <c r="J388" s="228" t="inlineStr">
        <is>
          <t>layanan administrasi kepegawaian</t>
        </is>
      </c>
      <c r="K388" s="229" t="inlineStr">
        <is>
          <t>Terbatas</t>
        </is>
      </c>
      <c r="L388" s="229" t="inlineStr">
        <is>
          <t>Terdapat</t>
        </is>
      </c>
      <c r="M388" s="229" t="inlineStr">
        <is>
          <t>Bulanan</t>
        </is>
      </c>
      <c r="N388" s="231" t="inlineStr">
        <is>
          <t>simpel bkpsdm</t>
        </is>
      </c>
      <c r="O388" s="229" t="inlineStr">
        <is>
          <t>OPD</t>
        </is>
      </c>
      <c r="P388" s="229" t="inlineStr">
        <is>
          <t>Kab. Bandung</t>
        </is>
      </c>
      <c r="Q388" s="229" t="inlineStr">
        <is>
          <t>Website</t>
        </is>
      </c>
      <c r="R388" s="233" t="inlineStr">
        <is>
          <t>simpelbkpsdm.bandungkab.go.id</t>
        </is>
      </c>
      <c r="S388" s="229" t="inlineStr">
        <is>
          <t>Secara Online</t>
        </is>
      </c>
      <c r="T388" s="229" t="inlineStr">
        <is>
          <t>Informasi</t>
        </is>
      </c>
      <c r="U388" s="229" t="n">
        <v>2018</v>
      </c>
      <c r="V388" s="229" t="inlineStr">
        <is>
          <t>Aktif</t>
        </is>
      </c>
      <c r="W388" s="229" t="inlineStr">
        <is>
          <t>Ya</t>
        </is>
      </c>
      <c r="X388" s="229" t="inlineStr">
        <is>
          <t>SIASN</t>
        </is>
      </c>
      <c r="Y388" s="229" t="inlineStr">
        <is>
          <t>Database to Database</t>
        </is>
      </c>
      <c r="Z388" s="229" t="inlineStr">
        <is>
          <t>Lainnya</t>
        </is>
      </c>
      <c r="AA388" s="229" t="inlineStr">
        <is>
          <t>Bagian Umum dan Kepegawaian</t>
        </is>
      </c>
      <c r="AB388" s="229" t="inlineStr">
        <is>
          <t>BKPSDM</t>
        </is>
      </c>
      <c r="AC388" s="288" t="n"/>
      <c r="AD388" s="288" t="n"/>
      <c r="AE388" s="288" t="n"/>
      <c r="AF388" s="288" t="n"/>
      <c r="AG388" s="229" t="inlineStr">
        <is>
          <t>Setiap Saat</t>
        </is>
      </c>
      <c r="AH388" s="284" t="n"/>
      <c r="AI388" s="284" t="n"/>
      <c r="AJ388" s="284" t="n"/>
      <c r="AK388" s="284" t="n"/>
      <c r="AL388" s="284" t="n"/>
      <c r="AM388" s="284" t="n"/>
      <c r="AN388" s="284" t="n"/>
      <c r="AO388" s="284" t="n"/>
      <c r="AP388" s="284" t="n"/>
      <c r="AQ388" s="284" t="n"/>
      <c r="AR388" s="284" t="n"/>
      <c r="AS388" s="284" t="n"/>
    </row>
    <row r="389">
      <c r="A389" s="227" t="n">
        <v>18</v>
      </c>
      <c r="B389" s="228" t="inlineStr">
        <is>
          <t>Layanan Daftar Hadir Eletronik</t>
        </is>
      </c>
      <c r="C389" t="inlineStr">
        <is>
          <t>RSUD CICALENGKA</t>
        </is>
      </c>
      <c r="D389" s="228" t="inlineStr">
        <is>
          <t>Layanan presensi kehadiran ASN</t>
        </is>
      </c>
      <c r="E389" s="229" t="inlineStr">
        <is>
          <t>Undang Undang Nomor 20 Tahun 2023 ttg ASN</t>
        </is>
      </c>
      <c r="F389" s="288" t="n"/>
      <c r="G389" s="229" t="inlineStr">
        <is>
          <t>PENATAAN SUMBER DAYA MANUSIA APARATUR</t>
        </is>
      </c>
      <c r="H389" s="229" t="inlineStr">
        <is>
          <t>Pegawai</t>
        </is>
      </c>
      <c r="I389" s="229" t="inlineStr">
        <is>
          <t>Kehadiran ASN</t>
        </is>
      </c>
      <c r="J389" s="228" t="inlineStr">
        <is>
          <t>Kehadiran ASN</t>
        </is>
      </c>
      <c r="K389" s="229" t="inlineStr">
        <is>
          <t>Terbatas</t>
        </is>
      </c>
      <c r="L389" s="229" t="inlineStr">
        <is>
          <t>Terdapat</t>
        </is>
      </c>
      <c r="M389" s="229" t="inlineStr">
        <is>
          <t>Harian</t>
        </is>
      </c>
      <c r="N389" s="231" t="inlineStr">
        <is>
          <t>DHE</t>
        </is>
      </c>
      <c r="O389" s="229" t="inlineStr">
        <is>
          <t>OPD</t>
        </is>
      </c>
      <c r="P389" s="229" t="inlineStr">
        <is>
          <t>Kab. Bandung</t>
        </is>
      </c>
      <c r="Q389" s="229" t="inlineStr">
        <is>
          <t>Mobile</t>
        </is>
      </c>
      <c r="R389" s="236" t="inlineStr">
        <is>
          <t>DHE</t>
        </is>
      </c>
      <c r="S389" s="229" t="inlineStr">
        <is>
          <t>Secara Online</t>
        </is>
      </c>
      <c r="T389" s="229" t="inlineStr">
        <is>
          <t>Informasi</t>
        </is>
      </c>
      <c r="U389" s="288" t="n"/>
      <c r="V389" s="229" t="inlineStr">
        <is>
          <t>Aktif</t>
        </is>
      </c>
      <c r="W389" s="229" t="inlineStr">
        <is>
          <t>Ya</t>
        </is>
      </c>
      <c r="X389" s="229" t="inlineStr">
        <is>
          <t>e-absensi, sasikap</t>
        </is>
      </c>
      <c r="Y389" s="229" t="inlineStr">
        <is>
          <t>Web Service</t>
        </is>
      </c>
      <c r="Z389" s="229" t="inlineStr">
        <is>
          <t>Harian</t>
        </is>
      </c>
      <c r="AA389" s="229" t="inlineStr">
        <is>
          <t>Bagian Umum dan Kepegawaian</t>
        </is>
      </c>
      <c r="AB389" s="229" t="inlineStr">
        <is>
          <t>Diskominfo</t>
        </is>
      </c>
      <c r="AC389" s="288" t="n"/>
      <c r="AD389" s="288" t="n"/>
      <c r="AE389" s="288" t="n"/>
      <c r="AF389" s="288" t="n"/>
      <c r="AG389" s="229" t="inlineStr">
        <is>
          <t>Setiap Saat</t>
        </is>
      </c>
      <c r="AH389" s="284" t="n"/>
      <c r="AI389" s="284" t="n"/>
      <c r="AJ389" s="284" t="n"/>
      <c r="AK389" s="284" t="n"/>
      <c r="AL389" s="284" t="n"/>
      <c r="AM389" s="284" t="n"/>
      <c r="AN389" s="284" t="n"/>
      <c r="AO389" s="284" t="n"/>
      <c r="AP389" s="284" t="n"/>
      <c r="AQ389" s="284" t="n"/>
      <c r="AR389" s="284" t="n"/>
      <c r="AS389" s="284" t="n"/>
    </row>
    <row r="390">
      <c r="A390" s="227" t="n">
        <v>19</v>
      </c>
      <c r="B390" s="228" t="inlineStr">
        <is>
          <t>Layanan surat menyurat elektronik</t>
        </is>
      </c>
      <c r="C390" t="inlineStr">
        <is>
          <t>RSUD CICALENGKA</t>
        </is>
      </c>
      <c r="D390" s="228" t="inlineStr">
        <is>
          <t>Layanan surat menyurat</t>
        </is>
      </c>
      <c r="E390" s="288" t="n"/>
      <c r="F390" s="288" t="n"/>
      <c r="G390" s="229" t="inlineStr">
        <is>
          <t>PENATAAN SISTEM KELEMBAGAAN</t>
        </is>
      </c>
      <c r="H390" s="229" t="inlineStr">
        <is>
          <t>Pegawai</t>
        </is>
      </c>
      <c r="I390" s="229" t="inlineStr">
        <is>
          <t>surat dinas</t>
        </is>
      </c>
      <c r="J390" s="228" t="inlineStr">
        <is>
          <t>surat dinas</t>
        </is>
      </c>
      <c r="K390" s="229" t="inlineStr">
        <is>
          <t>Terbatas</t>
        </is>
      </c>
      <c r="L390" s="229" t="inlineStr">
        <is>
          <t>Tidak terdapat</t>
        </is>
      </c>
      <c r="M390" s="229" t="inlineStr">
        <is>
          <t>Harian</t>
        </is>
      </c>
      <c r="N390" s="231" t="inlineStr">
        <is>
          <t>Sultan (e-office)</t>
        </is>
      </c>
      <c r="O390" s="229" t="inlineStr">
        <is>
          <t>OPD</t>
        </is>
      </c>
      <c r="P390" s="229" t="inlineStr">
        <is>
          <t>Kab. Bandung</t>
        </is>
      </c>
      <c r="Q390" s="229" t="inlineStr">
        <is>
          <t>Website dan Mobile</t>
        </is>
      </c>
      <c r="R390" s="233" t="inlineStr">
        <is>
          <t>sultan.banadungkab.go.id</t>
        </is>
      </c>
      <c r="S390" s="229" t="inlineStr">
        <is>
          <t>Secara Online</t>
        </is>
      </c>
      <c r="T390" s="229" t="inlineStr">
        <is>
          <t>Informasi</t>
        </is>
      </c>
      <c r="U390" s="288" t="n"/>
      <c r="V390" s="229" t="inlineStr">
        <is>
          <t>Aktif</t>
        </is>
      </c>
      <c r="W390" s="229" t="inlineStr">
        <is>
          <t>Tidak</t>
        </is>
      </c>
      <c r="X390" s="229" t="inlineStr">
        <is>
          <t>tidak terintegrasi</t>
        </is>
      </c>
      <c r="Y390" s="229" t="inlineStr">
        <is>
          <t>Tidak Terintegrasi</t>
        </is>
      </c>
      <c r="Z390" s="229" t="inlineStr">
        <is>
          <t>Tidak Terintegrasi</t>
        </is>
      </c>
      <c r="AA390" s="229" t="inlineStr">
        <is>
          <t>semua bidang/bagian</t>
        </is>
      </c>
      <c r="AB390" s="229" t="inlineStr">
        <is>
          <t>Diskominfo</t>
        </is>
      </c>
      <c r="AC390" s="288" t="n"/>
      <c r="AD390" s="288" t="n"/>
      <c r="AE390" s="288" t="n"/>
      <c r="AF390" s="288" t="n"/>
      <c r="AG390" s="229" t="inlineStr">
        <is>
          <t>Setiap Saat</t>
        </is>
      </c>
      <c r="AH390" s="284" t="n"/>
      <c r="AI390" s="284" t="n"/>
      <c r="AJ390" s="284" t="n"/>
      <c r="AK390" s="284" t="n"/>
      <c r="AL390" s="284" t="n"/>
      <c r="AM390" s="284" t="n"/>
      <c r="AN390" s="284" t="n"/>
      <c r="AO390" s="284" t="n"/>
      <c r="AP390" s="284" t="n"/>
      <c r="AQ390" s="284" t="n"/>
      <c r="AR390" s="284" t="n"/>
      <c r="AS390" s="284" t="n"/>
    </row>
    <row r="391">
      <c r="A391" s="227" t="n">
        <v>20</v>
      </c>
      <c r="B391" s="228" t="inlineStr">
        <is>
          <t>Laporan aktivitas harian ASN</t>
        </is>
      </c>
      <c r="C391" t="inlineStr">
        <is>
          <t>RSUD CICALENGKA</t>
        </is>
      </c>
      <c r="D391" s="228" t="inlineStr">
        <is>
          <t>Laporan aktivitas harian ASN</t>
        </is>
      </c>
      <c r="E391" s="229" t="inlineStr">
        <is>
          <t>Undang Undang Nomor 20 Tahun 2023 ttg ASN</t>
        </is>
      </c>
      <c r="F391" s="288" t="n"/>
      <c r="G391" s="229" t="inlineStr">
        <is>
          <t>PENATAAN SUMBER DAYA MANUSIA APARATUR</t>
        </is>
      </c>
      <c r="H391" s="229" t="inlineStr">
        <is>
          <t>Pegawai</t>
        </is>
      </c>
      <c r="I391" s="229" t="inlineStr">
        <is>
          <t>aktivitas ASN</t>
        </is>
      </c>
      <c r="J391" s="228" t="inlineStr">
        <is>
          <t>aktivitas ASN</t>
        </is>
      </c>
      <c r="K391" s="229" t="inlineStr">
        <is>
          <t>Terbatas</t>
        </is>
      </c>
      <c r="L391" s="229" t="inlineStr">
        <is>
          <t>Tidak terdapat</t>
        </is>
      </c>
      <c r="M391" s="229" t="inlineStr">
        <is>
          <t>Harian</t>
        </is>
      </c>
      <c r="N391" s="231" t="inlineStr">
        <is>
          <t>SASIKAP EVO</t>
        </is>
      </c>
      <c r="O391" s="229" t="inlineStr">
        <is>
          <t>Diskominfo</t>
        </is>
      </c>
      <c r="P391" s="229" t="inlineStr">
        <is>
          <t>Kab. Bandung</t>
        </is>
      </c>
      <c r="Q391" s="229" t="inlineStr">
        <is>
          <t>Website dan Mobile</t>
        </is>
      </c>
      <c r="R391" s="233" t="inlineStr">
        <is>
          <t>sso.bandungkab.go.id</t>
        </is>
      </c>
      <c r="S391" s="229" t="inlineStr">
        <is>
          <t>Secara Online</t>
        </is>
      </c>
      <c r="T391" s="229" t="inlineStr">
        <is>
          <t>Informasi</t>
        </is>
      </c>
      <c r="U391" s="288" t="n"/>
      <c r="V391" s="229" t="inlineStr">
        <is>
          <t>Aktif</t>
        </is>
      </c>
      <c r="W391" s="229" t="inlineStr">
        <is>
          <t>Ya</t>
        </is>
      </c>
      <c r="X391" s="229" t="inlineStr">
        <is>
          <t>e-absensi, DHE</t>
        </is>
      </c>
      <c r="Y391" s="229" t="inlineStr">
        <is>
          <t>Web Service</t>
        </is>
      </c>
      <c r="Z391" s="229" t="inlineStr">
        <is>
          <t>Realtime</t>
        </is>
      </c>
      <c r="AA391" s="229" t="inlineStr">
        <is>
          <t>semua bidang/bagian</t>
        </is>
      </c>
      <c r="AB391" s="229" t="inlineStr">
        <is>
          <t>BKPSDM</t>
        </is>
      </c>
      <c r="AC391" s="288" t="n"/>
      <c r="AD391" s="288" t="n"/>
      <c r="AE391" s="288" t="n"/>
      <c r="AF391" s="288" t="n"/>
      <c r="AG391" s="229" t="inlineStr">
        <is>
          <t>Harian</t>
        </is>
      </c>
      <c r="AH391" s="284" t="n"/>
      <c r="AI391" s="284" t="n"/>
      <c r="AJ391" s="284" t="n"/>
      <c r="AK391" s="284" t="n"/>
      <c r="AL391" s="284" t="n"/>
      <c r="AM391" s="284" t="n"/>
      <c r="AN391" s="284" t="n"/>
      <c r="AO391" s="284" t="n"/>
      <c r="AP391" s="284" t="n"/>
      <c r="AQ391" s="284" t="n"/>
      <c r="AR391" s="284" t="n"/>
      <c r="AS391" s="284" t="n"/>
    </row>
    <row r="392">
      <c r="A392" s="227" t="n">
        <v>21</v>
      </c>
      <c r="B392" s="228" t="inlineStr">
        <is>
          <t>Layanan informasi tenaga kesehatan</t>
        </is>
      </c>
      <c r="C392" t="inlineStr">
        <is>
          <t>RSUD CICALENGKA</t>
        </is>
      </c>
      <c r="D392" s="228" t="inlineStr">
        <is>
          <t>database tenaga kesehatan</t>
        </is>
      </c>
      <c r="E392" s="229" t="inlineStr">
        <is>
          <t>Undang-undang np 17 Tahun 2023 ttg kesehatn</t>
        </is>
      </c>
      <c r="F392" s="288" t="n"/>
      <c r="G392" s="229" t="inlineStr">
        <is>
          <t>PENGEMBANGAN DAN PEMBERDAYAAN SUMBER DAYA MANUSIA KESEHATAN</t>
        </is>
      </c>
      <c r="H392" s="229" t="inlineStr">
        <is>
          <t>Pegawai</t>
        </is>
      </c>
      <c r="I392" s="229" t="inlineStr">
        <is>
          <t>database tenaga kesehatan</t>
        </is>
      </c>
      <c r="J392" s="229" t="inlineStr">
        <is>
          <t>database tenaga kesehatan</t>
        </is>
      </c>
      <c r="K392" s="229" t="inlineStr">
        <is>
          <t>Terbatas</t>
        </is>
      </c>
      <c r="L392" s="229" t="inlineStr">
        <is>
          <t>Terdapat</t>
        </is>
      </c>
      <c r="M392" s="229" t="inlineStr">
        <is>
          <t>Harian</t>
        </is>
      </c>
      <c r="N392" s="231" t="inlineStr">
        <is>
          <t>SISDMK</t>
        </is>
      </c>
      <c r="O392" s="229" t="inlineStr">
        <is>
          <t>Pusat</t>
        </is>
      </c>
      <c r="P392" s="229" t="inlineStr">
        <is>
          <t>Pusat</t>
        </is>
      </c>
      <c r="Q392" s="229" t="inlineStr">
        <is>
          <t>Website dan Mobile</t>
        </is>
      </c>
      <c r="R392" s="233" t="inlineStr">
        <is>
          <t>sisdmk.kemkes.go.id</t>
        </is>
      </c>
      <c r="S392" s="229" t="inlineStr">
        <is>
          <t>Secara Online</t>
        </is>
      </c>
      <c r="T392" s="229" t="inlineStr">
        <is>
          <t>Informasi</t>
        </is>
      </c>
      <c r="U392" s="288" t="n"/>
      <c r="V392" s="229" t="inlineStr">
        <is>
          <t>Aktif</t>
        </is>
      </c>
      <c r="W392" s="229" t="inlineStr">
        <is>
          <t>Ya</t>
        </is>
      </c>
      <c r="X392" s="288" t="n"/>
      <c r="Y392" s="229" t="inlineStr">
        <is>
          <t>Web Service</t>
        </is>
      </c>
      <c r="Z392" s="229" t="inlineStr">
        <is>
          <t>Realtime</t>
        </is>
      </c>
      <c r="AA392" s="229" t="inlineStr">
        <is>
          <t>semua bidang/bagian</t>
        </is>
      </c>
      <c r="AB392" s="229" t="inlineStr">
        <is>
          <t>Dinkes</t>
        </is>
      </c>
      <c r="AC392" s="288" t="n"/>
      <c r="AD392" s="288" t="n"/>
      <c r="AE392" s="288" t="n"/>
      <c r="AF392" s="288" t="n"/>
      <c r="AG392" s="229" t="inlineStr">
        <is>
          <t>Setiap Saat</t>
        </is>
      </c>
      <c r="AH392" s="284" t="n"/>
      <c r="AI392" s="284" t="n"/>
      <c r="AJ392" s="284" t="n"/>
      <c r="AK392" s="284" t="n"/>
      <c r="AL392" s="284" t="n"/>
      <c r="AM392" s="284" t="n"/>
      <c r="AN392" s="284" t="n"/>
      <c r="AO392" s="284" t="n"/>
      <c r="AP392" s="284" t="n"/>
      <c r="AQ392" s="284" t="n"/>
      <c r="AR392" s="284" t="n"/>
      <c r="AS392" s="284" t="n"/>
    </row>
    <row r="393">
      <c r="A393" s="227" t="n">
        <v>22</v>
      </c>
      <c r="B393" s="228" t="inlineStr">
        <is>
          <t>Layanan pelaporan pelayanan kesehatan</t>
        </is>
      </c>
      <c r="C393" t="inlineStr">
        <is>
          <t>RSUD CICALENGKA</t>
        </is>
      </c>
      <c r="D393" s="232" t="inlineStr">
        <is>
          <t>Pelaporan pelayanan kesehatan mencakup Data dasar RS, Profil, Update tempat tidur, Laporan KLB/Pandemi, Kompetensi RS, Rekapitulasi Laporan</t>
        </is>
      </c>
      <c r="E393" s="229" t="inlineStr">
        <is>
          <t>Direktorat Jenderal Kesehatan Lanjutan Kemenkes</t>
        </is>
      </c>
      <c r="F393" s="230" t="inlineStr">
        <is>
          <t>sirs.kemkes.go.id</t>
        </is>
      </c>
      <c r="G393" s="229" t="inlineStr">
        <is>
          <t>PENGELOLAAN PELAYANAN KESEHATAN</t>
        </is>
      </c>
      <c r="H393" s="229" t="inlineStr">
        <is>
          <t>Instansi Pemerintah Lainnya</t>
        </is>
      </c>
      <c r="I393" s="229" t="inlineStr">
        <is>
          <t>Data dasar RS, Profil, Update tempat tidur, Laporan KLB/Pandemi, Kompetensi RS, Rekapitulasi Laporan</t>
        </is>
      </c>
      <c r="J393" s="228" t="inlineStr">
        <is>
          <t>Laporan Updating</t>
        </is>
      </c>
      <c r="K393" s="229" t="inlineStr">
        <is>
          <t>Terbatas</t>
        </is>
      </c>
      <c r="L393" s="229" t="inlineStr">
        <is>
          <t>Tidak terdapat</t>
        </is>
      </c>
      <c r="M393" s="229" t="inlineStr">
        <is>
          <t>Harian</t>
        </is>
      </c>
      <c r="N393" s="237" t="inlineStr">
        <is>
          <t>RS Online</t>
        </is>
      </c>
      <c r="O393" s="229" t="inlineStr">
        <is>
          <t>Pusat</t>
        </is>
      </c>
      <c r="P393" s="229" t="inlineStr">
        <is>
          <t>Pusat</t>
        </is>
      </c>
      <c r="Q393" s="228" t="inlineStr">
        <is>
          <t>Website</t>
        </is>
      </c>
      <c r="R393" s="230" t="inlineStr">
        <is>
          <t>SIRS.KEMKES.GO.ID</t>
        </is>
      </c>
      <c r="S393" s="229" t="inlineStr">
        <is>
          <t>Secara Online</t>
        </is>
      </c>
      <c r="T393" s="229" t="inlineStr">
        <is>
          <t>Informasi</t>
        </is>
      </c>
      <c r="U393" s="288" t="n"/>
      <c r="V393" s="229" t="inlineStr">
        <is>
          <t>Aktif</t>
        </is>
      </c>
      <c r="W393" s="229" t="inlineStr">
        <is>
          <t>Ya</t>
        </is>
      </c>
      <c r="X393" s="229" t="inlineStr">
        <is>
          <t>tidak Terintegrasi</t>
        </is>
      </c>
      <c r="Y393" s="229" t="inlineStr">
        <is>
          <t>Tidak Terintegrasi</t>
        </is>
      </c>
      <c r="Z393" s="229" t="inlineStr">
        <is>
          <t>Realtime</t>
        </is>
      </c>
      <c r="AA393" s="229" t="inlineStr">
        <is>
          <t>Bidang Penunjang Medik dan Pelayanan Medik</t>
        </is>
      </c>
      <c r="AB393" s="229" t="inlineStr">
        <is>
          <t>Dinkes</t>
        </is>
      </c>
      <c r="AC393" s="288" t="n"/>
      <c r="AD393" s="288" t="n"/>
      <c r="AE393" s="288" t="n"/>
      <c r="AF393" s="229" t="n">
        <v>2024</v>
      </c>
      <c r="AG393" s="229" t="inlineStr">
        <is>
          <t>Setiap Saat</t>
        </is>
      </c>
      <c r="AH393" s="284" t="n"/>
      <c r="AI393" s="284" t="n"/>
      <c r="AJ393" s="284" t="n"/>
      <c r="AK393" s="284" t="n"/>
      <c r="AL393" s="284" t="n"/>
      <c r="AM393" s="284" t="n"/>
      <c r="AN393" s="284" t="n"/>
      <c r="AO393" s="284" t="n"/>
      <c r="AP393" s="284" t="n"/>
      <c r="AQ393" s="284" t="n"/>
      <c r="AR393" s="284" t="n"/>
      <c r="AS393" s="284" t="n"/>
    </row>
    <row r="394">
      <c r="A394" s="227" t="n">
        <v>23</v>
      </c>
      <c r="B394" s="228" t="inlineStr">
        <is>
          <t>Layanan pelaporan kinerja</t>
        </is>
      </c>
      <c r="C394" t="inlineStr">
        <is>
          <t>RSUD CICALENGKA</t>
        </is>
      </c>
      <c r="D394" s="238"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394" s="229"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394" s="288" t="n"/>
      <c r="G394" s="229" t="inlineStr">
        <is>
          <t>PENINGKATAN KUALITAS REFORMASI BIROKRASI, PENGAWASAN, DAN AKUNTABILITAS KINERJA</t>
        </is>
      </c>
      <c r="H394" s="229" t="inlineStr">
        <is>
          <t>Instansi Pemerintah Lainnya</t>
        </is>
      </c>
      <c r="I394" s="229" t="inlineStr">
        <is>
          <t>Data Capaian Kinerja Program dan Kegiatan, Indikator
 Data Capaian Pelaksanaan Anggaran dan Belanja
 Narasi Permasalahan dan Solusi
 Tindak lanjut Reomendasi DPRD
 Data Dukung Capaian Kinerja Berupa Penghargaan</t>
        </is>
      </c>
      <c r="J394" s="239" t="inlineStr">
        <is>
          <t>Dokumen digital yang terstruktur dan tervalidasi yang nantinya dicetak atau disampaikan secara elektronik sebagai bentuk pertanggungjawaban Kepala Daerah kepada DPRD.</t>
        </is>
      </c>
      <c r="K394" s="229" t="inlineStr">
        <is>
          <t>Terbuka</t>
        </is>
      </c>
      <c r="L394" s="229" t="inlineStr">
        <is>
          <t>Tidak terdapat</t>
        </is>
      </c>
      <c r="M394" s="229" t="inlineStr">
        <is>
          <t>Tahunan</t>
        </is>
      </c>
      <c r="N394" s="231" t="inlineStr">
        <is>
          <t>E-LKPJ</t>
        </is>
      </c>
      <c r="O394" s="229" t="inlineStr">
        <is>
          <t>OPD</t>
        </is>
      </c>
      <c r="P394" s="229" t="inlineStr">
        <is>
          <t>Kab. Bandung</t>
        </is>
      </c>
      <c r="Q394" s="229" t="inlineStr">
        <is>
          <t>Website</t>
        </is>
      </c>
      <c r="R394" s="233" t="inlineStr">
        <is>
          <t>https://e-lkpj.id/login</t>
        </is>
      </c>
      <c r="S394" s="229" t="inlineStr">
        <is>
          <t>Secara Online</t>
        </is>
      </c>
      <c r="T394" s="229" t="inlineStr">
        <is>
          <t>Informasi</t>
        </is>
      </c>
      <c r="U394" s="288" t="n"/>
      <c r="V394" s="229" t="inlineStr">
        <is>
          <t>Aktif</t>
        </is>
      </c>
      <c r="W394" s="229" t="inlineStr">
        <is>
          <t>Ya</t>
        </is>
      </c>
      <c r="X394" s="229" t="inlineStr">
        <is>
          <t>SIDALMONEP</t>
        </is>
      </c>
      <c r="Y394" s="288" t="n"/>
      <c r="Z394" s="288" t="n"/>
      <c r="AA394" s="229" t="inlineStr">
        <is>
          <t>Bagian Perencanaan dan Kehumasan</t>
        </is>
      </c>
      <c r="AB394" s="229" t="inlineStr">
        <is>
          <t>Setda</t>
        </is>
      </c>
      <c r="AC394" s="288" t="n"/>
      <c r="AD394" s="288" t="n"/>
      <c r="AE394" s="288" t="n"/>
      <c r="AF394" s="288" t="n"/>
      <c r="AG394" s="229" t="inlineStr">
        <is>
          <t>Tahunan</t>
        </is>
      </c>
      <c r="AH394" s="284" t="n"/>
      <c r="AI394" s="284" t="n"/>
      <c r="AJ394" s="284" t="n"/>
      <c r="AK394" s="284" t="n"/>
      <c r="AL394" s="284" t="n"/>
      <c r="AM394" s="284" t="n"/>
      <c r="AN394" s="284" t="n"/>
      <c r="AO394" s="284" t="n"/>
      <c r="AP394" s="284" t="n"/>
      <c r="AQ394" s="284" t="n"/>
      <c r="AR394" s="284" t="n"/>
      <c r="AS394" s="284" t="n"/>
    </row>
    <row r="395">
      <c r="A395" s="227" t="n">
        <v>24</v>
      </c>
      <c r="B395" s="228" t="inlineStr">
        <is>
          <t>Layanan monitoring dan evaluasi</t>
        </is>
      </c>
      <c r="C395" t="inlineStr">
        <is>
          <t>RSUD CICALENGKA</t>
        </is>
      </c>
      <c r="D395" s="228"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395" s="229" t="inlineStr">
        <is>
          <t>Permendagri Nomor 86 Tahun 2017: Peraturan menteri ini merupakan dasar utama tentang Tata Cara Perencanaan, Pengendalian, dan Evaluasi Pembangunan Daerah</t>
        </is>
      </c>
      <c r="F395" s="288" t="n"/>
      <c r="G395" s="229" t="inlineStr">
        <is>
          <t>MONITORING DAN EVALUASI ANGGARAN</t>
        </is>
      </c>
      <c r="H395" s="229" t="inlineStr">
        <is>
          <t>Instansi Pemerintah Lainnya</t>
        </is>
      </c>
      <c r="I395" s="229"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395" s="229" t="inlineStr">
        <is>
          <t>Laporan Evaluasi RKPD, Rekapitulasi Capaian Kinerja Perangkat Daerah</t>
        </is>
      </c>
      <c r="K395" s="229" t="inlineStr">
        <is>
          <t>Terbuka</t>
        </is>
      </c>
      <c r="L395" s="229" t="inlineStr">
        <is>
          <t>Tidak terdapat</t>
        </is>
      </c>
      <c r="M395" s="229" t="inlineStr">
        <is>
          <t>Bulanan</t>
        </is>
      </c>
      <c r="N395" s="231" t="inlineStr">
        <is>
          <t>Sidalmonep</t>
        </is>
      </c>
      <c r="O395" s="229" t="inlineStr">
        <is>
          <t>OPD</t>
        </is>
      </c>
      <c r="P395" s="229" t="inlineStr">
        <is>
          <t>Kab. Bandung</t>
        </is>
      </c>
      <c r="Q395" s="229" t="inlineStr">
        <is>
          <t>Website</t>
        </is>
      </c>
      <c r="R395" s="233" t="inlineStr">
        <is>
          <t>https://sidalmonep.bandungkab.go.id/app</t>
        </is>
      </c>
      <c r="S395" s="229" t="inlineStr">
        <is>
          <t>Secara Online</t>
        </is>
      </c>
      <c r="T395" s="229" t="inlineStr">
        <is>
          <t>Informasi</t>
        </is>
      </c>
      <c r="U395" s="288" t="n"/>
      <c r="V395" s="229" t="inlineStr">
        <is>
          <t>Aktif</t>
        </is>
      </c>
      <c r="W395" s="229" t="inlineStr">
        <is>
          <t>Ya</t>
        </is>
      </c>
      <c r="X395" s="229" t="inlineStr">
        <is>
          <t>e-lkpj</t>
        </is>
      </c>
      <c r="Y395" s="288" t="n"/>
      <c r="Z395" s="288" t="n"/>
      <c r="AA395" s="229" t="inlineStr">
        <is>
          <t>Bagian Perencanaan dan Kehumasan</t>
        </is>
      </c>
      <c r="AB395" s="229" t="inlineStr">
        <is>
          <t>Bapperida</t>
        </is>
      </c>
      <c r="AC395" s="288" t="n"/>
      <c r="AD395" s="288" t="n"/>
      <c r="AE395" s="288" t="n"/>
      <c r="AF395" s="288" t="n"/>
      <c r="AG395" s="229" t="inlineStr">
        <is>
          <t>Bulanan</t>
        </is>
      </c>
      <c r="AH395" s="284" t="n"/>
      <c r="AI395" s="284" t="n"/>
      <c r="AJ395" s="284" t="n"/>
      <c r="AK395" s="284" t="n"/>
      <c r="AL395" s="284" t="n"/>
      <c r="AM395" s="284" t="n"/>
      <c r="AN395" s="284" t="n"/>
      <c r="AO395" s="284" t="n"/>
      <c r="AP395" s="284" t="n"/>
      <c r="AQ395" s="284" t="n"/>
      <c r="AR395" s="284" t="n"/>
      <c r="AS395" s="284" t="n"/>
    </row>
    <row r="396">
      <c r="A396" s="227" t="n">
        <v>25</v>
      </c>
      <c r="B396" s="228" t="inlineStr">
        <is>
          <t>Layanan survey kepuasan masyarakat</t>
        </is>
      </c>
      <c r="C396" t="inlineStr">
        <is>
          <t>RSUD CICALENGKA</t>
        </is>
      </c>
      <c r="D396" s="22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396" s="229" t="inlineStr">
        <is>
          <t>-Peraturan Pemerintah Nomor 96 Tahun 2012 tentang Pelaksanaan Undang-undang Nomor 25 Tahun 2009 tentang Pelayanan Publik
 -Peraturan Menteri PANRB No. 14 Tahun 2017 tentang Pedoman Penyusunan Survei Kepuasan Masyarakat (SKM)</t>
        </is>
      </c>
      <c r="F396" s="288" t="n"/>
      <c r="G396" s="229" t="inlineStr">
        <is>
          <t>INFORMASI DAN DIPLOMASI PUBLIK</t>
        </is>
      </c>
      <c r="H396" s="229" t="inlineStr">
        <is>
          <t>Masyarakat</t>
        </is>
      </c>
      <c r="I396" s="229" t="inlineStr">
        <is>
          <t>Hasil Responden Survey Kepuasan Masyarakat (SKM)</t>
        </is>
      </c>
      <c r="J396" s="228" t="inlineStr">
        <is>
          <t>Laporan dan Hasil rekapan SKM</t>
        </is>
      </c>
      <c r="K396" s="229" t="inlineStr">
        <is>
          <t>Terbuka</t>
        </is>
      </c>
      <c r="L396" s="229" t="inlineStr">
        <is>
          <t>Terdapat</t>
        </is>
      </c>
      <c r="M396" s="229" t="inlineStr">
        <is>
          <t>Bulanan</t>
        </is>
      </c>
      <c r="N396" s="231" t="inlineStr">
        <is>
          <t>ESKM</t>
        </is>
      </c>
      <c r="O396" s="229" t="inlineStr">
        <is>
          <t>OPD</t>
        </is>
      </c>
      <c r="P396" s="229" t="inlineStr">
        <is>
          <t>Kab. Bandung</t>
        </is>
      </c>
      <c r="Q396" s="229" t="inlineStr">
        <is>
          <t>Website</t>
        </is>
      </c>
      <c r="R396" s="233" t="inlineStr">
        <is>
          <t>https://skm.bandungkab.go.id/</t>
        </is>
      </c>
      <c r="S396" s="229" t="inlineStr">
        <is>
          <t>Secara Online</t>
        </is>
      </c>
      <c r="T396" s="229" t="inlineStr">
        <is>
          <t>Informasi</t>
        </is>
      </c>
      <c r="U396" s="288" t="n"/>
      <c r="V396" s="229" t="inlineStr">
        <is>
          <t>Aktif</t>
        </is>
      </c>
      <c r="W396" s="229" t="inlineStr">
        <is>
          <t>Tidak</t>
        </is>
      </c>
      <c r="X396" s="229" t="inlineStr">
        <is>
          <t>Tidak Terintegrasi</t>
        </is>
      </c>
      <c r="Y396" s="229" t="inlineStr">
        <is>
          <t>Tidak Terintegrasi</t>
        </is>
      </c>
      <c r="Z396" s="229" t="inlineStr">
        <is>
          <t>Tidak Terintegrasi</t>
        </is>
      </c>
      <c r="AA396" s="229" t="inlineStr">
        <is>
          <t>Bagian Perencanaan dan Kehumasan</t>
        </is>
      </c>
      <c r="AB396" s="229" t="inlineStr">
        <is>
          <t>Setda</t>
        </is>
      </c>
      <c r="AC396" s="288" t="n"/>
      <c r="AD396" s="288" t="n"/>
      <c r="AE396" s="288" t="n"/>
      <c r="AF396" s="288" t="n"/>
      <c r="AG396" s="229" t="inlineStr">
        <is>
          <t>Setiap Saat</t>
        </is>
      </c>
      <c r="AH396" s="284" t="n"/>
      <c r="AI396" s="284" t="n"/>
      <c r="AJ396" s="284" t="n"/>
      <c r="AK396" s="284" t="n"/>
      <c r="AL396" s="284" t="n"/>
      <c r="AM396" s="284" t="n"/>
      <c r="AN396" s="284" t="n"/>
      <c r="AO396" s="284" t="n"/>
      <c r="AP396" s="284" t="n"/>
      <c r="AQ396" s="284" t="n"/>
      <c r="AR396" s="284" t="n"/>
      <c r="AS396" s="284" t="n"/>
    </row>
    <row r="397">
      <c r="A397" s="227" t="n">
        <v>26</v>
      </c>
      <c r="B397" s="228" t="inlineStr">
        <is>
          <t>Layanan informasi pelayanan publik</t>
        </is>
      </c>
      <c r="C397" t="inlineStr">
        <is>
          <t>RSUD CICALENGKA</t>
        </is>
      </c>
      <c r="D397" s="228" t="inlineStr">
        <is>
          <t>mempermudah masyarakat mengakses informasi layanan publik secara terpadu, transparan, dan akuntabel. Fungsi utamanya adalah mengintegrasikan data standar pelayanan (syarat, prosedur, waktu, biaya) dari berbagai instansi pemerintah</t>
        </is>
      </c>
      <c r="E397" s="229" t="inlineStr">
        <is>
          <t>-Peraturan Pemerintah Nomor 96 Tahun 2012 tentang Pelaksanaan Undang-undang Nomor 25 Tahun 2009 tentang Pelayanan Publik
 -Peraturan Menteri PANRB No. 14 Tahun 2017 tentang Pedoman Penyusunan Survei Kepuasan Masyarakat (SKM)</t>
        </is>
      </c>
      <c r="F397" s="288" t="n"/>
      <c r="G397" s="229" t="inlineStr">
        <is>
          <t>INFORMASI DAN DIPLOMASI PUBLIK</t>
        </is>
      </c>
      <c r="H397" s="229" t="inlineStr">
        <is>
          <t>Instansi Pemerintah Lainnya</t>
        </is>
      </c>
      <c r="I397" s="229" t="inlineStr">
        <is>
          <t>Identitas Instansi, Standar Pelayanan, Informasi Tambahan</t>
        </is>
      </c>
      <c r="J397" s="229" t="inlineStr">
        <is>
          <t>Informasi komprehensif mengenai penyelanggaraan pelayanan publik oleh instansi pemerintah</t>
        </is>
      </c>
      <c r="K397" s="229" t="inlineStr">
        <is>
          <t>Terbuka</t>
        </is>
      </c>
      <c r="L397" s="229" t="inlineStr">
        <is>
          <t>Tidak terdapat</t>
        </is>
      </c>
      <c r="M397" s="229" t="inlineStr">
        <is>
          <t>Lainnya</t>
        </is>
      </c>
      <c r="N397" s="231" t="inlineStr">
        <is>
          <t>SIPPN</t>
        </is>
      </c>
      <c r="O397" s="229" t="inlineStr">
        <is>
          <t>Pusat</t>
        </is>
      </c>
      <c r="P397" s="229" t="inlineStr">
        <is>
          <t>Pusat</t>
        </is>
      </c>
      <c r="Q397" s="229" t="inlineStr">
        <is>
          <t>Website</t>
        </is>
      </c>
      <c r="R397" s="233" t="inlineStr">
        <is>
          <t>https://sippn.menpan.go.id/</t>
        </is>
      </c>
      <c r="S397" s="229" t="inlineStr">
        <is>
          <t>Secara Online</t>
        </is>
      </c>
      <c r="T397" s="229" t="inlineStr">
        <is>
          <t>Informasi</t>
        </is>
      </c>
      <c r="U397" s="288" t="n"/>
      <c r="V397" s="229" t="inlineStr">
        <is>
          <t>Aktif</t>
        </is>
      </c>
      <c r="W397" s="229" t="inlineStr">
        <is>
          <t>Tidak</t>
        </is>
      </c>
      <c r="X397" s="229" t="inlineStr">
        <is>
          <t>Tidak Terintegrasi</t>
        </is>
      </c>
      <c r="Y397" s="229" t="inlineStr">
        <is>
          <t>Tidak Terintegrasi</t>
        </is>
      </c>
      <c r="Z397" s="229" t="inlineStr">
        <is>
          <t>Tidak Terintegrasi</t>
        </is>
      </c>
      <c r="AA397" s="229" t="inlineStr">
        <is>
          <t>Bagian Perencanaan dan Kehumasan</t>
        </is>
      </c>
      <c r="AB397" s="229" t="inlineStr">
        <is>
          <t>Dinkes</t>
        </is>
      </c>
      <c r="AC397" s="288" t="n"/>
      <c r="AD397" s="288" t="n"/>
      <c r="AE397" s="288" t="n"/>
      <c r="AF397" s="288" t="n"/>
      <c r="AG397" s="229" t="inlineStr">
        <is>
          <t>Insidentil</t>
        </is>
      </c>
      <c r="AH397" s="284" t="n"/>
      <c r="AI397" s="284" t="n"/>
      <c r="AJ397" s="284" t="n"/>
      <c r="AK397" s="284" t="n"/>
      <c r="AL397" s="284" t="n"/>
      <c r="AM397" s="284" t="n"/>
      <c r="AN397" s="284" t="n"/>
      <c r="AO397" s="284" t="n"/>
      <c r="AP397" s="284" t="n"/>
      <c r="AQ397" s="284" t="n"/>
      <c r="AR397" s="284" t="n"/>
      <c r="AS397" s="284" t="n"/>
    </row>
    <row r="398">
      <c r="A398" s="227" t="n">
        <v>27</v>
      </c>
      <c r="B398" s="228" t="inlineStr">
        <is>
          <t>Layanan Pengaduan Masyarakat</t>
        </is>
      </c>
      <c r="C398" t="inlineStr">
        <is>
          <t>RSUD CICALENGKA</t>
        </is>
      </c>
      <c r="D398" s="22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398" s="229" t="inlineStr">
        <is>
          <t>-Undang-Undang Nomor 25 Tahun 2009 tentang Pelayanan Publik
 -Peraturan Presiden Nomor 76 Tahun 2013 tentang Pengelolaan Pengaduan Pelayanan Publik, dan 
 -Peraturan Menteri PANRB Nomor 3 Tahun 2015</t>
        </is>
      </c>
      <c r="F398" s="288" t="n"/>
      <c r="G398" s="229" t="inlineStr">
        <is>
          <t>INFORMASI DAN DIPLOMASI PUBLIK</t>
        </is>
      </c>
      <c r="H398" s="229" t="inlineStr">
        <is>
          <t>Masyarakat</t>
        </is>
      </c>
      <c r="I398" s="229" t="inlineStr">
        <is>
          <t>Laporan Pengaduan yang telah di disposisikan dari pemda ke OPD</t>
        </is>
      </c>
      <c r="J398" s="228" t="inlineStr">
        <is>
          <t>Pengaduan yang telah di tindak lanjut</t>
        </is>
      </c>
      <c r="K398" s="229" t="inlineStr">
        <is>
          <t>Terbatas</t>
        </is>
      </c>
      <c r="L398" s="229" t="inlineStr">
        <is>
          <t>Terdapat</t>
        </is>
      </c>
      <c r="M398" s="229" t="inlineStr">
        <is>
          <t>Lainnya</t>
        </is>
      </c>
      <c r="N398" s="231" t="inlineStr">
        <is>
          <t>SP4N Lapor</t>
        </is>
      </c>
      <c r="O398" s="229" t="inlineStr">
        <is>
          <t>Pusat</t>
        </is>
      </c>
      <c r="P398" s="229" t="inlineStr">
        <is>
          <t>Pusat</t>
        </is>
      </c>
      <c r="Q398" s="229" t="inlineStr">
        <is>
          <t>Website</t>
        </is>
      </c>
      <c r="R398" s="233" t="inlineStr">
        <is>
          <t>https://www.lapor.go.id/</t>
        </is>
      </c>
      <c r="S398" s="229" t="inlineStr">
        <is>
          <t>Secara Online</t>
        </is>
      </c>
      <c r="T398" s="229" t="inlineStr">
        <is>
          <t>Informasi</t>
        </is>
      </c>
      <c r="U398" s="288" t="n"/>
      <c r="V398" s="229" t="inlineStr">
        <is>
          <t>Aktif</t>
        </is>
      </c>
      <c r="W398" s="229" t="inlineStr">
        <is>
          <t>Tidak</t>
        </is>
      </c>
      <c r="X398" s="229" t="inlineStr">
        <is>
          <t>Tidak Terintegrasi</t>
        </is>
      </c>
      <c r="Y398" s="229" t="inlineStr">
        <is>
          <t>Tidak Terintegrasi</t>
        </is>
      </c>
      <c r="Z398" s="229" t="inlineStr">
        <is>
          <t>Tidak Terintegrasi</t>
        </is>
      </c>
      <c r="AA398" s="229" t="inlineStr">
        <is>
          <t>Bagian Perencanaan dan Kehumasan</t>
        </is>
      </c>
      <c r="AB398" s="229" t="inlineStr">
        <is>
          <t>Diskominfo</t>
        </is>
      </c>
      <c r="AC398" s="288" t="n"/>
      <c r="AD398" s="288" t="n"/>
      <c r="AE398" s="288" t="n"/>
      <c r="AF398" s="288" t="n"/>
      <c r="AG398" s="229" t="inlineStr">
        <is>
          <t>Insidentil</t>
        </is>
      </c>
      <c r="AH398" s="284" t="n"/>
      <c r="AI398" s="284" t="n"/>
      <c r="AJ398" s="284" t="n"/>
      <c r="AK398" s="284" t="n"/>
      <c r="AL398" s="284" t="n"/>
      <c r="AM398" s="284" t="n"/>
      <c r="AN398" s="284" t="n"/>
      <c r="AO398" s="284" t="n"/>
      <c r="AP398" s="284" t="n"/>
      <c r="AQ398" s="284" t="n"/>
      <c r="AR398" s="284" t="n"/>
      <c r="AS398" s="284" t="n"/>
    </row>
    <row r="399">
      <c r="A399" s="227" t="n">
        <v>28</v>
      </c>
      <c r="B399" s="228" t="inlineStr">
        <is>
          <t>Layanan informasi perangkat daerah</t>
        </is>
      </c>
      <c r="C399" t="inlineStr">
        <is>
          <t>RSUD CICALENGKA</t>
        </is>
      </c>
      <c r="D399" s="228" t="inlineStr">
        <is>
          <t>menjamin hak warga negara atas informasi, mendorong transparansi, akuntabilitas, dan partisipasi publik di badan publik. Fungsinya meliputi pengelolaan, penyimpanan, pendokumentasian, serta penyediaan layanan informasi yang cepat, tepat, dan sederhana</t>
        </is>
      </c>
      <c r="E399" s="229" t="inlineStr">
        <is>
          <t>Undang-Undang Nomor 14 Tahun 2008 tentang Keterbukaan Informasi Publik (UU KIP)</t>
        </is>
      </c>
      <c r="F399" s="288" t="n"/>
      <c r="G399" s="229" t="inlineStr">
        <is>
          <t>INFORMASI DAN DIPLOMASI PUBLIK</t>
        </is>
      </c>
      <c r="H399" s="229" t="inlineStr">
        <is>
          <t>Masyarakat</t>
        </is>
      </c>
      <c r="I399" s="229" t="inlineStr">
        <is>
          <t>Informasi Keseluruhan pelayanan publik</t>
        </is>
      </c>
      <c r="J399" s="228" t="inlineStr">
        <is>
          <t>dokumen organisasi, anggaran, laporan tahunan, serta perizinan</t>
        </is>
      </c>
      <c r="K399" s="229" t="inlineStr">
        <is>
          <t>Terbuka</t>
        </is>
      </c>
      <c r="L399" s="229" t="inlineStr">
        <is>
          <t>Tidak terdapat</t>
        </is>
      </c>
      <c r="M399" s="229" t="inlineStr">
        <is>
          <t>Lainnya</t>
        </is>
      </c>
      <c r="N399" s="231" t="inlineStr">
        <is>
          <t>PPID</t>
        </is>
      </c>
      <c r="O399" s="229" t="inlineStr">
        <is>
          <t>Diskominfo</t>
        </is>
      </c>
      <c r="P399" s="229" t="inlineStr">
        <is>
          <t>Kab. Bandung</t>
        </is>
      </c>
      <c r="Q399" s="229" t="inlineStr">
        <is>
          <t>Website</t>
        </is>
      </c>
      <c r="R399" s="233" t="inlineStr">
        <is>
          <t>https://ppid.bandungkab.go.id/dashboard</t>
        </is>
      </c>
      <c r="S399" s="229" t="inlineStr">
        <is>
          <t>Secara Online</t>
        </is>
      </c>
      <c r="T399" s="229" t="inlineStr">
        <is>
          <t>Informasi</t>
        </is>
      </c>
      <c r="U399" s="288" t="n"/>
      <c r="V399" s="229" t="inlineStr">
        <is>
          <t>Aktif</t>
        </is>
      </c>
      <c r="W399" s="229" t="inlineStr">
        <is>
          <t>Tidak</t>
        </is>
      </c>
      <c r="X399" s="229" t="inlineStr">
        <is>
          <t>Tidak Terintegrasi</t>
        </is>
      </c>
      <c r="Y399" s="229" t="inlineStr">
        <is>
          <t>Tidak Terintegrasi</t>
        </is>
      </c>
      <c r="Z399" s="229" t="inlineStr">
        <is>
          <t>Tidak Terintegrasi</t>
        </is>
      </c>
      <c r="AA399" s="229" t="inlineStr">
        <is>
          <t>Bagian Perencanaan dan Kehumasan</t>
        </is>
      </c>
      <c r="AB399" s="229" t="inlineStr">
        <is>
          <t>Diskominfo</t>
        </is>
      </c>
      <c r="AC399" s="288" t="n"/>
      <c r="AD399" s="288" t="n"/>
      <c r="AE399" s="288" t="n"/>
      <c r="AF399" s="288" t="n"/>
      <c r="AG399" s="229" t="inlineStr">
        <is>
          <t>Insidentil</t>
        </is>
      </c>
      <c r="AH399" s="284" t="n"/>
      <c r="AI399" s="284" t="n"/>
      <c r="AJ399" s="284" t="n"/>
      <c r="AK399" s="284" t="n"/>
      <c r="AL399" s="284" t="n"/>
      <c r="AM399" s="284" t="n"/>
      <c r="AN399" s="284" t="n"/>
      <c r="AO399" s="284" t="n"/>
      <c r="AP399" s="284" t="n"/>
      <c r="AQ399" s="284" t="n"/>
      <c r="AR399" s="284" t="n"/>
      <c r="AS399" s="284" t="n"/>
    </row>
    <row r="400">
      <c r="A400" s="227" t="n">
        <v>29</v>
      </c>
      <c r="B400" s="228" t="inlineStr">
        <is>
          <t>Layanan informasi mutu fasilitas layanan kesehatan</t>
        </is>
      </c>
      <c r="C400" t="inlineStr">
        <is>
          <t>RSUD CICALENGKA</t>
        </is>
      </c>
      <c r="D400" s="228" t="inlineStr">
        <is>
          <t>untuk mengumpulkan dan memantau data kualitas pelayanan kesehatan secara terintegrasi, sehingga dapat digunakan untuk evaluasi, peningkatan mutu, dan pengambilan kebijakan di bidang kesehatan.</t>
        </is>
      </c>
      <c r="E400" s="22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400" s="288" t="n"/>
      <c r="G400" s="229" t="inlineStr">
        <is>
          <t>PENGELOLAAN PELAYANAN KESEHATAN</t>
        </is>
      </c>
      <c r="H400" s="229" t="inlineStr">
        <is>
          <t>Instansi Pemerintah Lainnya</t>
        </is>
      </c>
      <c r="I400" s="228" t="inlineStr">
        <is>
          <t>1. Indikator Mutu Nasional 
 2. Pelaporan HAIS
 3. Pelaporan Insiden Keselamatan Pasien</t>
        </is>
      </c>
      <c r="J400" s="228" t="inlineStr">
        <is>
          <t>Data Monitoring dan Evaluasi</t>
        </is>
      </c>
      <c r="K400" s="229" t="inlineStr">
        <is>
          <t>Terbatas</t>
        </is>
      </c>
      <c r="L400" s="229" t="inlineStr">
        <is>
          <t>Tidak terdapat</t>
        </is>
      </c>
      <c r="M400" s="229" t="inlineStr">
        <is>
          <t>Bulanan</t>
        </is>
      </c>
      <c r="N400" s="231" t="inlineStr">
        <is>
          <t>MUTU FASYANKES</t>
        </is>
      </c>
      <c r="O400" s="229" t="inlineStr">
        <is>
          <t>Pusat</t>
        </is>
      </c>
      <c r="P400" s="229" t="inlineStr">
        <is>
          <t>Pusat</t>
        </is>
      </c>
      <c r="Q400" s="229" t="inlineStr">
        <is>
          <t>Website</t>
        </is>
      </c>
      <c r="R400" s="233" t="inlineStr">
        <is>
          <t>https://mutufasyankes.kemkes.go.id/</t>
        </is>
      </c>
      <c r="S400" s="229" t="inlineStr">
        <is>
          <t>Secara Online</t>
        </is>
      </c>
      <c r="T400" s="229" t="inlineStr">
        <is>
          <t>Informasi</t>
        </is>
      </c>
      <c r="U400" s="288" t="n"/>
      <c r="V400" s="229" t="inlineStr">
        <is>
          <t>Aktif</t>
        </is>
      </c>
      <c r="W400" s="288" t="n"/>
      <c r="X400" s="288" t="n"/>
      <c r="Y400" s="288" t="n"/>
      <c r="Z400" s="288" t="n"/>
      <c r="AA400" s="229" t="inlineStr">
        <is>
          <t>Komite Mutu</t>
        </is>
      </c>
      <c r="AB400" s="229" t="inlineStr">
        <is>
          <t>Dinkes</t>
        </is>
      </c>
      <c r="AC400" s="288" t="n"/>
      <c r="AD400" s="288" t="n"/>
      <c r="AE400" s="288" t="n"/>
      <c r="AF400" s="288" t="n"/>
      <c r="AG400" s="229" t="inlineStr">
        <is>
          <t>Bulanan</t>
        </is>
      </c>
      <c r="AH400" s="284" t="n"/>
      <c r="AI400" s="284" t="n"/>
      <c r="AJ400" s="284" t="n"/>
      <c r="AK400" s="284" t="n"/>
      <c r="AL400" s="284" t="n"/>
      <c r="AM400" s="284" t="n"/>
      <c r="AN400" s="284" t="n"/>
      <c r="AO400" s="284" t="n"/>
      <c r="AP400" s="284" t="n"/>
      <c r="AQ400" s="284" t="n"/>
      <c r="AR400" s="284" t="n"/>
      <c r="AS400" s="284" t="n"/>
    </row>
    <row r="401">
      <c r="A401" s="227" t="n">
        <v>30</v>
      </c>
      <c r="B401" s="228" t="inlineStr">
        <is>
          <t>Layanan manajemen data fasilitas kesehatan</t>
        </is>
      </c>
      <c r="C401" t="inlineStr">
        <is>
          <t>RSUD CICALENGKA</t>
        </is>
      </c>
      <c r="D401" s="228" t="inlineStr">
        <is>
          <t>database dan sistem manajemen data fasilitas kesehatan yang bekerja sama dengan BPJS Kesehatan untuk mendukung pelayanan peserta BPJS</t>
        </is>
      </c>
      <c r="E401" s="22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401" s="288" t="n"/>
      <c r="G401" s="229" t="inlineStr">
        <is>
          <t>PENGELOLAAN PELAYANAN KESEHATAN</t>
        </is>
      </c>
      <c r="H401" s="229" t="inlineStr">
        <is>
          <t>Instansi Pemerintah Lainnya</t>
        </is>
      </c>
      <c r="I401" s="228" t="inlineStr">
        <is>
          <t>1. Data Identitas Fasilitas Kesehatan
 2. Data Perizinan dan Legalitas
 3. Data Tenaga Kesehatan
 4. Data Sarana dan Prasarana
 5. Data Jenis Layanan Kesehatan
 6. Data Kapasitas Pelayanan
 7. Data Kerja Sama dengan BPJS
 8. Dokumen Pendukung</t>
        </is>
      </c>
      <c r="J401" s="228" t="inlineStr">
        <is>
          <t>1. Profil Fasilitas Kesehatan
 2. Data Sebaran Fasilitas Kesehatan
 3. Data Tenaga Kesehatan
 4. Data Sarana dan Prasarana
 5. Data Jenis dan Kapasitas Layanan
 6. Status dan Riwayat Kerja Sama
 7. Laporan dan Monitoring Fasilitas Kesehatan</t>
        </is>
      </c>
      <c r="K401" s="229" t="inlineStr">
        <is>
          <t>Terbatas</t>
        </is>
      </c>
      <c r="L401" s="229" t="inlineStr">
        <is>
          <t>Terdapat</t>
        </is>
      </c>
      <c r="M401" s="229" t="inlineStr">
        <is>
          <t>Lainnya</t>
        </is>
      </c>
      <c r="N401" s="231" t="inlineStr">
        <is>
          <t>HFIS BPJS</t>
        </is>
      </c>
      <c r="O401" s="229" t="inlineStr">
        <is>
          <t>Pusat</t>
        </is>
      </c>
      <c r="P401" s="229" t="inlineStr">
        <is>
          <t>Pusat</t>
        </is>
      </c>
      <c r="Q401" s="229" t="inlineStr">
        <is>
          <t>Website</t>
        </is>
      </c>
      <c r="R401" s="233" t="inlineStr">
        <is>
          <t>:Health Facilities Information System (H.F.I.S):</t>
        </is>
      </c>
      <c r="S401" s="229" t="inlineStr">
        <is>
          <t>Secara Online</t>
        </is>
      </c>
      <c r="T401" s="229" t="inlineStr">
        <is>
          <t>Informasi</t>
        </is>
      </c>
      <c r="U401" s="288" t="n"/>
      <c r="V401" s="229" t="inlineStr">
        <is>
          <t>Aktif</t>
        </is>
      </c>
      <c r="W401" s="229" t="inlineStr">
        <is>
          <t>Ya</t>
        </is>
      </c>
      <c r="X401" s="229" t="inlineStr">
        <is>
          <t>Mobile JKN</t>
        </is>
      </c>
      <c r="Y401" s="229" t="inlineStr">
        <is>
          <t>Database to Database</t>
        </is>
      </c>
      <c r="Z401" s="229" t="inlineStr">
        <is>
          <t>Realtime</t>
        </is>
      </c>
      <c r="AA401" s="229" t="inlineStr">
        <is>
          <t>Bidang Pelayanan Medik</t>
        </is>
      </c>
      <c r="AB401" s="229" t="inlineStr">
        <is>
          <t>Dinkes</t>
        </is>
      </c>
      <c r="AC401" s="288" t="n"/>
      <c r="AD401" s="288" t="n"/>
      <c r="AE401" s="288" t="n"/>
      <c r="AF401" s="288" t="n"/>
      <c r="AG401" s="229" t="inlineStr">
        <is>
          <t>Insidentil</t>
        </is>
      </c>
      <c r="AH401" s="284" t="n"/>
      <c r="AI401" s="284" t="n"/>
      <c r="AJ401" s="284" t="n"/>
      <c r="AK401" s="284" t="n"/>
      <c r="AL401" s="284" t="n"/>
      <c r="AM401" s="284" t="n"/>
      <c r="AN401" s="284" t="n"/>
      <c r="AO401" s="284" t="n"/>
      <c r="AP401" s="284" t="n"/>
      <c r="AQ401" s="284" t="n"/>
      <c r="AR401" s="284" t="n"/>
      <c r="AS401" s="284" t="n"/>
    </row>
    <row r="402">
      <c r="A402" s="227" t="n">
        <v>31</v>
      </c>
      <c r="B402" s="228" t="inlineStr">
        <is>
          <t>Layanan manajemen data sarana prasarana alat kesehatan</t>
        </is>
      </c>
      <c r="C402" t="inlineStr">
        <is>
          <t>RSUD CICALENGKA</t>
        </is>
      </c>
      <c r="D402" s="240" t="inlineStr">
        <is>
          <t>sistem informasi berbasis web dari Kementerian Kesehatan untuk menghimpun data sarana, prasarana, dan alat kesehatan (SPA) di fasyankes</t>
        </is>
      </c>
      <c r="E402" s="235" t="inlineStr">
        <is>
          <t>Permenkes No. 31 Tahun 2018: Mengatur kewajiban pengisian, validasi, dan update data ASPAK oleh Fasyankes, Dinas Kesehatan Kabupaten/Kota, dan Dinas Kesehatan Provinsi</t>
        </is>
      </c>
      <c r="F402" s="288" t="n"/>
      <c r="G402" s="228" t="inlineStr">
        <is>
          <t>PENGELOLAAN PELAYANAN KESEHATAN</t>
        </is>
      </c>
      <c r="H402" s="229" t="inlineStr">
        <is>
          <t>Instansi Pemerintah Lainnya</t>
        </is>
      </c>
      <c r="I402" s="229" t="inlineStr">
        <is>
          <t>data sarana, prasarana, dan alat kesehatan (SPA) di fasyankes</t>
        </is>
      </c>
      <c r="J402" s="229" t="inlineStr">
        <is>
          <t>data sarana, prasarana, dan alat kesehatan (SPA) di fasyankes</t>
        </is>
      </c>
      <c r="K402" s="229" t="inlineStr">
        <is>
          <t>Tertutup</t>
        </is>
      </c>
      <c r="L402" s="229" t="inlineStr">
        <is>
          <t>Tidak terdapat</t>
        </is>
      </c>
      <c r="M402" s="229" t="inlineStr">
        <is>
          <t>Harian</t>
        </is>
      </c>
      <c r="N402" s="231" t="inlineStr">
        <is>
          <t>ASPAK</t>
        </is>
      </c>
      <c r="O402" s="229" t="inlineStr">
        <is>
          <t>Pusat</t>
        </is>
      </c>
      <c r="P402" s="229" t="inlineStr">
        <is>
          <t>Pusat</t>
        </is>
      </c>
      <c r="Q402" s="229" t="inlineStr">
        <is>
          <t>Website</t>
        </is>
      </c>
      <c r="R402" s="233" t="inlineStr">
        <is>
          <t>https://aspak.kemkes.go.id/aplikasi/site/index</t>
        </is>
      </c>
      <c r="S402" s="229" t="inlineStr">
        <is>
          <t>Secara Online</t>
        </is>
      </c>
      <c r="T402" s="229" t="inlineStr">
        <is>
          <t>Informasi</t>
        </is>
      </c>
      <c r="U402" s="229" t="n">
        <v>2018</v>
      </c>
      <c r="V402" s="229" t="inlineStr">
        <is>
          <t>Aktif</t>
        </is>
      </c>
      <c r="W402" s="228" t="inlineStr">
        <is>
          <t>Tidak</t>
        </is>
      </c>
      <c r="X402" s="229" t="inlineStr">
        <is>
          <t>tidak terintegrasi'</t>
        </is>
      </c>
      <c r="Y402" s="228" t="inlineStr">
        <is>
          <t>Tidak Terintegrasi</t>
        </is>
      </c>
      <c r="Z402" s="229" t="inlineStr">
        <is>
          <t>Tidak Terintegrasi</t>
        </is>
      </c>
      <c r="AA402" s="229" t="inlineStr">
        <is>
          <t>Bidang Pelayanan Medik</t>
        </is>
      </c>
      <c r="AB402" s="229" t="inlineStr">
        <is>
          <t>Dinkes</t>
        </is>
      </c>
      <c r="AC402" s="288" t="n"/>
      <c r="AD402" s="288" t="n"/>
      <c r="AE402" s="288" t="n"/>
      <c r="AF402" s="288" t="n"/>
      <c r="AG402" s="229" t="inlineStr">
        <is>
          <t>Insidentil</t>
        </is>
      </c>
      <c r="AH402" s="284" t="n"/>
      <c r="AI402" s="284" t="n"/>
      <c r="AJ402" s="284" t="n"/>
      <c r="AK402" s="284" t="n"/>
      <c r="AL402" s="284" t="n"/>
      <c r="AM402" s="284" t="n"/>
      <c r="AN402" s="284" t="n"/>
      <c r="AO402" s="284" t="n"/>
      <c r="AP402" s="284" t="n"/>
      <c r="AQ402" s="284" t="n"/>
      <c r="AR402" s="284" t="n"/>
      <c r="AS402" s="284" t="n"/>
    </row>
    <row r="403">
      <c r="A403" s="227" t="n">
        <v>33</v>
      </c>
      <c r="B403" s="228" t="inlineStr">
        <is>
          <t>Layanan perencanaan BMD</t>
        </is>
      </c>
      <c r="C403" t="inlineStr">
        <is>
          <t>RSUD CICALENGKA</t>
        </is>
      </c>
      <c r="D403" s="238" t="inlineStr">
        <is>
          <t>RKBMD (Rencana Kebutuhan Barang Milik Daerah) Kabupaten Bandung adalah dokumen perencanaan strategis satu tahun yang disusun oleh Organisasi Perangkat Daerah (OPD) untuk merencanakan pengadaan, pemeliharaan, pemanfaatan, pemindahtanganan, dan penghapusan aset daerah</t>
        </is>
      </c>
      <c r="E403" s="235" t="inlineStr">
        <is>
          <t>Peraturan Menteri Dalam Negeri Nomor 7 Tahun 2024 tentang Pedoman Pengelolaan Barang Milik Daerah</t>
        </is>
      </c>
      <c r="F403" s="288" t="n"/>
      <c r="G403" s="288" t="n"/>
      <c r="H403" s="228" t="inlineStr">
        <is>
          <t>Instansi Pemerintah Lainnya</t>
        </is>
      </c>
      <c r="I403" s="238" t="inlineStr">
        <is>
          <t>perencanaan untuk pengadaan, pemeliharaan, pemanfaatan, pemindahtanganan, dan penghapusan</t>
        </is>
      </c>
      <c r="J403" s="228" t="inlineStr">
        <is>
          <t>perencanaan untuk pengadaan, pemeliharaan, pemanfaatan, pemindahtanganan, dan penghapusan</t>
        </is>
      </c>
      <c r="K403" s="229" t="inlineStr">
        <is>
          <t>Tertutup</t>
        </is>
      </c>
      <c r="L403" s="229" t="inlineStr">
        <is>
          <t>Tidak terdapat</t>
        </is>
      </c>
      <c r="M403" s="229" t="inlineStr">
        <is>
          <t>Tahunan</t>
        </is>
      </c>
      <c r="N403" s="231" t="inlineStr">
        <is>
          <t>RKBMD</t>
        </is>
      </c>
      <c r="O403" s="288" t="n"/>
      <c r="P403" s="229" t="inlineStr">
        <is>
          <t>Kab. Bandung</t>
        </is>
      </c>
      <c r="Q403" s="229" t="inlineStr">
        <is>
          <t>Website</t>
        </is>
      </c>
      <c r="R403" s="233" t="inlineStr">
        <is>
          <t>https://rkbmd.e-planningbmd.id/</t>
        </is>
      </c>
      <c r="S403" s="229" t="inlineStr">
        <is>
          <t>Secara Online</t>
        </is>
      </c>
      <c r="T403" s="229" t="inlineStr">
        <is>
          <t>Transaksi</t>
        </is>
      </c>
      <c r="U403" s="288" t="n"/>
      <c r="V403" s="229" t="inlineStr">
        <is>
          <t>Aktif</t>
        </is>
      </c>
      <c r="W403" s="228" t="inlineStr">
        <is>
          <t>Tidak</t>
        </is>
      </c>
      <c r="X403" s="228" t="inlineStr">
        <is>
          <t>Tidak terintegrasi</t>
        </is>
      </c>
      <c r="Y403" s="228" t="inlineStr">
        <is>
          <t>Tidak Terintegrasi</t>
        </is>
      </c>
      <c r="Z403" s="229" t="inlineStr">
        <is>
          <t>Tahunan</t>
        </is>
      </c>
      <c r="AA403" s="228" t="inlineStr">
        <is>
          <t>Bidang umum logistik</t>
        </is>
      </c>
      <c r="AB403" s="229" t="inlineStr">
        <is>
          <t>BKAD</t>
        </is>
      </c>
      <c r="AC403" s="288" t="n"/>
      <c r="AD403" s="288" t="n"/>
      <c r="AE403" s="288" t="n"/>
      <c r="AF403" s="288" t="n"/>
      <c r="AG403" s="229" t="inlineStr">
        <is>
          <t>Insidentil</t>
        </is>
      </c>
      <c r="AH403" s="284" t="n"/>
      <c r="AI403" s="284" t="n"/>
      <c r="AJ403" s="284" t="n"/>
      <c r="AK403" s="284" t="n"/>
      <c r="AL403" s="284" t="n"/>
      <c r="AM403" s="284" t="n"/>
      <c r="AN403" s="284" t="n"/>
      <c r="AO403" s="284" t="n"/>
      <c r="AP403" s="284" t="n"/>
      <c r="AQ403" s="284" t="n"/>
      <c r="AR403" s="284" t="n"/>
      <c r="AS403" s="284" t="n"/>
    </row>
    <row r="404">
      <c r="A404" s="241" t="n">
        <v>34</v>
      </c>
      <c r="B404" s="228" t="inlineStr">
        <is>
          <t>Layanan perencanaan penganggaran kebutuhan operasional rumah sakit</t>
        </is>
      </c>
      <c r="C404" t="inlineStr">
        <is>
          <t>RSUD CICALENGKA</t>
        </is>
      </c>
      <c r="D404" s="228" t="inlineStr">
        <is>
          <t>Menghasilkan database usulan kebutuhan setiap unit instalasi di RSUD cicalengka</t>
        </is>
      </c>
      <c r="E404" s="228" t="inlineStr">
        <is>
          <t>Surat Keputusan Direktur RSUD Cicalengka Kabupaten Bandung Nomor 445/SK/Sekr.180.30/RSUDCCLK/VII/2019</t>
        </is>
      </c>
      <c r="F404" s="288" t="n"/>
      <c r="G404" s="288" t="n"/>
      <c r="H404" s="229" t="inlineStr">
        <is>
          <t>Instansi Pemerintah Lainnya</t>
        </is>
      </c>
      <c r="I404" s="229" t="inlineStr">
        <is>
          <t>usulan kebutuhan rumah sakit dari unit ke manajemen</t>
        </is>
      </c>
      <c r="J404" s="228" t="inlineStr">
        <is>
          <t>data kebutuhan rumah sakit</t>
        </is>
      </c>
      <c r="K404" s="229" t="inlineStr">
        <is>
          <t>Terbatas</t>
        </is>
      </c>
      <c r="L404" s="229" t="inlineStr">
        <is>
          <t>Tidak terdapat</t>
        </is>
      </c>
      <c r="M404" s="229" t="inlineStr">
        <is>
          <t>Tahunan</t>
        </is>
      </c>
      <c r="N404" s="237" t="inlineStr">
        <is>
          <t>sikeren</t>
        </is>
      </c>
      <c r="O404" s="229" t="inlineStr">
        <is>
          <t>OPD</t>
        </is>
      </c>
      <c r="P404" s="229" t="inlineStr">
        <is>
          <t>Kab. Bandung</t>
        </is>
      </c>
      <c r="Q404" s="229" t="inlineStr">
        <is>
          <t>Mobile</t>
        </is>
      </c>
      <c r="R404" s="230" t="inlineStr">
        <is>
          <t>http://192.168.40.89/sikeren</t>
        </is>
      </c>
      <c r="S404" s="229" t="inlineStr">
        <is>
          <t>Secara Online</t>
        </is>
      </c>
      <c r="T404" s="229" t="inlineStr">
        <is>
          <t>Informasi</t>
        </is>
      </c>
      <c r="U404" s="288" t="n"/>
      <c r="V404" s="229" t="inlineStr">
        <is>
          <t>Aktif</t>
        </is>
      </c>
      <c r="W404" s="229" t="inlineStr">
        <is>
          <t>Tidak</t>
        </is>
      </c>
      <c r="X404" s="229" t="inlineStr">
        <is>
          <t>Tidak terintegrasi</t>
        </is>
      </c>
      <c r="Y404" s="229" t="inlineStr">
        <is>
          <t>Tidak Terintegrasi</t>
        </is>
      </c>
      <c r="Z404" s="288" t="n"/>
      <c r="AA404" s="229" t="inlineStr">
        <is>
          <t>Bidang perencanaan</t>
        </is>
      </c>
      <c r="AB404" s="288" t="n"/>
      <c r="AC404" s="228" t="inlineStr">
        <is>
          <t>Muhamad Yusup</t>
        </is>
      </c>
      <c r="AD404" s="228" t="n">
        <v>87824441163</v>
      </c>
      <c r="AE404" s="228" t="inlineStr">
        <is>
          <t>dochumas.rsdc@gmail.com</t>
        </is>
      </c>
      <c r="AF404" s="288" t="n"/>
      <c r="AG404" s="229" t="inlineStr">
        <is>
          <t>Tahunan</t>
        </is>
      </c>
      <c r="AH404" s="284" t="n"/>
      <c r="AI404" s="284" t="n"/>
      <c r="AJ404" s="284" t="n"/>
      <c r="AK404" s="284" t="n"/>
      <c r="AL404" s="284" t="n"/>
      <c r="AM404" s="284" t="n"/>
      <c r="AN404" s="284" t="n"/>
      <c r="AO404" s="284" t="n"/>
      <c r="AP404" s="284" t="n"/>
      <c r="AQ404" s="284" t="n"/>
      <c r="AR404" s="284" t="n"/>
      <c r="AS404" s="284" t="n"/>
    </row>
    <row r="405">
      <c r="A405" s="241" t="n">
        <v>35</v>
      </c>
      <c r="B405" s="228" t="inlineStr">
        <is>
          <t>Layanan sistem informasi pelaporan terintegrasi indikator mutu dan keselamatan pasien</t>
        </is>
      </c>
      <c r="C405" t="inlineStr">
        <is>
          <t>RSUD CICALENGKA</t>
        </is>
      </c>
      <c r="D405" s="228" t="inlineStr">
        <is>
          <t>Untuk menjamin kesehatan yang aman, efektif, dan sesuai dengan standar sebagai alat ukur untuk mengevaluasi dan meningkatkan kualitas layanan secara berkesinambungan</t>
        </is>
      </c>
      <c r="E405" s="288" t="n"/>
      <c r="F405" s="288" t="n"/>
      <c r="G405" s="288" t="n"/>
      <c r="H405" s="229" t="inlineStr">
        <is>
          <t>Masyarakat</t>
        </is>
      </c>
      <c r="I405" s="229" t="inlineStr">
        <is>
          <t>Data mutu setiap layanan instalasi RSUD, jenis layanan, indikator, standar</t>
        </is>
      </c>
      <c r="J405" s="228" t="inlineStr">
        <is>
          <t>data SPM</t>
        </is>
      </c>
      <c r="K405" s="229" t="inlineStr">
        <is>
          <t>Terbuka</t>
        </is>
      </c>
      <c r="L405" s="229" t="inlineStr">
        <is>
          <t>Tidak terdapat</t>
        </is>
      </c>
      <c r="M405" s="229" t="inlineStr">
        <is>
          <t>Bulanan</t>
        </is>
      </c>
      <c r="N405" s="237" t="inlineStr">
        <is>
          <t>siimut</t>
        </is>
      </c>
      <c r="O405" s="229" t="inlineStr">
        <is>
          <t>OPD</t>
        </is>
      </c>
      <c r="P405" s="229" t="inlineStr">
        <is>
          <t>Kab. Bandung</t>
        </is>
      </c>
      <c r="Q405" s="229" t="inlineStr">
        <is>
          <t>Desktop</t>
        </is>
      </c>
      <c r="R405" s="288" t="n"/>
      <c r="S405" s="229" t="inlineStr">
        <is>
          <t>Secara Offline</t>
        </is>
      </c>
      <c r="T405" s="229" t="inlineStr">
        <is>
          <t>Informasi</t>
        </is>
      </c>
      <c r="U405" s="288" t="n"/>
      <c r="V405" s="229" t="inlineStr">
        <is>
          <t>Aktif</t>
        </is>
      </c>
      <c r="W405" s="229" t="inlineStr">
        <is>
          <t>Tidak</t>
        </is>
      </c>
      <c r="X405" s="229" t="inlineStr">
        <is>
          <t>Tidak terintegrasi</t>
        </is>
      </c>
      <c r="Y405" s="229" t="inlineStr">
        <is>
          <t>Tidak Terintegrasi</t>
        </is>
      </c>
      <c r="Z405" s="288" t="n"/>
      <c r="AA405" s="229" t="inlineStr">
        <is>
          <t>Bidang Pelayanan</t>
        </is>
      </c>
      <c r="AB405" s="288" t="n"/>
      <c r="AC405" s="288" t="n"/>
      <c r="AD405" s="288" t="n"/>
      <c r="AE405" s="288" t="n"/>
      <c r="AF405" s="288" t="n"/>
      <c r="AG405" s="229" t="inlineStr">
        <is>
          <t>Bulanan</t>
        </is>
      </c>
      <c r="AH405" s="284" t="n"/>
      <c r="AI405" s="284" t="n"/>
      <c r="AJ405" s="284" t="n"/>
      <c r="AK405" s="284" t="n"/>
      <c r="AL405" s="284" t="n"/>
      <c r="AM405" s="284" t="n"/>
      <c r="AN405" s="284" t="n"/>
      <c r="AO405" s="284" t="n"/>
      <c r="AP405" s="284" t="n"/>
      <c r="AQ405" s="284" t="n"/>
      <c r="AR405" s="284" t="n"/>
      <c r="AS405" s="284" t="n"/>
    </row>
    <row r="406">
      <c r="A406" s="241" t="n">
        <v>36</v>
      </c>
      <c r="B406" s="228" t="inlineStr">
        <is>
          <t>Sistem pelayanan antar obat sampai tujuan</t>
        </is>
      </c>
      <c r="C406" t="inlineStr">
        <is>
          <t>RSUD CICALENGKA</t>
        </is>
      </c>
      <c r="D406" s="228" t="inlineStr">
        <is>
          <t>Untuk memfasilitasi pasien khusus lansia, ibu hamil maupun sakit berat untuk mendapatkan layanan pengantaran obat sampai tujuan / rumah pasien</t>
        </is>
      </c>
      <c r="E406" s="288" t="n"/>
      <c r="F406" s="288" t="n"/>
      <c r="G406" s="288" t="n"/>
      <c r="H406" s="229" t="inlineStr">
        <is>
          <t>Masyarakat</t>
        </is>
      </c>
      <c r="I406" s="229" t="inlineStr">
        <is>
          <t>Data pasien dan resep obat</t>
        </is>
      </c>
      <c r="J406" s="228" t="inlineStr">
        <is>
          <t>obat dan bnhp</t>
        </is>
      </c>
      <c r="K406" s="229" t="inlineStr">
        <is>
          <t>Terbuka</t>
        </is>
      </c>
      <c r="L406" s="229" t="inlineStr">
        <is>
          <t>Terdapat</t>
        </is>
      </c>
      <c r="M406" s="229" t="inlineStr">
        <is>
          <t>Harian</t>
        </is>
      </c>
      <c r="N406" s="237" t="inlineStr">
        <is>
          <t>sipantosan</t>
        </is>
      </c>
      <c r="O406" s="229" t="inlineStr">
        <is>
          <t>OPD</t>
        </is>
      </c>
      <c r="P406" s="229" t="inlineStr">
        <is>
          <t>Kab. Bandung</t>
        </is>
      </c>
      <c r="Q406" s="229" t="inlineStr">
        <is>
          <t>Desktop</t>
        </is>
      </c>
      <c r="R406" s="288" t="n"/>
      <c r="S406" s="229" t="inlineStr">
        <is>
          <t>Secara Offline</t>
        </is>
      </c>
      <c r="T406" s="229" t="inlineStr">
        <is>
          <t>Informasi</t>
        </is>
      </c>
      <c r="U406" s="288" t="n"/>
      <c r="V406" s="229" t="inlineStr">
        <is>
          <t>Aktif</t>
        </is>
      </c>
      <c r="W406" s="229" t="inlineStr">
        <is>
          <t>Tidak</t>
        </is>
      </c>
      <c r="X406" s="229" t="inlineStr">
        <is>
          <t>Tidak terintegrasi</t>
        </is>
      </c>
      <c r="Y406" s="229" t="inlineStr">
        <is>
          <t>Tidak Terintegrasi</t>
        </is>
      </c>
      <c r="Z406" s="288" t="n"/>
      <c r="AA406" s="229" t="inlineStr">
        <is>
          <t>Instalasi Farmasi</t>
        </is>
      </c>
      <c r="AB406" s="288" t="n"/>
      <c r="AC406" s="288" t="n"/>
      <c r="AD406" s="288" t="n"/>
      <c r="AE406" s="288" t="n"/>
      <c r="AF406" s="288" t="n"/>
      <c r="AG406" s="229" t="inlineStr">
        <is>
          <t>Harian</t>
        </is>
      </c>
      <c r="AH406" s="284" t="n"/>
      <c r="AI406" s="284" t="n"/>
      <c r="AJ406" s="284" t="n"/>
      <c r="AK406" s="284" t="n"/>
      <c r="AL406" s="284" t="n"/>
      <c r="AM406" s="284" t="n"/>
      <c r="AN406" s="284" t="n"/>
      <c r="AO406" s="284" t="n"/>
      <c r="AP406" s="284" t="n"/>
      <c r="AQ406" s="284" t="n"/>
      <c r="AR406" s="284" t="n"/>
      <c r="AS406" s="284" t="n"/>
    </row>
    <row r="407">
      <c r="A407" s="241" t="n">
        <v>37</v>
      </c>
      <c r="B407" s="228" t="inlineStr">
        <is>
          <t>Layanan Kepegawaian</t>
        </is>
      </c>
      <c r="C407" t="inlineStr">
        <is>
          <t>RSUD CICALENGKA</t>
        </is>
      </c>
      <c r="D407" s="288" t="n"/>
      <c r="E407" s="288" t="n"/>
      <c r="F407" s="288" t="n"/>
      <c r="G407" s="288" t="n"/>
      <c r="H407" s="288" t="n"/>
      <c r="I407" s="288" t="n"/>
      <c r="J407" s="200" t="n"/>
      <c r="K407" s="229" t="inlineStr">
        <is>
          <t>Terbatas</t>
        </is>
      </c>
      <c r="L407" s="229" t="inlineStr">
        <is>
          <t>Tidak terdapat</t>
        </is>
      </c>
      <c r="M407" s="229" t="inlineStr">
        <is>
          <t>Lainnya</t>
        </is>
      </c>
      <c r="N407" s="237" t="inlineStr">
        <is>
          <t>SIKEP</t>
        </is>
      </c>
      <c r="O407" s="229" t="inlineStr">
        <is>
          <t>OPD</t>
        </is>
      </c>
      <c r="P407" s="229" t="inlineStr">
        <is>
          <t>Kab. Bandung</t>
        </is>
      </c>
      <c r="Q407" s="229" t="inlineStr">
        <is>
          <t>Desktop</t>
        </is>
      </c>
      <c r="R407" s="288" t="n"/>
      <c r="S407" s="229" t="inlineStr">
        <is>
          <t>Secara Offline</t>
        </is>
      </c>
      <c r="T407" s="229" t="inlineStr">
        <is>
          <t>Informasi</t>
        </is>
      </c>
      <c r="U407" s="288" t="n"/>
      <c r="V407" s="229" t="inlineStr">
        <is>
          <t>Aktif</t>
        </is>
      </c>
      <c r="W407" s="229" t="inlineStr">
        <is>
          <t>Tidak</t>
        </is>
      </c>
      <c r="X407" s="229" t="inlineStr">
        <is>
          <t>Tidak terintegrasi</t>
        </is>
      </c>
      <c r="Y407" s="229" t="inlineStr">
        <is>
          <t>Tidak Terintegrasi</t>
        </is>
      </c>
      <c r="Z407" s="288" t="n"/>
      <c r="AA407" s="229" t="inlineStr">
        <is>
          <t>Bidang Humas</t>
        </is>
      </c>
      <c r="AB407" s="288" t="n"/>
      <c r="AC407" s="288" t="n"/>
      <c r="AD407" s="288" t="n"/>
      <c r="AE407" s="288" t="n"/>
      <c r="AF407" s="288" t="n"/>
      <c r="AG407" s="229" t="inlineStr">
        <is>
          <t>Harian</t>
        </is>
      </c>
      <c r="AH407" s="284" t="n"/>
      <c r="AI407" s="284" t="n"/>
      <c r="AJ407" s="284" t="n"/>
      <c r="AK407" s="284" t="n"/>
      <c r="AL407" s="284" t="n"/>
      <c r="AM407" s="284" t="n"/>
      <c r="AN407" s="284" t="n"/>
      <c r="AO407" s="284" t="n"/>
      <c r="AP407" s="284" t="n"/>
      <c r="AQ407" s="284" t="n"/>
      <c r="AR407" s="284" t="n"/>
      <c r="AS407" s="284" t="n"/>
    </row>
    <row r="408">
      <c r="A408" s="241" t="n">
        <v>38</v>
      </c>
      <c r="B408" s="228" t="inlineStr">
        <is>
          <t>SIPD PENATAUSAHAAN</t>
        </is>
      </c>
      <c r="C408" t="inlineStr">
        <is>
          <t>RSUD CICALENGKA</t>
        </is>
      </c>
      <c r="D408" s="288" t="n"/>
      <c r="E408" s="288" t="n"/>
      <c r="F408" s="288" t="n"/>
      <c r="G408" s="288" t="n"/>
      <c r="H408" s="229" t="inlineStr">
        <is>
          <t>Instansi Pemerintah Lainnya</t>
        </is>
      </c>
      <c r="I408" s="229" t="inlineStr">
        <is>
          <t>Data SPP dan SPM, Buku Bantu Piutang, Buku Persiediaan, Buku Piutag,data Aset</t>
        </is>
      </c>
      <c r="J408" s="242" t="inlineStr">
        <is>
          <t>SP2D, BKU, SPJ fungsional dan Laporan Keuangan</t>
        </is>
      </c>
      <c r="K408" s="229" t="inlineStr">
        <is>
          <t>Terbatas</t>
        </is>
      </c>
      <c r="L408" s="229" t="inlineStr">
        <is>
          <t>Tidak terdapat</t>
        </is>
      </c>
      <c r="M408" s="229" t="inlineStr">
        <is>
          <t>Lainnya</t>
        </is>
      </c>
      <c r="N408" s="93" t="inlineStr">
        <is>
          <t>SIPD</t>
        </is>
      </c>
      <c r="O408" s="229" t="inlineStr">
        <is>
          <t>Pusat</t>
        </is>
      </c>
      <c r="P408" s="229" t="inlineStr">
        <is>
          <t>Pusat</t>
        </is>
      </c>
      <c r="Q408" s="229" t="inlineStr">
        <is>
          <t>Website</t>
        </is>
      </c>
      <c r="R408" s="230" t="inlineStr">
        <is>
          <t>https://sipd.kemendagri.go.id/penatausahaan/login</t>
        </is>
      </c>
      <c r="S408" s="229" t="inlineStr">
        <is>
          <t>Secara Online</t>
        </is>
      </c>
      <c r="T408" s="229" t="inlineStr">
        <is>
          <t>Informasi</t>
        </is>
      </c>
      <c r="U408" s="288" t="n"/>
      <c r="V408" s="229" t="inlineStr">
        <is>
          <t>Aktif</t>
        </is>
      </c>
      <c r="W408" s="229" t="inlineStr">
        <is>
          <t>Ya</t>
        </is>
      </c>
      <c r="X408" s="288" t="n"/>
      <c r="Y408" s="288" t="n"/>
      <c r="Z408" s="288" t="n"/>
      <c r="AA408" s="229" t="inlineStr">
        <is>
          <t>Bidang Keuangan</t>
        </is>
      </c>
      <c r="AB408" s="288" t="n"/>
      <c r="AC408" s="229" t="inlineStr">
        <is>
          <t>Nurfatikhah, SST</t>
        </is>
      </c>
      <c r="AD408" s="229" t="n">
        <v>85716358699</v>
      </c>
      <c r="AE408" s="229" t="inlineStr">
        <is>
          <t>nurfatikhahp@gmail.com</t>
        </is>
      </c>
      <c r="AF408" s="288" t="n"/>
      <c r="AG408" s="229" t="inlineStr">
        <is>
          <t>Insidentil</t>
        </is>
      </c>
      <c r="AH408" s="284" t="n"/>
      <c r="AI408" s="284" t="n"/>
      <c r="AJ408" s="284" t="n"/>
      <c r="AK408" s="284" t="n"/>
      <c r="AL408" s="284" t="n"/>
      <c r="AM408" s="284" t="n"/>
      <c r="AN408" s="284" t="n"/>
      <c r="AO408" s="284" t="n"/>
      <c r="AP408" s="284" t="n"/>
      <c r="AQ408" s="284" t="n"/>
      <c r="AR408" s="284" t="n"/>
      <c r="AS408" s="284" t="n"/>
    </row>
    <row r="409">
      <c r="A409" s="241" t="n">
        <v>39</v>
      </c>
      <c r="B409" s="228" t="inlineStr">
        <is>
          <t>LAYANAN ADMINISTRASI KEPEGAWAIAN</t>
        </is>
      </c>
      <c r="C409" t="inlineStr">
        <is>
          <t>RSUD CICALENGKA</t>
        </is>
      </c>
      <c r="D409" s="228" t="inlineStr">
        <is>
          <t>Aplikasi SIMPEL (Sistem Informasi Pelayanan) BKPSDM Kabupaten Bandung berfungsi sebagai layanan kepegawaian online terintegrasi untuk memudahkan ASN dalam pengajuan layanan (eLayanan), pembaruan data profil mandiri (ePersonal), pemantauan status berkas digital, serta pengumpulan dokumen, seperti kenaikan jabatan fungsional, guna meningkatkan efisiensi dan efektivitas administrasi</t>
        </is>
      </c>
      <c r="E409" s="228" t="inlineStr">
        <is>
          <t>1. Undang-Undang Nomor 5 Tahun 2014 tentang Aparatur Sipil Negara, yang mengatur manajemen ASN secara profesional, transparan, dan berbasis sistem merit.
 2. Undang-Undang Nomor 23 Tahun 2014 tentang Pemerintahan Daerah sebagaimana telah beberapa kali diubah terakhir dengan Undang-Undang Nomor 9 Tahun 2015, yang memberikan kewenangan kepada pemerintah daerah dalam pengelolaan manajemen ASN daerah.
 3. Undang-Undang Nomor 11 Tahun 2008 tentang Informasi dan Transaksi Elektronik sebagaimana telah diubah dengan Undang-Undang Nomor 19 Tahun 2016, yang mengatur pemanfaatan teknologi informasi dalam penyelenggaraan layanan elektronik.
 4. Undang-Undang Nomor 25 Tahun 2009 tentang Pelayanan Publik, yang mewajibkan penyelenggara pelayanan publik memberikan pelayanan yang cepat, mudah, terjangkau, dan terukur.
 5. Peraturan Pemerintah Nomor 11 Tahun 2017 tentang Manajemen Pegawai Negeri Sipil sebagaimana telah diubah dengan Peraturan Pemerintah Nomor 17 Tahun 2020, yang mengatur pengelolaan administrasi kepegawaian PNS termasuk pengembangan sistem informasi manajemen ASN.
 6. Peraturan Presiden Nomor 95 Tahun 2018 tentang Sistem Pemerintahan Berbasis Elektronik (SPBE), yang mendorong penerapan sistem pemerintahan berbasis elektronik untuk meningkatkan kualitas layanan pemerintahan.
 7. Peraturan Menteri Pendayagunaan Aparatur Negara dan Reformasi Birokrasi Nomor 40 Tahun 2018 tentang Pedoman Sistem Merit dalam Manajemen ASN, yang menekankan penggunaan sistem informasi dalam pengelolaan data ASN.
 8.Peraturan Badan Kepegawaian Negara Nomor 5 Tahun 2019 tentang Tata Cara Pelaksanaan Mutasi, yang mendukung pemanfaatan sistem informasi dalam proses administrasi kepegawaian.</t>
        </is>
      </c>
      <c r="F409" s="288" t="n"/>
      <c r="G409" s="229" t="inlineStr">
        <is>
          <t>PENATAAN SUMBER DAYA MANUSIA APARATUR</t>
        </is>
      </c>
      <c r="H409" s="229" t="inlineStr">
        <is>
          <t>Pegawai</t>
        </is>
      </c>
      <c r="I409" s="228" t="inlineStr">
        <is>
          <t>Data yang dimasukkan dalam Aplikasi SIMPEL merupakan data kepegawaian Aparatur Sipil Negara (ASN) yang digunakan untuk mendukung pelayanan administrasi kepegawaian secara elektronik. Data tersebut meliputi:
 1. Data Identitas Pegawai
 2. Data Kepegawaian
 3. Data Pendidikan
 4. Data Jabatan dan Karier
 5. Data Pengembangan Kompetensi
 6. Data Layanan Kepegawaian (e-Layanan)
 7. Dokumen Pendukung Digital
 8. Data Profil Mandiri (e-Personal)</t>
        </is>
      </c>
      <c r="J409" s="228" t="inlineStr">
        <is>
          <t>Aplikasi SIMPEL (Sistem Informasi Pelayanan) menghasilkan berbagai keluaran berupa informasi, dokumen administrasi, serta pemantauan layanan kepegawaian secara elektronik yang digunakan untuk mendukung pengelolaan manajemen ASN. Hasil yang diperoleh dari penggunaan aplikasi SIMPEL antara lain:
 1. Informasi Status Layanan Kepegawaian
 2. Dokumen Administrasi Kepegawaian Digital
 3. Database Kepegawaian Terintegrasi
 4. Monitoring dan Rekapitulasi Layanan Kepegawaian
 5. Pemutakhiran Data Profil ASN
 6. Efisiensi dan Transparansi Pelayanan Kepegawaian</t>
        </is>
      </c>
      <c r="K409" s="229" t="inlineStr">
        <is>
          <t>Terbatas</t>
        </is>
      </c>
      <c r="L409" s="229" t="inlineStr">
        <is>
          <t>Terdapat</t>
        </is>
      </c>
      <c r="M409" s="229" t="inlineStr">
        <is>
          <t>Harian</t>
        </is>
      </c>
      <c r="N409" s="237" t="inlineStr">
        <is>
          <t>SIMPEL BKPSDM</t>
        </is>
      </c>
      <c r="O409" s="229" t="inlineStr">
        <is>
          <t>Diskominfo</t>
        </is>
      </c>
      <c r="P409" s="229" t="inlineStr">
        <is>
          <t>Kab. Bandung</t>
        </is>
      </c>
      <c r="Q409" s="229" t="inlineStr">
        <is>
          <t>Website dan Mobile</t>
        </is>
      </c>
      <c r="R409" s="230" t="inlineStr">
        <is>
          <t>simpelbkpsdm.bandungkab.go.id</t>
        </is>
      </c>
      <c r="S409" s="229" t="inlineStr">
        <is>
          <t>Secara Online</t>
        </is>
      </c>
      <c r="T409" s="229" t="inlineStr">
        <is>
          <t>Informasi</t>
        </is>
      </c>
      <c r="U409" s="243" t="n">
        <v>2020</v>
      </c>
      <c r="V409" s="229" t="inlineStr">
        <is>
          <t>Aktif</t>
        </is>
      </c>
      <c r="W409" s="229" t="inlineStr">
        <is>
          <t>Tidak</t>
        </is>
      </c>
      <c r="X409" s="229" t="inlineStr">
        <is>
          <t>Belum Diintegrasikan
 contoh Pembuatan KGB Sudah terbit di BKPSDM tertulis Kepada YTH Kepala BKAD Kabupaten Bandung, tetapi KGB tersebut tetap harus di kirimkan bendahara rs ke BKAD</t>
        </is>
      </c>
      <c r="Y409" s="229" t="inlineStr">
        <is>
          <t>Web Service</t>
        </is>
      </c>
      <c r="Z409" s="229" t="inlineStr">
        <is>
          <t>Realtime</t>
        </is>
      </c>
      <c r="AA409" s="229" t="inlineStr">
        <is>
          <t>Bagian Kepegawaian</t>
        </is>
      </c>
      <c r="AB409" s="229" t="inlineStr">
        <is>
          <t>BKPSDM</t>
        </is>
      </c>
      <c r="AC409" s="230" t="inlineStr">
        <is>
          <t>AYI RAHADIAN, S.Tr.Kom</t>
        </is>
      </c>
      <c r="AD409" s="228" t="n">
        <v>82127317127</v>
      </c>
      <c r="AE409" s="228" t="inlineStr">
        <is>
          <t>rahadianayi@gmail.com</t>
        </is>
      </c>
      <c r="AF409" s="288" t="n"/>
      <c r="AG409" s="229" t="inlineStr">
        <is>
          <t>Setiap Saat</t>
        </is>
      </c>
      <c r="AH409" s="284" t="n"/>
      <c r="AI409" s="284" t="n"/>
      <c r="AJ409" s="284" t="n"/>
      <c r="AK409" s="284" t="n"/>
      <c r="AL409" s="284" t="n"/>
      <c r="AM409" s="284" t="n"/>
      <c r="AN409" s="284" t="n"/>
      <c r="AO409" s="284" t="n"/>
      <c r="AP409" s="284" t="n"/>
      <c r="AQ409" s="284" t="n"/>
      <c r="AR409" s="284" t="n"/>
      <c r="AS409" s="284" t="n"/>
    </row>
    <row r="410">
      <c r="A410" s="255" t="n"/>
      <c r="B410" s="245" t="inlineStr">
        <is>
          <t>PENILAIAN KINERJA PEGAWAI</t>
        </is>
      </c>
      <c r="C410" t="inlineStr">
        <is>
          <t>RSUD CICALENGKA</t>
        </is>
      </c>
      <c r="D410" s="245" t="inlineStr">
        <is>
          <t>Aplikasi SASIKAP adalah aplikasi yang dibuat untuk layanan penilaian kinerja Aparatur Sipil Negara (ASN/PNS) di lingkungan Pemerintah Kabupaten Bandung.</t>
        </is>
      </c>
      <c r="E410" s="245" t="inlineStr">
        <is>
          <t>1. Undang-Undang Nomor 5 Tahun 2014 tentang Aparatur Sipil Negara (ASN)
  2. Peraturan Pemerintah Nomor 30 Tahun 2019 tentang Penilaian Kinerja Pegawai Negeri Sipil
  3. Peraturan Menteri PANRB Nomor 6 Tahun 2022 tentang Pengelolaan Kinerja Pegawai Aparatur Sipil Negara
  4. Peraturan Badan Kepegawaian Negara (BKN) Nomor 24 Tahun 2017 tentang Tata Cara Penilaian Kinerja Pegawai Negeri Sipil
  5. Peraturan Badan Kepegawaian Negara Nomor 3 Tahun 2023 tentang Angka Kredit, Kenaikan Pangkat, dan Jenjang Jabatan Fungsional
  6. Peraturan Kepala BKN Nomor 1 Tahun 2013 tentang Ketentuan Pelaksanaan PP Nomor 46 Tahun 2011</t>
        </is>
      </c>
      <c r="F410" s="251" t="n"/>
      <c r="G410" s="247" t="inlineStr">
        <is>
          <t>PENATAAN SUMBER DAYA MANUSIA APARATUR</t>
        </is>
      </c>
      <c r="H410" s="247" t="inlineStr">
        <is>
          <t>Pegawai</t>
        </is>
      </c>
      <c r="I410" s="245" t="inlineStr">
        <is>
          <t>Data yang dimasukkan dalam aplikasi SASIKAP merupakan data yang digunakan untuk mendukung proses pengelolaan dan penilaian kinerja ASN di lingkungan Pemerintah Kabupaten Bandung. Data tersebut meliputi:
  1. Data Identitas Pegawai
  2. Data Perencanaan Kinerja (SKP)
  3. Data Aktivitas Kinerja
  4. Data Realisasi Kinerja
  5. Data Penilaian Kinerja
  6. Data Monitoring dan Evaluasi
  7. Dokumen Pendukung</t>
        </is>
      </c>
      <c r="J410" s="245" t="inlineStr">
        <is>
          <t>Data yang Dihasilkan
  Aplikasi SASIKAP menghasilkan berbagai data dan informasi yang berkaitan dengan pengelolaan serta penilaian kinerja pegawai ASN di lingkungan Pemerintah Kabupaten Bandung. Data yang dihasilkan antara lain:
  1. Nilai Capaian Kinerja Pegawai
  2. Nilai Perilaku Kerja Pegawai
  3. Nilai Akhir Kinerja Pegawai
  4. Laporan Kinerja Pegawai
  5. Rekapitulasi Penilaian Kinerja Pegawai
  6. Riwayat Penilaian Kinerja Pegawai
  7. Data Monitoring dan Evaluasi Kinerja
  8. TPP asn
  9. Laporan Statistik Kinerja ASN</t>
        </is>
      </c>
      <c r="K410" s="247" t="inlineStr">
        <is>
          <t>Terbatas</t>
        </is>
      </c>
      <c r="L410" s="247" t="inlineStr">
        <is>
          <t>Terdapat</t>
        </is>
      </c>
      <c r="M410" s="247" t="inlineStr">
        <is>
          <t>Harian</t>
        </is>
      </c>
      <c r="N410" s="248" t="inlineStr">
        <is>
          <t>SSO</t>
        </is>
      </c>
      <c r="O410" s="247" t="inlineStr">
        <is>
          <t>Diskominfo</t>
        </is>
      </c>
      <c r="P410" s="247" t="inlineStr">
        <is>
          <t>Kab. Bandung</t>
        </is>
      </c>
      <c r="Q410" s="247" t="inlineStr">
        <is>
          <t>Website dan Mobile</t>
        </is>
      </c>
      <c r="R410" s="249" t="inlineStr">
        <is>
          <t>https://dev2.bandungkab.go.id</t>
        </is>
      </c>
      <c r="S410" s="247" t="inlineStr">
        <is>
          <t>Secara Online</t>
        </is>
      </c>
      <c r="T410" s="247" t="inlineStr">
        <is>
          <t>Informasi</t>
        </is>
      </c>
      <c r="U410" s="250" t="n">
        <v>2020</v>
      </c>
      <c r="V410" s="247" t="inlineStr">
        <is>
          <t>Aktif</t>
        </is>
      </c>
      <c r="W410" s="247" t="inlineStr">
        <is>
          <t>Tidak</t>
        </is>
      </c>
      <c r="X410" s="251" t="n"/>
      <c r="Y410" s="247" t="inlineStr">
        <is>
          <t>Web Service</t>
        </is>
      </c>
      <c r="Z410" s="247" t="inlineStr">
        <is>
          <t>Realtime</t>
        </is>
      </c>
      <c r="AA410" s="247" t="inlineStr">
        <is>
          <t>Bagian Kepegawaian</t>
        </is>
      </c>
      <c r="AB410" s="247" t="inlineStr">
        <is>
          <t>BKPSDM</t>
        </is>
      </c>
      <c r="AC410" s="252" t="inlineStr">
        <is>
          <t>AYI RAHADIAN, S.Tr.Kom</t>
        </is>
      </c>
      <c r="AD410" s="250" t="n">
        <v>82127317127</v>
      </c>
      <c r="AE410" s="253" t="inlineStr">
        <is>
          <t>rahadianayi@gmail.com</t>
        </is>
      </c>
      <c r="AF410" s="254" t="n"/>
      <c r="AG410" s="247" t="inlineStr">
        <is>
          <t>Setiap Saat</t>
        </is>
      </c>
      <c r="AH410" s="255" t="n"/>
      <c r="AI410" s="284" t="n"/>
      <c r="AJ410" s="284" t="n"/>
      <c r="AK410" s="284" t="n"/>
      <c r="AL410" s="284" t="n"/>
      <c r="AM410" s="284" t="n"/>
      <c r="AN410" s="284" t="n"/>
      <c r="AO410" s="284" t="n"/>
      <c r="AP410" s="284" t="n"/>
      <c r="AQ410" s="284" t="n"/>
      <c r="AR410" s="284" t="n"/>
      <c r="AS410" s="284" t="n"/>
    </row>
    <row r="411">
      <c r="A411" s="241" t="n">
        <v>41</v>
      </c>
      <c r="B411" s="228" t="inlineStr">
        <is>
          <t>Sistem Informasi Sumber Daya Manusia Kesehatan (SISDMK)</t>
        </is>
      </c>
      <c r="C411" t="inlineStr">
        <is>
          <t>RSUD CICALENGKA</t>
        </is>
      </c>
      <c r="D411" s="228" t="inlineStr">
        <is>
          <t>SISDMK merupakan sistem informasi yang dikembangkan oleh Kementerian Kesehatan Republik Indonesia untuk mengelola dan memantau data tenaga kesehatan dan tenaga penunjang kesehatan di seluruh fasilitas pelayanan kesehatan di Indonesia.</t>
        </is>
      </c>
      <c r="E411" s="228" t="inlineStr">
        <is>
          <t>Dasar Layanan
 1. Undang-Undang Nomor 36 Tahun 2009 tentang Kesehatan
 2. Undang-Undang Nomor 36 Tahun 2014 tentang Tenaga Kesehatan
 3. Undang-Undang Nomor 44 Tahun 2009 tentang Rumah Sakit
 4. Peraturan Presiden Nomor 72 Tahun 2012 tentang Sistem Kesehatan Nasional
 5. Peraturan Presiden Nomor 95 Tahun 2018 tentang Sistem Pemerintahan Berbasis Elektronik (SPBE)
 6. Peraturan Menteri Kesehatan Nomor 31 Tahun 2019 tentang Sistem Informasi Puskesmas dan Fasilitas Pelayanan Kesehatan</t>
        </is>
      </c>
      <c r="F411" s="288" t="n"/>
      <c r="G411" s="256" t="inlineStr">
        <is>
          <t>PENATAAN SUMBER DAYA MANUSIA APARATUR</t>
        </is>
      </c>
      <c r="H411" s="256" t="inlineStr">
        <is>
          <t>Pegawai</t>
        </is>
      </c>
      <c r="I411" s="228" t="inlineStr">
        <is>
          <t>Data yang dimasukkan dalam aplikasi SISDMK merupakan data terkait tenaga kesehatan dan tenaga penunjang kesehatan yang bekerja pada fasilitas pelayanan kesehatan. Data tersebut meliputi:
 1. Data Identitas Tenaga Kesehatan
 2. Data Kepegawaian
 3. Data Profesi Tenaga Kesehatan
 4. Data Pendidikan
 5. Data Registrasi dan Perizinan
 6. Data Tempat Kerja
 7. Data Pengembangan Kompetensi
 8. Dokumen Pendukung</t>
        </is>
      </c>
      <c r="J411" s="228" t="inlineStr">
        <is>
          <t>Data yang dihasilkan antara lain:
 1. Database Tenaga Kesehatan
 2. Data Distribusi Tenaga Kesehatan
 3. Data Ketersediaan Tenaga Kesehatan
 4. Data Kualifikasi dan Kompetensi Tenaga Kesehatan
 5. Data Status Registrasi dan Perizinan
 6. Laporan Rekapitulasi SDM Kesehatan
 7. Data Monitoring dan Evaluasi SDM Kesehatan
 8. Laporan Kebutuhan Tenaga Kesehatan</t>
        </is>
      </c>
      <c r="K411" s="256" t="inlineStr">
        <is>
          <t>Terbatas</t>
        </is>
      </c>
      <c r="L411" s="256" t="inlineStr">
        <is>
          <t>Terdapat</t>
        </is>
      </c>
      <c r="M411" s="256" t="inlineStr">
        <is>
          <t>Harian</t>
        </is>
      </c>
      <c r="N411" s="237" t="inlineStr">
        <is>
          <t>SISDMK</t>
        </is>
      </c>
      <c r="O411" s="229" t="inlineStr">
        <is>
          <t>Pusat</t>
        </is>
      </c>
      <c r="P411" s="229" t="inlineStr">
        <is>
          <t>Pusat</t>
        </is>
      </c>
      <c r="Q411" s="229" t="inlineStr">
        <is>
          <t>Website</t>
        </is>
      </c>
      <c r="R411" s="230" t="inlineStr">
        <is>
          <t>https://sisdmk.kemkes.go.id</t>
        </is>
      </c>
      <c r="S411" s="256" t="inlineStr">
        <is>
          <t>Secara Online</t>
        </is>
      </c>
      <c r="T411" s="256" t="inlineStr">
        <is>
          <t>Informasi</t>
        </is>
      </c>
      <c r="U411" s="257" t="n">
        <v>2020</v>
      </c>
      <c r="V411" s="229" t="inlineStr">
        <is>
          <t>Aktif</t>
        </is>
      </c>
      <c r="W411" s="256" t="inlineStr">
        <is>
          <t>Ya</t>
        </is>
      </c>
      <c r="X411" s="258" t="inlineStr">
        <is>
          <t>satusehat.kemkes.go.id/sdmk</t>
        </is>
      </c>
      <c r="Y411" s="256" t="inlineStr">
        <is>
          <t>Web Service</t>
        </is>
      </c>
      <c r="Z411" s="256" t="inlineStr">
        <is>
          <t>Realtime</t>
        </is>
      </c>
      <c r="AA411" s="256" t="inlineStr">
        <is>
          <t>Bagian Kepegawaian</t>
        </is>
      </c>
      <c r="AB411" s="256" t="inlineStr">
        <is>
          <t>BKPSDM</t>
        </is>
      </c>
      <c r="AC411" s="259" t="inlineStr">
        <is>
          <t>AYI RAHADIAN, S.Tr.Kom</t>
        </is>
      </c>
      <c r="AD411" s="257" t="n">
        <v>82127317127</v>
      </c>
      <c r="AE411" s="260" t="inlineStr">
        <is>
          <t>rahadianayi@gmail.com</t>
        </is>
      </c>
      <c r="AF411" s="261" t="n"/>
      <c r="AG411" s="256" t="inlineStr">
        <is>
          <t>Setiap Saat</t>
        </is>
      </c>
      <c r="AH411" s="284" t="n"/>
      <c r="AI411" s="284" t="n"/>
      <c r="AJ411" s="284" t="n"/>
      <c r="AK411" s="284" t="n"/>
      <c r="AL411" s="284" t="n"/>
      <c r="AM411" s="284" t="n"/>
      <c r="AN411" s="284" t="n"/>
      <c r="AO411" s="284" t="n"/>
      <c r="AP411" s="284" t="n"/>
      <c r="AQ411" s="284" t="n"/>
      <c r="AR411" s="284" t="n"/>
      <c r="AS411" s="284" t="n"/>
    </row>
    <row r="412">
      <c r="A412" s="241" t="n">
        <v>42</v>
      </c>
      <c r="B412" s="228" t="inlineStr">
        <is>
          <t>layanan administrasi kepesertaan BPJS Kesehatan secara online oleh instansi atau badan usaha.</t>
        </is>
      </c>
      <c r="C412" t="inlineStr">
        <is>
          <t>RSUD CICALENGKA</t>
        </is>
      </c>
      <c r="D412" s="76" t="inlineStr">
        <is>
          <t>Aplikasi EDABU (Elektronik Data Badan Usaha) bertujuan untuk mempermudah pengelolaan administrasi kepesertaan Jaminan Kesehatan Nasional (JKN) bagi pegawai di instansi pemerintah maupun badan usaha melalui sistem layanan berbasis elektronik yang disediakan oleh BPJS Kesehatan.</t>
        </is>
      </c>
      <c r="E412" s="228" t="inlineStr">
        <is>
          <t>Dasar Hukum Layanan
 1. Undang-Undang Nomor 40 Tahun 2004 tentang Sistem Jaminan Sosial Nasional (SJSN)
 2. Undang-Undang Nomor 24 Tahun 2011 tentang Badan Penyelenggara Jaminan Sosial
 3. Peraturan Presiden Nomor 82 Tahun 2018 tentang Jaminan Kesehatan
 4. Peraturan Presiden Nomor 64 Tahun 2020 tentang Perubahan Kedua atas Peraturan Presiden Nomor 82 Tahun 2018 tentang Jaminan Kesehatan
 5. Peraturan BPJS Kesehatan Nomor 1 Tahun 2014 tentang Penyelenggaraan Jaminan Kesehatan
 6. Peraturan BPJS Kesehatan tentang Tata Cara Pendaftaran dan Perubahan Data Peserta Pekerja Penerima Upah (PPU)</t>
        </is>
      </c>
      <c r="F412" s="288" t="n"/>
      <c r="G412" s="229" t="inlineStr">
        <is>
          <t>PEMBINAAN PENGAWASAN KETENAGAKERJAAN DAN KESELAMATAN DAN KESEHATAN KERJA</t>
        </is>
      </c>
      <c r="H412" s="229" t="inlineStr">
        <is>
          <t>Pegawai</t>
        </is>
      </c>
      <c r="I412" s="228" t="inlineStr">
        <is>
          <t>Data yang dimasukkan dalam aplikasi EDABU merupakan data kepesertaan Jaminan Kesehatan Nasional (JKN) bagi pegawai dan anggota keluarganya yang dikelola oleh instansi atau badan usaha melalui sistem yang disediakan oleh BPJS Kesehatan.
 Meliputi:
 1. Data Identitas Peserta
 2. Data Kepegawaian
 3. Data Kepesertaan BPJS Kesehatan
 4. Data Anggota Keluarga
 5. Data Fasilitas Kesehatan
 6. Data Penggajian/Iuran
 7. Dokumen Pendukung</t>
        </is>
      </c>
      <c r="J412" s="228" t="inlineStr">
        <is>
          <t>Data Output Aplikasi EDABU
 1. Data Kepesertaan BPJS Kesehatan Pegawai
 2. Data Kepesertaan Anggota Keluarga
 3. Status Kepesertaan Peserta
 4. Rekapitulasi Data Peserta Instansi
 5. Perubahan Data Peserta
 6. Data Fasilitas Kesehatan Peserta
 7. Laporan Monitoring Kepesertaan</t>
        </is>
      </c>
      <c r="K412" s="229" t="inlineStr">
        <is>
          <t>Terbatas</t>
        </is>
      </c>
      <c r="L412" s="229" t="inlineStr">
        <is>
          <t>Terdapat</t>
        </is>
      </c>
      <c r="M412" s="229" t="inlineStr">
        <is>
          <t>Harian</t>
        </is>
      </c>
      <c r="N412" s="93" t="inlineStr">
        <is>
          <t>EDABU BPJS</t>
        </is>
      </c>
      <c r="O412" s="229" t="inlineStr">
        <is>
          <t>Pusat</t>
        </is>
      </c>
      <c r="P412" s="229" t="inlineStr">
        <is>
          <t>Pusat</t>
        </is>
      </c>
      <c r="Q412" s="229" t="inlineStr">
        <is>
          <t>Website dan Mobile</t>
        </is>
      </c>
      <c r="R412" s="230" t="inlineStr">
        <is>
          <t>https://edabu.bpjs-kesehatan.go.id/Edabu/Home/Login?AspxAutoDetectCookieSupport=1</t>
        </is>
      </c>
      <c r="S412" s="229" t="inlineStr">
        <is>
          <t>Secara Online</t>
        </is>
      </c>
      <c r="T412" s="256" t="inlineStr">
        <is>
          <t>Informasi</t>
        </is>
      </c>
      <c r="U412" s="257" t="n">
        <v>2020</v>
      </c>
      <c r="V412" s="229" t="inlineStr">
        <is>
          <t>Aktif</t>
        </is>
      </c>
      <c r="W412" s="256" t="inlineStr">
        <is>
          <t>Ya</t>
        </is>
      </c>
      <c r="X412" s="258" t="inlineStr">
        <is>
          <t>satusehat.kemkes.go.id/sdmk</t>
        </is>
      </c>
      <c r="Y412" s="256" t="inlineStr">
        <is>
          <t>Web Service</t>
        </is>
      </c>
      <c r="Z412" s="256" t="inlineStr">
        <is>
          <t>Realtime</t>
        </is>
      </c>
      <c r="AA412" s="256" t="inlineStr">
        <is>
          <t>Bagian Kepegawaian</t>
        </is>
      </c>
      <c r="AB412" s="228" t="inlineStr">
        <is>
          <t>BPJS</t>
        </is>
      </c>
      <c r="AC412" s="259" t="inlineStr">
        <is>
          <t>AYI RAHADIAN, S.Tr.Kom</t>
        </is>
      </c>
      <c r="AD412" s="257" t="n">
        <v>82127317127</v>
      </c>
      <c r="AE412" s="260" t="inlineStr">
        <is>
          <t>rahadianayi@gmail.com</t>
        </is>
      </c>
      <c r="AF412" s="261" t="n"/>
      <c r="AG412" s="256" t="inlineStr">
        <is>
          <t>Setiap Saat</t>
        </is>
      </c>
      <c r="AH412" s="284" t="n"/>
      <c r="AI412" s="284" t="n"/>
      <c r="AJ412" s="284" t="n"/>
      <c r="AK412" s="284" t="n"/>
      <c r="AL412" s="284" t="n"/>
      <c r="AM412" s="284" t="n"/>
      <c r="AN412" s="284" t="n"/>
      <c r="AO412" s="284" t="n"/>
      <c r="AP412" s="284" t="n"/>
      <c r="AQ412" s="284" t="n"/>
      <c r="AR412" s="284" t="n"/>
      <c r="AS412" s="284" t="n"/>
    </row>
    <row r="413">
      <c r="A413" s="71" t="inlineStr">
        <is>
          <t>RSUD BEDAS CIMAUNG</t>
        </is>
      </c>
      <c r="B413" s="58" t="n"/>
      <c r="D413" s="58" t="n"/>
      <c r="E413" s="58" t="n"/>
      <c r="F413" s="58" t="n"/>
      <c r="G413" s="58" t="n"/>
      <c r="H413" s="58" t="n"/>
      <c r="I413" s="58" t="n"/>
      <c r="J413" s="58" t="n"/>
      <c r="K413" s="58" t="n"/>
      <c r="L413" s="58" t="n"/>
      <c r="M413" s="58" t="n"/>
      <c r="N413" s="58" t="n"/>
      <c r="O413" s="58" t="n"/>
      <c r="P413" s="58" t="n"/>
      <c r="Q413" s="58" t="n"/>
      <c r="R413" s="58" t="n"/>
      <c r="S413" s="58" t="n"/>
      <c r="T413" s="58" t="n"/>
      <c r="U413" s="58" t="n"/>
      <c r="V413" s="58" t="n"/>
      <c r="W413" s="58" t="n"/>
      <c r="X413" s="58" t="n"/>
      <c r="Y413" s="58" t="n"/>
      <c r="Z413" s="58" t="n"/>
      <c r="AA413" s="58" t="n"/>
      <c r="AB413" s="58" t="n"/>
      <c r="AC413" s="58" t="n"/>
      <c r="AD413" s="58" t="n"/>
      <c r="AE413" s="58" t="n"/>
      <c r="AF413" s="200" t="n"/>
      <c r="AG413" s="200" t="n"/>
      <c r="AH413" s="284" t="n"/>
      <c r="AI413" s="284" t="n"/>
      <c r="AJ413" s="284" t="n"/>
      <c r="AK413" s="284" t="n"/>
      <c r="AL413" s="284" t="n"/>
      <c r="AM413" s="284" t="n"/>
      <c r="AN413" s="284" t="n"/>
      <c r="AO413" s="284" t="n"/>
      <c r="AP413" s="284" t="n"/>
      <c r="AQ413" s="284" t="n"/>
      <c r="AR413" s="284" t="n"/>
      <c r="AS413" s="284" t="n"/>
    </row>
    <row r="414">
      <c r="A414" s="182" t="n">
        <v>1</v>
      </c>
      <c r="B414" s="178" t="inlineStr">
        <is>
          <t>Layanan Integrasi Ekosistem Digital Rumah Sakit (SIMRS)</t>
        </is>
      </c>
      <c r="C414" t="inlineStr">
        <is>
          <t>RSUD BEDAS CIMAUNG</t>
        </is>
      </c>
      <c r="D414"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414" s="178" t="inlineStr">
        <is>
          <t>Peraturan Menteri Kesehatan Nomor 82 Tahun 2013 Tentang Sistem Informasi Manajemen Rumah Sakit</t>
        </is>
      </c>
      <c r="F414" s="178" t="inlineStr">
        <is>
          <t>Belum Tersedia</t>
        </is>
      </c>
      <c r="G414" s="184" t="inlineStr">
        <is>
          <t>PENGELOLAAN PELAYANAN KESEHATAN</t>
        </is>
      </c>
      <c r="H414" s="184" t="inlineStr">
        <is>
          <t>Masyarakat</t>
        </is>
      </c>
      <c r="I414" s="184" t="inlineStr">
        <is>
          <t>Data pasien, mulai dari info pribadi hingga catatan medis pasien</t>
        </is>
      </c>
      <c r="J414" s="178" t="inlineStr">
        <is>
          <t>Data rekam medis pasien</t>
        </is>
      </c>
      <c r="K414" s="184" t="inlineStr">
        <is>
          <t>Rahasia</t>
        </is>
      </c>
      <c r="L414" s="184" t="inlineStr">
        <is>
          <t>Terdapat</t>
        </is>
      </c>
      <c r="M414" s="184" t="inlineStr">
        <is>
          <t>Lainnya</t>
        </is>
      </c>
      <c r="N414" s="93" t="inlineStr">
        <is>
          <t>simrs cimaung</t>
        </is>
      </c>
      <c r="O414" s="184" t="inlineStr">
        <is>
          <t>Pihak Ke 3</t>
        </is>
      </c>
      <c r="P414" s="184" t="inlineStr">
        <is>
          <t>Kab. Bandung</t>
        </is>
      </c>
      <c r="Q414" s="184" t="inlineStr">
        <is>
          <t>Desktop</t>
        </is>
      </c>
      <c r="R414" s="184" t="inlineStr">
        <is>
          <t>Internal (Rahasia)</t>
        </is>
      </c>
      <c r="S414" s="184" t="inlineStr">
        <is>
          <t>Secara Online</t>
        </is>
      </c>
      <c r="T414" s="184" t="inlineStr">
        <is>
          <t>Transaksi</t>
        </is>
      </c>
      <c r="U414" s="184" t="n">
        <v>2023</v>
      </c>
      <c r="V414" s="184" t="inlineStr">
        <is>
          <t>Aktif</t>
        </is>
      </c>
      <c r="W414" s="184" t="inlineStr">
        <is>
          <t>Ya</t>
        </is>
      </c>
      <c r="X414" s="184" t="inlineStr">
        <is>
          <t>VClaim BPJS, Satusehat, Eklaim INACBGs, Siranap</t>
        </is>
      </c>
      <c r="Y414" s="184" t="inlineStr">
        <is>
          <t>Web Service</t>
        </is>
      </c>
      <c r="Z414" s="184" t="inlineStr">
        <is>
          <t>Realtime</t>
        </is>
      </c>
      <c r="AA414" s="184" t="inlineStr">
        <is>
          <t>Kepala Seksi Penunjang</t>
        </is>
      </c>
      <c r="AB414" s="184" t="inlineStr">
        <is>
          <t>Dinkes</t>
        </is>
      </c>
      <c r="AC414" s="178" t="inlineStr">
        <is>
          <t>Irfan</t>
        </is>
      </c>
      <c r="AD414" s="98" t="n">
        <v>85179729699</v>
      </c>
      <c r="AE414" s="288" t="n"/>
      <c r="AF414" s="288" t="n"/>
      <c r="AG414" s="68" t="inlineStr">
        <is>
          <t>Harian</t>
        </is>
      </c>
      <c r="AH414" s="284" t="n"/>
      <c r="AI414" s="284" t="n"/>
      <c r="AJ414" s="284" t="n"/>
      <c r="AK414" s="284" t="n"/>
      <c r="AL414" s="284" t="n"/>
      <c r="AM414" s="284" t="n"/>
      <c r="AN414" s="284" t="n"/>
      <c r="AO414" s="284" t="n"/>
      <c r="AP414" s="284" t="n"/>
      <c r="AQ414" s="284" t="n"/>
      <c r="AR414" s="284" t="n"/>
      <c r="AS414" s="284" t="n"/>
    </row>
    <row r="415">
      <c r="A415" s="182" t="n">
        <v>2</v>
      </c>
      <c r="B415" s="178" t="inlineStr">
        <is>
          <t>SI IMAN (Sistem Informasi Manajemen Anggaran)</t>
        </is>
      </c>
      <c r="C415" t="inlineStr">
        <is>
          <t>RSUD BEDAS CIMAUNG</t>
        </is>
      </c>
      <c r="D415" s="178" t="inlineStr">
        <is>
          <t>Meningkatkan efektivitas dan efisiensi dalam pembuatan perencanaan anggaran baik itu perencanaan bulanan ataupun tahunan</t>
        </is>
      </c>
      <c r="E415" s="178" t="inlineStr">
        <is>
          <t>Undang-Undang Nomor 5 Tahun 2014 tentang Aparatur Sipil Negara
 Peraturan Menteri Dalam Negeri Nomor 13 Tahun 2006 tentang Pedoman teknis
 pengelolaan Keuangan Daerah</t>
        </is>
      </c>
      <c r="F415" s="70" t="inlineStr">
        <is>
          <t>https://drive.google.com/file/d/1-OkimWi2XkYVZbq8aStpKFlsMtErBFog/view?usp=drivesdk</t>
        </is>
      </c>
      <c r="G415" s="184" t="inlineStr">
        <is>
          <t>KEUANGAN BADAN USAHA MILIK NEGARA</t>
        </is>
      </c>
      <c r="H415" s="184" t="inlineStr">
        <is>
          <t>Pegawai</t>
        </is>
      </c>
      <c r="I415" s="184" t="inlineStr">
        <is>
          <t>Perencanaan dan Keuangan RSUD Bedas Cimaung</t>
        </is>
      </c>
      <c r="J415" s="178" t="inlineStr">
        <is>
          <t>RBA dan Form Keuangan</t>
        </is>
      </c>
      <c r="K415" s="184" t="inlineStr">
        <is>
          <t>Rahasia</t>
        </is>
      </c>
      <c r="L415" s="184" t="inlineStr">
        <is>
          <t>Terdapat</t>
        </is>
      </c>
      <c r="M415" s="184" t="inlineStr">
        <is>
          <t>Lainnya</t>
        </is>
      </c>
      <c r="N415" s="93" t="inlineStr">
        <is>
          <t>siiman</t>
        </is>
      </c>
      <c r="O415" s="184" t="inlineStr">
        <is>
          <t>Pihak Ke 3</t>
        </is>
      </c>
      <c r="P415" s="184" t="inlineStr">
        <is>
          <t>Kab. Bandung</t>
        </is>
      </c>
      <c r="Q415" s="184" t="inlineStr">
        <is>
          <t>Desktop</t>
        </is>
      </c>
      <c r="R415" s="184" t="inlineStr">
        <is>
          <t>Internal (Rahasia)</t>
        </is>
      </c>
      <c r="S415" s="184" t="inlineStr">
        <is>
          <t>Secara Online</t>
        </is>
      </c>
      <c r="T415" s="184" t="inlineStr">
        <is>
          <t>Transaksi</t>
        </is>
      </c>
      <c r="U415" s="98" t="n">
        <v>2024</v>
      </c>
      <c r="V415" s="184" t="inlineStr">
        <is>
          <t>Aktif</t>
        </is>
      </c>
      <c r="W415" s="184" t="inlineStr">
        <is>
          <t>Tidak</t>
        </is>
      </c>
      <c r="X415" s="184" t="inlineStr">
        <is>
          <t>Tidak Terintegrasi</t>
        </is>
      </c>
      <c r="Y415" s="184" t="inlineStr">
        <is>
          <t>Web Service</t>
        </is>
      </c>
      <c r="Z415" s="184" t="inlineStr">
        <is>
          <t>Realtime</t>
        </is>
      </c>
      <c r="AA415" s="184" t="inlineStr">
        <is>
          <t>Kasubag Tata Usaha</t>
        </is>
      </c>
      <c r="AB415" s="184" t="inlineStr">
        <is>
          <t>Dinkes</t>
        </is>
      </c>
      <c r="AC415" s="178" t="inlineStr">
        <is>
          <t>Juang</t>
        </is>
      </c>
      <c r="AD415" s="178" t="n">
        <v>81261858201</v>
      </c>
      <c r="AE415" s="288" t="n"/>
      <c r="AF415" s="288" t="n"/>
      <c r="AG415" s="68" t="inlineStr">
        <is>
          <t>Insidentil</t>
        </is>
      </c>
      <c r="AH415" s="284" t="n"/>
      <c r="AI415" s="284" t="n"/>
      <c r="AJ415" s="284" t="n"/>
      <c r="AK415" s="284" t="n"/>
      <c r="AL415" s="284" t="n"/>
      <c r="AM415" s="284" t="n"/>
      <c r="AN415" s="284" t="n"/>
      <c r="AO415" s="284" t="n"/>
      <c r="AP415" s="284" t="n"/>
      <c r="AQ415" s="284" t="n"/>
      <c r="AR415" s="284" t="n"/>
      <c r="AS415" s="284" t="n"/>
    </row>
    <row r="416">
      <c r="A416" s="182" t="n">
        <v>3</v>
      </c>
      <c r="B416" s="176" t="inlineStr">
        <is>
          <t>Layanan pengelolaan persediaan BMD</t>
        </is>
      </c>
      <c r="C416" t="inlineStr">
        <is>
          <t>RSUD BEDAS CIMAUNG</t>
        </is>
      </c>
      <c r="D416" s="184" t="inlineStr">
        <is>
          <t>Aplikasi untuk mengelola BMD berupa barang persediaan. Digunakan untuk mencatat, memantau dan melaporkan stock barang persediaan secara real time guna mendukung operasional rumah sakit dan pemertintah daerah.</t>
        </is>
      </c>
      <c r="E416" s="184" t="inlineStr">
        <is>
          <t>Peraturan pemerintah dalam negeri no 47 tahun 2021</t>
        </is>
      </c>
      <c r="F416" s="288" t="n"/>
      <c r="G416" s="67" t="inlineStr">
        <is>
          <t>KEUANGAN BADAN USAHA MILIK NEGARA</t>
        </is>
      </c>
      <c r="H416" s="184" t="inlineStr">
        <is>
          <t>Instansi Pemerintah Lainnya</t>
        </is>
      </c>
      <c r="I416" s="184" t="inlineStr">
        <is>
          <t>Data barang</t>
        </is>
      </c>
      <c r="J416" s="178" t="inlineStr">
        <is>
          <t>Catatan transaksi keluar masuk barang</t>
        </is>
      </c>
      <c r="K416" s="184" t="inlineStr">
        <is>
          <t>Terbatas</t>
        </is>
      </c>
      <c r="L416" s="184" t="inlineStr">
        <is>
          <t>Terdapat</t>
        </is>
      </c>
      <c r="M416" s="184" t="inlineStr">
        <is>
          <t>Tahunan</t>
        </is>
      </c>
      <c r="N416" s="130" t="inlineStr">
        <is>
          <t>e-persediaan</t>
        </is>
      </c>
      <c r="O416" s="184" t="inlineStr">
        <is>
          <t>OPD</t>
        </is>
      </c>
      <c r="P416" s="184" t="inlineStr">
        <is>
          <t>Kab. Bandung</t>
        </is>
      </c>
      <c r="Q416" s="184" t="inlineStr">
        <is>
          <t>Website</t>
        </is>
      </c>
      <c r="R416" s="131" t="inlineStr">
        <is>
          <t>persediaanbmd.bandungkab.go.id</t>
        </is>
      </c>
      <c r="S416" s="184" t="inlineStr">
        <is>
          <t>Secara Online</t>
        </is>
      </c>
      <c r="T416" s="184" t="inlineStr">
        <is>
          <t>Transaksi</t>
        </is>
      </c>
      <c r="U416" s="176" t="n">
        <v>2023</v>
      </c>
      <c r="V416" s="184" t="inlineStr">
        <is>
          <t>Aktif</t>
        </is>
      </c>
      <c r="W416" s="184" t="inlineStr">
        <is>
          <t>Tidak</t>
        </is>
      </c>
      <c r="X416" s="184" t="inlineStr">
        <is>
          <t>Tidak Terintegrasi</t>
        </is>
      </c>
      <c r="Y416" s="184" t="inlineStr">
        <is>
          <t>Tidak Terintegrasi</t>
        </is>
      </c>
      <c r="Z416" s="184" t="inlineStr">
        <is>
          <t>Tidak Terintegrasi</t>
        </is>
      </c>
      <c r="AA416" s="184" t="inlineStr">
        <is>
          <t>Bidang Umum dan Kepegawaian</t>
        </is>
      </c>
      <c r="AB416" s="184" t="inlineStr">
        <is>
          <t>BKAD</t>
        </is>
      </c>
      <c r="AC416" s="67" t="inlineStr">
        <is>
          <t>Diah Patoni</t>
        </is>
      </c>
      <c r="AD416" s="77" t="n">
        <v>81572323190</v>
      </c>
      <c r="AE416" s="288" t="n"/>
      <c r="AF416" s="288" t="n"/>
      <c r="AG416" s="184" t="inlineStr">
        <is>
          <t>Harian</t>
        </is>
      </c>
      <c r="AH416" s="284" t="n"/>
      <c r="AI416" s="284" t="n"/>
      <c r="AJ416" s="284" t="n"/>
      <c r="AK416" s="284" t="n"/>
      <c r="AL416" s="284" t="n"/>
      <c r="AM416" s="284" t="n"/>
      <c r="AN416" s="284" t="n"/>
      <c r="AO416" s="284" t="n"/>
      <c r="AP416" s="284" t="n"/>
      <c r="AQ416" s="284" t="n"/>
      <c r="AR416" s="284" t="n"/>
      <c r="AS416" s="284" t="n"/>
    </row>
    <row r="417">
      <c r="A417" s="182" t="n">
        <v>4</v>
      </c>
      <c r="B417" s="184" t="inlineStr">
        <is>
          <t>Layanan Informasi Gaji ASN</t>
        </is>
      </c>
      <c r="C417" t="inlineStr">
        <is>
          <t>RSUD BEDAS CIMAUNG</t>
        </is>
      </c>
      <c r="D417" s="184" t="inlineStr">
        <is>
          <t>Aplikasi Sistem Informasi Gaji (SIMGaji) Taspen untuk memproses data gaji PNS di lingkungan pemerintah daerah.</t>
        </is>
      </c>
      <c r="E417" s="184" t="inlineStr">
        <is>
          <t>Peraturan Pemerintah Nomor 5 Tahun 2024 tentang Perubahan Kesembilan Belas atas Peraturan Pemerintah Nomor 7 Tahun 1977 tentang Peraturan Gaji Pegawai Negeri Sipil</t>
        </is>
      </c>
      <c r="F417" s="288" t="n"/>
      <c r="G417" s="184" t="inlineStr">
        <is>
          <t>PEMBINAAN KEUANGAN DAERAH</t>
        </is>
      </c>
      <c r="H417" s="184" t="inlineStr">
        <is>
          <t>Pegawai</t>
        </is>
      </c>
      <c r="I417" s="184" t="inlineStr">
        <is>
          <t>Data Pegawai, Data Gaji, Data Tunjangan</t>
        </is>
      </c>
      <c r="J417" s="178" t="inlineStr">
        <is>
          <t>Perubahan Data Gaji Pegawai, Ledger Gaji</t>
        </is>
      </c>
      <c r="K417" s="184" t="inlineStr">
        <is>
          <t>Tertutup</t>
        </is>
      </c>
      <c r="L417" s="184" t="inlineStr">
        <is>
          <t>Terdapat</t>
        </is>
      </c>
      <c r="M417" s="184" t="inlineStr">
        <is>
          <t>Harian</t>
        </is>
      </c>
      <c r="N417" s="130" t="inlineStr">
        <is>
          <t>SIMgaji</t>
        </is>
      </c>
      <c r="O417" s="184" t="inlineStr">
        <is>
          <t>Pihak Ke 3</t>
        </is>
      </c>
      <c r="P417" s="184" t="inlineStr">
        <is>
          <t>Pihak Ke 3 (Lisensi)</t>
        </is>
      </c>
      <c r="Q417" s="184" t="inlineStr">
        <is>
          <t>Website</t>
        </is>
      </c>
      <c r="R417" s="131" t="inlineStr">
        <is>
          <t>https://simgajiweb.taspen.co.id/</t>
        </is>
      </c>
      <c r="S417" s="184" t="inlineStr">
        <is>
          <t>Secara Online</t>
        </is>
      </c>
      <c r="T417" s="184" t="inlineStr">
        <is>
          <t>Informasi</t>
        </is>
      </c>
      <c r="U417" s="184" t="n">
        <v>2023</v>
      </c>
      <c r="V417" s="184" t="inlineStr">
        <is>
          <t>Aktif</t>
        </is>
      </c>
      <c r="W417" s="184" t="inlineStr">
        <is>
          <t>Tidak</t>
        </is>
      </c>
      <c r="X417" s="184" t="inlineStr">
        <is>
          <t>Tidak Terintegrasi</t>
        </is>
      </c>
      <c r="Y417" s="184" t="inlineStr">
        <is>
          <t>Tidak Terintegrasi</t>
        </is>
      </c>
      <c r="Z417" s="184" t="inlineStr">
        <is>
          <t>Tidak Terintegrasi</t>
        </is>
      </c>
      <c r="AA417" s="184" t="inlineStr">
        <is>
          <t>Bagian Keuangan</t>
        </is>
      </c>
      <c r="AB417" s="184" t="inlineStr">
        <is>
          <t>BKAD</t>
        </is>
      </c>
      <c r="AC417" s="67" t="inlineStr">
        <is>
          <t>Tita</t>
        </is>
      </c>
      <c r="AD417" s="77" t="n">
        <v>81322232824</v>
      </c>
      <c r="AE417" s="288" t="n"/>
      <c r="AF417" s="288" t="n"/>
      <c r="AG417" s="184" t="inlineStr">
        <is>
          <t>Bulanan</t>
        </is>
      </c>
      <c r="AH417" s="284" t="n"/>
      <c r="AI417" s="284" t="n"/>
      <c r="AJ417" s="284" t="n"/>
      <c r="AK417" s="284" t="n"/>
      <c r="AL417" s="284" t="n"/>
      <c r="AM417" s="284" t="n"/>
      <c r="AN417" s="284" t="n"/>
      <c r="AO417" s="284" t="n"/>
      <c r="AP417" s="284" t="n"/>
      <c r="AQ417" s="284" t="n"/>
      <c r="AR417" s="284" t="n"/>
      <c r="AS417" s="284" t="n"/>
    </row>
    <row r="418">
      <c r="A418" s="182" t="n">
        <v>5</v>
      </c>
      <c r="B418" s="184" t="inlineStr">
        <is>
          <t>Layanan pelaporan penerimaan retribusi daerah</t>
        </is>
      </c>
      <c r="C418" t="inlineStr">
        <is>
          <t>RSUD BEDAS CIMAUNG</t>
        </is>
      </c>
      <c r="D418" s="184" t="inlineStr">
        <is>
          <t>Aplikasi Entry Laporan Penerimaan Retribusi Daerah</t>
        </is>
      </c>
      <c r="E418" s="184" t="inlineStr">
        <is>
          <t>Perda Kabupaten Bandung No 10 Tahun 2023 Tentang Pajak Daerah dan Retribusi Daerah</t>
        </is>
      </c>
      <c r="F418" s="288" t="n"/>
      <c r="G418" s="184" t="inlineStr">
        <is>
          <t>PENGELOLAAN PENERIMAAN DAN PENDAPATAN NEGARA</t>
        </is>
      </c>
      <c r="H418" s="184" t="inlineStr">
        <is>
          <t>Instansi Pemerintah Lainnya</t>
        </is>
      </c>
      <c r="I418" s="184" t="inlineStr">
        <is>
          <t>Data Pendapatan</t>
        </is>
      </c>
      <c r="J418" s="178" t="inlineStr">
        <is>
          <t>Laporan Realisasi Pendapatan</t>
        </is>
      </c>
      <c r="K418" s="184" t="inlineStr">
        <is>
          <t>Rahasia</t>
        </is>
      </c>
      <c r="L418" s="184" t="inlineStr">
        <is>
          <t>Tidak terdapat</t>
        </is>
      </c>
      <c r="M418" s="184" t="inlineStr">
        <is>
          <t>Harian</t>
        </is>
      </c>
      <c r="N418" s="130" t="inlineStr">
        <is>
          <t>e-retribusi</t>
        </is>
      </c>
      <c r="O418" s="184" t="inlineStr">
        <is>
          <t>OPD</t>
        </is>
      </c>
      <c r="P418" s="184" t="inlineStr">
        <is>
          <t>Kab. Bandung</t>
        </is>
      </c>
      <c r="Q418" s="184" t="inlineStr">
        <is>
          <t>Website</t>
        </is>
      </c>
      <c r="R418" s="131" t="inlineStr">
        <is>
          <t>https://e-retribusi.bandungkab.go.id/</t>
        </is>
      </c>
      <c r="S418" s="184" t="inlineStr">
        <is>
          <t>Secara Online</t>
        </is>
      </c>
      <c r="T418" s="184" t="inlineStr">
        <is>
          <t>Informasi</t>
        </is>
      </c>
      <c r="U418" s="184" t="n">
        <v>2024</v>
      </c>
      <c r="V418" s="184" t="inlineStr">
        <is>
          <t>Aktif</t>
        </is>
      </c>
      <c r="W418" s="184" t="inlineStr">
        <is>
          <t>Tidak</t>
        </is>
      </c>
      <c r="X418" s="184" t="inlineStr">
        <is>
          <t>Tidak Terintegrasi</t>
        </is>
      </c>
      <c r="Y418" s="184" t="inlineStr">
        <is>
          <t>Tidak Terintegrasi</t>
        </is>
      </c>
      <c r="Z418" s="184" t="inlineStr">
        <is>
          <t>Tidak Terintegrasi</t>
        </is>
      </c>
      <c r="AA418" s="184" t="inlineStr">
        <is>
          <t>Retribusi Daerah</t>
        </is>
      </c>
      <c r="AB418" s="184" t="inlineStr">
        <is>
          <t>Bapenda</t>
        </is>
      </c>
      <c r="AC418" s="67" t="inlineStr">
        <is>
          <t>Irna dewi</t>
        </is>
      </c>
      <c r="AD418" s="77" t="n">
        <v>82121919057</v>
      </c>
      <c r="AE418" s="288" t="n"/>
      <c r="AF418" s="288" t="n"/>
      <c r="AG418" s="184" t="inlineStr">
        <is>
          <t>Harian</t>
        </is>
      </c>
      <c r="AH418" s="284" t="n"/>
      <c r="AI418" s="284" t="n"/>
      <c r="AJ418" s="284" t="n"/>
      <c r="AK418" s="284" t="n"/>
      <c r="AL418" s="284" t="n"/>
      <c r="AM418" s="284" t="n"/>
      <c r="AN418" s="284" t="n"/>
      <c r="AO418" s="284" t="n"/>
      <c r="AP418" s="284" t="n"/>
      <c r="AQ418" s="284" t="n"/>
      <c r="AR418" s="284" t="n"/>
      <c r="AS418" s="284" t="n"/>
    </row>
    <row r="419">
      <c r="A419" s="182" t="n">
        <v>6</v>
      </c>
      <c r="B419" s="184" t="inlineStr">
        <is>
          <t>Layanan pengelolaan informasi keuangan daerah</t>
        </is>
      </c>
      <c r="C419" t="inlineStr">
        <is>
          <t>RSUD BEDAS CIMAUNG</t>
        </is>
      </c>
      <c r="D419" s="184" t="inlineStr">
        <is>
          <t>Pengelolaan Informasi Keuangan Daerah - meliputi Perencanaan Anggaran Daerah, Penatausahaan Keuangan Daerah, Akuntansi dan Pelaporan Keuangan Daerah.</t>
        </is>
      </c>
      <c r="E419" s="184" t="inlineStr">
        <is>
          <t>Permendagri No 14 Tahun 2025 tentang Pedoman Penyusunan APBD Tahun 2026 Yang di dukung Oleh UU 23/2014, PP No 12/2019 dan Permendagri 70/2019.</t>
        </is>
      </c>
      <c r="F419" s="288" t="n"/>
      <c r="G419" s="184" t="inlineStr">
        <is>
          <t>PERENCANAAN DAN PENGANGGARAN APBN</t>
        </is>
      </c>
      <c r="H419" s="184" t="inlineStr">
        <is>
          <t>Instansi Pemerintah Lainnya</t>
        </is>
      </c>
      <c r="I419" s="184" t="inlineStr">
        <is>
          <t>Dari Mulai Penganggaran, Penatausahaan dan Pelaporan Keuangan</t>
        </is>
      </c>
      <c r="J419" s="178" t="inlineStr">
        <is>
          <t>Data perencanaan dan penganggaran</t>
        </is>
      </c>
      <c r="K419" s="184" t="inlineStr">
        <is>
          <t>Terbatas</t>
        </is>
      </c>
      <c r="L419" s="184" t="inlineStr">
        <is>
          <t>Terdapat</t>
        </is>
      </c>
      <c r="M419" s="184" t="inlineStr">
        <is>
          <t>Harian</t>
        </is>
      </c>
      <c r="N419" s="130" t="inlineStr">
        <is>
          <t>SIPD</t>
        </is>
      </c>
      <c r="O419" s="184" t="inlineStr">
        <is>
          <t>Pusat</t>
        </is>
      </c>
      <c r="P419" s="184" t="inlineStr">
        <is>
          <t>Pusat</t>
        </is>
      </c>
      <c r="Q419" s="184" t="inlineStr">
        <is>
          <t>Website</t>
        </is>
      </c>
      <c r="R419" s="131" t="inlineStr">
        <is>
          <t>https://sipd.kemendagri.go.id/</t>
        </is>
      </c>
      <c r="S419" s="184" t="inlineStr">
        <is>
          <t>Secara Online</t>
        </is>
      </c>
      <c r="T419" s="184" t="inlineStr">
        <is>
          <t>Informasi</t>
        </is>
      </c>
      <c r="U419" s="184" t="n">
        <v>2021</v>
      </c>
      <c r="V419" s="184" t="inlineStr">
        <is>
          <t>Aktif</t>
        </is>
      </c>
      <c r="W419" s="184" t="inlineStr">
        <is>
          <t>Ya</t>
        </is>
      </c>
      <c r="X419" s="184" t="inlineStr">
        <is>
          <t>SIRUP, e-planning</t>
        </is>
      </c>
      <c r="Y419" s="184" t="inlineStr">
        <is>
          <t>Web Service</t>
        </is>
      </c>
      <c r="Z419" s="288" t="n"/>
      <c r="AA419" s="184" t="inlineStr">
        <is>
          <t>Bagian Keuangan, Bagian Perencanaan dan Kehumasan</t>
        </is>
      </c>
      <c r="AB419" s="184" t="inlineStr">
        <is>
          <t>BKAD</t>
        </is>
      </c>
      <c r="AC419" s="67" t="inlineStr">
        <is>
          <t>Juang Rizki</t>
        </is>
      </c>
      <c r="AD419" s="77" t="n">
        <v>81261858201</v>
      </c>
      <c r="AE419" s="288" t="n"/>
      <c r="AF419" s="288" t="n"/>
      <c r="AG419" s="184" t="inlineStr">
        <is>
          <t>Bulanan</t>
        </is>
      </c>
      <c r="AH419" s="284" t="n"/>
      <c r="AI419" s="284" t="n"/>
      <c r="AJ419" s="284" t="n"/>
      <c r="AK419" s="284" t="n"/>
      <c r="AL419" s="284" t="n"/>
      <c r="AM419" s="284" t="n"/>
      <c r="AN419" s="284" t="n"/>
      <c r="AO419" s="284" t="n"/>
      <c r="AP419" s="284" t="n"/>
      <c r="AQ419" s="284" t="n"/>
      <c r="AR419" s="284" t="n"/>
      <c r="AS419" s="284" t="n"/>
    </row>
    <row r="420">
      <c r="A420" s="182" t="n">
        <v>7</v>
      </c>
      <c r="B420" s="184" t="inlineStr">
        <is>
          <t>Layanan pengelolaan pengadaan barang dan jasa</t>
        </is>
      </c>
      <c r="C420" t="inlineStr">
        <is>
          <t>RSUD BEDAS CIMAUNG</t>
        </is>
      </c>
      <c r="D420" s="184" t="inlineStr">
        <is>
          <t>Untuk membantu proses perencanaan pengadaan barang/jasa pemerintah agar lebih transparan, terencana, dan mudah diakses oleh publik maupun penyedia</t>
        </is>
      </c>
      <c r="E420" s="184" t="inlineStr">
        <is>
          <t>1) Peraturan Presiden (Perpres) Nomor 46 Tahun 2025 adalah perubahan kedua atas Perpres 16 Tahun 2018 tentang Pengadaan Barang/Jasa Pemerintah;
 2) Peraturan LKPP Nomor 11 Tahun 2021 tentang Pedoman Perencanaan Pengadaan Barang/Jasa Pemerintah;</t>
        </is>
      </c>
      <c r="F420" s="288" t="n"/>
      <c r="G420" s="184" t="inlineStr">
        <is>
          <t>PERENCANAAN DAN PENGANGGARAN APBN</t>
        </is>
      </c>
      <c r="H420" s="184" t="inlineStr">
        <is>
          <t>Pelaku Bisnis</t>
        </is>
      </c>
      <c r="I420" s="184" t="inlineStr">
        <is>
          <t>Data rencana umum pengadaan</t>
        </is>
      </c>
      <c r="J420" s="178" t="inlineStr">
        <is>
          <t>Informasi rencana paket pengadaan barang/jasa pemerintah</t>
        </is>
      </c>
      <c r="K420" s="184" t="inlineStr">
        <is>
          <t>Terbuka</t>
        </is>
      </c>
      <c r="L420" s="184" t="inlineStr">
        <is>
          <t>Terdapat</t>
        </is>
      </c>
      <c r="M420" s="184" t="inlineStr">
        <is>
          <t>Harian</t>
        </is>
      </c>
      <c r="N420" s="130" t="inlineStr">
        <is>
          <t>SIRUP</t>
        </is>
      </c>
      <c r="O420" s="184" t="inlineStr">
        <is>
          <t>Pusat</t>
        </is>
      </c>
      <c r="P420" s="184" t="inlineStr">
        <is>
          <t>Pusat</t>
        </is>
      </c>
      <c r="Q420" s="184" t="inlineStr">
        <is>
          <t>Website</t>
        </is>
      </c>
      <c r="R420" s="131" t="inlineStr">
        <is>
          <t>https://sirup.inaproc.id/sirup/loginctr/index</t>
        </is>
      </c>
      <c r="S420" s="184" t="inlineStr">
        <is>
          <t>Secara Online</t>
        </is>
      </c>
      <c r="T420" s="184" t="inlineStr">
        <is>
          <t>Informasi</t>
        </is>
      </c>
      <c r="U420" s="184" t="n">
        <v>2010</v>
      </c>
      <c r="V420" s="184" t="inlineStr">
        <is>
          <t>Aktif</t>
        </is>
      </c>
      <c r="W420" s="184" t="inlineStr">
        <is>
          <t>Ya</t>
        </is>
      </c>
      <c r="X420" s="184" t="inlineStr">
        <is>
          <t>SPSE, E-Katalog LKPP</t>
        </is>
      </c>
      <c r="Y420" s="184" t="inlineStr">
        <is>
          <t>Database to Database</t>
        </is>
      </c>
      <c r="Z420" s="184" t="inlineStr">
        <is>
          <t>Realtime</t>
        </is>
      </c>
      <c r="AA420" s="184" t="inlineStr">
        <is>
          <t>Bagian Perencanaan dan Kehumasan</t>
        </is>
      </c>
      <c r="AB420" s="184" t="inlineStr">
        <is>
          <t>Setda</t>
        </is>
      </c>
      <c r="AC420" s="67" t="inlineStr">
        <is>
          <t>Juang Rizki</t>
        </is>
      </c>
      <c r="AD420" s="77" t="n">
        <v>81261858201</v>
      </c>
      <c r="AE420" s="288" t="n"/>
      <c r="AF420" s="288" t="n"/>
      <c r="AG420" s="184" t="inlineStr">
        <is>
          <t>Insidentil</t>
        </is>
      </c>
      <c r="AH420" s="284" t="n"/>
      <c r="AI420" s="284" t="n"/>
      <c r="AJ420" s="284" t="n"/>
      <c r="AK420" s="284" t="n"/>
      <c r="AL420" s="284" t="n"/>
      <c r="AM420" s="284" t="n"/>
      <c r="AN420" s="284" t="n"/>
      <c r="AO420" s="284" t="n"/>
      <c r="AP420" s="284" t="n"/>
      <c r="AQ420" s="284" t="n"/>
      <c r="AR420" s="284" t="n"/>
      <c r="AS420" s="284" t="n"/>
    </row>
    <row r="421">
      <c r="A421" s="182" t="n">
        <v>8</v>
      </c>
      <c r="B421" s="184" t="inlineStr">
        <is>
          <t>Layanan Informasi Pengawasan Tindak Lanjut Hasil Pemeriksaan Terpadu</t>
        </is>
      </c>
      <c r="C421" t="inlineStr">
        <is>
          <t>RSUD BEDAS CIMAUNG</t>
        </is>
      </c>
      <c r="D421" s="184" t="inlineStr">
        <is>
          <t>Pengelolaan dan pemantauan hasil evaluasi/ tindak lanjut rekomendasi atas pemeriksaan yang dilaksanakan oleh APIP</t>
        </is>
      </c>
      <c r="E421" s="184" t="inlineStr">
        <is>
          <t>Peraturan Pemerintah Nomor 12 Tahun 2017 tentang pembinaan dan pengawasan penyelenggaraan pemerintah daerah</t>
        </is>
      </c>
      <c r="F421" s="288" t="n"/>
      <c r="G421" s="184" t="inlineStr">
        <is>
          <t>PENINGKATAN KUALITAS REFORMASI BIROKRASI, PENGAWASAN, DAN AKUNTABILITAS KINERJA</t>
        </is>
      </c>
      <c r="H421" s="184" t="inlineStr">
        <is>
          <t>Instansi Pemerintah Lainnya</t>
        </is>
      </c>
      <c r="I421" s="184" t="inlineStr">
        <is>
          <t>Dokumen Tindak Lanjut rekomendasi hasil pemeriksaan</t>
        </is>
      </c>
      <c r="J421" s="178" t="inlineStr">
        <is>
          <t>Informasi Capaian Hasil Rekomendasi</t>
        </is>
      </c>
      <c r="K421" s="184" t="inlineStr">
        <is>
          <t>Tertutup</t>
        </is>
      </c>
      <c r="L421" s="184" t="inlineStr">
        <is>
          <t>Tidak terdapat</t>
        </is>
      </c>
      <c r="M421" s="184" t="inlineStr">
        <is>
          <t>Lainnya</t>
        </is>
      </c>
      <c r="N421" s="130" t="inlineStr">
        <is>
          <t>SIMASLAHAT</t>
        </is>
      </c>
      <c r="O421" s="184" t="inlineStr">
        <is>
          <t>OPD</t>
        </is>
      </c>
      <c r="P421" s="184" t="inlineStr">
        <is>
          <t>Kab. Bandung</t>
        </is>
      </c>
      <c r="Q421" s="184" t="inlineStr">
        <is>
          <t>Website</t>
        </is>
      </c>
      <c r="R421" s="131" t="inlineStr">
        <is>
          <t>https://simaslahat.bandungkab.go.id/login</t>
        </is>
      </c>
      <c r="S421" s="184" t="inlineStr">
        <is>
          <t>Secara Online</t>
        </is>
      </c>
      <c r="T421" s="184" t="inlineStr">
        <is>
          <t>Informasi</t>
        </is>
      </c>
      <c r="U421" s="184" t="n">
        <v>2023</v>
      </c>
      <c r="V421" s="184" t="inlineStr">
        <is>
          <t>Aktif</t>
        </is>
      </c>
      <c r="W421" s="184" t="inlineStr">
        <is>
          <t>Tidak</t>
        </is>
      </c>
      <c r="X421" s="184" t="inlineStr">
        <is>
          <t>Tidak Terintegrasi</t>
        </is>
      </c>
      <c r="Y421" s="184" t="inlineStr">
        <is>
          <t>Tidak Terintegrasi</t>
        </is>
      </c>
      <c r="Z421" s="184" t="inlineStr">
        <is>
          <t>Tidak Terintegrasi</t>
        </is>
      </c>
      <c r="AA421" s="184" t="inlineStr">
        <is>
          <t>Bagian Keuangan</t>
        </is>
      </c>
      <c r="AB421" s="184" t="inlineStr">
        <is>
          <t>Inspektorat</t>
        </is>
      </c>
      <c r="AC421" s="67" t="inlineStr">
        <is>
          <t>Turiman</t>
        </is>
      </c>
      <c r="AD421" s="77" t="n">
        <v>81322123575</v>
      </c>
      <c r="AE421" s="288" t="n"/>
      <c r="AF421" s="288" t="n"/>
      <c r="AG421" s="184" t="inlineStr">
        <is>
          <t>Insidentil</t>
        </is>
      </c>
      <c r="AH421" s="284" t="n"/>
      <c r="AI421" s="284" t="n"/>
      <c r="AJ421" s="284" t="n"/>
      <c r="AK421" s="284" t="n"/>
      <c r="AL421" s="284" t="n"/>
      <c r="AM421" s="284" t="n"/>
      <c r="AN421" s="284" t="n"/>
      <c r="AO421" s="284" t="n"/>
      <c r="AP421" s="284" t="n"/>
      <c r="AQ421" s="284" t="n"/>
      <c r="AR421" s="284" t="n"/>
      <c r="AS421" s="284" t="n"/>
    </row>
    <row r="422">
      <c r="A422" s="182" t="n">
        <v>9</v>
      </c>
      <c r="B422" s="184" t="inlineStr">
        <is>
          <t>Layanan pelaporan pembayaran pajak</t>
        </is>
      </c>
      <c r="C422" t="inlineStr">
        <is>
          <t>RSUD BEDAS CIMAUNG</t>
        </is>
      </c>
      <c r="D422" s="184" t="inlineStr">
        <is>
          <t>Fungsi Utama: Melaporkan penghitungan dan pembayaran pajak daerah, objek pajak, serta harta/kewajiban secara digital.</t>
        </is>
      </c>
      <c r="E422" s="184"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422" s="184"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422" s="184" t="inlineStr">
        <is>
          <t>PEMBINAAN KEUANGAN DAERAH</t>
        </is>
      </c>
      <c r="H422" s="184" t="inlineStr">
        <is>
          <t>Instansi Pemerintah Lainnya</t>
        </is>
      </c>
      <c r="I422" s="184" t="inlineStr">
        <is>
          <t>Pajak makanan dan minuman pasien</t>
        </is>
      </c>
      <c r="J422" s="178" t="inlineStr">
        <is>
          <t>Bukti setor pajak</t>
        </is>
      </c>
      <c r="K422" s="184" t="inlineStr">
        <is>
          <t>Terbuka</t>
        </is>
      </c>
      <c r="L422" s="184" t="inlineStr">
        <is>
          <t>Tidak terdapat</t>
        </is>
      </c>
      <c r="M422" s="184" t="inlineStr">
        <is>
          <t>Harian</t>
        </is>
      </c>
      <c r="N422" s="130" t="inlineStr">
        <is>
          <t>E-SPTPD</t>
        </is>
      </c>
      <c r="O422" s="184" t="inlineStr">
        <is>
          <t>OPD</t>
        </is>
      </c>
      <c r="P422" s="184" t="inlineStr">
        <is>
          <t>Kab. Bandung</t>
        </is>
      </c>
      <c r="Q422" s="184" t="inlineStr">
        <is>
          <t>Website</t>
        </is>
      </c>
      <c r="R422" s="131" t="inlineStr">
        <is>
          <t>e-sptpd.bandungkab.go.id.</t>
        </is>
      </c>
      <c r="S422" s="184" t="inlineStr">
        <is>
          <t>Secara Online</t>
        </is>
      </c>
      <c r="T422" s="184" t="inlineStr">
        <is>
          <t>Transaksi</t>
        </is>
      </c>
      <c r="U422" s="184" t="n">
        <v>2018</v>
      </c>
      <c r="V422" s="184" t="inlineStr">
        <is>
          <t>Aktif</t>
        </is>
      </c>
      <c r="W422" s="184" t="inlineStr">
        <is>
          <t>Ya</t>
        </is>
      </c>
      <c r="X422" s="184" t="inlineStr">
        <is>
          <t>Tidak Terintegrasi</t>
        </is>
      </c>
      <c r="Y422" s="184" t="inlineStr">
        <is>
          <t>Tidak Terintegrasi</t>
        </is>
      </c>
      <c r="Z422" s="184" t="inlineStr">
        <is>
          <t>Bulanan</t>
        </is>
      </c>
      <c r="AA422" s="184" t="inlineStr">
        <is>
          <t>Bagian Keuangan</t>
        </is>
      </c>
      <c r="AB422" s="184" t="inlineStr">
        <is>
          <t>Bapenda</t>
        </is>
      </c>
      <c r="AC422" s="67" t="inlineStr">
        <is>
          <t>Diyan</t>
        </is>
      </c>
      <c r="AD422" s="77" t="n">
        <v>89662485426</v>
      </c>
      <c r="AE422" s="288" t="n"/>
      <c r="AF422" s="288" t="n"/>
      <c r="AG422" s="184" t="inlineStr">
        <is>
          <t>Bulanan</t>
        </is>
      </c>
      <c r="AH422" s="284" t="n"/>
      <c r="AI422" s="284" t="n"/>
      <c r="AJ422" s="284" t="n"/>
      <c r="AK422" s="284" t="n"/>
      <c r="AL422" s="284" t="n"/>
      <c r="AM422" s="284" t="n"/>
      <c r="AN422" s="284" t="n"/>
      <c r="AO422" s="284" t="n"/>
      <c r="AP422" s="284" t="n"/>
      <c r="AQ422" s="284" t="n"/>
      <c r="AR422" s="284" t="n"/>
      <c r="AS422" s="284" t="n"/>
    </row>
    <row r="423">
      <c r="A423" s="182" t="n">
        <v>10</v>
      </c>
      <c r="B423" s="184" t="inlineStr">
        <is>
          <t>Layanan pengelolaan data statistik</t>
        </is>
      </c>
      <c r="C423" t="inlineStr">
        <is>
          <t>RSUD BEDAS CIMAUNG</t>
        </is>
      </c>
      <c r="D423" s="184" t="inlineStr">
        <is>
          <t>Untuk mendukung pengelolaan data statistik di tingkat daerah serta berfungsi untuk mengelola, menyajikan, dan mempublikasikan data statistik sektoral</t>
        </is>
      </c>
      <c r="E423" s="184" t="inlineStr">
        <is>
          <t>Peraturan Bupati Bandung Nomor 82 Tahun 2019 tentang Tata Kelola Satu Data Daerah</t>
        </is>
      </c>
      <c r="F423" s="288" t="n"/>
      <c r="G423" s="184" t="inlineStr">
        <is>
          <t>PENGELOLAAN DATA STATISTIK</t>
        </is>
      </c>
      <c r="H423" s="184" t="inlineStr">
        <is>
          <t>Instansi Pemerintah Lainnya</t>
        </is>
      </c>
      <c r="I423" s="184" t="inlineStr">
        <is>
          <t>Data Statistik Sektoral</t>
        </is>
      </c>
      <c r="J423" s="184" t="inlineStr">
        <is>
          <t>Data Statistik Sektoral</t>
        </is>
      </c>
      <c r="K423" s="184" t="inlineStr">
        <is>
          <t>Terbuka</t>
        </is>
      </c>
      <c r="L423" s="184" t="inlineStr">
        <is>
          <t>Tidak terdapat</t>
        </is>
      </c>
      <c r="M423" s="184" t="inlineStr">
        <is>
          <t>Harian</t>
        </is>
      </c>
      <c r="N423" s="130" t="inlineStr">
        <is>
          <t>SIMASDA</t>
        </is>
      </c>
      <c r="O423" s="184" t="inlineStr">
        <is>
          <t>Diskominfo</t>
        </is>
      </c>
      <c r="P423" s="184" t="inlineStr">
        <is>
          <t>Kab. Bandung</t>
        </is>
      </c>
      <c r="Q423" s="184" t="inlineStr">
        <is>
          <t>Website</t>
        </is>
      </c>
      <c r="R423" s="131" t="inlineStr">
        <is>
          <t>https://simasda.bandungkab.go.id/</t>
        </is>
      </c>
      <c r="S423" s="184" t="inlineStr">
        <is>
          <t>Secara Online</t>
        </is>
      </c>
      <c r="T423" s="184" t="inlineStr">
        <is>
          <t>Informasi</t>
        </is>
      </c>
      <c r="U423" s="184" t="n">
        <v>2021</v>
      </c>
      <c r="V423" s="184" t="inlineStr">
        <is>
          <t>Aktif</t>
        </is>
      </c>
      <c r="W423" s="184" t="inlineStr">
        <is>
          <t>Ya</t>
        </is>
      </c>
      <c r="X423" s="184" t="inlineStr">
        <is>
          <t>Satu Data Kabupaten Bandung</t>
        </is>
      </c>
      <c r="Y423" s="184" t="inlineStr">
        <is>
          <t>Web Service</t>
        </is>
      </c>
      <c r="Z423" s="184" t="inlineStr">
        <is>
          <t>Realtime</t>
        </is>
      </c>
      <c r="AA423" s="184" t="inlineStr">
        <is>
          <t>Bagian Perencanaan dan Kehumasan</t>
        </is>
      </c>
      <c r="AB423" s="184" t="inlineStr">
        <is>
          <t>Diskominfo</t>
        </is>
      </c>
      <c r="AC423" s="67" t="inlineStr">
        <is>
          <t>Juang Rizki</t>
        </is>
      </c>
      <c r="AD423" s="77" t="n">
        <v>81261858201</v>
      </c>
      <c r="AE423" s="288" t="n"/>
      <c r="AF423" s="288" t="n"/>
      <c r="AG423" s="184" t="inlineStr">
        <is>
          <t>Insidentil</t>
        </is>
      </c>
      <c r="AH423" s="284" t="n"/>
      <c r="AI423" s="284" t="n"/>
      <c r="AJ423" s="284" t="n"/>
      <c r="AK423" s="284" t="n"/>
      <c r="AL423" s="284" t="n"/>
      <c r="AM423" s="284" t="n"/>
      <c r="AN423" s="284" t="n"/>
      <c r="AO423" s="284" t="n"/>
      <c r="AP423" s="284" t="n"/>
      <c r="AQ423" s="284" t="n"/>
      <c r="AR423" s="284" t="n"/>
      <c r="AS423" s="284" t="n"/>
    </row>
    <row r="424">
      <c r="A424" s="182" t="n">
        <v>11</v>
      </c>
      <c r="B424" s="184" t="inlineStr">
        <is>
          <t>Layanan Rujukan</t>
        </is>
      </c>
      <c r="C424" t="inlineStr">
        <is>
          <t>RSUD BEDAS CIMAUNG</t>
        </is>
      </c>
      <c r="D424"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424" s="184" t="inlineStr">
        <is>
          <t>Surat Edaran Menteri Kesehatan Nomor HK.02.02/I/1161/2022 tentang Implementasi Penggunaan Aplikasi SISRUTE</t>
        </is>
      </c>
      <c r="F424" s="184" t="inlineStr">
        <is>
          <t>SOP RUJUKAN</t>
        </is>
      </c>
      <c r="G424" s="184" t="inlineStr">
        <is>
          <t>PENGELOLAAN PELAYANAN KESEHATAN</t>
        </is>
      </c>
      <c r="H424" s="184" t="inlineStr">
        <is>
          <t>Masyarakat</t>
        </is>
      </c>
      <c r="I424" s="184" t="inlineStr">
        <is>
          <t>Data Klinis dan Kebutuhan rujukan pasien</t>
        </is>
      </c>
      <c r="J424" s="178" t="inlineStr">
        <is>
          <t>Penerimaan rujukan sesuai kebutuhan pasien</t>
        </is>
      </c>
      <c r="K424" s="184" t="inlineStr">
        <is>
          <t>Terbatas</t>
        </is>
      </c>
      <c r="L424" s="184" t="inlineStr">
        <is>
          <t>Terdapat</t>
        </is>
      </c>
      <c r="M424" s="184" t="inlineStr">
        <is>
          <t>Harian</t>
        </is>
      </c>
      <c r="N424" s="130" t="inlineStr">
        <is>
          <t>SISRUTE</t>
        </is>
      </c>
      <c r="O424" s="184" t="inlineStr">
        <is>
          <t>Pusat</t>
        </is>
      </c>
      <c r="P424" s="184" t="inlineStr">
        <is>
          <t>Pusat</t>
        </is>
      </c>
      <c r="Q424" s="184" t="inlineStr">
        <is>
          <t>Website</t>
        </is>
      </c>
      <c r="R424" s="131" t="inlineStr">
        <is>
          <t>https://sisrute.kemkes.go.id/</t>
        </is>
      </c>
      <c r="S424" s="184" t="inlineStr">
        <is>
          <t>Secara Online</t>
        </is>
      </c>
      <c r="T424" s="184" t="inlineStr">
        <is>
          <t>Informasi</t>
        </is>
      </c>
      <c r="U424" s="184" t="n">
        <v>2016</v>
      </c>
      <c r="V424" s="184" t="inlineStr">
        <is>
          <t>Aktif</t>
        </is>
      </c>
      <c r="W424" s="184" t="inlineStr">
        <is>
          <t>Tidak</t>
        </is>
      </c>
      <c r="X424" s="184" t="inlineStr">
        <is>
          <t>Tidak terintegrasi</t>
        </is>
      </c>
      <c r="Y424" s="184" t="inlineStr">
        <is>
          <t>Tidak Terintegrasi</t>
        </is>
      </c>
      <c r="Z424" s="184" t="inlineStr">
        <is>
          <t>Tidak Terintegrasi</t>
        </is>
      </c>
      <c r="AA424" s="184" t="inlineStr">
        <is>
          <t>Bagian Pelayanan Medik</t>
        </is>
      </c>
      <c r="AB424" s="184" t="inlineStr">
        <is>
          <t>Dinkes</t>
        </is>
      </c>
      <c r="AC424" s="67" t="inlineStr">
        <is>
          <t>Riyanti</t>
        </is>
      </c>
      <c r="AD424" s="77" t="n">
        <v>82120138210</v>
      </c>
      <c r="AE424" s="288" t="n"/>
      <c r="AF424" s="288" t="n"/>
      <c r="AG424" s="184" t="inlineStr">
        <is>
          <t>Insidentil</t>
        </is>
      </c>
      <c r="AH424" s="284" t="n"/>
      <c r="AI424" s="284" t="n"/>
      <c r="AJ424" s="284" t="n"/>
      <c r="AK424" s="284" t="n"/>
      <c r="AL424" s="284" t="n"/>
      <c r="AM424" s="284" t="n"/>
      <c r="AN424" s="284" t="n"/>
      <c r="AO424" s="284" t="n"/>
      <c r="AP424" s="284" t="n"/>
      <c r="AQ424" s="284" t="n"/>
      <c r="AR424" s="284" t="n"/>
      <c r="AS424" s="284" t="n"/>
    </row>
    <row r="425">
      <c r="A425" s="182" t="n">
        <v>12</v>
      </c>
      <c r="B425" s="184" t="inlineStr">
        <is>
          <t>Layanan Pelaporan Pajak</t>
        </is>
      </c>
      <c r="C425" t="inlineStr">
        <is>
          <t>RSUD BEDAS CIMAUNG</t>
        </is>
      </c>
      <c r="D425" s="184" t="inlineStr">
        <is>
          <t>Coretax (Core Tax Administration System/CTAS) adalah sistem administrasi perpajakan baru Direktorat Jenderal Pajak (DJP) yang mengintegrasikan seluruh proses bisnis perpajakan—pendaftaran, pelaporan SPT, pembayaran, hingga pemeriksaan—dalam satu portal terpadu</t>
        </is>
      </c>
      <c r="E425" s="184"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425" s="288" t="n"/>
      <c r="G425" s="184" t="inlineStr">
        <is>
          <t>AKUNTANSI DAN PELAPORAN KEUANGAN</t>
        </is>
      </c>
      <c r="H425" s="184" t="inlineStr">
        <is>
          <t>Pegawai</t>
        </is>
      </c>
      <c r="I425" s="184" t="inlineStr">
        <is>
          <t>Pajak PPH 21, PPH 22, PPH 23 Dan PPN</t>
        </is>
      </c>
      <c r="J425" s="178" t="inlineStr">
        <is>
          <t>Bukti setor pajak</t>
        </is>
      </c>
      <c r="K425" s="184" t="inlineStr">
        <is>
          <t>Terbatas</t>
        </is>
      </c>
      <c r="L425" s="184" t="inlineStr">
        <is>
          <t>Terdapat</t>
        </is>
      </c>
      <c r="M425" s="184" t="inlineStr">
        <is>
          <t>Harian</t>
        </is>
      </c>
      <c r="N425" s="130" t="inlineStr">
        <is>
          <t>Coretax</t>
        </is>
      </c>
      <c r="O425" s="184" t="inlineStr">
        <is>
          <t>Pusat</t>
        </is>
      </c>
      <c r="P425" s="184" t="inlineStr">
        <is>
          <t>Pusat</t>
        </is>
      </c>
      <c r="Q425" s="184" t="inlineStr">
        <is>
          <t>Website</t>
        </is>
      </c>
      <c r="R425" s="131" t="inlineStr">
        <is>
          <t>https://coretaxdjp.pajak.go.id</t>
        </is>
      </c>
      <c r="S425" s="184" t="inlineStr">
        <is>
          <t>Secara Online</t>
        </is>
      </c>
      <c r="T425" s="184" t="inlineStr">
        <is>
          <t>Transaksi</t>
        </is>
      </c>
      <c r="U425" s="184" t="n">
        <v>2025</v>
      </c>
      <c r="V425" s="184" t="inlineStr">
        <is>
          <t>Aktif</t>
        </is>
      </c>
      <c r="W425" s="184" t="inlineStr">
        <is>
          <t>Ya</t>
        </is>
      </c>
      <c r="X425" s="184" t="inlineStr">
        <is>
          <t>coretax</t>
        </is>
      </c>
      <c r="Y425" s="184" t="inlineStr">
        <is>
          <t>Web Service</t>
        </is>
      </c>
      <c r="Z425" s="184" t="inlineStr">
        <is>
          <t>Bulanan</t>
        </is>
      </c>
      <c r="AA425" s="184" t="inlineStr">
        <is>
          <t>Bagian Keuangan</t>
        </is>
      </c>
      <c r="AB425" s="184" t="inlineStr">
        <is>
          <t>BKAD</t>
        </is>
      </c>
      <c r="AC425" s="67" t="inlineStr">
        <is>
          <t>Diyan</t>
        </is>
      </c>
      <c r="AD425" s="77" t="n">
        <v>89662485426</v>
      </c>
      <c r="AE425" s="288" t="n"/>
      <c r="AF425" s="288" t="n"/>
      <c r="AG425" s="184" t="inlineStr">
        <is>
          <t>Tahunan</t>
        </is>
      </c>
      <c r="AH425" s="284" t="n"/>
      <c r="AI425" s="284" t="n"/>
      <c r="AJ425" s="284" t="n"/>
      <c r="AK425" s="284" t="n"/>
      <c r="AL425" s="284" t="n"/>
      <c r="AM425" s="284" t="n"/>
      <c r="AN425" s="284" t="n"/>
      <c r="AO425" s="284" t="n"/>
      <c r="AP425" s="284" t="n"/>
      <c r="AQ425" s="284" t="n"/>
      <c r="AR425" s="284" t="n"/>
      <c r="AS425" s="284" t="n"/>
    </row>
    <row r="426">
      <c r="A426" s="182" t="n">
        <v>13</v>
      </c>
      <c r="B426" s="184" t="inlineStr">
        <is>
          <t>Layanan Sistem Rekonsiliasi Pajak</t>
        </is>
      </c>
      <c r="C426" t="inlineStr">
        <is>
          <t>RSUD BEDAS CIMAUNG</t>
        </is>
      </c>
      <c r="D426" s="184"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426" s="184" t="inlineStr">
        <is>
          <t>PMK 67/PMK.07/2024: Peraturan Menteri Keuangan (PMK) ini mengatur tentang rekonsiliasi pajak pusat yang disetorkan pemda ke RKUN dan menjadi dasar validasi untuk penyaluran Dana Bagi Hasil (DBH) PPh dan DBH PBB.</t>
        </is>
      </c>
      <c r="F426" s="288" t="n"/>
      <c r="G426" s="184" t="inlineStr">
        <is>
          <t>AKUNTANSI DAN PELAPORAN KEUANGAN</t>
        </is>
      </c>
      <c r="H426" s="184" t="inlineStr">
        <is>
          <t>Instansi Pemerintah Lainnya</t>
        </is>
      </c>
      <c r="I426" s="184" t="inlineStr">
        <is>
          <t>Pajak yang bersumber dari APBD</t>
        </is>
      </c>
      <c r="J426" s="178" t="inlineStr">
        <is>
          <t>Bukti setor pajak</t>
        </is>
      </c>
      <c r="K426" s="184" t="inlineStr">
        <is>
          <t>Terbatas</t>
        </is>
      </c>
      <c r="L426" s="184" t="inlineStr">
        <is>
          <t>Tidak terdapat</t>
        </is>
      </c>
      <c r="M426" s="184" t="inlineStr">
        <is>
          <t>Bulanan</t>
        </is>
      </c>
      <c r="N426" s="130" t="inlineStr">
        <is>
          <t>SIREKON</t>
        </is>
      </c>
      <c r="O426" s="184" t="inlineStr">
        <is>
          <t>Diskominfo</t>
        </is>
      </c>
      <c r="P426" s="184" t="inlineStr">
        <is>
          <t>Kab. Bandung</t>
        </is>
      </c>
      <c r="Q426" s="184" t="inlineStr">
        <is>
          <t>Website</t>
        </is>
      </c>
      <c r="R426" s="131" t="inlineStr">
        <is>
          <t>https://sirekonpajak.bandungkab.go.id/</t>
        </is>
      </c>
      <c r="S426" s="184" t="inlineStr">
        <is>
          <t>Secara Online</t>
        </is>
      </c>
      <c r="T426" s="184" t="inlineStr">
        <is>
          <t>Informasi</t>
        </is>
      </c>
      <c r="U426" s="184" t="n">
        <v>2022</v>
      </c>
      <c r="V426" s="184" t="inlineStr">
        <is>
          <t>Aktif</t>
        </is>
      </c>
      <c r="W426" s="184" t="inlineStr">
        <is>
          <t>Ya</t>
        </is>
      </c>
      <c r="X426" s="288" t="n"/>
      <c r="Y426" s="184" t="inlineStr">
        <is>
          <t>Web Service</t>
        </is>
      </c>
      <c r="Z426" s="184" t="inlineStr">
        <is>
          <t>Bulanan</t>
        </is>
      </c>
      <c r="AA426" s="184" t="inlineStr">
        <is>
          <t>Bagian Keuangan</t>
        </is>
      </c>
      <c r="AB426" s="184" t="inlineStr">
        <is>
          <t>BKAD</t>
        </is>
      </c>
      <c r="AC426" s="67" t="inlineStr">
        <is>
          <t>Diyan</t>
        </is>
      </c>
      <c r="AD426" s="77" t="n">
        <v>89662485426</v>
      </c>
      <c r="AE426" s="288" t="n"/>
      <c r="AF426" s="288" t="n"/>
      <c r="AG426" s="184" t="inlineStr">
        <is>
          <t>Bulanan</t>
        </is>
      </c>
      <c r="AH426" s="284" t="n"/>
      <c r="AI426" s="284" t="n"/>
      <c r="AJ426" s="284" t="n"/>
      <c r="AK426" s="284" t="n"/>
      <c r="AL426" s="284" t="n"/>
      <c r="AM426" s="284" t="n"/>
      <c r="AN426" s="284" t="n"/>
      <c r="AO426" s="284" t="n"/>
      <c r="AP426" s="284" t="n"/>
      <c r="AQ426" s="284" t="n"/>
      <c r="AR426" s="284" t="n"/>
      <c r="AS426" s="284" t="n"/>
    </row>
    <row r="427">
      <c r="A427" s="182" t="n">
        <v>14</v>
      </c>
      <c r="B427" s="184" t="inlineStr">
        <is>
          <t>Layanan Informasi Tuberkulosis (SITB)</t>
        </is>
      </c>
      <c r="C427" t="inlineStr">
        <is>
          <t>RSUD BEDAS CIMAUNG</t>
        </is>
      </c>
      <c r="D427" s="184"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427" s="184"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427" s="131" t="inlineStr">
        <is>
          <t>https://drive.google.com/drive/folders/1MppwIbicgeJnTSmBS08CzfVFAUOfmdja?usp=sharing</t>
        </is>
      </c>
      <c r="G427" s="184" t="inlineStr">
        <is>
          <t>PENGELOLAAN PELAYANAN KESEHATAN</t>
        </is>
      </c>
      <c r="H427" s="184" t="inlineStr">
        <is>
          <t>Masyarakat</t>
        </is>
      </c>
      <c r="I427" s="184" t="inlineStr">
        <is>
          <t>Identitas pasien, data klinis dan faktor risiko, data pemeriksaan diagnostik (mikroskopis sputum, Tes Cepat Molekuler (TCM), kultur, dan uji kepekaan obat), data pengobatan pasien TB, pemantauan dan evaluasi pengobatan.</t>
        </is>
      </c>
      <c r="J427" s="178" t="inlineStr">
        <is>
          <t>Data jumlah kasus TB yang terlaporkan (distribusi kasus berdasarkan umur, jenis kelamin, wilayah, serta jenis TB ), data hasil pemeriksaan diagnostik, data pemantauan dan data hasil indikator kinerja program TB.</t>
        </is>
      </c>
      <c r="K427" s="184" t="inlineStr">
        <is>
          <t>Terbatas</t>
        </is>
      </c>
      <c r="L427" s="184" t="inlineStr">
        <is>
          <t>Terdapat</t>
        </is>
      </c>
      <c r="M427" s="184" t="inlineStr">
        <is>
          <t>Lainnya</t>
        </is>
      </c>
      <c r="N427" s="130" t="inlineStr">
        <is>
          <t>Sistem Informasi Tuberkulosis (SITB)</t>
        </is>
      </c>
      <c r="O427" s="184" t="inlineStr">
        <is>
          <t>Pusat</t>
        </is>
      </c>
      <c r="P427" s="184" t="inlineStr">
        <is>
          <t>Pusat</t>
        </is>
      </c>
      <c r="Q427" s="184" t="inlineStr">
        <is>
          <t>Website dan Mobile</t>
        </is>
      </c>
      <c r="R427" s="131" t="inlineStr">
        <is>
          <t>http://dkijabarbanten.sitb.id/</t>
        </is>
      </c>
      <c r="S427" s="184" t="inlineStr">
        <is>
          <t>Secara Online</t>
        </is>
      </c>
      <c r="T427" s="184" t="inlineStr">
        <is>
          <t>Informasi</t>
        </is>
      </c>
      <c r="U427" s="184" t="n">
        <v>2018</v>
      </c>
      <c r="V427" s="184" t="inlineStr">
        <is>
          <t>Aktif</t>
        </is>
      </c>
      <c r="W427" s="184" t="inlineStr">
        <is>
          <t>Ya</t>
        </is>
      </c>
      <c r="X427" s="184" t="inlineStr">
        <is>
          <t>SATUSEHAT Platform, Sistem Informasi HIV/AIDS dan IMS (SIHA), Sistem Informasi Manajemen Rumah Sakit (SIMRS) dan Sistem Kewaspadaan Dini dan Respons (SKDR).</t>
        </is>
      </c>
      <c r="Y427" s="184" t="inlineStr">
        <is>
          <t>API</t>
        </is>
      </c>
      <c r="Z427" s="184" t="inlineStr">
        <is>
          <t>Realtime</t>
        </is>
      </c>
      <c r="AA427" s="184" t="inlineStr">
        <is>
          <t>Bidang Pelayanan Medis</t>
        </is>
      </c>
      <c r="AB427" s="184" t="inlineStr">
        <is>
          <t>Dinkes</t>
        </is>
      </c>
      <c r="AC427" s="67" t="inlineStr">
        <is>
          <t>Triyani tungga</t>
        </is>
      </c>
      <c r="AD427" s="77" t="n">
        <v>81222725249</v>
      </c>
      <c r="AE427" s="288" t="n"/>
      <c r="AF427" s="288" t="n"/>
      <c r="AG427" s="184" t="inlineStr">
        <is>
          <t>Insidentil</t>
        </is>
      </c>
      <c r="AH427" s="284" t="n"/>
      <c r="AI427" s="284" t="n"/>
      <c r="AJ427" s="284" t="n"/>
      <c r="AK427" s="284" t="n"/>
      <c r="AL427" s="284" t="n"/>
      <c r="AM427" s="284" t="n"/>
      <c r="AN427" s="284" t="n"/>
      <c r="AO427" s="284" t="n"/>
      <c r="AP427" s="284" t="n"/>
      <c r="AQ427" s="284" t="n"/>
      <c r="AR427" s="284" t="n"/>
      <c r="AS427" s="284" t="n"/>
    </row>
    <row r="428">
      <c r="A428" s="182" t="n">
        <v>15</v>
      </c>
      <c r="B428" s="184" t="inlineStr">
        <is>
          <t>Layanan administrasi kepegawaian</t>
        </is>
      </c>
      <c r="C428" t="inlineStr">
        <is>
          <t>RSUD BEDAS CIMAUNG</t>
        </is>
      </c>
      <c r="D428" s="184" t="inlineStr">
        <is>
          <t>Sistem informasi kepegawaian ASN Kabupaten Bandung. Fungsi nya untuk layanan administrasi kepegawaian ASN, mulai dari kenaikan pangkat, kenaikan gaji berkala, cuti, pensiun, ijin belajar dll</t>
        </is>
      </c>
      <c r="E428" s="184" t="inlineStr">
        <is>
          <t>Undang Undang Nomor 20 Tahun 2023 ttg ASN</t>
        </is>
      </c>
      <c r="F428" s="288" t="n"/>
      <c r="G428" s="184" t="inlineStr">
        <is>
          <t>PENATAAN SUMBER DAYA MANUSIA APARATUR</t>
        </is>
      </c>
      <c r="H428" s="184" t="inlineStr">
        <is>
          <t>Pegawai</t>
        </is>
      </c>
      <c r="I428" s="184" t="inlineStr">
        <is>
          <t>data kepegawaian</t>
        </is>
      </c>
      <c r="J428" s="178" t="inlineStr">
        <is>
          <t>layanan administrasi kepegawaian</t>
        </is>
      </c>
      <c r="K428" s="184" t="inlineStr">
        <is>
          <t>Terbatas</t>
        </is>
      </c>
      <c r="L428" s="184" t="inlineStr">
        <is>
          <t>Terdapat</t>
        </is>
      </c>
      <c r="M428" s="184" t="inlineStr">
        <is>
          <t>Bulanan</t>
        </is>
      </c>
      <c r="N428" s="130" t="inlineStr">
        <is>
          <t>simpel bkpsdm</t>
        </is>
      </c>
      <c r="O428" s="184" t="inlineStr">
        <is>
          <t>OPD</t>
        </is>
      </c>
      <c r="P428" s="184" t="inlineStr">
        <is>
          <t>Kab. Bandung</t>
        </is>
      </c>
      <c r="Q428" s="184" t="inlineStr">
        <is>
          <t>Website</t>
        </is>
      </c>
      <c r="R428" s="131" t="inlineStr">
        <is>
          <t>simpelbkpsdm.bandungkab.go.id</t>
        </is>
      </c>
      <c r="S428" s="184" t="inlineStr">
        <is>
          <t>Secara Online</t>
        </is>
      </c>
      <c r="T428" s="184" t="inlineStr">
        <is>
          <t>Informasi</t>
        </is>
      </c>
      <c r="U428" s="184" t="n">
        <v>2018</v>
      </c>
      <c r="V428" s="184" t="inlineStr">
        <is>
          <t>Aktif</t>
        </is>
      </c>
      <c r="W428" s="184" t="inlineStr">
        <is>
          <t>Ya</t>
        </is>
      </c>
      <c r="X428" s="184" t="inlineStr">
        <is>
          <t>SIASN</t>
        </is>
      </c>
      <c r="Y428" s="184" t="inlineStr">
        <is>
          <t>Database to Database</t>
        </is>
      </c>
      <c r="Z428" s="184" t="inlineStr">
        <is>
          <t>Lainnya</t>
        </is>
      </c>
      <c r="AA428" s="184" t="inlineStr">
        <is>
          <t>Bagian Umum dan Kepegawaian</t>
        </is>
      </c>
      <c r="AB428" s="184" t="inlineStr">
        <is>
          <t>BKPSDM</t>
        </is>
      </c>
      <c r="AC428" s="67" t="inlineStr">
        <is>
          <t>Turiman</t>
        </is>
      </c>
      <c r="AD428" s="77" t="n">
        <v>81322123575</v>
      </c>
      <c r="AE428" s="288" t="n"/>
      <c r="AF428" s="288" t="n"/>
      <c r="AG428" s="184" t="inlineStr">
        <is>
          <t>Harian</t>
        </is>
      </c>
      <c r="AH428" s="284" t="n"/>
      <c r="AI428" s="284" t="n"/>
      <c r="AJ428" s="284" t="n"/>
      <c r="AK428" s="284" t="n"/>
      <c r="AL428" s="284" t="n"/>
      <c r="AM428" s="284" t="n"/>
      <c r="AN428" s="284" t="n"/>
      <c r="AO428" s="284" t="n"/>
      <c r="AP428" s="284" t="n"/>
      <c r="AQ428" s="284" t="n"/>
      <c r="AR428" s="284" t="n"/>
      <c r="AS428" s="284" t="n"/>
    </row>
    <row r="429">
      <c r="A429" s="182" t="n">
        <v>16</v>
      </c>
      <c r="B429" s="184" t="inlineStr">
        <is>
          <t>Layanan Daftar Hadir Eletronik</t>
        </is>
      </c>
      <c r="C429" t="inlineStr">
        <is>
          <t>RSUD BEDAS CIMAUNG</t>
        </is>
      </c>
      <c r="D429" s="184" t="inlineStr">
        <is>
          <t>Layanan presensi kehadiran ASN</t>
        </is>
      </c>
      <c r="E429" s="184" t="inlineStr">
        <is>
          <t>Undang Undang Nomor 20 Tahun 2023 ttg ASN</t>
        </is>
      </c>
      <c r="F429" s="288" t="n"/>
      <c r="G429" s="184" t="inlineStr">
        <is>
          <t>PENATAAN SUMBER DAYA MANUSIA APARATUR</t>
        </is>
      </c>
      <c r="H429" s="184" t="inlineStr">
        <is>
          <t>Pegawai</t>
        </is>
      </c>
      <c r="I429" s="184" t="inlineStr">
        <is>
          <t>Kehadiran ASN</t>
        </is>
      </c>
      <c r="J429" s="178" t="inlineStr">
        <is>
          <t>Kehadiran ASN</t>
        </is>
      </c>
      <c r="K429" s="184" t="inlineStr">
        <is>
          <t>Terbatas</t>
        </is>
      </c>
      <c r="L429" s="184" t="inlineStr">
        <is>
          <t>Terdapat</t>
        </is>
      </c>
      <c r="M429" s="184" t="inlineStr">
        <is>
          <t>Harian</t>
        </is>
      </c>
      <c r="N429" s="130" t="inlineStr">
        <is>
          <t>DHE</t>
        </is>
      </c>
      <c r="O429" s="184" t="inlineStr">
        <is>
          <t>OPD</t>
        </is>
      </c>
      <c r="P429" s="184" t="inlineStr">
        <is>
          <t>Kab. Bandung</t>
        </is>
      </c>
      <c r="Q429" s="184" t="inlineStr">
        <is>
          <t>Mobile</t>
        </is>
      </c>
      <c r="R429" s="220" t="inlineStr">
        <is>
          <t>DHE</t>
        </is>
      </c>
      <c r="S429" s="184" t="inlineStr">
        <is>
          <t>Secara Online</t>
        </is>
      </c>
      <c r="T429" s="184" t="inlineStr">
        <is>
          <t>Informasi</t>
        </is>
      </c>
      <c r="U429" s="288" t="n"/>
      <c r="V429" s="184" t="inlineStr">
        <is>
          <t>Aktif</t>
        </is>
      </c>
      <c r="W429" s="184" t="inlineStr">
        <is>
          <t>Ya</t>
        </is>
      </c>
      <c r="X429" s="184" t="inlineStr">
        <is>
          <t>e-absensi, sasikap</t>
        </is>
      </c>
      <c r="Y429" s="184" t="inlineStr">
        <is>
          <t>Web Service</t>
        </is>
      </c>
      <c r="Z429" s="184" t="inlineStr">
        <is>
          <t>Harian</t>
        </is>
      </c>
      <c r="AA429" s="184" t="inlineStr">
        <is>
          <t>Bagian Umum dan Kepegawaian</t>
        </is>
      </c>
      <c r="AB429" s="184" t="inlineStr">
        <is>
          <t>Diskominfo</t>
        </is>
      </c>
      <c r="AC429" s="67" t="inlineStr">
        <is>
          <t>Turiman</t>
        </is>
      </c>
      <c r="AD429" s="77" t="n">
        <v>81322123575</v>
      </c>
      <c r="AE429" s="288" t="n"/>
      <c r="AF429" s="288" t="n"/>
      <c r="AG429" s="184" t="inlineStr">
        <is>
          <t>Harian</t>
        </is>
      </c>
      <c r="AH429" s="284" t="n"/>
      <c r="AI429" s="284" t="n"/>
      <c r="AJ429" s="284" t="n"/>
      <c r="AK429" s="284" t="n"/>
      <c r="AL429" s="284" t="n"/>
      <c r="AM429" s="284" t="n"/>
      <c r="AN429" s="284" t="n"/>
      <c r="AO429" s="284" t="n"/>
      <c r="AP429" s="284" t="n"/>
      <c r="AQ429" s="284" t="n"/>
      <c r="AR429" s="284" t="n"/>
      <c r="AS429" s="284" t="n"/>
    </row>
    <row r="430">
      <c r="A430" s="182" t="n">
        <v>17</v>
      </c>
      <c r="B430" s="184" t="inlineStr">
        <is>
          <t>Layanan surat menyurat elektronik</t>
        </is>
      </c>
      <c r="C430" t="inlineStr">
        <is>
          <t>RSUD BEDAS CIMAUNG</t>
        </is>
      </c>
      <c r="D430" s="184" t="inlineStr">
        <is>
          <t>Layanan surat menyurat</t>
        </is>
      </c>
      <c r="E430" s="288" t="n"/>
      <c r="F430" s="288" t="n"/>
      <c r="G430" s="184" t="inlineStr">
        <is>
          <t>PENATAAN SISTEM KELEMBAGAAN</t>
        </is>
      </c>
      <c r="H430" s="184" t="inlineStr">
        <is>
          <t>Pegawai</t>
        </is>
      </c>
      <c r="I430" s="184" t="inlineStr">
        <is>
          <t>surat dinas</t>
        </is>
      </c>
      <c r="J430" s="178" t="inlineStr">
        <is>
          <t>surat dinas</t>
        </is>
      </c>
      <c r="K430" s="184" t="inlineStr">
        <is>
          <t>Terbatas</t>
        </is>
      </c>
      <c r="L430" s="184" t="inlineStr">
        <is>
          <t>Tidak terdapat</t>
        </is>
      </c>
      <c r="M430" s="184" t="inlineStr">
        <is>
          <t>Harian</t>
        </is>
      </c>
      <c r="N430" s="130" t="inlineStr">
        <is>
          <t>Sultan</t>
        </is>
      </c>
      <c r="O430" s="184" t="inlineStr">
        <is>
          <t>OPD</t>
        </is>
      </c>
      <c r="P430" s="184" t="inlineStr">
        <is>
          <t>Kab. Bandung</t>
        </is>
      </c>
      <c r="Q430" s="184" t="inlineStr">
        <is>
          <t>Website dan Mobile</t>
        </is>
      </c>
      <c r="R430" s="131" t="inlineStr">
        <is>
          <t>sultan.banadungkab.go.id</t>
        </is>
      </c>
      <c r="S430" s="184" t="inlineStr">
        <is>
          <t>Secara Online</t>
        </is>
      </c>
      <c r="T430" s="184" t="inlineStr">
        <is>
          <t>Informasi</t>
        </is>
      </c>
      <c r="U430" s="288" t="n"/>
      <c r="V430" s="184" t="inlineStr">
        <is>
          <t>Aktif</t>
        </is>
      </c>
      <c r="W430" s="184" t="inlineStr">
        <is>
          <t>Tidak</t>
        </is>
      </c>
      <c r="X430" s="184" t="inlineStr">
        <is>
          <t>tidak terintegrasi</t>
        </is>
      </c>
      <c r="Y430" s="184" t="inlineStr">
        <is>
          <t>Tidak Terintegrasi</t>
        </is>
      </c>
      <c r="Z430" s="184" t="inlineStr">
        <is>
          <t>Tidak Terintegrasi</t>
        </is>
      </c>
      <c r="AA430" s="184" t="inlineStr">
        <is>
          <t>semua bidang/bagian</t>
        </is>
      </c>
      <c r="AB430" s="184" t="inlineStr">
        <is>
          <t>Diskominfo</t>
        </is>
      </c>
      <c r="AC430" s="67" t="inlineStr">
        <is>
          <t>Turiman</t>
        </is>
      </c>
      <c r="AD430" s="77" t="n">
        <v>81322123575</v>
      </c>
      <c r="AE430" s="288" t="n"/>
      <c r="AF430" s="288" t="n"/>
      <c r="AG430" s="184" t="inlineStr">
        <is>
          <t>Harian</t>
        </is>
      </c>
      <c r="AH430" s="284" t="n"/>
      <c r="AI430" s="284" t="n"/>
      <c r="AJ430" s="284" t="n"/>
      <c r="AK430" s="284" t="n"/>
      <c r="AL430" s="284" t="n"/>
      <c r="AM430" s="284" t="n"/>
      <c r="AN430" s="284" t="n"/>
      <c r="AO430" s="284" t="n"/>
      <c r="AP430" s="284" t="n"/>
      <c r="AQ430" s="284" t="n"/>
      <c r="AR430" s="284" t="n"/>
      <c r="AS430" s="284" t="n"/>
    </row>
    <row r="431">
      <c r="A431" s="182" t="n">
        <v>18</v>
      </c>
      <c r="B431" s="184" t="inlineStr">
        <is>
          <t>Laporan aktivitas harian ASN</t>
        </is>
      </c>
      <c r="C431" t="inlineStr">
        <is>
          <t>RSUD BEDAS CIMAUNG</t>
        </is>
      </c>
      <c r="D431" s="184" t="inlineStr">
        <is>
          <t>Laporan aktivitas harian ASN</t>
        </is>
      </c>
      <c r="E431" s="184" t="inlineStr">
        <is>
          <t>Undang Undang Nomor 20 Tahun 2023 ttg ASN</t>
        </is>
      </c>
      <c r="F431" s="288" t="n"/>
      <c r="G431" s="184" t="inlineStr">
        <is>
          <t>PENATAAN SUMBER DAYA MANUSIA APARATUR</t>
        </is>
      </c>
      <c r="H431" s="184" t="inlineStr">
        <is>
          <t>Pegawai</t>
        </is>
      </c>
      <c r="I431" s="184" t="inlineStr">
        <is>
          <t>aktivitas ASN</t>
        </is>
      </c>
      <c r="J431" s="178" t="inlineStr">
        <is>
          <t>aktivitas ASN</t>
        </is>
      </c>
      <c r="K431" s="184" t="inlineStr">
        <is>
          <t>Terbatas</t>
        </is>
      </c>
      <c r="L431" s="184" t="inlineStr">
        <is>
          <t>Tidak terdapat</t>
        </is>
      </c>
      <c r="M431" s="184" t="inlineStr">
        <is>
          <t>Harian</t>
        </is>
      </c>
      <c r="N431" s="130" t="inlineStr">
        <is>
          <t>SASIKAP</t>
        </is>
      </c>
      <c r="O431" s="184" t="inlineStr">
        <is>
          <t>Diskominfo</t>
        </is>
      </c>
      <c r="P431" s="184" t="inlineStr">
        <is>
          <t>Kab. Bandung</t>
        </is>
      </c>
      <c r="Q431" s="184" t="inlineStr">
        <is>
          <t>Website dan Mobile</t>
        </is>
      </c>
      <c r="R431" s="131" t="inlineStr">
        <is>
          <t>sso.bandungkab.go.id</t>
        </is>
      </c>
      <c r="S431" s="184" t="inlineStr">
        <is>
          <t>Secara Online</t>
        </is>
      </c>
      <c r="T431" s="184" t="inlineStr">
        <is>
          <t>Informasi</t>
        </is>
      </c>
      <c r="U431" s="288" t="n"/>
      <c r="V431" s="184" t="inlineStr">
        <is>
          <t>Aktif</t>
        </is>
      </c>
      <c r="W431" s="184" t="inlineStr">
        <is>
          <t>Ya</t>
        </is>
      </c>
      <c r="X431" s="184" t="inlineStr">
        <is>
          <t>e-absensi, DHE</t>
        </is>
      </c>
      <c r="Y431" s="184" t="inlineStr">
        <is>
          <t>Web Service</t>
        </is>
      </c>
      <c r="Z431" s="184" t="inlineStr">
        <is>
          <t>Realtime</t>
        </is>
      </c>
      <c r="AA431" s="184" t="inlineStr">
        <is>
          <t>semua bidang/bagian</t>
        </is>
      </c>
      <c r="AB431" s="184" t="inlineStr">
        <is>
          <t>BKPSDM</t>
        </is>
      </c>
      <c r="AC431" s="67" t="inlineStr">
        <is>
          <t>Turiman</t>
        </is>
      </c>
      <c r="AD431" s="77" t="n">
        <v>81322123575</v>
      </c>
      <c r="AE431" s="288" t="n"/>
      <c r="AF431" s="288" t="n"/>
      <c r="AG431" s="184" t="inlineStr">
        <is>
          <t>Harian</t>
        </is>
      </c>
      <c r="AH431" s="284" t="n"/>
      <c r="AI431" s="284" t="n"/>
      <c r="AJ431" s="284" t="n"/>
      <c r="AK431" s="284" t="n"/>
      <c r="AL431" s="284" t="n"/>
      <c r="AM431" s="284" t="n"/>
      <c r="AN431" s="284" t="n"/>
      <c r="AO431" s="284" t="n"/>
      <c r="AP431" s="284" t="n"/>
      <c r="AQ431" s="284" t="n"/>
      <c r="AR431" s="284" t="n"/>
      <c r="AS431" s="284" t="n"/>
    </row>
    <row r="432">
      <c r="A432" s="182" t="n">
        <v>19</v>
      </c>
      <c r="B432" s="184" t="inlineStr">
        <is>
          <t>Layanan informasi tenaga kesehatan</t>
        </is>
      </c>
      <c r="C432" t="inlineStr">
        <is>
          <t>RSUD BEDAS CIMAUNG</t>
        </is>
      </c>
      <c r="D432" s="184" t="inlineStr">
        <is>
          <t>database tenaga kesehatan</t>
        </is>
      </c>
      <c r="E432" s="184" t="inlineStr">
        <is>
          <t>Undang-undang np 17 Tahun 2023 ttg kesehatn</t>
        </is>
      </c>
      <c r="F432" s="288" t="n"/>
      <c r="G432" s="184" t="inlineStr">
        <is>
          <t>PENGEMBANGAN DAN PEMBERDAYAAN SUMBER DAYA MANUSIA KESEHATAN</t>
        </is>
      </c>
      <c r="H432" s="184" t="inlineStr">
        <is>
          <t>Pegawai</t>
        </is>
      </c>
      <c r="I432" s="184" t="inlineStr">
        <is>
          <t>database tenaga kesehatan</t>
        </is>
      </c>
      <c r="J432" s="184" t="inlineStr">
        <is>
          <t>database tenaga kesehatan</t>
        </is>
      </c>
      <c r="K432" s="184" t="inlineStr">
        <is>
          <t>Terbatas</t>
        </is>
      </c>
      <c r="L432" s="184" t="inlineStr">
        <is>
          <t>Terdapat</t>
        </is>
      </c>
      <c r="M432" s="184" t="inlineStr">
        <is>
          <t>Harian</t>
        </is>
      </c>
      <c r="N432" s="130" t="inlineStr">
        <is>
          <t>SISDMK</t>
        </is>
      </c>
      <c r="O432" s="184" t="inlineStr">
        <is>
          <t>Pusat</t>
        </is>
      </c>
      <c r="P432" s="184" t="inlineStr">
        <is>
          <t>Pusat</t>
        </is>
      </c>
      <c r="Q432" s="184" t="inlineStr">
        <is>
          <t>Website dan Mobile</t>
        </is>
      </c>
      <c r="R432" s="131" t="inlineStr">
        <is>
          <t>sisdmk.kemkes.go.id</t>
        </is>
      </c>
      <c r="S432" s="184" t="inlineStr">
        <is>
          <t>Secara Online</t>
        </is>
      </c>
      <c r="T432" s="184" t="inlineStr">
        <is>
          <t>Informasi</t>
        </is>
      </c>
      <c r="U432" s="288" t="n"/>
      <c r="V432" s="184" t="inlineStr">
        <is>
          <t>Aktif</t>
        </is>
      </c>
      <c r="W432" s="184" t="inlineStr">
        <is>
          <t>Ya</t>
        </is>
      </c>
      <c r="X432" s="288" t="n"/>
      <c r="Y432" s="184" t="inlineStr">
        <is>
          <t>Web Service</t>
        </is>
      </c>
      <c r="Z432" s="184" t="inlineStr">
        <is>
          <t>Realtime</t>
        </is>
      </c>
      <c r="AA432" s="184" t="inlineStr">
        <is>
          <t>semua bidang/bagian</t>
        </is>
      </c>
      <c r="AB432" s="184" t="inlineStr">
        <is>
          <t>Dinkes</t>
        </is>
      </c>
      <c r="AC432" s="67" t="inlineStr">
        <is>
          <t>Riyanti</t>
        </is>
      </c>
      <c r="AD432" s="77" t="n">
        <v>82120138210</v>
      </c>
      <c r="AE432" s="288" t="n"/>
      <c r="AF432" s="288" t="n"/>
      <c r="AG432" s="184" t="inlineStr">
        <is>
          <t>Setiap Saat</t>
        </is>
      </c>
      <c r="AH432" s="284" t="n"/>
      <c r="AI432" s="284" t="n"/>
      <c r="AJ432" s="284" t="n"/>
      <c r="AK432" s="284" t="n"/>
      <c r="AL432" s="284" t="n"/>
      <c r="AM432" s="284" t="n"/>
      <c r="AN432" s="284" t="n"/>
      <c r="AO432" s="284" t="n"/>
      <c r="AP432" s="284" t="n"/>
      <c r="AQ432" s="284" t="n"/>
      <c r="AR432" s="284" t="n"/>
      <c r="AS432" s="284" t="n"/>
    </row>
    <row r="433">
      <c r="A433" s="182" t="n">
        <v>20</v>
      </c>
      <c r="B433" s="184" t="inlineStr">
        <is>
          <t>Layanan pelaporan pelayanan kesehatan</t>
        </is>
      </c>
      <c r="C433" t="inlineStr">
        <is>
          <t>RSUD BEDAS CIMAUNG</t>
        </is>
      </c>
      <c r="D433" s="176" t="inlineStr">
        <is>
          <t>Pelaporan pelayanan kesehatan mencakup Data dasar RS, Profil, Update tempat tidur, Laporan KLB/Pandemi, Kompetensi RS, Rekapitulasi Laporan</t>
        </is>
      </c>
      <c r="E433" s="184" t="inlineStr">
        <is>
          <t>Direktorat Jenderal Kesehatan Lanjutan Kemenkes</t>
        </is>
      </c>
      <c r="F433" s="131" t="inlineStr">
        <is>
          <t>sirs.kemkes.go.id</t>
        </is>
      </c>
      <c r="G433" s="184" t="inlineStr">
        <is>
          <t>PENGELOLAAN PELAYANAN KESEHATAN</t>
        </is>
      </c>
      <c r="H433" s="184" t="inlineStr">
        <is>
          <t>Instansi Pemerintah Lainnya</t>
        </is>
      </c>
      <c r="I433" s="184" t="inlineStr">
        <is>
          <t>Data dasar RS, Profil, Update tempat tidur, Laporan KLB/Pandemi, Kompetensi RS, Rekapitulasi Laporan</t>
        </is>
      </c>
      <c r="J433" s="178" t="inlineStr">
        <is>
          <t>Laporan Updating</t>
        </is>
      </c>
      <c r="K433" s="184" t="inlineStr">
        <is>
          <t>Terbatas</t>
        </is>
      </c>
      <c r="L433" s="184" t="inlineStr">
        <is>
          <t>Tidak terdapat</t>
        </is>
      </c>
      <c r="M433" s="184" t="inlineStr">
        <is>
          <t>Harian</t>
        </is>
      </c>
      <c r="N433" s="97" t="inlineStr">
        <is>
          <t>RS Online</t>
        </is>
      </c>
      <c r="O433" s="184" t="inlineStr">
        <is>
          <t>Pusat</t>
        </is>
      </c>
      <c r="P433" s="184" t="inlineStr">
        <is>
          <t>Pusat</t>
        </is>
      </c>
      <c r="Q433" s="67" t="inlineStr">
        <is>
          <t>Website</t>
        </is>
      </c>
      <c r="R433" s="75" t="inlineStr">
        <is>
          <t>SIRS.KEMKES.GO.ID</t>
        </is>
      </c>
      <c r="S433" s="184" t="inlineStr">
        <is>
          <t>Secara Online</t>
        </is>
      </c>
      <c r="T433" s="184" t="inlineStr">
        <is>
          <t>Informasi</t>
        </is>
      </c>
      <c r="U433" s="288" t="n"/>
      <c r="V433" s="184" t="inlineStr">
        <is>
          <t>Aktif</t>
        </is>
      </c>
      <c r="W433" s="184" t="inlineStr">
        <is>
          <t>Ya</t>
        </is>
      </c>
      <c r="X433" s="184" t="inlineStr">
        <is>
          <t>tidak Terintegrasi</t>
        </is>
      </c>
      <c r="Y433" s="184" t="inlineStr">
        <is>
          <t>Tidak Terintegrasi</t>
        </is>
      </c>
      <c r="Z433" s="184" t="inlineStr">
        <is>
          <t>Realtime</t>
        </is>
      </c>
      <c r="AA433" s="184" t="inlineStr">
        <is>
          <t>Bidang Penunjang Medik dan Pelayanan Medik</t>
        </is>
      </c>
      <c r="AB433" s="184" t="inlineStr">
        <is>
          <t>Dinkes</t>
        </is>
      </c>
      <c r="AC433" s="67" t="inlineStr">
        <is>
          <t>Riyanti</t>
        </is>
      </c>
      <c r="AD433" s="77" t="n">
        <v>82120138210</v>
      </c>
      <c r="AE433" s="288" t="n"/>
      <c r="AF433" s="288" t="n"/>
      <c r="AG433" s="184" t="inlineStr">
        <is>
          <t>Setiap Saat</t>
        </is>
      </c>
      <c r="AH433" s="284" t="n"/>
      <c r="AI433" s="284" t="n"/>
      <c r="AJ433" s="284" t="n"/>
      <c r="AK433" s="284" t="n"/>
      <c r="AL433" s="284" t="n"/>
      <c r="AM433" s="284" t="n"/>
      <c r="AN433" s="284" t="n"/>
      <c r="AO433" s="284" t="n"/>
      <c r="AP433" s="284" t="n"/>
      <c r="AQ433" s="284" t="n"/>
      <c r="AR433" s="284" t="n"/>
      <c r="AS433" s="284" t="n"/>
    </row>
    <row r="434">
      <c r="A434" s="182" t="n">
        <v>21</v>
      </c>
      <c r="B434" s="184" t="inlineStr">
        <is>
          <t>Layanan pelaporan kinerja</t>
        </is>
      </c>
      <c r="C434" t="inlineStr">
        <is>
          <t>RSUD BEDAS CIMAUNG</t>
        </is>
      </c>
      <c r="D434" s="221"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434"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434" s="288" t="n"/>
      <c r="G434" s="184" t="inlineStr">
        <is>
          <t>PENINGKATAN KUALITAS REFORMASI BIROKRASI, PENGAWASAN, DAN AKUNTABILITAS KINERJA</t>
        </is>
      </c>
      <c r="H434" s="184" t="inlineStr">
        <is>
          <t>Instansi Pemerintah Lainnya</t>
        </is>
      </c>
      <c r="I434" s="184" t="inlineStr">
        <is>
          <t>Data Capaian Kinerja Program dan Kegiatan, Indikator
 Data Capaian Pelaksanaan Anggaran dan Belanja
 Narasi Permasalahan dan Solusi
 Tindak lanjut Reomendasi DPRD
 Data Dukung Capaian Kinerja Berupa Penghargaan</t>
        </is>
      </c>
      <c r="J434" s="222" t="inlineStr">
        <is>
          <t>Dokumen digital yang terstruktur dan tervalidasi yang nantinya dicetak atau disampaikan secara elektronik sebagai bentuk pertanggungjawaban Kepala Daerah kepada DPRD.</t>
        </is>
      </c>
      <c r="K434" s="184" t="inlineStr">
        <is>
          <t>Terbuka</t>
        </is>
      </c>
      <c r="L434" s="184" t="inlineStr">
        <is>
          <t>Tidak terdapat</t>
        </is>
      </c>
      <c r="M434" s="184" t="inlineStr">
        <is>
          <t>Tahunan</t>
        </is>
      </c>
      <c r="N434" s="130" t="inlineStr">
        <is>
          <t>E-LKPJ</t>
        </is>
      </c>
      <c r="O434" s="184" t="inlineStr">
        <is>
          <t>OPD</t>
        </is>
      </c>
      <c r="P434" s="184" t="inlineStr">
        <is>
          <t>Kab. Bandung</t>
        </is>
      </c>
      <c r="Q434" s="184" t="inlineStr">
        <is>
          <t>Website</t>
        </is>
      </c>
      <c r="R434" s="131" t="inlineStr">
        <is>
          <t>https://e-lkpj.id/login</t>
        </is>
      </c>
      <c r="S434" s="184" t="inlineStr">
        <is>
          <t>Secara Online</t>
        </is>
      </c>
      <c r="T434" s="184" t="inlineStr">
        <is>
          <t>Informasi</t>
        </is>
      </c>
      <c r="U434" s="288" t="n"/>
      <c r="V434" s="184" t="inlineStr">
        <is>
          <t>Aktif</t>
        </is>
      </c>
      <c r="W434" s="184" t="inlineStr">
        <is>
          <t>Ya</t>
        </is>
      </c>
      <c r="X434" s="184" t="inlineStr">
        <is>
          <t>SIDALMONEP</t>
        </is>
      </c>
      <c r="Y434" s="288" t="n"/>
      <c r="Z434" s="288" t="n"/>
      <c r="AA434" s="184" t="inlineStr">
        <is>
          <t>Bagian Perencanaan dan Kehumasan</t>
        </is>
      </c>
      <c r="AB434" s="184" t="inlineStr">
        <is>
          <t>Setda</t>
        </is>
      </c>
      <c r="AC434" s="67" t="inlineStr">
        <is>
          <t>Juang Rizki</t>
        </is>
      </c>
      <c r="AD434" s="77" t="n">
        <v>81261858201</v>
      </c>
      <c r="AE434" s="288" t="n"/>
      <c r="AF434" s="288" t="n"/>
      <c r="AG434" s="184" t="inlineStr">
        <is>
          <t>Tahunan</t>
        </is>
      </c>
      <c r="AH434" s="284" t="n"/>
      <c r="AI434" s="284" t="n"/>
      <c r="AJ434" s="284" t="n"/>
      <c r="AK434" s="284" t="n"/>
      <c r="AL434" s="284" t="n"/>
      <c r="AM434" s="284" t="n"/>
      <c r="AN434" s="284" t="n"/>
      <c r="AO434" s="284" t="n"/>
      <c r="AP434" s="284" t="n"/>
      <c r="AQ434" s="284" t="n"/>
      <c r="AR434" s="284" t="n"/>
      <c r="AS434" s="284" t="n"/>
    </row>
    <row r="435">
      <c r="A435" s="182" t="n">
        <v>22</v>
      </c>
      <c r="B435" s="184" t="inlineStr">
        <is>
          <t>Layanan monitoring dan evaluasi</t>
        </is>
      </c>
      <c r="C435" t="inlineStr">
        <is>
          <t>RSUD BEDAS CIMAUNG</t>
        </is>
      </c>
      <c r="D435" s="184"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435" s="184" t="inlineStr">
        <is>
          <t>Permendagri Nomor 86 Tahun 2017: Peraturan menteri ini merupakan dasar utama tentang Tata Cara Perencanaan, Pengendalian, dan Evaluasi Pembangunan Daerah</t>
        </is>
      </c>
      <c r="F435" s="288" t="n"/>
      <c r="G435" s="184" t="inlineStr">
        <is>
          <t>MONITORING DAN EVALUASI ANGGARAN</t>
        </is>
      </c>
      <c r="H435" s="184" t="inlineStr">
        <is>
          <t>Instansi Pemerintah Lainnya</t>
        </is>
      </c>
      <c r="I435" s="184"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435" s="184" t="inlineStr">
        <is>
          <t>Laporan Evaluasi RKPD, Rekapitulasi Capaian Kinerja Perangkat Daerah</t>
        </is>
      </c>
      <c r="K435" s="184" t="inlineStr">
        <is>
          <t>Terbuka</t>
        </is>
      </c>
      <c r="L435" s="184" t="inlineStr">
        <is>
          <t>Tidak terdapat</t>
        </is>
      </c>
      <c r="M435" s="184" t="inlineStr">
        <is>
          <t>Bulanan</t>
        </is>
      </c>
      <c r="N435" s="130" t="inlineStr">
        <is>
          <t>Sidalmonep</t>
        </is>
      </c>
      <c r="O435" s="184" t="inlineStr">
        <is>
          <t>OPD</t>
        </is>
      </c>
      <c r="P435" s="184" t="inlineStr">
        <is>
          <t>Kab. Bandung</t>
        </is>
      </c>
      <c r="Q435" s="184" t="inlineStr">
        <is>
          <t>Website</t>
        </is>
      </c>
      <c r="R435" s="131" t="inlineStr">
        <is>
          <t>https://sidalmonep.bandungkab.go.id/app</t>
        </is>
      </c>
      <c r="S435" s="184" t="inlineStr">
        <is>
          <t>Secara Online</t>
        </is>
      </c>
      <c r="T435" s="184" t="inlineStr">
        <is>
          <t>Informasi</t>
        </is>
      </c>
      <c r="U435" s="288" t="n"/>
      <c r="V435" s="184" t="inlineStr">
        <is>
          <t>Aktif</t>
        </is>
      </c>
      <c r="W435" s="184" t="inlineStr">
        <is>
          <t>Ya</t>
        </is>
      </c>
      <c r="X435" s="184" t="inlineStr">
        <is>
          <t>e-lkpj</t>
        </is>
      </c>
      <c r="Y435" s="288" t="n"/>
      <c r="Z435" s="288" t="n"/>
      <c r="AA435" s="184" t="inlineStr">
        <is>
          <t>Bagian Perencanaan dan Kehumasan</t>
        </is>
      </c>
      <c r="AB435" s="184" t="inlineStr">
        <is>
          <t>Bapperida</t>
        </is>
      </c>
      <c r="AC435" s="67" t="inlineStr">
        <is>
          <t>Juang Rizki</t>
        </is>
      </c>
      <c r="AD435" s="77" t="n">
        <v>81261858201</v>
      </c>
      <c r="AE435" s="288" t="n"/>
      <c r="AF435" s="288" t="n"/>
      <c r="AG435" s="184" t="inlineStr">
        <is>
          <t>Bulanan</t>
        </is>
      </c>
      <c r="AH435" s="284" t="n"/>
      <c r="AI435" s="284" t="n"/>
      <c r="AJ435" s="284" t="n"/>
      <c r="AK435" s="284" t="n"/>
      <c r="AL435" s="284" t="n"/>
      <c r="AM435" s="284" t="n"/>
      <c r="AN435" s="284" t="n"/>
      <c r="AO435" s="284" t="n"/>
      <c r="AP435" s="284" t="n"/>
      <c r="AQ435" s="284" t="n"/>
      <c r="AR435" s="284" t="n"/>
      <c r="AS435" s="284" t="n"/>
    </row>
    <row r="436">
      <c r="A436" s="182" t="n">
        <v>23</v>
      </c>
      <c r="B436" s="184" t="inlineStr">
        <is>
          <t>Layanan survey kepuasan masyarakat</t>
        </is>
      </c>
      <c r="C436" t="inlineStr">
        <is>
          <t>RSUD BEDAS CIMAUNG</t>
        </is>
      </c>
      <c r="D436" s="17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436" s="184" t="inlineStr">
        <is>
          <t>-Peraturan Pemerintah Nomor 96 Tahun 2012 tentang Pelaksanaan Undang-undang Nomor 25 Tahun 2009 tentang Pelayanan Publik
 -Peraturan Menteri PANRB No. 14 Tahun 2017 tentang Pedoman Penyusunan Survei Kepuasan Masyarakat (SKM)</t>
        </is>
      </c>
      <c r="F436" s="288" t="n"/>
      <c r="G436" s="184" t="inlineStr">
        <is>
          <t>INFORMASI DAN DIPLOMASI PUBLIK</t>
        </is>
      </c>
      <c r="H436" s="184" t="inlineStr">
        <is>
          <t>Masyarakat</t>
        </is>
      </c>
      <c r="I436" s="184" t="inlineStr">
        <is>
          <t>Hasil Responden Survey Kepuasan Masyarakat (SKM)</t>
        </is>
      </c>
      <c r="J436" s="178" t="inlineStr">
        <is>
          <t>Laporan dan Hasil rekapan SKM</t>
        </is>
      </c>
      <c r="K436" s="184" t="inlineStr">
        <is>
          <t>Terbuka</t>
        </is>
      </c>
      <c r="L436" s="184" t="inlineStr">
        <is>
          <t>Terdapat</t>
        </is>
      </c>
      <c r="M436" s="184" t="inlineStr">
        <is>
          <t>Bulanan</t>
        </is>
      </c>
      <c r="N436" s="130" t="inlineStr">
        <is>
          <t>E-SKM</t>
        </is>
      </c>
      <c r="O436" s="184" t="inlineStr">
        <is>
          <t>OPD</t>
        </is>
      </c>
      <c r="P436" s="184" t="inlineStr">
        <is>
          <t>Kab. Bandung</t>
        </is>
      </c>
      <c r="Q436" s="184" t="inlineStr">
        <is>
          <t>Website</t>
        </is>
      </c>
      <c r="R436" s="131" t="inlineStr">
        <is>
          <t>https://skm.bandungkab.go.id/</t>
        </is>
      </c>
      <c r="S436" s="184" t="inlineStr">
        <is>
          <t>Secara Online</t>
        </is>
      </c>
      <c r="T436" s="184" t="inlineStr">
        <is>
          <t>Informasi</t>
        </is>
      </c>
      <c r="U436" s="288" t="n"/>
      <c r="V436" s="184" t="inlineStr">
        <is>
          <t>Aktif</t>
        </is>
      </c>
      <c r="W436" s="184" t="inlineStr">
        <is>
          <t>Tidak</t>
        </is>
      </c>
      <c r="X436" s="184" t="inlineStr">
        <is>
          <t>Tidak Terintegrasi</t>
        </is>
      </c>
      <c r="Y436" s="184" t="inlineStr">
        <is>
          <t>Tidak Terintegrasi</t>
        </is>
      </c>
      <c r="Z436" s="184" t="inlineStr">
        <is>
          <t>Tidak Terintegrasi</t>
        </is>
      </c>
      <c r="AA436" s="184" t="inlineStr">
        <is>
          <t>Bagian Perencanaan dan Kehumasan</t>
        </is>
      </c>
      <c r="AB436" s="184" t="inlineStr">
        <is>
          <t>Setda</t>
        </is>
      </c>
      <c r="AC436" s="67" t="inlineStr">
        <is>
          <t>Nuni</t>
        </is>
      </c>
      <c r="AD436" s="262" t="n">
        <v>8.95352e+16</v>
      </c>
      <c r="AE436" s="288" t="n"/>
      <c r="AF436" s="288" t="n"/>
      <c r="AG436" s="184" t="inlineStr">
        <is>
          <t>Bulanan</t>
        </is>
      </c>
      <c r="AH436" s="284" t="n"/>
      <c r="AI436" s="284" t="n"/>
      <c r="AJ436" s="284" t="n"/>
      <c r="AK436" s="284" t="n"/>
      <c r="AL436" s="284" t="n"/>
      <c r="AM436" s="284" t="n"/>
      <c r="AN436" s="284" t="n"/>
      <c r="AO436" s="284" t="n"/>
      <c r="AP436" s="284" t="n"/>
      <c r="AQ436" s="284" t="n"/>
      <c r="AR436" s="284" t="n"/>
      <c r="AS436" s="284" t="n"/>
    </row>
    <row r="437">
      <c r="A437" s="182" t="n">
        <v>24</v>
      </c>
      <c r="B437" s="184" t="inlineStr">
        <is>
          <t>Layanan informasi pelayanan publik</t>
        </is>
      </c>
      <c r="C437" t="inlineStr">
        <is>
          <t>RSUD BEDAS CIMAUNG</t>
        </is>
      </c>
      <c r="D437" s="178" t="inlineStr">
        <is>
          <t>mempermudah masyarakat mengakses informasi layanan publik secara terpadu, transparan, dan akuntabel. Fungsi utamanya adalah mengintegrasikan data standar pelayanan (syarat, prosedur, waktu, biaya) dari berbagai instansi pemerintah</t>
        </is>
      </c>
      <c r="E437" s="184" t="inlineStr">
        <is>
          <t>-Peraturan Pemerintah Nomor 96 Tahun 2012 tentang Pelaksanaan Undang-undang Nomor 25 Tahun 2009 tentang Pelayanan Publik
 -Peraturan Menteri PANRB No. 14 Tahun 2017 tentang Pedoman Penyusunan Survei Kepuasan Masyarakat (SKM)</t>
        </is>
      </c>
      <c r="F437" s="288" t="n"/>
      <c r="G437" s="184" t="inlineStr">
        <is>
          <t>INFORMASI DAN DIPLOMASI PUBLIK</t>
        </is>
      </c>
      <c r="H437" s="184" t="inlineStr">
        <is>
          <t>Instansi Pemerintah Lainnya</t>
        </is>
      </c>
      <c r="I437" s="184" t="inlineStr">
        <is>
          <t>Identitas Instansi, Standar Pelayanan, Informasi Tambahan</t>
        </is>
      </c>
      <c r="J437" s="184" t="inlineStr">
        <is>
          <t>Informasi komprehensif mengenai penyelanggaraan pelayanan publik oleh instansi pemerintah</t>
        </is>
      </c>
      <c r="K437" s="184" t="inlineStr">
        <is>
          <t>Terbuka</t>
        </is>
      </c>
      <c r="L437" s="184" t="inlineStr">
        <is>
          <t>Tidak terdapat</t>
        </is>
      </c>
      <c r="M437" s="184" t="inlineStr">
        <is>
          <t>Lainnya</t>
        </is>
      </c>
      <c r="N437" s="130" t="inlineStr">
        <is>
          <t>SIPPN</t>
        </is>
      </c>
      <c r="O437" s="184" t="inlineStr">
        <is>
          <t>Pusat</t>
        </is>
      </c>
      <c r="P437" s="184" t="inlineStr">
        <is>
          <t>Pusat</t>
        </is>
      </c>
      <c r="Q437" s="184" t="inlineStr">
        <is>
          <t>Website</t>
        </is>
      </c>
      <c r="R437" s="131" t="inlineStr">
        <is>
          <t>https://sippn.menpan.go.id/</t>
        </is>
      </c>
      <c r="S437" s="184" t="inlineStr">
        <is>
          <t>Secara Online</t>
        </is>
      </c>
      <c r="T437" s="184" t="inlineStr">
        <is>
          <t>Informasi</t>
        </is>
      </c>
      <c r="U437" s="288" t="n"/>
      <c r="V437" s="184" t="inlineStr">
        <is>
          <t>Aktif</t>
        </is>
      </c>
      <c r="W437" s="184" t="inlineStr">
        <is>
          <t>Tidak</t>
        </is>
      </c>
      <c r="X437" s="184" t="inlineStr">
        <is>
          <t>Tidak Terintegrasi</t>
        </is>
      </c>
      <c r="Y437" s="184" t="inlineStr">
        <is>
          <t>Tidak Terintegrasi</t>
        </is>
      </c>
      <c r="Z437" s="184" t="inlineStr">
        <is>
          <t>Tidak Terintegrasi</t>
        </is>
      </c>
      <c r="AA437" s="184" t="inlineStr">
        <is>
          <t>Bagian Perencanaan dan Kehumasan</t>
        </is>
      </c>
      <c r="AB437" s="184" t="inlineStr">
        <is>
          <t>Dinkes</t>
        </is>
      </c>
      <c r="AC437" s="67" t="inlineStr">
        <is>
          <t>Riyanti</t>
        </is>
      </c>
      <c r="AD437" s="77" t="n">
        <v>82120138210</v>
      </c>
      <c r="AE437" s="288" t="n"/>
      <c r="AF437" s="288" t="n"/>
      <c r="AG437" s="184" t="inlineStr">
        <is>
          <t>Insidentil</t>
        </is>
      </c>
      <c r="AH437" s="284" t="n"/>
      <c r="AI437" s="284" t="n"/>
      <c r="AJ437" s="284" t="n"/>
      <c r="AK437" s="284" t="n"/>
      <c r="AL437" s="284" t="n"/>
      <c r="AM437" s="284" t="n"/>
      <c r="AN437" s="284" t="n"/>
      <c r="AO437" s="284" t="n"/>
      <c r="AP437" s="284" t="n"/>
      <c r="AQ437" s="284" t="n"/>
      <c r="AR437" s="284" t="n"/>
      <c r="AS437" s="284" t="n"/>
    </row>
    <row r="438">
      <c r="A438" s="182" t="n">
        <v>25</v>
      </c>
      <c r="B438" s="184" t="inlineStr">
        <is>
          <t>Layanan Pengaduan Masyarakat</t>
        </is>
      </c>
      <c r="C438" t="inlineStr">
        <is>
          <t>RSUD BEDAS CIMAUNG</t>
        </is>
      </c>
      <c r="D438" s="17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438" s="184" t="inlineStr">
        <is>
          <t>-Undang-Undang Nomor 25 Tahun 2009 tentang Pelayanan Publik
 -Peraturan Presiden Nomor 76 Tahun 2013 tentang Pengelolaan Pengaduan Pelayanan Publik, dan 
 -Peraturan Menteri PANRB Nomor 3 Tahun 2015</t>
        </is>
      </c>
      <c r="F438" s="288" t="n"/>
      <c r="G438" s="184" t="inlineStr">
        <is>
          <t>INFORMASI DAN DIPLOMASI PUBLIK</t>
        </is>
      </c>
      <c r="H438" s="184" t="inlineStr">
        <is>
          <t>Masyarakat</t>
        </is>
      </c>
      <c r="I438" s="184" t="inlineStr">
        <is>
          <t>Laporan Pengaduan yang telah di disposisikan dari pemda ke OPD</t>
        </is>
      </c>
      <c r="J438" s="178" t="inlineStr">
        <is>
          <t>Pengaduan yang telah di tindak lanjut</t>
        </is>
      </c>
      <c r="K438" s="184" t="inlineStr">
        <is>
          <t>Terbatas</t>
        </is>
      </c>
      <c r="L438" s="184" t="inlineStr">
        <is>
          <t>Terdapat</t>
        </is>
      </c>
      <c r="M438" s="184" t="inlineStr">
        <is>
          <t>Lainnya</t>
        </is>
      </c>
      <c r="N438" s="130" t="inlineStr">
        <is>
          <t>SP4N LAPOR</t>
        </is>
      </c>
      <c r="O438" s="184" t="inlineStr">
        <is>
          <t>Pusat</t>
        </is>
      </c>
      <c r="P438" s="184" t="inlineStr">
        <is>
          <t>Pusat</t>
        </is>
      </c>
      <c r="Q438" s="184" t="inlineStr">
        <is>
          <t>Website</t>
        </is>
      </c>
      <c r="R438" s="131" t="inlineStr">
        <is>
          <t>https://www.lapor.go.id/</t>
        </is>
      </c>
      <c r="S438" s="184" t="inlineStr">
        <is>
          <t>Secara Online</t>
        </is>
      </c>
      <c r="T438" s="184" t="inlineStr">
        <is>
          <t>Informasi</t>
        </is>
      </c>
      <c r="U438" s="288" t="n"/>
      <c r="V438" s="184" t="inlineStr">
        <is>
          <t>Aktif</t>
        </is>
      </c>
      <c r="W438" s="184" t="inlineStr">
        <is>
          <t>Tidak</t>
        </is>
      </c>
      <c r="X438" s="184" t="inlineStr">
        <is>
          <t>Tidak Terintegrasi</t>
        </is>
      </c>
      <c r="Y438" s="184" t="inlineStr">
        <is>
          <t>Tidak Terintegrasi</t>
        </is>
      </c>
      <c r="Z438" s="184" t="inlineStr">
        <is>
          <t>Tidak Terintegrasi</t>
        </is>
      </c>
      <c r="AA438" s="184" t="inlineStr">
        <is>
          <t>Bagian Perencanaan dan Kehumasan</t>
        </is>
      </c>
      <c r="AB438" s="184" t="inlineStr">
        <is>
          <t>Diskominfo</t>
        </is>
      </c>
      <c r="AC438" s="67" t="inlineStr">
        <is>
          <t>Turiman</t>
        </is>
      </c>
      <c r="AD438" s="77" t="n">
        <v>81322123575</v>
      </c>
      <c r="AE438" s="288" t="n"/>
      <c r="AF438" s="288" t="n"/>
      <c r="AG438" s="184" t="inlineStr">
        <is>
          <t>Insidentil</t>
        </is>
      </c>
      <c r="AH438" s="284" t="n"/>
      <c r="AI438" s="284" t="n"/>
      <c r="AJ438" s="284" t="n"/>
      <c r="AK438" s="284" t="n"/>
      <c r="AL438" s="284" t="n"/>
      <c r="AM438" s="284" t="n"/>
      <c r="AN438" s="284" t="n"/>
      <c r="AO438" s="284" t="n"/>
      <c r="AP438" s="284" t="n"/>
      <c r="AQ438" s="284" t="n"/>
      <c r="AR438" s="284" t="n"/>
      <c r="AS438" s="284" t="n"/>
    </row>
    <row r="439">
      <c r="A439" s="182" t="n">
        <v>26</v>
      </c>
      <c r="B439" s="184" t="inlineStr">
        <is>
          <t>Layanan informasi perangkat daerah</t>
        </is>
      </c>
      <c r="C439" t="inlineStr">
        <is>
          <t>RSUD BEDAS CIMAUNG</t>
        </is>
      </c>
      <c r="D439" s="178" t="inlineStr">
        <is>
          <t>menjamin hak warga negara atas informasi, mendorong transparansi, akuntabilitas, dan partisipasi publik di badan publik. Fungsinya meliputi pengelolaan, penyimpanan, pendokumentasian, serta penyediaan layanan informasi yang cepat, tepat, dan sederhana</t>
        </is>
      </c>
      <c r="E439" s="184" t="inlineStr">
        <is>
          <t>Undang-Undang Nomor 14 Tahun 2008 tentang Keterbukaan Informasi Publik (UU KIP)</t>
        </is>
      </c>
      <c r="F439" s="288" t="n"/>
      <c r="G439" s="184" t="inlineStr">
        <is>
          <t>INFORMASI DAN DIPLOMASI PUBLIK</t>
        </is>
      </c>
      <c r="H439" s="184" t="inlineStr">
        <is>
          <t>Masyarakat</t>
        </is>
      </c>
      <c r="I439" s="184" t="inlineStr">
        <is>
          <t>Informasi Keseluruhan pelayanan publik</t>
        </is>
      </c>
      <c r="J439" s="178" t="inlineStr">
        <is>
          <t>dokumen organisasi, anggaran, laporan tahunan, serta perizinan</t>
        </is>
      </c>
      <c r="K439" s="184" t="inlineStr">
        <is>
          <t>Terbuka</t>
        </is>
      </c>
      <c r="L439" s="184" t="inlineStr">
        <is>
          <t>Tidak terdapat</t>
        </is>
      </c>
      <c r="M439" s="184" t="inlineStr">
        <is>
          <t>Lainnya</t>
        </is>
      </c>
      <c r="N439" s="130" t="inlineStr">
        <is>
          <t>PPID</t>
        </is>
      </c>
      <c r="O439" s="184" t="inlineStr">
        <is>
          <t>Diskominfo</t>
        </is>
      </c>
      <c r="P439" s="184" t="inlineStr">
        <is>
          <t>Kab. Bandung</t>
        </is>
      </c>
      <c r="Q439" s="184" t="inlineStr">
        <is>
          <t>Website</t>
        </is>
      </c>
      <c r="R439" s="131" t="inlineStr">
        <is>
          <t>https://ppid.bandungkab.go.id/dashboard</t>
        </is>
      </c>
      <c r="S439" s="184" t="inlineStr">
        <is>
          <t>Secara Online</t>
        </is>
      </c>
      <c r="T439" s="184" t="inlineStr">
        <is>
          <t>Informasi</t>
        </is>
      </c>
      <c r="U439" s="288" t="n"/>
      <c r="V439" s="184" t="inlineStr">
        <is>
          <t>Aktif</t>
        </is>
      </c>
      <c r="W439" s="184" t="inlineStr">
        <is>
          <t>Tidak</t>
        </is>
      </c>
      <c r="X439" s="184" t="inlineStr">
        <is>
          <t>Tidak Terintegrasi</t>
        </is>
      </c>
      <c r="Y439" s="184" t="inlineStr">
        <is>
          <t>Tidak Terintegrasi</t>
        </is>
      </c>
      <c r="Z439" s="184" t="inlineStr">
        <is>
          <t>Tidak Terintegrasi</t>
        </is>
      </c>
      <c r="AA439" s="184" t="inlineStr">
        <is>
          <t>Bagian Perencanaan dan Kehumasan</t>
        </is>
      </c>
      <c r="AB439" s="184" t="inlineStr">
        <is>
          <t>Diskominfo</t>
        </is>
      </c>
      <c r="AC439" s="67" t="inlineStr">
        <is>
          <t>Turiman</t>
        </is>
      </c>
      <c r="AD439" s="77" t="n">
        <v>81322123575</v>
      </c>
      <c r="AE439" s="288" t="n"/>
      <c r="AF439" s="288" t="n"/>
      <c r="AG439" s="184" t="inlineStr">
        <is>
          <t>Insidentil</t>
        </is>
      </c>
      <c r="AH439" s="284" t="n"/>
      <c r="AI439" s="284" t="n"/>
      <c r="AJ439" s="284" t="n"/>
      <c r="AK439" s="284" t="n"/>
      <c r="AL439" s="284" t="n"/>
      <c r="AM439" s="284" t="n"/>
      <c r="AN439" s="284" t="n"/>
      <c r="AO439" s="284" t="n"/>
      <c r="AP439" s="284" t="n"/>
      <c r="AQ439" s="284" t="n"/>
      <c r="AR439" s="284" t="n"/>
      <c r="AS439" s="284" t="n"/>
    </row>
    <row r="440">
      <c r="A440" s="182" t="n">
        <v>27</v>
      </c>
      <c r="B440" s="184" t="inlineStr">
        <is>
          <t>Layanan informasi mutu fasilitas layanan kesehatan</t>
        </is>
      </c>
      <c r="C440" t="inlineStr">
        <is>
          <t>RSUD BEDAS CIMAUNG</t>
        </is>
      </c>
      <c r="D440" s="178" t="inlineStr">
        <is>
          <t>untuk mengumpulkan dan memantau data kualitas pelayanan kesehatan secara terintegrasi, sehingga dapat digunakan untuk evaluasi, peningkatan mutu, dan pengambilan kebijakan di bidang kesehatan.</t>
        </is>
      </c>
      <c r="E440"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440" s="288" t="n"/>
      <c r="G440" s="184" t="inlineStr">
        <is>
          <t>PENGELOLAAN PELAYANAN KESEHATAN</t>
        </is>
      </c>
      <c r="H440" s="184" t="inlineStr">
        <is>
          <t>Instansi Pemerintah Lainnya</t>
        </is>
      </c>
      <c r="I440" s="178" t="inlineStr">
        <is>
          <t>1. Indikator Mutu Nasional 
 2. Pelaporan HAIS
 3. Pelaporan Insiden Keselamatan Pasien</t>
        </is>
      </c>
      <c r="J440" s="178" t="inlineStr">
        <is>
          <t>Data Monitoring dan Evaluasi</t>
        </is>
      </c>
      <c r="K440" s="184" t="inlineStr">
        <is>
          <t>Terbatas</t>
        </is>
      </c>
      <c r="L440" s="184" t="inlineStr">
        <is>
          <t>Tidak terdapat</t>
        </is>
      </c>
      <c r="M440" s="184" t="inlineStr">
        <is>
          <t>Bulanan</t>
        </is>
      </c>
      <c r="N440" s="130" t="inlineStr">
        <is>
          <t>MUTU FASYANKES</t>
        </is>
      </c>
      <c r="O440" s="184" t="inlineStr">
        <is>
          <t>Pusat</t>
        </is>
      </c>
      <c r="P440" s="184" t="inlineStr">
        <is>
          <t>Pusat</t>
        </is>
      </c>
      <c r="Q440" s="184" t="inlineStr">
        <is>
          <t>Website</t>
        </is>
      </c>
      <c r="R440" s="223" t="inlineStr">
        <is>
          <t>https://mutufasyankes.kemkes.go.id/</t>
        </is>
      </c>
      <c r="S440" s="184" t="inlineStr">
        <is>
          <t>Secara Online</t>
        </is>
      </c>
      <c r="T440" s="184" t="inlineStr">
        <is>
          <t>Informasi</t>
        </is>
      </c>
      <c r="U440" s="77" t="n">
        <v>2022</v>
      </c>
      <c r="V440" s="184" t="inlineStr">
        <is>
          <t>Aktif</t>
        </is>
      </c>
      <c r="W440" s="67" t="inlineStr">
        <is>
          <t>Tidak</t>
        </is>
      </c>
      <c r="X440" s="67" t="inlineStr">
        <is>
          <t>Tidak Terintegrasi</t>
        </is>
      </c>
      <c r="Y440" s="67" t="inlineStr">
        <is>
          <t>Tidak Terintegrasi</t>
        </is>
      </c>
      <c r="Z440" s="67" t="inlineStr">
        <is>
          <t>Bulanan</t>
        </is>
      </c>
      <c r="AA440" s="184" t="inlineStr">
        <is>
          <t>Komite Mutu</t>
        </is>
      </c>
      <c r="AB440" s="184" t="inlineStr">
        <is>
          <t>Dinkes</t>
        </is>
      </c>
      <c r="AC440" s="67" t="inlineStr">
        <is>
          <t>Riyanti</t>
        </is>
      </c>
      <c r="AD440" s="77" t="n">
        <v>82120138210</v>
      </c>
      <c r="AE440" s="288" t="n"/>
      <c r="AF440" s="288" t="n"/>
      <c r="AG440" s="184" t="inlineStr">
        <is>
          <t>Bulanan</t>
        </is>
      </c>
      <c r="AH440" s="284" t="n"/>
      <c r="AI440" s="284" t="n"/>
      <c r="AJ440" s="284" t="n"/>
      <c r="AK440" s="284" t="n"/>
      <c r="AL440" s="284" t="n"/>
      <c r="AM440" s="284" t="n"/>
      <c r="AN440" s="284" t="n"/>
      <c r="AO440" s="284" t="n"/>
      <c r="AP440" s="284" t="n"/>
      <c r="AQ440" s="284" t="n"/>
      <c r="AR440" s="284" t="n"/>
      <c r="AS440" s="284" t="n"/>
    </row>
    <row r="441">
      <c r="A441" s="182" t="n">
        <v>28</v>
      </c>
      <c r="B441" s="184" t="inlineStr">
        <is>
          <t>Layanan manajemen data fasilitas kesehatan</t>
        </is>
      </c>
      <c r="C441" t="inlineStr">
        <is>
          <t>RSUD BEDAS CIMAUNG</t>
        </is>
      </c>
      <c r="D441" s="67" t="inlineStr">
        <is>
          <t>database dan sistem manajemen data fasilitas kesehatan yang bekerja sama dengan BPJS Kesehatan untuk mendukung pelayanan peserta BPJS</t>
        </is>
      </c>
      <c r="E441"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441" s="288" t="n"/>
      <c r="G441" s="184" t="inlineStr">
        <is>
          <t>PENGELOLAAN PELAYANAN KESEHATAN</t>
        </is>
      </c>
      <c r="H441" s="184" t="inlineStr">
        <is>
          <t>Instansi Pemerintah Lainnya</t>
        </is>
      </c>
      <c r="I441" s="178" t="inlineStr">
        <is>
          <t>1. Data Identitas Fasilitas Kesehatan
 2. Data Perizinan dan Legalitas
 3. Data Tenaga Kesehatan
 4. Data Sarana dan Prasarana
 5. Data Jenis Layanan Kesehatan
 6. Data Kapasitas Pelayanan
 7. Data Kerja Sama dengan BPJS
 8. Dokumen Pendukung</t>
        </is>
      </c>
      <c r="J441" s="178" t="inlineStr">
        <is>
          <t>1. Profil Fasilitas Kesehatan
 2. Data Sebaran Fasilitas Kesehatan
 3. Data Tenaga Kesehatan
 4. Data Sarana dan Prasarana
 5. Data Jenis dan Kapasitas Layanan
 6. Status dan Riwayat Kerja Sama
 7. Laporan dan Monitoring Fasilitas Kesehatan</t>
        </is>
      </c>
      <c r="K441" s="184" t="inlineStr">
        <is>
          <t>Terbatas</t>
        </is>
      </c>
      <c r="L441" s="184" t="inlineStr">
        <is>
          <t>Terdapat</t>
        </is>
      </c>
      <c r="M441" s="184" t="inlineStr">
        <is>
          <t>Lainnya</t>
        </is>
      </c>
      <c r="N441" s="130" t="inlineStr">
        <is>
          <t>HFIS BPJS</t>
        </is>
      </c>
      <c r="O441" s="184" t="inlineStr">
        <is>
          <t>Pusat</t>
        </is>
      </c>
      <c r="P441" s="184" t="inlineStr">
        <is>
          <t>Pusat</t>
        </is>
      </c>
      <c r="Q441" s="184" t="inlineStr">
        <is>
          <t>Website</t>
        </is>
      </c>
      <c r="R441" s="223" t="inlineStr">
        <is>
          <t>:Health Facilities Information System (H.F.I.S):</t>
        </is>
      </c>
      <c r="S441" s="184" t="inlineStr">
        <is>
          <t>Secara Online</t>
        </is>
      </c>
      <c r="T441" s="184" t="inlineStr">
        <is>
          <t>Informasi</t>
        </is>
      </c>
      <c r="U441" s="288" t="n"/>
      <c r="V441" s="184" t="inlineStr">
        <is>
          <t>Aktif</t>
        </is>
      </c>
      <c r="W441" s="184" t="inlineStr">
        <is>
          <t>Ya</t>
        </is>
      </c>
      <c r="X441" s="184" t="inlineStr">
        <is>
          <t>Mobile JKN</t>
        </is>
      </c>
      <c r="Y441" s="184" t="inlineStr">
        <is>
          <t>Database to Database</t>
        </is>
      </c>
      <c r="Z441" s="184" t="inlineStr">
        <is>
          <t>Realtime</t>
        </is>
      </c>
      <c r="AA441" s="184" t="inlineStr">
        <is>
          <t>Bidang Pelayanan Medik</t>
        </is>
      </c>
      <c r="AB441" s="184" t="inlineStr">
        <is>
          <t>Dinkes</t>
        </is>
      </c>
      <c r="AC441" s="67" t="inlineStr">
        <is>
          <t>Riya Barliyani</t>
        </is>
      </c>
      <c r="AD441" s="77" t="n">
        <v>85314988975</v>
      </c>
      <c r="AE441" s="288" t="n"/>
      <c r="AF441" s="288" t="n"/>
      <c r="AG441" s="184" t="inlineStr">
        <is>
          <t>Insidentil</t>
        </is>
      </c>
      <c r="AH441" s="284" t="n"/>
      <c r="AI441" s="284" t="n"/>
      <c r="AJ441" s="284" t="n"/>
      <c r="AK441" s="284" t="n"/>
      <c r="AL441" s="284" t="n"/>
      <c r="AM441" s="284" t="n"/>
      <c r="AN441" s="284" t="n"/>
      <c r="AO441" s="284" t="n"/>
      <c r="AP441" s="284" t="n"/>
      <c r="AQ441" s="284" t="n"/>
      <c r="AR441" s="284" t="n"/>
      <c r="AS441" s="284" t="n"/>
    </row>
    <row r="442">
      <c r="A442" s="182" t="n">
        <v>29</v>
      </c>
      <c r="B442" s="178" t="inlineStr">
        <is>
          <t>Layanan manajemen data sarana prasarana alat kesehatan</t>
        </is>
      </c>
      <c r="C442" t="inlineStr">
        <is>
          <t>RSUD BEDAS CIMAUNG</t>
        </is>
      </c>
      <c r="D442" s="201" t="inlineStr">
        <is>
          <t>sistem informasi berbasis web dari Kementerian Kesehatan untuk menghimpun data sarana, prasarana, dan alat kesehatan (SPA) di fasyankes</t>
        </is>
      </c>
      <c r="E442" s="225" t="inlineStr">
        <is>
          <t>Permenkes No. 31 Tahun 2018: Mengatur kewajiban pengisian, validasi, dan update data ASPAK oleh Fasyankes, Dinas Kesehatan Kabupaten/Kota, dan Dinas Kesehatan Provinsi</t>
        </is>
      </c>
      <c r="F442" s="288" t="n"/>
      <c r="G442" s="67" t="inlineStr">
        <is>
          <t>PENGELOLAAN PELAYANAN KESEHATAN</t>
        </is>
      </c>
      <c r="H442" s="184" t="inlineStr">
        <is>
          <t>Instansi Pemerintah Lainnya</t>
        </is>
      </c>
      <c r="I442" s="184" t="inlineStr">
        <is>
          <t>data sarana, prasarana, dan alat kesehatan (SPA) di fasyankes</t>
        </is>
      </c>
      <c r="J442" s="184" t="inlineStr">
        <is>
          <t>data sarana, prasarana, dan alat kesehatan (SPA) di fasyankes</t>
        </is>
      </c>
      <c r="K442" s="184" t="inlineStr">
        <is>
          <t>Tertutup</t>
        </is>
      </c>
      <c r="L442" s="184" t="inlineStr">
        <is>
          <t>Tidak terdapat</t>
        </is>
      </c>
      <c r="M442" s="184" t="inlineStr">
        <is>
          <t>Harian</t>
        </is>
      </c>
      <c r="N442" s="130" t="inlineStr">
        <is>
          <t>ASPAK</t>
        </is>
      </c>
      <c r="O442" s="184" t="inlineStr">
        <is>
          <t>Pusat</t>
        </is>
      </c>
      <c r="P442" s="184" t="inlineStr">
        <is>
          <t>Pusat</t>
        </is>
      </c>
      <c r="Q442" s="184" t="inlineStr">
        <is>
          <t>Website</t>
        </is>
      </c>
      <c r="R442" s="131" t="inlineStr">
        <is>
          <t>https://aspak.kemkes.go.id/aplikasi/site/index</t>
        </is>
      </c>
      <c r="S442" s="184" t="inlineStr">
        <is>
          <t>Secara Online</t>
        </is>
      </c>
      <c r="T442" s="184" t="inlineStr">
        <is>
          <t>Informasi</t>
        </is>
      </c>
      <c r="U442" s="184" t="n">
        <v>2018</v>
      </c>
      <c r="V442" s="184" t="inlineStr">
        <is>
          <t>Aktif</t>
        </is>
      </c>
      <c r="W442" s="67" t="inlineStr">
        <is>
          <t>Tidak</t>
        </is>
      </c>
      <c r="X442" s="184" t="inlineStr">
        <is>
          <t>tidak terintegrasi'</t>
        </is>
      </c>
      <c r="Y442" s="67" t="inlineStr">
        <is>
          <t>Tidak Terintegrasi</t>
        </is>
      </c>
      <c r="Z442" s="184" t="inlineStr">
        <is>
          <t>Tidak Terintegrasi</t>
        </is>
      </c>
      <c r="AA442" s="68" t="inlineStr">
        <is>
          <t>Bidang Pelayanan Medik</t>
        </is>
      </c>
      <c r="AB442" s="184" t="inlineStr">
        <is>
          <t>Dinkes</t>
        </is>
      </c>
      <c r="AC442" s="67" t="inlineStr">
        <is>
          <t>Diah Patoni</t>
        </is>
      </c>
      <c r="AD442" s="77" t="n">
        <v>81572323190</v>
      </c>
      <c r="AE442" s="288" t="n"/>
      <c r="AF442" s="288" t="n"/>
      <c r="AG442" s="68" t="inlineStr">
        <is>
          <t>Insidentil</t>
        </is>
      </c>
      <c r="AH442" s="284" t="n"/>
      <c r="AI442" s="284" t="n"/>
      <c r="AJ442" s="284" t="n"/>
      <c r="AK442" s="284" t="n"/>
      <c r="AL442" s="284" t="n"/>
      <c r="AM442" s="284" t="n"/>
      <c r="AN442" s="284" t="n"/>
      <c r="AO442" s="284" t="n"/>
      <c r="AP442" s="284" t="n"/>
      <c r="AQ442" s="284" t="n"/>
      <c r="AR442" s="284" t="n"/>
      <c r="AS442" s="284" t="n"/>
    </row>
    <row r="443">
      <c r="A443" s="71" t="inlineStr">
        <is>
          <t>RSUD BEDAS KERTASARI</t>
        </is>
      </c>
      <c r="B443" s="58" t="n"/>
      <c r="D443" s="58" t="n"/>
      <c r="E443" s="58" t="n"/>
      <c r="F443" s="58" t="n"/>
      <c r="G443" s="58" t="n"/>
      <c r="H443" s="58" t="n"/>
      <c r="I443" s="58" t="n"/>
      <c r="J443" s="58" t="n"/>
      <c r="K443" s="58" t="n"/>
      <c r="L443" s="58" t="n"/>
      <c r="M443" s="58" t="n"/>
      <c r="N443" s="58" t="n"/>
      <c r="O443" s="58" t="n"/>
      <c r="P443" s="58" t="n"/>
      <c r="Q443" s="58" t="n"/>
      <c r="R443" s="58" t="n"/>
      <c r="S443" s="58" t="n"/>
      <c r="T443" s="58" t="n"/>
      <c r="U443" s="58" t="n"/>
      <c r="V443" s="58" t="n"/>
      <c r="W443" s="58" t="n"/>
      <c r="X443" s="58" t="n"/>
      <c r="Y443" s="58" t="n"/>
      <c r="Z443" s="58" t="n"/>
      <c r="AA443" s="58" t="n"/>
      <c r="AB443" s="58" t="n"/>
      <c r="AC443" s="58" t="n"/>
      <c r="AD443" s="58" t="n"/>
      <c r="AE443" s="58" t="n"/>
      <c r="AF443" s="200" t="n"/>
      <c r="AG443" s="200" t="n"/>
      <c r="AH443" s="284" t="n"/>
      <c r="AI443" s="284" t="n"/>
      <c r="AJ443" s="284" t="n"/>
      <c r="AK443" s="284" t="n"/>
      <c r="AL443" s="284" t="n"/>
      <c r="AM443" s="284" t="n"/>
      <c r="AN443" s="284" t="n"/>
      <c r="AO443" s="284" t="n"/>
      <c r="AP443" s="284" t="n"/>
      <c r="AQ443" s="284" t="n"/>
      <c r="AR443" s="284" t="n"/>
      <c r="AS443" s="284" t="n"/>
    </row>
    <row r="444">
      <c r="A444" s="182" t="n">
        <v>1</v>
      </c>
      <c r="B444" s="178" t="inlineStr">
        <is>
          <t>Layanan Integrasi Ekosistem Digital Rumah Sakit (SIMRS)</t>
        </is>
      </c>
      <c r="C444" t="inlineStr">
        <is>
          <t>RSUD BEDAS KERTASARI</t>
        </is>
      </c>
      <c r="D444"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444" s="178" t="inlineStr">
        <is>
          <t>Peraturan Menteri Kesehatan Nomor 82 Tahun 2013 Tentang Sistem Informasi Manajemen Rumah Sakit</t>
        </is>
      </c>
      <c r="F444" s="178" t="inlineStr">
        <is>
          <t>Belum Tersedia</t>
        </is>
      </c>
      <c r="G444" s="184" t="inlineStr">
        <is>
          <t>PENGELOLAAN PELAYANAN KESEHATAN</t>
        </is>
      </c>
      <c r="H444" s="184" t="inlineStr">
        <is>
          <t>Masyarakat</t>
        </is>
      </c>
      <c r="I444" s="184" t="inlineStr">
        <is>
          <t>Data pasien, mulai dari info pribadi hingga catatan medis pasien</t>
        </is>
      </c>
      <c r="J444" s="178" t="inlineStr">
        <is>
          <t>Data rekam medis pasien</t>
        </is>
      </c>
      <c r="K444" s="184" t="inlineStr">
        <is>
          <t>Rahasia</t>
        </is>
      </c>
      <c r="L444" s="184" t="inlineStr">
        <is>
          <t>Terdapat</t>
        </is>
      </c>
      <c r="M444" s="184" t="inlineStr">
        <is>
          <t>Lainnya</t>
        </is>
      </c>
      <c r="N444" s="97" t="inlineStr">
        <is>
          <t>bdskts</t>
        </is>
      </c>
      <c r="O444" s="184" t="inlineStr">
        <is>
          <t>Pihak Ke 3</t>
        </is>
      </c>
      <c r="P444" s="184" t="inlineStr">
        <is>
          <t>Kab. Bandung</t>
        </is>
      </c>
      <c r="Q444" s="184" t="inlineStr">
        <is>
          <t>Desktop</t>
        </is>
      </c>
      <c r="R444" s="131" t="inlineStr">
        <is>
          <t>bdskts.id</t>
        </is>
      </c>
      <c r="S444" s="184" t="inlineStr">
        <is>
          <t>Secara Online</t>
        </is>
      </c>
      <c r="T444" s="184" t="inlineStr">
        <is>
          <t>Transaksi</t>
        </is>
      </c>
      <c r="U444" s="184" t="n">
        <v>2023</v>
      </c>
      <c r="V444" s="184" t="inlineStr">
        <is>
          <t>Aktif</t>
        </is>
      </c>
      <c r="W444" s="184" t="inlineStr">
        <is>
          <t>Ya</t>
        </is>
      </c>
      <c r="X444" s="184" t="inlineStr">
        <is>
          <t>VClaim BPJS, Satusehat, Eklaim INACBGs, Siranap</t>
        </is>
      </c>
      <c r="Y444" s="184" t="inlineStr">
        <is>
          <t>Web Service</t>
        </is>
      </c>
      <c r="Z444" s="184" t="inlineStr">
        <is>
          <t>Realtime</t>
        </is>
      </c>
      <c r="AA444" s="184" t="inlineStr">
        <is>
          <t>Kepala Seksi Penunjang</t>
        </is>
      </c>
      <c r="AB444" s="184" t="inlineStr">
        <is>
          <t>Dinkes</t>
        </is>
      </c>
      <c r="AC444" s="178" t="inlineStr">
        <is>
          <t>Cepi firmansyah</t>
        </is>
      </c>
      <c r="AD444" s="98" t="n">
        <v>85659119423</v>
      </c>
      <c r="AE444" s="288" t="n"/>
      <c r="AF444" s="288" t="n"/>
      <c r="AG444" s="68" t="inlineStr">
        <is>
          <t>Harian</t>
        </is>
      </c>
      <c r="AH444" s="284" t="n"/>
      <c r="AI444" s="284" t="n"/>
      <c r="AJ444" s="284" t="n"/>
      <c r="AK444" s="284" t="n"/>
      <c r="AL444" s="284" t="n"/>
      <c r="AM444" s="284" t="n"/>
      <c r="AN444" s="284" t="n"/>
      <c r="AO444" s="284" t="n"/>
      <c r="AP444" s="284" t="n"/>
      <c r="AQ444" s="284" t="n"/>
      <c r="AR444" s="284" t="n"/>
      <c r="AS444" s="284" t="n"/>
    </row>
    <row r="445">
      <c r="A445" s="182" t="n">
        <v>2</v>
      </c>
      <c r="B445" s="184" t="inlineStr">
        <is>
          <t>Layanan Informasi Gaji ASN</t>
        </is>
      </c>
      <c r="C445" t="inlineStr">
        <is>
          <t>RSUD BEDAS KERTASARI</t>
        </is>
      </c>
      <c r="D445" s="184" t="inlineStr">
        <is>
          <t>Aplikasi Sistem Informasi Gaji (SIMGaji) Taspen untuk memproses data gaji PNS di lingkungan pemerintah daerah.</t>
        </is>
      </c>
      <c r="E445" s="184" t="inlineStr">
        <is>
          <t>Peraturan Pemerintah Nomor 5 Tahun 2024 tentang Perubahan Kesembilan Belas atas Peraturan Pemerintah Nomor 7 Tahun 1977 tentang Peraturan Gaji Pegawai Negeri Sipil</t>
        </is>
      </c>
      <c r="F445" s="288" t="n"/>
      <c r="G445" s="184" t="inlineStr">
        <is>
          <t>PEMBINAAN KEUANGAN DAERAH</t>
        </is>
      </c>
      <c r="H445" s="184" t="inlineStr">
        <is>
          <t>Pegawai</t>
        </is>
      </c>
      <c r="I445" s="184" t="inlineStr">
        <is>
          <t>Data Pegawai, Data Gaji, Data Tunjangan</t>
        </is>
      </c>
      <c r="J445" s="178" t="inlineStr">
        <is>
          <t>Perubahan Data Gaji Pegawai, Ledger Gaji</t>
        </is>
      </c>
      <c r="K445" s="184" t="inlineStr">
        <is>
          <t>Tertutup</t>
        </is>
      </c>
      <c r="L445" s="184" t="inlineStr">
        <is>
          <t>Terdapat</t>
        </is>
      </c>
      <c r="M445" s="184" t="inlineStr">
        <is>
          <t>Harian</t>
        </is>
      </c>
      <c r="N445" s="130" t="inlineStr">
        <is>
          <t>SIMgaji</t>
        </is>
      </c>
      <c r="O445" s="184" t="inlineStr">
        <is>
          <t>Pihak Ke 3</t>
        </is>
      </c>
      <c r="P445" s="184" t="inlineStr">
        <is>
          <t>Pihak Ke 3 (Lisensi)</t>
        </is>
      </c>
      <c r="Q445" s="184" t="inlineStr">
        <is>
          <t>Website</t>
        </is>
      </c>
      <c r="R445" s="131" t="inlineStr">
        <is>
          <t>https://simgajiweb.taspen.co.id/</t>
        </is>
      </c>
      <c r="S445" s="184" t="inlineStr">
        <is>
          <t>Secara Online</t>
        </is>
      </c>
      <c r="T445" s="184" t="inlineStr">
        <is>
          <t>Informasi</t>
        </is>
      </c>
      <c r="U445" s="184" t="n">
        <v>2023</v>
      </c>
      <c r="V445" s="184" t="inlineStr">
        <is>
          <t>Aktif</t>
        </is>
      </c>
      <c r="W445" s="184" t="inlineStr">
        <is>
          <t>Tidak</t>
        </is>
      </c>
      <c r="X445" s="184" t="inlineStr">
        <is>
          <t>Tidak Terintegrasi</t>
        </is>
      </c>
      <c r="Y445" s="184" t="inlineStr">
        <is>
          <t>Tidak Terintegrasi</t>
        </is>
      </c>
      <c r="Z445" s="184" t="inlineStr">
        <is>
          <t>Tidak Terintegrasi</t>
        </is>
      </c>
      <c r="AA445" s="184" t="inlineStr">
        <is>
          <t>Bagian Keuangan</t>
        </is>
      </c>
      <c r="AB445" s="184" t="inlineStr">
        <is>
          <t>BKAD</t>
        </is>
      </c>
      <c r="AC445" s="67" t="inlineStr">
        <is>
          <t>Reki kirana</t>
        </is>
      </c>
      <c r="AD445" s="77" t="n">
        <v>82130662787</v>
      </c>
      <c r="AE445" s="288" t="n"/>
      <c r="AF445" s="288" t="n"/>
      <c r="AG445" s="184" t="inlineStr">
        <is>
          <t>Bulanan</t>
        </is>
      </c>
      <c r="AH445" s="284" t="n"/>
      <c r="AI445" s="284" t="n"/>
      <c r="AJ445" s="284" t="n"/>
      <c r="AK445" s="284" t="n"/>
      <c r="AL445" s="284" t="n"/>
      <c r="AM445" s="284" t="n"/>
      <c r="AN445" s="284" t="n"/>
      <c r="AO445" s="284" t="n"/>
      <c r="AP445" s="284" t="n"/>
      <c r="AQ445" s="284" t="n"/>
      <c r="AR445" s="284" t="n"/>
      <c r="AS445" s="284" t="n"/>
    </row>
    <row r="446">
      <c r="A446" s="182" t="n">
        <v>3</v>
      </c>
      <c r="B446" s="184" t="inlineStr">
        <is>
          <t>Layanan pelaporan penerimaan retribusi daerah</t>
        </is>
      </c>
      <c r="C446" t="inlineStr">
        <is>
          <t>RSUD BEDAS KERTASARI</t>
        </is>
      </c>
      <c r="D446" s="184" t="inlineStr">
        <is>
          <t>Aplikasi Entry Laporan Penerimaan Retribusi Daerah</t>
        </is>
      </c>
      <c r="E446" s="184" t="inlineStr">
        <is>
          <t>Perda Kabupaten Bandung No 10 Tahun 2023 Tentang Pajak Daerah dan Retribusi Daerah</t>
        </is>
      </c>
      <c r="F446" s="288" t="n"/>
      <c r="G446" s="184" t="inlineStr">
        <is>
          <t>PENGELOLAAN PENERIMAAN DAN PENDAPATAN NEGARA</t>
        </is>
      </c>
      <c r="H446" s="184" t="inlineStr">
        <is>
          <t>Instansi Pemerintah Lainnya</t>
        </is>
      </c>
      <c r="I446" s="184" t="inlineStr">
        <is>
          <t>Data Pendapatan</t>
        </is>
      </c>
      <c r="J446" s="178" t="inlineStr">
        <is>
          <t>Laporan Realisasi Pendapatan</t>
        </is>
      </c>
      <c r="K446" s="184" t="inlineStr">
        <is>
          <t>Rahasia</t>
        </is>
      </c>
      <c r="L446" s="184" t="inlineStr">
        <is>
          <t>Tidak terdapat</t>
        </is>
      </c>
      <c r="M446" s="184" t="inlineStr">
        <is>
          <t>Harian</t>
        </is>
      </c>
      <c r="N446" s="130" t="inlineStr">
        <is>
          <t>e-retribusi</t>
        </is>
      </c>
      <c r="O446" s="184" t="inlineStr">
        <is>
          <t>OPD</t>
        </is>
      </c>
      <c r="P446" s="184" t="inlineStr">
        <is>
          <t>Kab. Bandung</t>
        </is>
      </c>
      <c r="Q446" s="184" t="inlineStr">
        <is>
          <t>Website</t>
        </is>
      </c>
      <c r="R446" s="131" t="inlineStr">
        <is>
          <t>https://e-retribusi.bandungkab.go.id/</t>
        </is>
      </c>
      <c r="S446" s="184" t="inlineStr">
        <is>
          <t>Secara Online</t>
        </is>
      </c>
      <c r="T446" s="184" t="inlineStr">
        <is>
          <t>Informasi</t>
        </is>
      </c>
      <c r="U446" s="184" t="n">
        <v>2024</v>
      </c>
      <c r="V446" s="184" t="inlineStr">
        <is>
          <t>Aktif</t>
        </is>
      </c>
      <c r="W446" s="184" t="inlineStr">
        <is>
          <t>Tidak</t>
        </is>
      </c>
      <c r="X446" s="184" t="inlineStr">
        <is>
          <t>Tidak Terintegrasi</t>
        </is>
      </c>
      <c r="Y446" s="184" t="inlineStr">
        <is>
          <t>Tidak Terintegrasi</t>
        </is>
      </c>
      <c r="Z446" s="184" t="inlineStr">
        <is>
          <t>Tidak Terintegrasi</t>
        </is>
      </c>
      <c r="AA446" s="184" t="inlineStr">
        <is>
          <t>Retribusi Daerah</t>
        </is>
      </c>
      <c r="AB446" s="184" t="inlineStr">
        <is>
          <t>Bapenda</t>
        </is>
      </c>
      <c r="AC446" s="67" t="inlineStr">
        <is>
          <t>Tati</t>
        </is>
      </c>
      <c r="AD446" s="77" t="n">
        <v>81320529503</v>
      </c>
      <c r="AE446" s="288" t="n"/>
      <c r="AF446" s="288" t="n"/>
      <c r="AG446" s="184" t="inlineStr">
        <is>
          <t>Harian</t>
        </is>
      </c>
      <c r="AH446" s="284" t="n"/>
      <c r="AI446" s="284" t="n"/>
      <c r="AJ446" s="284" t="n"/>
      <c r="AK446" s="284" t="n"/>
      <c r="AL446" s="284" t="n"/>
      <c r="AM446" s="284" t="n"/>
      <c r="AN446" s="284" t="n"/>
      <c r="AO446" s="284" t="n"/>
      <c r="AP446" s="284" t="n"/>
      <c r="AQ446" s="284" t="n"/>
      <c r="AR446" s="284" t="n"/>
      <c r="AS446" s="284" t="n"/>
    </row>
    <row r="447">
      <c r="A447" s="182" t="n">
        <v>4</v>
      </c>
      <c r="B447" s="184" t="inlineStr">
        <is>
          <t>Layanan pengelolaan informasi keuangan daerah</t>
        </is>
      </c>
      <c r="C447" t="inlineStr">
        <is>
          <t>RSUD BEDAS KERTASARI</t>
        </is>
      </c>
      <c r="D447" s="184" t="inlineStr">
        <is>
          <t>Pengelolaan Informasi Keuangan Daerah - meliputi Perencanaan Anggaran Daerah, Penatausahaan Keuangan Daerah, Akuntansi dan Pelaporan Keuangan Daerah.</t>
        </is>
      </c>
      <c r="E447" s="184" t="inlineStr">
        <is>
          <t>Permendagri No 14 Tahun 2025 tentang Pedoman Penyusunan APBD Tahun 2026 Yang di dukung Oleh UU 23/2014, PP No 12/2019 dan Permendagri 70/2019.</t>
        </is>
      </c>
      <c r="F447" s="288" t="n"/>
      <c r="G447" s="184" t="inlineStr">
        <is>
          <t>PERENCANAAN DAN PENGANGGARAN APBN</t>
        </is>
      </c>
      <c r="H447" s="184" t="inlineStr">
        <is>
          <t>Instansi Pemerintah Lainnya</t>
        </is>
      </c>
      <c r="I447" s="184" t="inlineStr">
        <is>
          <t>Dari Mulai Penganggaran, Penatausahaan dan Pelaporan Keuangan</t>
        </is>
      </c>
      <c r="J447" s="178" t="inlineStr">
        <is>
          <t>Data perencanaan dan penganggaran</t>
        </is>
      </c>
      <c r="K447" s="184" t="inlineStr">
        <is>
          <t>Terbatas</t>
        </is>
      </c>
      <c r="L447" s="184" t="inlineStr">
        <is>
          <t>Terdapat</t>
        </is>
      </c>
      <c r="M447" s="184" t="inlineStr">
        <is>
          <t>Harian</t>
        </is>
      </c>
      <c r="N447" s="130" t="inlineStr">
        <is>
          <t>SIPD</t>
        </is>
      </c>
      <c r="O447" s="184" t="inlineStr">
        <is>
          <t>Pusat</t>
        </is>
      </c>
      <c r="P447" s="184" t="inlineStr">
        <is>
          <t>Pusat</t>
        </is>
      </c>
      <c r="Q447" s="184" t="inlineStr">
        <is>
          <t>Website</t>
        </is>
      </c>
      <c r="R447" s="131" t="inlineStr">
        <is>
          <t>https://sipd.kemendagri.go.id/</t>
        </is>
      </c>
      <c r="S447" s="184" t="inlineStr">
        <is>
          <t>Secara Online</t>
        </is>
      </c>
      <c r="T447" s="184" t="inlineStr">
        <is>
          <t>Informasi</t>
        </is>
      </c>
      <c r="U447" s="184" t="n">
        <v>2021</v>
      </c>
      <c r="V447" s="184" t="inlineStr">
        <is>
          <t>Aktif</t>
        </is>
      </c>
      <c r="W447" s="184" t="inlineStr">
        <is>
          <t>Ya</t>
        </is>
      </c>
      <c r="X447" s="184" t="inlineStr">
        <is>
          <t>SIRUP, e-planning</t>
        </is>
      </c>
      <c r="Y447" s="184" t="inlineStr">
        <is>
          <t>Web Service</t>
        </is>
      </c>
      <c r="Z447" s="288" t="n"/>
      <c r="AA447" s="184" t="inlineStr">
        <is>
          <t>Bagian Keuangan, Bagian Perencanaan dan Kehumasan</t>
        </is>
      </c>
      <c r="AB447" s="184" t="inlineStr">
        <is>
          <t>BKAD</t>
        </is>
      </c>
      <c r="AC447" s="67" t="inlineStr">
        <is>
          <t>Caca</t>
        </is>
      </c>
      <c r="AD447" s="77" t="n">
        <v>81646936429</v>
      </c>
      <c r="AE447" s="288" t="n"/>
      <c r="AF447" s="288" t="n"/>
      <c r="AG447" s="184" t="inlineStr">
        <is>
          <t>Bulanan</t>
        </is>
      </c>
      <c r="AH447" s="284" t="n"/>
      <c r="AI447" s="284" t="n"/>
      <c r="AJ447" s="284" t="n"/>
      <c r="AK447" s="284" t="n"/>
      <c r="AL447" s="284" t="n"/>
      <c r="AM447" s="284" t="n"/>
      <c r="AN447" s="284" t="n"/>
      <c r="AO447" s="284" t="n"/>
      <c r="AP447" s="284" t="n"/>
      <c r="AQ447" s="284" t="n"/>
      <c r="AR447" s="284" t="n"/>
      <c r="AS447" s="284" t="n"/>
    </row>
    <row r="448">
      <c r="A448" s="182" t="n">
        <v>5</v>
      </c>
      <c r="B448" s="184" t="inlineStr">
        <is>
          <t>Layanan pengelolaan pengadaan barang dan jasa</t>
        </is>
      </c>
      <c r="C448" t="inlineStr">
        <is>
          <t>RSUD BEDAS KERTASARI</t>
        </is>
      </c>
      <c r="D448" s="184" t="inlineStr">
        <is>
          <t>Untuk membantu proses perencanaan pengadaan barang/jasa pemerintah agar lebih transparan, terencana, dan mudah diakses oleh publik maupun penyedia</t>
        </is>
      </c>
      <c r="E448" s="184" t="inlineStr">
        <is>
          <t>1) Peraturan Presiden (Perpres) Nomor 46 Tahun 2025 adalah perubahan kedua atas Perpres 16 Tahun 2018 tentang Pengadaan Barang/Jasa Pemerintah;
 2) Peraturan LKPP Nomor 11 Tahun 2021 tentang Pedoman Perencanaan Pengadaan Barang/Jasa Pemerintah;</t>
        </is>
      </c>
      <c r="F448" s="288" t="n"/>
      <c r="G448" s="184" t="inlineStr">
        <is>
          <t>PERENCANAAN DAN PENGANGGARAN APBN</t>
        </is>
      </c>
      <c r="H448" s="184" t="inlineStr">
        <is>
          <t>Pelaku Bisnis</t>
        </is>
      </c>
      <c r="I448" s="184" t="inlineStr">
        <is>
          <t>Data rencana umum pengadaan</t>
        </is>
      </c>
      <c r="J448" s="178" t="inlineStr">
        <is>
          <t>Informasi rencana paket pengadaan barang/jasa pemerintah</t>
        </is>
      </c>
      <c r="K448" s="184" t="inlineStr">
        <is>
          <t>Terbuka</t>
        </is>
      </c>
      <c r="L448" s="184" t="inlineStr">
        <is>
          <t>Terdapat</t>
        </is>
      </c>
      <c r="M448" s="184" t="inlineStr">
        <is>
          <t>Harian</t>
        </is>
      </c>
      <c r="N448" s="130" t="inlineStr">
        <is>
          <t>SIRUP</t>
        </is>
      </c>
      <c r="O448" s="184" t="inlineStr">
        <is>
          <t>Pusat</t>
        </is>
      </c>
      <c r="P448" s="184" t="inlineStr">
        <is>
          <t>Pusat</t>
        </is>
      </c>
      <c r="Q448" s="184" t="inlineStr">
        <is>
          <t>Website</t>
        </is>
      </c>
      <c r="R448" s="131" t="inlineStr">
        <is>
          <t>https://sirup.inaproc.id/sirup/loginctr/index</t>
        </is>
      </c>
      <c r="S448" s="184" t="inlineStr">
        <is>
          <t>Secara Online</t>
        </is>
      </c>
      <c r="T448" s="184" t="inlineStr">
        <is>
          <t>Informasi</t>
        </is>
      </c>
      <c r="U448" s="184" t="n">
        <v>2010</v>
      </c>
      <c r="V448" s="184" t="inlineStr">
        <is>
          <t>Aktif</t>
        </is>
      </c>
      <c r="W448" s="184" t="inlineStr">
        <is>
          <t>Ya</t>
        </is>
      </c>
      <c r="X448" s="184" t="inlineStr">
        <is>
          <t>SPSE, E-Katalog LKPP</t>
        </is>
      </c>
      <c r="Y448" s="184" t="inlineStr">
        <is>
          <t>Database to Database</t>
        </is>
      </c>
      <c r="Z448" s="184" t="inlineStr">
        <is>
          <t>Realtime</t>
        </is>
      </c>
      <c r="AA448" s="184" t="inlineStr">
        <is>
          <t>Bagian Perencanaan dan Kehumasan</t>
        </is>
      </c>
      <c r="AB448" s="184" t="inlineStr">
        <is>
          <t>Setda</t>
        </is>
      </c>
      <c r="AC448" s="67" t="inlineStr">
        <is>
          <t>Wahyu wahidin</t>
        </is>
      </c>
      <c r="AD448" s="77" t="n">
        <v>82120508449</v>
      </c>
      <c r="AE448" s="288" t="n"/>
      <c r="AF448" s="288" t="n"/>
      <c r="AG448" s="184" t="inlineStr">
        <is>
          <t>Insidentil</t>
        </is>
      </c>
      <c r="AH448" s="284" t="n"/>
      <c r="AI448" s="284" t="n"/>
      <c r="AJ448" s="284" t="n"/>
      <c r="AK448" s="284" t="n"/>
      <c r="AL448" s="284" t="n"/>
      <c r="AM448" s="284" t="n"/>
      <c r="AN448" s="284" t="n"/>
      <c r="AO448" s="284" t="n"/>
      <c r="AP448" s="284" t="n"/>
      <c r="AQ448" s="284" t="n"/>
      <c r="AR448" s="284" t="n"/>
      <c r="AS448" s="284" t="n"/>
    </row>
    <row r="449">
      <c r="A449" s="182" t="n">
        <v>6</v>
      </c>
      <c r="B449" s="184" t="inlineStr">
        <is>
          <t>Layanan Informasi Pengawasan Tindak Lanjut Hasil Pemeriksaan Terpadu</t>
        </is>
      </c>
      <c r="C449" t="inlineStr">
        <is>
          <t>RSUD BEDAS KERTASARI</t>
        </is>
      </c>
      <c r="D449" s="184" t="inlineStr">
        <is>
          <t>Pengelolaan dan pemantauan hasil evaluasi/ tindak lanjut rekomendasi atas pemeriksaan yang dilaksanakan oleh APIP</t>
        </is>
      </c>
      <c r="E449" s="184" t="inlineStr">
        <is>
          <t>Peraturan Pemerintah Nomor 12 Tahun 2017 tentang pembinaan dan pengawasan penyelenggaraan pemerintah daerah</t>
        </is>
      </c>
      <c r="F449" s="288" t="n"/>
      <c r="G449" s="184" t="inlineStr">
        <is>
          <t>PENINGKATAN KUALITAS REFORMASI BIROKRASI, PENGAWASAN, DAN AKUNTABILITAS KINERJA</t>
        </is>
      </c>
      <c r="H449" s="184" t="inlineStr">
        <is>
          <t>Instansi Pemerintah Lainnya</t>
        </is>
      </c>
      <c r="I449" s="184" t="inlineStr">
        <is>
          <t>Dokumen Tindak Lanjut rekomendasi hasil pemeriksaan</t>
        </is>
      </c>
      <c r="J449" s="178" t="inlineStr">
        <is>
          <t>Informasi Capaian Hasil Rekomendasi</t>
        </is>
      </c>
      <c r="K449" s="184" t="inlineStr">
        <is>
          <t>Tertutup</t>
        </is>
      </c>
      <c r="L449" s="184" t="inlineStr">
        <is>
          <t>Tidak terdapat</t>
        </is>
      </c>
      <c r="M449" s="184" t="inlineStr">
        <is>
          <t>Lainnya</t>
        </is>
      </c>
      <c r="N449" s="130" t="inlineStr">
        <is>
          <t>SIMASLAHAT</t>
        </is>
      </c>
      <c r="O449" s="184" t="inlineStr">
        <is>
          <t>OPD</t>
        </is>
      </c>
      <c r="P449" s="184" t="inlineStr">
        <is>
          <t>Kab. Bandung</t>
        </is>
      </c>
      <c r="Q449" s="184" t="inlineStr">
        <is>
          <t>Website</t>
        </is>
      </c>
      <c r="R449" s="131" t="inlineStr">
        <is>
          <t>https://simaslahat.bandungkab.go.id/login</t>
        </is>
      </c>
      <c r="S449" s="184" t="inlineStr">
        <is>
          <t>Secara Online</t>
        </is>
      </c>
      <c r="T449" s="184" t="inlineStr">
        <is>
          <t>Informasi</t>
        </is>
      </c>
      <c r="U449" s="184" t="n">
        <v>2023</v>
      </c>
      <c r="V449" s="184" t="inlineStr">
        <is>
          <t>Aktif</t>
        </is>
      </c>
      <c r="W449" s="184" t="inlineStr">
        <is>
          <t>Tidak</t>
        </is>
      </c>
      <c r="X449" s="184" t="inlineStr">
        <is>
          <t>Tidak Terintegrasi</t>
        </is>
      </c>
      <c r="Y449" s="184" t="inlineStr">
        <is>
          <t>Tidak Terintegrasi</t>
        </is>
      </c>
      <c r="Z449" s="184" t="inlineStr">
        <is>
          <t>Tidak Terintegrasi</t>
        </is>
      </c>
      <c r="AA449" s="184" t="inlineStr">
        <is>
          <t>Bagian Keuangan</t>
        </is>
      </c>
      <c r="AB449" s="184" t="inlineStr">
        <is>
          <t>Inspektorat</t>
        </is>
      </c>
      <c r="AC449" s="288" t="n"/>
      <c r="AD449" s="288" t="n"/>
      <c r="AE449" s="288" t="n"/>
      <c r="AF449" s="288" t="n"/>
      <c r="AG449" s="184" t="inlineStr">
        <is>
          <t>Insidentil</t>
        </is>
      </c>
      <c r="AH449" s="284" t="n"/>
      <c r="AI449" s="284" t="n"/>
      <c r="AJ449" s="284" t="n"/>
      <c r="AK449" s="284" t="n"/>
      <c r="AL449" s="284" t="n"/>
      <c r="AM449" s="284" t="n"/>
      <c r="AN449" s="284" t="n"/>
      <c r="AO449" s="284" t="n"/>
      <c r="AP449" s="284" t="n"/>
      <c r="AQ449" s="284" t="n"/>
      <c r="AR449" s="284" t="n"/>
      <c r="AS449" s="284" t="n"/>
    </row>
    <row r="450">
      <c r="A450" s="182" t="n">
        <v>7</v>
      </c>
      <c r="B450" s="184" t="inlineStr">
        <is>
          <t>Layanan pelaporan pembayaran pajak</t>
        </is>
      </c>
      <c r="C450" t="inlineStr">
        <is>
          <t>RSUD BEDAS KERTASARI</t>
        </is>
      </c>
      <c r="D450" s="184" t="inlineStr">
        <is>
          <t>Fungsi Utama: Melaporkan penghitungan dan pembayaran pajak daerah, objek pajak, serta harta/kewajiban secara digital.</t>
        </is>
      </c>
      <c r="E450" s="184"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450" s="184"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450" s="184" t="inlineStr">
        <is>
          <t>PEMBINAAN KEUANGAN DAERAH</t>
        </is>
      </c>
      <c r="H450" s="184" t="inlineStr">
        <is>
          <t>Instansi Pemerintah Lainnya</t>
        </is>
      </c>
      <c r="I450" s="184" t="inlineStr">
        <is>
          <t>Pajak makanan dan minuman pasien</t>
        </is>
      </c>
      <c r="J450" s="178" t="inlineStr">
        <is>
          <t>Bukti setor pajak</t>
        </is>
      </c>
      <c r="K450" s="184" t="inlineStr">
        <is>
          <t>Terbuka</t>
        </is>
      </c>
      <c r="L450" s="184" t="inlineStr">
        <is>
          <t>Tidak terdapat</t>
        </is>
      </c>
      <c r="M450" s="184" t="inlineStr">
        <is>
          <t>Harian</t>
        </is>
      </c>
      <c r="N450" s="130" t="inlineStr">
        <is>
          <t>E-SPTPD</t>
        </is>
      </c>
      <c r="O450" s="184" t="inlineStr">
        <is>
          <t>OPD</t>
        </is>
      </c>
      <c r="P450" s="184" t="inlineStr">
        <is>
          <t>Kab. Bandung</t>
        </is>
      </c>
      <c r="Q450" s="184" t="inlineStr">
        <is>
          <t>Website</t>
        </is>
      </c>
      <c r="R450" s="131" t="inlineStr">
        <is>
          <t>e-sptpd.bandungkab.go.id.</t>
        </is>
      </c>
      <c r="S450" s="184" t="inlineStr">
        <is>
          <t>Secara Online</t>
        </is>
      </c>
      <c r="T450" s="184" t="inlineStr">
        <is>
          <t>Transaksi</t>
        </is>
      </c>
      <c r="U450" s="184" t="n">
        <v>2018</v>
      </c>
      <c r="V450" s="184" t="inlineStr">
        <is>
          <t>Aktif</t>
        </is>
      </c>
      <c r="W450" s="184" t="inlineStr">
        <is>
          <t>Ya</t>
        </is>
      </c>
      <c r="X450" s="184" t="inlineStr">
        <is>
          <t>Tidak Terintegrasi</t>
        </is>
      </c>
      <c r="Y450" s="184" t="inlineStr">
        <is>
          <t>Tidak Terintegrasi</t>
        </is>
      </c>
      <c r="Z450" s="184" t="inlineStr">
        <is>
          <t>Bulanan</t>
        </is>
      </c>
      <c r="AA450" s="184" t="inlineStr">
        <is>
          <t>Bagian Keuangan</t>
        </is>
      </c>
      <c r="AB450" s="184" t="inlineStr">
        <is>
          <t>Bapenda</t>
        </is>
      </c>
      <c r="AC450" s="288" t="n"/>
      <c r="AD450" s="288" t="n"/>
      <c r="AE450" s="288" t="n"/>
      <c r="AF450" s="288" t="n"/>
      <c r="AG450" s="184" t="inlineStr">
        <is>
          <t>Bulanan</t>
        </is>
      </c>
      <c r="AH450" s="284" t="n"/>
      <c r="AI450" s="284" t="n"/>
      <c r="AJ450" s="284" t="n"/>
      <c r="AK450" s="284" t="n"/>
      <c r="AL450" s="284" t="n"/>
      <c r="AM450" s="284" t="n"/>
      <c r="AN450" s="284" t="n"/>
      <c r="AO450" s="284" t="n"/>
      <c r="AP450" s="284" t="n"/>
      <c r="AQ450" s="284" t="n"/>
      <c r="AR450" s="284" t="n"/>
      <c r="AS450" s="284" t="n"/>
    </row>
    <row r="451">
      <c r="A451" s="182" t="n">
        <v>8</v>
      </c>
      <c r="B451" s="184" t="inlineStr">
        <is>
          <t>Layanan pengelolaan data statistik</t>
        </is>
      </c>
      <c r="C451" t="inlineStr">
        <is>
          <t>RSUD BEDAS KERTASARI</t>
        </is>
      </c>
      <c r="D451" s="184" t="inlineStr">
        <is>
          <t>Untuk mendukung pengelolaan data statistik di tingkat daerah serta berfungsi untuk mengelola, menyajikan, dan mempublikasikan data statistik sektoral</t>
        </is>
      </c>
      <c r="E451" s="184" t="inlineStr">
        <is>
          <t>Peraturan Bupati Bandung Nomor 82 Tahun 2019 tentang Tata Kelola Satu Data Daerah</t>
        </is>
      </c>
      <c r="F451" s="288" t="n"/>
      <c r="G451" s="184" t="inlineStr">
        <is>
          <t>PENGELOLAAN DATA STATISTIK</t>
        </is>
      </c>
      <c r="H451" s="184" t="inlineStr">
        <is>
          <t>Instansi Pemerintah Lainnya</t>
        </is>
      </c>
      <c r="I451" s="184" t="inlineStr">
        <is>
          <t>Data Statistik Sektoral</t>
        </is>
      </c>
      <c r="J451" s="184" t="inlineStr">
        <is>
          <t>Data Statistik Sektoral</t>
        </is>
      </c>
      <c r="K451" s="184" t="inlineStr">
        <is>
          <t>Terbuka</t>
        </is>
      </c>
      <c r="L451" s="184" t="inlineStr">
        <is>
          <t>Tidak terdapat</t>
        </is>
      </c>
      <c r="M451" s="184" t="inlineStr">
        <is>
          <t>Harian</t>
        </is>
      </c>
      <c r="N451" s="130" t="inlineStr">
        <is>
          <t>SIMASDA</t>
        </is>
      </c>
      <c r="O451" s="184" t="inlineStr">
        <is>
          <t>Diskominfo</t>
        </is>
      </c>
      <c r="P451" s="184" t="inlineStr">
        <is>
          <t>Kab. Bandung</t>
        </is>
      </c>
      <c r="Q451" s="184" t="inlineStr">
        <is>
          <t>Website</t>
        </is>
      </c>
      <c r="R451" s="131" t="inlineStr">
        <is>
          <t>https://simasda.bandungkab.go.id/</t>
        </is>
      </c>
      <c r="S451" s="184" t="inlineStr">
        <is>
          <t>Secara Online</t>
        </is>
      </c>
      <c r="T451" s="184" t="inlineStr">
        <is>
          <t>Informasi</t>
        </is>
      </c>
      <c r="U451" s="184" t="n">
        <v>2021</v>
      </c>
      <c r="V451" s="184" t="inlineStr">
        <is>
          <t>Aktif</t>
        </is>
      </c>
      <c r="W451" s="184" t="inlineStr">
        <is>
          <t>Ya</t>
        </is>
      </c>
      <c r="X451" s="184" t="inlineStr">
        <is>
          <t>Satu Data Kabupaten Bandung</t>
        </is>
      </c>
      <c r="Y451" s="184" t="inlineStr">
        <is>
          <t>Web Service</t>
        </is>
      </c>
      <c r="Z451" s="184" t="inlineStr">
        <is>
          <t>Realtime</t>
        </is>
      </c>
      <c r="AA451" s="184" t="inlineStr">
        <is>
          <t>Bagian Perencanaan dan Kehumasan</t>
        </is>
      </c>
      <c r="AB451" s="184" t="inlineStr">
        <is>
          <t>Diskominfo</t>
        </is>
      </c>
      <c r="AC451" s="67" t="inlineStr">
        <is>
          <t>Husni hanafi</t>
        </is>
      </c>
      <c r="AD451" s="77" t="n">
        <v>81293339797</v>
      </c>
      <c r="AE451" s="288" t="n"/>
      <c r="AF451" s="288" t="n"/>
      <c r="AG451" s="184" t="inlineStr">
        <is>
          <t>Insidentil</t>
        </is>
      </c>
      <c r="AH451" s="284" t="n"/>
      <c r="AI451" s="284" t="n"/>
      <c r="AJ451" s="284" t="n"/>
      <c r="AK451" s="284" t="n"/>
      <c r="AL451" s="284" t="n"/>
      <c r="AM451" s="284" t="n"/>
      <c r="AN451" s="284" t="n"/>
      <c r="AO451" s="284" t="n"/>
      <c r="AP451" s="284" t="n"/>
      <c r="AQ451" s="284" t="n"/>
      <c r="AR451" s="284" t="n"/>
      <c r="AS451" s="284" t="n"/>
    </row>
    <row r="452">
      <c r="A452" s="182" t="n">
        <v>9</v>
      </c>
      <c r="B452" s="184" t="inlineStr">
        <is>
          <t>Layanan Rujukan</t>
        </is>
      </c>
      <c r="C452" t="inlineStr">
        <is>
          <t>RSUD BEDAS KERTASARI</t>
        </is>
      </c>
      <c r="D452"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452" s="184" t="inlineStr">
        <is>
          <t>Surat Edaran Menteri Kesehatan Nomor HK.02.02/I/1161/2022 tentang Implementasi Penggunaan Aplikasi SISRUTE</t>
        </is>
      </c>
      <c r="F452" s="184" t="inlineStr">
        <is>
          <t>SOP RUJUKAN</t>
        </is>
      </c>
      <c r="G452" s="184" t="inlineStr">
        <is>
          <t>PENGELOLAAN PELAYANAN KESEHATAN</t>
        </is>
      </c>
      <c r="H452" s="184" t="inlineStr">
        <is>
          <t>Masyarakat</t>
        </is>
      </c>
      <c r="I452" s="184" t="inlineStr">
        <is>
          <t>Data Klinis dan Kebutuhan rujukan pasien</t>
        </is>
      </c>
      <c r="J452" s="178" t="inlineStr">
        <is>
          <t>Penerimaan rujukan sesuai kebutuhan pasien</t>
        </is>
      </c>
      <c r="K452" s="184" t="inlineStr">
        <is>
          <t>Terbatas</t>
        </is>
      </c>
      <c r="L452" s="184" t="inlineStr">
        <is>
          <t>Terdapat</t>
        </is>
      </c>
      <c r="M452" s="184" t="inlineStr">
        <is>
          <t>Harian</t>
        </is>
      </c>
      <c r="N452" s="130" t="inlineStr">
        <is>
          <t>SISRUTE</t>
        </is>
      </c>
      <c r="O452" s="184" t="inlineStr">
        <is>
          <t>Pusat</t>
        </is>
      </c>
      <c r="P452" s="184" t="inlineStr">
        <is>
          <t>Pusat</t>
        </is>
      </c>
      <c r="Q452" s="184" t="inlineStr">
        <is>
          <t>Website</t>
        </is>
      </c>
      <c r="R452" s="131" t="inlineStr">
        <is>
          <t>https://sisrute.kemkes.go.id/</t>
        </is>
      </c>
      <c r="S452" s="184" t="inlineStr">
        <is>
          <t>Secara Online</t>
        </is>
      </c>
      <c r="T452" s="184" t="inlineStr">
        <is>
          <t>Informasi</t>
        </is>
      </c>
      <c r="U452" s="184" t="n">
        <v>2016</v>
      </c>
      <c r="V452" s="184" t="inlineStr">
        <is>
          <t>Aktif</t>
        </is>
      </c>
      <c r="W452" s="184" t="inlineStr">
        <is>
          <t>Tidak</t>
        </is>
      </c>
      <c r="X452" s="184" t="inlineStr">
        <is>
          <t>Tidak terintegrasi</t>
        </is>
      </c>
      <c r="Y452" s="184" t="inlineStr">
        <is>
          <t>Tidak Terintegrasi</t>
        </is>
      </c>
      <c r="Z452" s="184" t="inlineStr">
        <is>
          <t>Tidak Terintegrasi</t>
        </is>
      </c>
      <c r="AA452" s="184" t="inlineStr">
        <is>
          <t>Bagian Pelayanan Medik</t>
        </is>
      </c>
      <c r="AB452" s="184" t="inlineStr">
        <is>
          <t>Dinkes</t>
        </is>
      </c>
      <c r="AC452" s="67" t="inlineStr">
        <is>
          <t>erlina ratna</t>
        </is>
      </c>
      <c r="AD452" s="77" t="n">
        <v>8582267415</v>
      </c>
      <c r="AE452" s="288" t="n"/>
      <c r="AF452" s="288" t="n"/>
      <c r="AG452" s="184" t="inlineStr">
        <is>
          <t>Insidentil</t>
        </is>
      </c>
      <c r="AH452" s="284" t="n"/>
      <c r="AI452" s="284" t="n"/>
      <c r="AJ452" s="284" t="n"/>
      <c r="AK452" s="284" t="n"/>
      <c r="AL452" s="284" t="n"/>
      <c r="AM452" s="284" t="n"/>
      <c r="AN452" s="284" t="n"/>
      <c r="AO452" s="284" t="n"/>
      <c r="AP452" s="284" t="n"/>
      <c r="AQ452" s="284" t="n"/>
      <c r="AR452" s="284" t="n"/>
      <c r="AS452" s="284" t="n"/>
    </row>
    <row r="453">
      <c r="A453" s="182" t="n">
        <v>10</v>
      </c>
      <c r="B453" s="184" t="inlineStr">
        <is>
          <t>Layanan Pelaporan Pajak</t>
        </is>
      </c>
      <c r="C453" t="inlineStr">
        <is>
          <t>RSUD BEDAS KERTASARI</t>
        </is>
      </c>
      <c r="D453" s="184" t="inlineStr">
        <is>
          <t>Coretax (Core Tax Administration System/CTAS) adalah sistem administrasi perpajakan baru Direktorat Jenderal Pajak (DJP) yang mengintegrasikan seluruh proses bisnis perpajakan—pendaftaran, pelaporan SPT, pembayaran, hingga pemeriksaan—dalam satu portal terpadu</t>
        </is>
      </c>
      <c r="E453" s="184"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453" s="288" t="n"/>
      <c r="G453" s="184" t="inlineStr">
        <is>
          <t>AKUNTANSI DAN PELAPORAN KEUANGAN</t>
        </is>
      </c>
      <c r="H453" s="184" t="inlineStr">
        <is>
          <t>Pegawai</t>
        </is>
      </c>
      <c r="I453" s="184" t="inlineStr">
        <is>
          <t>Pajak PPH 21, PPH 22, PPH 23 Dan PPN</t>
        </is>
      </c>
      <c r="J453" s="178" t="inlineStr">
        <is>
          <t>Bukti setor pajak</t>
        </is>
      </c>
      <c r="K453" s="184" t="inlineStr">
        <is>
          <t>Terbatas</t>
        </is>
      </c>
      <c r="L453" s="184" t="inlineStr">
        <is>
          <t>Terdapat</t>
        </is>
      </c>
      <c r="M453" s="184" t="inlineStr">
        <is>
          <t>Harian</t>
        </is>
      </c>
      <c r="N453" s="130" t="inlineStr">
        <is>
          <t>Coretax</t>
        </is>
      </c>
      <c r="O453" s="184" t="inlineStr">
        <is>
          <t>Pusat</t>
        </is>
      </c>
      <c r="P453" s="184" t="inlineStr">
        <is>
          <t>Pusat</t>
        </is>
      </c>
      <c r="Q453" s="184" t="inlineStr">
        <is>
          <t>Website</t>
        </is>
      </c>
      <c r="R453" s="131" t="inlineStr">
        <is>
          <t>https://coretaxdjp.pajak.go.id</t>
        </is>
      </c>
      <c r="S453" s="184" t="inlineStr">
        <is>
          <t>Secara Online</t>
        </is>
      </c>
      <c r="T453" s="184" t="inlineStr">
        <is>
          <t>Transaksi</t>
        </is>
      </c>
      <c r="U453" s="184" t="n">
        <v>2025</v>
      </c>
      <c r="V453" s="184" t="inlineStr">
        <is>
          <t>Aktif</t>
        </is>
      </c>
      <c r="W453" s="184" t="inlineStr">
        <is>
          <t>Ya</t>
        </is>
      </c>
      <c r="X453" s="184" t="inlineStr">
        <is>
          <t>coretax</t>
        </is>
      </c>
      <c r="Y453" s="184" t="inlineStr">
        <is>
          <t>Web Service</t>
        </is>
      </c>
      <c r="Z453" s="184" t="inlineStr">
        <is>
          <t>Bulanan</t>
        </is>
      </c>
      <c r="AA453" s="184" t="inlineStr">
        <is>
          <t>Bagian Keuangan</t>
        </is>
      </c>
      <c r="AB453" s="184" t="inlineStr">
        <is>
          <t>BKAD</t>
        </is>
      </c>
      <c r="AC453" s="288" t="n"/>
      <c r="AD453" s="288" t="n"/>
      <c r="AE453" s="288" t="n"/>
      <c r="AF453" s="288" t="n"/>
      <c r="AG453" s="184" t="inlineStr">
        <is>
          <t>Tahunan</t>
        </is>
      </c>
      <c r="AH453" s="284" t="n"/>
      <c r="AI453" s="284" t="n"/>
      <c r="AJ453" s="284" t="n"/>
      <c r="AK453" s="284" t="n"/>
      <c r="AL453" s="284" t="n"/>
      <c r="AM453" s="284" t="n"/>
      <c r="AN453" s="284" t="n"/>
      <c r="AO453" s="284" t="n"/>
      <c r="AP453" s="284" t="n"/>
      <c r="AQ453" s="284" t="n"/>
      <c r="AR453" s="284" t="n"/>
      <c r="AS453" s="284" t="n"/>
    </row>
    <row r="454">
      <c r="A454" s="182" t="n">
        <v>11</v>
      </c>
      <c r="B454" s="184" t="inlineStr">
        <is>
          <t>Layanan Sistem Rekonsiliasi Pajak</t>
        </is>
      </c>
      <c r="C454" t="inlineStr">
        <is>
          <t>RSUD BEDAS KERTASARI</t>
        </is>
      </c>
      <c r="D454" s="184"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454" s="184" t="inlineStr">
        <is>
          <t>PMK 67/PMK.07/2024: Peraturan Menteri Keuangan (PMK) ini mengatur tentang rekonsiliasi pajak pusat yang disetorkan pemda ke RKUN dan menjadi dasar validasi untuk penyaluran Dana Bagi Hasil (DBH) PPh dan DBH PBB.</t>
        </is>
      </c>
      <c r="F454" s="288" t="n"/>
      <c r="G454" s="184" t="inlineStr">
        <is>
          <t>AKUNTANSI DAN PELAPORAN KEUANGAN</t>
        </is>
      </c>
      <c r="H454" s="184" t="inlineStr">
        <is>
          <t>Instansi Pemerintah Lainnya</t>
        </is>
      </c>
      <c r="I454" s="184" t="inlineStr">
        <is>
          <t>Pajak yang bersumber dari APBD</t>
        </is>
      </c>
      <c r="J454" s="178" t="inlineStr">
        <is>
          <t>Bukti setor pajak</t>
        </is>
      </c>
      <c r="K454" s="184" t="inlineStr">
        <is>
          <t>Terbatas</t>
        </is>
      </c>
      <c r="L454" s="184" t="inlineStr">
        <is>
          <t>Tidak terdapat</t>
        </is>
      </c>
      <c r="M454" s="184" t="inlineStr">
        <is>
          <t>Bulanan</t>
        </is>
      </c>
      <c r="N454" s="130" t="inlineStr">
        <is>
          <t>SIREKON</t>
        </is>
      </c>
      <c r="O454" s="184" t="inlineStr">
        <is>
          <t>Diskominfo</t>
        </is>
      </c>
      <c r="P454" s="184" t="inlineStr">
        <is>
          <t>Kab. Bandung</t>
        </is>
      </c>
      <c r="Q454" s="184" t="inlineStr">
        <is>
          <t>Website</t>
        </is>
      </c>
      <c r="R454" s="131" t="inlineStr">
        <is>
          <t>https://sirekonpajak.bandungkab.go.id/</t>
        </is>
      </c>
      <c r="S454" s="184" t="inlineStr">
        <is>
          <t>Secara Online</t>
        </is>
      </c>
      <c r="T454" s="184" t="inlineStr">
        <is>
          <t>Informasi</t>
        </is>
      </c>
      <c r="U454" s="184" t="n">
        <v>2022</v>
      </c>
      <c r="V454" s="184" t="inlineStr">
        <is>
          <t>Aktif</t>
        </is>
      </c>
      <c r="W454" s="184" t="inlineStr">
        <is>
          <t>Ya</t>
        </is>
      </c>
      <c r="X454" s="288" t="n"/>
      <c r="Y454" s="184" t="inlineStr">
        <is>
          <t>Web Service</t>
        </is>
      </c>
      <c r="Z454" s="184" t="inlineStr">
        <is>
          <t>Bulanan</t>
        </is>
      </c>
      <c r="AA454" s="184" t="inlineStr">
        <is>
          <t>Bagian Keuangan</t>
        </is>
      </c>
      <c r="AB454" s="184" t="inlineStr">
        <is>
          <t>BKAD</t>
        </is>
      </c>
      <c r="AC454" s="288" t="n"/>
      <c r="AD454" s="288" t="n"/>
      <c r="AE454" s="288" t="n"/>
      <c r="AF454" s="288" t="n"/>
      <c r="AG454" s="184" t="inlineStr">
        <is>
          <t>Bulanan</t>
        </is>
      </c>
      <c r="AH454" s="284" t="n"/>
      <c r="AI454" s="284" t="n"/>
      <c r="AJ454" s="284" t="n"/>
      <c r="AK454" s="284" t="n"/>
      <c r="AL454" s="284" t="n"/>
      <c r="AM454" s="284" t="n"/>
      <c r="AN454" s="284" t="n"/>
      <c r="AO454" s="284" t="n"/>
      <c r="AP454" s="284" t="n"/>
      <c r="AQ454" s="284" t="n"/>
      <c r="AR454" s="284" t="n"/>
      <c r="AS454" s="284" t="n"/>
    </row>
    <row r="455">
      <c r="A455" s="182" t="n">
        <v>12</v>
      </c>
      <c r="B455" s="184" t="inlineStr">
        <is>
          <t>Layanan Informasi Tuberkulosis (SITB)</t>
        </is>
      </c>
      <c r="C455" t="inlineStr">
        <is>
          <t>RSUD BEDAS KERTASARI</t>
        </is>
      </c>
      <c r="D455" s="184"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455" s="184"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455" s="131" t="inlineStr">
        <is>
          <t>https://drive.google.com/drive/folders/1MppwIbicgeJnTSmBS08CzfVFAUOfmdja?usp=sharing</t>
        </is>
      </c>
      <c r="G455" s="184" t="inlineStr">
        <is>
          <t>PENGELOLAAN PELAYANAN KESEHATAN</t>
        </is>
      </c>
      <c r="H455" s="184" t="inlineStr">
        <is>
          <t>Masyarakat</t>
        </is>
      </c>
      <c r="I455" s="184" t="inlineStr">
        <is>
          <t>Identitas pasien, data klinis dan faktor risiko, data pemeriksaan diagnostik (mikroskopis sputum, Tes Cepat Molekuler (TCM), kultur, dan uji kepekaan obat), data pengobatan pasien TB, pemantauan dan evaluasi pengobatan.</t>
        </is>
      </c>
      <c r="J455" s="178" t="inlineStr">
        <is>
          <t>Data jumlah kasus TB yang terlaporkan (distribusi kasus berdasarkan umur, jenis kelamin, wilayah, serta jenis TB ), data hasil pemeriksaan diagnostik, data pemantauan dan data hasil indikator kinerja program TB.</t>
        </is>
      </c>
      <c r="K455" s="184" t="inlineStr">
        <is>
          <t>Terbatas</t>
        </is>
      </c>
      <c r="L455" s="184" t="inlineStr">
        <is>
          <t>Terdapat</t>
        </is>
      </c>
      <c r="M455" s="184" t="inlineStr">
        <is>
          <t>Lainnya</t>
        </is>
      </c>
      <c r="N455" s="130" t="inlineStr">
        <is>
          <t>Sistem Informasi Tuberkulosis (SITB)</t>
        </is>
      </c>
      <c r="O455" s="184" t="inlineStr">
        <is>
          <t>Pusat</t>
        </is>
      </c>
      <c r="P455" s="184" t="inlineStr">
        <is>
          <t>Pusat</t>
        </is>
      </c>
      <c r="Q455" s="184" t="inlineStr">
        <is>
          <t>Website dan Mobile</t>
        </is>
      </c>
      <c r="R455" s="131" t="inlineStr">
        <is>
          <t>http://dkijabarbanten.sitb.id/</t>
        </is>
      </c>
      <c r="S455" s="184" t="inlineStr">
        <is>
          <t>Secara Online</t>
        </is>
      </c>
      <c r="T455" s="184" t="inlineStr">
        <is>
          <t>Informasi</t>
        </is>
      </c>
      <c r="U455" s="184" t="n">
        <v>2018</v>
      </c>
      <c r="V455" s="184" t="inlineStr">
        <is>
          <t>Maintenance</t>
        </is>
      </c>
      <c r="W455" s="184" t="inlineStr">
        <is>
          <t>Ya</t>
        </is>
      </c>
      <c r="X455" s="184" t="inlineStr">
        <is>
          <t>SATUSEHAT Platform, Sistem Informasi HIV/AIDS dan IMS (SIHA), Sistem Informasi Manajemen Rumah Sakit (SIMRS) dan Sistem Kewaspadaan Dini dan Respons (SKDR).</t>
        </is>
      </c>
      <c r="Y455" s="184" t="inlineStr">
        <is>
          <t>API</t>
        </is>
      </c>
      <c r="Z455" s="184" t="inlineStr">
        <is>
          <t>Realtime</t>
        </is>
      </c>
      <c r="AA455" s="184" t="inlineStr">
        <is>
          <t>Bidang Pelayanan Medis</t>
        </is>
      </c>
      <c r="AB455" s="184" t="inlineStr">
        <is>
          <t>Dinkes</t>
        </is>
      </c>
      <c r="AC455" s="67" t="inlineStr">
        <is>
          <t>Iqbal</t>
        </is>
      </c>
      <c r="AD455" s="77" t="n">
        <v>82320203550</v>
      </c>
      <c r="AE455" s="288" t="n"/>
      <c r="AF455" s="288" t="n"/>
      <c r="AG455" s="184" t="inlineStr">
        <is>
          <t>Insidentil</t>
        </is>
      </c>
      <c r="AH455" s="284" t="n"/>
      <c r="AI455" s="284" t="n"/>
      <c r="AJ455" s="284" t="n"/>
      <c r="AK455" s="284" t="n"/>
      <c r="AL455" s="284" t="n"/>
      <c r="AM455" s="284" t="n"/>
      <c r="AN455" s="284" t="n"/>
      <c r="AO455" s="284" t="n"/>
      <c r="AP455" s="284" t="n"/>
      <c r="AQ455" s="284" t="n"/>
      <c r="AR455" s="284" t="n"/>
      <c r="AS455" s="284" t="n"/>
    </row>
    <row r="456">
      <c r="A456" s="182" t="n">
        <v>13</v>
      </c>
      <c r="B456" s="184" t="inlineStr">
        <is>
          <t>Layanan administrasi kepegawaian</t>
        </is>
      </c>
      <c r="C456" t="inlineStr">
        <is>
          <t>RSUD BEDAS KERTASARI</t>
        </is>
      </c>
      <c r="D456" s="184" t="inlineStr">
        <is>
          <t>Sistem informasi kepegawaian ASN Kabupaten Bandung. Fungsi nya untuk layanan administrasi kepegawaian ASN, mulai dari kenaikan pangkat, kenaikan gaji berkala, cuti, pensiun, ijin belajar dll</t>
        </is>
      </c>
      <c r="E456" s="184" t="inlineStr">
        <is>
          <t>Undang Undang Nomor 20 Tahun 2023 ttg ASN</t>
        </is>
      </c>
      <c r="F456" s="288" t="n"/>
      <c r="G456" s="184" t="inlineStr">
        <is>
          <t>PENATAAN SUMBER DAYA MANUSIA APARATUR</t>
        </is>
      </c>
      <c r="H456" s="184" t="inlineStr">
        <is>
          <t>Pegawai</t>
        </is>
      </c>
      <c r="I456" s="184" t="inlineStr">
        <is>
          <t>data kepegawaian</t>
        </is>
      </c>
      <c r="J456" s="178" t="inlineStr">
        <is>
          <t>layanan administrasi kepegawaian</t>
        </is>
      </c>
      <c r="K456" s="184" t="inlineStr">
        <is>
          <t>Terbatas</t>
        </is>
      </c>
      <c r="L456" s="184" t="inlineStr">
        <is>
          <t>Terdapat</t>
        </is>
      </c>
      <c r="M456" s="184" t="inlineStr">
        <is>
          <t>Bulanan</t>
        </is>
      </c>
      <c r="N456" s="130" t="inlineStr">
        <is>
          <t>simpel bkpsdm</t>
        </is>
      </c>
      <c r="O456" s="184" t="inlineStr">
        <is>
          <t>OPD</t>
        </is>
      </c>
      <c r="P456" s="184" t="inlineStr">
        <is>
          <t>Kab. Bandung</t>
        </is>
      </c>
      <c r="Q456" s="184" t="inlineStr">
        <is>
          <t>Website</t>
        </is>
      </c>
      <c r="R456" s="131" t="inlineStr">
        <is>
          <t>simpelbkpsdm.bandungkab.go.id</t>
        </is>
      </c>
      <c r="S456" s="184" t="inlineStr">
        <is>
          <t>Secara Online</t>
        </is>
      </c>
      <c r="T456" s="184" t="inlineStr">
        <is>
          <t>Informasi</t>
        </is>
      </c>
      <c r="U456" s="184" t="n">
        <v>2018</v>
      </c>
      <c r="V456" s="184" t="inlineStr">
        <is>
          <t>Aktif</t>
        </is>
      </c>
      <c r="W456" s="184" t="inlineStr">
        <is>
          <t>Ya</t>
        </is>
      </c>
      <c r="X456" s="184" t="inlineStr">
        <is>
          <t>SIASN</t>
        </is>
      </c>
      <c r="Y456" s="184" t="inlineStr">
        <is>
          <t>Database to Database</t>
        </is>
      </c>
      <c r="Z456" s="184" t="inlineStr">
        <is>
          <t>Lainnya</t>
        </is>
      </c>
      <c r="AA456" s="184" t="inlineStr">
        <is>
          <t>Bagian Umum dan Kepegawaian</t>
        </is>
      </c>
      <c r="AB456" s="184" t="inlineStr">
        <is>
          <t>BKPSDM</t>
        </is>
      </c>
      <c r="AC456" s="67" t="inlineStr">
        <is>
          <t>Reki kirana</t>
        </is>
      </c>
      <c r="AD456" s="77" t="n">
        <v>82130662787</v>
      </c>
      <c r="AE456" s="288" t="n"/>
      <c r="AF456" s="288" t="n"/>
      <c r="AG456" s="184" t="inlineStr">
        <is>
          <t>Harian</t>
        </is>
      </c>
      <c r="AH456" s="284" t="n"/>
      <c r="AI456" s="284" t="n"/>
      <c r="AJ456" s="284" t="n"/>
      <c r="AK456" s="284" t="n"/>
      <c r="AL456" s="284" t="n"/>
      <c r="AM456" s="284" t="n"/>
      <c r="AN456" s="284" t="n"/>
      <c r="AO456" s="284" t="n"/>
      <c r="AP456" s="284" t="n"/>
      <c r="AQ456" s="284" t="n"/>
      <c r="AR456" s="284" t="n"/>
      <c r="AS456" s="284" t="n"/>
    </row>
    <row r="457">
      <c r="A457" s="182" t="n">
        <v>14</v>
      </c>
      <c r="B457" s="184" t="inlineStr">
        <is>
          <t>Layanan Daftar Hadir Eletronik</t>
        </is>
      </c>
      <c r="C457" t="inlineStr">
        <is>
          <t>RSUD BEDAS KERTASARI</t>
        </is>
      </c>
      <c r="D457" s="184" t="inlineStr">
        <is>
          <t>Layanan presensi kehadiran ASN</t>
        </is>
      </c>
      <c r="E457" s="184" t="inlineStr">
        <is>
          <t>Undang Undang Nomor 20 Tahun 2023 ttg ASN</t>
        </is>
      </c>
      <c r="F457" s="288" t="n"/>
      <c r="G457" s="184" t="inlineStr">
        <is>
          <t>PENATAAN SUMBER DAYA MANUSIA APARATUR</t>
        </is>
      </c>
      <c r="H457" s="184" t="inlineStr">
        <is>
          <t>Pegawai</t>
        </is>
      </c>
      <c r="I457" s="184" t="inlineStr">
        <is>
          <t>Kehadiran ASN</t>
        </is>
      </c>
      <c r="J457" s="178" t="inlineStr">
        <is>
          <t>Kehadiran ASN</t>
        </is>
      </c>
      <c r="K457" s="184" t="inlineStr">
        <is>
          <t>Terbatas</t>
        </is>
      </c>
      <c r="L457" s="184" t="inlineStr">
        <is>
          <t>Terdapat</t>
        </is>
      </c>
      <c r="M457" s="184" t="inlineStr">
        <is>
          <t>Harian</t>
        </is>
      </c>
      <c r="N457" s="130" t="inlineStr">
        <is>
          <t>DHE</t>
        </is>
      </c>
      <c r="O457" s="184" t="inlineStr">
        <is>
          <t>OPD</t>
        </is>
      </c>
      <c r="P457" s="184" t="inlineStr">
        <is>
          <t>Kab. Bandung</t>
        </is>
      </c>
      <c r="Q457" s="184" t="inlineStr">
        <is>
          <t>Mobile</t>
        </is>
      </c>
      <c r="R457" s="220" t="inlineStr">
        <is>
          <t>DHE</t>
        </is>
      </c>
      <c r="S457" s="184" t="inlineStr">
        <is>
          <t>Secara Online</t>
        </is>
      </c>
      <c r="T457" s="184" t="inlineStr">
        <is>
          <t>Informasi</t>
        </is>
      </c>
      <c r="U457" s="288" t="n"/>
      <c r="V457" s="184" t="inlineStr">
        <is>
          <t>Aktif</t>
        </is>
      </c>
      <c r="W457" s="184" t="inlineStr">
        <is>
          <t>Ya</t>
        </is>
      </c>
      <c r="X457" s="184" t="inlineStr">
        <is>
          <t>e-absensi, sasikap</t>
        </is>
      </c>
      <c r="Y457" s="184" t="inlineStr">
        <is>
          <t>Web Service</t>
        </is>
      </c>
      <c r="Z457" s="184" t="inlineStr">
        <is>
          <t>Harian</t>
        </is>
      </c>
      <c r="AA457" s="184" t="inlineStr">
        <is>
          <t>Bagian Umum dan Kepegawaian</t>
        </is>
      </c>
      <c r="AB457" s="184" t="inlineStr">
        <is>
          <t>Diskominfo</t>
        </is>
      </c>
      <c r="AC457" s="67" t="inlineStr">
        <is>
          <t>Reki kirana</t>
        </is>
      </c>
      <c r="AD457" s="77" t="n">
        <v>82130662787</v>
      </c>
      <c r="AE457" s="288" t="n"/>
      <c r="AF457" s="288" t="n"/>
      <c r="AG457" s="184" t="inlineStr">
        <is>
          <t>Harian</t>
        </is>
      </c>
      <c r="AH457" s="284" t="n"/>
      <c r="AI457" s="284" t="n"/>
      <c r="AJ457" s="284" t="n"/>
      <c r="AK457" s="284" t="n"/>
      <c r="AL457" s="284" t="n"/>
      <c r="AM457" s="284" t="n"/>
      <c r="AN457" s="284" t="n"/>
      <c r="AO457" s="284" t="n"/>
      <c r="AP457" s="284" t="n"/>
      <c r="AQ457" s="284" t="n"/>
      <c r="AR457" s="284" t="n"/>
      <c r="AS457" s="284" t="n"/>
    </row>
    <row r="458">
      <c r="A458" s="182" t="n">
        <v>15</v>
      </c>
      <c r="B458" s="184" t="inlineStr">
        <is>
          <t>Layanan surat menyurat elektronik</t>
        </is>
      </c>
      <c r="C458" t="inlineStr">
        <is>
          <t>RSUD BEDAS KERTASARI</t>
        </is>
      </c>
      <c r="D458" s="184" t="inlineStr">
        <is>
          <t>Layanan surat menyurat</t>
        </is>
      </c>
      <c r="E458" s="288" t="n"/>
      <c r="F458" s="288" t="n"/>
      <c r="G458" s="184" t="inlineStr">
        <is>
          <t>PENATAAN SISTEM KELEMBAGAAN</t>
        </is>
      </c>
      <c r="H458" s="184" t="inlineStr">
        <is>
          <t>Pegawai</t>
        </is>
      </c>
      <c r="I458" s="184" t="inlineStr">
        <is>
          <t>surat dinas</t>
        </is>
      </c>
      <c r="J458" s="178" t="inlineStr">
        <is>
          <t>surat dinas</t>
        </is>
      </c>
      <c r="K458" s="184" t="inlineStr">
        <is>
          <t>Terbatas</t>
        </is>
      </c>
      <c r="L458" s="184" t="inlineStr">
        <is>
          <t>Tidak terdapat</t>
        </is>
      </c>
      <c r="M458" s="184" t="inlineStr">
        <is>
          <t>Harian</t>
        </is>
      </c>
      <c r="N458" s="130" t="inlineStr">
        <is>
          <t>Sultan</t>
        </is>
      </c>
      <c r="O458" s="184" t="inlineStr">
        <is>
          <t>OPD</t>
        </is>
      </c>
      <c r="P458" s="184" t="inlineStr">
        <is>
          <t>Kab. Bandung</t>
        </is>
      </c>
      <c r="Q458" s="184" t="inlineStr">
        <is>
          <t>Website dan Mobile</t>
        </is>
      </c>
      <c r="R458" s="131" t="inlineStr">
        <is>
          <t>sultan.banadungkab.go.id</t>
        </is>
      </c>
      <c r="S458" s="184" t="inlineStr">
        <is>
          <t>Secara Online</t>
        </is>
      </c>
      <c r="T458" s="184" t="inlineStr">
        <is>
          <t>Informasi</t>
        </is>
      </c>
      <c r="U458" s="288" t="n"/>
      <c r="V458" s="184" t="inlineStr">
        <is>
          <t>Aktif</t>
        </is>
      </c>
      <c r="W458" s="184" t="inlineStr">
        <is>
          <t>Tidak</t>
        </is>
      </c>
      <c r="X458" s="184" t="inlineStr">
        <is>
          <t>tidak terintegrasi</t>
        </is>
      </c>
      <c r="Y458" s="184" t="inlineStr">
        <is>
          <t>Tidak Terintegrasi</t>
        </is>
      </c>
      <c r="Z458" s="184" t="inlineStr">
        <is>
          <t>Tidak Terintegrasi</t>
        </is>
      </c>
      <c r="AA458" s="184" t="inlineStr">
        <is>
          <t>semua bidang/bagian</t>
        </is>
      </c>
      <c r="AB458" s="184" t="inlineStr">
        <is>
          <t>Diskominfo</t>
        </is>
      </c>
      <c r="AC458" s="67" t="inlineStr">
        <is>
          <t>Tati</t>
        </is>
      </c>
      <c r="AD458" s="77" t="n">
        <v>81320529503</v>
      </c>
      <c r="AE458" s="288" t="n"/>
      <c r="AF458" s="288" t="n"/>
      <c r="AG458" s="184" t="inlineStr">
        <is>
          <t>Harian</t>
        </is>
      </c>
      <c r="AH458" s="284" t="n"/>
      <c r="AI458" s="284" t="n"/>
      <c r="AJ458" s="284" t="n"/>
      <c r="AK458" s="284" t="n"/>
      <c r="AL458" s="284" t="n"/>
      <c r="AM458" s="284" t="n"/>
      <c r="AN458" s="284" t="n"/>
      <c r="AO458" s="284" t="n"/>
      <c r="AP458" s="284" t="n"/>
      <c r="AQ458" s="284" t="n"/>
      <c r="AR458" s="284" t="n"/>
      <c r="AS458" s="284" t="n"/>
    </row>
    <row r="459">
      <c r="A459" s="182" t="n">
        <v>16</v>
      </c>
      <c r="B459" s="184" t="inlineStr">
        <is>
          <t>Laporan aktivitas harian ASN</t>
        </is>
      </c>
      <c r="C459" t="inlineStr">
        <is>
          <t>RSUD BEDAS KERTASARI</t>
        </is>
      </c>
      <c r="D459" s="184" t="inlineStr">
        <is>
          <t>Laporan aktivitas harian ASN</t>
        </is>
      </c>
      <c r="E459" s="184" t="inlineStr">
        <is>
          <t>Undang Undang Nomor 20 Tahun 2023 ttg ASN</t>
        </is>
      </c>
      <c r="F459" s="288" t="n"/>
      <c r="G459" s="184" t="inlineStr">
        <is>
          <t>PENATAAN SUMBER DAYA MANUSIA APARATUR</t>
        </is>
      </c>
      <c r="H459" s="184" t="inlineStr">
        <is>
          <t>Pegawai</t>
        </is>
      </c>
      <c r="I459" s="184" t="inlineStr">
        <is>
          <t>aktivitas ASN</t>
        </is>
      </c>
      <c r="J459" s="178" t="inlineStr">
        <is>
          <t>aktivitas ASN</t>
        </is>
      </c>
      <c r="K459" s="184" t="inlineStr">
        <is>
          <t>Terbatas</t>
        </is>
      </c>
      <c r="L459" s="184" t="inlineStr">
        <is>
          <t>Tidak terdapat</t>
        </is>
      </c>
      <c r="M459" s="184" t="inlineStr">
        <is>
          <t>Harian</t>
        </is>
      </c>
      <c r="N459" s="130" t="inlineStr">
        <is>
          <t>SASIKAP</t>
        </is>
      </c>
      <c r="O459" s="184" t="inlineStr">
        <is>
          <t>Diskominfo</t>
        </is>
      </c>
      <c r="P459" s="184" t="inlineStr">
        <is>
          <t>Kab. Bandung</t>
        </is>
      </c>
      <c r="Q459" s="184" t="inlineStr">
        <is>
          <t>Website dan Mobile</t>
        </is>
      </c>
      <c r="R459" s="131" t="inlineStr">
        <is>
          <t>sso.bandungkab.go.id</t>
        </is>
      </c>
      <c r="S459" s="184" t="inlineStr">
        <is>
          <t>Secara Online</t>
        </is>
      </c>
      <c r="T459" s="184" t="inlineStr">
        <is>
          <t>Informasi</t>
        </is>
      </c>
      <c r="U459" s="288" t="n"/>
      <c r="V459" s="184" t="inlineStr">
        <is>
          <t>Aktif</t>
        </is>
      </c>
      <c r="W459" s="184" t="inlineStr">
        <is>
          <t>Ya</t>
        </is>
      </c>
      <c r="X459" s="184" t="inlineStr">
        <is>
          <t>e-absensi, DHE</t>
        </is>
      </c>
      <c r="Y459" s="184" t="inlineStr">
        <is>
          <t>Web Service</t>
        </is>
      </c>
      <c r="Z459" s="184" t="inlineStr">
        <is>
          <t>Realtime</t>
        </is>
      </c>
      <c r="AA459" s="184" t="inlineStr">
        <is>
          <t>semua bidang/bagian</t>
        </is>
      </c>
      <c r="AB459" s="184" t="inlineStr">
        <is>
          <t>BKPSDM</t>
        </is>
      </c>
      <c r="AC459" s="67" t="inlineStr">
        <is>
          <t>Reki kirana</t>
        </is>
      </c>
      <c r="AD459" s="77" t="n">
        <v>82130662787</v>
      </c>
      <c r="AE459" s="288" t="n"/>
      <c r="AF459" s="288" t="n"/>
      <c r="AG459" s="184" t="inlineStr">
        <is>
          <t>Harian</t>
        </is>
      </c>
      <c r="AH459" s="284" t="n"/>
      <c r="AI459" s="284" t="n"/>
      <c r="AJ459" s="284" t="n"/>
      <c r="AK459" s="284" t="n"/>
      <c r="AL459" s="284" t="n"/>
      <c r="AM459" s="284" t="n"/>
      <c r="AN459" s="284" t="n"/>
      <c r="AO459" s="284" t="n"/>
      <c r="AP459" s="284" t="n"/>
      <c r="AQ459" s="284" t="n"/>
      <c r="AR459" s="284" t="n"/>
      <c r="AS459" s="284" t="n"/>
    </row>
    <row r="460">
      <c r="A460" s="182" t="n">
        <v>17</v>
      </c>
      <c r="B460" s="184" t="inlineStr">
        <is>
          <t>Layanan informasi tenaga kesehatan</t>
        </is>
      </c>
      <c r="C460" t="inlineStr">
        <is>
          <t>RSUD BEDAS KERTASARI</t>
        </is>
      </c>
      <c r="D460" s="184" t="inlineStr">
        <is>
          <t>sistem informasi database tenaga kesehatan, ketersediaan fasilitas rumah sakit</t>
        </is>
      </c>
      <c r="E460" s="184" t="inlineStr">
        <is>
          <t>Undang-undang np 17 Tahun 2023 ttg kesehatn</t>
        </is>
      </c>
      <c r="F460" s="288" t="n"/>
      <c r="G460" s="184" t="inlineStr">
        <is>
          <t>PENGEMBANGAN DAN PEMBERDAYAAN SUMBER DAYA MANUSIA KESEHATAN</t>
        </is>
      </c>
      <c r="H460" s="184" t="inlineStr">
        <is>
          <t>Pegawai</t>
        </is>
      </c>
      <c r="I460" s="184" t="inlineStr">
        <is>
          <t>database tenaga kesehatan</t>
        </is>
      </c>
      <c r="J460" s="184" t="inlineStr">
        <is>
          <t>database tenaga kesehatan</t>
        </is>
      </c>
      <c r="K460" s="184" t="inlineStr">
        <is>
          <t>Terbatas</t>
        </is>
      </c>
      <c r="L460" s="184" t="inlineStr">
        <is>
          <t>Terdapat</t>
        </is>
      </c>
      <c r="M460" s="184" t="inlineStr">
        <is>
          <t>Harian</t>
        </is>
      </c>
      <c r="N460" s="130" t="inlineStr">
        <is>
          <t>SISDMK</t>
        </is>
      </c>
      <c r="O460" s="184" t="inlineStr">
        <is>
          <t>Pusat</t>
        </is>
      </c>
      <c r="P460" s="184" t="inlineStr">
        <is>
          <t>Pusat</t>
        </is>
      </c>
      <c r="Q460" s="184" t="inlineStr">
        <is>
          <t>Website dan Mobile</t>
        </is>
      </c>
      <c r="R460" s="131" t="inlineStr">
        <is>
          <t>sisdmk.kemkes.go.id</t>
        </is>
      </c>
      <c r="S460" s="184" t="inlineStr">
        <is>
          <t>Secara Online</t>
        </is>
      </c>
      <c r="T460" s="184" t="inlineStr">
        <is>
          <t>Informasi</t>
        </is>
      </c>
      <c r="U460" s="288" t="n"/>
      <c r="V460" s="184" t="inlineStr">
        <is>
          <t>Aktif</t>
        </is>
      </c>
      <c r="W460" s="184" t="inlineStr">
        <is>
          <t>Ya</t>
        </is>
      </c>
      <c r="X460" s="288" t="n"/>
      <c r="Y460" s="184" t="inlineStr">
        <is>
          <t>Web Service</t>
        </is>
      </c>
      <c r="Z460" s="184" t="inlineStr">
        <is>
          <t>Realtime</t>
        </is>
      </c>
      <c r="AA460" s="184" t="inlineStr">
        <is>
          <t>semua bidang/bagian</t>
        </is>
      </c>
      <c r="AB460" s="184" t="inlineStr">
        <is>
          <t>Dinkes</t>
        </is>
      </c>
      <c r="AC460" s="67" t="inlineStr">
        <is>
          <t>Raca Abdul</t>
        </is>
      </c>
      <c r="AD460" s="77" t="n">
        <v>81355155336</v>
      </c>
      <c r="AE460" s="288" t="n"/>
      <c r="AF460" s="288" t="n"/>
      <c r="AG460" s="184" t="inlineStr">
        <is>
          <t>Harian</t>
        </is>
      </c>
      <c r="AH460" s="284" t="n"/>
      <c r="AI460" s="284" t="n"/>
      <c r="AJ460" s="284" t="n"/>
      <c r="AK460" s="284" t="n"/>
      <c r="AL460" s="284" t="n"/>
      <c r="AM460" s="284" t="n"/>
      <c r="AN460" s="284" t="n"/>
      <c r="AO460" s="284" t="n"/>
      <c r="AP460" s="284" t="n"/>
      <c r="AQ460" s="284" t="n"/>
      <c r="AR460" s="284" t="n"/>
      <c r="AS460" s="284" t="n"/>
    </row>
    <row r="461">
      <c r="A461" s="182" t="n">
        <v>18</v>
      </c>
      <c r="B461" s="184" t="inlineStr">
        <is>
          <t>Layanan pelaporan pelayanan kesehatan</t>
        </is>
      </c>
      <c r="C461" t="inlineStr">
        <is>
          <t>RSUD BEDAS KERTASARI</t>
        </is>
      </c>
      <c r="D461" s="176" t="inlineStr">
        <is>
          <t>Pelaporan pelayanan kesehatan mencakup Data dasar RS, Profil, Update tempat tidur, Laporan KLB/Pandemi, Kompetensi RS, Rekapitulasi Laporan</t>
        </is>
      </c>
      <c r="E461" s="184" t="inlineStr">
        <is>
          <t>Direktorat Jenderal Kesehatan Lanjutan Kemenkes</t>
        </is>
      </c>
      <c r="F461" s="131" t="inlineStr">
        <is>
          <t>sirs.kemkes.go.id</t>
        </is>
      </c>
      <c r="G461" s="184" t="inlineStr">
        <is>
          <t>PENGELOLAAN PELAYANAN KESEHATAN</t>
        </is>
      </c>
      <c r="H461" s="184" t="inlineStr">
        <is>
          <t>Instansi Pemerintah Lainnya</t>
        </is>
      </c>
      <c r="I461" s="184" t="inlineStr">
        <is>
          <t>Data dasar RS, Profil, Update tempat tidur, Laporan KLB/Pandemi, Kompetensi RS, Rekapitulasi Laporan</t>
        </is>
      </c>
      <c r="J461" s="178" t="inlineStr">
        <is>
          <t>Laporan Updating</t>
        </is>
      </c>
      <c r="K461" s="184" t="inlineStr">
        <is>
          <t>Terbatas</t>
        </is>
      </c>
      <c r="L461" s="184" t="inlineStr">
        <is>
          <t>Tidak terdapat</t>
        </is>
      </c>
      <c r="M461" s="184" t="inlineStr">
        <is>
          <t>Harian</t>
        </is>
      </c>
      <c r="N461" s="97" t="inlineStr">
        <is>
          <t>RS Online</t>
        </is>
      </c>
      <c r="O461" s="184" t="inlineStr">
        <is>
          <t>Pusat</t>
        </is>
      </c>
      <c r="P461" s="184" t="inlineStr">
        <is>
          <t>Pusat</t>
        </is>
      </c>
      <c r="Q461" s="67" t="inlineStr">
        <is>
          <t>Website</t>
        </is>
      </c>
      <c r="R461" s="75" t="inlineStr">
        <is>
          <t>SIRS.KEMKES.GO.ID</t>
        </is>
      </c>
      <c r="S461" s="184" t="inlineStr">
        <is>
          <t>Secara Online</t>
        </is>
      </c>
      <c r="T461" s="184" t="inlineStr">
        <is>
          <t>Informasi</t>
        </is>
      </c>
      <c r="U461" s="288" t="n"/>
      <c r="V461" s="184" t="inlineStr">
        <is>
          <t>Aktif</t>
        </is>
      </c>
      <c r="W461" s="184" t="inlineStr">
        <is>
          <t>Ya</t>
        </is>
      </c>
      <c r="X461" s="184" t="inlineStr">
        <is>
          <t>tidak Terintegrasi</t>
        </is>
      </c>
      <c r="Y461" s="184" t="inlineStr">
        <is>
          <t>Tidak Terintegrasi</t>
        </is>
      </c>
      <c r="Z461" s="184" t="inlineStr">
        <is>
          <t>Realtime</t>
        </is>
      </c>
      <c r="AA461" s="184" t="inlineStr">
        <is>
          <t>Bidang Penunjang Medik dan Pelayanan Medik</t>
        </is>
      </c>
      <c r="AB461" s="184" t="inlineStr">
        <is>
          <t>Dinkes</t>
        </is>
      </c>
      <c r="AC461" s="67" t="inlineStr">
        <is>
          <t>Husni hanafi</t>
        </is>
      </c>
      <c r="AD461" s="77" t="n">
        <v>81293339797</v>
      </c>
      <c r="AE461" s="288" t="n"/>
      <c r="AF461" s="288" t="n"/>
      <c r="AG461" s="184" t="inlineStr">
        <is>
          <t>Harian</t>
        </is>
      </c>
      <c r="AH461" s="284" t="n"/>
      <c r="AI461" s="284" t="n"/>
      <c r="AJ461" s="284" t="n"/>
      <c r="AK461" s="284" t="n"/>
      <c r="AL461" s="284" t="n"/>
      <c r="AM461" s="284" t="n"/>
      <c r="AN461" s="284" t="n"/>
      <c r="AO461" s="284" t="n"/>
      <c r="AP461" s="284" t="n"/>
      <c r="AQ461" s="284" t="n"/>
      <c r="AR461" s="284" t="n"/>
      <c r="AS461" s="284" t="n"/>
    </row>
    <row r="462">
      <c r="A462" s="182" t="n">
        <v>19</v>
      </c>
      <c r="B462" s="184" t="inlineStr">
        <is>
          <t>Layanan pelaporan kinerja</t>
        </is>
      </c>
      <c r="C462" t="inlineStr">
        <is>
          <t>RSUD BEDAS KERTASARI</t>
        </is>
      </c>
      <c r="D462" s="221"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462"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462" s="288" t="n"/>
      <c r="G462" s="184" t="inlineStr">
        <is>
          <t>PENINGKATAN KUALITAS REFORMASI BIROKRASI, PENGAWASAN, DAN AKUNTABILITAS KINERJA</t>
        </is>
      </c>
      <c r="H462" s="184" t="inlineStr">
        <is>
          <t>Instansi Pemerintah Lainnya</t>
        </is>
      </c>
      <c r="I462" s="184" t="inlineStr">
        <is>
          <t>Data Capaian Kinerja Program dan Kegiatan, Indikator
 Data Capaian Pelaksanaan Anggaran dan Belanja
 Narasi Permasalahan dan Solusi
 Tindak lanjut Reomendasi DPRD
 Data Dukung Capaian Kinerja Berupa Penghargaan</t>
        </is>
      </c>
      <c r="J462" s="222" t="inlineStr">
        <is>
          <t>Dokumen digital yang terstruktur dan tervalidasi yang nantinya dicetak atau disampaikan secara elektronik sebagai bentuk pertanggungjawaban Kepala Daerah kepada DPRD.</t>
        </is>
      </c>
      <c r="K462" s="184" t="inlineStr">
        <is>
          <t>Terbuka</t>
        </is>
      </c>
      <c r="L462" s="184" t="inlineStr">
        <is>
          <t>Tidak terdapat</t>
        </is>
      </c>
      <c r="M462" s="184" t="inlineStr">
        <is>
          <t>Tahunan</t>
        </is>
      </c>
      <c r="N462" s="130" t="inlineStr">
        <is>
          <t>E-LKPJ</t>
        </is>
      </c>
      <c r="O462" s="184" t="inlineStr">
        <is>
          <t>OPD</t>
        </is>
      </c>
      <c r="P462" s="184" t="inlineStr">
        <is>
          <t>Kab. Bandung</t>
        </is>
      </c>
      <c r="Q462" s="184" t="inlineStr">
        <is>
          <t>Website</t>
        </is>
      </c>
      <c r="R462" s="131" t="inlineStr">
        <is>
          <t>https://e-lkpj.id/login</t>
        </is>
      </c>
      <c r="S462" s="184" t="inlineStr">
        <is>
          <t>Secara Online</t>
        </is>
      </c>
      <c r="T462" s="184" t="inlineStr">
        <is>
          <t>Informasi</t>
        </is>
      </c>
      <c r="U462" s="288" t="n"/>
      <c r="V462" s="184" t="inlineStr">
        <is>
          <t>Aktif</t>
        </is>
      </c>
      <c r="W462" s="184" t="inlineStr">
        <is>
          <t>Ya</t>
        </is>
      </c>
      <c r="X462" s="184" t="inlineStr">
        <is>
          <t>SIDALMONEP</t>
        </is>
      </c>
      <c r="Y462" s="288" t="n"/>
      <c r="Z462" s="288" t="n"/>
      <c r="AA462" s="184" t="inlineStr">
        <is>
          <t>Bagian Perencanaan dan Kehumasan</t>
        </is>
      </c>
      <c r="AB462" s="184" t="inlineStr">
        <is>
          <t>Setda</t>
        </is>
      </c>
      <c r="AC462" s="67" t="inlineStr">
        <is>
          <t>Reki kirana</t>
        </is>
      </c>
      <c r="AD462" s="77" t="n">
        <v>82130662787</v>
      </c>
      <c r="AE462" s="288" t="n"/>
      <c r="AF462" s="288" t="n"/>
      <c r="AG462" s="184" t="inlineStr">
        <is>
          <t>Tahunan</t>
        </is>
      </c>
      <c r="AH462" s="284" t="n"/>
      <c r="AI462" s="284" t="n"/>
      <c r="AJ462" s="284" t="n"/>
      <c r="AK462" s="284" t="n"/>
      <c r="AL462" s="284" t="n"/>
      <c r="AM462" s="284" t="n"/>
      <c r="AN462" s="284" t="n"/>
      <c r="AO462" s="284" t="n"/>
      <c r="AP462" s="284" t="n"/>
      <c r="AQ462" s="284" t="n"/>
      <c r="AR462" s="284" t="n"/>
      <c r="AS462" s="284" t="n"/>
    </row>
    <row r="463">
      <c r="A463" s="182" t="n">
        <v>20</v>
      </c>
      <c r="B463" s="184" t="inlineStr">
        <is>
          <t>Layanan monitoring dan evaluasi</t>
        </is>
      </c>
      <c r="C463" t="inlineStr">
        <is>
          <t>RSUD BEDAS KERTASARI</t>
        </is>
      </c>
      <c r="D463" s="184"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463" s="184" t="inlineStr">
        <is>
          <t>Permendagri Nomor 86 Tahun 2017: Peraturan menteri ini merupakan dasar utama tentang Tata Cara Perencanaan, Pengendalian, dan Evaluasi Pembangunan Daerah</t>
        </is>
      </c>
      <c r="F463" s="288" t="n"/>
      <c r="G463" s="184" t="inlineStr">
        <is>
          <t>MONITORING DAN EVALUASI ANGGARAN</t>
        </is>
      </c>
      <c r="H463" s="184" t="inlineStr">
        <is>
          <t>Instansi Pemerintah Lainnya</t>
        </is>
      </c>
      <c r="I463" s="184"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463" s="184" t="inlineStr">
        <is>
          <t>Laporan Evaluasi RKPD, Rekapitulasi Capaian Kinerja Perangkat Daerah</t>
        </is>
      </c>
      <c r="K463" s="184" t="inlineStr">
        <is>
          <t>Terbuka</t>
        </is>
      </c>
      <c r="L463" s="184" t="inlineStr">
        <is>
          <t>Tidak terdapat</t>
        </is>
      </c>
      <c r="M463" s="184" t="inlineStr">
        <is>
          <t>Bulanan</t>
        </is>
      </c>
      <c r="N463" s="130" t="inlineStr">
        <is>
          <t>Sidalmonep</t>
        </is>
      </c>
      <c r="O463" s="184" t="inlineStr">
        <is>
          <t>OPD</t>
        </is>
      </c>
      <c r="P463" s="184" t="inlineStr">
        <is>
          <t>Kab. Bandung</t>
        </is>
      </c>
      <c r="Q463" s="184" t="inlineStr">
        <is>
          <t>Website</t>
        </is>
      </c>
      <c r="R463" s="131" t="inlineStr">
        <is>
          <t>https://sidalmonep.bandungkab.go.id/app</t>
        </is>
      </c>
      <c r="S463" s="184" t="inlineStr">
        <is>
          <t>Secara Online</t>
        </is>
      </c>
      <c r="T463" s="184" t="inlineStr">
        <is>
          <t>Informasi</t>
        </is>
      </c>
      <c r="U463" s="288" t="n"/>
      <c r="V463" s="184" t="inlineStr">
        <is>
          <t>Aktif</t>
        </is>
      </c>
      <c r="W463" s="184" t="inlineStr">
        <is>
          <t>Ya</t>
        </is>
      </c>
      <c r="X463" s="184" t="inlineStr">
        <is>
          <t>e-lkpj</t>
        </is>
      </c>
      <c r="Y463" s="288" t="n"/>
      <c r="Z463" s="288" t="n"/>
      <c r="AA463" s="184" t="inlineStr">
        <is>
          <t>Bagian Perencanaan dan Kehumasan</t>
        </is>
      </c>
      <c r="AB463" s="184" t="inlineStr">
        <is>
          <t>Bapperida</t>
        </is>
      </c>
      <c r="AC463" s="67" t="inlineStr">
        <is>
          <t>Reki kirana</t>
        </is>
      </c>
      <c r="AD463" s="77" t="n">
        <v>82130662787</v>
      </c>
      <c r="AE463" s="288" t="n"/>
      <c r="AF463" s="288" t="n"/>
      <c r="AG463" s="184" t="inlineStr">
        <is>
          <t>Bulanan</t>
        </is>
      </c>
      <c r="AH463" s="284" t="n"/>
      <c r="AI463" s="284" t="n"/>
      <c r="AJ463" s="284" t="n"/>
      <c r="AK463" s="284" t="n"/>
      <c r="AL463" s="284" t="n"/>
      <c r="AM463" s="284" t="n"/>
      <c r="AN463" s="284" t="n"/>
      <c r="AO463" s="284" t="n"/>
      <c r="AP463" s="284" t="n"/>
      <c r="AQ463" s="284" t="n"/>
      <c r="AR463" s="284" t="n"/>
      <c r="AS463" s="284" t="n"/>
    </row>
    <row r="464">
      <c r="A464" s="182" t="n">
        <v>21</v>
      </c>
      <c r="B464" s="184" t="inlineStr">
        <is>
          <t>Layanan survey kepuasan masyarakat</t>
        </is>
      </c>
      <c r="C464" t="inlineStr">
        <is>
          <t>RSUD BEDAS KERTASARI</t>
        </is>
      </c>
      <c r="D464" s="17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464" s="184" t="inlineStr">
        <is>
          <t>-Peraturan Pemerintah Nomor 96 Tahun 2012 tentang Pelaksanaan Undang-undang Nomor 25 Tahun 2009 tentang Pelayanan Publik
 -Peraturan Menteri PANRB No. 14 Tahun 2017 tentang Pedoman Penyusunan Survei Kepuasan Masyarakat (SKM)</t>
        </is>
      </c>
      <c r="F464" s="288" t="n"/>
      <c r="G464" s="184" t="inlineStr">
        <is>
          <t>INFORMASI DAN DIPLOMASI PUBLIK</t>
        </is>
      </c>
      <c r="H464" s="184" t="inlineStr">
        <is>
          <t>Masyarakat</t>
        </is>
      </c>
      <c r="I464" s="184" t="inlineStr">
        <is>
          <t>Hasil Responden Survey Kepuasan Masyarakat (SKM)</t>
        </is>
      </c>
      <c r="J464" s="178" t="inlineStr">
        <is>
          <t>Laporan dan Hasil rekapan SKM</t>
        </is>
      </c>
      <c r="K464" s="184" t="inlineStr">
        <is>
          <t>Terbuka</t>
        </is>
      </c>
      <c r="L464" s="184" t="inlineStr">
        <is>
          <t>Terdapat</t>
        </is>
      </c>
      <c r="M464" s="184" t="inlineStr">
        <is>
          <t>Bulanan</t>
        </is>
      </c>
      <c r="N464" s="130" t="inlineStr">
        <is>
          <t>e-skm</t>
        </is>
      </c>
      <c r="O464" s="184" t="inlineStr">
        <is>
          <t>OPD</t>
        </is>
      </c>
      <c r="P464" s="184" t="inlineStr">
        <is>
          <t>Kab. Bandung</t>
        </is>
      </c>
      <c r="Q464" s="184" t="inlineStr">
        <is>
          <t>Website</t>
        </is>
      </c>
      <c r="R464" s="131" t="inlineStr">
        <is>
          <t>https://skm.bandungkab.go.id/</t>
        </is>
      </c>
      <c r="S464" s="184" t="inlineStr">
        <is>
          <t>Secara Online</t>
        </is>
      </c>
      <c r="T464" s="184" t="inlineStr">
        <is>
          <t>Informasi</t>
        </is>
      </c>
      <c r="U464" s="288" t="n"/>
      <c r="V464" s="184" t="inlineStr">
        <is>
          <t>Aktif</t>
        </is>
      </c>
      <c r="W464" s="184" t="inlineStr">
        <is>
          <t>Tidak</t>
        </is>
      </c>
      <c r="X464" s="184" t="inlineStr">
        <is>
          <t>Tidak Terintegrasi</t>
        </is>
      </c>
      <c r="Y464" s="184" t="inlineStr">
        <is>
          <t>Tidak Terintegrasi</t>
        </is>
      </c>
      <c r="Z464" s="184" t="inlineStr">
        <is>
          <t>Tidak Terintegrasi</t>
        </is>
      </c>
      <c r="AA464" s="184" t="inlineStr">
        <is>
          <t>Bagian Perencanaan dan Kehumasan</t>
        </is>
      </c>
      <c r="AB464" s="184" t="inlineStr">
        <is>
          <t>Setda</t>
        </is>
      </c>
      <c r="AC464" s="178" t="inlineStr">
        <is>
          <t>Cepi firmansyah</t>
        </is>
      </c>
      <c r="AD464" s="98" t="n">
        <v>85659119423</v>
      </c>
      <c r="AE464" s="288" t="n"/>
      <c r="AF464" s="288" t="n"/>
      <c r="AG464" s="184" t="inlineStr">
        <is>
          <t>Bulanan</t>
        </is>
      </c>
      <c r="AH464" s="284" t="n"/>
      <c r="AI464" s="284" t="n"/>
      <c r="AJ464" s="284" t="n"/>
      <c r="AK464" s="284" t="n"/>
      <c r="AL464" s="284" t="n"/>
      <c r="AM464" s="284" t="n"/>
      <c r="AN464" s="284" t="n"/>
      <c r="AO464" s="284" t="n"/>
      <c r="AP464" s="284" t="n"/>
      <c r="AQ464" s="284" t="n"/>
      <c r="AR464" s="284" t="n"/>
      <c r="AS464" s="284" t="n"/>
    </row>
    <row r="465">
      <c r="A465" s="182" t="n">
        <v>22</v>
      </c>
      <c r="B465" s="184" t="inlineStr">
        <is>
          <t>Layanan Pengaduan Masyarakat</t>
        </is>
      </c>
      <c r="C465" t="inlineStr">
        <is>
          <t>RSUD BEDAS KERTASARI</t>
        </is>
      </c>
      <c r="D465" s="17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465" s="184" t="inlineStr">
        <is>
          <t>-Undang-Undang Nomor 25 Tahun 2009 tentang Pelayanan Publik
 -Peraturan Presiden Nomor 76 Tahun 2013 tentang Pengelolaan Pengaduan Pelayanan Publik, dan 
 -Peraturan Menteri PANRB Nomor 3 Tahun 2015</t>
        </is>
      </c>
      <c r="F465" s="288" t="n"/>
      <c r="G465" s="184" t="inlineStr">
        <is>
          <t>INFORMASI DAN DIPLOMASI PUBLIK</t>
        </is>
      </c>
      <c r="H465" s="184" t="inlineStr">
        <is>
          <t>Masyarakat</t>
        </is>
      </c>
      <c r="I465" s="184" t="inlineStr">
        <is>
          <t>Laporan Pengaduan yang telah di disposisikan dari pemda ke OPD</t>
        </is>
      </c>
      <c r="J465" s="178" t="inlineStr">
        <is>
          <t>Pengaduan yang telah di tindak lanjut</t>
        </is>
      </c>
      <c r="K465" s="184" t="inlineStr">
        <is>
          <t>Terbatas</t>
        </is>
      </c>
      <c r="L465" s="184" t="inlineStr">
        <is>
          <t>Terdapat</t>
        </is>
      </c>
      <c r="M465" s="184" t="inlineStr">
        <is>
          <t>Lainnya</t>
        </is>
      </c>
      <c r="N465" s="130" t="inlineStr">
        <is>
          <t>SP4N LAPOR</t>
        </is>
      </c>
      <c r="O465" s="184" t="inlineStr">
        <is>
          <t>Pusat</t>
        </is>
      </c>
      <c r="P465" s="184" t="inlineStr">
        <is>
          <t>Pusat</t>
        </is>
      </c>
      <c r="Q465" s="184" t="inlineStr">
        <is>
          <t>Website</t>
        </is>
      </c>
      <c r="R465" s="131" t="inlineStr">
        <is>
          <t>https://www.lapor.go.id/</t>
        </is>
      </c>
      <c r="S465" s="184" t="inlineStr">
        <is>
          <t>Secara Online</t>
        </is>
      </c>
      <c r="T465" s="184" t="inlineStr">
        <is>
          <t>Informasi</t>
        </is>
      </c>
      <c r="U465" s="288" t="n"/>
      <c r="V465" s="184" t="inlineStr">
        <is>
          <t>Aktif</t>
        </is>
      </c>
      <c r="W465" s="184" t="inlineStr">
        <is>
          <t>Tidak</t>
        </is>
      </c>
      <c r="X465" s="184" t="inlineStr">
        <is>
          <t>Tidak Terintegrasi</t>
        </is>
      </c>
      <c r="Y465" s="184" t="inlineStr">
        <is>
          <t>Tidak Terintegrasi</t>
        </is>
      </c>
      <c r="Z465" s="184" t="inlineStr">
        <is>
          <t>Tidak Terintegrasi</t>
        </is>
      </c>
      <c r="AA465" s="184" t="inlineStr">
        <is>
          <t>Bagian Perencanaan dan Kehumasan</t>
        </is>
      </c>
      <c r="AB465" s="184" t="inlineStr">
        <is>
          <t>Diskominfo</t>
        </is>
      </c>
      <c r="AC465" s="288" t="n"/>
      <c r="AD465" s="288" t="n"/>
      <c r="AE465" s="288" t="n"/>
      <c r="AF465" s="288" t="n"/>
      <c r="AG465" s="184" t="inlineStr">
        <is>
          <t>Insidentil</t>
        </is>
      </c>
      <c r="AH465" s="284" t="n"/>
      <c r="AI465" s="284" t="n"/>
      <c r="AJ465" s="284" t="n"/>
      <c r="AK465" s="284" t="n"/>
      <c r="AL465" s="284" t="n"/>
      <c r="AM465" s="284" t="n"/>
      <c r="AN465" s="284" t="n"/>
      <c r="AO465" s="284" t="n"/>
      <c r="AP465" s="284" t="n"/>
      <c r="AQ465" s="284" t="n"/>
      <c r="AR465" s="284" t="n"/>
      <c r="AS465" s="284" t="n"/>
    </row>
    <row r="466">
      <c r="A466" s="182" t="n">
        <v>23</v>
      </c>
      <c r="B466" s="184" t="inlineStr">
        <is>
          <t>Layanan informasi perangkat daerah</t>
        </is>
      </c>
      <c r="C466" t="inlineStr">
        <is>
          <t>RSUD BEDAS KERTASARI</t>
        </is>
      </c>
      <c r="D466" s="178" t="inlineStr">
        <is>
          <t>menjamin hak warga negara atas informasi, mendorong transparansi, akuntabilitas, dan partisipasi publik di badan publik. Fungsinya meliputi pengelolaan, penyimpanan, pendokumentasian, serta penyediaan layanan informasi yang cepat, tepat, dan sederhana</t>
        </is>
      </c>
      <c r="E466" s="184" t="inlineStr">
        <is>
          <t>Undang-Undang Nomor 14 Tahun 2008 tentang Keterbukaan Informasi Publik (UU KIP)</t>
        </is>
      </c>
      <c r="F466" s="288" t="n"/>
      <c r="G466" s="184" t="inlineStr">
        <is>
          <t>INFORMASI DAN DIPLOMASI PUBLIK</t>
        </is>
      </c>
      <c r="H466" s="184" t="inlineStr">
        <is>
          <t>Masyarakat</t>
        </is>
      </c>
      <c r="I466" s="184" t="inlineStr">
        <is>
          <t>Informasi Keseluruhan pelayanan publik</t>
        </is>
      </c>
      <c r="J466" s="178" t="inlineStr">
        <is>
          <t>dokumen organisasi, anggaran, laporan tahunan, serta perizinan</t>
        </is>
      </c>
      <c r="K466" s="184" t="inlineStr">
        <is>
          <t>Terbuka</t>
        </is>
      </c>
      <c r="L466" s="184" t="inlineStr">
        <is>
          <t>Tidak terdapat</t>
        </is>
      </c>
      <c r="M466" s="184" t="inlineStr">
        <is>
          <t>Lainnya</t>
        </is>
      </c>
      <c r="N466" s="130" t="inlineStr">
        <is>
          <t>PPID</t>
        </is>
      </c>
      <c r="O466" s="184" t="inlineStr">
        <is>
          <t>Diskominfo</t>
        </is>
      </c>
      <c r="P466" s="184" t="inlineStr">
        <is>
          <t>Kab. Bandung</t>
        </is>
      </c>
      <c r="Q466" s="184" t="inlineStr">
        <is>
          <t>Website</t>
        </is>
      </c>
      <c r="R466" s="131" t="inlineStr">
        <is>
          <t>https://ppid.bandungkab.go.id/dashboard</t>
        </is>
      </c>
      <c r="S466" s="184" t="inlineStr">
        <is>
          <t>Secara Online</t>
        </is>
      </c>
      <c r="T466" s="184" t="inlineStr">
        <is>
          <t>Informasi</t>
        </is>
      </c>
      <c r="U466" s="288" t="n"/>
      <c r="V466" s="184" t="inlineStr">
        <is>
          <t>Aktif</t>
        </is>
      </c>
      <c r="W466" s="184" t="inlineStr">
        <is>
          <t>Tidak</t>
        </is>
      </c>
      <c r="X466" s="184" t="inlineStr">
        <is>
          <t>Tidak Terintegrasi</t>
        </is>
      </c>
      <c r="Y466" s="184" t="inlineStr">
        <is>
          <t>Tidak Terintegrasi</t>
        </is>
      </c>
      <c r="Z466" s="184" t="inlineStr">
        <is>
          <t>Tidak Terintegrasi</t>
        </is>
      </c>
      <c r="AA466" s="184" t="inlineStr">
        <is>
          <t>Bagian Perencanaan dan Kehumasan</t>
        </is>
      </c>
      <c r="AB466" s="184" t="inlineStr">
        <is>
          <t>Diskominfo</t>
        </is>
      </c>
      <c r="AC466" s="288" t="n"/>
      <c r="AD466" s="288" t="n"/>
      <c r="AE466" s="288" t="n"/>
      <c r="AF466" s="288" t="n"/>
      <c r="AG466" s="184" t="inlineStr">
        <is>
          <t>Insidentil</t>
        </is>
      </c>
      <c r="AH466" s="284" t="n"/>
      <c r="AI466" s="284" t="n"/>
      <c r="AJ466" s="284" t="n"/>
      <c r="AK466" s="284" t="n"/>
      <c r="AL466" s="284" t="n"/>
      <c r="AM466" s="284" t="n"/>
      <c r="AN466" s="284" t="n"/>
      <c r="AO466" s="284" t="n"/>
      <c r="AP466" s="284" t="n"/>
      <c r="AQ466" s="284" t="n"/>
      <c r="AR466" s="284" t="n"/>
      <c r="AS466" s="284" t="n"/>
    </row>
    <row r="467">
      <c r="A467" s="182" t="n">
        <v>24</v>
      </c>
      <c r="B467" s="184" t="inlineStr">
        <is>
          <t>Layanan informasi mutu fasilitas layanan kesehatan</t>
        </is>
      </c>
      <c r="C467" t="inlineStr">
        <is>
          <t>RSUD BEDAS KERTASARI</t>
        </is>
      </c>
      <c r="D467" s="178" t="inlineStr">
        <is>
          <t>untuk mengumpulkan dan memantau data kualitas pelayanan kesehatan secara terintegrasi, sehingga dapat digunakan untuk evaluasi, peningkatan mutu, dan pengambilan kebijakan di bidang kesehatan.</t>
        </is>
      </c>
      <c r="E467"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467" s="288" t="n"/>
      <c r="G467" s="184" t="inlineStr">
        <is>
          <t>PENGELOLAAN PELAYANAN KESEHATAN</t>
        </is>
      </c>
      <c r="H467" s="184" t="inlineStr">
        <is>
          <t>Instansi Pemerintah Lainnya</t>
        </is>
      </c>
      <c r="I467" s="178" t="inlineStr">
        <is>
          <t>1. Indikator Mutu Nasional 
 2. Pelaporan HAIS
 3. Pelaporan Insiden Keselamatan Pasien</t>
        </is>
      </c>
      <c r="J467" s="178" t="inlineStr">
        <is>
          <t>Data Monitoring dan Evaluasi</t>
        </is>
      </c>
      <c r="K467" s="184" t="inlineStr">
        <is>
          <t>Terbatas</t>
        </is>
      </c>
      <c r="L467" s="184" t="inlineStr">
        <is>
          <t>Tidak terdapat</t>
        </is>
      </c>
      <c r="M467" s="184" t="inlineStr">
        <is>
          <t>Bulanan</t>
        </is>
      </c>
      <c r="N467" s="130" t="inlineStr">
        <is>
          <t>MUTU FASYANKES</t>
        </is>
      </c>
      <c r="O467" s="184" t="inlineStr">
        <is>
          <t>Pusat</t>
        </is>
      </c>
      <c r="P467" s="184" t="inlineStr">
        <is>
          <t>Pusat</t>
        </is>
      </c>
      <c r="Q467" s="184" t="inlineStr">
        <is>
          <t>Website</t>
        </is>
      </c>
      <c r="R467" s="223" t="inlineStr">
        <is>
          <t>https://mutufasyankes.kemkes.go.id/</t>
        </is>
      </c>
      <c r="S467" s="184" t="inlineStr">
        <is>
          <t>Secara Online</t>
        </is>
      </c>
      <c r="T467" s="184" t="inlineStr">
        <is>
          <t>Informasi</t>
        </is>
      </c>
      <c r="U467" s="77" t="n">
        <v>2022</v>
      </c>
      <c r="V467" s="184" t="inlineStr">
        <is>
          <t>Aktif</t>
        </is>
      </c>
      <c r="W467" s="67" t="inlineStr">
        <is>
          <t>Tidak</t>
        </is>
      </c>
      <c r="X467" s="67" t="inlineStr">
        <is>
          <t>Tidak Terintegrasi</t>
        </is>
      </c>
      <c r="Y467" s="67" t="inlineStr">
        <is>
          <t>Tidak Terintegrasi</t>
        </is>
      </c>
      <c r="Z467" s="67" t="inlineStr">
        <is>
          <t>Bulanan</t>
        </is>
      </c>
      <c r="AA467" s="184" t="inlineStr">
        <is>
          <t>Komite Mutu</t>
        </is>
      </c>
      <c r="AB467" s="184" t="inlineStr">
        <is>
          <t>Dinkes</t>
        </is>
      </c>
      <c r="AC467" s="178" t="inlineStr">
        <is>
          <t>Cepi firmansyah</t>
        </is>
      </c>
      <c r="AD467" s="98" t="n">
        <v>85659119423</v>
      </c>
      <c r="AE467" s="288" t="n"/>
      <c r="AF467" s="288" t="n"/>
      <c r="AG467" s="184" t="inlineStr">
        <is>
          <t>Bulanan</t>
        </is>
      </c>
      <c r="AH467" s="284" t="n"/>
      <c r="AI467" s="284" t="n"/>
      <c r="AJ467" s="284" t="n"/>
      <c r="AK467" s="284" t="n"/>
      <c r="AL467" s="284" t="n"/>
      <c r="AM467" s="284" t="n"/>
      <c r="AN467" s="284" t="n"/>
      <c r="AO467" s="284" t="n"/>
      <c r="AP467" s="284" t="n"/>
      <c r="AQ467" s="284" t="n"/>
      <c r="AR467" s="284" t="n"/>
      <c r="AS467" s="284" t="n"/>
    </row>
    <row r="468">
      <c r="A468" s="182" t="n">
        <v>25</v>
      </c>
      <c r="B468" s="184" t="inlineStr">
        <is>
          <t>Layanan manajemen data fasilitas kesehatan</t>
        </is>
      </c>
      <c r="C468" t="inlineStr">
        <is>
          <t>RSUD BEDAS KERTASARI</t>
        </is>
      </c>
      <c r="D468" s="67" t="inlineStr">
        <is>
          <t>database dan sistem manajemen data fasilitas kesehatan yang bekerja sama dengan BPJS Kesehatan untuk mendukung pelayanan peserta BPJS</t>
        </is>
      </c>
      <c r="E468"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468" s="288" t="n"/>
      <c r="G468" s="184" t="inlineStr">
        <is>
          <t>PENGELOLAAN PELAYANAN KESEHATAN</t>
        </is>
      </c>
      <c r="H468" s="184" t="inlineStr">
        <is>
          <t>Instansi Pemerintah Lainnya</t>
        </is>
      </c>
      <c r="I468" s="178" t="inlineStr">
        <is>
          <t>1. Data Identitas Fasilitas Kesehatan
 2. Data Perizinan dan Legalitas
 3. Data Tenaga Kesehatan
 4. Data Sarana dan Prasarana
 5. Data Jenis Layanan Kesehatan
 6. Data Kapasitas Pelayanan
 7. Data Kerja Sama dengan BPJS
 8. Dokumen Pendukung</t>
        </is>
      </c>
      <c r="J468" s="178" t="inlineStr">
        <is>
          <t>1. Profil Fasilitas Kesehatan
 2. Data Sebaran Fasilitas Kesehatan
 3. Data Tenaga Kesehatan
 4. Data Sarana dan Prasarana
 5. Data Jenis dan Kapasitas Layanan
 6. Status dan Riwayat Kerja Sama
 7. Laporan dan Monitoring Fasilitas Kesehatan</t>
        </is>
      </c>
      <c r="K468" s="184" t="inlineStr">
        <is>
          <t>Terbatas</t>
        </is>
      </c>
      <c r="L468" s="184" t="inlineStr">
        <is>
          <t>Terdapat</t>
        </is>
      </c>
      <c r="M468" s="184" t="inlineStr">
        <is>
          <t>Lainnya</t>
        </is>
      </c>
      <c r="N468" s="130" t="inlineStr">
        <is>
          <t>HFIS BPJS</t>
        </is>
      </c>
      <c r="O468" s="184" t="inlineStr">
        <is>
          <t>Pusat</t>
        </is>
      </c>
      <c r="P468" s="184" t="inlineStr">
        <is>
          <t>Pusat</t>
        </is>
      </c>
      <c r="Q468" s="184" t="inlineStr">
        <is>
          <t>Website</t>
        </is>
      </c>
      <c r="R468" s="223" t="inlineStr">
        <is>
          <t>:Health Facilities Information System (H.F.I.S):</t>
        </is>
      </c>
      <c r="S468" s="184" t="inlineStr">
        <is>
          <t>Secara Online</t>
        </is>
      </c>
      <c r="T468" s="184" t="inlineStr">
        <is>
          <t>Informasi</t>
        </is>
      </c>
      <c r="U468" s="288" t="n"/>
      <c r="V468" s="184" t="inlineStr">
        <is>
          <t>Aktif</t>
        </is>
      </c>
      <c r="W468" s="184" t="inlineStr">
        <is>
          <t>Ya</t>
        </is>
      </c>
      <c r="X468" s="184" t="inlineStr">
        <is>
          <t>Mobile JKN</t>
        </is>
      </c>
      <c r="Y468" s="184" t="inlineStr">
        <is>
          <t>Database to Database</t>
        </is>
      </c>
      <c r="Z468" s="184" t="inlineStr">
        <is>
          <t>Realtime</t>
        </is>
      </c>
      <c r="AA468" s="184" t="inlineStr">
        <is>
          <t>Bidang Pelayanan Medik</t>
        </is>
      </c>
      <c r="AB468" s="184" t="inlineStr">
        <is>
          <t>Dinkes</t>
        </is>
      </c>
      <c r="AC468" s="178" t="inlineStr">
        <is>
          <t>Cepi firmansyah</t>
        </is>
      </c>
      <c r="AD468" s="98" t="n">
        <v>85659119423</v>
      </c>
      <c r="AE468" s="288" t="n"/>
      <c r="AF468" s="288" t="n"/>
      <c r="AG468" s="184" t="inlineStr">
        <is>
          <t>Insidentil</t>
        </is>
      </c>
      <c r="AH468" s="284" t="n"/>
      <c r="AI468" s="284" t="n"/>
      <c r="AJ468" s="284" t="n"/>
      <c r="AK468" s="284" t="n"/>
      <c r="AL468" s="284" t="n"/>
      <c r="AM468" s="284" t="n"/>
      <c r="AN468" s="284" t="n"/>
      <c r="AO468" s="284" t="n"/>
      <c r="AP468" s="284" t="n"/>
      <c r="AQ468" s="284" t="n"/>
      <c r="AR468" s="284" t="n"/>
      <c r="AS468" s="284" t="n"/>
    </row>
    <row r="469">
      <c r="A469" s="182" t="n">
        <v>26</v>
      </c>
      <c r="B469" s="178" t="inlineStr">
        <is>
          <t>Layanan manajemen data sarana prasarana alat kesehatan</t>
        </is>
      </c>
      <c r="C469" t="inlineStr">
        <is>
          <t>RSUD BEDAS KERTASARI</t>
        </is>
      </c>
      <c r="D469" s="201" t="inlineStr">
        <is>
          <t>sistem informasi berbasis web dari Kementerian Kesehatan untuk menghimpun data sarana, prasarana, dan alat kesehatan (SPA) di fasyankes</t>
        </is>
      </c>
      <c r="E469" s="225" t="inlineStr">
        <is>
          <t>Permenkes No. 31 Tahun 2018: Mengatur kewajiban pengisian, validasi, dan update data ASPAK oleh Fasyankes, Dinas Kesehatan Kabupaten/Kota, dan Dinas Kesehatan Provinsi</t>
        </is>
      </c>
      <c r="F469" s="288" t="n"/>
      <c r="G469" s="67" t="inlineStr">
        <is>
          <t>PENGELOLAAN PELAYANAN KESEHATAN</t>
        </is>
      </c>
      <c r="H469" s="184" t="inlineStr">
        <is>
          <t>Instansi Pemerintah Lainnya</t>
        </is>
      </c>
      <c r="I469" s="184" t="inlineStr">
        <is>
          <t>data sarana, prasarana, dan alat kesehatan (SPA) di fasyankes</t>
        </is>
      </c>
      <c r="J469" s="184" t="inlineStr">
        <is>
          <t>data sarana, prasarana, dan alat kesehatan (SPA) di fasyankes</t>
        </is>
      </c>
      <c r="K469" s="184" t="inlineStr">
        <is>
          <t>Tertutup</t>
        </is>
      </c>
      <c r="L469" s="184" t="inlineStr">
        <is>
          <t>Tidak terdapat</t>
        </is>
      </c>
      <c r="M469" s="184" t="inlineStr">
        <is>
          <t>Harian</t>
        </is>
      </c>
      <c r="N469" s="130" t="inlineStr">
        <is>
          <t>ASPAK</t>
        </is>
      </c>
      <c r="O469" s="184" t="inlineStr">
        <is>
          <t>Pusat</t>
        </is>
      </c>
      <c r="P469" s="184" t="inlineStr">
        <is>
          <t>Pusat</t>
        </is>
      </c>
      <c r="Q469" s="184" t="inlineStr">
        <is>
          <t>Website</t>
        </is>
      </c>
      <c r="R469" s="131" t="inlineStr">
        <is>
          <t>https://aspak.kemkes.go.id/aplikasi/site/index</t>
        </is>
      </c>
      <c r="S469" s="184" t="inlineStr">
        <is>
          <t>Secara Online</t>
        </is>
      </c>
      <c r="T469" s="184" t="inlineStr">
        <is>
          <t>Informasi</t>
        </is>
      </c>
      <c r="U469" s="184" t="n">
        <v>2018</v>
      </c>
      <c r="V469" s="184" t="inlineStr">
        <is>
          <t>Aktif</t>
        </is>
      </c>
      <c r="W469" s="67" t="inlineStr">
        <is>
          <t>Tidak</t>
        </is>
      </c>
      <c r="X469" s="184" t="inlineStr">
        <is>
          <t>tidak terintegrasi'</t>
        </is>
      </c>
      <c r="Y469" s="67" t="inlineStr">
        <is>
          <t>Tidak Terintegrasi</t>
        </is>
      </c>
      <c r="Z469" s="184" t="inlineStr">
        <is>
          <t>Tidak Terintegrasi</t>
        </is>
      </c>
      <c r="AA469" s="68" t="inlineStr">
        <is>
          <t>Bidang Pelayanan Medik</t>
        </is>
      </c>
      <c r="AB469" s="184" t="inlineStr">
        <is>
          <t>Dinkes</t>
        </is>
      </c>
      <c r="AC469" s="178" t="inlineStr">
        <is>
          <t>Cepi firmansyah</t>
        </is>
      </c>
      <c r="AD469" s="98" t="n">
        <v>85659119423</v>
      </c>
      <c r="AE469" s="288" t="n"/>
      <c r="AF469" s="288" t="n"/>
      <c r="AG469" s="68" t="inlineStr">
        <is>
          <t>Insidentil</t>
        </is>
      </c>
      <c r="AH469" s="284" t="n"/>
      <c r="AI469" s="284" t="n"/>
      <c r="AJ469" s="284" t="n"/>
      <c r="AK469" s="284" t="n"/>
      <c r="AL469" s="284" t="n"/>
      <c r="AM469" s="284" t="n"/>
      <c r="AN469" s="284" t="n"/>
      <c r="AO469" s="284" t="n"/>
      <c r="AP469" s="284" t="n"/>
      <c r="AQ469" s="284" t="n"/>
      <c r="AR469" s="284" t="n"/>
      <c r="AS469" s="284" t="n"/>
    </row>
    <row r="470">
      <c r="A470" s="71" t="inlineStr">
        <is>
          <t>RSUD BEDAS ARJASARI</t>
        </is>
      </c>
      <c r="B470" s="58" t="n"/>
      <c r="D470" s="58" t="n"/>
      <c r="E470" s="58" t="n"/>
      <c r="F470" s="58" t="n"/>
      <c r="G470" s="58" t="n"/>
      <c r="H470" s="58" t="n"/>
      <c r="I470" s="58" t="n"/>
      <c r="J470" s="58" t="n"/>
      <c r="K470" s="58" t="n"/>
      <c r="L470" s="58" t="n"/>
      <c r="M470" s="58" t="n"/>
      <c r="N470" s="58" t="n"/>
      <c r="O470" s="58" t="n"/>
      <c r="P470" s="58" t="n"/>
      <c r="Q470" s="58" t="n"/>
      <c r="R470" s="58" t="n"/>
      <c r="S470" s="58" t="n"/>
      <c r="T470" s="58" t="n"/>
      <c r="U470" s="58" t="n"/>
      <c r="V470" s="58" t="n"/>
      <c r="W470" s="58" t="n"/>
      <c r="X470" s="58" t="n"/>
      <c r="Y470" s="58" t="n"/>
      <c r="Z470" s="58" t="n"/>
      <c r="AA470" s="58" t="n"/>
      <c r="AB470" s="58" t="n"/>
      <c r="AC470" s="58" t="n"/>
      <c r="AD470" s="58" t="n"/>
      <c r="AE470" s="58" t="n"/>
      <c r="AF470" s="200" t="n"/>
      <c r="AG470" s="200" t="n"/>
      <c r="AH470" s="284" t="n"/>
      <c r="AI470" s="284" t="n"/>
      <c r="AJ470" s="284" t="n"/>
      <c r="AK470" s="284" t="n"/>
      <c r="AL470" s="284" t="n"/>
      <c r="AM470" s="284" t="n"/>
      <c r="AN470" s="284" t="n"/>
      <c r="AO470" s="284" t="n"/>
      <c r="AP470" s="284" t="n"/>
      <c r="AQ470" s="284" t="n"/>
      <c r="AR470" s="284" t="n"/>
      <c r="AS470" s="284" t="n"/>
    </row>
    <row r="471">
      <c r="A471" s="182" t="n">
        <v>1</v>
      </c>
      <c r="B471" s="178" t="inlineStr">
        <is>
          <t>Layanan Kepegawaian</t>
        </is>
      </c>
      <c r="C471" t="inlineStr">
        <is>
          <t>RSUD BEDAS ARJASARI</t>
        </is>
      </c>
      <c r="D471" s="288" t="n"/>
      <c r="E471" s="288" t="n"/>
      <c r="F471" s="288" t="n"/>
      <c r="G471" s="288" t="n"/>
      <c r="H471" s="288" t="n"/>
      <c r="I471" s="288" t="n"/>
      <c r="J471" s="288" t="n"/>
      <c r="K471" s="288" t="n"/>
      <c r="L471" s="288" t="n"/>
      <c r="M471" s="288" t="n"/>
      <c r="N471" s="130" t="inlineStr">
        <is>
          <t>Sasikap EVO</t>
        </is>
      </c>
      <c r="O471" s="184" t="inlineStr">
        <is>
          <t>OPD</t>
        </is>
      </c>
      <c r="P471" s="184" t="inlineStr">
        <is>
          <t>Kab. Bandung</t>
        </is>
      </c>
      <c r="Q471" s="184" t="inlineStr">
        <is>
          <t>Website</t>
        </is>
      </c>
      <c r="R471" s="131" t="inlineStr">
        <is>
          <t>sasikapevo.com</t>
        </is>
      </c>
      <c r="S471" s="184" t="inlineStr">
        <is>
          <t>Secara Online</t>
        </is>
      </c>
      <c r="T471" s="184" t="inlineStr">
        <is>
          <t>Transaksi</t>
        </is>
      </c>
      <c r="U471" s="184" t="inlineStr">
        <is>
          <t>-</t>
        </is>
      </c>
      <c r="V471" s="184" t="inlineStr">
        <is>
          <t>Aktif</t>
        </is>
      </c>
      <c r="W471" s="184" t="inlineStr">
        <is>
          <t>Ya</t>
        </is>
      </c>
      <c r="X471" s="184" t="inlineStr">
        <is>
          <t>Ya</t>
        </is>
      </c>
      <c r="Y471" s="184" t="inlineStr">
        <is>
          <t>API</t>
        </is>
      </c>
      <c r="Z471" s="184" t="inlineStr">
        <is>
          <t>Harian</t>
        </is>
      </c>
      <c r="AA471" s="184" t="inlineStr">
        <is>
          <t>-</t>
        </is>
      </c>
      <c r="AB471" s="184" t="inlineStr">
        <is>
          <t>BKPSDM</t>
        </is>
      </c>
      <c r="AC471" s="288" t="n"/>
      <c r="AD471" s="288" t="n"/>
      <c r="AE471" s="288" t="n"/>
      <c r="AF471" s="288" t="n"/>
      <c r="AG471" s="68" t="inlineStr">
        <is>
          <t>Setiap Saat</t>
        </is>
      </c>
      <c r="AH471" s="284" t="n"/>
      <c r="AI471" s="284" t="n"/>
      <c r="AJ471" s="284" t="n"/>
      <c r="AK471" s="284" t="n"/>
      <c r="AL471" s="284" t="n"/>
      <c r="AM471" s="284" t="n"/>
      <c r="AN471" s="284" t="n"/>
      <c r="AO471" s="284" t="n"/>
      <c r="AP471" s="284" t="n"/>
      <c r="AQ471" s="284" t="n"/>
      <c r="AR471" s="284" t="n"/>
      <c r="AS471" s="284" t="n"/>
    </row>
    <row r="472">
      <c r="A472" s="182" t="n">
        <v>2</v>
      </c>
      <c r="B472" s="178" t="inlineStr">
        <is>
          <t>Layanan Daftar Hadir elekto</t>
        </is>
      </c>
      <c r="C472" t="inlineStr">
        <is>
          <t>RSUD BEDAS ARJASARI</t>
        </is>
      </c>
      <c r="D472" s="67" t="inlineStr">
        <is>
          <t>Untuk memudahkan pencatatan dan pengelolaan kehadiran secara digital sehingga lebih cepat, akurat, serta meningkatkan disiplin dan pengawasan terhadap kehadiran pegawai.</t>
        </is>
      </c>
      <c r="E472" s="76" t="inlineStr">
        <is>
          <t>Peraturan Bupati Bandung Nomor 108 Tahun 2019</t>
        </is>
      </c>
      <c r="F472" s="288" t="n"/>
      <c r="G472" s="184" t="inlineStr">
        <is>
          <t>PENGELOLAAN PELAYANAN KESEHATAN</t>
        </is>
      </c>
      <c r="H472" s="184" t="inlineStr">
        <is>
          <t>Pegawai</t>
        </is>
      </c>
      <c r="I472" s="184" t="inlineStr">
        <is>
          <t>Data Pegawai</t>
        </is>
      </c>
      <c r="J472" s="184" t="inlineStr">
        <is>
          <t>Rekapan Daftar Hadir elektronik</t>
        </is>
      </c>
      <c r="K472" s="184" t="inlineStr">
        <is>
          <t>Tertutup</t>
        </is>
      </c>
      <c r="L472" s="184" t="inlineStr">
        <is>
          <t>Terdapat</t>
        </is>
      </c>
      <c r="M472" s="184" t="inlineStr">
        <is>
          <t>Bulanan</t>
        </is>
      </c>
      <c r="N472" s="130" t="inlineStr">
        <is>
          <t>DHE</t>
        </is>
      </c>
      <c r="O472" s="184" t="inlineStr">
        <is>
          <t>Pusat</t>
        </is>
      </c>
      <c r="P472" s="184" t="inlineStr">
        <is>
          <t>Pusat</t>
        </is>
      </c>
      <c r="Q472" s="184" t="inlineStr">
        <is>
          <t>Website dan Mobile</t>
        </is>
      </c>
      <c r="R472" s="131" t="inlineStr">
        <is>
          <t>https://e-absensi.bandungkab.go.id/login</t>
        </is>
      </c>
      <c r="S472" s="184" t="inlineStr">
        <is>
          <t>Secara Online</t>
        </is>
      </c>
      <c r="T472" s="184" t="inlineStr">
        <is>
          <t>Informasi</t>
        </is>
      </c>
      <c r="U472" s="184" t="n">
        <v>2020</v>
      </c>
      <c r="V472" s="184" t="inlineStr">
        <is>
          <t>Aktif</t>
        </is>
      </c>
      <c r="W472" s="184" t="inlineStr">
        <is>
          <t>Ya</t>
        </is>
      </c>
      <c r="X472" s="76" t="inlineStr">
        <is>
          <t>terhubung dengan portal SSO (Single Sign-On) milik Pemkab Bandung</t>
        </is>
      </c>
      <c r="Y472" s="184" t="inlineStr">
        <is>
          <t>Database to Database</t>
        </is>
      </c>
      <c r="Z472" s="184" t="inlineStr">
        <is>
          <t>Bulanan</t>
        </is>
      </c>
      <c r="AA472" s="288" t="n"/>
      <c r="AB472" s="184" t="inlineStr">
        <is>
          <t>BKPSDM</t>
        </is>
      </c>
      <c r="AC472" s="184" t="inlineStr">
        <is>
          <t>SAEPUL HAROM, SKM., M.K.P. Rikeu kamelia</t>
        </is>
      </c>
      <c r="AD472" s="263" t="inlineStr">
        <is>
          <t>0877-2535-4094</t>
        </is>
      </c>
      <c r="AE472" s="184" t="inlineStr">
        <is>
          <t>rsudbedasarjasari@gmail.com</t>
        </is>
      </c>
      <c r="AF472" s="288" t="n"/>
      <c r="AG472" s="68" t="inlineStr">
        <is>
          <t>Bulanan</t>
        </is>
      </c>
      <c r="AH472" s="216" t="n"/>
      <c r="AI472" s="284" t="n"/>
      <c r="AJ472" s="284" t="n"/>
      <c r="AK472" s="284" t="n"/>
      <c r="AL472" s="284" t="n"/>
      <c r="AM472" s="284" t="n"/>
      <c r="AN472" s="284" t="n"/>
      <c r="AO472" s="284" t="n"/>
      <c r="AP472" s="284" t="n"/>
      <c r="AQ472" s="284" t="n"/>
      <c r="AR472" s="284" t="n"/>
      <c r="AS472" s="284" t="n"/>
    </row>
    <row r="473">
      <c r="A473" s="182" t="n">
        <v>3</v>
      </c>
      <c r="B473" s="178" t="inlineStr">
        <is>
          <t>Mutufasyankes</t>
        </is>
      </c>
      <c r="C473" t="inlineStr">
        <is>
          <t>RSUD BEDAS ARJASARI</t>
        </is>
      </c>
      <c r="D473" s="178" t="inlineStr">
        <is>
          <t>layanan untuk melaporkan data INM ke kemenkes</t>
        </is>
      </c>
      <c r="E473" s="178" t="inlineStr">
        <is>
          <t>Permenkes no 30 tahun 2022</t>
        </is>
      </c>
      <c r="F473" s="184" t="inlineStr">
        <is>
          <t>belum tersedia</t>
        </is>
      </c>
      <c r="G473" s="184" t="inlineStr">
        <is>
          <t>PENINGKATAN KUALITAS PELAYANAN PUBLIK</t>
        </is>
      </c>
      <c r="H473" s="184" t="inlineStr">
        <is>
          <t>Pegawai</t>
        </is>
      </c>
      <c r="I473" s="184" t="inlineStr">
        <is>
          <t>dat INM</t>
        </is>
      </c>
      <c r="J473" s="184" t="inlineStr">
        <is>
          <t>capaian INM</t>
        </is>
      </c>
      <c r="K473" s="184" t="inlineStr">
        <is>
          <t>Rahasia</t>
        </is>
      </c>
      <c r="L473" s="184" t="inlineStr">
        <is>
          <t>Tidak terdapat</t>
        </is>
      </c>
      <c r="M473" s="184" t="inlineStr">
        <is>
          <t>Bulanan</t>
        </is>
      </c>
      <c r="N473" s="93" t="inlineStr">
        <is>
          <t>mutufasyankes</t>
        </is>
      </c>
      <c r="O473" s="184" t="inlineStr">
        <is>
          <t>Pusat</t>
        </is>
      </c>
      <c r="P473" s="184" t="inlineStr">
        <is>
          <t>Pusat</t>
        </is>
      </c>
      <c r="Q473" s="184" t="inlineStr">
        <is>
          <t>Website</t>
        </is>
      </c>
      <c r="R473" s="184" t="inlineStr">
        <is>
          <t>mutufasyankes</t>
        </is>
      </c>
      <c r="S473" s="184" t="inlineStr">
        <is>
          <t>Secara Offline</t>
        </is>
      </c>
      <c r="T473" s="184" t="inlineStr">
        <is>
          <t>Informasi</t>
        </is>
      </c>
      <c r="U473" s="288" t="n"/>
      <c r="V473" s="184" t="inlineStr">
        <is>
          <t>Aktif</t>
        </is>
      </c>
      <c r="W473" s="184" t="inlineStr">
        <is>
          <t>Tidak</t>
        </is>
      </c>
      <c r="X473" s="288" t="n"/>
      <c r="Y473" s="184" t="inlineStr">
        <is>
          <t>Tidak Terintegrasi</t>
        </is>
      </c>
      <c r="Z473" s="184" t="inlineStr">
        <is>
          <t>Tidak Terintegrasi</t>
        </is>
      </c>
      <c r="AA473" s="288" t="n"/>
      <c r="AB473" s="184" t="inlineStr">
        <is>
          <t>Dinkes</t>
        </is>
      </c>
      <c r="AC473" s="184" t="inlineStr">
        <is>
          <t>Wina Garlina</t>
        </is>
      </c>
      <c r="AD473" s="184" t="n">
        <v>81221914556</v>
      </c>
      <c r="AE473" s="184" t="inlineStr">
        <is>
          <t>mutursba@gmail.com</t>
        </is>
      </c>
      <c r="AF473" s="68" t="n">
        <v>53</v>
      </c>
      <c r="AG473" s="68" t="inlineStr">
        <is>
          <t>Bulanan</t>
        </is>
      </c>
      <c r="AH473" s="284" t="n"/>
      <c r="AI473" s="284" t="n"/>
      <c r="AJ473" s="284" t="n"/>
      <c r="AK473" s="284" t="n"/>
      <c r="AL473" s="284" t="n"/>
      <c r="AM473" s="284" t="n"/>
      <c r="AN473" s="284" t="n"/>
      <c r="AO473" s="284" t="n"/>
      <c r="AP473" s="284" t="n"/>
      <c r="AQ473" s="284" t="n"/>
      <c r="AR473" s="284" t="n"/>
      <c r="AS473" s="284" t="n"/>
    </row>
    <row r="474">
      <c r="A474" s="264" t="n">
        <v>4</v>
      </c>
      <c r="B474" s="178" t="inlineStr">
        <is>
          <t>Sistem Informasi Rawat Inap</t>
        </is>
      </c>
      <c r="C474" t="inlineStr">
        <is>
          <t>RSUD BEDAS ARJASARI</t>
        </is>
      </c>
      <c r="D474" s="178" t="inlineStr">
        <is>
          <t>Layanan informasi ketersediaan tempat tidur rawat inap kepada masyarakat</t>
        </is>
      </c>
      <c r="E474" s="265" t="inlineStr">
        <is>
          <t>Permenkes No. 82 Tahun 2013 tentang Sistem Informasi Manajemen Rumah Sakit</t>
        </is>
      </c>
      <c r="F474" s="184" t="inlineStr">
        <is>
          <t>Belum tersedia</t>
        </is>
      </c>
      <c r="G474" s="184" t="inlineStr">
        <is>
          <t>PENINGKATAN KUALITAS PELAYANAN PUBLIK</t>
        </is>
      </c>
      <c r="H474" s="184" t="inlineStr">
        <is>
          <t>Masyarakat</t>
        </is>
      </c>
      <c r="I474" s="184" t="inlineStr">
        <is>
          <t>Data ketersediaan tempat tidur rawat inap</t>
        </is>
      </c>
      <c r="J474" s="184" t="inlineStr">
        <is>
          <t>Data ketersediaan tempat tidur rawat inap di RSUD Bedas Arjasari</t>
        </is>
      </c>
      <c r="K474" s="184" t="inlineStr">
        <is>
          <t>Terbuka</t>
        </is>
      </c>
      <c r="L474" s="184" t="inlineStr">
        <is>
          <t>Tidak terdapat</t>
        </is>
      </c>
      <c r="M474" s="184" t="inlineStr">
        <is>
          <t>Harian</t>
        </is>
      </c>
      <c r="N474" s="130" t="inlineStr">
        <is>
          <t>siranap</t>
        </is>
      </c>
      <c r="O474" s="184" t="inlineStr">
        <is>
          <t>Pusat</t>
        </is>
      </c>
      <c r="P474" s="184" t="inlineStr">
        <is>
          <t>Pusat</t>
        </is>
      </c>
      <c r="Q474" s="184" t="inlineStr">
        <is>
          <t>Website</t>
        </is>
      </c>
      <c r="R474" s="266" t="inlineStr">
        <is>
          <t>SIRANAP</t>
        </is>
      </c>
      <c r="S474" s="184" t="inlineStr">
        <is>
          <t>Secara Online</t>
        </is>
      </c>
      <c r="T474" s="184" t="inlineStr">
        <is>
          <t>Informasi</t>
        </is>
      </c>
      <c r="U474" s="184" t="n">
        <v>2024</v>
      </c>
      <c r="V474" s="184" t="inlineStr">
        <is>
          <t>Aktif</t>
        </is>
      </c>
      <c r="W474" s="184" t="inlineStr">
        <is>
          <t>Tidak</t>
        </is>
      </c>
      <c r="X474" s="184" t="inlineStr">
        <is>
          <t>Tidak terintegrasi</t>
        </is>
      </c>
      <c r="Y474" s="184" t="inlineStr">
        <is>
          <t>Tidak Terintegrasi</t>
        </is>
      </c>
      <c r="Z474" s="184" t="inlineStr">
        <is>
          <t>Harian</t>
        </is>
      </c>
      <c r="AA474" s="184" t="inlineStr">
        <is>
          <t>Instalasi Rekam Medis</t>
        </is>
      </c>
      <c r="AB474" s="184" t="inlineStr">
        <is>
          <t>Dinkes</t>
        </is>
      </c>
      <c r="AC474" s="184" t="inlineStr">
        <is>
          <t>Susi Lelawanti</t>
        </is>
      </c>
      <c r="AD474" s="184" t="n">
        <v>87775207258</v>
      </c>
      <c r="AE474" s="184" t="inlineStr">
        <is>
          <t>rsudbedasarjasari@gmail.com</t>
        </is>
      </c>
      <c r="AF474" s="68" t="n">
        <v>8</v>
      </c>
      <c r="AG474" s="68" t="inlineStr">
        <is>
          <t>Harian</t>
        </is>
      </c>
      <c r="AH474" s="284" t="n"/>
      <c r="AI474" s="284" t="n"/>
      <c r="AJ474" s="284" t="n"/>
      <c r="AK474" s="284" t="n"/>
      <c r="AL474" s="284" t="n"/>
      <c r="AM474" s="284" t="n"/>
      <c r="AN474" s="284" t="n"/>
      <c r="AO474" s="284" t="n"/>
      <c r="AP474" s="284" t="n"/>
      <c r="AQ474" s="284" t="n"/>
      <c r="AR474" s="284" t="n"/>
      <c r="AS474" s="284" t="n"/>
    </row>
    <row r="475">
      <c r="A475" s="182" t="n">
        <v>5</v>
      </c>
      <c r="B475" s="178" t="inlineStr">
        <is>
          <t>MPDN</t>
        </is>
      </c>
      <c r="C475" t="inlineStr">
        <is>
          <t>RSUD BEDAS ARJASARI</t>
        </is>
      </c>
      <c r="D475" s="178" t="inlineStr">
        <is>
          <t>laporan kelahiran, kematian ibu dan bayi</t>
        </is>
      </c>
      <c r="E475" s="178" t="inlineStr">
        <is>
          <t>UU No 36 Tahun 2009 tentang Kesehatan dan Peraturan Bersama Menkes dan Mendagri No 15 Tahun 2010/No 162/Menkes/PB/2010 tentang Pelaporan kematian dan penyebab Kematian ibu dan bayi</t>
        </is>
      </c>
      <c r="F475" s="184" t="inlineStr">
        <is>
          <t>Belum tersedia</t>
        </is>
      </c>
      <c r="G475" s="184" t="inlineStr">
        <is>
          <t>PENINGKATAN KUALITAS PELAYANAN PUBLIK</t>
        </is>
      </c>
      <c r="H475" s="184" t="inlineStr">
        <is>
          <t>Masyarakat</t>
        </is>
      </c>
      <c r="I475" s="184" t="inlineStr">
        <is>
          <t>angka kelahiran, angka kematian ibu dan bayi</t>
        </is>
      </c>
      <c r="J475" s="184" t="inlineStr">
        <is>
          <t>angka kelahiran, angka kematian ibu dan bayi</t>
        </is>
      </c>
      <c r="K475" s="184" t="inlineStr">
        <is>
          <t>Terbuka</t>
        </is>
      </c>
      <c r="L475" s="184" t="inlineStr">
        <is>
          <t>Tidak terdapat</t>
        </is>
      </c>
      <c r="M475" s="184" t="inlineStr">
        <is>
          <t>Bulanan</t>
        </is>
      </c>
      <c r="N475" s="130" t="inlineStr">
        <is>
          <t>mpdn</t>
        </is>
      </c>
      <c r="O475" s="184" t="inlineStr">
        <is>
          <t>Pusat</t>
        </is>
      </c>
      <c r="P475" s="184" t="inlineStr">
        <is>
          <t>Pusat</t>
        </is>
      </c>
      <c r="Q475" s="184" t="inlineStr">
        <is>
          <t>Website</t>
        </is>
      </c>
      <c r="R475" s="184" t="inlineStr">
        <is>
          <t>MPDN</t>
        </is>
      </c>
      <c r="S475" s="184" t="inlineStr">
        <is>
          <t>Secara Online</t>
        </is>
      </c>
      <c r="T475" s="184" t="inlineStr">
        <is>
          <t>Informasi</t>
        </is>
      </c>
      <c r="U475" s="184" t="n">
        <v>2024</v>
      </c>
      <c r="V475" s="184" t="inlineStr">
        <is>
          <t>Aktif</t>
        </is>
      </c>
      <c r="W475" s="184" t="inlineStr">
        <is>
          <t>Ya</t>
        </is>
      </c>
      <c r="X475" s="184" t="inlineStr">
        <is>
          <t>Ya</t>
        </is>
      </c>
      <c r="Y475" s="184" t="inlineStr">
        <is>
          <t>API</t>
        </is>
      </c>
      <c r="Z475" s="184" t="inlineStr">
        <is>
          <t>Tidak Terintegrasi</t>
        </is>
      </c>
      <c r="AA475" s="184" t="inlineStr">
        <is>
          <t>PONEK,VK,PERINATOLOGI</t>
        </is>
      </c>
      <c r="AB475" s="184" t="inlineStr">
        <is>
          <t>Dinkes</t>
        </is>
      </c>
      <c r="AC475" s="184" t="inlineStr">
        <is>
          <t>Bd. Lastiar dan Yusi</t>
        </is>
      </c>
      <c r="AD475" s="184" t="inlineStr">
        <is>
          <t>081322030083 085315705418</t>
        </is>
      </c>
      <c r="AE475" s="184" t="inlineStr">
        <is>
          <t>rsudbedasarjasari@gmail.com</t>
        </is>
      </c>
      <c r="AF475" s="68" t="n">
        <v>8</v>
      </c>
      <c r="AG475" s="68" t="inlineStr">
        <is>
          <t>Bulanan</t>
        </is>
      </c>
      <c r="AH475" s="284" t="n"/>
      <c r="AI475" s="284" t="n"/>
      <c r="AJ475" s="284" t="n"/>
      <c r="AK475" s="284" t="n"/>
      <c r="AL475" s="284" t="n"/>
      <c r="AM475" s="284" t="n"/>
      <c r="AN475" s="284" t="n"/>
      <c r="AO475" s="284" t="n"/>
      <c r="AP475" s="284" t="n"/>
      <c r="AQ475" s="284" t="n"/>
      <c r="AR475" s="284" t="n"/>
      <c r="AS475" s="284" t="n"/>
    </row>
    <row r="476">
      <c r="A476" s="182" t="n">
        <v>6</v>
      </c>
      <c r="B476" s="178" t="inlineStr">
        <is>
          <t>RS Online, Registrasi Fasyankes, Sistem Informasi Rumah Sakit, dan KRIS</t>
        </is>
      </c>
      <c r="C476" t="inlineStr">
        <is>
          <t>RSUD BEDAS ARJASARI</t>
        </is>
      </c>
      <c r="D476" s="178" t="inlineStr">
        <is>
          <t>Melaporkan data rekapitulasi kegiatan pelayanan dan data kompilasi penyakit/morbiditas. Pasien IGD, rawat inap, dan rawat jalan secara periodik, baik bulanan maupun tahunan;</t>
        </is>
      </c>
      <c r="E476" s="178" t="inlineStr">
        <is>
          <t>Peraturan Menteri Kesehatan Nomor 1171 Tahun 2011 tentang Sistem Informasi Rumah Sakit (SIRS)</t>
        </is>
      </c>
      <c r="F476" s="131" t="inlineStr">
        <is>
          <t>https://drive.google.com/drive/u/1/folders/12dUcuD3FJiM5lhmxZqNrZc05M-qKTqaU</t>
        </is>
      </c>
      <c r="G476" s="184" t="inlineStr">
        <is>
          <t>PENGELOLAAN PELAYANAN KESEHATAN</t>
        </is>
      </c>
      <c r="H476" s="184" t="inlineStr">
        <is>
          <t>Instansi Pemerintah Lainnya</t>
        </is>
      </c>
      <c r="I476" s="184" t="inlineStr">
        <is>
          <t>RL.3-RL.5;
 Kompetensi RS; Update Bed, dll</t>
        </is>
      </c>
      <c r="J476" s="184" t="inlineStr">
        <is>
          <t>Output data pelaporan data Rumah Sakit ke Kemenkes</t>
        </is>
      </c>
      <c r="K476" s="184" t="inlineStr">
        <is>
          <t>Terbatas</t>
        </is>
      </c>
      <c r="L476" s="184" t="inlineStr">
        <is>
          <t>Terdapat</t>
        </is>
      </c>
      <c r="M476" s="184" t="inlineStr">
        <is>
          <t>Bulanan</t>
        </is>
      </c>
      <c r="N476" s="130" t="inlineStr">
        <is>
          <t>yankes</t>
        </is>
      </c>
      <c r="O476" s="184" t="inlineStr">
        <is>
          <t>Pusat</t>
        </is>
      </c>
      <c r="P476" s="184" t="inlineStr">
        <is>
          <t>Pusat</t>
        </is>
      </c>
      <c r="Q476" s="184" t="inlineStr">
        <is>
          <t>Website</t>
        </is>
      </c>
      <c r="R476" s="267" t="inlineStr">
        <is>
          <t>Yankes Single SIGN-ON</t>
        </is>
      </c>
      <c r="S476" s="184" t="inlineStr">
        <is>
          <t>Secara Online</t>
        </is>
      </c>
      <c r="T476" s="184" t="inlineStr">
        <is>
          <t>Informasi</t>
        </is>
      </c>
      <c r="U476" s="184" t="n">
        <v>2024</v>
      </c>
      <c r="V476" s="184" t="inlineStr">
        <is>
          <t>Aktif</t>
        </is>
      </c>
      <c r="W476" s="184" t="inlineStr">
        <is>
          <t>Ya</t>
        </is>
      </c>
      <c r="X476" s="184" t="inlineStr">
        <is>
          <t>ASPAK, SISDMK, SIRANAP, SISRUTE, dll</t>
        </is>
      </c>
      <c r="Y476" s="184" t="inlineStr">
        <is>
          <t>API</t>
        </is>
      </c>
      <c r="Z476" s="184" t="inlineStr">
        <is>
          <t>Bulanan</t>
        </is>
      </c>
      <c r="AA476" s="184" t="inlineStr">
        <is>
          <t>Instalasi Rekam Medis</t>
        </is>
      </c>
      <c r="AB476" s="184" t="inlineStr">
        <is>
          <t>Dinkes</t>
        </is>
      </c>
      <c r="AC476" s="184" t="inlineStr">
        <is>
          <t>Gesi Rahman
 Ghina Najla</t>
        </is>
      </c>
      <c r="AD476" s="184" t="inlineStr">
        <is>
          <t>08112199575
 085624585808</t>
        </is>
      </c>
      <c r="AE476" s="184" t="inlineStr">
        <is>
          <t>rsudbedasarjasari@gmail.com</t>
        </is>
      </c>
      <c r="AF476" s="68" t="n">
        <v>8</v>
      </c>
      <c r="AG476" s="68" t="inlineStr">
        <is>
          <t>Harian</t>
        </is>
      </c>
      <c r="AH476" s="284" t="n"/>
      <c r="AI476" s="284" t="n"/>
      <c r="AJ476" s="284" t="n"/>
      <c r="AK476" s="284" t="n"/>
      <c r="AL476" s="284" t="n"/>
      <c r="AM476" s="284" t="n"/>
      <c r="AN476" s="284" t="n"/>
      <c r="AO476" s="284" t="n"/>
      <c r="AP476" s="284" t="n"/>
      <c r="AQ476" s="284" t="n"/>
      <c r="AR476" s="284" t="n"/>
      <c r="AS476" s="284" t="n"/>
    </row>
    <row r="477">
      <c r="A477" s="182" t="n">
        <v>7</v>
      </c>
      <c r="B477" s="178" t="inlineStr">
        <is>
          <t>UJI PROFISIENSI</t>
        </is>
      </c>
      <c r="C477" t="inlineStr">
        <is>
          <t>RSUD BEDAS ARJASARI</t>
        </is>
      </c>
      <c r="D477" s="178" t="inlineStr">
        <is>
          <t>Pendaftaran, penginputan hasil dan sertifikat uji PME</t>
        </is>
      </c>
      <c r="E477" s="178" t="inlineStr">
        <is>
          <t>KEPUTUSAN DIREKTUR JENDERAL PELAYANAN KESEHATAN NOMOR HK.02.02/D/47104/2024 tentang V</t>
        </is>
      </c>
      <c r="F477" s="288" t="n"/>
      <c r="G477" s="184" t="inlineStr">
        <is>
          <t>PENGELOLAAN PELAYANAN KESEHATAN</t>
        </is>
      </c>
      <c r="H477" s="184" t="inlineStr">
        <is>
          <t>Instansi Pemerintah Lainnya</t>
        </is>
      </c>
      <c r="I477" s="184" t="inlineStr">
        <is>
          <t>Hasil Pemeriksaan Laboratorium</t>
        </is>
      </c>
      <c r="J477" s="184" t="inlineStr">
        <is>
          <t>Sertifikat UJI PME</t>
        </is>
      </c>
      <c r="K477" s="184" t="inlineStr">
        <is>
          <t>Terbatas</t>
        </is>
      </c>
      <c r="L477" s="184" t="inlineStr">
        <is>
          <t>Terdapat</t>
        </is>
      </c>
      <c r="M477" s="184" t="inlineStr">
        <is>
          <t>Tahunan</t>
        </is>
      </c>
      <c r="N477" s="93" t="inlineStr">
        <is>
          <t>ujiprof</t>
        </is>
      </c>
      <c r="O477" s="184" t="inlineStr">
        <is>
          <t>Provinsi</t>
        </is>
      </c>
      <c r="P477" s="184" t="inlineStr">
        <is>
          <t>Provinsi</t>
        </is>
      </c>
      <c r="Q477" s="184" t="inlineStr">
        <is>
          <t>Website</t>
        </is>
      </c>
      <c r="R477" s="131" t="inlineStr">
        <is>
          <t>https://ujiprof.labkesjabar.com/</t>
        </is>
      </c>
      <c r="S477" s="184" t="inlineStr">
        <is>
          <t>Secara Online</t>
        </is>
      </c>
      <c r="T477" s="184" t="inlineStr">
        <is>
          <t>Transaksi</t>
        </is>
      </c>
      <c r="U477" s="288" t="n"/>
      <c r="V477" s="184" t="inlineStr">
        <is>
          <t>Aktif</t>
        </is>
      </c>
      <c r="W477" s="184" t="inlineStr">
        <is>
          <t>Tidak</t>
        </is>
      </c>
      <c r="X477" s="288" t="n"/>
      <c r="Y477" s="184" t="inlineStr">
        <is>
          <t>Tidak Terintegrasi</t>
        </is>
      </c>
      <c r="Z477" s="184" t="inlineStr">
        <is>
          <t>Tahunan</t>
        </is>
      </c>
      <c r="AA477" s="184" t="inlineStr">
        <is>
          <t>Laboratorium</t>
        </is>
      </c>
      <c r="AB477" s="288" t="n"/>
      <c r="AC477" s="184" t="inlineStr">
        <is>
          <t>Siti Juwita</t>
        </is>
      </c>
      <c r="AD477" s="184" t="n">
        <v>81222672616</v>
      </c>
      <c r="AE477" s="184" t="inlineStr">
        <is>
          <t>laboratoriumbedasarjasari@gmail.com</t>
        </is>
      </c>
      <c r="AF477" s="68" t="n">
        <v>8</v>
      </c>
      <c r="AG477" s="68" t="inlineStr">
        <is>
          <t>Insidentil</t>
        </is>
      </c>
      <c r="AH477" s="284" t="n"/>
      <c r="AI477" s="284" t="n"/>
      <c r="AJ477" s="284" t="n"/>
      <c r="AK477" s="284" t="n"/>
      <c r="AL477" s="284" t="n"/>
      <c r="AM477" s="284" t="n"/>
      <c r="AN477" s="284" t="n"/>
      <c r="AO477" s="284" t="n"/>
      <c r="AP477" s="284" t="n"/>
      <c r="AQ477" s="284" t="n"/>
      <c r="AR477" s="284" t="n"/>
      <c r="AS477" s="284" t="n"/>
    </row>
    <row r="478">
      <c r="A478" s="182" t="n">
        <v>8</v>
      </c>
      <c r="B478" s="178" t="inlineStr">
        <is>
          <t>BPS - Kegiatan Statistik (Romantik)</t>
        </is>
      </c>
      <c r="C478" t="inlineStr">
        <is>
          <t>RSUD BEDAS ARJASARI</t>
        </is>
      </c>
      <c r="D478" s="178" t="inlineStr">
        <is>
          <t>Penyelenggaraan Statistik Sektoral</t>
        </is>
      </c>
      <c r="E478" s="178" t="inlineStr">
        <is>
          <t>Peraturan Presiden No.39 Tahun 2019 tentang Satu Data Indonesia;
 Peraturan Bupati No.82 Tahun 2019 Tata Kelola Satu Data</t>
        </is>
      </c>
      <c r="F478" s="267" t="inlineStr">
        <is>
          <t>https://drive.google.com/drive/folders/1msJHh9jrvyH7j0q1rPu11WaF49MEVukW</t>
        </is>
      </c>
      <c r="G478" s="184" t="inlineStr">
        <is>
          <t>PENGELOLAAN DATA STATISTIK</t>
        </is>
      </c>
      <c r="H478" s="184" t="inlineStr">
        <is>
          <t>Instansi Pemerintah Lainnya</t>
        </is>
      </c>
      <c r="I478" s="184" t="inlineStr">
        <is>
          <t>Kegiatan Statistik Rumah Sakit</t>
        </is>
      </c>
      <c r="J478" s="184" t="inlineStr">
        <is>
          <t>Data Statistik Rumah Sakit</t>
        </is>
      </c>
      <c r="K478" s="184" t="inlineStr">
        <is>
          <t>Terbatas</t>
        </is>
      </c>
      <c r="L478" s="184" t="inlineStr">
        <is>
          <t>Terdapat</t>
        </is>
      </c>
      <c r="M478" s="184" t="inlineStr">
        <is>
          <t>Bulanan</t>
        </is>
      </c>
      <c r="N478" s="130" t="inlineStr">
        <is>
          <t>ROMANTIK</t>
        </is>
      </c>
      <c r="O478" s="184" t="inlineStr">
        <is>
          <t>Diskominfo</t>
        </is>
      </c>
      <c r="P478" s="184" t="inlineStr">
        <is>
          <t>Kab. Bandung</t>
        </is>
      </c>
      <c r="Q478" s="184" t="inlineStr">
        <is>
          <t>Website</t>
        </is>
      </c>
      <c r="R478" s="267" t="inlineStr">
        <is>
          <t>https://romantik.web.bps.go.id/</t>
        </is>
      </c>
      <c r="S478" s="184" t="inlineStr">
        <is>
          <t>Secara Online</t>
        </is>
      </c>
      <c r="T478" s="184" t="inlineStr">
        <is>
          <t>Informasi</t>
        </is>
      </c>
      <c r="U478" s="184" t="n">
        <v>2025</v>
      </c>
      <c r="V478" s="184" t="inlineStr">
        <is>
          <t>Aktif</t>
        </is>
      </c>
      <c r="W478" s="184" t="inlineStr">
        <is>
          <t>Tidak</t>
        </is>
      </c>
      <c r="X478" s="184" t="inlineStr">
        <is>
          <t>Tidak terintegrasi</t>
        </is>
      </c>
      <c r="Y478" s="184" t="inlineStr">
        <is>
          <t>Web Service</t>
        </is>
      </c>
      <c r="Z478" s="184" t="inlineStr">
        <is>
          <t>Bulanan</t>
        </is>
      </c>
      <c r="AA478" s="184" t="inlineStr">
        <is>
          <t>IT/ Instalasi SIMRS</t>
        </is>
      </c>
      <c r="AB478" s="184" t="inlineStr">
        <is>
          <t>Diskominfo</t>
        </is>
      </c>
      <c r="AC478" s="184" t="inlineStr">
        <is>
          <t>Muhammad Yassin, S.Kom</t>
        </is>
      </c>
      <c r="AD478" s="184" t="n">
        <v>89656568645</v>
      </c>
      <c r="AE478" s="184" t="inlineStr">
        <is>
          <t>rsudbedasarjasari@gmail.com</t>
        </is>
      </c>
      <c r="AF478" s="68" t="inlineStr">
        <is>
          <t>-</t>
        </is>
      </c>
      <c r="AG478" s="68" t="inlineStr">
        <is>
          <t>Bulanan</t>
        </is>
      </c>
      <c r="AH478" s="284" t="n"/>
      <c r="AI478" s="284" t="n"/>
      <c r="AJ478" s="284" t="n"/>
      <c r="AK478" s="284" t="n"/>
      <c r="AL478" s="284" t="n"/>
      <c r="AM478" s="284" t="n"/>
      <c r="AN478" s="284" t="n"/>
      <c r="AO478" s="284" t="n"/>
      <c r="AP478" s="284" t="n"/>
      <c r="AQ478" s="284" t="n"/>
      <c r="AR478" s="284" t="n"/>
      <c r="AS478" s="284" t="n"/>
    </row>
    <row r="479">
      <c r="A479" s="182" t="n">
        <v>9</v>
      </c>
      <c r="B479" s="178" t="inlineStr">
        <is>
          <t>SDMK</t>
        </is>
      </c>
      <c r="C479" t="inlineStr">
        <is>
          <t>RSUD BEDAS ARJASARI</t>
        </is>
      </c>
      <c r="D479" s="178" t="inlineStr">
        <is>
          <t>Dashboard Keadaan SDMK RS, Dashboard Monitoring Validasi SDMK, Feedback data, Laporan , Validasi SIP SDMK, dan Data SDMK</t>
        </is>
      </c>
      <c r="E479" s="268" t="inlineStr">
        <is>
          <t>Peraturan Menteri Kesehatan Nomor 13 Tahun 2025 tentang Pengelolaan Sumber Daya Manusia Kesehatan: Peraturan ini (berlaku per November 2025), Surat Edaran SE No. HK.02.01-MENKES-6-2024 tentang Perizinan Bagi Tenaga Medis dan Tenaga Kesehatan: Mengatur bahwa proses Surat Izin Praktik (SIP) terintegrasi dengan data di SISDMK/SATUSEHAT SDMK</t>
        </is>
      </c>
      <c r="F479" s="288" t="n"/>
      <c r="G479" s="184" t="inlineStr">
        <is>
          <t>INFORMASI DAN DIPLOMASI PUBLIK</t>
        </is>
      </c>
      <c r="H479" s="184" t="inlineStr">
        <is>
          <t>Pegawai</t>
        </is>
      </c>
      <c r="I479" s="184" t="inlineStr">
        <is>
          <t>identitas, Pendidikan,Pekerjaan, STR, dan SIP</t>
        </is>
      </c>
      <c r="J479" s="184" t="inlineStr">
        <is>
          <t>rekapan dan validasi</t>
        </is>
      </c>
      <c r="K479" s="184" t="inlineStr">
        <is>
          <t>Terbatas</t>
        </is>
      </c>
      <c r="L479" s="184" t="inlineStr">
        <is>
          <t>Tidak terdapat</t>
        </is>
      </c>
      <c r="M479" s="184" t="inlineStr">
        <is>
          <t>Tahunan</t>
        </is>
      </c>
      <c r="N479" s="130" t="inlineStr">
        <is>
          <t>SISDMK</t>
        </is>
      </c>
      <c r="O479" s="184" t="inlineStr">
        <is>
          <t>Pusat</t>
        </is>
      </c>
      <c r="P479" s="184" t="inlineStr">
        <is>
          <t>Pusat</t>
        </is>
      </c>
      <c r="Q479" s="184" t="inlineStr">
        <is>
          <t>Website</t>
        </is>
      </c>
      <c r="R479" s="131" t="inlineStr">
        <is>
          <t>https://sisdmk.kemkes.go.id/satusehat/verifikasi_pekerja</t>
        </is>
      </c>
      <c r="S479" s="184" t="inlineStr">
        <is>
          <t>Secara Online</t>
        </is>
      </c>
      <c r="T479" s="184" t="inlineStr">
        <is>
          <t>Informasi</t>
        </is>
      </c>
      <c r="U479" s="184" t="n">
        <v>2024</v>
      </c>
      <c r="V479" s="184" t="inlineStr">
        <is>
          <t>Aktif</t>
        </is>
      </c>
      <c r="W479" s="184" t="inlineStr">
        <is>
          <t>Ya</t>
        </is>
      </c>
      <c r="X479" s="184" t="inlineStr">
        <is>
          <t>RS online dan Satu sehat, Regfasyankes</t>
        </is>
      </c>
      <c r="Y479" s="184" t="inlineStr">
        <is>
          <t>API</t>
        </is>
      </c>
      <c r="Z479" s="184" t="inlineStr">
        <is>
          <t>Realtime</t>
        </is>
      </c>
      <c r="AA479" s="184" t="inlineStr">
        <is>
          <t>Kepegaawaian dan tata usaha rsud</t>
        </is>
      </c>
      <c r="AB479" s="184" t="inlineStr">
        <is>
          <t>Dinkes</t>
        </is>
      </c>
      <c r="AC479" s="184" t="inlineStr">
        <is>
          <t>Bawuk endah, SST,. Bdn</t>
        </is>
      </c>
      <c r="AD479" s="184" t="n">
        <v>81802257167</v>
      </c>
      <c r="AE479" s="184" t="inlineStr">
        <is>
          <t>bawukendah@gmail.com</t>
        </is>
      </c>
      <c r="AF479" s="68" t="n">
        <v>8</v>
      </c>
      <c r="AG479" s="68" t="inlineStr">
        <is>
          <t>Harian</t>
        </is>
      </c>
      <c r="AH479" s="284" t="n"/>
      <c r="AI479" s="284" t="n"/>
      <c r="AJ479" s="284" t="n"/>
      <c r="AK479" s="284" t="n"/>
      <c r="AL479" s="284" t="n"/>
      <c r="AM479" s="284" t="n"/>
      <c r="AN479" s="284" t="n"/>
      <c r="AO479" s="284" t="n"/>
      <c r="AP479" s="284" t="n"/>
      <c r="AQ479" s="284" t="n"/>
      <c r="AR479" s="284" t="n"/>
      <c r="AS479" s="284" t="n"/>
    </row>
    <row r="480">
      <c r="A480" s="182" t="n">
        <v>10</v>
      </c>
      <c r="B480" s="178" t="inlineStr">
        <is>
          <t>Dashboard Pemantauan aliran Data Satu sehat</t>
        </is>
      </c>
      <c r="C480" t="inlineStr">
        <is>
          <t>RSUD BEDAS ARJASARI</t>
        </is>
      </c>
      <c r="D480" s="178" t="inlineStr">
        <is>
          <t>Pemantauan aliran data satu sehat</t>
        </is>
      </c>
      <c r="E480" s="269" t="inlineStr">
        <is>
          <t>UU No. 17 Tahun 2023 tentang Kesehatan (pengelolaan data nasional) dan UU No. 27 Tahun 2022 tentang Pelindungan Data Pribadi (dasar pemrosesan data)</t>
        </is>
      </c>
      <c r="F480" s="131" t="inlineStr">
        <is>
          <t>https://drive.google.com/drive/u/1/folders/1BMJeHVe0f6zjx97q_TOFnGkZBTxNZTBd</t>
        </is>
      </c>
      <c r="G480" s="184" t="inlineStr">
        <is>
          <t>PENINGKATAN KUALITAS PELAYANAN PUBLIK</t>
        </is>
      </c>
      <c r="H480" s="184" t="inlineStr">
        <is>
          <t>Instansi Pemerintah Lainnya</t>
        </is>
      </c>
      <c r="I480" s="184" t="inlineStr">
        <is>
          <t>Encounter - Aliran Data Satu Sehat</t>
        </is>
      </c>
      <c r="J480" s="184" t="inlineStr">
        <is>
          <t>Persentase - Aliran Data Satu Sehat</t>
        </is>
      </c>
      <c r="K480" s="184" t="inlineStr">
        <is>
          <t>Terbuka</t>
        </is>
      </c>
      <c r="L480" s="184" t="inlineStr">
        <is>
          <t>Tidak terdapat</t>
        </is>
      </c>
      <c r="M480" s="184" t="inlineStr">
        <is>
          <t>Mingguan</t>
        </is>
      </c>
      <c r="N480" s="130" t="inlineStr">
        <is>
          <t>SIMRS arjasari</t>
        </is>
      </c>
      <c r="O480" s="184" t="inlineStr">
        <is>
          <t>Pusat</t>
        </is>
      </c>
      <c r="P480" s="184" t="inlineStr">
        <is>
          <t>Pusat</t>
        </is>
      </c>
      <c r="Q480" s="184" t="inlineStr">
        <is>
          <t>Website</t>
        </is>
      </c>
      <c r="R480" s="270" t="inlineStr">
        <is>
          <t>Workbook: Dashboard Pemantauan Aliran Data SATUSEHAT</t>
        </is>
      </c>
      <c r="S480" s="184" t="inlineStr">
        <is>
          <t>Secara Online</t>
        </is>
      </c>
      <c r="T480" s="184" t="inlineStr">
        <is>
          <t>Informasi</t>
        </is>
      </c>
      <c r="U480" s="184" t="n">
        <v>2024</v>
      </c>
      <c r="V480" s="184" t="inlineStr">
        <is>
          <t>Aktif</t>
        </is>
      </c>
      <c r="W480" s="184" t="inlineStr">
        <is>
          <t>Ya</t>
        </is>
      </c>
      <c r="X480" s="184" t="inlineStr">
        <is>
          <t>SIMRS</t>
        </is>
      </c>
      <c r="Y480" s="184" t="inlineStr">
        <is>
          <t>API</t>
        </is>
      </c>
      <c r="Z480" s="184" t="inlineStr">
        <is>
          <t>Realtime</t>
        </is>
      </c>
      <c r="AA480" s="184" t="inlineStr">
        <is>
          <t>Instalasi Rekam Medis dan Instalasi SIMRS</t>
        </is>
      </c>
      <c r="AB480" s="184" t="inlineStr">
        <is>
          <t>Diskominfo</t>
        </is>
      </c>
      <c r="AC480" s="184" t="inlineStr">
        <is>
          <t>Gesi Rahman
 Anjar Surachman</t>
        </is>
      </c>
      <c r="AD480" s="184" t="inlineStr">
        <is>
          <t>08112199575
 087743579775</t>
        </is>
      </c>
      <c r="AE480" s="184" t="inlineStr">
        <is>
          <t>-</t>
        </is>
      </c>
      <c r="AF480" s="68" t="inlineStr">
        <is>
          <t>-</t>
        </is>
      </c>
      <c r="AG480" s="68" t="inlineStr">
        <is>
          <t>Setiap Saat</t>
        </is>
      </c>
      <c r="AH480" s="284" t="n"/>
      <c r="AI480" s="284" t="n"/>
      <c r="AJ480" s="284" t="n"/>
      <c r="AK480" s="284" t="n"/>
      <c r="AL480" s="284" t="n"/>
      <c r="AM480" s="284" t="n"/>
      <c r="AN480" s="284" t="n"/>
      <c r="AO480" s="284" t="n"/>
      <c r="AP480" s="284" t="n"/>
      <c r="AQ480" s="284" t="n"/>
      <c r="AR480" s="284" t="n"/>
      <c r="AS480" s="284" t="n"/>
    </row>
    <row r="481">
      <c r="A481" s="182" t="n">
        <v>11</v>
      </c>
      <c r="B481" s="178" t="inlineStr">
        <is>
          <t>ASPAK</t>
        </is>
      </c>
      <c r="C481" t="inlineStr">
        <is>
          <t>RSUD BEDAS ARJASARI</t>
        </is>
      </c>
      <c r="D481" s="198" t="inlineStr">
        <is>
          <t>sistem informasi berbasis web dari Kementerian Kesehatan untuk menghimpun data sarana, prasarana, dan alat kesehatan (SPA) di fasyankes</t>
        </is>
      </c>
      <c r="E481" s="225" t="inlineStr">
        <is>
          <t>Permenkes No. 31 Tahun 2018: Mengatur kewajiban pengisian, validasi, dan update data ASPAK oleh Fasyankes, Dinas Kesehatan Kabupaten/Kota, dan Dinas Kesehatan Provinsi</t>
        </is>
      </c>
      <c r="F481" s="288" t="n"/>
      <c r="G481" s="184" t="inlineStr">
        <is>
          <t>PENGELOLAAN PELAYANAN KESEHATAN</t>
        </is>
      </c>
      <c r="H481" s="184" t="inlineStr">
        <is>
          <t>Instansi Pemerintah Lainnya</t>
        </is>
      </c>
      <c r="I481" s="184" t="inlineStr">
        <is>
          <t>data sarana, prasarana, dan alat kesehatan (SPA) di fasyankes</t>
        </is>
      </c>
      <c r="J481" s="288" t="n"/>
      <c r="K481" s="184" t="inlineStr">
        <is>
          <t>Tertutup</t>
        </is>
      </c>
      <c r="L481" s="184" t="inlineStr">
        <is>
          <t>Tidak terdapat</t>
        </is>
      </c>
      <c r="M481" s="184" t="inlineStr">
        <is>
          <t>Harian</t>
        </is>
      </c>
      <c r="N481" s="130" t="inlineStr">
        <is>
          <t>ASPAK</t>
        </is>
      </c>
      <c r="O481" s="184" t="inlineStr">
        <is>
          <t>Pusat</t>
        </is>
      </c>
      <c r="P481" s="184" t="inlineStr">
        <is>
          <t>Pusat</t>
        </is>
      </c>
      <c r="Q481" s="184" t="inlineStr">
        <is>
          <t>Website</t>
        </is>
      </c>
      <c r="R481" s="131" t="inlineStr">
        <is>
          <t>https://aspak.kemkes.go.id/aplikasi/site/index</t>
        </is>
      </c>
      <c r="S481" s="184" t="inlineStr">
        <is>
          <t>Secara Online</t>
        </is>
      </c>
      <c r="T481" s="184" t="inlineStr">
        <is>
          <t>Informasi</t>
        </is>
      </c>
      <c r="U481" s="184" t="n">
        <v>2024</v>
      </c>
      <c r="V481" s="184" t="inlineStr">
        <is>
          <t>Aktif</t>
        </is>
      </c>
      <c r="W481" s="288" t="n"/>
      <c r="X481" s="184" t="inlineStr">
        <is>
          <t>RS Online</t>
        </is>
      </c>
      <c r="Y481" s="288" t="n"/>
      <c r="Z481" s="184" t="inlineStr">
        <is>
          <t>Harian</t>
        </is>
      </c>
      <c r="AA481" s="288" t="n"/>
      <c r="AB481" s="184" t="inlineStr">
        <is>
          <t>Dinkes</t>
        </is>
      </c>
      <c r="AC481" s="184" t="inlineStr">
        <is>
          <t>Sonia Dwi Octavianti</t>
        </is>
      </c>
      <c r="AD481" s="184" t="n">
        <v>85721324997</v>
      </c>
      <c r="AE481" s="184" t="inlineStr">
        <is>
          <t>octaviantimiharjasonia@gmail.com</t>
        </is>
      </c>
      <c r="AF481" s="288" t="n"/>
      <c r="AG481" s="68" t="inlineStr">
        <is>
          <t>Harian</t>
        </is>
      </c>
      <c r="AH481" s="284" t="n"/>
      <c r="AI481" s="284" t="n"/>
      <c r="AJ481" s="284" t="n"/>
      <c r="AK481" s="284" t="n"/>
      <c r="AL481" s="284" t="n"/>
      <c r="AM481" s="284" t="n"/>
      <c r="AN481" s="284" t="n"/>
      <c r="AO481" s="284" t="n"/>
      <c r="AP481" s="284" t="n"/>
      <c r="AQ481" s="284" t="n"/>
      <c r="AR481" s="284" t="n"/>
      <c r="AS481" s="284" t="n"/>
    </row>
    <row r="482">
      <c r="A482" s="182" t="n">
        <v>12</v>
      </c>
      <c r="B482" s="178" t="inlineStr">
        <is>
          <t>SIMDA BMD</t>
        </is>
      </c>
      <c r="C482" t="inlineStr">
        <is>
          <t>RSUD BEDAS ARJASARI</t>
        </is>
      </c>
      <c r="D482" s="178" t="inlineStr">
        <is>
          <t>SIMDA-BMD (Sistem Informasi Manajemen Daerah - Barang Milik Daerah) adalah aplikasi berbasis komputer yang dikembangkan oleh BPKP untuk membantu pemerintah daerah mengelola aset secara efisien dan transparan</t>
        </is>
      </c>
      <c r="E482" s="271" t="inlineStr">
        <is>
          <t>Permendagri No. 47 Tahun 2021 tentang Tata Cara Pelaksanaan Pembukuan, Inventarisasi, dan Pelaporan Barang Milik Daerah</t>
        </is>
      </c>
      <c r="F482" s="288" t="n"/>
      <c r="G482" s="288" t="n"/>
      <c r="H482" s="184" t="inlineStr">
        <is>
          <t>Instansi Pemerintah Lainnya</t>
        </is>
      </c>
      <c r="I482" s="184" t="inlineStr">
        <is>
          <t>Barang Milik Daerah</t>
        </is>
      </c>
      <c r="J482" s="288" t="n"/>
      <c r="K482" s="184" t="inlineStr">
        <is>
          <t>Tertutup</t>
        </is>
      </c>
      <c r="L482" s="184" t="inlineStr">
        <is>
          <t>Tidak terdapat</t>
        </is>
      </c>
      <c r="M482" s="184" t="inlineStr">
        <is>
          <t>Harian</t>
        </is>
      </c>
      <c r="N482" s="130" t="inlineStr">
        <is>
          <t>SIMDA</t>
        </is>
      </c>
      <c r="O482" s="184" t="inlineStr">
        <is>
          <t>OPD</t>
        </is>
      </c>
      <c r="P482" s="184" t="inlineStr">
        <is>
          <t>Kab. Bandung</t>
        </is>
      </c>
      <c r="Q482" s="184" t="inlineStr">
        <is>
          <t>Desktop</t>
        </is>
      </c>
      <c r="R482" s="288" t="n"/>
      <c r="S482" s="184" t="inlineStr">
        <is>
          <t>Secara Online</t>
        </is>
      </c>
      <c r="T482" s="184" t="inlineStr">
        <is>
          <t>Transaksi</t>
        </is>
      </c>
      <c r="U482" s="184" t="n">
        <v>2024</v>
      </c>
      <c r="V482" s="184" t="inlineStr">
        <is>
          <t>Aktif</t>
        </is>
      </c>
      <c r="W482" s="184" t="inlineStr">
        <is>
          <t>Ya</t>
        </is>
      </c>
      <c r="X482" s="288" t="n"/>
      <c r="Y482" s="184" t="inlineStr">
        <is>
          <t>API</t>
        </is>
      </c>
      <c r="Z482" s="184" t="inlineStr">
        <is>
          <t>Harian</t>
        </is>
      </c>
      <c r="AA482" s="288" t="n"/>
      <c r="AB482" s="184" t="inlineStr">
        <is>
          <t>BKAD</t>
        </is>
      </c>
      <c r="AC482" s="184" t="inlineStr">
        <is>
          <t>Sonia Dwi Octavianti</t>
        </is>
      </c>
      <c r="AD482" s="184" t="n">
        <v>85721324997</v>
      </c>
      <c r="AE482" s="184" t="inlineStr">
        <is>
          <t>octaviantimiharjasonia@gmail.com</t>
        </is>
      </c>
      <c r="AF482" s="288" t="n"/>
      <c r="AG482" s="68" t="inlineStr">
        <is>
          <t>Harian</t>
        </is>
      </c>
      <c r="AH482" s="284" t="n"/>
      <c r="AI482" s="284" t="n"/>
      <c r="AJ482" s="284" t="n"/>
      <c r="AK482" s="284" t="n"/>
      <c r="AL482" s="284" t="n"/>
      <c r="AM482" s="284" t="n"/>
      <c r="AN482" s="284" t="n"/>
      <c r="AO482" s="284" t="n"/>
      <c r="AP482" s="284" t="n"/>
      <c r="AQ482" s="284" t="n"/>
      <c r="AR482" s="284" t="n"/>
      <c r="AS482" s="284" t="n"/>
    </row>
    <row r="483">
      <c r="A483" s="182" t="n">
        <v>13</v>
      </c>
      <c r="B483" s="178" t="inlineStr">
        <is>
          <t>e-persediaan</t>
        </is>
      </c>
      <c r="C483" t="inlineStr">
        <is>
          <t>RSUD BEDAS ARJASARI</t>
        </is>
      </c>
      <c r="D483" s="178" t="inlineStr">
        <is>
          <t>Meningkatkan transparansi, akurasi data, dan efisiensi pengelolaan aset daerah</t>
        </is>
      </c>
      <c r="E483" s="225" t="inlineStr">
        <is>
          <t>Permendagri Nomor 47 Tahun 2021 tentang cara pelaksanaan pembukuan, inventarisasi, dan pelaporan BMD</t>
        </is>
      </c>
      <c r="F483" s="288" t="n"/>
      <c r="G483" s="184" t="inlineStr">
        <is>
          <t>PENGADAAN BARANG/JASA PEMERINTAH</t>
        </is>
      </c>
      <c r="H483" s="184" t="inlineStr">
        <is>
          <t>Instansi Pemerintah Lainnya</t>
        </is>
      </c>
      <c r="I483" s="226" t="inlineStr">
        <is>
          <t>penginputan saldo awal, pengadaan (APBD/BOS), penyaluran, kartu barang, dan pelaporan</t>
        </is>
      </c>
      <c r="J483" s="288" t="n"/>
      <c r="K483" s="184" t="inlineStr">
        <is>
          <t>Tertutup</t>
        </is>
      </c>
      <c r="L483" s="184" t="inlineStr">
        <is>
          <t>Terdapat</t>
        </is>
      </c>
      <c r="M483" s="184" t="inlineStr">
        <is>
          <t>Bulanan</t>
        </is>
      </c>
      <c r="N483" s="130" t="inlineStr">
        <is>
          <t>e-persediaan</t>
        </is>
      </c>
      <c r="O483" s="184" t="inlineStr">
        <is>
          <t>OPD</t>
        </is>
      </c>
      <c r="P483" s="184" t="inlineStr">
        <is>
          <t>Kab. Bandung</t>
        </is>
      </c>
      <c r="Q483" s="184" t="inlineStr">
        <is>
          <t>Website</t>
        </is>
      </c>
      <c r="R483" s="131" t="inlineStr">
        <is>
          <t>https://persediaanbmd.bandungkab.go.id/#/</t>
        </is>
      </c>
      <c r="S483" s="184" t="inlineStr">
        <is>
          <t>Secara Online</t>
        </is>
      </c>
      <c r="T483" s="184" t="inlineStr">
        <is>
          <t>Transaksi</t>
        </is>
      </c>
      <c r="U483" s="288" t="n"/>
      <c r="V483" s="184" t="inlineStr">
        <is>
          <t>Aktif</t>
        </is>
      </c>
      <c r="W483" s="184" t="inlineStr">
        <is>
          <t>Tidak</t>
        </is>
      </c>
      <c r="X483" s="288" t="n"/>
      <c r="Y483" s="184" t="inlineStr">
        <is>
          <t>Web Service</t>
        </is>
      </c>
      <c r="Z483" s="184" t="inlineStr">
        <is>
          <t>Realtime</t>
        </is>
      </c>
      <c r="AA483" s="288" t="n"/>
      <c r="AB483" s="184" t="inlineStr">
        <is>
          <t>BKAD</t>
        </is>
      </c>
      <c r="AC483" s="184" t="inlineStr">
        <is>
          <t>Sonia Dwi Octavianti</t>
        </is>
      </c>
      <c r="AD483" s="184" t="n">
        <v>85721324997</v>
      </c>
      <c r="AE483" s="184" t="inlineStr">
        <is>
          <t>octaviantimiharjasonia@gmail.com</t>
        </is>
      </c>
      <c r="AF483" s="288" t="n"/>
      <c r="AG483" s="68" t="inlineStr">
        <is>
          <t>Harian</t>
        </is>
      </c>
      <c r="AH483" s="284" t="n"/>
      <c r="AI483" s="284" t="n"/>
      <c r="AJ483" s="284" t="n"/>
      <c r="AK483" s="284" t="n"/>
      <c r="AL483" s="284" t="n"/>
      <c r="AM483" s="284" t="n"/>
      <c r="AN483" s="284" t="n"/>
      <c r="AO483" s="284" t="n"/>
      <c r="AP483" s="284" t="n"/>
      <c r="AQ483" s="284" t="n"/>
      <c r="AR483" s="284" t="n"/>
      <c r="AS483" s="284" t="n"/>
    </row>
    <row r="484">
      <c r="A484" s="182" t="n">
        <v>14</v>
      </c>
      <c r="B484" s="178" t="inlineStr">
        <is>
          <t>RKBMD</t>
        </is>
      </c>
      <c r="C484" t="inlineStr">
        <is>
          <t>RSUD BEDAS ARJASARI</t>
        </is>
      </c>
      <c r="D484" s="226" t="inlineStr">
        <is>
          <t>RKBMD (Rencana Kebutuhan Barang Milik Daerah) Kabupaten Bandung adalah dokumen perencanaan strategis satu tahun yang disusun oleh Organisasi Perangkat Daerah (OPD) untuk merencanakan pengadaan, pemeliharaan, pemanfaatan, pemindahtanganan, dan penghapusan aset daerah</t>
        </is>
      </c>
      <c r="E484" s="225" t="inlineStr">
        <is>
          <t>Peraturan Menteri Dalam Negeri Nomor 7 Tahun 2024 tentang Pedoman Pengelolaan Barang Milik Daerah</t>
        </is>
      </c>
      <c r="F484" s="288" t="n"/>
      <c r="G484" s="184" t="inlineStr">
        <is>
          <t>PENGADAAN BARANG/JASA PEMERINTAH</t>
        </is>
      </c>
      <c r="H484" s="184" t="inlineStr">
        <is>
          <t>Instansi Pemerintah Lainnya</t>
        </is>
      </c>
      <c r="I484" s="226" t="inlineStr">
        <is>
          <t>perencanaan untuk pengadaan, pemeliharaan, pemanfaatan, pemindahtanganan, dan penghapusan</t>
        </is>
      </c>
      <c r="J484" s="288" t="n"/>
      <c r="K484" s="184" t="inlineStr">
        <is>
          <t>Tertutup</t>
        </is>
      </c>
      <c r="L484" s="184" t="inlineStr">
        <is>
          <t>Tidak terdapat</t>
        </is>
      </c>
      <c r="M484" s="184" t="inlineStr">
        <is>
          <t>Tahunan</t>
        </is>
      </c>
      <c r="N484" s="130" t="inlineStr">
        <is>
          <t>RKBMD</t>
        </is>
      </c>
      <c r="O484" s="184" t="inlineStr">
        <is>
          <t>OPD</t>
        </is>
      </c>
      <c r="P484" s="184" t="inlineStr">
        <is>
          <t>Kab. Bandung</t>
        </is>
      </c>
      <c r="Q484" s="184" t="inlineStr">
        <is>
          <t>Website</t>
        </is>
      </c>
      <c r="R484" s="131" t="inlineStr">
        <is>
          <t>https://rkbmd.e-planningbmd.id/</t>
        </is>
      </c>
      <c r="S484" s="184" t="inlineStr">
        <is>
          <t>Secara Online</t>
        </is>
      </c>
      <c r="T484" s="184" t="inlineStr">
        <is>
          <t>Transaksi</t>
        </is>
      </c>
      <c r="U484" s="288" t="n"/>
      <c r="V484" s="184" t="inlineStr">
        <is>
          <t>Aktif</t>
        </is>
      </c>
      <c r="W484" s="184" t="inlineStr">
        <is>
          <t>Tidak</t>
        </is>
      </c>
      <c r="X484" s="288" t="n"/>
      <c r="Y484" s="184" t="inlineStr">
        <is>
          <t>Web Service</t>
        </is>
      </c>
      <c r="Z484" s="184" t="inlineStr">
        <is>
          <t>Tahunan</t>
        </is>
      </c>
      <c r="AA484" s="288" t="n"/>
      <c r="AB484" s="184" t="inlineStr">
        <is>
          <t>BKAD</t>
        </is>
      </c>
      <c r="AC484" s="184" t="inlineStr">
        <is>
          <t>Sonia Dwi Octavianti</t>
        </is>
      </c>
      <c r="AD484" s="184" t="n">
        <v>85721324997</v>
      </c>
      <c r="AE484" s="184" t="inlineStr">
        <is>
          <t>octaviantimiharjasonia@gmail.com</t>
        </is>
      </c>
      <c r="AF484" s="288" t="n"/>
      <c r="AG484" s="64" t="inlineStr">
        <is>
          <t>Tahunan</t>
        </is>
      </c>
      <c r="AH484" s="284" t="n"/>
      <c r="AI484" s="284" t="n"/>
      <c r="AJ484" s="284" t="n"/>
      <c r="AK484" s="284" t="n"/>
      <c r="AL484" s="284" t="n"/>
      <c r="AM484" s="284" t="n"/>
      <c r="AN484" s="284" t="n"/>
      <c r="AO484" s="284" t="n"/>
      <c r="AP484" s="284" t="n"/>
      <c r="AQ484" s="284" t="n"/>
      <c r="AR484" s="284" t="n"/>
      <c r="AS484" s="284" t="n"/>
    </row>
    <row r="485">
      <c r="A485" s="182" t="n">
        <v>16</v>
      </c>
      <c r="B485" s="178" t="inlineStr">
        <is>
          <t>SIMASDA</t>
        </is>
      </c>
      <c r="C485" t="inlineStr">
        <is>
          <t>RSUD BEDAS ARJASARI</t>
        </is>
      </c>
      <c r="D485" s="201" t="inlineStr">
        <is>
          <t>SI-MASDA Adalah Website Online yang menyajikan kumpulan data statistik sektoral yang dihasilkan dari aktifitas pengumpulan data yang dikelola di Perangkat Daerah (PD) dan diproses melalui pengolahan data di Bidang Statistik Diskominfo untuk disajikan menjadi produk analisis data Statistik Sektoral yang diupload kedalam Website SI-MASDA untuk dipublikasi dan disajikan kepada pengunjung Website dan pengguna lainnya yang membutuhkan data tersebut</t>
        </is>
      </c>
      <c r="E485" s="268" t="inlineStr">
        <is>
          <t>Pengelolaan data didukung oleh regulasi turunan, termasuk Peraturan Kepala BPS No. 9 Tahun 2009 tentang Penyelenggaraan Statistik Sektoral oleh Pemerintah Daerah, yang mengatur perolehan data melalui survei, kompilasi produk administrasi, dan cara lain</t>
        </is>
      </c>
      <c r="F485" s="288" t="n"/>
      <c r="G485" s="184" t="inlineStr">
        <is>
          <t>PENGELOLAAN DATA STATISTIK</t>
        </is>
      </c>
      <c r="H485" s="184" t="inlineStr">
        <is>
          <t>Instansi Pemerintah Lainnya</t>
        </is>
      </c>
      <c r="I485" s="288" t="n"/>
      <c r="J485" s="288" t="n"/>
      <c r="K485" s="184" t="inlineStr">
        <is>
          <t>Tertutup</t>
        </is>
      </c>
      <c r="L485" s="184" t="inlineStr">
        <is>
          <t>Terdapat</t>
        </is>
      </c>
      <c r="M485" s="184" t="inlineStr">
        <is>
          <t>Tahunan</t>
        </is>
      </c>
      <c r="N485" s="130" t="inlineStr">
        <is>
          <t>SIMASDA</t>
        </is>
      </c>
      <c r="O485" s="184" t="inlineStr">
        <is>
          <t>Diskominfo</t>
        </is>
      </c>
      <c r="P485" s="184" t="inlineStr">
        <is>
          <t>Kab. Bandung</t>
        </is>
      </c>
      <c r="Q485" s="184" t="inlineStr">
        <is>
          <t>Website</t>
        </is>
      </c>
      <c r="R485" s="131" t="inlineStr">
        <is>
          <t>https://simasda.bandungkab.go.id/login</t>
        </is>
      </c>
      <c r="S485" s="184" t="inlineStr">
        <is>
          <t>Secara Online</t>
        </is>
      </c>
      <c r="T485" s="184" t="inlineStr">
        <is>
          <t>Informasi</t>
        </is>
      </c>
      <c r="U485" s="288" t="n"/>
      <c r="V485" s="184" t="inlineStr">
        <is>
          <t>Aktif</t>
        </is>
      </c>
      <c r="W485" s="184" t="inlineStr">
        <is>
          <t>Ya</t>
        </is>
      </c>
      <c r="X485" s="288" t="n"/>
      <c r="Y485" s="288" t="n"/>
      <c r="Z485" s="288" t="n"/>
      <c r="AA485" s="288" t="n"/>
      <c r="AB485" s="288" t="n"/>
      <c r="AC485" s="184" t="inlineStr">
        <is>
          <t>Anjar Suarchman</t>
        </is>
      </c>
      <c r="AD485" s="184" t="n">
        <v>87743579775</v>
      </c>
      <c r="AE485" s="288" t="n"/>
      <c r="AF485" s="288" t="n"/>
      <c r="AG485" s="68" t="inlineStr">
        <is>
          <t>Tahunan</t>
        </is>
      </c>
      <c r="AH485" s="284" t="n"/>
      <c r="AI485" s="284" t="n"/>
      <c r="AJ485" s="284" t="n"/>
      <c r="AK485" s="284" t="n"/>
      <c r="AL485" s="284" t="n"/>
      <c r="AM485" s="284" t="n"/>
      <c r="AN485" s="284" t="n"/>
      <c r="AO485" s="284" t="n"/>
      <c r="AP485" s="284" t="n"/>
      <c r="AQ485" s="284" t="n"/>
      <c r="AR485" s="284" t="n"/>
      <c r="AS485" s="284" t="n"/>
    </row>
    <row r="486">
      <c r="A486" s="182" t="n">
        <v>17</v>
      </c>
      <c r="B486" s="178" t="inlineStr">
        <is>
          <t>SISRUTE</t>
        </is>
      </c>
      <c r="C486" t="inlineStr">
        <is>
          <t>RSUD BEDAS ARJASARI</t>
        </is>
      </c>
      <c r="D486" s="272" t="inlineStr">
        <is>
          <t>SISRUTE (Sistem Rujukan Terintegrasi) adalah aplikasi berbasis internet dari Kementerian Kesehatan yang menghubungkan fasilitas pelayanan kesehatan (Puskesmas ke RS, atau antar-RS) secara digital. Tujuannya mempermudah, mempercepat rujukan, dan memastikan ketersediaan tempat tidur/kompetensi dokter di faskes tujuan, guna meningkatkan keselamatan pasien.</t>
        </is>
      </c>
      <c r="E486" s="273" t="inlineStr">
        <is>
          <t>Permenkes No. 16 Tahun 2024 tentang Sistem Rujukan Pelayanan Kesehatan Perorangan dan SE Dirjen Yankes Nomor HK.02.02/I/1161/2022 yang mewajibkan fasyankes menggunakan aplikasi ini untuk mempercepat rujukan.</t>
        </is>
      </c>
      <c r="F486" s="288" t="n"/>
      <c r="G486" s="184" t="inlineStr">
        <is>
          <t>PENGELOLAAN PELAYANAN KESEHATAN</t>
        </is>
      </c>
      <c r="H486" s="184" t="inlineStr">
        <is>
          <t>Instansi Pemerintah Lainnya</t>
        </is>
      </c>
      <c r="I486" s="184" t="inlineStr">
        <is>
          <t>Data Pasien yang dirujuk Via aplikasi sisrute</t>
        </is>
      </c>
      <c r="J486" s="184" t="inlineStr">
        <is>
          <t>Jumlah, Data Pasien yang dirujuk Via aplikasi sisrute</t>
        </is>
      </c>
      <c r="K486" s="184" t="inlineStr">
        <is>
          <t>Tertutup</t>
        </is>
      </c>
      <c r="L486" s="184" t="inlineStr">
        <is>
          <t>Terdapat</t>
        </is>
      </c>
      <c r="M486" s="184" t="inlineStr">
        <is>
          <t>Bulanan</t>
        </is>
      </c>
      <c r="N486" s="130" t="inlineStr">
        <is>
          <t>SISRUTE</t>
        </is>
      </c>
      <c r="O486" s="184" t="inlineStr">
        <is>
          <t>Pusat</t>
        </is>
      </c>
      <c r="P486" s="184" t="inlineStr">
        <is>
          <t>Pusat</t>
        </is>
      </c>
      <c r="Q486" s="184" t="inlineStr">
        <is>
          <t>Website</t>
        </is>
      </c>
      <c r="R486" s="266" t="inlineStr">
        <is>
          <t>SISRUTE Nas - Sistem Informasi Rujukan Terintegrasi Nasional</t>
        </is>
      </c>
      <c r="S486" s="184" t="inlineStr">
        <is>
          <t>Secara Online</t>
        </is>
      </c>
      <c r="T486" s="184" t="inlineStr">
        <is>
          <t>Informasi</t>
        </is>
      </c>
      <c r="U486" s="288" t="n"/>
      <c r="V486" s="184" t="inlineStr">
        <is>
          <t>Aktif</t>
        </is>
      </c>
      <c r="W486" s="184" t="inlineStr">
        <is>
          <t>Tidak</t>
        </is>
      </c>
      <c r="X486" s="184" t="inlineStr">
        <is>
          <t>Tidak terintegrasi</t>
        </is>
      </c>
      <c r="Y486" s="184" t="inlineStr">
        <is>
          <t>Tidak Terintegrasi</t>
        </is>
      </c>
      <c r="Z486" s="288" t="n"/>
      <c r="AA486" s="288" t="n"/>
      <c r="AB486" s="288" t="n"/>
      <c r="AC486" s="184" t="inlineStr">
        <is>
          <t>dr. Ari Kurniawan</t>
        </is>
      </c>
      <c r="AD486" s="184" t="n">
        <v>81324443528</v>
      </c>
      <c r="AE486" s="184" t="inlineStr">
        <is>
          <t>igdrsba2024@gmail.com</t>
        </is>
      </c>
      <c r="AF486" s="288" t="n"/>
      <c r="AG486" s="68" t="inlineStr">
        <is>
          <t>Harian</t>
        </is>
      </c>
      <c r="AH486" s="284" t="n"/>
      <c r="AI486" s="284" t="n"/>
      <c r="AJ486" s="284" t="n"/>
      <c r="AK486" s="284" t="n"/>
      <c r="AL486" s="284" t="n"/>
      <c r="AM486" s="284" t="n"/>
      <c r="AN486" s="284" t="n"/>
      <c r="AO486" s="284" t="n"/>
      <c r="AP486" s="284" t="n"/>
      <c r="AQ486" s="284" t="n"/>
      <c r="AR486" s="284" t="n"/>
      <c r="AS486" s="284" t="n"/>
    </row>
    <row r="487">
      <c r="A487" s="182" t="n">
        <v>19</v>
      </c>
      <c r="B487" s="178" t="inlineStr">
        <is>
          <t>DMI</t>
        </is>
      </c>
      <c r="C487" t="inlineStr">
        <is>
          <t>RSUD BEDAS ARJASARI</t>
        </is>
      </c>
      <c r="D487" s="178" t="inlineStr">
        <is>
          <t>Digital Maturity Index (DMI) Kemenkes adalah instrumen pengukuran mandiri untuk mengevaluasi tingkat kematangan digital dan kesiapan Rekam Medis Elektronik (RME) di fasilitas kesehatan (rumah sakit, puskesmas, klinik). DMI menilai 7 komponen (infrastruktur, tata kelola, keamanan, dll) dengan skala 0-5 untuk merencanakan transformasi digital yang efektif dan terintegrasi.</t>
        </is>
      </c>
      <c r="E487" s="178" t="inlineStr">
        <is>
          <t>Peraturan Menteri Kesehatan Nomor 24 Tahun 2022 tentang Rekam Medis</t>
        </is>
      </c>
      <c r="F487" s="288" t="n"/>
      <c r="G487" s="184" t="inlineStr">
        <is>
          <t>PENGELOLAAN PELAYANAN KESEHATAN</t>
        </is>
      </c>
      <c r="H487" s="184" t="inlineStr">
        <is>
          <t>Instansi Pemerintah Lainnya</t>
        </is>
      </c>
      <c r="I487" s="222" t="inlineStr">
        <is>
          <t>Sistem Informasi, tata kelola, Infrastruktur TIK, standar interoperabilitas, SDM, Data Analitik, dan kemanan Informasi</t>
        </is>
      </c>
      <c r="J487" s="274" t="inlineStr">
        <is>
          <t>Penilaian menggunakan skala 0 hingga 5 (untuk DMI) dan 0 hingga 7 (khusus RME).</t>
        </is>
      </c>
      <c r="K487" s="184" t="inlineStr">
        <is>
          <t>Tertutup</t>
        </is>
      </c>
      <c r="L487" s="184" t="inlineStr">
        <is>
          <t>Tidak terdapat</t>
        </is>
      </c>
      <c r="M487" s="184" t="inlineStr">
        <is>
          <t>Tahunan</t>
        </is>
      </c>
      <c r="N487" s="184" t="inlineStr">
        <is>
          <t>DMI</t>
        </is>
      </c>
      <c r="O487" s="184" t="inlineStr">
        <is>
          <t>Pusat</t>
        </is>
      </c>
      <c r="P487" s="184" t="inlineStr">
        <is>
          <t>Pusat</t>
        </is>
      </c>
      <c r="Q487" s="184" t="inlineStr">
        <is>
          <t>Website</t>
        </is>
      </c>
      <c r="R487" s="270" t="inlineStr">
        <is>
          <t>https://dmi.kemkes.go.id/dhis-web-commons/security/login.action</t>
        </is>
      </c>
      <c r="S487" s="184" t="inlineStr">
        <is>
          <t>Secara Online</t>
        </is>
      </c>
      <c r="T487" s="184" t="inlineStr">
        <is>
          <t>Informasi</t>
        </is>
      </c>
      <c r="U487" s="288" t="n"/>
      <c r="V487" s="184" t="inlineStr">
        <is>
          <t>Aktif</t>
        </is>
      </c>
      <c r="W487" s="184" t="inlineStr">
        <is>
          <t>Tidak</t>
        </is>
      </c>
      <c r="X487" s="184" t="inlineStr">
        <is>
          <t>Tidak terintegrasi</t>
        </is>
      </c>
      <c r="Y487" s="184" t="inlineStr">
        <is>
          <t>Tidak Terintegrasi</t>
        </is>
      </c>
      <c r="Z487" s="184" t="inlineStr">
        <is>
          <t>Tidak Terintegrasi</t>
        </is>
      </c>
      <c r="AA487" s="288" t="n"/>
      <c r="AB487" s="288" t="n"/>
      <c r="AC487" s="184" t="inlineStr">
        <is>
          <t>Anjar Surachman</t>
        </is>
      </c>
      <c r="AD487" s="184" t="n">
        <v>87743579775</v>
      </c>
      <c r="AE487" s="288" t="n"/>
      <c r="AF487" s="288" t="n"/>
      <c r="AG487" s="68" t="inlineStr">
        <is>
          <t>Tahunan</t>
        </is>
      </c>
      <c r="AH487" s="284" t="n"/>
      <c r="AI487" s="284" t="n"/>
      <c r="AJ487" s="284" t="n"/>
      <c r="AK487" s="284" t="n"/>
      <c r="AL487" s="284" t="n"/>
      <c r="AM487" s="284" t="n"/>
      <c r="AN487" s="284" t="n"/>
      <c r="AO487" s="284" t="n"/>
      <c r="AP487" s="284" t="n"/>
      <c r="AQ487" s="284" t="n"/>
      <c r="AR487" s="284" t="n"/>
      <c r="AS487" s="284" t="n"/>
    </row>
    <row r="488">
      <c r="A488" s="182" t="n">
        <v>20</v>
      </c>
      <c r="B488" s="178" t="inlineStr">
        <is>
          <t>ESKM</t>
        </is>
      </c>
      <c r="C488" t="inlineStr">
        <is>
          <t>RSUD BEDAS ARJASARI</t>
        </is>
      </c>
      <c r="D488" s="178" t="inlineStr">
        <is>
          <t>Survey Kepuasaan Masyarakat</t>
        </is>
      </c>
      <c r="E488" s="178" t="inlineStr">
        <is>
          <t>Surat Dari Deputi Bidang pelayanan Publik Kementrian Pendayagunan aparatur negara dan reformasi birokrasi Republik Indonesia No. B/39/PP.00.01/2026 Hal pendampingan kebijakan pelayanan publik Lingkup pulau Jawa</t>
        </is>
      </c>
      <c r="F488" s="288" t="n"/>
      <c r="G488" s="184" t="inlineStr">
        <is>
          <t>PENGELOLAAN PELAYANAN KESEHATAN</t>
        </is>
      </c>
      <c r="H488" s="184" t="inlineStr">
        <is>
          <t>Instansi Pemerintah Lainnya</t>
        </is>
      </c>
      <c r="I488" s="184" t="inlineStr">
        <is>
          <t>Survey Kepuasan</t>
        </is>
      </c>
      <c r="J488" s="184" t="inlineStr">
        <is>
          <t>Indeks Kepuasan Masyarakat</t>
        </is>
      </c>
      <c r="K488" s="184" t="inlineStr">
        <is>
          <t>Terbuka</t>
        </is>
      </c>
      <c r="L488" s="184" t="inlineStr">
        <is>
          <t>Terdapat</t>
        </is>
      </c>
      <c r="M488" s="184" t="inlineStr">
        <is>
          <t>Bulanan</t>
        </is>
      </c>
      <c r="N488" s="184" t="inlineStr">
        <is>
          <t>E-SKM</t>
        </is>
      </c>
      <c r="O488" s="184" t="inlineStr">
        <is>
          <t>OPD</t>
        </is>
      </c>
      <c r="P488" s="184" t="inlineStr">
        <is>
          <t>Kab. Bandung</t>
        </is>
      </c>
      <c r="Q488" s="184" t="inlineStr">
        <is>
          <t>Website dan Mobile</t>
        </is>
      </c>
      <c r="R488" s="131" t="inlineStr">
        <is>
          <t>https://skm.bandungkab.go.id/eskm/22978</t>
        </is>
      </c>
      <c r="S488" s="184" t="inlineStr">
        <is>
          <t>Secara Online</t>
        </is>
      </c>
      <c r="T488" s="184" t="inlineStr">
        <is>
          <t>Informasi</t>
        </is>
      </c>
      <c r="U488" s="184" t="n">
        <v>2025</v>
      </c>
      <c r="V488" s="184" t="inlineStr">
        <is>
          <t>Aktif</t>
        </is>
      </c>
      <c r="W488" s="184" t="inlineStr">
        <is>
          <t>Ya</t>
        </is>
      </c>
      <c r="X488" s="184" t="inlineStr">
        <is>
          <t>Ya</t>
        </is>
      </c>
      <c r="Y488" s="184" t="inlineStr">
        <is>
          <t>Web Service</t>
        </is>
      </c>
      <c r="Z488" s="184" t="inlineStr">
        <is>
          <t>Harian</t>
        </is>
      </c>
      <c r="AA488" s="184" t="inlineStr">
        <is>
          <t>Diskominfo dan SETDA</t>
        </is>
      </c>
      <c r="AB488" s="184" t="inlineStr">
        <is>
          <t>Setda</t>
        </is>
      </c>
      <c r="AC488" s="184" t="inlineStr">
        <is>
          <t>Lastiar Kristina,S.Keb.,Bdn</t>
        </is>
      </c>
      <c r="AD488" s="184" t="n">
        <v>81322030083</v>
      </c>
      <c r="AE488" s="184" t="inlineStr">
        <is>
          <t>rsudbedasarjasari@gmail.com</t>
        </is>
      </c>
      <c r="AF488" s="288" t="n"/>
      <c r="AG488" s="68" t="inlineStr">
        <is>
          <t>Harian</t>
        </is>
      </c>
      <c r="AH488" s="284" t="n"/>
      <c r="AI488" s="284" t="n"/>
      <c r="AJ488" s="284" t="n"/>
      <c r="AK488" s="284" t="n"/>
      <c r="AL488" s="284" t="n"/>
      <c r="AM488" s="284" t="n"/>
      <c r="AN488" s="284" t="n"/>
      <c r="AO488" s="284" t="n"/>
      <c r="AP488" s="284" t="n"/>
      <c r="AQ488" s="284" t="n"/>
      <c r="AR488" s="284" t="n"/>
      <c r="AS488" s="284" t="n"/>
    </row>
    <row r="489">
      <c r="A489" s="182" t="n">
        <v>22</v>
      </c>
      <c r="B489" s="178" t="inlineStr">
        <is>
          <t>SIPNAP</t>
        </is>
      </c>
      <c r="C489" t="inlineStr">
        <is>
          <t>RSUD BEDAS ARJASARI</t>
        </is>
      </c>
      <c r="D489" s="147" t="inlineStr">
        <is>
          <t>Aplikasi SIPNAP berfungsi sebagai sistem pelaporan elektronik yang membantu fasilitas kesehatan melaporkan penggunaan narkotika dan psikotropika secara rutin kepada Kementerian Kesehatan, sekaligus menjadi alat pengawasan untuk mencegah penyalahgunaan obat tersebut.</t>
        </is>
      </c>
      <c r="E489" s="178" t="inlineStr">
        <is>
          <t>UU No. 35 Tahun 2009 tentang Narkotika: Mewajibkan fasilitas pelayanan kefarmasianUU No. 5 Tahun 1997 tentang Psikotropika: Mewajibkan pelaporan penggunaan psikotropika. Permenkes No. 5 Tahun 2023 tentang Narkotika, Psikotropika, dan Prekursor: Mengatur tentang kewajiban pelaporanPermenkes No. 72 Tahun 2016 tentang Standar Pelayanan Kefarmasian di Rumah Sakit.</t>
        </is>
      </c>
      <c r="F489" s="206" t="n"/>
      <c r="G489" s="184" t="inlineStr">
        <is>
          <t>PENGELOLAAN PELAYANAN KESEHATAN</t>
        </is>
      </c>
      <c r="H489" s="288" t="n"/>
      <c r="I489" s="184" t="inlineStr">
        <is>
          <t>Data Identitas Fasilitas Kesehatan,Data Obat Narkotika Psikotropika,Data Pengelolaan Obat</t>
        </is>
      </c>
      <c r="J489" s="184" t="inlineStr">
        <is>
          <t>Laporan Pemakaian Narkotika dan psikotropika,Laporan Stok Obat,Rekapitulasi Pelapotran bulanan</t>
        </is>
      </c>
      <c r="K489" s="184" t="inlineStr">
        <is>
          <t>Terbatas</t>
        </is>
      </c>
      <c r="L489" s="184" t="inlineStr">
        <is>
          <t>Tidak terdapat</t>
        </is>
      </c>
      <c r="M489" s="184" t="inlineStr">
        <is>
          <t>Bulanan</t>
        </is>
      </c>
      <c r="N489" s="67" t="inlineStr">
        <is>
          <t>SIPNAP</t>
        </is>
      </c>
      <c r="O489" s="184" t="inlineStr">
        <is>
          <t>Pusat</t>
        </is>
      </c>
      <c r="P489" s="184" t="inlineStr">
        <is>
          <t>Pusat</t>
        </is>
      </c>
      <c r="Q489" s="184" t="inlineStr">
        <is>
          <t>Website</t>
        </is>
      </c>
      <c r="R489" s="275" t="inlineStr">
        <is>
          <t>: https://sipnap.kemkes.go.id/</t>
        </is>
      </c>
      <c r="S489" s="184" t="inlineStr">
        <is>
          <t>Secara Online</t>
        </is>
      </c>
      <c r="T489" s="184" t="inlineStr">
        <is>
          <t>Transaksi</t>
        </is>
      </c>
      <c r="U489" s="184" t="n">
        <v>2025</v>
      </c>
      <c r="V489" s="184" t="inlineStr">
        <is>
          <t>Aktif</t>
        </is>
      </c>
      <c r="W489" s="184" t="inlineStr">
        <is>
          <t>Tidak</t>
        </is>
      </c>
      <c r="X489" s="184" t="inlineStr">
        <is>
          <t>Tidak terintegrasi</t>
        </is>
      </c>
      <c r="Y489" s="184" t="inlineStr">
        <is>
          <t>Tidak Terintegrasi</t>
        </is>
      </c>
      <c r="Z489" s="184" t="inlineStr">
        <is>
          <t>Tidak Terintegrasi</t>
        </is>
      </c>
      <c r="AA489" s="184" t="inlineStr">
        <is>
          <t>Dinkes</t>
        </is>
      </c>
      <c r="AB489" s="184" t="inlineStr">
        <is>
          <t>Dinkes</t>
        </is>
      </c>
      <c r="AC489" s="184" t="inlineStr">
        <is>
          <t>Komariah S,Si&lt;Apt</t>
        </is>
      </c>
      <c r="AD489" s="184" t="n">
        <v>82117621571</v>
      </c>
      <c r="AE489" s="184" t="inlineStr">
        <is>
          <t>ummifatifa@gmail.com</t>
        </is>
      </c>
      <c r="AF489" s="68" t="n">
        <v>8</v>
      </c>
      <c r="AG489" s="68" t="inlineStr">
        <is>
          <t>Bulanan</t>
        </is>
      </c>
      <c r="AH489" s="284" t="n"/>
      <c r="AI489" s="284" t="n"/>
      <c r="AJ489" s="284" t="n"/>
      <c r="AK489" s="284" t="n"/>
      <c r="AL489" s="284" t="n"/>
      <c r="AM489" s="284" t="n"/>
      <c r="AN489" s="284" t="n"/>
      <c r="AO489" s="284" t="n"/>
      <c r="AP489" s="284" t="n"/>
      <c r="AQ489" s="284" t="n"/>
      <c r="AR489" s="284" t="n"/>
      <c r="AS489" s="284" t="n"/>
    </row>
    <row r="490">
      <c r="A490" s="182" t="n">
        <v>23</v>
      </c>
      <c r="B490" s="178" t="inlineStr">
        <is>
          <t>Balis Perijinan / BAPETEN</t>
        </is>
      </c>
      <c r="C490" t="inlineStr">
        <is>
          <t>RSUD BEDAS ARJASARI</t>
        </is>
      </c>
      <c r="D490" s="178" t="inlineStr">
        <is>
          <t>Aplikasi untuk mengurus erijinan Alat-alat Radiologi dengan sumber radiasi pengion ke BAPETEN</t>
        </is>
      </c>
      <c r="E490" s="178" t="inlineStr">
        <is>
          <t>Peraturan Badan Pengawas Tenaga Nuklir Nomor 4 Tahun 2024 tentang Izin Bekerja Petugas pada Fasilitas Radiasi dan/atau Kegiatan Pemanfaatan Sumber Radiasi Pengion</t>
        </is>
      </c>
      <c r="F490" s="288" t="n"/>
      <c r="G490" s="184" t="inlineStr">
        <is>
          <t>INFORMASI DAN DIPLOMASI PUBLIK</t>
        </is>
      </c>
      <c r="H490" s="184" t="inlineStr">
        <is>
          <t>Pelaku Bisnis</t>
        </is>
      </c>
      <c r="I490" s="184" t="inlineStr">
        <is>
          <t>Data-data persyaratan perijinan alat dengan sumber radiasi pengion</t>
        </is>
      </c>
      <c r="J490" s="184" t="inlineStr">
        <is>
          <t>Sertifikat ijin alat oleh BAPETEN</t>
        </is>
      </c>
      <c r="K490" s="184" t="inlineStr">
        <is>
          <t>Terbatas</t>
        </is>
      </c>
      <c r="L490" s="184" t="inlineStr">
        <is>
          <t>Terdapat</t>
        </is>
      </c>
      <c r="M490" s="184" t="inlineStr">
        <is>
          <t>Lainnya</t>
        </is>
      </c>
      <c r="N490" s="67" t="inlineStr">
        <is>
          <t>BALIS BAPETEN</t>
        </is>
      </c>
      <c r="O490" s="184" t="inlineStr">
        <is>
          <t>Pusat</t>
        </is>
      </c>
      <c r="P490" s="184" t="inlineStr">
        <is>
          <t>Pusat</t>
        </is>
      </c>
      <c r="Q490" s="184" t="inlineStr">
        <is>
          <t>Website</t>
        </is>
      </c>
      <c r="R490" s="276" t="inlineStr">
        <is>
          <t>https://balis.bapeten.go.id/frontend2/public/panel/dashboard</t>
        </is>
      </c>
      <c r="S490" s="184" t="inlineStr">
        <is>
          <t>Secara Online</t>
        </is>
      </c>
      <c r="T490" s="184" t="inlineStr">
        <is>
          <t>Transaksi</t>
        </is>
      </c>
      <c r="U490" s="184" t="n">
        <v>2025</v>
      </c>
      <c r="V490" s="184" t="inlineStr">
        <is>
          <t>Aktif</t>
        </is>
      </c>
      <c r="W490" s="184" t="inlineStr">
        <is>
          <t>Ya</t>
        </is>
      </c>
      <c r="X490" s="184" t="inlineStr">
        <is>
          <t>OSS</t>
        </is>
      </c>
      <c r="Y490" s="184" t="inlineStr">
        <is>
          <t>API</t>
        </is>
      </c>
      <c r="Z490" s="184" t="inlineStr">
        <is>
          <t>Realtime</t>
        </is>
      </c>
      <c r="AA490" s="184" t="inlineStr">
        <is>
          <t>OSS</t>
        </is>
      </c>
      <c r="AB490" s="184" t="inlineStr">
        <is>
          <t>DPMPTSP</t>
        </is>
      </c>
      <c r="AC490" s="184" t="inlineStr">
        <is>
          <t>Ari Nurhayati, AMR</t>
        </is>
      </c>
      <c r="AD490" s="184" t="n">
        <v>81220186484</v>
      </c>
      <c r="AE490" s="184" t="inlineStr">
        <is>
          <t>radiologirsba01@gmail.com</t>
        </is>
      </c>
      <c r="AF490" s="288" t="n"/>
      <c r="AG490" s="68" t="inlineStr">
        <is>
          <t>Insidentil</t>
        </is>
      </c>
      <c r="AH490" s="284" t="n"/>
      <c r="AI490" s="284" t="n"/>
      <c r="AJ490" s="284" t="n"/>
      <c r="AK490" s="284" t="n"/>
      <c r="AL490" s="284" t="n"/>
      <c r="AM490" s="284" t="n"/>
      <c r="AN490" s="284" t="n"/>
      <c r="AO490" s="284" t="n"/>
      <c r="AP490" s="284" t="n"/>
      <c r="AQ490" s="284" t="n"/>
      <c r="AR490" s="284" t="n"/>
      <c r="AS490" s="284" t="n"/>
    </row>
    <row r="491">
      <c r="A491" s="182" t="n">
        <v>24</v>
      </c>
      <c r="B491" s="178" t="inlineStr">
        <is>
          <t>SITB</t>
        </is>
      </c>
      <c r="C491" t="inlineStr">
        <is>
          <t>RSUD BEDAS ARJASARI</t>
        </is>
      </c>
      <c r="D491" s="178" t="inlineStr">
        <is>
          <t>SITB (Sistem Informasi Tuberkulosis) adalah platform digital terintegrasi milik Kementerian Kesehatan RI untuk pencatatan dan pelaporan kasus TBC secara real-time. Tujuannya adalah mempercepat eliminasi TBC 2030, mendeteksi dini kasus, serta meningkatkan akurasi data pengobatan dan logistik TBC dari fasilitas kesehatan di seluruh Indonesia.</t>
        </is>
      </c>
      <c r="E491" s="178" t="inlineStr">
        <is>
          <t>Peraturan Presiden Nomor 67 Tahun 2021 tentang Penanggulangan Tuberkulosis</t>
        </is>
      </c>
      <c r="F491" s="288" t="n"/>
      <c r="G491" s="288" t="n"/>
      <c r="H491" s="184" t="inlineStr">
        <is>
          <t>Masyarakat</t>
        </is>
      </c>
      <c r="I491" s="184" t="inlineStr">
        <is>
          <t>Data pasien tuberkulosis</t>
        </is>
      </c>
      <c r="J491" s="184" t="inlineStr">
        <is>
          <t>jumlah, data pasien tuberkulosis</t>
        </is>
      </c>
      <c r="K491" s="184" t="inlineStr">
        <is>
          <t>Tertutup</t>
        </is>
      </c>
      <c r="L491" s="184" t="inlineStr">
        <is>
          <t>Terdapat</t>
        </is>
      </c>
      <c r="M491" s="184" t="inlineStr">
        <is>
          <t>Tahunan</t>
        </is>
      </c>
      <c r="N491" s="67" t="inlineStr">
        <is>
          <t>Sistem Informasi Tuberkulosis (SITB)</t>
        </is>
      </c>
      <c r="O491" s="184" t="inlineStr">
        <is>
          <t>Pusat</t>
        </is>
      </c>
      <c r="P491" s="184" t="inlineStr">
        <is>
          <t>Pusat</t>
        </is>
      </c>
      <c r="Q491" s="184" t="inlineStr">
        <is>
          <t>Website</t>
        </is>
      </c>
      <c r="R491" s="131" t="inlineStr">
        <is>
          <t>https://dkijabarbanten.sitb.id/sitb2024/app</t>
        </is>
      </c>
      <c r="S491" s="184" t="inlineStr">
        <is>
          <t>Secara Online</t>
        </is>
      </c>
      <c r="T491" s="184" t="inlineStr">
        <is>
          <t>Informasi</t>
        </is>
      </c>
      <c r="U491" s="184" t="n">
        <v>2025</v>
      </c>
      <c r="V491" s="184" t="inlineStr">
        <is>
          <t>Aktif</t>
        </is>
      </c>
      <c r="W491" s="184" t="inlineStr">
        <is>
          <t>Tidak</t>
        </is>
      </c>
      <c r="X491" s="288" t="n"/>
      <c r="Y491" s="184" t="inlineStr">
        <is>
          <t>Tidak Terintegrasi</t>
        </is>
      </c>
      <c r="Z491" s="184" t="inlineStr">
        <is>
          <t>Realtime</t>
        </is>
      </c>
      <c r="AA491" s="288" t="n"/>
      <c r="AB491" s="184" t="inlineStr">
        <is>
          <t>Dinkes</t>
        </is>
      </c>
      <c r="AC491" s="184" t="inlineStr">
        <is>
          <t>hesty asdiana, A.Md.Kep</t>
        </is>
      </c>
      <c r="AD491" s="184" t="n">
        <v>82214004268</v>
      </c>
      <c r="AE491" s="184" t="inlineStr">
        <is>
          <t>hestyasdiana@gmail.com</t>
        </is>
      </c>
      <c r="AF491" s="288" t="n"/>
      <c r="AG491" s="68" t="inlineStr">
        <is>
          <t>Harian</t>
        </is>
      </c>
      <c r="AH491" s="284" t="n"/>
      <c r="AI491" s="284" t="n"/>
      <c r="AJ491" s="284" t="n"/>
      <c r="AK491" s="284" t="n"/>
      <c r="AL491" s="284" t="n"/>
      <c r="AM491" s="284" t="n"/>
      <c r="AN491" s="284" t="n"/>
      <c r="AO491" s="284" t="n"/>
      <c r="AP491" s="284" t="n"/>
      <c r="AQ491" s="284" t="n"/>
      <c r="AR491" s="284" t="n"/>
      <c r="AS491" s="284" t="n"/>
    </row>
    <row r="492">
      <c r="A492" s="182" t="n">
        <v>25</v>
      </c>
      <c r="B492" s="178" t="inlineStr">
        <is>
          <t>SIPD</t>
        </is>
      </c>
      <c r="C492" t="inlineStr">
        <is>
          <t>RSUD BEDAS ARJASARI</t>
        </is>
      </c>
      <c r="D492" s="178" t="inlineStr">
        <is>
          <t>SIPD (Sistem Informasi Pemerintahan Daerah) adalah platform digital dari Kemendagri yang berfungsi untuk mengintegrasikan perencanaan, penganggaran, pelaksanaan, hingga pelaporan keuangan daerah dalam satu basis data tunggal. SIPD bertujuan menciptakan tata kelola pemerintahan yang akuntabel, transparan, dan efisien, serta mempermudah pengawasan.</t>
        </is>
      </c>
      <c r="E492" s="274" t="inlineStr">
        <is>
          <t>Dasar hukum utama Sistem Informasi Pemerintahan Daerah (SIPD) adalah Peraturan Menteri Dalam Negeri Nomor 70 Tahun 2019 tentang Sistem Informasi Pemerintahan Daerah. SIPD diwajibkan sebagai sistem terintegrasi untuk perencanaan, penganggaran, pelaksanaan, dan pelaporan keuangan daerah berdasarkan UU No. 23 Tahun 2014.</t>
        </is>
      </c>
      <c r="F492" s="288" t="n"/>
      <c r="G492" s="184" t="inlineStr">
        <is>
          <t>PERENCANAAN TATA RUANG DAN PEMANFAATAN RUANG</t>
        </is>
      </c>
      <c r="H492" s="184" t="inlineStr">
        <is>
          <t>Instansi Pemerintah Lainnya</t>
        </is>
      </c>
      <c r="I492" s="184" t="inlineStr">
        <is>
          <t>Perencanaan,penganggaran,pelaksanaan,pelaporan</t>
        </is>
      </c>
      <c r="J492" s="288" t="n"/>
      <c r="K492" s="184" t="inlineStr">
        <is>
          <t>Rahasia</t>
        </is>
      </c>
      <c r="L492" s="184" t="inlineStr">
        <is>
          <t>Tidak terdapat</t>
        </is>
      </c>
      <c r="M492" s="184" t="inlineStr">
        <is>
          <t>Bulanan</t>
        </is>
      </c>
      <c r="N492" s="67" t="inlineStr">
        <is>
          <t>SIPD</t>
        </is>
      </c>
      <c r="O492" s="184" t="inlineStr">
        <is>
          <t>Pusat</t>
        </is>
      </c>
      <c r="P492" s="184" t="inlineStr">
        <is>
          <t>Pusat</t>
        </is>
      </c>
      <c r="Q492" s="184" t="inlineStr">
        <is>
          <t>Website dan Mobile</t>
        </is>
      </c>
      <c r="R492" s="131" t="inlineStr">
        <is>
          <t>sipd.ri.id</t>
        </is>
      </c>
      <c r="S492" s="184" t="inlineStr">
        <is>
          <t>Secara Online</t>
        </is>
      </c>
      <c r="T492" s="184" t="inlineStr">
        <is>
          <t>Informasi</t>
        </is>
      </c>
      <c r="U492" s="288" t="n"/>
      <c r="V492" s="184" t="inlineStr">
        <is>
          <t>Aktif</t>
        </is>
      </c>
      <c r="W492" s="184" t="inlineStr">
        <is>
          <t>Ya</t>
        </is>
      </c>
      <c r="X492" s="288" t="n"/>
      <c r="Y492" s="288" t="n"/>
      <c r="Z492" s="184" t="inlineStr">
        <is>
          <t>Harian</t>
        </is>
      </c>
      <c r="AA492" s="184" t="inlineStr">
        <is>
          <t>bag tata usaha</t>
        </is>
      </c>
      <c r="AB492" s="184" t="inlineStr">
        <is>
          <t>Dinkes</t>
        </is>
      </c>
      <c r="AC492" s="184" t="inlineStr">
        <is>
          <t>SAEPUL HAROM, SKM., M.K.P.</t>
        </is>
      </c>
      <c r="AD492" s="263" t="inlineStr">
        <is>
          <t>0877-2535-4094</t>
        </is>
      </c>
      <c r="AE492" s="288" t="n"/>
      <c r="AF492" s="288" t="n"/>
      <c r="AG492" s="68" t="inlineStr">
        <is>
          <t>Harian</t>
        </is>
      </c>
      <c r="AH492" s="284" t="n"/>
      <c r="AI492" s="284" t="n"/>
      <c r="AJ492" s="284" t="n"/>
      <c r="AK492" s="284" t="n"/>
      <c r="AL492" s="284" t="n"/>
      <c r="AM492" s="284" t="n"/>
      <c r="AN492" s="284" t="n"/>
      <c r="AO492" s="284" t="n"/>
      <c r="AP492" s="284" t="n"/>
      <c r="AQ492" s="284" t="n"/>
      <c r="AR492" s="284" t="n"/>
      <c r="AS492" s="284" t="n"/>
    </row>
    <row r="493">
      <c r="A493" s="182" t="n">
        <v>26</v>
      </c>
      <c r="B493" s="178" t="inlineStr">
        <is>
          <t>E MESO</t>
        </is>
      </c>
      <c r="C493" t="inlineStr">
        <is>
          <t>RSUD BEDAS ARJASARI</t>
        </is>
      </c>
      <c r="D493" s="277" t="inlineStr">
        <is>
          <t>Layanan e-MESO bertujuan untuk melaporkan dan memantau efek samping obat secara nasional sehingga dapat meningkatkan keamanan penggunaan obat dan keselamatan pasien melalui sistem pelaporan elektronik.</t>
        </is>
      </c>
      <c r="E493" s="278" t="inlineStr">
        <is>
          <t>Undang undang no 17 Tahun 2023 tentang Kesehatan,Peraturan BPOM No. 15 Tahun 2022 tentang Penerapan Farmakovigilans,Keputusan Kepala BPOM Tahun 2024 tentang Pusat Farmakovigilans/MESO Nasional</t>
        </is>
      </c>
      <c r="F493" s="288" t="n"/>
      <c r="G493" s="184" t="inlineStr">
        <is>
          <t>PENGELOLAAN PELAYANAN KESEHATAN</t>
        </is>
      </c>
      <c r="H493" s="184" t="inlineStr">
        <is>
          <t>Masyarakat</t>
        </is>
      </c>
      <c r="I493" s="178" t="inlineStr">
        <is>
          <t>Data Pasien,Data Obat yang diduga menyebabkan efeksamping,Data efek samping obat,Tindakan yang dilakukan ,Data pelapor</t>
        </is>
      </c>
      <c r="J493" s="196" t="inlineStr">
        <is>
          <t>laporan efek samping obat, rekap laporan nasional, serta analisis keamanan obat untuk mendukung kebijakan pengawasan obat.</t>
        </is>
      </c>
      <c r="K493" s="184" t="inlineStr">
        <is>
          <t>Terbatas</t>
        </is>
      </c>
      <c r="L493" s="184" t="inlineStr">
        <is>
          <t>Terdapat</t>
        </is>
      </c>
      <c r="M493" s="184" t="inlineStr">
        <is>
          <t>Lainnya</t>
        </is>
      </c>
      <c r="N493" s="67" t="inlineStr">
        <is>
          <t>E-MESO</t>
        </is>
      </c>
      <c r="O493" s="184" t="inlineStr">
        <is>
          <t>Pusat</t>
        </is>
      </c>
      <c r="P493" s="184" t="inlineStr">
        <is>
          <t>Pusat</t>
        </is>
      </c>
      <c r="Q493" s="184" t="inlineStr">
        <is>
          <t>Website</t>
        </is>
      </c>
      <c r="R493" s="279" t="inlineStr">
        <is>
          <t>https://e-meso.pom.go.id/ADR</t>
        </is>
      </c>
      <c r="S493" s="184" t="inlineStr">
        <is>
          <t>Secara Online</t>
        </is>
      </c>
      <c r="T493" s="288" t="n"/>
      <c r="U493" s="184" t="n">
        <v>2025</v>
      </c>
      <c r="V493" s="184" t="inlineStr">
        <is>
          <t>Aktif</t>
        </is>
      </c>
      <c r="W493" s="184" t="inlineStr">
        <is>
          <t>Tidak</t>
        </is>
      </c>
      <c r="X493" s="288" t="n"/>
      <c r="Y493" s="184" t="inlineStr">
        <is>
          <t>Tidak Terintegrasi</t>
        </is>
      </c>
      <c r="Z493" s="184" t="inlineStr">
        <is>
          <t>Lainnya</t>
        </is>
      </c>
      <c r="AA493" s="288" t="n"/>
      <c r="AB493" s="184" t="inlineStr">
        <is>
          <t>Dinkes</t>
        </is>
      </c>
      <c r="AC493" s="184" t="inlineStr">
        <is>
          <t>Komariah S,Si,Apt</t>
        </is>
      </c>
      <c r="AD493" s="184" t="n">
        <v>82117621571</v>
      </c>
      <c r="AE493" s="184" t="inlineStr">
        <is>
          <t>rsudbedasarjasari@gmail.com</t>
        </is>
      </c>
      <c r="AF493" s="68" t="n">
        <v>8</v>
      </c>
      <c r="AG493" s="68" t="inlineStr">
        <is>
          <t>Insidentil</t>
        </is>
      </c>
      <c r="AH493" s="284" t="n"/>
      <c r="AI493" s="284" t="n"/>
      <c r="AJ493" s="284" t="n"/>
      <c r="AK493" s="284" t="n"/>
      <c r="AL493" s="284" t="n"/>
      <c r="AM493" s="284" t="n"/>
      <c r="AN493" s="284" t="n"/>
      <c r="AO493" s="284" t="n"/>
      <c r="AP493" s="284" t="n"/>
      <c r="AQ493" s="284" t="n"/>
      <c r="AR493" s="284" t="n"/>
      <c r="AS493" s="284" t="n"/>
    </row>
    <row r="494">
      <c r="A494" s="182" t="n">
        <v>27</v>
      </c>
      <c r="B494" s="178" t="inlineStr">
        <is>
          <t>kobotoolbox</t>
        </is>
      </c>
      <c r="C494" t="inlineStr">
        <is>
          <t>RSUD BEDAS ARJASARI</t>
        </is>
      </c>
      <c r="D494" s="178" t="inlineStr">
        <is>
          <t>kobotoolbox bertujuan untuk memudahkan pencatatan dan pelaporan timbulan Limbah medis</t>
        </is>
      </c>
      <c r="E494" s="178" t="inlineStr">
        <is>
          <t>Permenkes No.7 Tahun 2019 Tentang Kesehatan Lingkungan Rumah Sakit, Permenkes No.2 Tahun 2023 Tentang Peraturan Pelaksanaan PP No.66 Tahun 2014 tentang Kesehatan Lingkungan, Peraturan Menteri Lingkungan Hidup No.56 Tahun 2015 tentang Tata Cara dan Persyaratan Teknis Pengelolaan Limbah B3 dari Fasyankes</t>
        </is>
      </c>
      <c r="F494" s="288" t="n"/>
      <c r="G494" s="184" t="inlineStr">
        <is>
          <t>PENGELOLAAN LIMBAH BAHAN BERBAHAYA DAN BERACUN</t>
        </is>
      </c>
      <c r="H494" s="184" t="inlineStr">
        <is>
          <t>Instansi Pemerintah Lainnya</t>
        </is>
      </c>
      <c r="I494" s="184" t="inlineStr">
        <is>
          <t>Data penimbangan limbah medis,jumlah petugas kebersihan,jumlah kunjungan pasien pd bl itu,sarana dan prasarana pengelolaan limbah medis,pembuangan limbah cair</t>
        </is>
      </c>
      <c r="J494" s="184" t="inlineStr">
        <is>
          <t>Pelaporan limbah medis setiap bulan</t>
        </is>
      </c>
      <c r="K494" s="288" t="n"/>
      <c r="L494" s="184" t="inlineStr">
        <is>
          <t>Tidak terdapat</t>
        </is>
      </c>
      <c r="M494" s="184" t="inlineStr">
        <is>
          <t>Bulanan</t>
        </is>
      </c>
      <c r="N494" s="67" t="inlineStr">
        <is>
          <t>website Kobotoolbox</t>
        </is>
      </c>
      <c r="O494" s="288" t="n"/>
      <c r="P494" s="288" t="n"/>
      <c r="Q494" s="288" t="n"/>
      <c r="R494" s="131" t="inlineStr">
        <is>
          <t>https://ee.kobotoolbox.org/x/YQp13dFa</t>
        </is>
      </c>
      <c r="S494" s="184" t="inlineStr">
        <is>
          <t>Secara Online</t>
        </is>
      </c>
      <c r="T494" s="288" t="n"/>
      <c r="U494" s="288" t="n"/>
      <c r="V494" s="288" t="n"/>
      <c r="W494" s="288" t="n"/>
      <c r="X494" s="288" t="n"/>
      <c r="Y494" s="288" t="n"/>
      <c r="Z494" s="184" t="inlineStr">
        <is>
          <t>Bulanan</t>
        </is>
      </c>
      <c r="AA494" s="288" t="n"/>
      <c r="AB494" s="184" t="inlineStr">
        <is>
          <t>Dinkes</t>
        </is>
      </c>
      <c r="AC494" s="184" t="inlineStr">
        <is>
          <t>Rika Permata, S.K.M</t>
        </is>
      </c>
      <c r="AD494" s="184" t="n">
        <v>85794029979</v>
      </c>
      <c r="AE494" s="184" t="inlineStr">
        <is>
          <t>rikapermata1976@gmail.com</t>
        </is>
      </c>
      <c r="AF494" s="288" t="n"/>
      <c r="AG494" s="68" t="inlineStr">
        <is>
          <t>Bulanan</t>
        </is>
      </c>
      <c r="AH494" s="284" t="n"/>
      <c r="AI494" s="284" t="n"/>
      <c r="AJ494" s="284" t="n"/>
      <c r="AK494" s="284" t="n"/>
      <c r="AL494" s="284" t="n"/>
      <c r="AM494" s="284" t="n"/>
      <c r="AN494" s="284" t="n"/>
      <c r="AO494" s="284" t="n"/>
      <c r="AP494" s="284" t="n"/>
      <c r="AQ494" s="284" t="n"/>
      <c r="AR494" s="284" t="n"/>
      <c r="AS494" s="284" t="n"/>
    </row>
    <row r="495">
      <c r="A495" s="182" t="n">
        <v>28</v>
      </c>
      <c r="B495" s="178" t="inlineStr">
        <is>
          <t>SIMONA</t>
        </is>
      </c>
      <c r="C495" t="inlineStr">
        <is>
          <t>RSUD BEDAS ARJASARI</t>
        </is>
      </c>
      <c r="D495" s="67" t="inlineStr">
        <is>
          <t>Layanan SIMONA berfungsi sebagai sistem pemantauan ketersediaan obat secara nasional yang membantu pemerintah dan fasilitas kesehatan dalam mengendalikan stok obat, mencegah kekosongan obat, dan meningkatkan efisiensi pengelolaan obat.</t>
        </is>
      </c>
      <c r="E495" s="76" t="inlineStr">
        <is>
          <t>UU Kesehatan, PP tentang Pekerjaan Kefarmasian, serta Permenkes tentang standar pelayanan kefarmasian, yang mengamanatkan pemantauan dan pengelolaan ketersediaan obat secara sistematis di fasilitas kesehatan</t>
        </is>
      </c>
      <c r="F495" s="288" t="n"/>
      <c r="G495" s="184" t="inlineStr">
        <is>
          <t>PENGELOLAAN PELAYANAN KESEHATAN</t>
        </is>
      </c>
      <c r="H495" s="184" t="inlineStr">
        <is>
          <t>Instansi Pemerintah Lainnya</t>
        </is>
      </c>
      <c r="I495" s="196" t="inlineStr">
        <is>
          <t>Identitas fasilitas kesehatan, data obat, data stok obat (stok awal, penerimaan, penggunaan, rusak, stok akhir), serta periode pelaporan</t>
        </is>
      </c>
      <c r="J495" s="196" t="inlineStr">
        <is>
          <t>laporan ketersediaan obat, laporan kekosongan obat, rekap stok obat, dan analisis monitoring obat secara nasional.</t>
        </is>
      </c>
      <c r="K495" s="184" t="inlineStr">
        <is>
          <t>Terbatas</t>
        </is>
      </c>
      <c r="L495" s="184" t="inlineStr">
        <is>
          <t>Tidak terdapat</t>
        </is>
      </c>
      <c r="M495" s="184" t="inlineStr">
        <is>
          <t>Bulanan</t>
        </is>
      </c>
      <c r="N495" s="67" t="inlineStr">
        <is>
          <t>SIMONA</t>
        </is>
      </c>
      <c r="O495" s="184" t="inlineStr">
        <is>
          <t>Pusat</t>
        </is>
      </c>
      <c r="P495" s="184" t="inlineStr">
        <is>
          <t>Pusat</t>
        </is>
      </c>
      <c r="Q495" s="184" t="inlineStr">
        <is>
          <t>Website dan Mobile</t>
        </is>
      </c>
      <c r="R495" s="280" t="inlineStr">
        <is>
          <t>https://simona.kemkes.go.id.</t>
        </is>
      </c>
      <c r="S495" s="184" t="inlineStr">
        <is>
          <t>Secara Online</t>
        </is>
      </c>
      <c r="T495" s="184" t="inlineStr">
        <is>
          <t>Informasi</t>
        </is>
      </c>
      <c r="U495" s="184" t="n">
        <v>2025</v>
      </c>
      <c r="V495" s="184" t="inlineStr">
        <is>
          <t>Non Aktif</t>
        </is>
      </c>
      <c r="W495" s="184" t="inlineStr">
        <is>
          <t>Tidak</t>
        </is>
      </c>
      <c r="X495" s="288" t="n"/>
      <c r="Y495" s="184" t="inlineStr">
        <is>
          <t>Tidak Terintegrasi</t>
        </is>
      </c>
      <c r="Z495" s="184" t="inlineStr">
        <is>
          <t>Tidak Terintegrasi</t>
        </is>
      </c>
      <c r="AA495" s="288" t="n"/>
      <c r="AB495" s="184" t="inlineStr">
        <is>
          <t>Dinkes</t>
        </is>
      </c>
      <c r="AC495" s="131" t="inlineStr">
        <is>
          <t>Komariah S.Si,Apt</t>
        </is>
      </c>
      <c r="AD495" s="184" t="n">
        <v>82117621571</v>
      </c>
      <c r="AE495" s="184" t="inlineStr">
        <is>
          <t>rsudbedasarjasari@gmail.com</t>
        </is>
      </c>
      <c r="AF495" s="68" t="n">
        <v>8</v>
      </c>
      <c r="AG495" s="68" t="inlineStr">
        <is>
          <t>Bulanan</t>
        </is>
      </c>
      <c r="AH495" s="284" t="n"/>
      <c r="AI495" s="284" t="n"/>
      <c r="AJ495" s="284" t="n"/>
      <c r="AK495" s="284" t="n"/>
      <c r="AL495" s="284" t="n"/>
      <c r="AM495" s="284" t="n"/>
      <c r="AN495" s="284" t="n"/>
      <c r="AO495" s="284" t="n"/>
      <c r="AP495" s="284" t="n"/>
      <c r="AQ495" s="284" t="n"/>
      <c r="AR495" s="284" t="n"/>
      <c r="AS495" s="284" t="n"/>
    </row>
    <row r="496">
      <c r="A496" s="182" t="n">
        <v>29</v>
      </c>
      <c r="B496" s="178" t="inlineStr">
        <is>
          <t>SIHA</t>
        </is>
      </c>
      <c r="C496" t="inlineStr">
        <is>
          <t>RSUD BEDAS ARJASARI</t>
        </is>
      </c>
      <c r="D496" s="147" t="inlineStr">
        <is>
          <t>Layanan SIHA bertujuan untuk mencatat, memantau, dan melaporkan kasus HIV/AIDS serta IMS secara nasional, sehingga pemerintah dapat melakukan pengendalian penyakit, pemantauan terapi ARV, dan perencanaan program kesehatan secara lebih efektif.</t>
        </is>
      </c>
      <c r="E496" s="146" t="inlineStr">
        <is>
          <t>UU Kesehatan No 17 Tahun 2023 Tentang Kesehatan, Permenkes 23 Tahun 2022 tentang Penanggulangan HIV,AIDS dan IMS</t>
        </is>
      </c>
      <c r="F496" s="288" t="n"/>
      <c r="G496" s="184" t="inlineStr">
        <is>
          <t>PENGELOLAAN PELAYANAN KESEHATAN</t>
        </is>
      </c>
      <c r="H496" s="184" t="inlineStr">
        <is>
          <t>Masyarakat</t>
        </is>
      </c>
      <c r="I496" s="196" t="inlineStr">
        <is>
          <t>identitas pasien, hasil pemeriksaan HIV, diagnosis, data terapi ARV, monitoring pasien, dan data IMS.</t>
        </is>
      </c>
      <c r="J496" s="76" t="inlineStr">
        <is>
          <t>laporan kasus HIV/AIDS, laporan terapi ARV, laporan IMS, serta analisis epidemiologi untuk program pengendalian HIV/AIDS nasional.</t>
        </is>
      </c>
      <c r="K496" s="184" t="inlineStr">
        <is>
          <t>Terbatas</t>
        </is>
      </c>
      <c r="L496" s="184" t="inlineStr">
        <is>
          <t>Terdapat</t>
        </is>
      </c>
      <c r="M496" s="184" t="inlineStr">
        <is>
          <t>Bulanan</t>
        </is>
      </c>
      <c r="N496" s="67" t="inlineStr">
        <is>
          <t>SIHA</t>
        </is>
      </c>
      <c r="O496" s="184" t="inlineStr">
        <is>
          <t>Pusat</t>
        </is>
      </c>
      <c r="P496" s="184" t="inlineStr">
        <is>
          <t>Pusat</t>
        </is>
      </c>
      <c r="Q496" s="184" t="inlineStr">
        <is>
          <t>Website</t>
        </is>
      </c>
      <c r="R496" s="274" t="inlineStr">
        <is>
          <t>https://siha.kemkes.go.id.</t>
        </is>
      </c>
      <c r="S496" s="184" t="inlineStr">
        <is>
          <t>Secara Online</t>
        </is>
      </c>
      <c r="T496" s="184" t="inlineStr">
        <is>
          <t>Transaksi</t>
        </is>
      </c>
      <c r="U496" s="184" t="n">
        <v>2025</v>
      </c>
      <c r="V496" s="184" t="inlineStr">
        <is>
          <t>Aktif</t>
        </is>
      </c>
      <c r="W496" s="184" t="inlineStr">
        <is>
          <t>Tidak</t>
        </is>
      </c>
      <c r="X496" s="288" t="n"/>
      <c r="Y496" s="184" t="inlineStr">
        <is>
          <t>Tidak Terintegrasi</t>
        </is>
      </c>
      <c r="Z496" s="184" t="inlineStr">
        <is>
          <t>Bulanan</t>
        </is>
      </c>
      <c r="AA496" s="288" t="n"/>
      <c r="AB496" s="184" t="inlineStr">
        <is>
          <t>Dinkes</t>
        </is>
      </c>
      <c r="AC496" s="184" t="inlineStr">
        <is>
          <t>Komariah S.Si,Apt</t>
        </is>
      </c>
      <c r="AD496" s="184" t="n">
        <v>82117621571</v>
      </c>
      <c r="AE496" s="184" t="inlineStr">
        <is>
          <t>rsudbedasarjasari@gmail.com</t>
        </is>
      </c>
      <c r="AF496" s="68" t="n">
        <v>8</v>
      </c>
      <c r="AG496" s="68" t="inlineStr">
        <is>
          <t>Bulanan</t>
        </is>
      </c>
      <c r="AH496" s="284" t="n"/>
      <c r="AI496" s="284" t="n"/>
      <c r="AJ496" s="284" t="n"/>
      <c r="AK496" s="284" t="n"/>
      <c r="AL496" s="284" t="n"/>
      <c r="AM496" s="284" t="n"/>
      <c r="AN496" s="284" t="n"/>
      <c r="AO496" s="284" t="n"/>
      <c r="AP496" s="284" t="n"/>
      <c r="AQ496" s="284" t="n"/>
      <c r="AR496" s="284" t="n"/>
      <c r="AS496" s="284" t="n"/>
    </row>
    <row r="497">
      <c r="A497" s="182" t="n">
        <v>30</v>
      </c>
      <c r="B497" s="178" t="inlineStr">
        <is>
          <t>SMILE</t>
        </is>
      </c>
      <c r="C497" t="inlineStr">
        <is>
          <t>RSUD BEDAS ARJASARI</t>
        </is>
      </c>
      <c r="D497" s="178" t="inlineStr">
        <is>
          <t>bertujuan untuk memantau, mencatat, dan mengelola distribusi vaksin, obat obatan,(CKG, TB, HIV) serta alat kesehatan secara real time dan akurat dari pusat ke fasilitas kesehatan</t>
        </is>
      </c>
      <c r="E497" s="178" t="inlineStr">
        <is>
          <t>KMK Nomor HK.01.07/MENKES/1568/2024</t>
        </is>
      </c>
      <c r="F497" s="288" t="n"/>
      <c r="G497" s="184" t="inlineStr">
        <is>
          <t>PENGELOLAAN PELAYANAN KESEHATAN</t>
        </is>
      </c>
      <c r="H497" s="184" t="inlineStr">
        <is>
          <t>Instansi Pemerintah Lainnya</t>
        </is>
      </c>
      <c r="I497" s="184" t="inlineStr">
        <is>
          <t>permintaan dan penggunaan obat dan alkes program</t>
        </is>
      </c>
      <c r="J497" s="184" t="inlineStr">
        <is>
          <t>laporan SMILE</t>
        </is>
      </c>
      <c r="K497" s="184" t="inlineStr">
        <is>
          <t>Terbatas</t>
        </is>
      </c>
      <c r="L497" s="184" t="inlineStr">
        <is>
          <t>Tidak terdapat</t>
        </is>
      </c>
      <c r="M497" s="184" t="inlineStr">
        <is>
          <t>Bulanan</t>
        </is>
      </c>
      <c r="N497" s="184" t="inlineStr">
        <is>
          <t>SMILE health</t>
        </is>
      </c>
      <c r="O497" s="184" t="inlineStr">
        <is>
          <t>Pusat</t>
        </is>
      </c>
      <c r="P497" s="184" t="inlineStr">
        <is>
          <t>Pusat</t>
        </is>
      </c>
      <c r="Q497" s="184" t="inlineStr">
        <is>
          <t>Mobile</t>
        </is>
      </c>
      <c r="R497" s="131" t="inlineStr">
        <is>
          <t>https://play.google.com/store/apps/details?id=com.smilemonitor</t>
        </is>
      </c>
      <c r="S497" s="184" t="inlineStr">
        <is>
          <t>Secara Online</t>
        </is>
      </c>
      <c r="T497" s="184" t="inlineStr">
        <is>
          <t>Transaksi</t>
        </is>
      </c>
      <c r="U497" s="184" t="n">
        <v>2024</v>
      </c>
      <c r="V497" s="184" t="inlineStr">
        <is>
          <t>Aktif</t>
        </is>
      </c>
      <c r="W497" s="184" t="inlineStr">
        <is>
          <t>Ya</t>
        </is>
      </c>
      <c r="X497" s="288" t="n"/>
      <c r="Y497" s="288" t="n"/>
      <c r="Z497" s="288" t="n"/>
      <c r="AA497" s="288" t="n"/>
      <c r="AB497" s="184" t="inlineStr">
        <is>
          <t>Dinkes</t>
        </is>
      </c>
      <c r="AC497" s="184" t="inlineStr">
        <is>
          <t>apt. Siska Oktaviani, S.Farm</t>
        </is>
      </c>
      <c r="AD497" s="184" t="n">
        <v>82214119655</v>
      </c>
      <c r="AE497" s="184" t="inlineStr">
        <is>
          <t>siskaokta.1510@gmail.com</t>
        </is>
      </c>
      <c r="AF497" s="288" t="n"/>
      <c r="AG497" s="68" t="inlineStr">
        <is>
          <t>Bulanan</t>
        </is>
      </c>
      <c r="AH497" s="284" t="n"/>
      <c r="AI497" s="284" t="n"/>
      <c r="AJ497" s="284" t="n"/>
      <c r="AK497" s="284" t="n"/>
      <c r="AL497" s="284" t="n"/>
      <c r="AM497" s="284" t="n"/>
      <c r="AN497" s="284" t="n"/>
      <c r="AO497" s="284" t="n"/>
      <c r="AP497" s="284" t="n"/>
      <c r="AQ497" s="284" t="n"/>
      <c r="AR497" s="284" t="n"/>
      <c r="AS497" s="284" t="n"/>
    </row>
    <row r="498">
      <c r="A498" s="182" t="n">
        <v>31</v>
      </c>
      <c r="B498" s="178" t="inlineStr">
        <is>
          <t>SITB</t>
        </is>
      </c>
      <c r="C498" t="inlineStr">
        <is>
          <t>RSUD BEDAS ARJASARI</t>
        </is>
      </c>
      <c r="D498" s="178" t="inlineStr">
        <is>
          <t>mencatat , mengelola, dan memantau stok obat dan bmhp program TB secara terpadu</t>
        </is>
      </c>
      <c r="E498" s="178" t="inlineStr">
        <is>
          <t>Peraturan Presiden Nomor 67 Tahun 2021 tentang Penanggulangan Tuberkulosis</t>
        </is>
      </c>
      <c r="F498" s="288" t="n"/>
      <c r="G498" s="184" t="inlineStr">
        <is>
          <t>PENGELOLAAN PELAYANAN KESEHATAN</t>
        </is>
      </c>
      <c r="H498" s="184" t="inlineStr">
        <is>
          <t>Instansi Pemerintah Lainnya</t>
        </is>
      </c>
      <c r="I498" s="184" t="inlineStr">
        <is>
          <t>stok obat dan alkes program TB</t>
        </is>
      </c>
      <c r="J498" s="184" t="inlineStr">
        <is>
          <t>laporan SITB</t>
        </is>
      </c>
      <c r="K498" s="184" t="inlineStr">
        <is>
          <t>Tertutup</t>
        </is>
      </c>
      <c r="L498" s="184" t="inlineStr">
        <is>
          <t>Terdapat</t>
        </is>
      </c>
      <c r="M498" s="184" t="inlineStr">
        <is>
          <t>Tahunan</t>
        </is>
      </c>
      <c r="N498" s="184" t="inlineStr">
        <is>
          <t>Sistem Informasi Tuberkulosis (SITB)</t>
        </is>
      </c>
      <c r="O498" s="184" t="inlineStr">
        <is>
          <t>Pusat</t>
        </is>
      </c>
      <c r="P498" s="184" t="inlineStr">
        <is>
          <t>Pusat</t>
        </is>
      </c>
      <c r="Q498" s="184" t="inlineStr">
        <is>
          <t>Website</t>
        </is>
      </c>
      <c r="R498" s="288" t="n"/>
      <c r="S498" s="184" t="inlineStr">
        <is>
          <t>Secara Online</t>
        </is>
      </c>
      <c r="T498" s="184" t="inlineStr">
        <is>
          <t>Transaksi</t>
        </is>
      </c>
      <c r="U498" s="288" t="n"/>
      <c r="V498" s="184" t="inlineStr">
        <is>
          <t>Aktif</t>
        </is>
      </c>
      <c r="W498" s="184" t="inlineStr">
        <is>
          <t>Ya</t>
        </is>
      </c>
      <c r="X498" s="288" t="n"/>
      <c r="Y498" s="288" t="n"/>
      <c r="Z498" s="288" t="n"/>
      <c r="AA498" s="288" t="n"/>
      <c r="AB498" s="184" t="inlineStr">
        <is>
          <t>Dinkes</t>
        </is>
      </c>
      <c r="AC498" s="184" t="inlineStr">
        <is>
          <t>apt. Siska Oktaviani, S.Farm</t>
        </is>
      </c>
      <c r="AD498" s="184" t="n">
        <v>82214119655</v>
      </c>
      <c r="AE498" s="184" t="inlineStr">
        <is>
          <t>siskaokta.1510@gmail.com</t>
        </is>
      </c>
      <c r="AF498" s="288" t="n"/>
      <c r="AG498" s="68" t="inlineStr">
        <is>
          <t>Bulanan</t>
        </is>
      </c>
      <c r="AH498" s="284" t="n"/>
      <c r="AI498" s="284" t="n"/>
      <c r="AJ498" s="284" t="n"/>
      <c r="AK498" s="284" t="n"/>
      <c r="AL498" s="284" t="n"/>
      <c r="AM498" s="284" t="n"/>
      <c r="AN498" s="284" t="n"/>
      <c r="AO498" s="284" t="n"/>
      <c r="AP498" s="284" t="n"/>
      <c r="AQ498" s="284" t="n"/>
      <c r="AR498" s="284" t="n"/>
      <c r="AS498" s="284" t="n"/>
    </row>
    <row r="499">
      <c r="A499" s="71" t="inlineStr">
        <is>
          <t>RSUD BEDAS TEGALLUAR</t>
        </is>
      </c>
      <c r="B499" s="58" t="n"/>
      <c r="D499" s="58" t="n"/>
      <c r="E499" s="58" t="n"/>
      <c r="F499" s="58" t="n"/>
      <c r="G499" s="58" t="n"/>
      <c r="H499" s="58" t="n"/>
      <c r="I499" s="58" t="n"/>
      <c r="J499" s="58" t="n"/>
      <c r="K499" s="58" t="n"/>
      <c r="L499" s="58" t="n"/>
      <c r="M499" s="58" t="n"/>
      <c r="N499" s="58" t="n"/>
      <c r="O499" s="58" t="n"/>
      <c r="P499" s="58" t="n"/>
      <c r="Q499" s="58" t="n"/>
      <c r="R499" s="58" t="n"/>
      <c r="S499" s="58" t="n"/>
      <c r="T499" s="58" t="n"/>
      <c r="U499" s="58" t="n"/>
      <c r="V499" s="58" t="n"/>
      <c r="W499" s="58" t="n"/>
      <c r="X499" s="58" t="n"/>
      <c r="Y499" s="58" t="n"/>
      <c r="Z499" s="58" t="n"/>
      <c r="AA499" s="58" t="n"/>
      <c r="AB499" s="58" t="n"/>
      <c r="AC499" s="58" t="n"/>
      <c r="AD499" s="58" t="n"/>
      <c r="AE499" s="58" t="n"/>
      <c r="AF499" s="200" t="n"/>
      <c r="AG499" s="200" t="n"/>
      <c r="AH499" s="284" t="n"/>
      <c r="AI499" s="284" t="n"/>
      <c r="AJ499" s="284" t="n"/>
      <c r="AK499" s="284" t="n"/>
      <c r="AL499" s="284" t="n"/>
      <c r="AM499" s="284" t="n"/>
      <c r="AN499" s="284" t="n"/>
      <c r="AO499" s="284" t="n"/>
      <c r="AP499" s="284" t="n"/>
      <c r="AQ499" s="284" t="n"/>
      <c r="AR499" s="284" t="n"/>
      <c r="AS499" s="284" t="n"/>
    </row>
    <row r="500">
      <c r="A500" s="182" t="n">
        <v>1</v>
      </c>
      <c r="B500" s="178" t="inlineStr">
        <is>
          <t>Layanan Integrasi Ekosistem Digital Rumah Sakit (SIMRS)</t>
        </is>
      </c>
      <c r="C500" t="inlineStr">
        <is>
          <t>RSUD BEDAS TEGALLUAR</t>
        </is>
      </c>
      <c r="D500"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E500" s="178" t="inlineStr">
        <is>
          <t>Peraturan Menteri Kesehatan Nomor 82 Tahun 2013 Tentang Sistem Informasi Manajemen Rumah Sakit</t>
        </is>
      </c>
      <c r="F500" s="178" t="inlineStr">
        <is>
          <t>Belum Tersedia</t>
        </is>
      </c>
      <c r="G500" s="184" t="inlineStr">
        <is>
          <t>PENGELOLAAN PELAYANAN KESEHATAN</t>
        </is>
      </c>
      <c r="H500" s="184" t="inlineStr">
        <is>
          <t>Masyarakat</t>
        </is>
      </c>
      <c r="I500" s="184" t="inlineStr">
        <is>
          <t>Data pasien, mulai dari info pribadi hingga catatan medis pasien</t>
        </is>
      </c>
      <c r="J500" s="178" t="inlineStr">
        <is>
          <t>Data rekam medis pasien</t>
        </is>
      </c>
      <c r="K500" s="184" t="inlineStr">
        <is>
          <t>Rahasia</t>
        </is>
      </c>
      <c r="L500" s="184" t="inlineStr">
        <is>
          <t>Terdapat</t>
        </is>
      </c>
      <c r="M500" s="184" t="inlineStr">
        <is>
          <t>Lainnya</t>
        </is>
      </c>
      <c r="N500" s="178" t="inlineStr">
        <is>
          <t>Belum Terdapat Aplikasi</t>
        </is>
      </c>
      <c r="O500" s="184" t="inlineStr">
        <is>
          <t>Pihak Ke 3</t>
        </is>
      </c>
      <c r="P500" s="184" t="inlineStr">
        <is>
          <t>Kab. Bandung</t>
        </is>
      </c>
      <c r="Q500" s="184" t="inlineStr">
        <is>
          <t>Desktop</t>
        </is>
      </c>
      <c r="R500" s="288" t="n"/>
      <c r="S500" s="184" t="inlineStr">
        <is>
          <t>Secara Online</t>
        </is>
      </c>
      <c r="T500" s="184" t="inlineStr">
        <is>
          <t>Transaksi</t>
        </is>
      </c>
      <c r="U500" s="184" t="n">
        <v>2023</v>
      </c>
      <c r="V500" s="184" t="inlineStr">
        <is>
          <t>Aktif</t>
        </is>
      </c>
      <c r="W500" s="184" t="inlineStr">
        <is>
          <t>Ya</t>
        </is>
      </c>
      <c r="X500" s="184" t="inlineStr">
        <is>
          <t>VClaim BPJS, Satusehat, Eklaim INACBGs, Siranap</t>
        </is>
      </c>
      <c r="Y500" s="184" t="inlineStr">
        <is>
          <t>Web Service</t>
        </is>
      </c>
      <c r="Z500" s="184" t="inlineStr">
        <is>
          <t>Realtime</t>
        </is>
      </c>
      <c r="AA500" s="184" t="inlineStr">
        <is>
          <t>Kepala Seksi Penunjang</t>
        </is>
      </c>
      <c r="AB500" s="184" t="inlineStr">
        <is>
          <t>Dinkes</t>
        </is>
      </c>
      <c r="AC500" s="288" t="n"/>
      <c r="AD500" s="288" t="n"/>
      <c r="AE500" s="288" t="n"/>
      <c r="AF500" s="288" t="n"/>
      <c r="AG500" s="68" t="inlineStr">
        <is>
          <t>Harian</t>
        </is>
      </c>
      <c r="AH500" s="284" t="n"/>
      <c r="AI500" s="284" t="n"/>
      <c r="AJ500" s="284" t="n"/>
      <c r="AK500" s="284" t="n"/>
      <c r="AL500" s="284" t="n"/>
      <c r="AM500" s="284" t="n"/>
      <c r="AN500" s="284" t="n"/>
      <c r="AO500" s="284" t="n"/>
      <c r="AP500" s="284" t="n"/>
      <c r="AQ500" s="284" t="n"/>
      <c r="AR500" s="284" t="n"/>
      <c r="AS500" s="284" t="n"/>
    </row>
    <row r="501">
      <c r="A501" s="182" t="n">
        <v>2</v>
      </c>
      <c r="B501" s="184" t="inlineStr">
        <is>
          <t>Layanan Informasi Gaji ASN</t>
        </is>
      </c>
      <c r="C501" t="inlineStr">
        <is>
          <t>RSUD BEDAS TEGALLUAR</t>
        </is>
      </c>
      <c r="D501" s="184" t="inlineStr">
        <is>
          <t>Aplikasi Sistem Informasi Gaji (SIMGaji) Taspen untuk memproses data gaji PNS di lingkungan pemerintah daerah.</t>
        </is>
      </c>
      <c r="E501" s="184" t="inlineStr">
        <is>
          <t>Peraturan Pemerintah Nomor 5 Tahun 2024 tentang Perubahan Kesembilan Belas atas Peraturan Pemerintah Nomor 7 Tahun 1977 tentang Peraturan Gaji Pegawai Negeri Sipil</t>
        </is>
      </c>
      <c r="F501" s="288" t="n"/>
      <c r="G501" s="184" t="inlineStr">
        <is>
          <t>PEMBINAAN KEUANGAN DAERAH</t>
        </is>
      </c>
      <c r="H501" s="184" t="inlineStr">
        <is>
          <t>Pegawai</t>
        </is>
      </c>
      <c r="I501" s="184" t="inlineStr">
        <is>
          <t>Data Pegawai, Data Gaji, Data Tunjangan</t>
        </is>
      </c>
      <c r="J501" s="178" t="inlineStr">
        <is>
          <t>Perubahan Data Gaji Pegawai, Ledger Gaji</t>
        </is>
      </c>
      <c r="K501" s="184" t="inlineStr">
        <is>
          <t>Tertutup</t>
        </is>
      </c>
      <c r="L501" s="184" t="inlineStr">
        <is>
          <t>Terdapat</t>
        </is>
      </c>
      <c r="M501" s="184" t="inlineStr">
        <is>
          <t>Harian</t>
        </is>
      </c>
      <c r="N501" s="178" t="inlineStr">
        <is>
          <t>SIMgaji</t>
        </is>
      </c>
      <c r="O501" s="184" t="inlineStr">
        <is>
          <t>Pihak Ke 3</t>
        </is>
      </c>
      <c r="P501" s="184" t="inlineStr">
        <is>
          <t>Pihak Ke 3 (Lisensi)</t>
        </is>
      </c>
      <c r="Q501" s="184" t="inlineStr">
        <is>
          <t>Website</t>
        </is>
      </c>
      <c r="R501" s="131" t="inlineStr">
        <is>
          <t>https://simgajiweb.taspen.co.id/</t>
        </is>
      </c>
      <c r="S501" s="184" t="inlineStr">
        <is>
          <t>Secara Online</t>
        </is>
      </c>
      <c r="T501" s="184" t="inlineStr">
        <is>
          <t>Informasi</t>
        </is>
      </c>
      <c r="U501" s="184" t="n">
        <v>2023</v>
      </c>
      <c r="V501" s="184" t="inlineStr">
        <is>
          <t>Aktif</t>
        </is>
      </c>
      <c r="W501" s="184" t="inlineStr">
        <is>
          <t>Tidak</t>
        </is>
      </c>
      <c r="X501" s="184" t="inlineStr">
        <is>
          <t>Tidak Terintegrasi</t>
        </is>
      </c>
      <c r="Y501" s="184" t="inlineStr">
        <is>
          <t>Tidak Terintegrasi</t>
        </is>
      </c>
      <c r="Z501" s="184" t="inlineStr">
        <is>
          <t>Tidak Terintegrasi</t>
        </is>
      </c>
      <c r="AA501" s="184" t="inlineStr">
        <is>
          <t>Bagian Keuangan</t>
        </is>
      </c>
      <c r="AB501" s="184" t="inlineStr">
        <is>
          <t>BKAD</t>
        </is>
      </c>
      <c r="AC501" s="288" t="n"/>
      <c r="AD501" s="288" t="n"/>
      <c r="AE501" s="288" t="n"/>
      <c r="AF501" s="288" t="n"/>
      <c r="AG501" s="184" t="inlineStr">
        <is>
          <t>Bulanan</t>
        </is>
      </c>
      <c r="AH501" s="284" t="n"/>
      <c r="AI501" s="284" t="n"/>
      <c r="AJ501" s="284" t="n"/>
      <c r="AK501" s="284" t="n"/>
      <c r="AL501" s="284" t="n"/>
      <c r="AM501" s="284" t="n"/>
      <c r="AN501" s="284" t="n"/>
      <c r="AO501" s="284" t="n"/>
      <c r="AP501" s="284" t="n"/>
      <c r="AQ501" s="284" t="n"/>
      <c r="AR501" s="284" t="n"/>
      <c r="AS501" s="284" t="n"/>
    </row>
    <row r="502">
      <c r="A502" s="182" t="n">
        <v>3</v>
      </c>
      <c r="B502" s="184" t="inlineStr">
        <is>
          <t>Layanan pelaporan penerimaan retribusi daerah</t>
        </is>
      </c>
      <c r="C502" t="inlineStr">
        <is>
          <t>RSUD BEDAS TEGALLUAR</t>
        </is>
      </c>
      <c r="D502" s="184" t="inlineStr">
        <is>
          <t>Aplikasi Entry Laporan Penerimaan Retribusi Daerah</t>
        </is>
      </c>
      <c r="E502" s="184" t="inlineStr">
        <is>
          <t>Perda Kabupaten Bandung No 10 Tahun 2023 Tentang Pajak Daerah dan Retribusi Daerah</t>
        </is>
      </c>
      <c r="F502" s="288" t="n"/>
      <c r="G502" s="184" t="inlineStr">
        <is>
          <t>PENGELOLAAN PENERIMAAN DAN PENDAPATAN NEGARA</t>
        </is>
      </c>
      <c r="H502" s="184" t="inlineStr">
        <is>
          <t>Instansi Pemerintah Lainnya</t>
        </is>
      </c>
      <c r="I502" s="184" t="inlineStr">
        <is>
          <t>Data Pendapatan</t>
        </is>
      </c>
      <c r="J502" s="178" t="inlineStr">
        <is>
          <t>Laporan Realisasi Pendapatan</t>
        </is>
      </c>
      <c r="K502" s="184" t="inlineStr">
        <is>
          <t>Rahasia</t>
        </is>
      </c>
      <c r="L502" s="184" t="inlineStr">
        <is>
          <t>Tidak terdapat</t>
        </is>
      </c>
      <c r="M502" s="184" t="inlineStr">
        <is>
          <t>Harian</t>
        </is>
      </c>
      <c r="N502" s="184" t="inlineStr">
        <is>
          <t>e-retribusi</t>
        </is>
      </c>
      <c r="O502" s="184" t="inlineStr">
        <is>
          <t>OPD</t>
        </is>
      </c>
      <c r="P502" s="184" t="inlineStr">
        <is>
          <t>Kab. Bandung</t>
        </is>
      </c>
      <c r="Q502" s="184" t="inlineStr">
        <is>
          <t>Website</t>
        </is>
      </c>
      <c r="R502" s="131" t="inlineStr">
        <is>
          <t>https://e-retribusi.bandungkab.go.id/</t>
        </is>
      </c>
      <c r="S502" s="184" t="inlineStr">
        <is>
          <t>Secara Online</t>
        </is>
      </c>
      <c r="T502" s="184" t="inlineStr">
        <is>
          <t>Informasi</t>
        </is>
      </c>
      <c r="U502" s="184" t="n">
        <v>2024</v>
      </c>
      <c r="V502" s="184" t="inlineStr">
        <is>
          <t>Aktif</t>
        </is>
      </c>
      <c r="W502" s="184" t="inlineStr">
        <is>
          <t>Tidak</t>
        </is>
      </c>
      <c r="X502" s="184" t="inlineStr">
        <is>
          <t>Tidak Terintegrasi</t>
        </is>
      </c>
      <c r="Y502" s="184" t="inlineStr">
        <is>
          <t>Tidak Terintegrasi</t>
        </is>
      </c>
      <c r="Z502" s="184" t="inlineStr">
        <is>
          <t>Tidak Terintegrasi</t>
        </is>
      </c>
      <c r="AA502" s="184" t="inlineStr">
        <is>
          <t>Retribusi Daerah</t>
        </is>
      </c>
      <c r="AB502" s="184" t="inlineStr">
        <is>
          <t>Bapenda</t>
        </is>
      </c>
      <c r="AC502" s="288" t="n"/>
      <c r="AD502" s="288" t="n"/>
      <c r="AE502" s="288" t="n"/>
      <c r="AF502" s="288" t="n"/>
      <c r="AG502" s="184" t="inlineStr">
        <is>
          <t>Harian</t>
        </is>
      </c>
      <c r="AH502" s="284" t="n"/>
      <c r="AI502" s="284" t="n"/>
      <c r="AJ502" s="284" t="n"/>
      <c r="AK502" s="284" t="n"/>
      <c r="AL502" s="284" t="n"/>
      <c r="AM502" s="284" t="n"/>
      <c r="AN502" s="284" t="n"/>
      <c r="AO502" s="284" t="n"/>
      <c r="AP502" s="284" t="n"/>
      <c r="AQ502" s="284" t="n"/>
      <c r="AR502" s="284" t="n"/>
      <c r="AS502" s="284" t="n"/>
    </row>
    <row r="503">
      <c r="A503" s="182" t="n">
        <v>4</v>
      </c>
      <c r="B503" s="184" t="inlineStr">
        <is>
          <t>Layanan pengelolaan informasi keuangan daerah</t>
        </is>
      </c>
      <c r="C503" t="inlineStr">
        <is>
          <t>RSUD BEDAS TEGALLUAR</t>
        </is>
      </c>
      <c r="D503" s="184" t="inlineStr">
        <is>
          <t>Pengelolaan Informasi Keuangan Daerah - meliputi Perencanaan Anggaran Daerah, Penatausahaan Keuangan Daerah, Akuntansi dan Pelaporan Keuangan Daerah.</t>
        </is>
      </c>
      <c r="E503" s="184" t="inlineStr">
        <is>
          <t>Permendagri No 14 Tahun 2025 tentang Pedoman Penyusunan APBD Tahun 2026 Yang di dukung Oleh UU 23/2014, PP No 12/2019 dan Permendagri 70/2019.</t>
        </is>
      </c>
      <c r="F503" s="288" t="n"/>
      <c r="G503" s="184" t="inlineStr">
        <is>
          <t>PERENCANAAN DAN PENGANGGARAN APBN</t>
        </is>
      </c>
      <c r="H503" s="184" t="inlineStr">
        <is>
          <t>Instansi Pemerintah Lainnya</t>
        </is>
      </c>
      <c r="I503" s="184" t="inlineStr">
        <is>
          <t>Dari Mulai Penganggaran, Penatausahaan dan Pelaporan Keuangan</t>
        </is>
      </c>
      <c r="J503" s="178" t="inlineStr">
        <is>
          <t>Data perencanaan dan penganggaran</t>
        </is>
      </c>
      <c r="K503" s="184" t="inlineStr">
        <is>
          <t>Terbatas</t>
        </is>
      </c>
      <c r="L503" s="184" t="inlineStr">
        <is>
          <t>Terdapat</t>
        </is>
      </c>
      <c r="M503" s="184" t="inlineStr">
        <is>
          <t>Harian</t>
        </is>
      </c>
      <c r="N503" s="184" t="inlineStr">
        <is>
          <t>SIPD</t>
        </is>
      </c>
      <c r="O503" s="184" t="inlineStr">
        <is>
          <t>Pusat</t>
        </is>
      </c>
      <c r="P503" s="184" t="inlineStr">
        <is>
          <t>Pusat</t>
        </is>
      </c>
      <c r="Q503" s="184" t="inlineStr">
        <is>
          <t>Website</t>
        </is>
      </c>
      <c r="R503" s="131" t="inlineStr">
        <is>
          <t>https://sipd.kemendagri.go.id/</t>
        </is>
      </c>
      <c r="S503" s="184" t="inlineStr">
        <is>
          <t>Secara Online</t>
        </is>
      </c>
      <c r="T503" s="184" t="inlineStr">
        <is>
          <t>Informasi</t>
        </is>
      </c>
      <c r="U503" s="184" t="n">
        <v>2021</v>
      </c>
      <c r="V503" s="184" t="inlineStr">
        <is>
          <t>Aktif</t>
        </is>
      </c>
      <c r="W503" s="184" t="inlineStr">
        <is>
          <t>Ya</t>
        </is>
      </c>
      <c r="X503" s="184" t="inlineStr">
        <is>
          <t>SIRUP, e-planning</t>
        </is>
      </c>
      <c r="Y503" s="184" t="inlineStr">
        <is>
          <t>Web Service</t>
        </is>
      </c>
      <c r="Z503" s="288" t="n"/>
      <c r="AA503" s="184" t="inlineStr">
        <is>
          <t>Bagian Keuangan, Bagian Perencanaan dan Kehumasan</t>
        </is>
      </c>
      <c r="AB503" s="184" t="inlineStr">
        <is>
          <t>BKAD</t>
        </is>
      </c>
      <c r="AC503" s="288" t="n"/>
      <c r="AD503" s="288" t="n"/>
      <c r="AE503" s="288" t="n"/>
      <c r="AF503" s="288" t="n"/>
      <c r="AG503" s="184" t="inlineStr">
        <is>
          <t>Bulanan</t>
        </is>
      </c>
      <c r="AH503" s="284" t="n"/>
      <c r="AI503" s="284" t="n"/>
      <c r="AJ503" s="284" t="n"/>
      <c r="AK503" s="284" t="n"/>
      <c r="AL503" s="284" t="n"/>
      <c r="AM503" s="284" t="n"/>
      <c r="AN503" s="284" t="n"/>
      <c r="AO503" s="284" t="n"/>
      <c r="AP503" s="284" t="n"/>
      <c r="AQ503" s="284" t="n"/>
      <c r="AR503" s="284" t="n"/>
      <c r="AS503" s="284" t="n"/>
    </row>
    <row r="504">
      <c r="A504" s="182" t="n">
        <v>5</v>
      </c>
      <c r="B504" s="184" t="inlineStr">
        <is>
          <t>Layanan pengelolaan pengadaan barang dan jasa</t>
        </is>
      </c>
      <c r="C504" t="inlineStr">
        <is>
          <t>RSUD BEDAS TEGALLUAR</t>
        </is>
      </c>
      <c r="D504" s="184" t="inlineStr">
        <is>
          <t>Untuk membantu proses perencanaan pengadaan barang/jasa pemerintah agar lebih transparan, terencana, dan mudah diakses oleh publik maupun penyedia</t>
        </is>
      </c>
      <c r="E504" s="184" t="inlineStr">
        <is>
          <t>1) Peraturan Presiden (Perpres) Nomor 46 Tahun 2025 adalah perubahan kedua atas Perpres 16 Tahun 2018 tentang Pengadaan Barang/Jasa Pemerintah;
 2) Peraturan LKPP Nomor 11 Tahun 2021 tentang Pedoman Perencanaan Pengadaan Barang/Jasa Pemerintah;</t>
        </is>
      </c>
      <c r="F504" s="288" t="n"/>
      <c r="G504" s="184" t="inlineStr">
        <is>
          <t>PERENCANAAN DAN PENGANGGARAN APBN</t>
        </is>
      </c>
      <c r="H504" s="184" t="inlineStr">
        <is>
          <t>Pelaku Bisnis</t>
        </is>
      </c>
      <c r="I504" s="184" t="inlineStr">
        <is>
          <t>Data rencana umum pengadaan</t>
        </is>
      </c>
      <c r="J504" s="178" t="inlineStr">
        <is>
          <t>Informasi rencana paket pengadaan barang/jasa pemerintah</t>
        </is>
      </c>
      <c r="K504" s="184" t="inlineStr">
        <is>
          <t>Terbuka</t>
        </is>
      </c>
      <c r="L504" s="184" t="inlineStr">
        <is>
          <t>Terdapat</t>
        </is>
      </c>
      <c r="M504" s="184" t="inlineStr">
        <is>
          <t>Harian</t>
        </is>
      </c>
      <c r="N504" s="184" t="inlineStr">
        <is>
          <t>SIRUP</t>
        </is>
      </c>
      <c r="O504" s="184" t="inlineStr">
        <is>
          <t>Pusat</t>
        </is>
      </c>
      <c r="P504" s="184" t="inlineStr">
        <is>
          <t>Pusat</t>
        </is>
      </c>
      <c r="Q504" s="184" t="inlineStr">
        <is>
          <t>Website</t>
        </is>
      </c>
      <c r="R504" s="131" t="inlineStr">
        <is>
          <t>https://sirup.inaproc.id/sirup/loginctr/index</t>
        </is>
      </c>
      <c r="S504" s="184" t="inlineStr">
        <is>
          <t>Secara Online</t>
        </is>
      </c>
      <c r="T504" s="184" t="inlineStr">
        <is>
          <t>Informasi</t>
        </is>
      </c>
      <c r="U504" s="184" t="n">
        <v>2010</v>
      </c>
      <c r="V504" s="184" t="inlineStr">
        <is>
          <t>Aktif</t>
        </is>
      </c>
      <c r="W504" s="184" t="inlineStr">
        <is>
          <t>Ya</t>
        </is>
      </c>
      <c r="X504" s="184" t="inlineStr">
        <is>
          <t>SPSE, E-Katalog LKPP</t>
        </is>
      </c>
      <c r="Y504" s="184" t="inlineStr">
        <is>
          <t>Database to Database</t>
        </is>
      </c>
      <c r="Z504" s="184" t="inlineStr">
        <is>
          <t>Realtime</t>
        </is>
      </c>
      <c r="AA504" s="184" t="inlineStr">
        <is>
          <t>Bagian Perencanaan dan Kehumasan</t>
        </is>
      </c>
      <c r="AB504" s="184" t="inlineStr">
        <is>
          <t>Setda</t>
        </is>
      </c>
      <c r="AC504" s="288" t="n"/>
      <c r="AD504" s="288" t="n"/>
      <c r="AE504" s="288" t="n"/>
      <c r="AF504" s="288" t="n"/>
      <c r="AG504" s="184" t="inlineStr">
        <is>
          <t>Insidentil</t>
        </is>
      </c>
      <c r="AH504" s="284" t="n"/>
      <c r="AI504" s="284" t="n"/>
      <c r="AJ504" s="284" t="n"/>
      <c r="AK504" s="284" t="n"/>
      <c r="AL504" s="284" t="n"/>
      <c r="AM504" s="284" t="n"/>
      <c r="AN504" s="284" t="n"/>
      <c r="AO504" s="284" t="n"/>
      <c r="AP504" s="284" t="n"/>
      <c r="AQ504" s="284" t="n"/>
      <c r="AR504" s="284" t="n"/>
      <c r="AS504" s="284" t="n"/>
    </row>
    <row r="505">
      <c r="A505" s="182" t="n">
        <v>6</v>
      </c>
      <c r="B505" s="184" t="inlineStr">
        <is>
          <t>Layanan Informasi Pengawasan Tindak Lanjut Hasil Pemeriksaan Terpadu</t>
        </is>
      </c>
      <c r="C505" t="inlineStr">
        <is>
          <t>RSUD BEDAS TEGALLUAR</t>
        </is>
      </c>
      <c r="D505" s="184" t="inlineStr">
        <is>
          <t>Pengelolaan dan pemantauan hasil evaluasi/ tindak lanjut rekomendasi atas pemeriksaan yang dilaksanakan oleh APIP</t>
        </is>
      </c>
      <c r="E505" s="184" t="inlineStr">
        <is>
          <t>Peraturan Pemerintah Nomor 12 Tahun 2017 tentang pembinaan dan pengawasan penyelenggaraan pemerintah daerah</t>
        </is>
      </c>
      <c r="F505" s="288" t="n"/>
      <c r="G505" s="184" t="inlineStr">
        <is>
          <t>PENINGKATAN KUALITAS REFORMASI BIROKRASI, PENGAWASAN, DAN AKUNTABILITAS KINERJA</t>
        </is>
      </c>
      <c r="H505" s="184" t="inlineStr">
        <is>
          <t>Instansi Pemerintah Lainnya</t>
        </is>
      </c>
      <c r="I505" s="184" t="inlineStr">
        <is>
          <t>Dokumen Tindak Lanjut rekomendasi hasil pemeriksaan</t>
        </is>
      </c>
      <c r="J505" s="178" t="inlineStr">
        <is>
          <t>Informasi Capaian Hasil Rekomendasi</t>
        </is>
      </c>
      <c r="K505" s="184" t="inlineStr">
        <is>
          <t>Tertutup</t>
        </is>
      </c>
      <c r="L505" s="184" t="inlineStr">
        <is>
          <t>Tidak terdapat</t>
        </is>
      </c>
      <c r="M505" s="184" t="inlineStr">
        <is>
          <t>Lainnya</t>
        </is>
      </c>
      <c r="N505" s="184" t="inlineStr">
        <is>
          <t>SIMASLAHAT</t>
        </is>
      </c>
      <c r="O505" s="184" t="inlineStr">
        <is>
          <t>OPD</t>
        </is>
      </c>
      <c r="P505" s="184" t="inlineStr">
        <is>
          <t>Kab. Bandung</t>
        </is>
      </c>
      <c r="Q505" s="184" t="inlineStr">
        <is>
          <t>Website</t>
        </is>
      </c>
      <c r="R505" s="131" t="inlineStr">
        <is>
          <t>https://simaslahat.bandungkab.go.id/login</t>
        </is>
      </c>
      <c r="S505" s="184" t="inlineStr">
        <is>
          <t>Secara Online</t>
        </is>
      </c>
      <c r="T505" s="184" t="inlineStr">
        <is>
          <t>Informasi</t>
        </is>
      </c>
      <c r="U505" s="184" t="n">
        <v>2023</v>
      </c>
      <c r="V505" s="184" t="inlineStr">
        <is>
          <t>Aktif</t>
        </is>
      </c>
      <c r="W505" s="184" t="inlineStr">
        <is>
          <t>Tidak</t>
        </is>
      </c>
      <c r="X505" s="184" t="inlineStr">
        <is>
          <t>Tidak Terintegrasi</t>
        </is>
      </c>
      <c r="Y505" s="184" t="inlineStr">
        <is>
          <t>Tidak Terintegrasi</t>
        </is>
      </c>
      <c r="Z505" s="184" t="inlineStr">
        <is>
          <t>Tidak Terintegrasi</t>
        </is>
      </c>
      <c r="AA505" s="184" t="inlineStr">
        <is>
          <t>Bagian Keuangan</t>
        </is>
      </c>
      <c r="AB505" s="184" t="inlineStr">
        <is>
          <t>Inspektorat</t>
        </is>
      </c>
      <c r="AC505" s="288" t="n"/>
      <c r="AD505" s="288" t="n"/>
      <c r="AE505" s="288" t="n"/>
      <c r="AF505" s="288" t="n"/>
      <c r="AG505" s="184" t="inlineStr">
        <is>
          <t>Insidentil</t>
        </is>
      </c>
      <c r="AH505" s="284" t="n"/>
      <c r="AI505" s="284" t="n"/>
      <c r="AJ505" s="284" t="n"/>
      <c r="AK505" s="284" t="n"/>
      <c r="AL505" s="284" t="n"/>
      <c r="AM505" s="284" t="n"/>
      <c r="AN505" s="284" t="n"/>
      <c r="AO505" s="284" t="n"/>
      <c r="AP505" s="284" t="n"/>
      <c r="AQ505" s="284" t="n"/>
      <c r="AR505" s="284" t="n"/>
      <c r="AS505" s="284" t="n"/>
    </row>
    <row r="506">
      <c r="A506" s="182" t="n">
        <v>7</v>
      </c>
      <c r="B506" s="184" t="inlineStr">
        <is>
          <t>Layanan pelaporan pembayaran pajak</t>
        </is>
      </c>
      <c r="C506" t="inlineStr">
        <is>
          <t>RSUD BEDAS TEGALLUAR</t>
        </is>
      </c>
      <c r="D506" s="184" t="inlineStr">
        <is>
          <t>Fungsi Utama: Melaporkan penghitungan dan pembayaran pajak daerah, objek pajak, serta harta/kewajiban secara digital.</t>
        </is>
      </c>
      <c r="E506" s="184" t="inlineStr">
        <is>
          <t>1) Peraturan Daerah (Perda) Kabupaten Bandung Nomor 1 Tahun 2011 tentang Pajak Daerah 2) Peraturan Bupati Bandung Nomor 3 Tahun 2018 tentang Pelaksanaan Online System atas Data Transaksi Pembayaran Pajak Hotel, Pajak Restoran, Pajak Hiburan, dan Pajak Parkir. Peraturan ini mewajibkan wajib pajak menggunakan sistem online untuk pelaporan dan pembayaran.
 3) Peraturan Bupati Kabupaten Bandung Nomor 5 Tahun 2018 (dan perubahannya) yang mengatur tata cara pengisian dan penyampaian SPTPD, yang kini diarahkan secara elektronik (e-SPTPD).
 4) Peraturan Bupati Nomor 17 Tahun 2017 tentang Petunjuk Teknis Pemungutan Pajak Restoran, yang menekankan penggunaan SPTPD.</t>
        </is>
      </c>
      <c r="F506" s="184" t="inlineStr">
        <is>
          <t>SOP E-SPTPD Kabupaten Bandung adalah prosedur online untuk pelaporan dan penyetoran pajak daerah (selain PBB &amp; BPHTB) melalui laman resmi https://e-sptpd.bandungkab.go.id/site/login. Wajib pajak melakukan login menggunakan NPWPD dan password, mengisi data, hingga penyetoran pajak secara elektronik</t>
        </is>
      </c>
      <c r="G506" s="184" t="inlineStr">
        <is>
          <t>PEMBINAAN KEUANGAN DAERAH</t>
        </is>
      </c>
      <c r="H506" s="184" t="inlineStr">
        <is>
          <t>Instansi Pemerintah Lainnya</t>
        </is>
      </c>
      <c r="I506" s="184" t="inlineStr">
        <is>
          <t>Pajak makanan dan minuman pasien</t>
        </is>
      </c>
      <c r="J506" s="178" t="inlineStr">
        <is>
          <t>Bukti setor pajak</t>
        </is>
      </c>
      <c r="K506" s="184" t="inlineStr">
        <is>
          <t>Terbuka</t>
        </is>
      </c>
      <c r="L506" s="184" t="inlineStr">
        <is>
          <t>Tidak terdapat</t>
        </is>
      </c>
      <c r="M506" s="184" t="inlineStr">
        <is>
          <t>Harian</t>
        </is>
      </c>
      <c r="N506" s="184" t="inlineStr">
        <is>
          <t>E-SPTPD</t>
        </is>
      </c>
      <c r="O506" s="184" t="inlineStr">
        <is>
          <t>OPD</t>
        </is>
      </c>
      <c r="P506" s="184" t="inlineStr">
        <is>
          <t>Kab. Bandung</t>
        </is>
      </c>
      <c r="Q506" s="184" t="inlineStr">
        <is>
          <t>Website</t>
        </is>
      </c>
      <c r="R506" s="131" t="inlineStr">
        <is>
          <t>e-sptpd.bandungkab.go.id.</t>
        </is>
      </c>
      <c r="S506" s="184" t="inlineStr">
        <is>
          <t>Secara Online</t>
        </is>
      </c>
      <c r="T506" s="184" t="inlineStr">
        <is>
          <t>Transaksi</t>
        </is>
      </c>
      <c r="U506" s="184" t="n">
        <v>2018</v>
      </c>
      <c r="V506" s="184" t="inlineStr">
        <is>
          <t>Aktif</t>
        </is>
      </c>
      <c r="W506" s="184" t="inlineStr">
        <is>
          <t>Ya</t>
        </is>
      </c>
      <c r="X506" s="184" t="inlineStr">
        <is>
          <t>Tidak Terintegrasi</t>
        </is>
      </c>
      <c r="Y506" s="184" t="inlineStr">
        <is>
          <t>Tidak Terintegrasi</t>
        </is>
      </c>
      <c r="Z506" s="184" t="inlineStr">
        <is>
          <t>Bulanan</t>
        </is>
      </c>
      <c r="AA506" s="184" t="inlineStr">
        <is>
          <t>Bagian Keuangan</t>
        </is>
      </c>
      <c r="AB506" s="184" t="inlineStr">
        <is>
          <t>Bapenda</t>
        </is>
      </c>
      <c r="AC506" s="288" t="n"/>
      <c r="AD506" s="288" t="n"/>
      <c r="AE506" s="288" t="n"/>
      <c r="AF506" s="288" t="n"/>
      <c r="AG506" s="184" t="inlineStr">
        <is>
          <t>Bulanan</t>
        </is>
      </c>
      <c r="AH506" s="284" t="n"/>
      <c r="AI506" s="284" t="n"/>
      <c r="AJ506" s="284" t="n"/>
      <c r="AK506" s="284" t="n"/>
      <c r="AL506" s="284" t="n"/>
      <c r="AM506" s="284" t="n"/>
      <c r="AN506" s="284" t="n"/>
      <c r="AO506" s="284" t="n"/>
      <c r="AP506" s="284" t="n"/>
      <c r="AQ506" s="284" t="n"/>
      <c r="AR506" s="284" t="n"/>
      <c r="AS506" s="284" t="n"/>
    </row>
    <row r="507">
      <c r="A507" s="182" t="n">
        <v>8</v>
      </c>
      <c r="B507" s="184" t="inlineStr">
        <is>
          <t>Layanan pengelolaan data statistik</t>
        </is>
      </c>
      <c r="C507" t="inlineStr">
        <is>
          <t>RSUD BEDAS TEGALLUAR</t>
        </is>
      </c>
      <c r="D507" s="184" t="inlineStr">
        <is>
          <t>Untuk mendukung pengelolaan data statistik di tingkat daerah serta berfungsi untuk mengelola, menyajikan, dan mempublikasikan data statistik sektoral</t>
        </is>
      </c>
      <c r="E507" s="184" t="inlineStr">
        <is>
          <t>Peraturan Bupati Bandung Nomor 82 Tahun 2019 tentang Tata Kelola Satu Data Daerah</t>
        </is>
      </c>
      <c r="F507" s="288" t="n"/>
      <c r="G507" s="184" t="inlineStr">
        <is>
          <t>PENGELOLAAN DATA STATISTIK</t>
        </is>
      </c>
      <c r="H507" s="184" t="inlineStr">
        <is>
          <t>Instansi Pemerintah Lainnya</t>
        </is>
      </c>
      <c r="I507" s="184" t="inlineStr">
        <is>
          <t>Data Statistik Sektoral</t>
        </is>
      </c>
      <c r="J507" s="184" t="inlineStr">
        <is>
          <t>Data Statistik Sektoral</t>
        </is>
      </c>
      <c r="K507" s="184" t="inlineStr">
        <is>
          <t>Terbuka</t>
        </is>
      </c>
      <c r="L507" s="184" t="inlineStr">
        <is>
          <t>Tidak terdapat</t>
        </is>
      </c>
      <c r="M507" s="184" t="inlineStr">
        <is>
          <t>Harian</t>
        </is>
      </c>
      <c r="N507" s="184" t="inlineStr">
        <is>
          <t>SIMASDA</t>
        </is>
      </c>
      <c r="O507" s="184" t="inlineStr">
        <is>
          <t>Diskominfo</t>
        </is>
      </c>
      <c r="P507" s="184" t="inlineStr">
        <is>
          <t>Kab. Bandung</t>
        </is>
      </c>
      <c r="Q507" s="184" t="inlineStr">
        <is>
          <t>Website</t>
        </is>
      </c>
      <c r="R507" s="131" t="inlineStr">
        <is>
          <t>https://simasda.bandungkab.go.id/</t>
        </is>
      </c>
      <c r="S507" s="184" t="inlineStr">
        <is>
          <t>Secara Online</t>
        </is>
      </c>
      <c r="T507" s="184" t="inlineStr">
        <is>
          <t>Informasi</t>
        </is>
      </c>
      <c r="U507" s="184" t="n">
        <v>2021</v>
      </c>
      <c r="V507" s="184" t="inlineStr">
        <is>
          <t>Aktif</t>
        </is>
      </c>
      <c r="W507" s="184" t="inlineStr">
        <is>
          <t>Ya</t>
        </is>
      </c>
      <c r="X507" s="184" t="inlineStr">
        <is>
          <t>Satu Data Kabupaten Bandung</t>
        </is>
      </c>
      <c r="Y507" s="184" t="inlineStr">
        <is>
          <t>Web Service</t>
        </is>
      </c>
      <c r="Z507" s="184" t="inlineStr">
        <is>
          <t>Realtime</t>
        </is>
      </c>
      <c r="AA507" s="184" t="inlineStr">
        <is>
          <t>Bagian Perencanaan dan Kehumasan</t>
        </is>
      </c>
      <c r="AB507" s="184" t="inlineStr">
        <is>
          <t>Diskominfo</t>
        </is>
      </c>
      <c r="AC507" s="288" t="n"/>
      <c r="AD507" s="288" t="n"/>
      <c r="AE507" s="288" t="n"/>
      <c r="AF507" s="288" t="n"/>
      <c r="AG507" s="184" t="inlineStr">
        <is>
          <t>Insidentil</t>
        </is>
      </c>
      <c r="AH507" s="284" t="n"/>
      <c r="AI507" s="284" t="n"/>
      <c r="AJ507" s="284" t="n"/>
      <c r="AK507" s="284" t="n"/>
      <c r="AL507" s="284" t="n"/>
      <c r="AM507" s="284" t="n"/>
      <c r="AN507" s="284" t="n"/>
      <c r="AO507" s="284" t="n"/>
      <c r="AP507" s="284" t="n"/>
      <c r="AQ507" s="284" t="n"/>
      <c r="AR507" s="284" t="n"/>
      <c r="AS507" s="284" t="n"/>
    </row>
    <row r="508">
      <c r="A508" s="182" t="n">
        <v>9</v>
      </c>
      <c r="B508" s="184" t="inlineStr">
        <is>
          <t>Layanan Rujukan</t>
        </is>
      </c>
      <c r="C508" t="inlineStr">
        <is>
          <t>RSUD BEDAS TEGALLUAR</t>
        </is>
      </c>
      <c r="D508"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E508" s="184" t="inlineStr">
        <is>
          <t>Surat Edaran Menteri Kesehatan Nomor HK.02.02/I/1161/2022 tentang Implementasi Penggunaan Aplikasi SISRUTE</t>
        </is>
      </c>
      <c r="F508" s="184" t="inlineStr">
        <is>
          <t>SOP RUJUKAN</t>
        </is>
      </c>
      <c r="G508" s="184" t="inlineStr">
        <is>
          <t>PENGELOLAAN PELAYANAN KESEHATAN</t>
        </is>
      </c>
      <c r="H508" s="184" t="inlineStr">
        <is>
          <t>Masyarakat</t>
        </is>
      </c>
      <c r="I508" s="184" t="inlineStr">
        <is>
          <t>Data Klinis dan Kebutuhan rujukan pasien</t>
        </is>
      </c>
      <c r="J508" s="178" t="inlineStr">
        <is>
          <t>Penerimaan rujukan sesuai kebutuhan pasien</t>
        </is>
      </c>
      <c r="K508" s="184" t="inlineStr">
        <is>
          <t>Terbatas</t>
        </is>
      </c>
      <c r="L508" s="184" t="inlineStr">
        <is>
          <t>Terdapat</t>
        </is>
      </c>
      <c r="M508" s="184" t="inlineStr">
        <is>
          <t>Harian</t>
        </is>
      </c>
      <c r="N508" s="184" t="inlineStr">
        <is>
          <t>SISRUTE</t>
        </is>
      </c>
      <c r="O508" s="184" t="inlineStr">
        <is>
          <t>Pusat</t>
        </is>
      </c>
      <c r="P508" s="184" t="inlineStr">
        <is>
          <t>Pusat</t>
        </is>
      </c>
      <c r="Q508" s="184" t="inlineStr">
        <is>
          <t>Website</t>
        </is>
      </c>
      <c r="R508" s="131" t="inlineStr">
        <is>
          <t>https://sisrute.kemkes.go.id/</t>
        </is>
      </c>
      <c r="S508" s="184" t="inlineStr">
        <is>
          <t>Secara Online</t>
        </is>
      </c>
      <c r="T508" s="184" t="inlineStr">
        <is>
          <t>Informasi</t>
        </is>
      </c>
      <c r="U508" s="184" t="n">
        <v>2016</v>
      </c>
      <c r="V508" s="184" t="inlineStr">
        <is>
          <t>Aktif</t>
        </is>
      </c>
      <c r="W508" s="184" t="inlineStr">
        <is>
          <t>Tidak</t>
        </is>
      </c>
      <c r="X508" s="184" t="inlineStr">
        <is>
          <t>Tidak terintegrasi</t>
        </is>
      </c>
      <c r="Y508" s="184" t="inlineStr">
        <is>
          <t>Tidak Terintegrasi</t>
        </is>
      </c>
      <c r="Z508" s="184" t="inlineStr">
        <is>
          <t>Tidak Terintegrasi</t>
        </is>
      </c>
      <c r="AA508" s="184" t="inlineStr">
        <is>
          <t>Bagian Pelayanan Medik</t>
        </is>
      </c>
      <c r="AB508" s="184" t="inlineStr">
        <is>
          <t>Dinkes</t>
        </is>
      </c>
      <c r="AC508" s="288" t="n"/>
      <c r="AD508" s="288" t="n"/>
      <c r="AE508" s="288" t="n"/>
      <c r="AF508" s="288" t="n"/>
      <c r="AG508" s="184" t="inlineStr">
        <is>
          <t>Insidentil</t>
        </is>
      </c>
      <c r="AH508" s="284" t="n"/>
      <c r="AI508" s="284" t="n"/>
      <c r="AJ508" s="284" t="n"/>
      <c r="AK508" s="284" t="n"/>
      <c r="AL508" s="284" t="n"/>
      <c r="AM508" s="284" t="n"/>
      <c r="AN508" s="284" t="n"/>
      <c r="AO508" s="284" t="n"/>
      <c r="AP508" s="284" t="n"/>
      <c r="AQ508" s="284" t="n"/>
      <c r="AR508" s="284" t="n"/>
      <c r="AS508" s="284" t="n"/>
    </row>
    <row r="509">
      <c r="A509" s="182" t="n">
        <v>10</v>
      </c>
      <c r="B509" s="184" t="inlineStr">
        <is>
          <t>Layanan Pelaporan Pajak</t>
        </is>
      </c>
      <c r="C509" t="inlineStr">
        <is>
          <t>RSUD BEDAS TEGALLUAR</t>
        </is>
      </c>
      <c r="D509" s="184" t="inlineStr">
        <is>
          <t>Coretax (Core Tax Administration System/CTAS) adalah sistem administrasi perpajakan baru Direktorat Jenderal Pajak (DJP) yang mengintegrasikan seluruh proses bisnis perpajakan—pendaftaran, pelaporan SPT, pembayaran, hingga pemeriksaan—dalam satu portal terpadu</t>
        </is>
      </c>
      <c r="E509" s="184" t="inlineStr">
        <is>
          <t>Dasar hukum utama Coretax System (Sistem Inti Administrasi Perpajakan/SIAP) adalah Peraturan Menteri Keuangan (PMK) Nomor 81 Tahun 2024 tentang Ketentuan Perpajakan dalam Rangka Pelaksanaan Sistem Inti Administrasi Perpajakan, yang berlaku mulai 1 Januari 2025.</t>
        </is>
      </c>
      <c r="F509" s="288" t="n"/>
      <c r="G509" s="184" t="inlineStr">
        <is>
          <t>AKUNTANSI DAN PELAPORAN KEUANGAN</t>
        </is>
      </c>
      <c r="H509" s="184" t="inlineStr">
        <is>
          <t>Pegawai</t>
        </is>
      </c>
      <c r="I509" s="184" t="inlineStr">
        <is>
          <t>Pajak PPH 21, PPH 22, PPH 23 Dan PPN</t>
        </is>
      </c>
      <c r="J509" s="178" t="inlineStr">
        <is>
          <t>Bukti setor pajak</t>
        </is>
      </c>
      <c r="K509" s="184" t="inlineStr">
        <is>
          <t>Terbatas</t>
        </is>
      </c>
      <c r="L509" s="184" t="inlineStr">
        <is>
          <t>Terdapat</t>
        </is>
      </c>
      <c r="M509" s="184" t="inlineStr">
        <is>
          <t>Harian</t>
        </is>
      </c>
      <c r="N509" s="184" t="inlineStr">
        <is>
          <t>Coretax</t>
        </is>
      </c>
      <c r="O509" s="184" t="inlineStr">
        <is>
          <t>Pusat</t>
        </is>
      </c>
      <c r="P509" s="184" t="inlineStr">
        <is>
          <t>Pusat</t>
        </is>
      </c>
      <c r="Q509" s="184" t="inlineStr">
        <is>
          <t>Website</t>
        </is>
      </c>
      <c r="R509" s="131" t="inlineStr">
        <is>
          <t>https://coretaxdjp.pajak.go.id</t>
        </is>
      </c>
      <c r="S509" s="184" t="inlineStr">
        <is>
          <t>Secara Online</t>
        </is>
      </c>
      <c r="T509" s="184" t="inlineStr">
        <is>
          <t>Transaksi</t>
        </is>
      </c>
      <c r="U509" s="184" t="n">
        <v>2025</v>
      </c>
      <c r="V509" s="184" t="inlineStr">
        <is>
          <t>Aktif</t>
        </is>
      </c>
      <c r="W509" s="184" t="inlineStr">
        <is>
          <t>Ya</t>
        </is>
      </c>
      <c r="X509" s="184" t="inlineStr">
        <is>
          <t>coretax</t>
        </is>
      </c>
      <c r="Y509" s="184" t="inlineStr">
        <is>
          <t>Web Service</t>
        </is>
      </c>
      <c r="Z509" s="184" t="inlineStr">
        <is>
          <t>Bulanan</t>
        </is>
      </c>
      <c r="AA509" s="184" t="inlineStr">
        <is>
          <t>Bagian Keuangan</t>
        </is>
      </c>
      <c r="AB509" s="184" t="inlineStr">
        <is>
          <t>BKAD</t>
        </is>
      </c>
      <c r="AC509" s="288" t="n"/>
      <c r="AD509" s="288" t="n"/>
      <c r="AE509" s="288" t="n"/>
      <c r="AF509" s="288" t="n"/>
      <c r="AG509" s="184" t="inlineStr">
        <is>
          <t>Tahunan</t>
        </is>
      </c>
      <c r="AH509" s="284" t="n"/>
      <c r="AI509" s="284" t="n"/>
      <c r="AJ509" s="284" t="n"/>
      <c r="AK509" s="284" t="n"/>
      <c r="AL509" s="284" t="n"/>
      <c r="AM509" s="284" t="n"/>
      <c r="AN509" s="284" t="n"/>
      <c r="AO509" s="284" t="n"/>
      <c r="AP509" s="284" t="n"/>
      <c r="AQ509" s="284" t="n"/>
      <c r="AR509" s="284" t="n"/>
      <c r="AS509" s="284" t="n"/>
    </row>
    <row r="510">
      <c r="A510" s="182" t="n">
        <v>11</v>
      </c>
      <c r="B510" s="184" t="inlineStr">
        <is>
          <t>Layanan Sistem Rekonsiliasi Pajak</t>
        </is>
      </c>
      <c r="C510" t="inlineStr">
        <is>
          <t>RSUD BEDAS TEGALLUAR</t>
        </is>
      </c>
      <c r="D510" s="184" t="inlineStr">
        <is>
          <t>Sirekonpajak (Sistem Rekonsiliasi Pajak) adalah aplikasi berbasis web yang dikembangkan oleh Pemerintah Daerah (khususnya Kabupaten Bandung sejak 2022) untuk mempermudah rekonsiliasi pajak pusat yang disetorkan pemda ke Rekening Kas Umum Negara (RKUN) dengan Nomor Transaksi Penerimaan Negara (NTPN)</t>
        </is>
      </c>
      <c r="E510" s="184" t="inlineStr">
        <is>
          <t>PMK 67/PMK.07/2024: Peraturan Menteri Keuangan (PMK) ini mengatur tentang rekonsiliasi pajak pusat yang disetorkan pemda ke RKUN dan menjadi dasar validasi untuk penyaluran Dana Bagi Hasil (DBH) PPh dan DBH PBB.</t>
        </is>
      </c>
      <c r="F510" s="288" t="n"/>
      <c r="G510" s="184" t="inlineStr">
        <is>
          <t>AKUNTANSI DAN PELAPORAN KEUANGAN</t>
        </is>
      </c>
      <c r="H510" s="184" t="inlineStr">
        <is>
          <t>Instansi Pemerintah Lainnya</t>
        </is>
      </c>
      <c r="I510" s="184" t="inlineStr">
        <is>
          <t>Pajak yang bersumber dari APBD</t>
        </is>
      </c>
      <c r="J510" s="178" t="inlineStr">
        <is>
          <t>Bukti setor pajak</t>
        </is>
      </c>
      <c r="K510" s="184" t="inlineStr">
        <is>
          <t>Terbatas</t>
        </is>
      </c>
      <c r="L510" s="184" t="inlineStr">
        <is>
          <t>Tidak terdapat</t>
        </is>
      </c>
      <c r="M510" s="184" t="inlineStr">
        <is>
          <t>Bulanan</t>
        </is>
      </c>
      <c r="N510" s="184" t="inlineStr">
        <is>
          <t>SIREKON</t>
        </is>
      </c>
      <c r="O510" s="184" t="inlineStr">
        <is>
          <t>Diskominfo</t>
        </is>
      </c>
      <c r="P510" s="184" t="inlineStr">
        <is>
          <t>Kab. Bandung</t>
        </is>
      </c>
      <c r="Q510" s="184" t="inlineStr">
        <is>
          <t>Website</t>
        </is>
      </c>
      <c r="R510" s="131" t="inlineStr">
        <is>
          <t>https://sirekonpajak.bandungkab.go.id/</t>
        </is>
      </c>
      <c r="S510" s="184" t="inlineStr">
        <is>
          <t>Secara Online</t>
        </is>
      </c>
      <c r="T510" s="184" t="inlineStr">
        <is>
          <t>Informasi</t>
        </is>
      </c>
      <c r="U510" s="184" t="n">
        <v>2022</v>
      </c>
      <c r="V510" s="184" t="inlineStr">
        <is>
          <t>Aktif</t>
        </is>
      </c>
      <c r="W510" s="184" t="inlineStr">
        <is>
          <t>Ya</t>
        </is>
      </c>
      <c r="X510" s="288" t="n"/>
      <c r="Y510" s="184" t="inlineStr">
        <is>
          <t>Web Service</t>
        </is>
      </c>
      <c r="Z510" s="184" t="inlineStr">
        <is>
          <t>Bulanan</t>
        </is>
      </c>
      <c r="AA510" s="184" t="inlineStr">
        <is>
          <t>Bagian Keuangan</t>
        </is>
      </c>
      <c r="AB510" s="184" t="inlineStr">
        <is>
          <t>BKAD</t>
        </is>
      </c>
      <c r="AC510" s="288" t="n"/>
      <c r="AD510" s="288" t="n"/>
      <c r="AE510" s="288" t="n"/>
      <c r="AF510" s="288" t="n"/>
      <c r="AG510" s="184" t="inlineStr">
        <is>
          <t>Bulanan</t>
        </is>
      </c>
      <c r="AH510" s="284" t="n"/>
      <c r="AI510" s="284" t="n"/>
      <c r="AJ510" s="284" t="n"/>
      <c r="AK510" s="284" t="n"/>
      <c r="AL510" s="284" t="n"/>
      <c r="AM510" s="284" t="n"/>
      <c r="AN510" s="284" t="n"/>
      <c r="AO510" s="284" t="n"/>
      <c r="AP510" s="284" t="n"/>
      <c r="AQ510" s="284" t="n"/>
      <c r="AR510" s="284" t="n"/>
      <c r="AS510" s="284" t="n"/>
    </row>
    <row r="511">
      <c r="A511" s="182" t="n">
        <v>12</v>
      </c>
      <c r="B511" s="184" t="inlineStr">
        <is>
          <t>Layanan Informasi Tuberkulosis (SITB)</t>
        </is>
      </c>
      <c r="C511" t="inlineStr">
        <is>
          <t>RSUD BEDAS TEGALLUAR</t>
        </is>
      </c>
      <c r="D511" s="184" t="inlineStr">
        <is>
          <t>Sistem Informasi Tuberkulosis (SITB) merupakan sistem informasi berbasis web yang dikembangkan oleh Kementerian Kesehatan Republik Indonesia untuk mendukung pelaksanaan program penanggulangan tuberkulosis secara nasional. SITB bertujuan untuk menyediakan data kasus TB yang akurat, lengkap, dan terkini melalui sistem pencatatan dan pelaporan terintegrasi dari berbagai fasilitas pelayanan kesehatan seperti puskesmas, rumah sakit, klinik, dan laboratorium. Melalui sistem ini, proses pencatatan kasus TB, hasil pemeriksaan laboratorium, serta pemantauan pengobatan pasien dapat dilakukan secara elektronik dan terstandar sehingga mempermudah koordinasi antar fasilitas kesehatan dan dinas kesehatan. Selain itu, SITB juga berfungsi sebagai sarana monitoring dan evaluasi program TB, termasuk dalam memantau indikator program seperti penemuan kasus, keberhasilan pengobatan, dan kejadian lost to follow-up. Data yang tersedia dalam SITB selanjutnya dapat dimanfaatkan sebagai dasar dalam analisis epidemiologi, perencanaan program, serta pengambilan kebijakan untuk mendukung upaya eliminasi tuberkulosis di Indonesia.</t>
        </is>
      </c>
      <c r="E511" s="184" t="inlineStr">
        <is>
          <t>Peraturan Menteri Kesehatan Republik Indonesia Nomor 67 Tahun 2016 tentang Penanggulangan Tuberkulosis. Peraturan Menteri Kesehatan Republik Indonesia Nomor 82 Tahun 2013 tentang Sistem Informasi Manajemen Rumah Sakit. Peraturan Menteri Kesehatan Republik Indonesia Nomor 24 Tahun 2022 tentang Rekam Medis. Peraturan Presiden Republik Indonesia Nomor 67 Tahun 2021 tentang Penanggulangan Tuberkulosis.</t>
        </is>
      </c>
      <c r="F511" s="288" t="n"/>
      <c r="G511" s="184" t="inlineStr">
        <is>
          <t>PENGELOLAAN PELAYANAN KESEHATAN</t>
        </is>
      </c>
      <c r="H511" s="184" t="inlineStr">
        <is>
          <t>Masyarakat</t>
        </is>
      </c>
      <c r="I511" s="184" t="inlineStr">
        <is>
          <t>Identitas pasien, data klinis dan faktor risiko, data pemeriksaan diagnostik (mikroskopis sputum, Tes Cepat Molekuler (TCM), kultur, dan uji kepekaan obat), data pengobatan pasien TB, pemantauan dan evaluasi pengobatan.</t>
        </is>
      </c>
      <c r="J511" s="178" t="inlineStr">
        <is>
          <t>Data jumlah kasus TB yang terlaporkan (distribusi kasus berdasarkan umur, jenis kelamin, wilayah, serta jenis TB ), data hasil pemeriksaan diagnostik, data pemantauan dan data hasil indikator kinerja program TB.</t>
        </is>
      </c>
      <c r="K511" s="184" t="inlineStr">
        <is>
          <t>Terbatas</t>
        </is>
      </c>
      <c r="L511" s="184" t="inlineStr">
        <is>
          <t>Terdapat</t>
        </is>
      </c>
      <c r="M511" s="184" t="inlineStr">
        <is>
          <t>Lainnya</t>
        </is>
      </c>
      <c r="N511" s="184" t="inlineStr">
        <is>
          <t>Sistem Informasi Tuberkulosis (SITB)</t>
        </is>
      </c>
      <c r="O511" s="184" t="inlineStr">
        <is>
          <t>Pusat</t>
        </is>
      </c>
      <c r="P511" s="184" t="inlineStr">
        <is>
          <t>Pusat</t>
        </is>
      </c>
      <c r="Q511" s="184" t="inlineStr">
        <is>
          <t>Website dan Mobile</t>
        </is>
      </c>
      <c r="R511" s="131" t="inlineStr">
        <is>
          <t>http://dkijabarbanten.sitb.id/</t>
        </is>
      </c>
      <c r="S511" s="184" t="inlineStr">
        <is>
          <t>Secara Online</t>
        </is>
      </c>
      <c r="T511" s="184" t="inlineStr">
        <is>
          <t>Informasi</t>
        </is>
      </c>
      <c r="U511" s="184" t="n">
        <v>2018</v>
      </c>
      <c r="V511" s="184" t="inlineStr">
        <is>
          <t>Maintenance</t>
        </is>
      </c>
      <c r="W511" s="184" t="inlineStr">
        <is>
          <t>Ya</t>
        </is>
      </c>
      <c r="X511" s="184" t="inlineStr">
        <is>
          <t>SATUSEHAT Platform, Sistem Informasi HIV/AIDS dan IMS (SIHA), Sistem Informasi Manajemen Rumah Sakit (SIMRS) dan Sistem Kewaspadaan Dini dan Respons (SKDR).</t>
        </is>
      </c>
      <c r="Y511" s="184" t="inlineStr">
        <is>
          <t>API</t>
        </is>
      </c>
      <c r="Z511" s="184" t="inlineStr">
        <is>
          <t>Realtime</t>
        </is>
      </c>
      <c r="AA511" s="184" t="inlineStr">
        <is>
          <t>Bidang Pelayanan Medis</t>
        </is>
      </c>
      <c r="AB511" s="184" t="inlineStr">
        <is>
          <t>Dinkes</t>
        </is>
      </c>
      <c r="AC511" s="288" t="n"/>
      <c r="AD511" s="288" t="n"/>
      <c r="AE511" s="288" t="n"/>
      <c r="AF511" s="288" t="n"/>
      <c r="AG511" s="184" t="inlineStr">
        <is>
          <t>Insidentil</t>
        </is>
      </c>
      <c r="AH511" s="284" t="n"/>
      <c r="AI511" s="284" t="n"/>
      <c r="AJ511" s="284" t="n"/>
      <c r="AK511" s="284" t="n"/>
      <c r="AL511" s="284" t="n"/>
      <c r="AM511" s="284" t="n"/>
      <c r="AN511" s="284" t="n"/>
      <c r="AO511" s="284" t="n"/>
      <c r="AP511" s="284" t="n"/>
      <c r="AQ511" s="284" t="n"/>
      <c r="AR511" s="284" t="n"/>
      <c r="AS511" s="284" t="n"/>
    </row>
    <row r="512">
      <c r="A512" s="182" t="n">
        <v>13</v>
      </c>
      <c r="B512" s="184" t="inlineStr">
        <is>
          <t>Layanan administrasi kepegawaian</t>
        </is>
      </c>
      <c r="C512" t="inlineStr">
        <is>
          <t>RSUD BEDAS TEGALLUAR</t>
        </is>
      </c>
      <c r="D512" s="184" t="inlineStr">
        <is>
          <t>Sistem informasi kepegawaian ASN Kabupaten Bandung. Fungsi nya untuk layanan administrasi kepegawaian ASN, mulai dari kenaikan pangkat, kenaikan gaji berkala, cuti, pensiun, ijin belajar dll</t>
        </is>
      </c>
      <c r="E512" s="184" t="inlineStr">
        <is>
          <t>Undang Undang Nomor 20 Tahun 2023 ttg ASN</t>
        </is>
      </c>
      <c r="F512" s="288" t="n"/>
      <c r="G512" s="184" t="inlineStr">
        <is>
          <t>PENATAAN SUMBER DAYA MANUSIA APARATUR</t>
        </is>
      </c>
      <c r="H512" s="184" t="inlineStr">
        <is>
          <t>Pegawai</t>
        </is>
      </c>
      <c r="I512" s="184" t="inlineStr">
        <is>
          <t>data kepegawaian</t>
        </is>
      </c>
      <c r="J512" s="178" t="inlineStr">
        <is>
          <t>layanan administrasi kepegawaian</t>
        </is>
      </c>
      <c r="K512" s="184" t="inlineStr">
        <is>
          <t>Terbatas</t>
        </is>
      </c>
      <c r="L512" s="184" t="inlineStr">
        <is>
          <t>Terdapat</t>
        </is>
      </c>
      <c r="M512" s="184" t="inlineStr">
        <is>
          <t>Bulanan</t>
        </is>
      </c>
      <c r="N512" s="184" t="inlineStr">
        <is>
          <t>simpel bkpsdm</t>
        </is>
      </c>
      <c r="O512" s="184" t="inlineStr">
        <is>
          <t>OPD</t>
        </is>
      </c>
      <c r="P512" s="184" t="inlineStr">
        <is>
          <t>Kab. Bandung</t>
        </is>
      </c>
      <c r="Q512" s="184" t="inlineStr">
        <is>
          <t>Website</t>
        </is>
      </c>
      <c r="R512" s="131" t="inlineStr">
        <is>
          <t>simpelbkpsdm.bandungkab.go.id</t>
        </is>
      </c>
      <c r="S512" s="184" t="inlineStr">
        <is>
          <t>Secara Online</t>
        </is>
      </c>
      <c r="T512" s="184" t="inlineStr">
        <is>
          <t>Informasi</t>
        </is>
      </c>
      <c r="U512" s="184" t="n">
        <v>2018</v>
      </c>
      <c r="V512" s="184" t="inlineStr">
        <is>
          <t>Aktif</t>
        </is>
      </c>
      <c r="W512" s="184" t="inlineStr">
        <is>
          <t>Ya</t>
        </is>
      </c>
      <c r="X512" s="184" t="inlineStr">
        <is>
          <t>SIASN</t>
        </is>
      </c>
      <c r="Y512" s="184" t="inlineStr">
        <is>
          <t>Database to Database</t>
        </is>
      </c>
      <c r="Z512" s="184" t="inlineStr">
        <is>
          <t>Lainnya</t>
        </is>
      </c>
      <c r="AA512" s="184" t="inlineStr">
        <is>
          <t>Bagian Umum dan Kepegawaian</t>
        </is>
      </c>
      <c r="AB512" s="184" t="inlineStr">
        <is>
          <t>BKPSDM</t>
        </is>
      </c>
      <c r="AC512" s="288" t="n"/>
      <c r="AD512" s="288" t="n"/>
      <c r="AE512" s="288" t="n"/>
      <c r="AF512" s="288" t="n"/>
      <c r="AG512" s="184" t="inlineStr">
        <is>
          <t>Harian</t>
        </is>
      </c>
      <c r="AH512" s="284" t="n"/>
      <c r="AI512" s="284" t="n"/>
      <c r="AJ512" s="284" t="n"/>
      <c r="AK512" s="284" t="n"/>
      <c r="AL512" s="284" t="n"/>
      <c r="AM512" s="284" t="n"/>
      <c r="AN512" s="284" t="n"/>
      <c r="AO512" s="284" t="n"/>
      <c r="AP512" s="284" t="n"/>
      <c r="AQ512" s="284" t="n"/>
      <c r="AR512" s="284" t="n"/>
      <c r="AS512" s="284" t="n"/>
    </row>
    <row r="513">
      <c r="A513" s="182" t="n">
        <v>14</v>
      </c>
      <c r="B513" s="184" t="inlineStr">
        <is>
          <t>Layanan Daftar Hadir Eletronik</t>
        </is>
      </c>
      <c r="C513" t="inlineStr">
        <is>
          <t>RSUD BEDAS TEGALLUAR</t>
        </is>
      </c>
      <c r="D513" s="184" t="inlineStr">
        <is>
          <t>Layanan presensi kehadiran ASN</t>
        </is>
      </c>
      <c r="E513" s="184" t="inlineStr">
        <is>
          <t>Undang Undang Nomor 20 Tahun 2023 ttg ASN</t>
        </is>
      </c>
      <c r="F513" s="288" t="n"/>
      <c r="G513" s="184" t="inlineStr">
        <is>
          <t>PENATAAN SUMBER DAYA MANUSIA APARATUR</t>
        </is>
      </c>
      <c r="H513" s="184" t="inlineStr">
        <is>
          <t>Pegawai</t>
        </is>
      </c>
      <c r="I513" s="184" t="inlineStr">
        <is>
          <t>Kehadiran ASN</t>
        </is>
      </c>
      <c r="J513" s="178" t="inlineStr">
        <is>
          <t>Kehadiran ASN</t>
        </is>
      </c>
      <c r="K513" s="184" t="inlineStr">
        <is>
          <t>Terbatas</t>
        </is>
      </c>
      <c r="L513" s="184" t="inlineStr">
        <is>
          <t>Terdapat</t>
        </is>
      </c>
      <c r="M513" s="184" t="inlineStr">
        <is>
          <t>Harian</t>
        </is>
      </c>
      <c r="N513" s="184" t="inlineStr">
        <is>
          <t>DHE</t>
        </is>
      </c>
      <c r="O513" s="184" t="inlineStr">
        <is>
          <t>OPD</t>
        </is>
      </c>
      <c r="P513" s="184" t="inlineStr">
        <is>
          <t>Kab. Bandung</t>
        </is>
      </c>
      <c r="Q513" s="184" t="inlineStr">
        <is>
          <t>Mobile</t>
        </is>
      </c>
      <c r="R513" s="220" t="inlineStr">
        <is>
          <t>DHE</t>
        </is>
      </c>
      <c r="S513" s="184" t="inlineStr">
        <is>
          <t>Secara Online</t>
        </is>
      </c>
      <c r="T513" s="184" t="inlineStr">
        <is>
          <t>Informasi</t>
        </is>
      </c>
      <c r="U513" s="288" t="n"/>
      <c r="V513" s="184" t="inlineStr">
        <is>
          <t>Aktif</t>
        </is>
      </c>
      <c r="W513" s="184" t="inlineStr">
        <is>
          <t>Ya</t>
        </is>
      </c>
      <c r="X513" s="184" t="inlineStr">
        <is>
          <t>e-absensi, sasikap</t>
        </is>
      </c>
      <c r="Y513" s="184" t="inlineStr">
        <is>
          <t>Web Service</t>
        </is>
      </c>
      <c r="Z513" s="184" t="inlineStr">
        <is>
          <t>Harian</t>
        </is>
      </c>
      <c r="AA513" s="184" t="inlineStr">
        <is>
          <t>Bagian Umum dan Kepegawaian</t>
        </is>
      </c>
      <c r="AB513" s="184" t="inlineStr">
        <is>
          <t>Diskominfo</t>
        </is>
      </c>
      <c r="AC513" s="288" t="n"/>
      <c r="AD513" s="288" t="n"/>
      <c r="AE513" s="288" t="n"/>
      <c r="AF513" s="288" t="n"/>
      <c r="AG513" s="184" t="inlineStr">
        <is>
          <t>Harian</t>
        </is>
      </c>
      <c r="AH513" s="284" t="n"/>
      <c r="AI513" s="284" t="n"/>
      <c r="AJ513" s="284" t="n"/>
      <c r="AK513" s="284" t="n"/>
      <c r="AL513" s="284" t="n"/>
      <c r="AM513" s="284" t="n"/>
      <c r="AN513" s="284" t="n"/>
      <c r="AO513" s="284" t="n"/>
      <c r="AP513" s="284" t="n"/>
      <c r="AQ513" s="284" t="n"/>
      <c r="AR513" s="284" t="n"/>
      <c r="AS513" s="284" t="n"/>
    </row>
    <row r="514">
      <c r="A514" s="182" t="n">
        <v>15</v>
      </c>
      <c r="B514" s="184" t="inlineStr">
        <is>
          <t>Layanan surat menyurat elektronik</t>
        </is>
      </c>
      <c r="C514" t="inlineStr">
        <is>
          <t>RSUD BEDAS TEGALLUAR</t>
        </is>
      </c>
      <c r="D514" s="184" t="inlineStr">
        <is>
          <t>Layanan surat menyurat</t>
        </is>
      </c>
      <c r="E514" s="288" t="n"/>
      <c r="F514" s="288" t="n"/>
      <c r="G514" s="184" t="inlineStr">
        <is>
          <t>PENATAAN SISTEM KELEMBAGAAN</t>
        </is>
      </c>
      <c r="H514" s="184" t="inlineStr">
        <is>
          <t>Pegawai</t>
        </is>
      </c>
      <c r="I514" s="184" t="inlineStr">
        <is>
          <t>surat dinas</t>
        </is>
      </c>
      <c r="J514" s="178" t="inlineStr">
        <is>
          <t>surat dinas</t>
        </is>
      </c>
      <c r="K514" s="184" t="inlineStr">
        <is>
          <t>Terbatas</t>
        </is>
      </c>
      <c r="L514" s="184" t="inlineStr">
        <is>
          <t>Tidak terdapat</t>
        </is>
      </c>
      <c r="M514" s="184" t="inlineStr">
        <is>
          <t>Harian</t>
        </is>
      </c>
      <c r="N514" s="184" t="inlineStr">
        <is>
          <t>Sultan</t>
        </is>
      </c>
      <c r="O514" s="184" t="inlineStr">
        <is>
          <t>OPD</t>
        </is>
      </c>
      <c r="P514" s="184" t="inlineStr">
        <is>
          <t>Kab. Bandung</t>
        </is>
      </c>
      <c r="Q514" s="184" t="inlineStr">
        <is>
          <t>Website dan Mobile</t>
        </is>
      </c>
      <c r="R514" s="131" t="inlineStr">
        <is>
          <t>sultan.banadungkab.go.id</t>
        </is>
      </c>
      <c r="S514" s="184" t="inlineStr">
        <is>
          <t>Secara Online</t>
        </is>
      </c>
      <c r="T514" s="184" t="inlineStr">
        <is>
          <t>Informasi</t>
        </is>
      </c>
      <c r="U514" s="288" t="n"/>
      <c r="V514" s="184" t="inlineStr">
        <is>
          <t>Aktif</t>
        </is>
      </c>
      <c r="W514" s="184" t="inlineStr">
        <is>
          <t>Tidak</t>
        </is>
      </c>
      <c r="X514" s="184" t="inlineStr">
        <is>
          <t>tidak terintegrasi</t>
        </is>
      </c>
      <c r="Y514" s="184" t="inlineStr">
        <is>
          <t>Tidak Terintegrasi</t>
        </is>
      </c>
      <c r="Z514" s="184" t="inlineStr">
        <is>
          <t>Tidak Terintegrasi</t>
        </is>
      </c>
      <c r="AA514" s="184" t="inlineStr">
        <is>
          <t>semua bidang/bagian</t>
        </is>
      </c>
      <c r="AB514" s="184" t="inlineStr">
        <is>
          <t>Diskominfo</t>
        </is>
      </c>
      <c r="AC514" s="288" t="n"/>
      <c r="AD514" s="288" t="n"/>
      <c r="AE514" s="288" t="n"/>
      <c r="AF514" s="288" t="n"/>
      <c r="AG514" s="184" t="inlineStr">
        <is>
          <t>Harian</t>
        </is>
      </c>
      <c r="AH514" s="284" t="n"/>
      <c r="AI514" s="284" t="n"/>
      <c r="AJ514" s="284" t="n"/>
      <c r="AK514" s="284" t="n"/>
      <c r="AL514" s="284" t="n"/>
      <c r="AM514" s="284" t="n"/>
      <c r="AN514" s="284" t="n"/>
      <c r="AO514" s="284" t="n"/>
      <c r="AP514" s="284" t="n"/>
      <c r="AQ514" s="284" t="n"/>
      <c r="AR514" s="284" t="n"/>
      <c r="AS514" s="284" t="n"/>
    </row>
    <row r="515">
      <c r="A515" s="182" t="n">
        <v>16</v>
      </c>
      <c r="B515" s="184" t="inlineStr">
        <is>
          <t>Laporan aktivitas harian ASN</t>
        </is>
      </c>
      <c r="C515" t="inlineStr">
        <is>
          <t>RSUD BEDAS TEGALLUAR</t>
        </is>
      </c>
      <c r="D515" s="184" t="inlineStr">
        <is>
          <t>Laporan aktivitas harian ASN</t>
        </is>
      </c>
      <c r="E515" s="184" t="inlineStr">
        <is>
          <t>Undang Undang Nomor 20 Tahun 2023 ttg ASN</t>
        </is>
      </c>
      <c r="F515" s="288" t="n"/>
      <c r="G515" s="184" t="inlineStr">
        <is>
          <t>PENATAAN SUMBER DAYA MANUSIA APARATUR</t>
        </is>
      </c>
      <c r="H515" s="184" t="inlineStr">
        <is>
          <t>Pegawai</t>
        </is>
      </c>
      <c r="I515" s="184" t="inlineStr">
        <is>
          <t>aktivitas ASN</t>
        </is>
      </c>
      <c r="J515" s="178" t="inlineStr">
        <is>
          <t>aktivitas ASN</t>
        </is>
      </c>
      <c r="K515" s="184" t="inlineStr">
        <is>
          <t>Terbatas</t>
        </is>
      </c>
      <c r="L515" s="184" t="inlineStr">
        <is>
          <t>Tidak terdapat</t>
        </is>
      </c>
      <c r="M515" s="184" t="inlineStr">
        <is>
          <t>Harian</t>
        </is>
      </c>
      <c r="N515" s="184" t="inlineStr">
        <is>
          <t>SASIKAP EVO</t>
        </is>
      </c>
      <c r="O515" s="184" t="inlineStr">
        <is>
          <t>Diskominfo</t>
        </is>
      </c>
      <c r="P515" s="184" t="inlineStr">
        <is>
          <t>Kab. Bandung</t>
        </is>
      </c>
      <c r="Q515" s="184" t="inlineStr">
        <is>
          <t>Website dan Mobile</t>
        </is>
      </c>
      <c r="R515" s="131" t="inlineStr">
        <is>
          <t>sso.bandungkab.go.id</t>
        </is>
      </c>
      <c r="S515" s="184" t="inlineStr">
        <is>
          <t>Secara Online</t>
        </is>
      </c>
      <c r="T515" s="184" t="inlineStr">
        <is>
          <t>Informasi</t>
        </is>
      </c>
      <c r="U515" s="288" t="n"/>
      <c r="V515" s="184" t="inlineStr">
        <is>
          <t>Aktif</t>
        </is>
      </c>
      <c r="W515" s="184" t="inlineStr">
        <is>
          <t>Ya</t>
        </is>
      </c>
      <c r="X515" s="184" t="inlineStr">
        <is>
          <t>e-absensi, DHE</t>
        </is>
      </c>
      <c r="Y515" s="184" t="inlineStr">
        <is>
          <t>Web Service</t>
        </is>
      </c>
      <c r="Z515" s="184" t="inlineStr">
        <is>
          <t>Realtime</t>
        </is>
      </c>
      <c r="AA515" s="184" t="inlineStr">
        <is>
          <t>semua bidang/bagian</t>
        </is>
      </c>
      <c r="AB515" s="184" t="inlineStr">
        <is>
          <t>BKPSDM</t>
        </is>
      </c>
      <c r="AC515" s="288" t="n"/>
      <c r="AD515" s="288" t="n"/>
      <c r="AE515" s="288" t="n"/>
      <c r="AF515" s="288" t="n"/>
      <c r="AG515" s="184" t="inlineStr">
        <is>
          <t>Harian</t>
        </is>
      </c>
      <c r="AH515" s="284" t="n"/>
      <c r="AI515" s="284" t="n"/>
      <c r="AJ515" s="284" t="n"/>
      <c r="AK515" s="284" t="n"/>
      <c r="AL515" s="284" t="n"/>
      <c r="AM515" s="284" t="n"/>
      <c r="AN515" s="284" t="n"/>
      <c r="AO515" s="284" t="n"/>
      <c r="AP515" s="284" t="n"/>
      <c r="AQ515" s="284" t="n"/>
      <c r="AR515" s="284" t="n"/>
      <c r="AS515" s="284" t="n"/>
    </row>
    <row r="516">
      <c r="A516" s="182" t="n">
        <v>17</v>
      </c>
      <c r="B516" s="184" t="inlineStr">
        <is>
          <t>Layanan informasi tenaga kesehatan</t>
        </is>
      </c>
      <c r="C516" t="inlineStr">
        <is>
          <t>RSUD BEDAS TEGALLUAR</t>
        </is>
      </c>
      <c r="D516" s="184" t="inlineStr">
        <is>
          <t>sistem informasi database tenaga kesehatan, ketersediaan fasilitas rumah sakit</t>
        </is>
      </c>
      <c r="E516" s="184" t="inlineStr">
        <is>
          <t>Undang-undang np 17 Tahun 2023 ttg kesehatn</t>
        </is>
      </c>
      <c r="F516" s="288" t="n"/>
      <c r="G516" s="184" t="inlineStr">
        <is>
          <t>PENGEMBANGAN DAN PEMBERDAYAAN SUMBER DAYA MANUSIA KESEHATAN</t>
        </is>
      </c>
      <c r="H516" s="184" t="inlineStr">
        <is>
          <t>Pegawai</t>
        </is>
      </c>
      <c r="I516" s="184" t="inlineStr">
        <is>
          <t>database tenaga kesehatan</t>
        </is>
      </c>
      <c r="J516" s="184" t="inlineStr">
        <is>
          <t>database tenaga kesehatan</t>
        </is>
      </c>
      <c r="K516" s="184" t="inlineStr">
        <is>
          <t>Terbatas</t>
        </is>
      </c>
      <c r="L516" s="184" t="inlineStr">
        <is>
          <t>Terdapat</t>
        </is>
      </c>
      <c r="M516" s="184" t="inlineStr">
        <is>
          <t>Harian</t>
        </is>
      </c>
      <c r="N516" s="184" t="inlineStr">
        <is>
          <t>SISDMK</t>
        </is>
      </c>
      <c r="O516" s="184" t="inlineStr">
        <is>
          <t>Pusat</t>
        </is>
      </c>
      <c r="P516" s="184" t="inlineStr">
        <is>
          <t>Pusat</t>
        </is>
      </c>
      <c r="Q516" s="184" t="inlineStr">
        <is>
          <t>Website dan Mobile</t>
        </is>
      </c>
      <c r="R516" s="131" t="inlineStr">
        <is>
          <t>sisdmk.kemkes.go.id</t>
        </is>
      </c>
      <c r="S516" s="184" t="inlineStr">
        <is>
          <t>Secara Online</t>
        </is>
      </c>
      <c r="T516" s="184" t="inlineStr">
        <is>
          <t>Informasi</t>
        </is>
      </c>
      <c r="U516" s="288" t="n"/>
      <c r="V516" s="184" t="inlineStr">
        <is>
          <t>Aktif</t>
        </is>
      </c>
      <c r="W516" s="184" t="inlineStr">
        <is>
          <t>Ya</t>
        </is>
      </c>
      <c r="X516" s="288" t="n"/>
      <c r="Y516" s="184" t="inlineStr">
        <is>
          <t>Web Service</t>
        </is>
      </c>
      <c r="Z516" s="184" t="inlineStr">
        <is>
          <t>Realtime</t>
        </is>
      </c>
      <c r="AA516" s="184" t="inlineStr">
        <is>
          <t>semua bidang/bagian</t>
        </is>
      </c>
      <c r="AB516" s="184" t="inlineStr">
        <is>
          <t>Dinkes</t>
        </is>
      </c>
      <c r="AC516" s="288" t="n"/>
      <c r="AD516" s="288" t="n"/>
      <c r="AE516" s="288" t="n"/>
      <c r="AF516" s="288" t="n"/>
      <c r="AG516" s="184" t="inlineStr">
        <is>
          <t>Harian</t>
        </is>
      </c>
      <c r="AH516" s="284" t="n"/>
      <c r="AI516" s="284" t="n"/>
      <c r="AJ516" s="284" t="n"/>
      <c r="AK516" s="284" t="n"/>
      <c r="AL516" s="284" t="n"/>
      <c r="AM516" s="284" t="n"/>
      <c r="AN516" s="284" t="n"/>
      <c r="AO516" s="284" t="n"/>
      <c r="AP516" s="284" t="n"/>
      <c r="AQ516" s="284" t="n"/>
      <c r="AR516" s="284" t="n"/>
      <c r="AS516" s="284" t="n"/>
    </row>
    <row r="517">
      <c r="A517" s="182" t="n">
        <v>18</v>
      </c>
      <c r="B517" s="184" t="inlineStr">
        <is>
          <t>Layanan pelaporan pelayanan kesehatan</t>
        </is>
      </c>
      <c r="C517" t="inlineStr">
        <is>
          <t>RSUD BEDAS TEGALLUAR</t>
        </is>
      </c>
      <c r="D517" s="176" t="inlineStr">
        <is>
          <t>Pelaporan pelayanan kesehatan mencakup Data dasar RS, Profil, Update tempat tidur, Laporan KLB/Pandemi, Kompetensi RS, Rekapitulasi Laporan</t>
        </is>
      </c>
      <c r="E517" s="184" t="inlineStr">
        <is>
          <t>Direktorat Jenderal Kesehatan Lanjutan Kemenkes</t>
        </is>
      </c>
      <c r="F517" s="131" t="inlineStr">
        <is>
          <t>sirs.kemkes.go.id</t>
        </is>
      </c>
      <c r="G517" s="184" t="inlineStr">
        <is>
          <t>PENGELOLAAN PELAYANAN KESEHATAN</t>
        </is>
      </c>
      <c r="H517" s="184" t="inlineStr">
        <is>
          <t>Instansi Pemerintah Lainnya</t>
        </is>
      </c>
      <c r="I517" s="184" t="inlineStr">
        <is>
          <t>Data dasar RS, Profil, Update tempat tidur, Laporan KLB/Pandemi, Kompetensi RS, Rekapitulasi Laporan</t>
        </is>
      </c>
      <c r="J517" s="178" t="inlineStr">
        <is>
          <t>Laporan Updating</t>
        </is>
      </c>
      <c r="K517" s="184" t="inlineStr">
        <is>
          <t>Terbatas</t>
        </is>
      </c>
      <c r="L517" s="184" t="inlineStr">
        <is>
          <t>Tidak terdapat</t>
        </is>
      </c>
      <c r="M517" s="184" t="inlineStr">
        <is>
          <t>Harian</t>
        </is>
      </c>
      <c r="N517" s="178" t="inlineStr">
        <is>
          <t>RS Online</t>
        </is>
      </c>
      <c r="O517" s="184" t="inlineStr">
        <is>
          <t>Pusat</t>
        </is>
      </c>
      <c r="P517" s="184" t="inlineStr">
        <is>
          <t>Pusat</t>
        </is>
      </c>
      <c r="Q517" s="67" t="inlineStr">
        <is>
          <t>Website</t>
        </is>
      </c>
      <c r="R517" s="75" t="inlineStr">
        <is>
          <t>SIRS.KEMKES.GO.ID</t>
        </is>
      </c>
      <c r="S517" s="184" t="inlineStr">
        <is>
          <t>Secara Online</t>
        </is>
      </c>
      <c r="T517" s="184" t="inlineStr">
        <is>
          <t>Informasi</t>
        </is>
      </c>
      <c r="U517" s="288" t="n"/>
      <c r="V517" s="184" t="inlineStr">
        <is>
          <t>Aktif</t>
        </is>
      </c>
      <c r="W517" s="184" t="inlineStr">
        <is>
          <t>Ya</t>
        </is>
      </c>
      <c r="X517" s="184" t="inlineStr">
        <is>
          <t>tidak Terintegrasi</t>
        </is>
      </c>
      <c r="Y517" s="184" t="inlineStr">
        <is>
          <t>Tidak Terintegrasi</t>
        </is>
      </c>
      <c r="Z517" s="184" t="inlineStr">
        <is>
          <t>Realtime</t>
        </is>
      </c>
      <c r="AA517" s="184" t="inlineStr">
        <is>
          <t>Bidang Penunjang Medik dan Pelayanan Medik</t>
        </is>
      </c>
      <c r="AB517" s="184" t="inlineStr">
        <is>
          <t>Dinkes</t>
        </is>
      </c>
      <c r="AC517" s="288" t="n"/>
      <c r="AD517" s="288" t="n"/>
      <c r="AE517" s="288" t="n"/>
      <c r="AF517" s="288" t="n"/>
      <c r="AG517" s="184" t="inlineStr">
        <is>
          <t>Harian</t>
        </is>
      </c>
      <c r="AH517" s="284" t="n"/>
      <c r="AI517" s="284" t="n"/>
      <c r="AJ517" s="284" t="n"/>
      <c r="AK517" s="284" t="n"/>
      <c r="AL517" s="284" t="n"/>
      <c r="AM517" s="284" t="n"/>
      <c r="AN517" s="284" t="n"/>
      <c r="AO517" s="284" t="n"/>
      <c r="AP517" s="284" t="n"/>
      <c r="AQ517" s="284" t="n"/>
      <c r="AR517" s="284" t="n"/>
      <c r="AS517" s="284" t="n"/>
    </row>
    <row r="518">
      <c r="A518" s="182" t="n">
        <v>19</v>
      </c>
      <c r="B518" s="184" t="inlineStr">
        <is>
          <t>Layanan pelaporan kinerja</t>
        </is>
      </c>
      <c r="C518" t="inlineStr">
        <is>
          <t>RSUD BEDAS TEGALLUAR</t>
        </is>
      </c>
      <c r="D518" s="221"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518"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518" s="288" t="n"/>
      <c r="G518" s="184" t="inlineStr">
        <is>
          <t>PENINGKATAN KUALITAS REFORMASI BIROKRASI, PENGAWASAN, DAN AKUNTABILITAS KINERJA</t>
        </is>
      </c>
      <c r="H518" s="184" t="inlineStr">
        <is>
          <t>Instansi Pemerintah Lainnya</t>
        </is>
      </c>
      <c r="I518" s="184" t="inlineStr">
        <is>
          <t>Data Capaian Kinerja Program dan Kegiatan, Indikator
 Data Capaian Pelaksanaan Anggaran dan Belanja
 Narasi Permasalahan dan Solusi
 Tindak lanjut Reomendasi DPRD
 Data Dukung Capaian Kinerja Berupa Penghargaan</t>
        </is>
      </c>
      <c r="J518" s="222" t="inlineStr">
        <is>
          <t>Dokumen digital yang terstruktur dan tervalidasi yang nantinya dicetak atau disampaikan secara elektronik sebagai bentuk pertanggungjawaban Kepala Daerah kepada DPRD.</t>
        </is>
      </c>
      <c r="K518" s="184" t="inlineStr">
        <is>
          <t>Terbuka</t>
        </is>
      </c>
      <c r="L518" s="184" t="inlineStr">
        <is>
          <t>Tidak terdapat</t>
        </is>
      </c>
      <c r="M518" s="184" t="inlineStr">
        <is>
          <t>Tahunan</t>
        </is>
      </c>
      <c r="N518" s="184" t="inlineStr">
        <is>
          <t>E-LKPJ</t>
        </is>
      </c>
      <c r="O518" s="184" t="inlineStr">
        <is>
          <t>OPD</t>
        </is>
      </c>
      <c r="P518" s="184" t="inlineStr">
        <is>
          <t>Kab. Bandung</t>
        </is>
      </c>
      <c r="Q518" s="184" t="inlineStr">
        <is>
          <t>Website</t>
        </is>
      </c>
      <c r="R518" s="131" t="inlineStr">
        <is>
          <t>https://e-lkpj.id/login</t>
        </is>
      </c>
      <c r="S518" s="184" t="inlineStr">
        <is>
          <t>Secara Online</t>
        </is>
      </c>
      <c r="T518" s="184" t="inlineStr">
        <is>
          <t>Informasi</t>
        </is>
      </c>
      <c r="U518" s="288" t="n"/>
      <c r="V518" s="184" t="inlineStr">
        <is>
          <t>Aktif</t>
        </is>
      </c>
      <c r="W518" s="184" t="inlineStr">
        <is>
          <t>Ya</t>
        </is>
      </c>
      <c r="X518" s="184" t="inlineStr">
        <is>
          <t>SIDALMONEP</t>
        </is>
      </c>
      <c r="Y518" s="288" t="n"/>
      <c r="Z518" s="288" t="n"/>
      <c r="AA518" s="184" t="inlineStr">
        <is>
          <t>Bagian Perencanaan dan Kehumasan</t>
        </is>
      </c>
      <c r="AB518" s="184" t="inlineStr">
        <is>
          <t>Setda</t>
        </is>
      </c>
      <c r="AC518" s="288" t="n"/>
      <c r="AD518" s="288" t="n"/>
      <c r="AE518" s="288" t="n"/>
      <c r="AF518" s="288" t="n"/>
      <c r="AG518" s="184" t="inlineStr">
        <is>
          <t>Tahunan</t>
        </is>
      </c>
      <c r="AH518" s="284" t="n"/>
      <c r="AI518" s="284" t="n"/>
      <c r="AJ518" s="284" t="n"/>
      <c r="AK518" s="284" t="n"/>
      <c r="AL518" s="284" t="n"/>
      <c r="AM518" s="284" t="n"/>
      <c r="AN518" s="284" t="n"/>
      <c r="AO518" s="284" t="n"/>
      <c r="AP518" s="284" t="n"/>
      <c r="AQ518" s="284" t="n"/>
      <c r="AR518" s="284" t="n"/>
      <c r="AS518" s="284" t="n"/>
    </row>
    <row r="519">
      <c r="A519" s="182" t="n">
        <v>20</v>
      </c>
      <c r="B519" s="184" t="inlineStr">
        <is>
          <t>Layanan monitoring dan evaluasi</t>
        </is>
      </c>
      <c r="C519" t="inlineStr">
        <is>
          <t>RSUD BEDAS TEGALLUAR</t>
        </is>
      </c>
      <c r="D519" s="184" t="inlineStr">
        <is>
          <t>Tujuan utama dari aplikasi ini adalah untuk memberikan fleksibilitas kepada administrator dalam melakukan koreksi atau penambahan data secara cepat guna mendukung pengambilan keputusan oleh pimpinan berdasarkan data yang terkini (real-time). dengan salah satu fungsinya yaitu Menghasilkan rekapitulasi laporan sederhana berdasarkan tema tertentu untuk mempermudah proses evaluasi kinerja oleh pimpinan daerah.</t>
        </is>
      </c>
      <c r="E519" s="184" t="inlineStr">
        <is>
          <t>Permendagri Nomor 86 Tahun 2017: Peraturan menteri ini merupakan dasar utama tentang Tata Cara Perencanaan, Pengendalian, dan Evaluasi Pembangunan Daerah</t>
        </is>
      </c>
      <c r="F519" s="288" t="n"/>
      <c r="G519" s="184" t="inlineStr">
        <is>
          <t>MONITORING DAN EVALUASI ANGGARAN</t>
        </is>
      </c>
      <c r="H519" s="184" t="inlineStr">
        <is>
          <t>Instansi Pemerintah Lainnya</t>
        </is>
      </c>
      <c r="I519" s="184" t="inlineStr">
        <is>
          <t>Data Perencanaan pada Renja &amp; RKPD (Target Kinerja, Pagu Anggaran, Indikator Kinerja), Data Realisasi (Fisik &amp; Keuangan), Data Realisasi Keuangan, Realisasi Fisik, Tagging ProgramData SPM dan Indikator lainnya, Rincian Dana Alokasi Khusus -Pusat, Kendala dan Permasalahan, Faktor Penghambat dan Pendorong, Tindak Lanjut</t>
        </is>
      </c>
      <c r="J519" s="184" t="inlineStr">
        <is>
          <t>Laporan Evaluasi RKPD, Rekapitulasi Capaian Kinerja Perangkat Daerah</t>
        </is>
      </c>
      <c r="K519" s="184" t="inlineStr">
        <is>
          <t>Terbuka</t>
        </is>
      </c>
      <c r="L519" s="184" t="inlineStr">
        <is>
          <t>Tidak terdapat</t>
        </is>
      </c>
      <c r="M519" s="184" t="inlineStr">
        <is>
          <t>Bulanan</t>
        </is>
      </c>
      <c r="N519" s="184" t="inlineStr">
        <is>
          <t>Sidalmonep</t>
        </is>
      </c>
      <c r="O519" s="184" t="inlineStr">
        <is>
          <t>OPD</t>
        </is>
      </c>
      <c r="P519" s="184" t="inlineStr">
        <is>
          <t>Kab. Bandung</t>
        </is>
      </c>
      <c r="Q519" s="184" t="inlineStr">
        <is>
          <t>Website</t>
        </is>
      </c>
      <c r="R519" s="131" t="inlineStr">
        <is>
          <t>https://sidalmonep.bandungkab.go.id/app</t>
        </is>
      </c>
      <c r="S519" s="184" t="inlineStr">
        <is>
          <t>Secara Online</t>
        </is>
      </c>
      <c r="T519" s="184" t="inlineStr">
        <is>
          <t>Informasi</t>
        </is>
      </c>
      <c r="U519" s="288" t="n"/>
      <c r="V519" s="184" t="inlineStr">
        <is>
          <t>Aktif</t>
        </is>
      </c>
      <c r="W519" s="184" t="inlineStr">
        <is>
          <t>Ya</t>
        </is>
      </c>
      <c r="X519" s="184" t="inlineStr">
        <is>
          <t>e-lkpj</t>
        </is>
      </c>
      <c r="Y519" s="288" t="n"/>
      <c r="Z519" s="288" t="n"/>
      <c r="AA519" s="184" t="inlineStr">
        <is>
          <t>Bagian Perencanaan dan Kehumasan</t>
        </is>
      </c>
      <c r="AB519" s="184" t="inlineStr">
        <is>
          <t>Bapperida</t>
        </is>
      </c>
      <c r="AC519" s="288" t="n"/>
      <c r="AD519" s="288" t="n"/>
      <c r="AE519" s="288" t="n"/>
      <c r="AF519" s="288" t="n"/>
      <c r="AG519" s="184" t="inlineStr">
        <is>
          <t>Bulanan</t>
        </is>
      </c>
      <c r="AH519" s="284" t="n"/>
      <c r="AI519" s="284" t="n"/>
      <c r="AJ519" s="284" t="n"/>
      <c r="AK519" s="284" t="n"/>
      <c r="AL519" s="284" t="n"/>
      <c r="AM519" s="284" t="n"/>
      <c r="AN519" s="284" t="n"/>
      <c r="AO519" s="284" t="n"/>
      <c r="AP519" s="284" t="n"/>
      <c r="AQ519" s="284" t="n"/>
      <c r="AR519" s="284" t="n"/>
      <c r="AS519" s="284" t="n"/>
    </row>
    <row r="520">
      <c r="A520" s="182" t="n">
        <v>21</v>
      </c>
      <c r="B520" s="184" t="inlineStr">
        <is>
          <t>Layanan survey kepuasan masyarakat</t>
        </is>
      </c>
      <c r="C520" t="inlineStr">
        <is>
          <t>RSUD BEDAS TEGALLUAR</t>
        </is>
      </c>
      <c r="D520" s="17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E520" s="184" t="inlineStr">
        <is>
          <t>-Peraturan Pemerintah Nomor 96 Tahun 2012 tentang Pelaksanaan Undang-undang Nomor 25 Tahun 2009 tentang Pelayanan Publik
 -Peraturan Menteri PANRB No. 14 Tahun 2017 tentang Pedoman Penyusunan Survei Kepuasan Masyarakat (SKM)</t>
        </is>
      </c>
      <c r="F520" s="288" t="n"/>
      <c r="G520" s="184" t="inlineStr">
        <is>
          <t>INFORMASI DAN DIPLOMASI PUBLIK</t>
        </is>
      </c>
      <c r="H520" s="184" t="inlineStr">
        <is>
          <t>Masyarakat</t>
        </is>
      </c>
      <c r="I520" s="184" t="inlineStr">
        <is>
          <t>Hasil Responden Survey Kepuasan Masyarakat (SKM)</t>
        </is>
      </c>
      <c r="J520" s="178" t="inlineStr">
        <is>
          <t>Laporan dan Hasil rekapan SKM</t>
        </is>
      </c>
      <c r="K520" s="184" t="inlineStr">
        <is>
          <t>Terbuka</t>
        </is>
      </c>
      <c r="L520" s="184" t="inlineStr">
        <is>
          <t>Terdapat</t>
        </is>
      </c>
      <c r="M520" s="184" t="inlineStr">
        <is>
          <t>Bulanan</t>
        </is>
      </c>
      <c r="N520" s="184" t="inlineStr">
        <is>
          <t>E-SKM</t>
        </is>
      </c>
      <c r="O520" s="184" t="inlineStr">
        <is>
          <t>OPD</t>
        </is>
      </c>
      <c r="P520" s="184" t="inlineStr">
        <is>
          <t>Kab. Bandung</t>
        </is>
      </c>
      <c r="Q520" s="184" t="inlineStr">
        <is>
          <t>Website</t>
        </is>
      </c>
      <c r="R520" s="131" t="inlineStr">
        <is>
          <t>https://skm.bandungkab.go.id/</t>
        </is>
      </c>
      <c r="S520" s="184" t="inlineStr">
        <is>
          <t>Secara Online</t>
        </is>
      </c>
      <c r="T520" s="184" t="inlineStr">
        <is>
          <t>Informasi</t>
        </is>
      </c>
      <c r="U520" s="288" t="n"/>
      <c r="V520" s="184" t="inlineStr">
        <is>
          <t>Aktif</t>
        </is>
      </c>
      <c r="W520" s="184" t="inlineStr">
        <is>
          <t>Tidak</t>
        </is>
      </c>
      <c r="X520" s="184" t="inlineStr">
        <is>
          <t>Tidak Terintegrasi</t>
        </is>
      </c>
      <c r="Y520" s="184" t="inlineStr">
        <is>
          <t>Tidak Terintegrasi</t>
        </is>
      </c>
      <c r="Z520" s="184" t="inlineStr">
        <is>
          <t>Tidak Terintegrasi</t>
        </is>
      </c>
      <c r="AA520" s="184" t="inlineStr">
        <is>
          <t>Bagian Perencanaan dan Kehumasan</t>
        </is>
      </c>
      <c r="AB520" s="184" t="inlineStr">
        <is>
          <t>Setda</t>
        </is>
      </c>
      <c r="AC520" s="288" t="n"/>
      <c r="AD520" s="288" t="n"/>
      <c r="AE520" s="288" t="n"/>
      <c r="AF520" s="288" t="n"/>
      <c r="AG520" s="184" t="inlineStr">
        <is>
          <t>Bulanan</t>
        </is>
      </c>
      <c r="AH520" s="284" t="n"/>
      <c r="AI520" s="284" t="n"/>
      <c r="AJ520" s="284" t="n"/>
      <c r="AK520" s="284" t="n"/>
      <c r="AL520" s="284" t="n"/>
      <c r="AM520" s="284" t="n"/>
      <c r="AN520" s="284" t="n"/>
      <c r="AO520" s="284" t="n"/>
      <c r="AP520" s="284" t="n"/>
      <c r="AQ520" s="284" t="n"/>
      <c r="AR520" s="284" t="n"/>
      <c r="AS520" s="284" t="n"/>
    </row>
    <row r="521">
      <c r="A521" s="182" t="n">
        <v>22</v>
      </c>
      <c r="B521" s="184" t="inlineStr">
        <is>
          <t>Layanan Pengaduan Masyarakat</t>
        </is>
      </c>
      <c r="C521" t="inlineStr">
        <is>
          <t>RSUD BEDAS TEGALLUAR</t>
        </is>
      </c>
      <c r="D521" s="178" t="inlineStr">
        <is>
          <t>layanan pengaduan daring nasional untuk meningkatkan kualitas pelayanan publik agar lebih transparan, cepat, dan akuntabel. Fungsinya menampung aspirasi, keluhan, dan permintaan informasi masyarakat terkait kinerja pemerintah, memantau tindak lanjut secara real-time, serta memastikan penyelesaian masalah melalui satu pintu</t>
        </is>
      </c>
      <c r="E521" s="184" t="inlineStr">
        <is>
          <t>-Undang-Undang Nomor 25 Tahun 2009 tentang Pelayanan Publik
 -Peraturan Presiden Nomor 76 Tahun 2013 tentang Pengelolaan Pengaduan Pelayanan Publik, dan 
 -Peraturan Menteri PANRB Nomor 3 Tahun 2015</t>
        </is>
      </c>
      <c r="F521" s="288" t="n"/>
      <c r="G521" s="184" t="inlineStr">
        <is>
          <t>INFORMASI DAN DIPLOMASI PUBLIK</t>
        </is>
      </c>
      <c r="H521" s="184" t="inlineStr">
        <is>
          <t>Masyarakat</t>
        </is>
      </c>
      <c r="I521" s="184" t="inlineStr">
        <is>
          <t>Laporan Pengaduan yang telah di disposisikan dari pemda ke OPD</t>
        </is>
      </c>
      <c r="J521" s="178" t="inlineStr">
        <is>
          <t>Pengaduan yang telah di tindak lanjut</t>
        </is>
      </c>
      <c r="K521" s="184" t="inlineStr">
        <is>
          <t>Terbatas</t>
        </is>
      </c>
      <c r="L521" s="184" t="inlineStr">
        <is>
          <t>Terdapat</t>
        </is>
      </c>
      <c r="M521" s="184" t="inlineStr">
        <is>
          <t>Lainnya</t>
        </is>
      </c>
      <c r="N521" s="184" t="inlineStr">
        <is>
          <t>SP4N LAPOR</t>
        </is>
      </c>
      <c r="O521" s="184" t="inlineStr">
        <is>
          <t>Pusat</t>
        </is>
      </c>
      <c r="P521" s="184" t="inlineStr">
        <is>
          <t>Pusat</t>
        </is>
      </c>
      <c r="Q521" s="184" t="inlineStr">
        <is>
          <t>Website</t>
        </is>
      </c>
      <c r="R521" s="131" t="inlineStr">
        <is>
          <t>https://www.lapor.go.id/</t>
        </is>
      </c>
      <c r="S521" s="184" t="inlineStr">
        <is>
          <t>Secara Online</t>
        </is>
      </c>
      <c r="T521" s="184" t="inlineStr">
        <is>
          <t>Informasi</t>
        </is>
      </c>
      <c r="U521" s="288" t="n"/>
      <c r="V521" s="184" t="inlineStr">
        <is>
          <t>Aktif</t>
        </is>
      </c>
      <c r="W521" s="184" t="inlineStr">
        <is>
          <t>Tidak</t>
        </is>
      </c>
      <c r="X521" s="184" t="inlineStr">
        <is>
          <t>Tidak Terintegrasi</t>
        </is>
      </c>
      <c r="Y521" s="184" t="inlineStr">
        <is>
          <t>Tidak Terintegrasi</t>
        </is>
      </c>
      <c r="Z521" s="184" t="inlineStr">
        <is>
          <t>Tidak Terintegrasi</t>
        </is>
      </c>
      <c r="AA521" s="184" t="inlineStr">
        <is>
          <t>Bagian Perencanaan dan Kehumasan</t>
        </is>
      </c>
      <c r="AB521" s="184" t="inlineStr">
        <is>
          <t>Diskominfo</t>
        </is>
      </c>
      <c r="AC521" s="288" t="n"/>
      <c r="AD521" s="288" t="n"/>
      <c r="AE521" s="288" t="n"/>
      <c r="AF521" s="288" t="n"/>
      <c r="AG521" s="184" t="inlineStr">
        <is>
          <t>Insidentil</t>
        </is>
      </c>
      <c r="AH521" s="284" t="n"/>
      <c r="AI521" s="284" t="n"/>
      <c r="AJ521" s="284" t="n"/>
      <c r="AK521" s="284" t="n"/>
      <c r="AL521" s="284" t="n"/>
      <c r="AM521" s="284" t="n"/>
      <c r="AN521" s="284" t="n"/>
      <c r="AO521" s="284" t="n"/>
      <c r="AP521" s="284" t="n"/>
      <c r="AQ521" s="284" t="n"/>
      <c r="AR521" s="284" t="n"/>
      <c r="AS521" s="284" t="n"/>
    </row>
    <row r="522">
      <c r="A522" s="182" t="n">
        <v>23</v>
      </c>
      <c r="B522" s="184" t="inlineStr">
        <is>
          <t>Layanan informasi perangkat daerah</t>
        </is>
      </c>
      <c r="C522" t="inlineStr">
        <is>
          <t>RSUD BEDAS TEGALLUAR</t>
        </is>
      </c>
      <c r="D522" s="178" t="inlineStr">
        <is>
          <t>menjamin hak warga negara atas informasi, mendorong transparansi, akuntabilitas, dan partisipasi publik di badan publik. Fungsinya meliputi pengelolaan, penyimpanan, pendokumentasian, serta penyediaan layanan informasi yang cepat, tepat, dan sederhana</t>
        </is>
      </c>
      <c r="E522" s="184" t="inlineStr">
        <is>
          <t>Undang-Undang Nomor 14 Tahun 2008 tentang Keterbukaan Informasi Publik (UU KIP)</t>
        </is>
      </c>
      <c r="F522" s="288" t="n"/>
      <c r="G522" s="184" t="inlineStr">
        <is>
          <t>INFORMASI DAN DIPLOMASI PUBLIK</t>
        </is>
      </c>
      <c r="H522" s="184" t="inlineStr">
        <is>
          <t>Masyarakat</t>
        </is>
      </c>
      <c r="I522" s="184" t="inlineStr">
        <is>
          <t>Informasi Keseluruhan pelayanan publik</t>
        </is>
      </c>
      <c r="J522" s="178" t="inlineStr">
        <is>
          <t>dokumen organisasi, anggaran, laporan tahunan, serta perizinan</t>
        </is>
      </c>
      <c r="K522" s="184" t="inlineStr">
        <is>
          <t>Terbuka</t>
        </is>
      </c>
      <c r="L522" s="184" t="inlineStr">
        <is>
          <t>Tidak terdapat</t>
        </is>
      </c>
      <c r="M522" s="184" t="inlineStr">
        <is>
          <t>Lainnya</t>
        </is>
      </c>
      <c r="N522" s="184" t="inlineStr">
        <is>
          <t>PPID</t>
        </is>
      </c>
      <c r="O522" s="184" t="inlineStr">
        <is>
          <t>Diskominfo</t>
        </is>
      </c>
      <c r="P522" s="184" t="inlineStr">
        <is>
          <t>Kab. Bandung</t>
        </is>
      </c>
      <c r="Q522" s="184" t="inlineStr">
        <is>
          <t>Website</t>
        </is>
      </c>
      <c r="R522" s="131" t="inlineStr">
        <is>
          <t>https://ppid.bandungkab.go.id/dashboard</t>
        </is>
      </c>
      <c r="S522" s="184" t="inlineStr">
        <is>
          <t>Secara Online</t>
        </is>
      </c>
      <c r="T522" s="184" t="inlineStr">
        <is>
          <t>Informasi</t>
        </is>
      </c>
      <c r="U522" s="288" t="n"/>
      <c r="V522" s="184" t="inlineStr">
        <is>
          <t>Aktif</t>
        </is>
      </c>
      <c r="W522" s="184" t="inlineStr">
        <is>
          <t>Tidak</t>
        </is>
      </c>
      <c r="X522" s="184" t="inlineStr">
        <is>
          <t>Tidak Terintegrasi</t>
        </is>
      </c>
      <c r="Y522" s="184" t="inlineStr">
        <is>
          <t>Tidak Terintegrasi</t>
        </is>
      </c>
      <c r="Z522" s="184" t="inlineStr">
        <is>
          <t>Tidak Terintegrasi</t>
        </is>
      </c>
      <c r="AA522" s="184" t="inlineStr">
        <is>
          <t>Bagian Perencanaan dan Kehumasan</t>
        </is>
      </c>
      <c r="AB522" s="184" t="inlineStr">
        <is>
          <t>Diskominfo</t>
        </is>
      </c>
      <c r="AC522" s="288" t="n"/>
      <c r="AD522" s="288" t="n"/>
      <c r="AE522" s="288" t="n"/>
      <c r="AF522" s="288" t="n"/>
      <c r="AG522" s="184" t="inlineStr">
        <is>
          <t>Insidentil</t>
        </is>
      </c>
      <c r="AH522" s="284" t="n"/>
      <c r="AI522" s="284" t="n"/>
      <c r="AJ522" s="284" t="n"/>
      <c r="AK522" s="284" t="n"/>
      <c r="AL522" s="284" t="n"/>
      <c r="AM522" s="284" t="n"/>
      <c r="AN522" s="284" t="n"/>
      <c r="AO522" s="284" t="n"/>
      <c r="AP522" s="284" t="n"/>
      <c r="AQ522" s="284" t="n"/>
      <c r="AR522" s="284" t="n"/>
      <c r="AS522" s="284" t="n"/>
    </row>
    <row r="523">
      <c r="A523" s="182" t="n">
        <v>24</v>
      </c>
      <c r="B523" s="184" t="inlineStr">
        <is>
          <t>Layanan informasi mutu fasilitas layanan kesehatan</t>
        </is>
      </c>
      <c r="C523" t="inlineStr">
        <is>
          <t>RSUD BEDAS TEGALLUAR</t>
        </is>
      </c>
      <c r="D523" s="178" t="inlineStr">
        <is>
          <t>untuk mengumpulkan dan memantau data kualitas pelayanan kesehatan secara terintegrasi, sehingga dapat digunakan untuk evaluasi, peningkatan mutu, dan pengambilan kebijakan di bidang kesehatan.</t>
        </is>
      </c>
      <c r="E523"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F523" s="288" t="n"/>
      <c r="G523" s="184" t="inlineStr">
        <is>
          <t>PENGELOLAAN PELAYANAN KESEHATAN</t>
        </is>
      </c>
      <c r="H523" s="184" t="inlineStr">
        <is>
          <t>Instansi Pemerintah Lainnya</t>
        </is>
      </c>
      <c r="I523" s="178" t="inlineStr">
        <is>
          <t>1. Indikator Mutu Nasional 
 2. Pelaporan HAIS
 3. Pelaporan Insiden Keselamatan Pasien</t>
        </is>
      </c>
      <c r="J523" s="178" t="inlineStr">
        <is>
          <t>Data Monitoring dan Evaluasi</t>
        </is>
      </c>
      <c r="K523" s="184" t="inlineStr">
        <is>
          <t>Terbatas</t>
        </is>
      </c>
      <c r="L523" s="184" t="inlineStr">
        <is>
          <t>Tidak terdapat</t>
        </is>
      </c>
      <c r="M523" s="184" t="inlineStr">
        <is>
          <t>Bulanan</t>
        </is>
      </c>
      <c r="N523" s="184" t="inlineStr">
        <is>
          <t>MUTU FASYANKES</t>
        </is>
      </c>
      <c r="O523" s="184" t="inlineStr">
        <is>
          <t>Pusat</t>
        </is>
      </c>
      <c r="P523" s="184" t="inlineStr">
        <is>
          <t>Pusat</t>
        </is>
      </c>
      <c r="Q523" s="184" t="inlineStr">
        <is>
          <t>Website</t>
        </is>
      </c>
      <c r="R523" s="223" t="inlineStr">
        <is>
          <t>https://mutufasyankes.kemkes.go.id/</t>
        </is>
      </c>
      <c r="S523" s="184" t="inlineStr">
        <is>
          <t>Secara Online</t>
        </is>
      </c>
      <c r="T523" s="184" t="inlineStr">
        <is>
          <t>Informasi</t>
        </is>
      </c>
      <c r="U523" s="77" t="n">
        <v>2022</v>
      </c>
      <c r="V523" s="184" t="inlineStr">
        <is>
          <t>Aktif</t>
        </is>
      </c>
      <c r="W523" s="67" t="inlineStr">
        <is>
          <t>Tidak</t>
        </is>
      </c>
      <c r="X523" s="67" t="inlineStr">
        <is>
          <t>Tidak Terintegrasi</t>
        </is>
      </c>
      <c r="Y523" s="67" t="inlineStr">
        <is>
          <t>Tidak Terintegrasi</t>
        </is>
      </c>
      <c r="Z523" s="67" t="inlineStr">
        <is>
          <t>Bulanan</t>
        </is>
      </c>
      <c r="AA523" s="184" t="inlineStr">
        <is>
          <t>Komite Mutu</t>
        </is>
      </c>
      <c r="AB523" s="184" t="inlineStr">
        <is>
          <t>Dinkes</t>
        </is>
      </c>
      <c r="AC523" s="288" t="n"/>
      <c r="AD523" s="288" t="n"/>
      <c r="AE523" s="288" t="n"/>
      <c r="AF523" s="288" t="n"/>
      <c r="AG523" s="184" t="inlineStr">
        <is>
          <t>Bulanan</t>
        </is>
      </c>
      <c r="AH523" s="284" t="n"/>
      <c r="AI523" s="284" t="n"/>
      <c r="AJ523" s="284" t="n"/>
      <c r="AK523" s="284" t="n"/>
      <c r="AL523" s="284" t="n"/>
      <c r="AM523" s="284" t="n"/>
      <c r="AN523" s="284" t="n"/>
      <c r="AO523" s="284" t="n"/>
      <c r="AP523" s="284" t="n"/>
      <c r="AQ523" s="284" t="n"/>
      <c r="AR523" s="284" t="n"/>
      <c r="AS523" s="284" t="n"/>
    </row>
    <row r="524">
      <c r="A524" s="182" t="n">
        <v>25</v>
      </c>
      <c r="B524" s="184" t="inlineStr">
        <is>
          <t>Layanan manajemen data fasilitas kesehatan</t>
        </is>
      </c>
      <c r="C524" t="inlineStr">
        <is>
          <t>RSUD BEDAS TEGALLUAR</t>
        </is>
      </c>
      <c r="D524" s="67" t="inlineStr">
        <is>
          <t>database dan sistem manajemen data fasilitas kesehatan yang bekerja sama dengan BPJS Kesehatan untuk mendukung pelayanan peserta BPJS</t>
        </is>
      </c>
      <c r="E524"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F524" s="288" t="n"/>
      <c r="G524" s="184" t="inlineStr">
        <is>
          <t>PENGELOLAAN PELAYANAN KESEHATAN</t>
        </is>
      </c>
      <c r="H524" s="184" t="inlineStr">
        <is>
          <t>Instansi Pemerintah Lainnya</t>
        </is>
      </c>
      <c r="I524" s="178" t="inlineStr">
        <is>
          <t>1. Data Identitas Fasilitas Kesehatan
 2. Data Perizinan dan Legalitas
 3. Data Tenaga Kesehatan
 4. Data Sarana dan Prasarana
 5. Data Jenis Layanan Kesehatan
 6. Data Kapasitas Pelayanan
 7. Data Kerja Sama dengan BPJS
 8. Dokumen Pendukung</t>
        </is>
      </c>
      <c r="J524" s="178" t="inlineStr">
        <is>
          <t>1. Profil Fasilitas Kesehatan
 2. Data Sebaran Fasilitas Kesehatan
 3. Data Tenaga Kesehatan
 4. Data Sarana dan Prasarana
 5. Data Jenis dan Kapasitas Layanan
 6. Status dan Riwayat Kerja Sama
 7. Laporan dan Monitoring Fasilitas Kesehatan</t>
        </is>
      </c>
      <c r="K524" s="184" t="inlineStr">
        <is>
          <t>Terbatas</t>
        </is>
      </c>
      <c r="L524" s="184" t="inlineStr">
        <is>
          <t>Terdapat</t>
        </is>
      </c>
      <c r="M524" s="184" t="inlineStr">
        <is>
          <t>Lainnya</t>
        </is>
      </c>
      <c r="N524" s="184" t="inlineStr">
        <is>
          <t>HFIS BPJS</t>
        </is>
      </c>
      <c r="O524" s="184" t="inlineStr">
        <is>
          <t>Pusat</t>
        </is>
      </c>
      <c r="P524" s="184" t="inlineStr">
        <is>
          <t>Pusat</t>
        </is>
      </c>
      <c r="Q524" s="184" t="inlineStr">
        <is>
          <t>Website</t>
        </is>
      </c>
      <c r="R524" s="223" t="inlineStr">
        <is>
          <t>:Health Facilities Information System (H.F.I.S):</t>
        </is>
      </c>
      <c r="S524" s="184" t="inlineStr">
        <is>
          <t>Secara Online</t>
        </is>
      </c>
      <c r="T524" s="184" t="inlineStr">
        <is>
          <t>Informasi</t>
        </is>
      </c>
      <c r="U524" s="288" t="n"/>
      <c r="V524" s="184" t="inlineStr">
        <is>
          <t>Aktif</t>
        </is>
      </c>
      <c r="W524" s="184" t="inlineStr">
        <is>
          <t>Ya</t>
        </is>
      </c>
      <c r="X524" s="184" t="inlineStr">
        <is>
          <t>Mobile JKN</t>
        </is>
      </c>
      <c r="Y524" s="184" t="inlineStr">
        <is>
          <t>Database to Database</t>
        </is>
      </c>
      <c r="Z524" s="184" t="inlineStr">
        <is>
          <t>Realtime</t>
        </is>
      </c>
      <c r="AA524" s="184" t="inlineStr">
        <is>
          <t>Bidang Pelayanan Medik</t>
        </is>
      </c>
      <c r="AB524" s="184" t="inlineStr">
        <is>
          <t>Dinkes</t>
        </is>
      </c>
      <c r="AC524" s="288" t="n"/>
      <c r="AD524" s="288" t="n"/>
      <c r="AE524" s="288" t="n"/>
      <c r="AF524" s="288" t="n"/>
      <c r="AG524" s="184" t="inlineStr">
        <is>
          <t>Insidentil</t>
        </is>
      </c>
      <c r="AH524" s="284" t="n"/>
      <c r="AI524" s="284" t="n"/>
      <c r="AJ524" s="284" t="n"/>
      <c r="AK524" s="284" t="n"/>
      <c r="AL524" s="284" t="n"/>
      <c r="AM524" s="284" t="n"/>
      <c r="AN524" s="284" t="n"/>
      <c r="AO524" s="284" t="n"/>
      <c r="AP524" s="284" t="n"/>
      <c r="AQ524" s="284" t="n"/>
      <c r="AR524" s="284" t="n"/>
      <c r="AS524" s="284" t="n"/>
    </row>
    <row r="525">
      <c r="A525" s="182" t="n">
        <v>26</v>
      </c>
      <c r="B525" s="178" t="inlineStr">
        <is>
          <t>Layanan manajemen data sarana prasarana alat kesehatan</t>
        </is>
      </c>
      <c r="C525" t="inlineStr">
        <is>
          <t>RSUD BEDAS TEGALLUAR</t>
        </is>
      </c>
      <c r="D525" s="201" t="inlineStr">
        <is>
          <t>sistem informasi berbasis web dari Kementerian Kesehatan untuk menghimpun data sarana, prasarana, dan alat kesehatan (SPA) di fasyankes</t>
        </is>
      </c>
      <c r="E525" s="225" t="inlineStr">
        <is>
          <t>Permenkes No. 31 Tahun 2018: Mengatur kewajiban pengisian, validasi, dan update data ASPAK oleh Fasyankes, Dinas Kesehatan Kabupaten/Kota, dan Dinas Kesehatan Provinsi</t>
        </is>
      </c>
      <c r="F525" s="288" t="n"/>
      <c r="G525" s="67" t="inlineStr">
        <is>
          <t>PENGELOLAAN PELAYANAN KESEHATAN</t>
        </is>
      </c>
      <c r="H525" s="184" t="inlineStr">
        <is>
          <t>Instansi Pemerintah Lainnya</t>
        </is>
      </c>
      <c r="I525" s="184" t="inlineStr">
        <is>
          <t>data sarana, prasarana, dan alat kesehatan (SPA) di fasyankes</t>
        </is>
      </c>
      <c r="J525" s="184" t="inlineStr">
        <is>
          <t>data sarana, prasarana, dan alat kesehatan (SPA) di fasyankes</t>
        </is>
      </c>
      <c r="K525" s="184" t="inlineStr">
        <is>
          <t>Tertutup</t>
        </is>
      </c>
      <c r="L525" s="184" t="inlineStr">
        <is>
          <t>Tidak terdapat</t>
        </is>
      </c>
      <c r="M525" s="184" t="inlineStr">
        <is>
          <t>Harian</t>
        </is>
      </c>
      <c r="N525" s="184" t="inlineStr">
        <is>
          <t>ASPAK</t>
        </is>
      </c>
      <c r="O525" s="184" t="inlineStr">
        <is>
          <t>Pusat</t>
        </is>
      </c>
      <c r="P525" s="184" t="inlineStr">
        <is>
          <t>Pusat</t>
        </is>
      </c>
      <c r="Q525" s="184" t="inlineStr">
        <is>
          <t>Website</t>
        </is>
      </c>
      <c r="R525" s="131" t="inlineStr">
        <is>
          <t>https://aspak.kemkes.go.id/aplikasi/site/index</t>
        </is>
      </c>
      <c r="S525" s="184" t="inlineStr">
        <is>
          <t>Secara Online</t>
        </is>
      </c>
      <c r="T525" s="184" t="inlineStr">
        <is>
          <t>Informasi</t>
        </is>
      </c>
      <c r="U525" s="184" t="n">
        <v>2018</v>
      </c>
      <c r="V525" s="184" t="inlineStr">
        <is>
          <t>Aktif</t>
        </is>
      </c>
      <c r="W525" s="67" t="inlineStr">
        <is>
          <t>Tidak</t>
        </is>
      </c>
      <c r="X525" s="184" t="inlineStr">
        <is>
          <t>tidak terintegrasi'</t>
        </is>
      </c>
      <c r="Y525" s="67" t="inlineStr">
        <is>
          <t>Tidak Terintegrasi</t>
        </is>
      </c>
      <c r="Z525" s="184" t="inlineStr">
        <is>
          <t>Tidak Terintegrasi</t>
        </is>
      </c>
      <c r="AA525" s="68" t="inlineStr">
        <is>
          <t>Bidang Pelayanan Medik</t>
        </is>
      </c>
      <c r="AB525" s="184" t="inlineStr">
        <is>
          <t>Dinkes</t>
        </is>
      </c>
      <c r="AC525" s="288" t="n"/>
      <c r="AD525" s="288" t="n"/>
      <c r="AE525" s="288" t="n"/>
      <c r="AF525" s="288" t="n"/>
      <c r="AG525" s="68" t="inlineStr">
        <is>
          <t>Insidentil</t>
        </is>
      </c>
      <c r="AH525" s="284" t="n"/>
      <c r="AI525" s="284" t="n"/>
      <c r="AJ525" s="284" t="n"/>
      <c r="AK525" s="284" t="n"/>
      <c r="AL525" s="284" t="n"/>
      <c r="AM525" s="284" t="n"/>
      <c r="AN525" s="284" t="n"/>
      <c r="AO525" s="284" t="n"/>
      <c r="AP525" s="284" t="n"/>
      <c r="AQ525" s="284" t="n"/>
      <c r="AR525" s="284" t="n"/>
      <c r="AS525" s="284" t="n"/>
    </row>
    <row r="526">
      <c r="A526" s="71" t="inlineStr">
        <is>
          <t>RSUD BEDAS PACIRA</t>
        </is>
      </c>
      <c r="B526" s="58" t="n"/>
      <c r="D526" s="58" t="n"/>
      <c r="E526" s="58" t="n"/>
      <c r="F526" s="58" t="n"/>
      <c r="G526" s="58" t="n"/>
      <c r="H526" s="58" t="n"/>
      <c r="I526" s="58" t="n"/>
      <c r="J526" s="58" t="n"/>
      <c r="K526" s="58" t="n"/>
      <c r="L526" s="58" t="n"/>
      <c r="M526" s="58" t="n"/>
      <c r="N526" s="58" t="n"/>
      <c r="O526" s="58" t="n"/>
      <c r="P526" s="58" t="n"/>
      <c r="Q526" s="58" t="n"/>
      <c r="R526" s="58" t="n"/>
      <c r="S526" s="58" t="n"/>
      <c r="T526" s="58" t="n"/>
      <c r="U526" s="58" t="n"/>
      <c r="V526" s="58" t="n"/>
      <c r="W526" s="58" t="n"/>
      <c r="X526" s="58" t="n"/>
      <c r="Y526" s="58" t="n"/>
      <c r="Z526" s="58" t="n"/>
      <c r="AA526" s="58" t="n"/>
      <c r="AB526" s="58" t="n"/>
      <c r="AC526" s="58" t="n"/>
      <c r="AD526" s="58" t="n"/>
      <c r="AE526" s="58" t="n"/>
      <c r="AF526" s="200" t="n"/>
      <c r="AG526" s="200" t="n"/>
      <c r="AH526" s="284" t="n"/>
      <c r="AI526" s="284" t="n"/>
      <c r="AJ526" s="284" t="n"/>
      <c r="AK526" s="284" t="n"/>
      <c r="AL526" s="284" t="n"/>
      <c r="AM526" s="284" t="n"/>
      <c r="AN526" s="284" t="n"/>
      <c r="AO526" s="284" t="n"/>
      <c r="AP526" s="284" t="n"/>
      <c r="AQ526" s="284" t="n"/>
      <c r="AR526" s="284" t="n"/>
      <c r="AS526" s="284" t="n"/>
    </row>
    <row r="527">
      <c r="A527" s="182" t="n">
        <v>1</v>
      </c>
      <c r="B527" s="178" t="inlineStr">
        <is>
          <t>Layanan Kepegawaian</t>
        </is>
      </c>
      <c r="C527" t="inlineStr">
        <is>
          <t>RSUD BEDAS PACIRA</t>
        </is>
      </c>
      <c r="D527" s="288" t="n"/>
      <c r="E527" s="288" t="n"/>
      <c r="F527" s="288" t="n"/>
      <c r="G527" s="288" t="n"/>
      <c r="H527" s="288" t="n"/>
      <c r="I527" s="288" t="n"/>
      <c r="J527" s="288" t="n"/>
      <c r="K527" s="288" t="n"/>
      <c r="L527" s="288" t="n"/>
      <c r="M527" s="288" t="n"/>
      <c r="N527" s="184" t="inlineStr">
        <is>
          <t>Sasikap evo</t>
        </is>
      </c>
      <c r="O527" s="184" t="inlineStr">
        <is>
          <t>OPD</t>
        </is>
      </c>
      <c r="P527" s="184" t="inlineStr">
        <is>
          <t>Kab. Bandung</t>
        </is>
      </c>
      <c r="Q527" s="184" t="inlineStr">
        <is>
          <t>Website</t>
        </is>
      </c>
      <c r="R527" s="131" t="inlineStr">
        <is>
          <t>sasikapevo.com</t>
        </is>
      </c>
      <c r="S527" s="184" t="inlineStr">
        <is>
          <t>Secara Online</t>
        </is>
      </c>
      <c r="T527" s="184" t="inlineStr">
        <is>
          <t>Transaksi</t>
        </is>
      </c>
      <c r="U527" s="184" t="inlineStr">
        <is>
          <t>-</t>
        </is>
      </c>
      <c r="V527" s="184" t="inlineStr">
        <is>
          <t>Aktif</t>
        </is>
      </c>
      <c r="W527" s="184" t="inlineStr">
        <is>
          <t>Ya</t>
        </is>
      </c>
      <c r="X527" s="184" t="inlineStr">
        <is>
          <t>Ya</t>
        </is>
      </c>
      <c r="Y527" s="184" t="inlineStr">
        <is>
          <t>API</t>
        </is>
      </c>
      <c r="Z527" s="184" t="inlineStr">
        <is>
          <t>Harian</t>
        </is>
      </c>
      <c r="AA527" s="184" t="inlineStr">
        <is>
          <t>-</t>
        </is>
      </c>
      <c r="AB527" s="184" t="inlineStr">
        <is>
          <t>BKPSDM</t>
        </is>
      </c>
      <c r="AC527" s="288" t="n"/>
      <c r="AD527" s="288" t="n"/>
      <c r="AE527" s="288" t="n"/>
      <c r="AF527" s="288" t="n"/>
      <c r="AG527" s="68" t="inlineStr">
        <is>
          <t>Setiap Saat</t>
        </is>
      </c>
      <c r="AH527" s="284" t="n"/>
      <c r="AI527" s="284" t="n"/>
      <c r="AJ527" s="284" t="n"/>
      <c r="AK527" s="284" t="n"/>
      <c r="AL527" s="284" t="n"/>
      <c r="AM527" s="284" t="n"/>
      <c r="AN527" s="284" t="n"/>
      <c r="AO527" s="284" t="n"/>
      <c r="AP527" s="284" t="n"/>
      <c r="AQ527" s="284" t="n"/>
      <c r="AR527" s="284" t="n"/>
      <c r="AS527" s="284" t="n"/>
    </row>
    <row r="528">
      <c r="A528" s="182" t="n">
        <v>2</v>
      </c>
      <c r="B528" s="178" t="inlineStr">
        <is>
          <t>Layanan Daftar Hadir elekto</t>
        </is>
      </c>
      <c r="C528" t="inlineStr">
        <is>
          <t>RSUD BEDAS PACIRA</t>
        </is>
      </c>
      <c r="D528" s="67" t="inlineStr">
        <is>
          <t>Untuk memudahkan pencatatan dan pengelolaan kehadiran secara digital sehingga lebih cepat, akurat, serta meningkatkan disiplin dan pengawasan terhadap kehadiran pegawai.</t>
        </is>
      </c>
      <c r="E528" s="67" t="inlineStr">
        <is>
          <t>Peraturan Bupati Bandung Nomor 108 Tahun 2019</t>
        </is>
      </c>
      <c r="F528" s="288" t="n"/>
      <c r="G528" s="184" t="inlineStr">
        <is>
          <t>PENINGKATAN KUALITAS PELAYANAN PUBLIK</t>
        </is>
      </c>
      <c r="H528" s="184" t="inlineStr">
        <is>
          <t>Pegawai</t>
        </is>
      </c>
      <c r="I528" s="184" t="inlineStr">
        <is>
          <t>Kehadiran</t>
        </is>
      </c>
      <c r="J528" s="184" t="inlineStr">
        <is>
          <t>Rekap kehadiran</t>
        </is>
      </c>
      <c r="K528" s="184" t="inlineStr">
        <is>
          <t>Rahasia</t>
        </is>
      </c>
      <c r="L528" s="184" t="inlineStr">
        <is>
          <t>Terdapat</t>
        </is>
      </c>
      <c r="M528" s="184" t="inlineStr">
        <is>
          <t>Bulanan</t>
        </is>
      </c>
      <c r="N528" s="67" t="inlineStr">
        <is>
          <t>DHE PHL</t>
        </is>
      </c>
      <c r="O528" s="184" t="inlineStr">
        <is>
          <t>Diskominfo</t>
        </is>
      </c>
      <c r="P528" s="184" t="inlineStr">
        <is>
          <t>Kab. Bandung</t>
        </is>
      </c>
      <c r="Q528" s="184" t="inlineStr">
        <is>
          <t>Website dan Mobile</t>
        </is>
      </c>
      <c r="R528" s="131" t="inlineStr">
        <is>
          <t>https://dhephl.bandungkab.go.id/</t>
        </is>
      </c>
      <c r="S528" s="184" t="inlineStr">
        <is>
          <t>Secara Online</t>
        </is>
      </c>
      <c r="T528" s="184" t="inlineStr">
        <is>
          <t>Informasi</t>
        </is>
      </c>
      <c r="U528" s="288" t="n"/>
      <c r="V528" s="184" t="inlineStr">
        <is>
          <t>Aktif</t>
        </is>
      </c>
      <c r="W528" s="184" t="inlineStr">
        <is>
          <t>Tidak</t>
        </is>
      </c>
      <c r="X528" s="288" t="n"/>
      <c r="Y528" s="184" t="inlineStr">
        <is>
          <t>Tidak Terintegrasi</t>
        </is>
      </c>
      <c r="Z528" s="184" t="inlineStr">
        <is>
          <t>Tidak Terintegrasi</t>
        </is>
      </c>
      <c r="AA528" s="288" t="n"/>
      <c r="AB528" s="184" t="inlineStr">
        <is>
          <t>Diskominfo</t>
        </is>
      </c>
      <c r="AC528" s="288" t="n"/>
      <c r="AD528" s="288" t="n"/>
      <c r="AE528" s="288" t="n"/>
      <c r="AF528" s="288" t="n"/>
      <c r="AG528" s="68" t="inlineStr">
        <is>
          <t>Bulanan</t>
        </is>
      </c>
      <c r="AH528" s="284" t="n"/>
      <c r="AI528" s="284" t="n"/>
      <c r="AJ528" s="284" t="n"/>
      <c r="AK528" s="284" t="n"/>
      <c r="AL528" s="284" t="n"/>
      <c r="AM528" s="284" t="n"/>
      <c r="AN528" s="284" t="n"/>
      <c r="AO528" s="284" t="n"/>
      <c r="AP528" s="284" t="n"/>
      <c r="AQ528" s="284" t="n"/>
      <c r="AR528" s="284" t="n"/>
      <c r="AS528" s="284" t="n"/>
    </row>
    <row r="529">
      <c r="A529" s="182" t="n">
        <v>3</v>
      </c>
      <c r="B529" s="178" t="inlineStr">
        <is>
          <t>Mutufasyankes</t>
        </is>
      </c>
      <c r="C529" t="inlineStr">
        <is>
          <t>RSUD BEDAS PACIRA</t>
        </is>
      </c>
      <c r="D529" s="178" t="inlineStr">
        <is>
          <t>layanan untuk melaporkan data INM ke kemenkes</t>
        </is>
      </c>
      <c r="E529" s="178" t="inlineStr">
        <is>
          <t>Permenkes no 30 tahun 2022</t>
        </is>
      </c>
      <c r="F529" s="184" t="inlineStr">
        <is>
          <t>belum tersedia</t>
        </is>
      </c>
      <c r="G529" s="184" t="inlineStr">
        <is>
          <t>PENINGKATAN KUALITAS PELAYANAN PUBLIK</t>
        </is>
      </c>
      <c r="H529" s="67" t="inlineStr">
        <is>
          <t>Masyarakat</t>
        </is>
      </c>
      <c r="I529" s="67" t="inlineStr">
        <is>
          <t>Pelayanan</t>
        </is>
      </c>
      <c r="J529" s="67" t="inlineStr">
        <is>
          <t>rekapitulasi angka</t>
        </is>
      </c>
      <c r="K529" s="67" t="inlineStr">
        <is>
          <t>Terbuka</t>
        </is>
      </c>
      <c r="L529" s="67" t="inlineStr">
        <is>
          <t>Terdapat</t>
        </is>
      </c>
      <c r="M529" s="67" t="inlineStr">
        <is>
          <t>Harian</t>
        </is>
      </c>
      <c r="N529" s="67" t="inlineStr">
        <is>
          <t>MUTU FASYANKES</t>
        </is>
      </c>
      <c r="O529" s="67" t="inlineStr">
        <is>
          <t>Pusat</t>
        </is>
      </c>
      <c r="P529" s="67" t="inlineStr">
        <is>
          <t>Pusat</t>
        </is>
      </c>
      <c r="Q529" s="67" t="inlineStr">
        <is>
          <t>Website</t>
        </is>
      </c>
      <c r="R529" s="131" t="inlineStr">
        <is>
          <t>https://mutufasyankes.kemkes.go.id/</t>
        </is>
      </c>
      <c r="S529" s="67" t="inlineStr">
        <is>
          <t>Secara Online</t>
        </is>
      </c>
      <c r="T529" s="67" t="inlineStr">
        <is>
          <t>Informasi</t>
        </is>
      </c>
      <c r="U529" s="77" t="n">
        <v>2022</v>
      </c>
      <c r="V529" s="67" t="inlineStr">
        <is>
          <t>Aktif</t>
        </is>
      </c>
      <c r="W529" s="67" t="inlineStr">
        <is>
          <t>Tidak</t>
        </is>
      </c>
      <c r="X529" s="67" t="inlineStr">
        <is>
          <t>sementara belum aktif</t>
        </is>
      </c>
      <c r="Y529" s="67" t="inlineStr">
        <is>
          <t>API</t>
        </is>
      </c>
      <c r="Z529" s="67" t="inlineStr">
        <is>
          <t>Bulanan</t>
        </is>
      </c>
      <c r="AA529" s="67" t="inlineStr">
        <is>
          <t>Komite Mutu</t>
        </is>
      </c>
      <c r="AB529" s="67" t="inlineStr">
        <is>
          <t>Dinsos</t>
        </is>
      </c>
      <c r="AC529" s="67" t="inlineStr">
        <is>
          <t>dr. Dimas enggar</t>
        </is>
      </c>
      <c r="AD529" s="67" t="n">
        <v>812788774390</v>
      </c>
      <c r="AE529" s="184" t="inlineStr">
        <is>
          <t>rsudpacira.official@gmail.com</t>
        </is>
      </c>
      <c r="AF529" s="288" t="n"/>
      <c r="AG529" s="68" t="inlineStr">
        <is>
          <t>Bulanan</t>
        </is>
      </c>
      <c r="AH529" s="284" t="n"/>
      <c r="AI529" s="284" t="n"/>
      <c r="AJ529" s="284" t="n"/>
      <c r="AK529" s="284" t="n"/>
      <c r="AL529" s="284" t="n"/>
      <c r="AM529" s="284" t="n"/>
      <c r="AN529" s="284" t="n"/>
      <c r="AO529" s="284" t="n"/>
      <c r="AP529" s="284" t="n"/>
      <c r="AQ529" s="284" t="n"/>
      <c r="AR529" s="284" t="n"/>
      <c r="AS529" s="284" t="n"/>
    </row>
    <row r="530">
      <c r="A530" s="182" t="n">
        <v>4</v>
      </c>
      <c r="B530" s="178" t="inlineStr">
        <is>
          <t>RS Online, Registrasi Fasyankes, Sistem Informasi Rumah Sakit, dan KRIS</t>
        </is>
      </c>
      <c r="C530" t="inlineStr">
        <is>
          <t>RSUD BEDAS PACIRA</t>
        </is>
      </c>
      <c r="D530" s="178" t="inlineStr">
        <is>
          <t>Melaporkan data rekapitulasi kegiatan pelayanan dan data kompilasi penyakit/morbiditas. Pasien IGD, rawat inap, dan rawat jalan secara periodik, baik bulanan maupun tahunan;</t>
        </is>
      </c>
      <c r="E530" s="178" t="inlineStr">
        <is>
          <t>Peraturan Menteri Kesehatan Nomor 1171 Tahun 2011 tentang Sistem Informasi Rumah Sakit (SIRS)</t>
        </is>
      </c>
      <c r="F530" s="288" t="n"/>
      <c r="G530" s="184" t="inlineStr">
        <is>
          <t>PENGELOLAAN PELAYANAN KESEHATAN</t>
        </is>
      </c>
      <c r="H530" s="184" t="inlineStr">
        <is>
          <t>Instansi Pemerintah Lainnya</t>
        </is>
      </c>
      <c r="I530" s="184" t="inlineStr">
        <is>
          <t>RL.3-RL.5;
 Kompetensi RS; Update Bed, dll</t>
        </is>
      </c>
      <c r="J530" s="184" t="inlineStr">
        <is>
          <t>Output data pelaporan data Rumah Sakit ke Kemenkes</t>
        </is>
      </c>
      <c r="K530" s="184" t="inlineStr">
        <is>
          <t>Terbatas</t>
        </is>
      </c>
      <c r="L530" s="184" t="inlineStr">
        <is>
          <t>Terdapat</t>
        </is>
      </c>
      <c r="M530" s="184" t="inlineStr">
        <is>
          <t>Bulanan</t>
        </is>
      </c>
      <c r="N530" s="184" t="inlineStr">
        <is>
          <t>yankes</t>
        </is>
      </c>
      <c r="O530" s="184" t="inlineStr">
        <is>
          <t>Pusat</t>
        </is>
      </c>
      <c r="P530" s="184" t="inlineStr">
        <is>
          <t>Pusat</t>
        </is>
      </c>
      <c r="Q530" s="184" t="inlineStr">
        <is>
          <t>Website</t>
        </is>
      </c>
      <c r="R530" s="267" t="inlineStr">
        <is>
          <t>Yankes Single SIGN-ON</t>
        </is>
      </c>
      <c r="S530" s="184" t="inlineStr">
        <is>
          <t>Secara Online</t>
        </is>
      </c>
      <c r="T530" s="184" t="inlineStr">
        <is>
          <t>Informasi</t>
        </is>
      </c>
      <c r="U530" s="184" t="n">
        <v>2024</v>
      </c>
      <c r="V530" s="184" t="inlineStr">
        <is>
          <t>Aktif</t>
        </is>
      </c>
      <c r="W530" s="184" t="inlineStr">
        <is>
          <t>Ya</t>
        </is>
      </c>
      <c r="X530" s="184" t="inlineStr">
        <is>
          <t>ASPAK, SISDMK, dll</t>
        </is>
      </c>
      <c r="Y530" s="184" t="inlineStr">
        <is>
          <t>API</t>
        </is>
      </c>
      <c r="Z530" s="184" t="inlineStr">
        <is>
          <t>Bulanan</t>
        </is>
      </c>
      <c r="AA530" s="184" t="inlineStr">
        <is>
          <t>Kepegaawaian dan tata usaha rsud</t>
        </is>
      </c>
      <c r="AB530" s="184" t="inlineStr">
        <is>
          <t>Dinkes</t>
        </is>
      </c>
      <c r="AC530" s="184" t="inlineStr">
        <is>
          <t>Ilyas Aditya Rahadian</t>
        </is>
      </c>
      <c r="AD530" s="184" t="n">
        <v>83896272862</v>
      </c>
      <c r="AE530" s="184" t="inlineStr">
        <is>
          <t>rsudpacira.official@gmail.com</t>
        </is>
      </c>
      <c r="AF530" s="288" t="n"/>
      <c r="AG530" s="68" t="inlineStr">
        <is>
          <t>Harian</t>
        </is>
      </c>
      <c r="AH530" s="284" t="n"/>
      <c r="AI530" s="284" t="n"/>
      <c r="AJ530" s="284" t="n"/>
      <c r="AK530" s="284" t="n"/>
      <c r="AL530" s="284" t="n"/>
      <c r="AM530" s="284" t="n"/>
      <c r="AN530" s="284" t="n"/>
      <c r="AO530" s="284" t="n"/>
      <c r="AP530" s="284" t="n"/>
      <c r="AQ530" s="284" t="n"/>
      <c r="AR530" s="284" t="n"/>
      <c r="AS530" s="284" t="n"/>
    </row>
    <row r="531">
      <c r="A531" s="182" t="n">
        <v>5</v>
      </c>
      <c r="B531" s="178" t="inlineStr">
        <is>
          <t>SDMK</t>
        </is>
      </c>
      <c r="C531" t="inlineStr">
        <is>
          <t>RSUD BEDAS PACIRA</t>
        </is>
      </c>
      <c r="D531" s="178" t="inlineStr">
        <is>
          <t>Dashboard Keadaan SDMK RS, Dashboard Monitoring Validasi SDMK, Feedback data, Laporan , Validasi SIP SDMK, dan Data SDMK</t>
        </is>
      </c>
      <c r="E531" s="268" t="inlineStr">
        <is>
          <t>Peraturan Menteri Kesehatan Nomor 13 Tahun 2025 tentang Pengelolaan Sumber Daya Manusia Kesehatan: Peraturan ini (berlaku per November 2025), Surat Edaran SE No. HK.02.01-MENKES-6-2024 tentang Perizinan Bagi Tenaga Medis dan Tenaga Kesehatan: Mengatur bahwa proses Surat Izin Praktik (SIP) terintegrasi dengan data di SISDMK/SATUSEHAT SDMK</t>
        </is>
      </c>
      <c r="F531" s="288" t="n"/>
      <c r="G531" s="184" t="inlineStr">
        <is>
          <t>INFORMASI DAN DIPLOMASI PUBLIK</t>
        </is>
      </c>
      <c r="H531" s="184" t="inlineStr">
        <is>
          <t>Pegawai</t>
        </is>
      </c>
      <c r="I531" s="184" t="inlineStr">
        <is>
          <t>identitas, Pendidikan,Pekerjaan, STR, dan SIP</t>
        </is>
      </c>
      <c r="J531" s="184" t="inlineStr">
        <is>
          <t>rekapan dan validasi</t>
        </is>
      </c>
      <c r="K531" s="184" t="inlineStr">
        <is>
          <t>Terbatas</t>
        </is>
      </c>
      <c r="L531" s="184" t="inlineStr">
        <is>
          <t>Tidak terdapat</t>
        </is>
      </c>
      <c r="M531" s="184" t="inlineStr">
        <is>
          <t>Tahunan</t>
        </is>
      </c>
      <c r="N531" s="184" t="inlineStr">
        <is>
          <t>SISDMK</t>
        </is>
      </c>
      <c r="O531" s="184" t="inlineStr">
        <is>
          <t>Pusat</t>
        </is>
      </c>
      <c r="P531" s="184" t="inlineStr">
        <is>
          <t>Pusat</t>
        </is>
      </c>
      <c r="Q531" s="184" t="inlineStr">
        <is>
          <t>Website</t>
        </is>
      </c>
      <c r="R531" s="131" t="inlineStr">
        <is>
          <t>https://sisdmk.kemkes.go.id/satusehat/verifikasi_pekerja</t>
        </is>
      </c>
      <c r="S531" s="184" t="inlineStr">
        <is>
          <t>Secara Online</t>
        </is>
      </c>
      <c r="T531" s="184" t="inlineStr">
        <is>
          <t>Informasi</t>
        </is>
      </c>
      <c r="U531" s="184" t="n">
        <v>2024</v>
      </c>
      <c r="V531" s="184" t="inlineStr">
        <is>
          <t>Aktif</t>
        </is>
      </c>
      <c r="W531" s="184" t="inlineStr">
        <is>
          <t>Ya</t>
        </is>
      </c>
      <c r="X531" s="184" t="inlineStr">
        <is>
          <t>RS online dan Satu sehat, Regfasyankes</t>
        </is>
      </c>
      <c r="Y531" s="184" t="inlineStr">
        <is>
          <t>API</t>
        </is>
      </c>
      <c r="Z531" s="184" t="inlineStr">
        <is>
          <t>Realtime</t>
        </is>
      </c>
      <c r="AA531" s="184" t="inlineStr">
        <is>
          <t>Kepegaawaian dan tata usaha rsud</t>
        </is>
      </c>
      <c r="AB531" s="184" t="inlineStr">
        <is>
          <t>Dinkes</t>
        </is>
      </c>
      <c r="AC531" s="184" t="inlineStr">
        <is>
          <t>Annisa Eliawati</t>
        </is>
      </c>
      <c r="AD531" s="184" t="n">
        <v>89676909187</v>
      </c>
      <c r="AE531" s="184" t="inlineStr">
        <is>
          <t>rsudpacira.official@gmail.com</t>
        </is>
      </c>
      <c r="AF531" s="68" t="n">
        <v>8</v>
      </c>
      <c r="AG531" s="68" t="inlineStr">
        <is>
          <t>Harian</t>
        </is>
      </c>
      <c r="AH531" s="284" t="n"/>
      <c r="AI531" s="284" t="n"/>
      <c r="AJ531" s="284" t="n"/>
      <c r="AK531" s="284" t="n"/>
      <c r="AL531" s="284" t="n"/>
      <c r="AM531" s="284" t="n"/>
      <c r="AN531" s="284" t="n"/>
      <c r="AO531" s="284" t="n"/>
      <c r="AP531" s="284" t="n"/>
      <c r="AQ531" s="284" t="n"/>
      <c r="AR531" s="284" t="n"/>
      <c r="AS531" s="284" t="n"/>
    </row>
    <row r="532">
      <c r="A532" s="182" t="n">
        <v>6</v>
      </c>
      <c r="B532" s="178" t="inlineStr">
        <is>
          <t>Dashboard Pemantauan aliran Data Satu sehat</t>
        </is>
      </c>
      <c r="C532" t="inlineStr">
        <is>
          <t>RSUD BEDAS PACIRA</t>
        </is>
      </c>
      <c r="D532" s="178" t="inlineStr">
        <is>
          <t>Pemantauan aliran data satu sehat</t>
        </is>
      </c>
      <c r="E532" s="273" t="inlineStr">
        <is>
          <t>UU No. 17 Tahun 2023 tentang Kesehatan (pengelolaan data nasional) dan UU No. 27 Tahun 2022 tentang Pelindungan Data Pribadi (dasar pemrosesan data)</t>
        </is>
      </c>
      <c r="F532" s="131" t="inlineStr">
        <is>
          <t>https://drive.google.com/drive/u/1/folders/1BMJeHVe0f6zjx97q_TOFnGkZBTxNZTBd</t>
        </is>
      </c>
      <c r="G532" s="184" t="inlineStr">
        <is>
          <t>PENINGKATAN KUALITAS PELAYANAN PUBLIK</t>
        </is>
      </c>
      <c r="H532" s="184" t="inlineStr">
        <is>
          <t>Instansi Pemerintah Lainnya</t>
        </is>
      </c>
      <c r="I532" s="184" t="inlineStr">
        <is>
          <t>Encounter - Aliran Data Satu Sehat</t>
        </is>
      </c>
      <c r="J532" s="184" t="inlineStr">
        <is>
          <t>Persentase - Aliran Data Satu Sehat</t>
        </is>
      </c>
      <c r="K532" s="184" t="inlineStr">
        <is>
          <t>Terbuka</t>
        </is>
      </c>
      <c r="L532" s="184" t="inlineStr">
        <is>
          <t>Tidak terdapat</t>
        </is>
      </c>
      <c r="M532" s="184" t="inlineStr">
        <is>
          <t>Mingguan</t>
        </is>
      </c>
      <c r="N532" s="184" t="inlineStr">
        <is>
          <t>SIMRS PACIRA</t>
        </is>
      </c>
      <c r="O532" s="184" t="inlineStr">
        <is>
          <t>Pusat</t>
        </is>
      </c>
      <c r="P532" s="184" t="inlineStr">
        <is>
          <t>Pusat</t>
        </is>
      </c>
      <c r="Q532" s="184" t="inlineStr">
        <is>
          <t>Website</t>
        </is>
      </c>
      <c r="R532" s="75" t="inlineStr">
        <is>
          <t>Workbook: Dashboard Pemantauan Aliran Data SATUSEHAT</t>
        </is>
      </c>
      <c r="S532" s="184" t="inlineStr">
        <is>
          <t>Secara Online</t>
        </is>
      </c>
      <c r="T532" s="184" t="inlineStr">
        <is>
          <t>Informasi</t>
        </is>
      </c>
      <c r="U532" s="184" t="n">
        <v>2024</v>
      </c>
      <c r="V532" s="184" t="inlineStr">
        <is>
          <t>Aktif</t>
        </is>
      </c>
      <c r="W532" s="184" t="inlineStr">
        <is>
          <t>Ya</t>
        </is>
      </c>
      <c r="X532" s="184" t="inlineStr">
        <is>
          <t>SIMRS</t>
        </is>
      </c>
      <c r="Y532" s="184" t="inlineStr">
        <is>
          <t>API</t>
        </is>
      </c>
      <c r="Z532" s="184" t="inlineStr">
        <is>
          <t>Realtime</t>
        </is>
      </c>
      <c r="AA532" s="184" t="inlineStr">
        <is>
          <t>Instalasi Rekam Medis dan Instalasi SIMRS</t>
        </is>
      </c>
      <c r="AB532" s="184" t="inlineStr">
        <is>
          <t>Diskominfo</t>
        </is>
      </c>
      <c r="AC532" s="184" t="inlineStr">
        <is>
          <t>Ammar Zhorif, S.Kom</t>
        </is>
      </c>
      <c r="AD532" s="184" t="n">
        <v>82324066724</v>
      </c>
      <c r="AE532" s="184" t="inlineStr">
        <is>
          <t>rsudpacira.official@gmail.com</t>
        </is>
      </c>
      <c r="AF532" s="68" t="inlineStr">
        <is>
          <t>-</t>
        </is>
      </c>
      <c r="AG532" s="68" t="inlineStr">
        <is>
          <t>Setiap Saat</t>
        </is>
      </c>
      <c r="AH532" s="284" t="n"/>
      <c r="AI532" s="284" t="n"/>
      <c r="AJ532" s="284" t="n"/>
      <c r="AK532" s="284" t="n"/>
      <c r="AL532" s="284" t="n"/>
      <c r="AM532" s="284" t="n"/>
      <c r="AN532" s="284" t="n"/>
      <c r="AO532" s="284" t="n"/>
      <c r="AP532" s="284" t="n"/>
      <c r="AQ532" s="284" t="n"/>
      <c r="AR532" s="284" t="n"/>
      <c r="AS532" s="284" t="n"/>
    </row>
    <row r="533">
      <c r="A533" s="182" t="n">
        <v>7</v>
      </c>
      <c r="B533" s="178" t="inlineStr">
        <is>
          <t>ASPAK</t>
        </is>
      </c>
      <c r="C533" t="inlineStr">
        <is>
          <t>RSUD BEDAS PACIRA</t>
        </is>
      </c>
      <c r="D533" s="70" t="inlineStr">
        <is>
          <t>sistem informasi berbasis web dari Kementerian Kesehatan untuk menghimpun data sarana, prasarana, dan alat kesehatan (SPA) di fasyankes</t>
        </is>
      </c>
      <c r="E533" s="225" t="inlineStr">
        <is>
          <t>Permenkes No. 31 Tahun 2018: Mengatur kewajiban pengisian, validasi, dan update data ASPAK oleh Fasyankes, Dinas Kesehatan Kabupaten/Kota, dan Dinas Kesehatan Provinsi</t>
        </is>
      </c>
      <c r="F533" s="288" t="n"/>
      <c r="G533" s="184" t="inlineStr">
        <is>
          <t>PENGELOLAAN PELAYANAN KESEHATAN</t>
        </is>
      </c>
      <c r="H533" s="184" t="inlineStr">
        <is>
          <t>Instansi Pemerintah Lainnya</t>
        </is>
      </c>
      <c r="I533" s="184" t="inlineStr">
        <is>
          <t>data sarana, prasarana, dan alat kesehatan (SPA) di fasyankes</t>
        </is>
      </c>
      <c r="J533" s="288" t="n"/>
      <c r="K533" s="184" t="inlineStr">
        <is>
          <t>Tertutup</t>
        </is>
      </c>
      <c r="L533" s="184" t="inlineStr">
        <is>
          <t>Tidak terdapat</t>
        </is>
      </c>
      <c r="M533" s="184" t="inlineStr">
        <is>
          <t>Harian</t>
        </is>
      </c>
      <c r="N533" s="184" t="inlineStr">
        <is>
          <t>ASPAK</t>
        </is>
      </c>
      <c r="O533" s="184" t="inlineStr">
        <is>
          <t>Pusat</t>
        </is>
      </c>
      <c r="P533" s="184" t="inlineStr">
        <is>
          <t>Pusat</t>
        </is>
      </c>
      <c r="Q533" s="184" t="inlineStr">
        <is>
          <t>Website</t>
        </is>
      </c>
      <c r="R533" s="131" t="inlineStr">
        <is>
          <t>https://aspak.kemkes.go.id/aplikasi/site/index</t>
        </is>
      </c>
      <c r="S533" s="184" t="inlineStr">
        <is>
          <t>Secara Online</t>
        </is>
      </c>
      <c r="T533" s="184" t="inlineStr">
        <is>
          <t>Informasi</t>
        </is>
      </c>
      <c r="U533" s="184" t="n">
        <v>2024</v>
      </c>
      <c r="V533" s="184" t="inlineStr">
        <is>
          <t>Aktif</t>
        </is>
      </c>
      <c r="W533" s="288" t="n"/>
      <c r="X533" s="184" t="inlineStr">
        <is>
          <t>RS Online</t>
        </is>
      </c>
      <c r="Y533" s="288" t="n"/>
      <c r="Z533" s="184" t="inlineStr">
        <is>
          <t>Harian</t>
        </is>
      </c>
      <c r="AA533" s="67" t="inlineStr">
        <is>
          <t>IPS RS</t>
        </is>
      </c>
      <c r="AB533" s="184" t="inlineStr">
        <is>
          <t>Dinkes</t>
        </is>
      </c>
      <c r="AC533" s="184" t="inlineStr">
        <is>
          <t>Raga Abdurrahman, S.Farm</t>
        </is>
      </c>
      <c r="AD533" s="184" t="n">
        <v>81314199105</v>
      </c>
      <c r="AE533" s="184" t="inlineStr">
        <is>
          <t>rsudpacira.official@gmail.com</t>
        </is>
      </c>
      <c r="AF533" s="288" t="n"/>
      <c r="AG533" s="68" t="inlineStr">
        <is>
          <t>Harian</t>
        </is>
      </c>
      <c r="AH533" s="284" t="n"/>
      <c r="AI533" s="284" t="n"/>
      <c r="AJ533" s="284" t="n"/>
      <c r="AK533" s="284" t="n"/>
      <c r="AL533" s="284" t="n"/>
      <c r="AM533" s="284" t="n"/>
      <c r="AN533" s="284" t="n"/>
      <c r="AO533" s="284" t="n"/>
      <c r="AP533" s="284" t="n"/>
      <c r="AQ533" s="284" t="n"/>
      <c r="AR533" s="284" t="n"/>
      <c r="AS533" s="284" t="n"/>
    </row>
    <row r="534">
      <c r="A534" s="182" t="n">
        <v>8</v>
      </c>
      <c r="B534" s="178" t="inlineStr">
        <is>
          <t>SIMDA BMD</t>
        </is>
      </c>
      <c r="C534" t="inlineStr">
        <is>
          <t>RSUD BEDAS PACIRA</t>
        </is>
      </c>
      <c r="D534" s="178" t="inlineStr">
        <is>
          <t>SIMDA-BMD (Sistem Informasi Manajemen Daerah - Barang Milik Daerah) adalah aplikasi berbasis komputer yang dikembangkan oleh BPKP untuk membantu pemerintah daerah mengelola aset secara efisien dan transparan</t>
        </is>
      </c>
      <c r="E534" s="281" t="inlineStr">
        <is>
          <t>Permendagri No. 47 Tahun 2021 tentang Tata Cara Pelaksanaan Pembukuan, Inventarisasi, dan Pelaporan Barang Milik Daerah</t>
        </is>
      </c>
      <c r="F534" s="288" t="n"/>
      <c r="G534" s="184" t="inlineStr">
        <is>
          <t>PENGELOLAAN ALAT KESEHATAN</t>
        </is>
      </c>
      <c r="H534" s="184" t="inlineStr">
        <is>
          <t>Instansi Pemerintah Lainnya</t>
        </is>
      </c>
      <c r="I534" s="184" t="inlineStr">
        <is>
          <t>Barang Milik Daerah</t>
        </is>
      </c>
      <c r="J534" s="288" t="n"/>
      <c r="K534" s="184" t="inlineStr">
        <is>
          <t>Tertutup</t>
        </is>
      </c>
      <c r="L534" s="184" t="inlineStr">
        <is>
          <t>Tidak terdapat</t>
        </is>
      </c>
      <c r="M534" s="184" t="inlineStr">
        <is>
          <t>Harian</t>
        </is>
      </c>
      <c r="N534" s="184" t="inlineStr">
        <is>
          <t>SIMDA</t>
        </is>
      </c>
      <c r="O534" s="184" t="inlineStr">
        <is>
          <t>OPD</t>
        </is>
      </c>
      <c r="P534" s="184" t="inlineStr">
        <is>
          <t>Kab. Bandung</t>
        </is>
      </c>
      <c r="Q534" s="184" t="inlineStr">
        <is>
          <t>Desktop</t>
        </is>
      </c>
      <c r="R534" s="288" t="n"/>
      <c r="S534" s="184" t="inlineStr">
        <is>
          <t>Secara Online</t>
        </is>
      </c>
      <c r="T534" s="184" t="inlineStr">
        <is>
          <t>Transaksi</t>
        </is>
      </c>
      <c r="U534" s="184" t="n">
        <v>2024</v>
      </c>
      <c r="V534" s="184" t="inlineStr">
        <is>
          <t>Aktif</t>
        </is>
      </c>
      <c r="W534" s="184" t="inlineStr">
        <is>
          <t>Ya</t>
        </is>
      </c>
      <c r="X534" s="288" t="n"/>
      <c r="Y534" s="184" t="inlineStr">
        <is>
          <t>API</t>
        </is>
      </c>
      <c r="Z534" s="184" t="inlineStr">
        <is>
          <t>Harian</t>
        </is>
      </c>
      <c r="AA534" s="67" t="inlineStr">
        <is>
          <t>IPS RS</t>
        </is>
      </c>
      <c r="AB534" s="184" t="inlineStr">
        <is>
          <t>BKAD</t>
        </is>
      </c>
      <c r="AC534" s="184" t="inlineStr">
        <is>
          <t>Raga Abdurrahman, S.Farm</t>
        </is>
      </c>
      <c r="AD534" s="184" t="n">
        <v>81314199105</v>
      </c>
      <c r="AE534" s="184" t="inlineStr">
        <is>
          <t>rsudpacira.official@gmail.com</t>
        </is>
      </c>
      <c r="AF534" s="288" t="n"/>
      <c r="AG534" s="68" t="inlineStr">
        <is>
          <t>Harian</t>
        </is>
      </c>
      <c r="AH534" s="284" t="n"/>
      <c r="AI534" s="284" t="n"/>
      <c r="AJ534" s="284" t="n"/>
      <c r="AK534" s="284" t="n"/>
      <c r="AL534" s="284" t="n"/>
      <c r="AM534" s="284" t="n"/>
      <c r="AN534" s="284" t="n"/>
      <c r="AO534" s="284" t="n"/>
      <c r="AP534" s="284" t="n"/>
      <c r="AQ534" s="284" t="n"/>
      <c r="AR534" s="284" t="n"/>
      <c r="AS534" s="284" t="n"/>
    </row>
    <row r="535">
      <c r="A535" s="182" t="n">
        <v>9</v>
      </c>
      <c r="B535" s="178" t="inlineStr">
        <is>
          <t>e-persediaan</t>
        </is>
      </c>
      <c r="C535" t="inlineStr">
        <is>
          <t>RSUD BEDAS PACIRA</t>
        </is>
      </c>
      <c r="D535" s="178" t="inlineStr">
        <is>
          <t>Meningkatkan transparansi, akurasi data, dan efisiensi pengelolaan aset daerah</t>
        </is>
      </c>
      <c r="E535" s="225" t="inlineStr">
        <is>
          <t>Permendagri Nomor 47 Tahun 2021 tentang cara pelaksanaan pembukuan, inventarisasi, dan pelaporan BMD</t>
        </is>
      </c>
      <c r="F535" s="288" t="n"/>
      <c r="G535" s="184" t="inlineStr">
        <is>
          <t>PENGADAAN BARANG/JASA PEMERINTAH</t>
        </is>
      </c>
      <c r="H535" s="184" t="inlineStr">
        <is>
          <t>Instansi Pemerintah Lainnya</t>
        </is>
      </c>
      <c r="I535" s="225" t="inlineStr">
        <is>
          <t>penginputan saldo awal, pengadaan (APBD/BOS), penyaluran, kartu barang, dan pelaporan</t>
        </is>
      </c>
      <c r="J535" s="288" t="n"/>
      <c r="K535" s="184" t="inlineStr">
        <is>
          <t>Tertutup</t>
        </is>
      </c>
      <c r="L535" s="184" t="inlineStr">
        <is>
          <t>Terdapat</t>
        </is>
      </c>
      <c r="M535" s="184" t="inlineStr">
        <is>
          <t>Bulanan</t>
        </is>
      </c>
      <c r="N535" s="184" t="inlineStr">
        <is>
          <t>e-persediaan</t>
        </is>
      </c>
      <c r="O535" s="184" t="inlineStr">
        <is>
          <t>OPD</t>
        </is>
      </c>
      <c r="P535" s="184" t="inlineStr">
        <is>
          <t>Kab. Bandung</t>
        </is>
      </c>
      <c r="Q535" s="184" t="inlineStr">
        <is>
          <t>Website</t>
        </is>
      </c>
      <c r="R535" s="131" t="inlineStr">
        <is>
          <t>https://persediaanbmd.bandungkab.go.id/#/</t>
        </is>
      </c>
      <c r="S535" s="184" t="inlineStr">
        <is>
          <t>Secara Online</t>
        </is>
      </c>
      <c r="T535" s="184" t="inlineStr">
        <is>
          <t>Transaksi</t>
        </is>
      </c>
      <c r="U535" s="77" t="n">
        <v>2022</v>
      </c>
      <c r="V535" s="184" t="inlineStr">
        <is>
          <t>Aktif</t>
        </is>
      </c>
      <c r="W535" s="184" t="inlineStr">
        <is>
          <t>Tidak</t>
        </is>
      </c>
      <c r="X535" s="67" t="inlineStr">
        <is>
          <t>SIP-RI, E-BMD</t>
        </is>
      </c>
      <c r="Y535" s="184" t="inlineStr">
        <is>
          <t>Web Service</t>
        </is>
      </c>
      <c r="Z535" s="184" t="inlineStr">
        <is>
          <t>Realtime</t>
        </is>
      </c>
      <c r="AA535" s="288" t="n"/>
      <c r="AB535" s="184" t="inlineStr">
        <is>
          <t>BKAD</t>
        </is>
      </c>
      <c r="AC535" s="184" t="inlineStr">
        <is>
          <t>Ammar Zhorif, S.Kom</t>
        </is>
      </c>
      <c r="AD535" s="184" t="n">
        <v>82324066724</v>
      </c>
      <c r="AE535" s="184" t="inlineStr">
        <is>
          <t>rsudpacira.official@gmail.com</t>
        </is>
      </c>
      <c r="AF535" s="288" t="n"/>
      <c r="AG535" s="68" t="inlineStr">
        <is>
          <t>Harian</t>
        </is>
      </c>
      <c r="AH535" s="284" t="n"/>
      <c r="AI535" s="284" t="n"/>
      <c r="AJ535" s="284" t="n"/>
      <c r="AK535" s="284" t="n"/>
      <c r="AL535" s="284" t="n"/>
      <c r="AM535" s="284" t="n"/>
      <c r="AN535" s="284" t="n"/>
      <c r="AO535" s="284" t="n"/>
      <c r="AP535" s="284" t="n"/>
      <c r="AQ535" s="284" t="n"/>
      <c r="AR535" s="284" t="n"/>
      <c r="AS535" s="284" t="n"/>
    </row>
    <row r="536">
      <c r="A536" s="182" t="n">
        <v>10</v>
      </c>
      <c r="B536" s="178" t="inlineStr">
        <is>
          <t>RKBMD</t>
        </is>
      </c>
      <c r="C536" t="inlineStr">
        <is>
          <t>RSUD BEDAS PACIRA</t>
        </is>
      </c>
      <c r="D536" s="225" t="inlineStr">
        <is>
          <t>RKBMD (Rencana Kebutuhan Barang Milik Daerah) Kabupaten Bandung adalah dokumen perencanaan strategis satu tahun yang disusun oleh Organisasi Perangkat Daerah (OPD) untuk merencanakan pengadaan, pemeliharaan, pemanfaatan, pemindahtanganan, dan penghapusan aset daerah</t>
        </is>
      </c>
      <c r="E536" s="225" t="inlineStr">
        <is>
          <t>Peraturan Menteri Dalam Negeri Nomor 7 Tahun 2024 tentang Pedoman Pengelolaan Barang Milik Daerah</t>
        </is>
      </c>
      <c r="F536" s="288" t="n"/>
      <c r="G536" s="184" t="inlineStr">
        <is>
          <t>PENGADAAN BARANG/JASA PEMERINTAH</t>
        </is>
      </c>
      <c r="H536" s="184" t="inlineStr">
        <is>
          <t>Instansi Pemerintah Lainnya</t>
        </is>
      </c>
      <c r="I536" s="225" t="inlineStr">
        <is>
          <t>perencanaan untuk pengadaan, pemeliharaan, pemanfaatan, pemindahtanganan, dan penghapusan</t>
        </is>
      </c>
      <c r="J536" s="288" t="n"/>
      <c r="K536" s="184" t="inlineStr">
        <is>
          <t>Tertutup</t>
        </is>
      </c>
      <c r="L536" s="184" t="inlineStr">
        <is>
          <t>Tidak terdapat</t>
        </is>
      </c>
      <c r="M536" s="184" t="inlineStr">
        <is>
          <t>Tahunan</t>
        </is>
      </c>
      <c r="N536" s="184" t="inlineStr">
        <is>
          <t>RKBMD</t>
        </is>
      </c>
      <c r="O536" s="184" t="inlineStr">
        <is>
          <t>OPD</t>
        </is>
      </c>
      <c r="P536" s="184" t="inlineStr">
        <is>
          <t>Kab. Bandung</t>
        </is>
      </c>
      <c r="Q536" s="184" t="inlineStr">
        <is>
          <t>Website</t>
        </is>
      </c>
      <c r="R536" s="131" t="inlineStr">
        <is>
          <t>https://rkbmd.e-planningbmd.id/</t>
        </is>
      </c>
      <c r="S536" s="184" t="inlineStr">
        <is>
          <t>Secara Online</t>
        </is>
      </c>
      <c r="T536" s="184" t="inlineStr">
        <is>
          <t>Transaksi</t>
        </is>
      </c>
      <c r="U536" s="288" t="n"/>
      <c r="V536" s="184" t="inlineStr">
        <is>
          <t>Aktif</t>
        </is>
      </c>
      <c r="W536" s="184" t="inlineStr">
        <is>
          <t>Tidak</t>
        </is>
      </c>
      <c r="X536" s="288" t="n"/>
      <c r="Y536" s="184" t="inlineStr">
        <is>
          <t>Web Service</t>
        </is>
      </c>
      <c r="Z536" s="184" t="inlineStr">
        <is>
          <t>Tahunan</t>
        </is>
      </c>
      <c r="AA536" s="288" t="n"/>
      <c r="AB536" s="184" t="inlineStr">
        <is>
          <t>BKAD</t>
        </is>
      </c>
      <c r="AC536" s="131" t="inlineStr">
        <is>
          <t>Josefan Dohardo Sihite, S.Tr.AK</t>
        </is>
      </c>
      <c r="AD536" s="184" t="n">
        <v>81280836809</v>
      </c>
      <c r="AE536" s="184" t="inlineStr">
        <is>
          <t>rsudpacira.official@gmail.com</t>
        </is>
      </c>
      <c r="AF536" s="288" t="n"/>
      <c r="AG536" s="64" t="inlineStr">
        <is>
          <t>Tahunan</t>
        </is>
      </c>
      <c r="AH536" s="284" t="n"/>
      <c r="AI536" s="284" t="n"/>
      <c r="AJ536" s="284" t="n"/>
      <c r="AK536" s="284" t="n"/>
      <c r="AL536" s="284" t="n"/>
      <c r="AM536" s="284" t="n"/>
      <c r="AN536" s="284" t="n"/>
      <c r="AO536" s="284" t="n"/>
      <c r="AP536" s="284" t="n"/>
      <c r="AQ536" s="284" t="n"/>
      <c r="AR536" s="284" t="n"/>
      <c r="AS536" s="284" t="n"/>
    </row>
    <row r="537">
      <c r="A537" s="182" t="n">
        <v>11</v>
      </c>
      <c r="B537" s="178" t="inlineStr">
        <is>
          <t>ESKM</t>
        </is>
      </c>
      <c r="C537" t="inlineStr">
        <is>
          <t>RSUD BEDAS PACIRA</t>
        </is>
      </c>
      <c r="D537" s="178" t="inlineStr">
        <is>
          <t>Survey Kepuasaan Masyarakat</t>
        </is>
      </c>
      <c r="E537" s="178" t="inlineStr">
        <is>
          <t>Surat Dari Deputi Bidang pelayanan Publik Kementrian Pendayagunan aparatur negara dan reformasi birokrasi Republik Indonesia No. B/39/PP.00.01/2026 Hal pendampingan kebijakan pelayanan publik Lingkup pulau Jawa</t>
        </is>
      </c>
      <c r="F537" s="288" t="n"/>
      <c r="G537" s="184" t="inlineStr">
        <is>
          <t>PENGELOLAAN PELAYANAN KESEHATAN</t>
        </is>
      </c>
      <c r="H537" s="184" t="inlineStr">
        <is>
          <t>Instansi Pemerintah Lainnya</t>
        </is>
      </c>
      <c r="I537" s="184" t="inlineStr">
        <is>
          <t>Survey Kepuasan</t>
        </is>
      </c>
      <c r="J537" s="184" t="inlineStr">
        <is>
          <t>Indeks Kepuasan Masyarakat</t>
        </is>
      </c>
      <c r="K537" s="184" t="inlineStr">
        <is>
          <t>Terbuka</t>
        </is>
      </c>
      <c r="L537" s="184" t="inlineStr">
        <is>
          <t>Terdapat</t>
        </is>
      </c>
      <c r="M537" s="184" t="inlineStr">
        <is>
          <t>Bulanan</t>
        </is>
      </c>
      <c r="N537" s="184" t="inlineStr">
        <is>
          <t>E-SKM</t>
        </is>
      </c>
      <c r="O537" s="184" t="inlineStr">
        <is>
          <t>OPD</t>
        </is>
      </c>
      <c r="P537" s="184" t="inlineStr">
        <is>
          <t>Kab. Bandung</t>
        </is>
      </c>
      <c r="Q537" s="184" t="inlineStr">
        <is>
          <t>Website dan Mobile</t>
        </is>
      </c>
      <c r="R537" s="131" t="inlineStr">
        <is>
          <t>https://skm.bandungkab.go.id/eskm/22978</t>
        </is>
      </c>
      <c r="S537" s="184" t="inlineStr">
        <is>
          <t>Secara Online</t>
        </is>
      </c>
      <c r="T537" s="184" t="inlineStr">
        <is>
          <t>Informasi</t>
        </is>
      </c>
      <c r="U537" s="184" t="n">
        <v>2025</v>
      </c>
      <c r="V537" s="184" t="inlineStr">
        <is>
          <t>Aktif</t>
        </is>
      </c>
      <c r="W537" s="184" t="inlineStr">
        <is>
          <t>Ya</t>
        </is>
      </c>
      <c r="X537" s="184" t="inlineStr">
        <is>
          <t>Ya</t>
        </is>
      </c>
      <c r="Y537" s="184" t="inlineStr">
        <is>
          <t>Web Service</t>
        </is>
      </c>
      <c r="Z537" s="184" t="inlineStr">
        <is>
          <t>Harian</t>
        </is>
      </c>
      <c r="AA537" s="184" t="inlineStr">
        <is>
          <t>Diskominfo dan SETDA</t>
        </is>
      </c>
      <c r="AB537" s="184" t="inlineStr">
        <is>
          <t>Setda</t>
        </is>
      </c>
      <c r="AC537" s="131" t="inlineStr">
        <is>
          <t>Efa Nurjanah, A.Md.RMIK</t>
        </is>
      </c>
      <c r="AD537" s="184" t="n">
        <v>87723985277</v>
      </c>
      <c r="AE537" s="184" t="inlineStr">
        <is>
          <t>rsudpacira.official@gmail.com</t>
        </is>
      </c>
      <c r="AF537" s="288" t="n"/>
      <c r="AG537" s="68" t="inlineStr">
        <is>
          <t>Harian</t>
        </is>
      </c>
      <c r="AH537" s="284" t="n"/>
      <c r="AI537" s="284" t="n"/>
      <c r="AJ537" s="284" t="n"/>
      <c r="AK537" s="284" t="n"/>
      <c r="AL537" s="284" t="n"/>
      <c r="AM537" s="284" t="n"/>
      <c r="AN537" s="284" t="n"/>
      <c r="AO537" s="284" t="n"/>
      <c r="AP537" s="284" t="n"/>
      <c r="AQ537" s="284" t="n"/>
      <c r="AR537" s="284" t="n"/>
      <c r="AS537" s="284" t="n"/>
    </row>
    <row r="538">
      <c r="A538" s="182" t="n">
        <v>12</v>
      </c>
      <c r="B538" s="178" t="inlineStr">
        <is>
          <t>e retribusi</t>
        </is>
      </c>
      <c r="C538" t="inlineStr">
        <is>
          <t>RSUD BEDAS PACIRA</t>
        </is>
      </c>
      <c r="D538" s="67" t="inlineStr">
        <is>
          <t>Laporan perihal PAD, Retribusi Daerah</t>
        </is>
      </c>
      <c r="E538" s="67" t="inlineStr">
        <is>
          <t>Peraturan Daerah (Perda) Kabupaten Bandung Nomor 10 Tahun 2023 tentang Pajak Daerah dan Retribusi Daerah. Perda ini merupakan aturan terbaru yang menyesuaikan dengan amanat UU HKPD.</t>
        </is>
      </c>
      <c r="F538" s="288" t="n"/>
      <c r="G538" s="67" t="inlineStr">
        <is>
          <t>PERENCANAAN DAN PENGANGGARAN APBN</t>
        </is>
      </c>
      <c r="H538" s="288" t="n"/>
      <c r="I538" s="67" t="inlineStr">
        <is>
          <t>Penghasilan harian</t>
        </is>
      </c>
      <c r="J538" s="67" t="inlineStr">
        <is>
          <t>Rekap penghasilan</t>
        </is>
      </c>
      <c r="K538" s="67" t="inlineStr">
        <is>
          <t>Rahasia</t>
        </is>
      </c>
      <c r="L538" s="67" t="inlineStr">
        <is>
          <t>Tidak terdapat</t>
        </is>
      </c>
      <c r="M538" s="67" t="inlineStr">
        <is>
          <t>Harian</t>
        </is>
      </c>
      <c r="N538" s="67" t="inlineStr">
        <is>
          <t>E-RETRIBUSI</t>
        </is>
      </c>
      <c r="O538" s="67" t="inlineStr">
        <is>
          <t>OPD</t>
        </is>
      </c>
      <c r="P538" s="67" t="inlineStr">
        <is>
          <t>Kab. Bandung</t>
        </is>
      </c>
      <c r="Q538" s="67" t="inlineStr">
        <is>
          <t>Website</t>
        </is>
      </c>
      <c r="R538" s="75" t="inlineStr">
        <is>
          <t>https://e-retribusi.bandungkab.go.id/site/login</t>
        </is>
      </c>
      <c r="S538" s="67" t="inlineStr">
        <is>
          <t>Secara Online</t>
        </is>
      </c>
      <c r="T538" s="67" t="inlineStr">
        <is>
          <t>Transaksi</t>
        </is>
      </c>
      <c r="U538" s="288" t="n"/>
      <c r="V538" s="67" t="inlineStr">
        <is>
          <t>Aktif</t>
        </is>
      </c>
      <c r="W538" s="67" t="inlineStr">
        <is>
          <t>Ya</t>
        </is>
      </c>
      <c r="X538" s="67" t="inlineStr">
        <is>
          <t>Ya</t>
        </is>
      </c>
      <c r="Y538" s="67" t="inlineStr">
        <is>
          <t>Web Service</t>
        </is>
      </c>
      <c r="Z538" s="67" t="inlineStr">
        <is>
          <t>Harian</t>
        </is>
      </c>
      <c r="AA538" s="288" t="n"/>
      <c r="AB538" s="288" t="n"/>
      <c r="AC538" s="75" t="inlineStr">
        <is>
          <t>Tita Sariningsih, A.Md.Kep</t>
        </is>
      </c>
      <c r="AD538" s="67" t="n">
        <v>81313420367</v>
      </c>
      <c r="AE538" s="184" t="inlineStr">
        <is>
          <t>rsudpacira.official@gmail.com</t>
        </is>
      </c>
      <c r="AF538" s="288" t="n"/>
      <c r="AG538" s="68" t="inlineStr">
        <is>
          <t>Harian</t>
        </is>
      </c>
      <c r="AH538" s="284" t="n"/>
      <c r="AI538" s="284" t="n"/>
      <c r="AJ538" s="284" t="n"/>
      <c r="AK538" s="284" t="n"/>
      <c r="AL538" s="284" t="n"/>
      <c r="AM538" s="284" t="n"/>
      <c r="AN538" s="284" t="n"/>
      <c r="AO538" s="284" t="n"/>
      <c r="AP538" s="284" t="n"/>
      <c r="AQ538" s="284" t="n"/>
      <c r="AR538" s="284" t="n"/>
      <c r="AS538" s="284" t="n"/>
    </row>
    <row r="539">
      <c r="A539" s="182" t="n">
        <v>13</v>
      </c>
      <c r="B539" s="178" t="inlineStr">
        <is>
          <t>SIPD RI</t>
        </is>
      </c>
      <c r="C539" t="inlineStr">
        <is>
          <t>RSUD BEDAS PACIRA</t>
        </is>
      </c>
      <c r="D539" s="178" t="inlineStr">
        <is>
          <t>SIPD (Sistem Informasi Pemerintahan Daerah) adalah platform digital dari Kemendagri yang berfungsi untuk mengintegrasikan perencanaan, penganggaran, pelaksanaan, hingga pelaporan keuangan daerah dalam satu basis data tunggal. SIPD bertujuan menciptakan tata kelola pemerintahan yang akuntabel, transparan, dan efisien, serta mempermudah pengawasan.</t>
        </is>
      </c>
      <c r="E539" s="268" t="inlineStr">
        <is>
          <t>Dasar hukum utama Sistem Informasi Pemerintahan Daerah (SIPD) adalah Peraturan Menteri Dalam Negeri Nomor 70 Tahun 2019 tentang Sistem Informasi Pemerintahan Daerah. SIPD diwajibkan sebagai sistem terintegrasi untuk perencanaan, penganggaran, pelaksanaan, dan pelaporan keuangan daerah berdasarkan UU No. 23 Tahun 2014.</t>
        </is>
      </c>
      <c r="F539" s="288" t="n"/>
      <c r="G539" s="184" t="inlineStr">
        <is>
          <t>PERENCANAAN DAN PENGANGGARAN APBN</t>
        </is>
      </c>
      <c r="H539" s="184" t="inlineStr">
        <is>
          <t>Instansi Pemerintah Lainnya</t>
        </is>
      </c>
      <c r="I539" s="184" t="inlineStr">
        <is>
          <t>Perencanaan,penganggaran,pelaksanaan,pelaporan</t>
        </is>
      </c>
      <c r="J539" s="288" t="n"/>
      <c r="K539" s="184" t="inlineStr">
        <is>
          <t>Rahasia</t>
        </is>
      </c>
      <c r="L539" s="184" t="inlineStr">
        <is>
          <t>Tidak terdapat</t>
        </is>
      </c>
      <c r="M539" s="184" t="inlineStr">
        <is>
          <t>Bulanan</t>
        </is>
      </c>
      <c r="N539" s="67" t="inlineStr">
        <is>
          <t>sipd</t>
        </is>
      </c>
      <c r="O539" s="184" t="inlineStr">
        <is>
          <t>Pusat</t>
        </is>
      </c>
      <c r="P539" s="184" t="inlineStr">
        <is>
          <t>Pusat</t>
        </is>
      </c>
      <c r="Q539" s="184" t="inlineStr">
        <is>
          <t>Website dan Mobile</t>
        </is>
      </c>
      <c r="R539" s="131" t="inlineStr">
        <is>
          <t>sipd.ri.id</t>
        </is>
      </c>
      <c r="S539" s="184" t="inlineStr">
        <is>
          <t>Secara Online</t>
        </is>
      </c>
      <c r="T539" s="184" t="inlineStr">
        <is>
          <t>Informasi</t>
        </is>
      </c>
      <c r="U539" s="288" t="n"/>
      <c r="V539" s="184" t="inlineStr">
        <is>
          <t>Aktif</t>
        </is>
      </c>
      <c r="W539" s="184" t="inlineStr">
        <is>
          <t>Ya</t>
        </is>
      </c>
      <c r="X539" s="288" t="n"/>
      <c r="Y539" s="288" t="n"/>
      <c r="Z539" s="184" t="inlineStr">
        <is>
          <t>Bulanan</t>
        </is>
      </c>
      <c r="AA539" s="184" t="inlineStr">
        <is>
          <t>bag tata usaha</t>
        </is>
      </c>
      <c r="AB539" s="184" t="inlineStr">
        <is>
          <t>Dinkes</t>
        </is>
      </c>
      <c r="AC539" s="131" t="inlineStr">
        <is>
          <t>Josefan Dohardo Sihite, S.Tr.AK</t>
        </is>
      </c>
      <c r="AD539" s="184" t="n">
        <v>81280836809</v>
      </c>
      <c r="AE539" s="184" t="inlineStr">
        <is>
          <t>rsudpacira.official@gmail.com</t>
        </is>
      </c>
      <c r="AF539" s="288" t="n"/>
      <c r="AG539" s="68" t="inlineStr">
        <is>
          <t>Harian</t>
        </is>
      </c>
      <c r="AH539" s="284" t="n"/>
      <c r="AI539" s="284" t="n"/>
      <c r="AJ539" s="284" t="n"/>
      <c r="AK539" s="284" t="n"/>
      <c r="AL539" s="284" t="n"/>
      <c r="AM539" s="284" t="n"/>
      <c r="AN539" s="284" t="n"/>
      <c r="AO539" s="284" t="n"/>
      <c r="AP539" s="284" t="n"/>
      <c r="AQ539" s="284" t="n"/>
      <c r="AR539" s="284" t="n"/>
      <c r="AS539" s="284" t="n"/>
    </row>
    <row r="540">
      <c r="A540" s="182" t="n">
        <v>15</v>
      </c>
      <c r="B540" s="184" t="inlineStr">
        <is>
          <t>Layanan pelaporan kinerja</t>
        </is>
      </c>
      <c r="C540" t="inlineStr">
        <is>
          <t>RSUD BEDAS PACIRA</t>
        </is>
      </c>
      <c r="D540" s="219" t="inlineStr">
        <is>
          <t>E-LKPJ (Elektronik Laporan Keterangan Pertanggungjawaban) adalah sistem digital untuk menyusun laporan kinerja kepala daerah secara efisien, terstruktur, dan transparan. Tujuannya adalah mempercepat penyusunan laporan, menstandardisasi format sesuai regulasi Kemendagri. Meningkatkan akuntabilitas kepada DPRD/publik, serta memudahkan konsolidasi data kinerja antarperangkat daerah secara terpusat</t>
        </is>
      </c>
      <c r="E540" s="184" t="inlineStr">
        <is>
          <t>Aplikasi e-LKPJ dibangun dengan fitur-fitur yang mengakomodasi pelaporan
 seluruh perangkat daerah,dinas dan badan yang ada di Kabupaten dan atau
 Kota dengan menyesuaikan ketentuan dari regulasi peraturan
 perundang-undangan yang berlaku dari pusat seperti Peraturan Pemerintah Nomor 13
 Tahun 2019 dan Peraturan Menteri Dalam Negeri No. 18 Tahun 2020.</t>
        </is>
      </c>
      <c r="F540" s="288" t="n"/>
      <c r="G540" s="184" t="inlineStr">
        <is>
          <t>PENINGKATAN KUALITAS REFORMASI BIROKRASI, PENGAWASAN, DAN AKUNTABILITAS KINERJA</t>
        </is>
      </c>
      <c r="H540" s="184" t="inlineStr">
        <is>
          <t>Instansi Pemerintah Lainnya</t>
        </is>
      </c>
      <c r="I540" s="184" t="inlineStr">
        <is>
          <t>Data Capaian Kinerja Program dan Kegiatan, Indikator
 Data Capaian Pelaksanaan Anggaran dan Belanja
 Narasi Permasalahan dan Solusi
 Tindak lanjut Reomendasi DPRD
 Data Dukung Capaian Kinerja Berupa Penghargaan</t>
        </is>
      </c>
      <c r="J540" s="282" t="inlineStr">
        <is>
          <t>Dokumen digital yang terstruktur dan tervalidasi yang nantinya dicetak atau disampaikan secara elektronik sebagai bentuk pertanggungjawaban Kepala Daerah kepada DPRD.</t>
        </is>
      </c>
      <c r="K540" s="184" t="inlineStr">
        <is>
          <t>Terbuka</t>
        </is>
      </c>
      <c r="L540" s="184" t="inlineStr">
        <is>
          <t>Tidak terdapat</t>
        </is>
      </c>
      <c r="M540" s="184" t="inlineStr">
        <is>
          <t>Tahunan</t>
        </is>
      </c>
      <c r="N540" s="184" t="inlineStr">
        <is>
          <t>E-LKPJ</t>
        </is>
      </c>
      <c r="O540" s="184" t="inlineStr">
        <is>
          <t>OPD</t>
        </is>
      </c>
      <c r="P540" s="184" t="inlineStr">
        <is>
          <t>Kab. Bandung</t>
        </is>
      </c>
      <c r="Q540" s="184" t="inlineStr">
        <is>
          <t>Website</t>
        </is>
      </c>
      <c r="R540" s="131" t="inlineStr">
        <is>
          <t>https://e-lkpj.id/login</t>
        </is>
      </c>
      <c r="S540" s="184" t="inlineStr">
        <is>
          <t>Secara Online</t>
        </is>
      </c>
      <c r="T540" s="184" t="inlineStr">
        <is>
          <t>Informasi</t>
        </is>
      </c>
      <c r="U540" s="288" t="n"/>
      <c r="V540" s="184" t="inlineStr">
        <is>
          <t>Aktif</t>
        </is>
      </c>
      <c r="W540" s="184" t="inlineStr">
        <is>
          <t>Ya</t>
        </is>
      </c>
      <c r="X540" s="184" t="inlineStr">
        <is>
          <t>SIDALMONEP</t>
        </is>
      </c>
      <c r="Y540" s="288" t="n"/>
      <c r="Z540" s="288" t="n"/>
      <c r="AA540" s="184" t="inlineStr">
        <is>
          <t>Bagian Perencanaan dan Kehumasan</t>
        </is>
      </c>
      <c r="AB540" s="184" t="inlineStr">
        <is>
          <t>Setda</t>
        </is>
      </c>
      <c r="AC540" s="131" t="inlineStr">
        <is>
          <t>Josefan Dohardo Sihite, S.Tr.AK</t>
        </is>
      </c>
      <c r="AD540" s="184" t="n">
        <v>81280836809</v>
      </c>
      <c r="AE540" s="184" t="inlineStr">
        <is>
          <t>rsudpacira.official@gmail.com</t>
        </is>
      </c>
      <c r="AF540" s="288" t="n"/>
      <c r="AG540" s="64" t="inlineStr">
        <is>
          <t>Harian</t>
        </is>
      </c>
      <c r="AH540" s="284" t="n"/>
      <c r="AI540" s="284" t="n"/>
      <c r="AJ540" s="284" t="n"/>
      <c r="AK540" s="284" t="n"/>
      <c r="AL540" s="284" t="n"/>
      <c r="AM540" s="284" t="n"/>
      <c r="AN540" s="284" t="n"/>
      <c r="AO540" s="284" t="n"/>
      <c r="AP540" s="284" t="n"/>
      <c r="AQ540" s="284" t="n"/>
      <c r="AR540" s="284" t="n"/>
      <c r="AS540" s="284" t="n"/>
    </row>
  </sheetData>
  <autoFilter ref="$A$4:$AR$540"/>
  <mergeCells count="6">
    <mergeCell ref="AG58:AR58"/>
    <mergeCell ref="AG141:AH141"/>
    <mergeCell ref="AG143:AH143"/>
    <mergeCell ref="AG203:AH203"/>
    <mergeCell ref="AG75:AI75"/>
    <mergeCell ref="AG249:AH249"/>
  </mergeCells>
  <dataValidations count="17">
    <dataValidation sqref="O4:O540" showDropDown="0" showInputMessage="0" showErrorMessage="1" allowBlank="1" type="list">
      <formula1>Ref!$O$2:$O$5</formula1>
    </dataValidation>
    <dataValidation sqref="R4:R540" showDropDown="0" showInputMessage="0" showErrorMessage="1" allowBlank="1" type="list">
      <formula1>Ref!$R$2:$R$3</formula1>
    </dataValidation>
    <dataValidation sqref="F4:F540" showDropDown="0" showInputMessage="0" showErrorMessage="1" allowBlank="1" type="list">
      <formula1>Ref!$F$2:$F$307</formula1>
    </dataValidation>
    <dataValidation sqref="N4:N540" showDropDown="0" showInputMessage="0" showErrorMessage="1" allowBlank="1" type="list">
      <formula1>Ref!$N$2:$N$6</formula1>
    </dataValidation>
    <dataValidation sqref="AA4:AA540" showDropDown="0" showInputMessage="0" showErrorMessage="1" allowBlank="1" type="list">
      <formula1>Ref!$AA$2:$AA$33</formula1>
    </dataValidation>
    <dataValidation sqref="X4:X540" showDropDown="0" showInputMessage="0" showErrorMessage="1" allowBlank="1" type="list">
      <formula1>Ref!$X$2:$X$6</formula1>
    </dataValidation>
    <dataValidation sqref="Y4:Y540" showDropDown="0" showInputMessage="0" showErrorMessage="1" allowBlank="1" type="list">
      <formula1>Ref!$Y$2:$Y$8</formula1>
    </dataValidation>
    <dataValidation sqref="G4:G540" showDropDown="0" showInputMessage="0" showErrorMessage="1" allowBlank="1" type="list">
      <formula1>Ref!$G$2:$G$5</formula1>
    </dataValidation>
    <dataValidation sqref="K4:K540" showDropDown="0" showInputMessage="0" showErrorMessage="1" allowBlank="1" type="list">
      <formula1>Ref!$K$2:$K$3</formula1>
    </dataValidation>
    <dataValidation sqref="AF4" showDropDown="0" showInputMessage="0" showErrorMessage="1" allowBlank="1" type="list">
      <formula1>"Setiap Saat,Harian,Bulanan,Tahunan,Insidentil"</formula1>
    </dataValidation>
    <dataValidation sqref="S4:S540" showDropDown="0" showInputMessage="0" showErrorMessage="1" allowBlank="1" type="list">
      <formula1>Ref!$S$2:$S$3</formula1>
    </dataValidation>
    <dataValidation sqref="V4:V540" showDropDown="0" showInputMessage="0" showErrorMessage="1" allowBlank="1" type="list">
      <formula1>Ref!$V$2:$V$3</formula1>
    </dataValidation>
    <dataValidation sqref="P4:P540" showDropDown="0" showInputMessage="0" showErrorMessage="1" allowBlank="1" type="list">
      <formula1>Ref!$P$2:$P$5</formula1>
    </dataValidation>
    <dataValidation sqref="M8 M13 M17" showDropDown="0" showInputMessage="0" showErrorMessage="0" allowBlank="1" type="list">
      <formula1>#REF!</formula1>
    </dataValidation>
    <dataValidation sqref="J4:J540" showDropDown="0" showInputMessage="0" showErrorMessage="1" allowBlank="1" type="list">
      <formula1>Ref!$J$2:$J$5</formula1>
    </dataValidation>
    <dataValidation sqref="U4:U540" showDropDown="0" showInputMessage="0" showErrorMessage="1" allowBlank="1" type="list">
      <formula1>Ref!$U$2:$U$4</formula1>
    </dataValidation>
    <dataValidation sqref="L4:L540" showDropDown="0" showInputMessage="0" showErrorMessage="1" allowBlank="1" type="list">
      <formula1>Ref!$L$2:$L$6</formula1>
    </dataValidation>
  </dataValidations>
  <hyperlinks>
    <hyperlink xmlns:r="http://schemas.openxmlformats.org/officeDocument/2006/relationships" ref="Q4" r:id="rId1"/>
    <hyperlink xmlns:r="http://schemas.openxmlformats.org/officeDocument/2006/relationships" ref="AB4" r:id="rId2"/>
    <hyperlink xmlns:r="http://schemas.openxmlformats.org/officeDocument/2006/relationships" ref="Q7" r:id="rId3"/>
    <hyperlink xmlns:r="http://schemas.openxmlformats.org/officeDocument/2006/relationships" ref="Q8" r:id="rId4"/>
    <hyperlink xmlns:r="http://schemas.openxmlformats.org/officeDocument/2006/relationships" ref="Q14" r:id="rId5"/>
    <hyperlink xmlns:r="http://schemas.openxmlformats.org/officeDocument/2006/relationships" ref="Q17" r:id="rId6"/>
    <hyperlink xmlns:r="http://schemas.openxmlformats.org/officeDocument/2006/relationships" ref="Q21" r:id="rId7"/>
    <hyperlink xmlns:r="http://schemas.openxmlformats.org/officeDocument/2006/relationships" ref="Q23" r:id="rId8"/>
    <hyperlink xmlns:r="http://schemas.openxmlformats.org/officeDocument/2006/relationships" ref="Q24" r:id="rId9"/>
    <hyperlink xmlns:r="http://schemas.openxmlformats.org/officeDocument/2006/relationships" ref="Q25" r:id="rId10"/>
    <hyperlink xmlns:r="http://schemas.openxmlformats.org/officeDocument/2006/relationships" ref="Q26" r:id="rId11"/>
    <hyperlink xmlns:r="http://schemas.openxmlformats.org/officeDocument/2006/relationships" ref="Q27" r:id="rId12"/>
    <hyperlink xmlns:r="http://schemas.openxmlformats.org/officeDocument/2006/relationships" ref="Q28" r:id="rId13"/>
    <hyperlink xmlns:r="http://schemas.openxmlformats.org/officeDocument/2006/relationships" ref="Q30" r:id="rId14"/>
    <hyperlink xmlns:r="http://schemas.openxmlformats.org/officeDocument/2006/relationships" ref="Q31" r:id="rId15"/>
    <hyperlink xmlns:r="http://schemas.openxmlformats.org/officeDocument/2006/relationships" ref="Q32" r:id="rId16"/>
    <hyperlink xmlns:r="http://schemas.openxmlformats.org/officeDocument/2006/relationships" ref="Q33" r:id="rId17"/>
    <hyperlink xmlns:r="http://schemas.openxmlformats.org/officeDocument/2006/relationships" ref="Q34" r:id="rId18"/>
    <hyperlink xmlns:r="http://schemas.openxmlformats.org/officeDocument/2006/relationships" ref="Q35" r:id="rId19"/>
    <hyperlink xmlns:r="http://schemas.openxmlformats.org/officeDocument/2006/relationships" ref="Q37" r:id="rId20"/>
    <hyperlink xmlns:r="http://schemas.openxmlformats.org/officeDocument/2006/relationships" ref="Q38" r:id="rId21"/>
    <hyperlink xmlns:r="http://schemas.openxmlformats.org/officeDocument/2006/relationships" ref="Q41" r:id="rId22"/>
    <hyperlink xmlns:r="http://schemas.openxmlformats.org/officeDocument/2006/relationships" ref="AB41" r:id="rId23"/>
    <hyperlink xmlns:r="http://schemas.openxmlformats.org/officeDocument/2006/relationships" ref="Q42" r:id="rId24"/>
    <hyperlink xmlns:r="http://schemas.openxmlformats.org/officeDocument/2006/relationships" ref="AB42" r:id="rId25"/>
    <hyperlink xmlns:r="http://schemas.openxmlformats.org/officeDocument/2006/relationships" ref="Q43" r:id="rId26"/>
    <hyperlink xmlns:r="http://schemas.openxmlformats.org/officeDocument/2006/relationships" ref="Q44" r:id="rId27"/>
    <hyperlink xmlns:r="http://schemas.openxmlformats.org/officeDocument/2006/relationships" ref="AB44" r:id="rId28"/>
    <hyperlink xmlns:r="http://schemas.openxmlformats.org/officeDocument/2006/relationships" ref="Q46" r:id="rId29"/>
    <hyperlink xmlns:r="http://schemas.openxmlformats.org/officeDocument/2006/relationships" ref="Q49" r:id="rId30"/>
    <hyperlink xmlns:r="http://schemas.openxmlformats.org/officeDocument/2006/relationships" ref="AB49" r:id="rId31"/>
    <hyperlink xmlns:r="http://schemas.openxmlformats.org/officeDocument/2006/relationships" ref="Q50" r:id="rId32"/>
    <hyperlink xmlns:r="http://schemas.openxmlformats.org/officeDocument/2006/relationships" ref="AB50" r:id="rId33"/>
    <hyperlink xmlns:r="http://schemas.openxmlformats.org/officeDocument/2006/relationships" ref="Q51" r:id="rId34"/>
    <hyperlink xmlns:r="http://schemas.openxmlformats.org/officeDocument/2006/relationships" ref="AB51" r:id="rId35"/>
    <hyperlink xmlns:r="http://schemas.openxmlformats.org/officeDocument/2006/relationships" ref="Q53" r:id="rId36"/>
    <hyperlink xmlns:r="http://schemas.openxmlformats.org/officeDocument/2006/relationships" ref="Q55" r:id="rId37"/>
    <hyperlink xmlns:r="http://schemas.openxmlformats.org/officeDocument/2006/relationships" ref="Q56" r:id="rId38"/>
    <hyperlink xmlns:r="http://schemas.openxmlformats.org/officeDocument/2006/relationships" ref="Q58" r:id="rId39"/>
    <hyperlink xmlns:r="http://schemas.openxmlformats.org/officeDocument/2006/relationships" ref="Q60" r:id="rId40"/>
    <hyperlink xmlns:r="http://schemas.openxmlformats.org/officeDocument/2006/relationships" ref="Q61" r:id="rId41"/>
    <hyperlink xmlns:r="http://schemas.openxmlformats.org/officeDocument/2006/relationships" ref="Q62" location="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 r:id="rId42"/>
    <hyperlink xmlns:r="http://schemas.openxmlformats.org/officeDocument/2006/relationships" ref="Q63" r:id="rId43"/>
    <hyperlink xmlns:r="http://schemas.openxmlformats.org/officeDocument/2006/relationships" ref="Q64" r:id="rId44"/>
    <hyperlink xmlns:r="http://schemas.openxmlformats.org/officeDocument/2006/relationships" ref="Q65" r:id="rId45"/>
    <hyperlink xmlns:r="http://schemas.openxmlformats.org/officeDocument/2006/relationships" ref="Q66" r:id="rId46"/>
    <hyperlink xmlns:r="http://schemas.openxmlformats.org/officeDocument/2006/relationships" ref="Q67" r:id="rId47"/>
    <hyperlink xmlns:r="http://schemas.openxmlformats.org/officeDocument/2006/relationships" ref="Q68" r:id="rId48"/>
    <hyperlink xmlns:r="http://schemas.openxmlformats.org/officeDocument/2006/relationships" ref="E70" r:id="rId49"/>
    <hyperlink xmlns:r="http://schemas.openxmlformats.org/officeDocument/2006/relationships" ref="Q70" r:id="rId50"/>
    <hyperlink xmlns:r="http://schemas.openxmlformats.org/officeDocument/2006/relationships" ref="Q71" r:id="rId51"/>
    <hyperlink xmlns:r="http://schemas.openxmlformats.org/officeDocument/2006/relationships" ref="E73" r:id="rId52"/>
    <hyperlink xmlns:r="http://schemas.openxmlformats.org/officeDocument/2006/relationships" ref="Q73" r:id="rId53"/>
    <hyperlink xmlns:r="http://schemas.openxmlformats.org/officeDocument/2006/relationships" ref="Q75" r:id="rId54"/>
    <hyperlink xmlns:r="http://schemas.openxmlformats.org/officeDocument/2006/relationships" ref="AB75" r:id="rId55"/>
    <hyperlink xmlns:r="http://schemas.openxmlformats.org/officeDocument/2006/relationships" ref="Q76" location="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 r:id="rId56"/>
    <hyperlink xmlns:r="http://schemas.openxmlformats.org/officeDocument/2006/relationships" ref="AB76" r:id="rId57"/>
    <hyperlink xmlns:r="http://schemas.openxmlformats.org/officeDocument/2006/relationships" ref="E78" r:id="rId58"/>
    <hyperlink xmlns:r="http://schemas.openxmlformats.org/officeDocument/2006/relationships" ref="Q79" r:id="rId59"/>
    <hyperlink xmlns:r="http://schemas.openxmlformats.org/officeDocument/2006/relationships" ref="Q80" r:id="rId60"/>
    <hyperlink xmlns:r="http://schemas.openxmlformats.org/officeDocument/2006/relationships" ref="E83" r:id="rId61"/>
    <hyperlink xmlns:r="http://schemas.openxmlformats.org/officeDocument/2006/relationships" ref="Q83" r:id="rId62"/>
    <hyperlink xmlns:r="http://schemas.openxmlformats.org/officeDocument/2006/relationships" ref="E84" r:id="rId63"/>
    <hyperlink xmlns:r="http://schemas.openxmlformats.org/officeDocument/2006/relationships" ref="M84" r:id="rId64"/>
    <hyperlink xmlns:r="http://schemas.openxmlformats.org/officeDocument/2006/relationships" ref="Q84" r:id="rId65"/>
    <hyperlink xmlns:r="http://schemas.openxmlformats.org/officeDocument/2006/relationships" ref="Q86" r:id="rId66"/>
    <hyperlink xmlns:r="http://schemas.openxmlformats.org/officeDocument/2006/relationships" ref="Q87" r:id="rId67"/>
    <hyperlink xmlns:r="http://schemas.openxmlformats.org/officeDocument/2006/relationships" ref="Q91" r:id="rId68"/>
    <hyperlink xmlns:r="http://schemas.openxmlformats.org/officeDocument/2006/relationships" ref="Q92" r:id="rId69"/>
    <hyperlink xmlns:r="http://schemas.openxmlformats.org/officeDocument/2006/relationships" ref="Q93" r:id="rId70"/>
    <hyperlink xmlns:r="http://schemas.openxmlformats.org/officeDocument/2006/relationships" ref="Q94" r:id="rId71"/>
    <hyperlink xmlns:r="http://schemas.openxmlformats.org/officeDocument/2006/relationships" ref="Q96" r:id="rId72"/>
    <hyperlink xmlns:r="http://schemas.openxmlformats.org/officeDocument/2006/relationships" ref="Q97" r:id="rId73"/>
    <hyperlink xmlns:r="http://schemas.openxmlformats.org/officeDocument/2006/relationships" ref="Q98" r:id="rId74"/>
    <hyperlink xmlns:r="http://schemas.openxmlformats.org/officeDocument/2006/relationships" ref="Q100" r:id="rId75"/>
    <hyperlink xmlns:r="http://schemas.openxmlformats.org/officeDocument/2006/relationships" ref="Q101" r:id="rId76"/>
    <hyperlink xmlns:r="http://schemas.openxmlformats.org/officeDocument/2006/relationships" ref="Q102" r:id="rId77"/>
    <hyperlink xmlns:r="http://schemas.openxmlformats.org/officeDocument/2006/relationships" ref="Q103" r:id="rId78"/>
    <hyperlink xmlns:r="http://schemas.openxmlformats.org/officeDocument/2006/relationships" ref="Q106" r:id="rId79"/>
    <hyperlink xmlns:r="http://schemas.openxmlformats.org/officeDocument/2006/relationships" ref="Q107" r:id="rId80"/>
    <hyperlink xmlns:r="http://schemas.openxmlformats.org/officeDocument/2006/relationships" ref="Q108" r:id="rId81"/>
    <hyperlink xmlns:r="http://schemas.openxmlformats.org/officeDocument/2006/relationships" ref="Q111" r:id="rId82"/>
    <hyperlink xmlns:r="http://schemas.openxmlformats.org/officeDocument/2006/relationships" ref="Q116" r:id="rId83"/>
    <hyperlink xmlns:r="http://schemas.openxmlformats.org/officeDocument/2006/relationships" ref="Q118" r:id="rId84"/>
    <hyperlink xmlns:r="http://schemas.openxmlformats.org/officeDocument/2006/relationships" ref="E119" r:id="rId85"/>
    <hyperlink xmlns:r="http://schemas.openxmlformats.org/officeDocument/2006/relationships" ref="Q119" r:id="rId86"/>
    <hyperlink xmlns:r="http://schemas.openxmlformats.org/officeDocument/2006/relationships" ref="E120" r:id="rId87"/>
    <hyperlink xmlns:r="http://schemas.openxmlformats.org/officeDocument/2006/relationships" ref="Q120" r:id="rId88"/>
    <hyperlink xmlns:r="http://schemas.openxmlformats.org/officeDocument/2006/relationships" ref="Q121" r:id="rId89"/>
    <hyperlink xmlns:r="http://schemas.openxmlformats.org/officeDocument/2006/relationships" ref="E122" r:id="rId90"/>
    <hyperlink xmlns:r="http://schemas.openxmlformats.org/officeDocument/2006/relationships" ref="Q122" r:id="rId91"/>
    <hyperlink xmlns:r="http://schemas.openxmlformats.org/officeDocument/2006/relationships" ref="E123" r:id="rId92"/>
    <hyperlink xmlns:r="http://schemas.openxmlformats.org/officeDocument/2006/relationships" ref="Q123" r:id="rId93"/>
    <hyperlink xmlns:r="http://schemas.openxmlformats.org/officeDocument/2006/relationships" ref="Q124" r:id="rId94"/>
    <hyperlink xmlns:r="http://schemas.openxmlformats.org/officeDocument/2006/relationships" ref="E125" r:id="rId95"/>
    <hyperlink xmlns:r="http://schemas.openxmlformats.org/officeDocument/2006/relationships" ref="E130" r:id="rId96"/>
    <hyperlink xmlns:r="http://schemas.openxmlformats.org/officeDocument/2006/relationships" ref="Q130" r:id="rId97"/>
    <hyperlink xmlns:r="http://schemas.openxmlformats.org/officeDocument/2006/relationships" ref="E132" r:id="rId98"/>
    <hyperlink xmlns:r="http://schemas.openxmlformats.org/officeDocument/2006/relationships" ref="Q132" r:id="rId99"/>
    <hyperlink xmlns:r="http://schemas.openxmlformats.org/officeDocument/2006/relationships" ref="E133" r:id="rId100"/>
    <hyperlink xmlns:r="http://schemas.openxmlformats.org/officeDocument/2006/relationships" ref="E134" r:id="rId101"/>
    <hyperlink xmlns:r="http://schemas.openxmlformats.org/officeDocument/2006/relationships" ref="E135" r:id="rId102"/>
    <hyperlink xmlns:r="http://schemas.openxmlformats.org/officeDocument/2006/relationships" ref="E136" r:id="rId103"/>
    <hyperlink xmlns:r="http://schemas.openxmlformats.org/officeDocument/2006/relationships" ref="E137" r:id="rId104"/>
    <hyperlink xmlns:r="http://schemas.openxmlformats.org/officeDocument/2006/relationships" ref="AB137" r:id="rId105"/>
    <hyperlink xmlns:r="http://schemas.openxmlformats.org/officeDocument/2006/relationships" ref="E138" r:id="rId106"/>
    <hyperlink xmlns:r="http://schemas.openxmlformats.org/officeDocument/2006/relationships" ref="E140" r:id="rId107"/>
    <hyperlink xmlns:r="http://schemas.openxmlformats.org/officeDocument/2006/relationships" ref="Q140" r:id="rId108"/>
    <hyperlink xmlns:r="http://schemas.openxmlformats.org/officeDocument/2006/relationships" ref="W140" r:id="rId109"/>
    <hyperlink xmlns:r="http://schemas.openxmlformats.org/officeDocument/2006/relationships" ref="Q141" r:id="rId110"/>
    <hyperlink xmlns:r="http://schemas.openxmlformats.org/officeDocument/2006/relationships" ref="W141" r:id="rId111"/>
    <hyperlink xmlns:r="http://schemas.openxmlformats.org/officeDocument/2006/relationships" ref="Q142" r:id="rId112"/>
    <hyperlink xmlns:r="http://schemas.openxmlformats.org/officeDocument/2006/relationships" ref="E143" r:id="rId113"/>
    <hyperlink xmlns:r="http://schemas.openxmlformats.org/officeDocument/2006/relationships" ref="Q143" r:id="rId114"/>
    <hyperlink xmlns:r="http://schemas.openxmlformats.org/officeDocument/2006/relationships" ref="E145" r:id="rId115"/>
    <hyperlink xmlns:r="http://schemas.openxmlformats.org/officeDocument/2006/relationships" ref="Q145" r:id="rId116"/>
    <hyperlink xmlns:r="http://schemas.openxmlformats.org/officeDocument/2006/relationships" ref="E146" r:id="rId117"/>
    <hyperlink xmlns:r="http://schemas.openxmlformats.org/officeDocument/2006/relationships" ref="Q146" r:id="rId118"/>
    <hyperlink xmlns:r="http://schemas.openxmlformats.org/officeDocument/2006/relationships" ref="Q147" r:id="rId119"/>
    <hyperlink xmlns:r="http://schemas.openxmlformats.org/officeDocument/2006/relationships" ref="E148" r:id="rId120"/>
    <hyperlink xmlns:r="http://schemas.openxmlformats.org/officeDocument/2006/relationships" ref="Q148" r:id="rId121"/>
    <hyperlink xmlns:r="http://schemas.openxmlformats.org/officeDocument/2006/relationships" ref="E149" r:id="rId122"/>
    <hyperlink xmlns:r="http://schemas.openxmlformats.org/officeDocument/2006/relationships" ref="Q149" r:id="rId123"/>
    <hyperlink xmlns:r="http://schemas.openxmlformats.org/officeDocument/2006/relationships" ref="Q150" r:id="rId124"/>
    <hyperlink xmlns:r="http://schemas.openxmlformats.org/officeDocument/2006/relationships" ref="Q152" r:id="rId125"/>
    <hyperlink xmlns:r="http://schemas.openxmlformats.org/officeDocument/2006/relationships" ref="Q153" r:id="rId126"/>
    <hyperlink xmlns:r="http://schemas.openxmlformats.org/officeDocument/2006/relationships" ref="Q154" r:id="rId127"/>
    <hyperlink xmlns:r="http://schemas.openxmlformats.org/officeDocument/2006/relationships" ref="Q155" r:id="rId128"/>
    <hyperlink xmlns:r="http://schemas.openxmlformats.org/officeDocument/2006/relationships" ref="Q156" r:id="rId129"/>
    <hyperlink xmlns:r="http://schemas.openxmlformats.org/officeDocument/2006/relationships" ref="Q157" r:id="rId130"/>
    <hyperlink xmlns:r="http://schemas.openxmlformats.org/officeDocument/2006/relationships" ref="Q158" r:id="rId131"/>
    <hyperlink xmlns:r="http://schemas.openxmlformats.org/officeDocument/2006/relationships" ref="E160" r:id="rId132"/>
    <hyperlink xmlns:r="http://schemas.openxmlformats.org/officeDocument/2006/relationships" ref="Q160" r:id="rId133"/>
    <hyperlink xmlns:r="http://schemas.openxmlformats.org/officeDocument/2006/relationships" ref="Q161" r:id="rId134"/>
    <hyperlink xmlns:r="http://schemas.openxmlformats.org/officeDocument/2006/relationships" ref="E162" r:id="rId135"/>
    <hyperlink xmlns:r="http://schemas.openxmlformats.org/officeDocument/2006/relationships" ref="Q162" r:id="rId136"/>
    <hyperlink xmlns:r="http://schemas.openxmlformats.org/officeDocument/2006/relationships" ref="Q164" location="/" r:id="rId137"/>
    <hyperlink xmlns:r="http://schemas.openxmlformats.org/officeDocument/2006/relationships" ref="Q165" location="/home/login" r:id="rId138"/>
    <hyperlink xmlns:r="http://schemas.openxmlformats.org/officeDocument/2006/relationships" ref="Q166" r:id="rId139"/>
    <hyperlink xmlns:r="http://schemas.openxmlformats.org/officeDocument/2006/relationships" ref="Q167" r:id="rId140"/>
    <hyperlink xmlns:r="http://schemas.openxmlformats.org/officeDocument/2006/relationships" ref="E168" r:id="rId141"/>
    <hyperlink xmlns:r="http://schemas.openxmlformats.org/officeDocument/2006/relationships" ref="Q168" r:id="rId142"/>
    <hyperlink xmlns:r="http://schemas.openxmlformats.org/officeDocument/2006/relationships" ref="E169" r:id="rId143"/>
    <hyperlink xmlns:r="http://schemas.openxmlformats.org/officeDocument/2006/relationships" ref="Q169" r:id="rId144"/>
    <hyperlink xmlns:r="http://schemas.openxmlformats.org/officeDocument/2006/relationships" ref="E170" r:id="rId145"/>
    <hyperlink xmlns:r="http://schemas.openxmlformats.org/officeDocument/2006/relationships" ref="Q170" r:id="rId146"/>
    <hyperlink xmlns:r="http://schemas.openxmlformats.org/officeDocument/2006/relationships" ref="Q171" r:id="rId147"/>
    <hyperlink xmlns:r="http://schemas.openxmlformats.org/officeDocument/2006/relationships" ref="F173" r:id="rId148"/>
    <hyperlink xmlns:r="http://schemas.openxmlformats.org/officeDocument/2006/relationships" ref="R174" r:id="rId149"/>
    <hyperlink xmlns:r="http://schemas.openxmlformats.org/officeDocument/2006/relationships" ref="Q176" r:id="rId150"/>
    <hyperlink xmlns:r="http://schemas.openxmlformats.org/officeDocument/2006/relationships" ref="Q177" r:id="rId151"/>
    <hyperlink xmlns:r="http://schemas.openxmlformats.org/officeDocument/2006/relationships" ref="Q178" r:id="rId152"/>
    <hyperlink xmlns:r="http://schemas.openxmlformats.org/officeDocument/2006/relationships" ref="Q179" r:id="rId153"/>
    <hyperlink xmlns:r="http://schemas.openxmlformats.org/officeDocument/2006/relationships" ref="Q180" r:id="rId154"/>
    <hyperlink xmlns:r="http://schemas.openxmlformats.org/officeDocument/2006/relationships" ref="Q181" r:id="rId155"/>
    <hyperlink xmlns:r="http://schemas.openxmlformats.org/officeDocument/2006/relationships" ref="Q183" r:id="rId156"/>
    <hyperlink xmlns:r="http://schemas.openxmlformats.org/officeDocument/2006/relationships" ref="Q184" r:id="rId157"/>
    <hyperlink xmlns:r="http://schemas.openxmlformats.org/officeDocument/2006/relationships" ref="Q186" r:id="rId158"/>
    <hyperlink xmlns:r="http://schemas.openxmlformats.org/officeDocument/2006/relationships" ref="Q187" r:id="rId159"/>
    <hyperlink xmlns:r="http://schemas.openxmlformats.org/officeDocument/2006/relationships" ref="Q188" r:id="rId160"/>
    <hyperlink xmlns:r="http://schemas.openxmlformats.org/officeDocument/2006/relationships" ref="E189" r:id="rId161"/>
    <hyperlink xmlns:r="http://schemas.openxmlformats.org/officeDocument/2006/relationships" ref="E191" r:id="rId162"/>
    <hyperlink xmlns:r="http://schemas.openxmlformats.org/officeDocument/2006/relationships" ref="Q191" r:id="rId163"/>
    <hyperlink xmlns:r="http://schemas.openxmlformats.org/officeDocument/2006/relationships" ref="E192" r:id="rId164"/>
    <hyperlink xmlns:r="http://schemas.openxmlformats.org/officeDocument/2006/relationships" ref="Q192" r:id="rId165"/>
    <hyperlink xmlns:r="http://schemas.openxmlformats.org/officeDocument/2006/relationships" ref="E193" r:id="rId166"/>
    <hyperlink xmlns:r="http://schemas.openxmlformats.org/officeDocument/2006/relationships" ref="Q193" r:id="rId167"/>
    <hyperlink xmlns:r="http://schemas.openxmlformats.org/officeDocument/2006/relationships" ref="AB193" r:id="rId168"/>
    <hyperlink xmlns:r="http://schemas.openxmlformats.org/officeDocument/2006/relationships" ref="E194" r:id="rId169"/>
    <hyperlink xmlns:r="http://schemas.openxmlformats.org/officeDocument/2006/relationships" ref="Q194" r:id="rId170"/>
    <hyperlink xmlns:r="http://schemas.openxmlformats.org/officeDocument/2006/relationships" ref="Q195" r:id="rId171"/>
    <hyperlink xmlns:r="http://schemas.openxmlformats.org/officeDocument/2006/relationships" ref="E196" r:id="rId172"/>
    <hyperlink xmlns:r="http://schemas.openxmlformats.org/officeDocument/2006/relationships" ref="M196" r:id="rId173"/>
    <hyperlink xmlns:r="http://schemas.openxmlformats.org/officeDocument/2006/relationships" ref="Q196" r:id="rId174"/>
    <hyperlink xmlns:r="http://schemas.openxmlformats.org/officeDocument/2006/relationships" ref="E197" r:id="rId175"/>
    <hyperlink xmlns:r="http://schemas.openxmlformats.org/officeDocument/2006/relationships" ref="Q198" r:id="rId176"/>
    <hyperlink xmlns:r="http://schemas.openxmlformats.org/officeDocument/2006/relationships" ref="Q199" r:id="rId177"/>
    <hyperlink xmlns:r="http://schemas.openxmlformats.org/officeDocument/2006/relationships" ref="E200" r:id="rId178"/>
    <hyperlink xmlns:r="http://schemas.openxmlformats.org/officeDocument/2006/relationships" ref="E201" r:id="rId179"/>
    <hyperlink xmlns:r="http://schemas.openxmlformats.org/officeDocument/2006/relationships" ref="Q201" r:id="rId180"/>
    <hyperlink xmlns:r="http://schemas.openxmlformats.org/officeDocument/2006/relationships" ref="E203" r:id="rId181"/>
    <hyperlink xmlns:r="http://schemas.openxmlformats.org/officeDocument/2006/relationships" ref="Q203" r:id="rId182"/>
    <hyperlink xmlns:r="http://schemas.openxmlformats.org/officeDocument/2006/relationships" ref="E204" r:id="rId183"/>
    <hyperlink xmlns:r="http://schemas.openxmlformats.org/officeDocument/2006/relationships" ref="Q204" r:id="rId184"/>
    <hyperlink xmlns:r="http://schemas.openxmlformats.org/officeDocument/2006/relationships" ref="E205" r:id="rId185"/>
    <hyperlink xmlns:r="http://schemas.openxmlformats.org/officeDocument/2006/relationships" ref="Q205" r:id="rId186"/>
    <hyperlink xmlns:r="http://schemas.openxmlformats.org/officeDocument/2006/relationships" ref="Q206" r:id="rId187"/>
    <hyperlink xmlns:r="http://schemas.openxmlformats.org/officeDocument/2006/relationships" ref="E207" r:id="rId188"/>
    <hyperlink xmlns:r="http://schemas.openxmlformats.org/officeDocument/2006/relationships" ref="Q207" r:id="rId189"/>
    <hyperlink xmlns:r="http://schemas.openxmlformats.org/officeDocument/2006/relationships" ref="E208" r:id="rId190"/>
    <hyperlink xmlns:r="http://schemas.openxmlformats.org/officeDocument/2006/relationships" ref="Q208" r:id="rId191"/>
    <hyperlink xmlns:r="http://schemas.openxmlformats.org/officeDocument/2006/relationships" ref="E209" r:id="rId192"/>
    <hyperlink xmlns:r="http://schemas.openxmlformats.org/officeDocument/2006/relationships" ref="Q209" r:id="rId193"/>
    <hyperlink xmlns:r="http://schemas.openxmlformats.org/officeDocument/2006/relationships" ref="E211" r:id="rId194"/>
    <hyperlink xmlns:r="http://schemas.openxmlformats.org/officeDocument/2006/relationships" ref="Q211" r:id="rId195"/>
    <hyperlink xmlns:r="http://schemas.openxmlformats.org/officeDocument/2006/relationships" ref="E212" r:id="rId196"/>
    <hyperlink xmlns:r="http://schemas.openxmlformats.org/officeDocument/2006/relationships" ref="Q212" r:id="rId197"/>
    <hyperlink xmlns:r="http://schemas.openxmlformats.org/officeDocument/2006/relationships" ref="E213" r:id="rId198"/>
    <hyperlink xmlns:r="http://schemas.openxmlformats.org/officeDocument/2006/relationships" ref="Q213" r:id="rId199"/>
    <hyperlink xmlns:r="http://schemas.openxmlformats.org/officeDocument/2006/relationships" ref="Q215" r:id="rId200"/>
    <hyperlink xmlns:r="http://schemas.openxmlformats.org/officeDocument/2006/relationships" ref="Q217" r:id="rId201"/>
    <hyperlink xmlns:r="http://schemas.openxmlformats.org/officeDocument/2006/relationships" ref="AB217" r:id="rId202"/>
    <hyperlink xmlns:r="http://schemas.openxmlformats.org/officeDocument/2006/relationships" ref="Q218" r:id="rId203"/>
    <hyperlink xmlns:r="http://schemas.openxmlformats.org/officeDocument/2006/relationships" ref="Q219" r:id="rId204"/>
    <hyperlink xmlns:r="http://schemas.openxmlformats.org/officeDocument/2006/relationships" ref="Q220" r:id="rId205"/>
    <hyperlink xmlns:r="http://schemas.openxmlformats.org/officeDocument/2006/relationships" ref="AB220" r:id="rId206"/>
    <hyperlink xmlns:r="http://schemas.openxmlformats.org/officeDocument/2006/relationships" ref="E222" r:id="rId207"/>
    <hyperlink xmlns:r="http://schemas.openxmlformats.org/officeDocument/2006/relationships" ref="Q222" r:id="rId208"/>
    <hyperlink xmlns:r="http://schemas.openxmlformats.org/officeDocument/2006/relationships" ref="AB222" r:id="rId209"/>
    <hyperlink xmlns:r="http://schemas.openxmlformats.org/officeDocument/2006/relationships" ref="E223" r:id="rId210"/>
    <hyperlink xmlns:r="http://schemas.openxmlformats.org/officeDocument/2006/relationships" ref="Q223" r:id="rId211"/>
    <hyperlink xmlns:r="http://schemas.openxmlformats.org/officeDocument/2006/relationships" ref="Q224" r:id="rId212"/>
    <hyperlink xmlns:r="http://schemas.openxmlformats.org/officeDocument/2006/relationships" ref="Q225" r:id="rId213"/>
    <hyperlink xmlns:r="http://schemas.openxmlformats.org/officeDocument/2006/relationships" ref="Q226" r:id="rId214"/>
    <hyperlink xmlns:r="http://schemas.openxmlformats.org/officeDocument/2006/relationships" ref="E228" r:id="rId215"/>
    <hyperlink xmlns:r="http://schemas.openxmlformats.org/officeDocument/2006/relationships" ref="Q228" r:id="rId216"/>
    <hyperlink xmlns:r="http://schemas.openxmlformats.org/officeDocument/2006/relationships" ref="E229" r:id="rId217"/>
    <hyperlink xmlns:r="http://schemas.openxmlformats.org/officeDocument/2006/relationships" ref="Q229" r:id="rId218"/>
    <hyperlink xmlns:r="http://schemas.openxmlformats.org/officeDocument/2006/relationships" ref="E230" r:id="rId219"/>
    <hyperlink xmlns:r="http://schemas.openxmlformats.org/officeDocument/2006/relationships" ref="Q230" r:id="rId220"/>
    <hyperlink xmlns:r="http://schemas.openxmlformats.org/officeDocument/2006/relationships" ref="E231" r:id="rId221"/>
    <hyperlink xmlns:r="http://schemas.openxmlformats.org/officeDocument/2006/relationships" ref="Q231" r:id="rId222"/>
    <hyperlink xmlns:r="http://schemas.openxmlformats.org/officeDocument/2006/relationships" ref="E232" r:id="rId223"/>
    <hyperlink xmlns:r="http://schemas.openxmlformats.org/officeDocument/2006/relationships" ref="E233" r:id="rId224"/>
    <hyperlink xmlns:r="http://schemas.openxmlformats.org/officeDocument/2006/relationships" ref="E234" r:id="rId225"/>
    <hyperlink xmlns:r="http://schemas.openxmlformats.org/officeDocument/2006/relationships" ref="E235" r:id="rId226"/>
    <hyperlink xmlns:r="http://schemas.openxmlformats.org/officeDocument/2006/relationships" ref="Q237" r:id="rId227"/>
    <hyperlink xmlns:r="http://schemas.openxmlformats.org/officeDocument/2006/relationships" ref="E238" r:id="rId228"/>
    <hyperlink xmlns:r="http://schemas.openxmlformats.org/officeDocument/2006/relationships" ref="E241" r:id="rId229"/>
    <hyperlink xmlns:r="http://schemas.openxmlformats.org/officeDocument/2006/relationships" ref="Q241" r:id="rId230"/>
    <hyperlink xmlns:r="http://schemas.openxmlformats.org/officeDocument/2006/relationships" ref="E244" r:id="rId231"/>
    <hyperlink xmlns:r="http://schemas.openxmlformats.org/officeDocument/2006/relationships" ref="Q244" r:id="rId232"/>
    <hyperlink xmlns:r="http://schemas.openxmlformats.org/officeDocument/2006/relationships" ref="E245" r:id="rId233"/>
    <hyperlink xmlns:r="http://schemas.openxmlformats.org/officeDocument/2006/relationships" ref="E246" r:id="rId234"/>
    <hyperlink xmlns:r="http://schemas.openxmlformats.org/officeDocument/2006/relationships" ref="Q246" r:id="rId235"/>
    <hyperlink xmlns:r="http://schemas.openxmlformats.org/officeDocument/2006/relationships" ref="E247" r:id="rId236"/>
    <hyperlink xmlns:r="http://schemas.openxmlformats.org/officeDocument/2006/relationships" ref="Q247" r:id="rId237"/>
    <hyperlink xmlns:r="http://schemas.openxmlformats.org/officeDocument/2006/relationships" ref="E248" r:id="rId238"/>
    <hyperlink xmlns:r="http://schemas.openxmlformats.org/officeDocument/2006/relationships" ref="Q248" r:id="rId239"/>
    <hyperlink xmlns:r="http://schemas.openxmlformats.org/officeDocument/2006/relationships" ref="Q250" r:id="rId240"/>
    <hyperlink xmlns:r="http://schemas.openxmlformats.org/officeDocument/2006/relationships" ref="Q251" r:id="rId241"/>
    <hyperlink xmlns:r="http://schemas.openxmlformats.org/officeDocument/2006/relationships" ref="Q252" r:id="rId242"/>
    <hyperlink xmlns:r="http://schemas.openxmlformats.org/officeDocument/2006/relationships" ref="Q253" r:id="rId243"/>
    <hyperlink xmlns:r="http://schemas.openxmlformats.org/officeDocument/2006/relationships" ref="Q254" r:id="rId244"/>
    <hyperlink xmlns:r="http://schemas.openxmlformats.org/officeDocument/2006/relationships" ref="Q255" r:id="rId245"/>
    <hyperlink xmlns:r="http://schemas.openxmlformats.org/officeDocument/2006/relationships" ref="Q256" r:id="rId246"/>
    <hyperlink xmlns:r="http://schemas.openxmlformats.org/officeDocument/2006/relationships" ref="Q257" r:id="rId247"/>
    <hyperlink xmlns:r="http://schemas.openxmlformats.org/officeDocument/2006/relationships" ref="AD257" r:id="rId248"/>
    <hyperlink xmlns:r="http://schemas.openxmlformats.org/officeDocument/2006/relationships" ref="E258" r:id="rId249"/>
    <hyperlink xmlns:r="http://schemas.openxmlformats.org/officeDocument/2006/relationships" ref="Q258" r:id="rId250"/>
    <hyperlink xmlns:r="http://schemas.openxmlformats.org/officeDocument/2006/relationships" ref="AD258" r:id="rId251"/>
    <hyperlink xmlns:r="http://schemas.openxmlformats.org/officeDocument/2006/relationships" ref="Q259" r:id="rId252"/>
    <hyperlink xmlns:r="http://schemas.openxmlformats.org/officeDocument/2006/relationships" ref="Q261" r:id="rId253"/>
    <hyperlink xmlns:r="http://schemas.openxmlformats.org/officeDocument/2006/relationships" ref="E262" r:id="rId254"/>
    <hyperlink xmlns:r="http://schemas.openxmlformats.org/officeDocument/2006/relationships" ref="Q262" r:id="rId255"/>
    <hyperlink xmlns:r="http://schemas.openxmlformats.org/officeDocument/2006/relationships" ref="Q263" r:id="rId256"/>
    <hyperlink xmlns:r="http://schemas.openxmlformats.org/officeDocument/2006/relationships" ref="Q264" r:id="rId257"/>
    <hyperlink xmlns:r="http://schemas.openxmlformats.org/officeDocument/2006/relationships" ref="E265" r:id="rId258"/>
    <hyperlink xmlns:r="http://schemas.openxmlformats.org/officeDocument/2006/relationships" ref="Q265" location="pembukuan" r:id="rId259"/>
    <hyperlink xmlns:r="http://schemas.openxmlformats.org/officeDocument/2006/relationships" ref="E266" r:id="rId260"/>
    <hyperlink xmlns:r="http://schemas.openxmlformats.org/officeDocument/2006/relationships" ref="Q266" r:id="rId261"/>
    <hyperlink xmlns:r="http://schemas.openxmlformats.org/officeDocument/2006/relationships" ref="E267" r:id="rId262"/>
    <hyperlink xmlns:r="http://schemas.openxmlformats.org/officeDocument/2006/relationships" ref="Q267" r:id="rId263"/>
    <hyperlink xmlns:r="http://schemas.openxmlformats.org/officeDocument/2006/relationships" ref="Q268" r:id="rId264"/>
    <hyperlink xmlns:r="http://schemas.openxmlformats.org/officeDocument/2006/relationships" ref="Q269" r:id="rId265"/>
    <hyperlink xmlns:r="http://schemas.openxmlformats.org/officeDocument/2006/relationships" ref="E272" r:id="rId266"/>
    <hyperlink xmlns:r="http://schemas.openxmlformats.org/officeDocument/2006/relationships" ref="Q272" r:id="rId267"/>
    <hyperlink xmlns:r="http://schemas.openxmlformats.org/officeDocument/2006/relationships" ref="E273" r:id="rId268"/>
    <hyperlink xmlns:r="http://schemas.openxmlformats.org/officeDocument/2006/relationships" ref="Q273" r:id="rId269"/>
    <hyperlink xmlns:r="http://schemas.openxmlformats.org/officeDocument/2006/relationships" ref="E274" r:id="rId270"/>
    <hyperlink xmlns:r="http://schemas.openxmlformats.org/officeDocument/2006/relationships" ref="E275" r:id="rId271"/>
    <hyperlink xmlns:r="http://schemas.openxmlformats.org/officeDocument/2006/relationships" ref="Q275" r:id="rId272"/>
    <hyperlink xmlns:r="http://schemas.openxmlformats.org/officeDocument/2006/relationships" ref="E276" r:id="rId273"/>
    <hyperlink xmlns:r="http://schemas.openxmlformats.org/officeDocument/2006/relationships" ref="Q276" r:id="rId274"/>
    <hyperlink xmlns:r="http://schemas.openxmlformats.org/officeDocument/2006/relationships" ref="E277"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6" r:id="rId284"/>
    <hyperlink xmlns:r="http://schemas.openxmlformats.org/officeDocument/2006/relationships" ref="Q287" location="/pages/login" r:id="rId285"/>
    <hyperlink xmlns:r="http://schemas.openxmlformats.org/officeDocument/2006/relationships" ref="Q289" r:id="rId286"/>
    <hyperlink xmlns:r="http://schemas.openxmlformats.org/officeDocument/2006/relationships" ref="Q290" r:id="rId287"/>
    <hyperlink xmlns:r="http://schemas.openxmlformats.org/officeDocument/2006/relationships" ref="E292" r:id="rId288"/>
    <hyperlink xmlns:r="http://schemas.openxmlformats.org/officeDocument/2006/relationships" ref="Q292" r:id="rId289"/>
    <hyperlink xmlns:r="http://schemas.openxmlformats.org/officeDocument/2006/relationships" ref="AD292" r:id="rId290"/>
    <hyperlink xmlns:r="http://schemas.openxmlformats.org/officeDocument/2006/relationships" ref="E293" r:id="rId291"/>
    <hyperlink xmlns:r="http://schemas.openxmlformats.org/officeDocument/2006/relationships" ref="Q293" r:id="rId292"/>
    <hyperlink xmlns:r="http://schemas.openxmlformats.org/officeDocument/2006/relationships" ref="AD293" r:id="rId293"/>
    <hyperlink xmlns:r="http://schemas.openxmlformats.org/officeDocument/2006/relationships" ref="E295" r:id="rId294"/>
    <hyperlink xmlns:r="http://schemas.openxmlformats.org/officeDocument/2006/relationships" ref="E296" r:id="rId295"/>
    <hyperlink xmlns:r="http://schemas.openxmlformats.org/officeDocument/2006/relationships" ref="Q296" r:id="rId296"/>
    <hyperlink xmlns:r="http://schemas.openxmlformats.org/officeDocument/2006/relationships" ref="E298" r:id="rId297"/>
    <hyperlink xmlns:r="http://schemas.openxmlformats.org/officeDocument/2006/relationships" ref="Q298" r:id="rId298"/>
    <hyperlink xmlns:r="http://schemas.openxmlformats.org/officeDocument/2006/relationships" ref="E299" r:id="rId299"/>
    <hyperlink xmlns:r="http://schemas.openxmlformats.org/officeDocument/2006/relationships" ref="Q299" r:id="rId300"/>
    <hyperlink xmlns:r="http://schemas.openxmlformats.org/officeDocument/2006/relationships" ref="E300" r:id="rId301"/>
    <hyperlink xmlns:r="http://schemas.openxmlformats.org/officeDocument/2006/relationships" ref="Q300" r:id="rId302"/>
    <hyperlink xmlns:r="http://schemas.openxmlformats.org/officeDocument/2006/relationships" ref="E302" r:id="rId303"/>
    <hyperlink xmlns:r="http://schemas.openxmlformats.org/officeDocument/2006/relationships" ref="E303" r:id="rId304"/>
    <hyperlink xmlns:r="http://schemas.openxmlformats.org/officeDocument/2006/relationships" ref="Q303" r:id="rId305"/>
    <hyperlink xmlns:r="http://schemas.openxmlformats.org/officeDocument/2006/relationships" ref="Q304" r:id="rId306"/>
    <hyperlink xmlns:r="http://schemas.openxmlformats.org/officeDocument/2006/relationships" ref="Q305" r:id="rId307"/>
    <hyperlink xmlns:r="http://schemas.openxmlformats.org/officeDocument/2006/relationships" ref="Q306" r:id="rId308"/>
    <hyperlink xmlns:r="http://schemas.openxmlformats.org/officeDocument/2006/relationships" ref="Q307" r:id="rId309"/>
    <hyperlink xmlns:r="http://schemas.openxmlformats.org/officeDocument/2006/relationships" ref="AB307" r:id="rId310"/>
    <hyperlink xmlns:r="http://schemas.openxmlformats.org/officeDocument/2006/relationships" ref="Q308" r:id="rId311"/>
    <hyperlink xmlns:r="http://schemas.openxmlformats.org/officeDocument/2006/relationships" ref="AB308" r:id="rId312"/>
    <hyperlink xmlns:r="http://schemas.openxmlformats.org/officeDocument/2006/relationships" ref="Q309" r:id="rId313"/>
    <hyperlink xmlns:r="http://schemas.openxmlformats.org/officeDocument/2006/relationships" ref="Q310" r:id="rId314"/>
    <hyperlink xmlns:r="http://schemas.openxmlformats.org/officeDocument/2006/relationships" ref="Q311" r:id="rId315"/>
    <hyperlink xmlns:r="http://schemas.openxmlformats.org/officeDocument/2006/relationships" ref="Q312" r:id="rId316"/>
    <hyperlink xmlns:r="http://schemas.openxmlformats.org/officeDocument/2006/relationships" ref="Q314" r:id="rId317"/>
    <hyperlink xmlns:r="http://schemas.openxmlformats.org/officeDocument/2006/relationships" ref="Q315" r:id="rId318"/>
    <hyperlink xmlns:r="http://schemas.openxmlformats.org/officeDocument/2006/relationships" ref="Q316" r:id="rId319"/>
    <hyperlink xmlns:r="http://schemas.openxmlformats.org/officeDocument/2006/relationships" ref="Q317" r:id="rId320"/>
    <hyperlink xmlns:r="http://schemas.openxmlformats.org/officeDocument/2006/relationships" ref="E318" r:id="rId321"/>
    <hyperlink xmlns:r="http://schemas.openxmlformats.org/officeDocument/2006/relationships" ref="Q318" r:id="rId322"/>
    <hyperlink xmlns:r="http://schemas.openxmlformats.org/officeDocument/2006/relationships" ref="Q319" r:id="rId323"/>
    <hyperlink xmlns:r="http://schemas.openxmlformats.org/officeDocument/2006/relationships" ref="Q321" r:id="rId324"/>
    <hyperlink xmlns:r="http://schemas.openxmlformats.org/officeDocument/2006/relationships" ref="Q322" r:id="rId325"/>
    <hyperlink xmlns:r="http://schemas.openxmlformats.org/officeDocument/2006/relationships" ref="Q323" r:id="rId326"/>
    <hyperlink xmlns:r="http://schemas.openxmlformats.org/officeDocument/2006/relationships" ref="Q324" r:id="rId327"/>
    <hyperlink xmlns:r="http://schemas.openxmlformats.org/officeDocument/2006/relationships" ref="Q325" r:id="rId328"/>
    <hyperlink xmlns:r="http://schemas.openxmlformats.org/officeDocument/2006/relationships" ref="Q326" r:id="rId329"/>
    <hyperlink xmlns:r="http://schemas.openxmlformats.org/officeDocument/2006/relationships" ref="Q327" r:id="rId330"/>
    <hyperlink xmlns:r="http://schemas.openxmlformats.org/officeDocument/2006/relationships" ref="Q328" r:id="rId331"/>
    <hyperlink xmlns:r="http://schemas.openxmlformats.org/officeDocument/2006/relationships" ref="Q329" r:id="rId332"/>
    <hyperlink xmlns:r="http://schemas.openxmlformats.org/officeDocument/2006/relationships" ref="Q330" r:id="rId333"/>
    <hyperlink xmlns:r="http://schemas.openxmlformats.org/officeDocument/2006/relationships" ref="Q331" r:id="rId334"/>
    <hyperlink xmlns:r="http://schemas.openxmlformats.org/officeDocument/2006/relationships" ref="Q332" r:id="rId335"/>
    <hyperlink xmlns:r="http://schemas.openxmlformats.org/officeDocument/2006/relationships" ref="AB332" r:id="rId336"/>
    <hyperlink xmlns:r="http://schemas.openxmlformats.org/officeDocument/2006/relationships" ref="Q333" r:id="rId337"/>
    <hyperlink xmlns:r="http://schemas.openxmlformats.org/officeDocument/2006/relationships" ref="AB333" r:id="rId338"/>
    <hyperlink xmlns:r="http://schemas.openxmlformats.org/officeDocument/2006/relationships" ref="AD333" r:id="rId339"/>
    <hyperlink xmlns:r="http://schemas.openxmlformats.org/officeDocument/2006/relationships" ref="Q334" r:id="rId340"/>
    <hyperlink xmlns:r="http://schemas.openxmlformats.org/officeDocument/2006/relationships" ref="Q335" r:id="rId341"/>
    <hyperlink xmlns:r="http://schemas.openxmlformats.org/officeDocument/2006/relationships" ref="E337" r:id="rId342"/>
    <hyperlink xmlns:r="http://schemas.openxmlformats.org/officeDocument/2006/relationships" ref="E338" r:id="rId343"/>
    <hyperlink xmlns:r="http://schemas.openxmlformats.org/officeDocument/2006/relationships" ref="Q338" r:id="rId344"/>
    <hyperlink xmlns:r="http://schemas.openxmlformats.org/officeDocument/2006/relationships" ref="Q339" r:id="rId345"/>
    <hyperlink xmlns:r="http://schemas.openxmlformats.org/officeDocument/2006/relationships" ref="Q340" r:id="rId346"/>
    <hyperlink xmlns:r="http://schemas.openxmlformats.org/officeDocument/2006/relationships" ref="Q341" r:id="rId347"/>
    <hyperlink xmlns:r="http://schemas.openxmlformats.org/officeDocument/2006/relationships" ref="Q342" r:id="rId348"/>
    <hyperlink xmlns:r="http://schemas.openxmlformats.org/officeDocument/2006/relationships" ref="AB342" r:id="rId349"/>
    <hyperlink xmlns:r="http://schemas.openxmlformats.org/officeDocument/2006/relationships" ref="Q343" r:id="rId350"/>
    <hyperlink xmlns:r="http://schemas.openxmlformats.org/officeDocument/2006/relationships" ref="AB343" r:id="rId351"/>
    <hyperlink xmlns:r="http://schemas.openxmlformats.org/officeDocument/2006/relationships" ref="Q344" r:id="rId352"/>
    <hyperlink xmlns:r="http://schemas.openxmlformats.org/officeDocument/2006/relationships" ref="Q345" r:id="rId353"/>
    <hyperlink xmlns:r="http://schemas.openxmlformats.org/officeDocument/2006/relationships" ref="Q346" r:id="rId354"/>
    <hyperlink xmlns:r="http://schemas.openxmlformats.org/officeDocument/2006/relationships" ref="Q347" r:id="rId355"/>
    <hyperlink xmlns:r="http://schemas.openxmlformats.org/officeDocument/2006/relationships" ref="Q349" r:id="rId356"/>
    <hyperlink xmlns:r="http://schemas.openxmlformats.org/officeDocument/2006/relationships" ref="Q350" r:id="rId357"/>
    <hyperlink xmlns:r="http://schemas.openxmlformats.org/officeDocument/2006/relationships" ref="Q351" r:id="rId358"/>
    <hyperlink xmlns:r="http://schemas.openxmlformats.org/officeDocument/2006/relationships" ref="Q352" r:id="rId359"/>
    <hyperlink xmlns:r="http://schemas.openxmlformats.org/officeDocument/2006/relationships" ref="E353" r:id="rId360"/>
    <hyperlink xmlns:r="http://schemas.openxmlformats.org/officeDocument/2006/relationships" ref="Q353" r:id="rId361"/>
    <hyperlink xmlns:r="http://schemas.openxmlformats.org/officeDocument/2006/relationships" ref="Q354" r:id="rId362"/>
    <hyperlink xmlns:r="http://schemas.openxmlformats.org/officeDocument/2006/relationships" ref="Q356" r:id="rId363"/>
    <hyperlink xmlns:r="http://schemas.openxmlformats.org/officeDocument/2006/relationships" ref="Q357" r:id="rId364"/>
    <hyperlink xmlns:r="http://schemas.openxmlformats.org/officeDocument/2006/relationships" ref="Q358" r:id="rId365"/>
    <hyperlink xmlns:r="http://schemas.openxmlformats.org/officeDocument/2006/relationships" ref="Q359" r:id="rId366"/>
    <hyperlink xmlns:r="http://schemas.openxmlformats.org/officeDocument/2006/relationships" ref="Q360" r:id="rId367"/>
    <hyperlink xmlns:r="http://schemas.openxmlformats.org/officeDocument/2006/relationships" ref="Q361" r:id="rId368"/>
    <hyperlink xmlns:r="http://schemas.openxmlformats.org/officeDocument/2006/relationships" ref="Q362" r:id="rId369"/>
    <hyperlink xmlns:r="http://schemas.openxmlformats.org/officeDocument/2006/relationships" ref="Q363" r:id="rId370"/>
    <hyperlink xmlns:r="http://schemas.openxmlformats.org/officeDocument/2006/relationships" ref="Q364" r:id="rId371"/>
    <hyperlink xmlns:r="http://schemas.openxmlformats.org/officeDocument/2006/relationships" ref="Q365" r:id="rId372"/>
    <hyperlink xmlns:r="http://schemas.openxmlformats.org/officeDocument/2006/relationships" ref="Q366" r:id="rId373"/>
    <hyperlink xmlns:r="http://schemas.openxmlformats.org/officeDocument/2006/relationships" ref="Q367" r:id="rId374"/>
    <hyperlink xmlns:r="http://schemas.openxmlformats.org/officeDocument/2006/relationships" ref="AB367" r:id="rId375"/>
    <hyperlink xmlns:r="http://schemas.openxmlformats.org/officeDocument/2006/relationships" ref="Q368" r:id="rId376"/>
    <hyperlink xmlns:r="http://schemas.openxmlformats.org/officeDocument/2006/relationships" ref="AB368" r:id="rId377"/>
    <hyperlink xmlns:r="http://schemas.openxmlformats.org/officeDocument/2006/relationships" ref="AD368" r:id="rId378"/>
    <hyperlink xmlns:r="http://schemas.openxmlformats.org/officeDocument/2006/relationships" ref="Q369" r:id="rId379"/>
    <hyperlink xmlns:r="http://schemas.openxmlformats.org/officeDocument/2006/relationships" ref="Q370" r:id="rId380"/>
    <hyperlink xmlns:r="http://schemas.openxmlformats.org/officeDocument/2006/relationships" ref="E372" r:id="rId381"/>
    <hyperlink xmlns:r="http://schemas.openxmlformats.org/officeDocument/2006/relationships" ref="E373" r:id="rId382"/>
    <hyperlink xmlns:r="http://schemas.openxmlformats.org/officeDocument/2006/relationships" ref="Q373" r:id="rId383"/>
    <hyperlink xmlns:r="http://schemas.openxmlformats.org/officeDocument/2006/relationships" ref="Q374" r:id="rId384"/>
    <hyperlink xmlns:r="http://schemas.openxmlformats.org/officeDocument/2006/relationships" ref="Q375" r:id="rId385"/>
    <hyperlink xmlns:r="http://schemas.openxmlformats.org/officeDocument/2006/relationships" ref="Q376" r:id="rId386"/>
    <hyperlink xmlns:r="http://schemas.openxmlformats.org/officeDocument/2006/relationships" ref="Q377" r:id="rId387"/>
    <hyperlink xmlns:r="http://schemas.openxmlformats.org/officeDocument/2006/relationships" ref="Q378" r:id="rId388"/>
    <hyperlink xmlns:r="http://schemas.openxmlformats.org/officeDocument/2006/relationships" ref="Q379" r:id="rId389"/>
    <hyperlink xmlns:r="http://schemas.openxmlformats.org/officeDocument/2006/relationships" ref="Q380" r:id="rId390"/>
    <hyperlink xmlns:r="http://schemas.openxmlformats.org/officeDocument/2006/relationships" ref="Q381" r:id="rId391"/>
    <hyperlink xmlns:r="http://schemas.openxmlformats.org/officeDocument/2006/relationships" ref="Q382" r:id="rId392"/>
    <hyperlink xmlns:r="http://schemas.openxmlformats.org/officeDocument/2006/relationships" ref="Q383" r:id="rId393"/>
    <hyperlink xmlns:r="http://schemas.openxmlformats.org/officeDocument/2006/relationships" ref="Q384" r:id="rId394"/>
    <hyperlink xmlns:r="http://schemas.openxmlformats.org/officeDocument/2006/relationships" ref="Q385" r:id="rId395"/>
    <hyperlink xmlns:r="http://schemas.openxmlformats.org/officeDocument/2006/relationships" ref="Q386" r:id="rId396"/>
    <hyperlink xmlns:r="http://schemas.openxmlformats.org/officeDocument/2006/relationships" ref="E387" r:id="rId397"/>
    <hyperlink xmlns:r="http://schemas.openxmlformats.org/officeDocument/2006/relationships" ref="Q387" r:id="rId398"/>
    <hyperlink xmlns:r="http://schemas.openxmlformats.org/officeDocument/2006/relationships" ref="Q388" r:id="rId399"/>
    <hyperlink xmlns:r="http://schemas.openxmlformats.org/officeDocument/2006/relationships" ref="Q390" r:id="rId400"/>
    <hyperlink xmlns:r="http://schemas.openxmlformats.org/officeDocument/2006/relationships" ref="Q391" r:id="rId401"/>
    <hyperlink xmlns:r="http://schemas.openxmlformats.org/officeDocument/2006/relationships" ref="Q392" r:id="rId402"/>
    <hyperlink xmlns:r="http://schemas.openxmlformats.org/officeDocument/2006/relationships" ref="E393" r:id="rId403"/>
    <hyperlink xmlns:r="http://schemas.openxmlformats.org/officeDocument/2006/relationships" ref="Q393" r:id="rId404"/>
    <hyperlink xmlns:r="http://schemas.openxmlformats.org/officeDocument/2006/relationships" ref="Q394" r:id="rId405"/>
    <hyperlink xmlns:r="http://schemas.openxmlformats.org/officeDocument/2006/relationships" ref="Q395" r:id="rId406"/>
    <hyperlink xmlns:r="http://schemas.openxmlformats.org/officeDocument/2006/relationships" ref="Q396" r:id="rId407"/>
    <hyperlink xmlns:r="http://schemas.openxmlformats.org/officeDocument/2006/relationships" ref="Q397" r:id="rId408"/>
    <hyperlink xmlns:r="http://schemas.openxmlformats.org/officeDocument/2006/relationships" ref="Q398" r:id="rId409"/>
    <hyperlink xmlns:r="http://schemas.openxmlformats.org/officeDocument/2006/relationships" ref="Q399" r:id="rId410"/>
    <hyperlink xmlns:r="http://schemas.openxmlformats.org/officeDocument/2006/relationships" ref="Q400" r:id="rId411"/>
    <hyperlink xmlns:r="http://schemas.openxmlformats.org/officeDocument/2006/relationships" ref="Q401" r:id="rId412"/>
    <hyperlink xmlns:r="http://schemas.openxmlformats.org/officeDocument/2006/relationships" ref="Q402" r:id="rId413"/>
    <hyperlink xmlns:r="http://schemas.openxmlformats.org/officeDocument/2006/relationships" ref="Q403" r:id="rId414"/>
    <hyperlink xmlns:r="http://schemas.openxmlformats.org/officeDocument/2006/relationships" ref="Q404" r:id="rId415"/>
    <hyperlink xmlns:r="http://schemas.openxmlformats.org/officeDocument/2006/relationships" ref="Q408" r:id="rId416"/>
    <hyperlink xmlns:r="http://schemas.openxmlformats.org/officeDocument/2006/relationships" ref="Q409" r:id="rId417"/>
    <hyperlink xmlns:r="http://schemas.openxmlformats.org/officeDocument/2006/relationships" ref="AB409" r:id="rId418"/>
    <hyperlink xmlns:r="http://schemas.openxmlformats.org/officeDocument/2006/relationships" ref="Q410" r:id="rId419"/>
    <hyperlink xmlns:r="http://schemas.openxmlformats.org/officeDocument/2006/relationships" ref="AB410" r:id="rId420"/>
    <hyperlink xmlns:r="http://schemas.openxmlformats.org/officeDocument/2006/relationships" ref="Q411" r:id="rId421"/>
    <hyperlink xmlns:r="http://schemas.openxmlformats.org/officeDocument/2006/relationships" ref="W411" r:id="rId422"/>
    <hyperlink xmlns:r="http://schemas.openxmlformats.org/officeDocument/2006/relationships" ref="AB411" r:id="rId423"/>
    <hyperlink xmlns:r="http://schemas.openxmlformats.org/officeDocument/2006/relationships" ref="Q412" r:id="rId424"/>
    <hyperlink xmlns:r="http://schemas.openxmlformats.org/officeDocument/2006/relationships" ref="W412" r:id="rId425"/>
    <hyperlink xmlns:r="http://schemas.openxmlformats.org/officeDocument/2006/relationships" ref="AB412" r:id="rId426"/>
    <hyperlink xmlns:r="http://schemas.openxmlformats.org/officeDocument/2006/relationships" ref="E415" r:id="rId427"/>
    <hyperlink xmlns:r="http://schemas.openxmlformats.org/officeDocument/2006/relationships" ref="Q416" r:id="rId428"/>
    <hyperlink xmlns:r="http://schemas.openxmlformats.org/officeDocument/2006/relationships" ref="Q417" r:id="rId429"/>
    <hyperlink xmlns:r="http://schemas.openxmlformats.org/officeDocument/2006/relationships" ref="Q418" r:id="rId430"/>
    <hyperlink xmlns:r="http://schemas.openxmlformats.org/officeDocument/2006/relationships" ref="Q419" r:id="rId431"/>
    <hyperlink xmlns:r="http://schemas.openxmlformats.org/officeDocument/2006/relationships" ref="Q420" r:id="rId432"/>
    <hyperlink xmlns:r="http://schemas.openxmlformats.org/officeDocument/2006/relationships" ref="Q421" r:id="rId433"/>
    <hyperlink xmlns:r="http://schemas.openxmlformats.org/officeDocument/2006/relationships" ref="Q422" r:id="rId434"/>
    <hyperlink xmlns:r="http://schemas.openxmlformats.org/officeDocument/2006/relationships" ref="Q423" r:id="rId435"/>
    <hyperlink xmlns:r="http://schemas.openxmlformats.org/officeDocument/2006/relationships" ref="Q424" r:id="rId436"/>
    <hyperlink xmlns:r="http://schemas.openxmlformats.org/officeDocument/2006/relationships" ref="Q425" r:id="rId437"/>
    <hyperlink xmlns:r="http://schemas.openxmlformats.org/officeDocument/2006/relationships" ref="Q426" r:id="rId438"/>
    <hyperlink xmlns:r="http://schemas.openxmlformats.org/officeDocument/2006/relationships" ref="E427" r:id="rId439"/>
    <hyperlink xmlns:r="http://schemas.openxmlformats.org/officeDocument/2006/relationships" ref="Q427" r:id="rId440"/>
    <hyperlink xmlns:r="http://schemas.openxmlformats.org/officeDocument/2006/relationships" ref="Q428" r:id="rId441"/>
    <hyperlink xmlns:r="http://schemas.openxmlformats.org/officeDocument/2006/relationships" ref="Q430" r:id="rId442"/>
    <hyperlink xmlns:r="http://schemas.openxmlformats.org/officeDocument/2006/relationships" ref="Q431" r:id="rId443"/>
    <hyperlink xmlns:r="http://schemas.openxmlformats.org/officeDocument/2006/relationships" ref="Q432" r:id="rId444"/>
    <hyperlink xmlns:r="http://schemas.openxmlformats.org/officeDocument/2006/relationships" ref="E433" r:id="rId445"/>
    <hyperlink xmlns:r="http://schemas.openxmlformats.org/officeDocument/2006/relationships" ref="Q433" r:id="rId446"/>
    <hyperlink xmlns:r="http://schemas.openxmlformats.org/officeDocument/2006/relationships" ref="Q434" r:id="rId447"/>
    <hyperlink xmlns:r="http://schemas.openxmlformats.org/officeDocument/2006/relationships" ref="Q435" r:id="rId448"/>
    <hyperlink xmlns:r="http://schemas.openxmlformats.org/officeDocument/2006/relationships" ref="Q436" r:id="rId449"/>
    <hyperlink xmlns:r="http://schemas.openxmlformats.org/officeDocument/2006/relationships" ref="Q437" r:id="rId450"/>
    <hyperlink xmlns:r="http://schemas.openxmlformats.org/officeDocument/2006/relationships" ref="Q438" r:id="rId451"/>
    <hyperlink xmlns:r="http://schemas.openxmlformats.org/officeDocument/2006/relationships" ref="Q439" r:id="rId452"/>
    <hyperlink xmlns:r="http://schemas.openxmlformats.org/officeDocument/2006/relationships" ref="Q440" r:id="rId453"/>
    <hyperlink xmlns:r="http://schemas.openxmlformats.org/officeDocument/2006/relationships" ref="Q441" r:id="rId454"/>
    <hyperlink xmlns:r="http://schemas.openxmlformats.org/officeDocument/2006/relationships" ref="Q442" r:id="rId455"/>
    <hyperlink xmlns:r="http://schemas.openxmlformats.org/officeDocument/2006/relationships" ref="Q444" r:id="rId456"/>
    <hyperlink xmlns:r="http://schemas.openxmlformats.org/officeDocument/2006/relationships" ref="Q445" r:id="rId457"/>
    <hyperlink xmlns:r="http://schemas.openxmlformats.org/officeDocument/2006/relationships" ref="Q446" r:id="rId458"/>
    <hyperlink xmlns:r="http://schemas.openxmlformats.org/officeDocument/2006/relationships" ref="Q447" r:id="rId459"/>
    <hyperlink xmlns:r="http://schemas.openxmlformats.org/officeDocument/2006/relationships" ref="Q448" r:id="rId460"/>
    <hyperlink xmlns:r="http://schemas.openxmlformats.org/officeDocument/2006/relationships" ref="Q449" r:id="rId461"/>
    <hyperlink xmlns:r="http://schemas.openxmlformats.org/officeDocument/2006/relationships" ref="Q450" r:id="rId462"/>
    <hyperlink xmlns:r="http://schemas.openxmlformats.org/officeDocument/2006/relationships" ref="Q451" r:id="rId463"/>
    <hyperlink xmlns:r="http://schemas.openxmlformats.org/officeDocument/2006/relationships" ref="Q452" r:id="rId464"/>
    <hyperlink xmlns:r="http://schemas.openxmlformats.org/officeDocument/2006/relationships" ref="Q453" r:id="rId465"/>
    <hyperlink xmlns:r="http://schemas.openxmlformats.org/officeDocument/2006/relationships" ref="Q454" r:id="rId466"/>
    <hyperlink xmlns:r="http://schemas.openxmlformats.org/officeDocument/2006/relationships" ref="E455" r:id="rId467"/>
    <hyperlink xmlns:r="http://schemas.openxmlformats.org/officeDocument/2006/relationships" ref="Q455" r:id="rId468"/>
    <hyperlink xmlns:r="http://schemas.openxmlformats.org/officeDocument/2006/relationships" ref="Q456" r:id="rId469"/>
    <hyperlink xmlns:r="http://schemas.openxmlformats.org/officeDocument/2006/relationships" ref="Q458" r:id="rId470"/>
    <hyperlink xmlns:r="http://schemas.openxmlformats.org/officeDocument/2006/relationships" ref="Q459" r:id="rId471"/>
    <hyperlink xmlns:r="http://schemas.openxmlformats.org/officeDocument/2006/relationships" ref="Q460" r:id="rId472"/>
    <hyperlink xmlns:r="http://schemas.openxmlformats.org/officeDocument/2006/relationships" ref="E461" r:id="rId473"/>
    <hyperlink xmlns:r="http://schemas.openxmlformats.org/officeDocument/2006/relationships" ref="Q461" r:id="rId474"/>
    <hyperlink xmlns:r="http://schemas.openxmlformats.org/officeDocument/2006/relationships" ref="Q462" r:id="rId475"/>
    <hyperlink xmlns:r="http://schemas.openxmlformats.org/officeDocument/2006/relationships" ref="Q463" r:id="rId476"/>
    <hyperlink xmlns:r="http://schemas.openxmlformats.org/officeDocument/2006/relationships" ref="Q464" r:id="rId477"/>
    <hyperlink xmlns:r="http://schemas.openxmlformats.org/officeDocument/2006/relationships" ref="Q465" r:id="rId478"/>
    <hyperlink xmlns:r="http://schemas.openxmlformats.org/officeDocument/2006/relationships" ref="Q466" r:id="rId479"/>
    <hyperlink xmlns:r="http://schemas.openxmlformats.org/officeDocument/2006/relationships" ref="Q467" r:id="rId480"/>
    <hyperlink xmlns:r="http://schemas.openxmlformats.org/officeDocument/2006/relationships" ref="Q468" r:id="rId481"/>
    <hyperlink xmlns:r="http://schemas.openxmlformats.org/officeDocument/2006/relationships" ref="Q469" r:id="rId482"/>
    <hyperlink xmlns:r="http://schemas.openxmlformats.org/officeDocument/2006/relationships" ref="Q471" r:id="rId483"/>
    <hyperlink xmlns:r="http://schemas.openxmlformats.org/officeDocument/2006/relationships" ref="Q472" r:id="rId484"/>
    <hyperlink xmlns:r="http://schemas.openxmlformats.org/officeDocument/2006/relationships" ref="Q474" r:id="rId485"/>
    <hyperlink xmlns:r="http://schemas.openxmlformats.org/officeDocument/2006/relationships" ref="E476" r:id="rId486"/>
    <hyperlink xmlns:r="http://schemas.openxmlformats.org/officeDocument/2006/relationships" ref="Q476" r:id="rId487"/>
    <hyperlink xmlns:r="http://schemas.openxmlformats.org/officeDocument/2006/relationships" ref="Q477" r:id="rId488"/>
    <hyperlink xmlns:r="http://schemas.openxmlformats.org/officeDocument/2006/relationships" ref="E478" r:id="rId489"/>
    <hyperlink xmlns:r="http://schemas.openxmlformats.org/officeDocument/2006/relationships" ref="Q478" r:id="rId490"/>
    <hyperlink xmlns:r="http://schemas.openxmlformats.org/officeDocument/2006/relationships" ref="Q479" r:id="rId491"/>
    <hyperlink xmlns:r="http://schemas.openxmlformats.org/officeDocument/2006/relationships" ref="D480" r:id="rId492"/>
    <hyperlink xmlns:r="http://schemas.openxmlformats.org/officeDocument/2006/relationships" ref="E480" r:id="rId493"/>
    <hyperlink xmlns:r="http://schemas.openxmlformats.org/officeDocument/2006/relationships" ref="Q480" r:id="rId494"/>
    <hyperlink xmlns:r="http://schemas.openxmlformats.org/officeDocument/2006/relationships" ref="C481" r:id="rId495"/>
    <hyperlink xmlns:r="http://schemas.openxmlformats.org/officeDocument/2006/relationships" ref="Q481" r:id="rId496"/>
    <hyperlink xmlns:r="http://schemas.openxmlformats.org/officeDocument/2006/relationships" ref="D482" r:id="rId497"/>
    <hyperlink xmlns:r="http://schemas.openxmlformats.org/officeDocument/2006/relationships" ref="Q483" location="/" r:id="rId498"/>
    <hyperlink xmlns:r="http://schemas.openxmlformats.org/officeDocument/2006/relationships" ref="Q484" r:id="rId499"/>
    <hyperlink xmlns:r="http://schemas.openxmlformats.org/officeDocument/2006/relationships" ref="Q485" r:id="rId500"/>
    <hyperlink xmlns:r="http://schemas.openxmlformats.org/officeDocument/2006/relationships" ref="D486" r:id="rId501"/>
    <hyperlink xmlns:r="http://schemas.openxmlformats.org/officeDocument/2006/relationships" ref="Q486" r:id="rId502"/>
    <hyperlink xmlns:r="http://schemas.openxmlformats.org/officeDocument/2006/relationships" ref="Q487" r:id="rId503"/>
    <hyperlink xmlns:r="http://schemas.openxmlformats.org/officeDocument/2006/relationships" ref="Q488" r:id="rId504"/>
    <hyperlink xmlns:r="http://schemas.openxmlformats.org/officeDocument/2006/relationships" ref="Q489" r:id="rId505"/>
    <hyperlink xmlns:r="http://schemas.openxmlformats.org/officeDocument/2006/relationships" ref="Q490" r:id="rId506"/>
    <hyperlink xmlns:r="http://schemas.openxmlformats.org/officeDocument/2006/relationships" ref="Q491" r:id="rId507"/>
    <hyperlink xmlns:r="http://schemas.openxmlformats.org/officeDocument/2006/relationships" ref="Q492" r:id="rId508"/>
    <hyperlink xmlns:r="http://schemas.openxmlformats.org/officeDocument/2006/relationships" ref="Q493" r:id="rId509"/>
    <hyperlink xmlns:r="http://schemas.openxmlformats.org/officeDocument/2006/relationships" ref="Q494" r:id="rId510"/>
    <hyperlink xmlns:r="http://schemas.openxmlformats.org/officeDocument/2006/relationships" ref="AB495" r:id="rId511"/>
    <hyperlink xmlns:r="http://schemas.openxmlformats.org/officeDocument/2006/relationships" ref="Q497" r:id="rId512"/>
    <hyperlink xmlns:r="http://schemas.openxmlformats.org/officeDocument/2006/relationships" ref="Q501" r:id="rId513"/>
    <hyperlink xmlns:r="http://schemas.openxmlformats.org/officeDocument/2006/relationships" ref="Q502" r:id="rId514"/>
    <hyperlink xmlns:r="http://schemas.openxmlformats.org/officeDocument/2006/relationships" ref="Q503" r:id="rId515"/>
    <hyperlink xmlns:r="http://schemas.openxmlformats.org/officeDocument/2006/relationships" ref="Q504" r:id="rId516"/>
    <hyperlink xmlns:r="http://schemas.openxmlformats.org/officeDocument/2006/relationships" ref="Q505" r:id="rId517"/>
    <hyperlink xmlns:r="http://schemas.openxmlformats.org/officeDocument/2006/relationships" ref="Q506" r:id="rId518"/>
    <hyperlink xmlns:r="http://schemas.openxmlformats.org/officeDocument/2006/relationships" ref="Q507" r:id="rId519"/>
    <hyperlink xmlns:r="http://schemas.openxmlformats.org/officeDocument/2006/relationships" ref="Q508" r:id="rId520"/>
    <hyperlink xmlns:r="http://schemas.openxmlformats.org/officeDocument/2006/relationships" ref="Q509" r:id="rId521"/>
    <hyperlink xmlns:r="http://schemas.openxmlformats.org/officeDocument/2006/relationships" ref="Q510" r:id="rId522"/>
    <hyperlink xmlns:r="http://schemas.openxmlformats.org/officeDocument/2006/relationships" ref="Q511" r:id="rId523"/>
    <hyperlink xmlns:r="http://schemas.openxmlformats.org/officeDocument/2006/relationships" ref="Q512" r:id="rId524"/>
    <hyperlink xmlns:r="http://schemas.openxmlformats.org/officeDocument/2006/relationships" ref="Q514" r:id="rId525"/>
    <hyperlink xmlns:r="http://schemas.openxmlformats.org/officeDocument/2006/relationships" ref="Q515" r:id="rId526"/>
    <hyperlink xmlns:r="http://schemas.openxmlformats.org/officeDocument/2006/relationships" ref="Q516" r:id="rId527"/>
    <hyperlink xmlns:r="http://schemas.openxmlformats.org/officeDocument/2006/relationships" ref="E517" r:id="rId528"/>
    <hyperlink xmlns:r="http://schemas.openxmlformats.org/officeDocument/2006/relationships" ref="Q517" r:id="rId529"/>
    <hyperlink xmlns:r="http://schemas.openxmlformats.org/officeDocument/2006/relationships" ref="Q518" r:id="rId530"/>
    <hyperlink xmlns:r="http://schemas.openxmlformats.org/officeDocument/2006/relationships" ref="Q519" r:id="rId531"/>
    <hyperlink xmlns:r="http://schemas.openxmlformats.org/officeDocument/2006/relationships" ref="Q520" r:id="rId532"/>
    <hyperlink xmlns:r="http://schemas.openxmlformats.org/officeDocument/2006/relationships" ref="Q521" r:id="rId533"/>
    <hyperlink xmlns:r="http://schemas.openxmlformats.org/officeDocument/2006/relationships" ref="Q522" r:id="rId534"/>
    <hyperlink xmlns:r="http://schemas.openxmlformats.org/officeDocument/2006/relationships" ref="Q523" r:id="rId535"/>
    <hyperlink xmlns:r="http://schemas.openxmlformats.org/officeDocument/2006/relationships" ref="Q524" r:id="rId536"/>
    <hyperlink xmlns:r="http://schemas.openxmlformats.org/officeDocument/2006/relationships" ref="Q525" r:id="rId537"/>
    <hyperlink xmlns:r="http://schemas.openxmlformats.org/officeDocument/2006/relationships" ref="Q527" r:id="rId538"/>
    <hyperlink xmlns:r="http://schemas.openxmlformats.org/officeDocument/2006/relationships" ref="Q528" r:id="rId539"/>
    <hyperlink xmlns:r="http://schemas.openxmlformats.org/officeDocument/2006/relationships" ref="Q529" r:id="rId540"/>
    <hyperlink xmlns:r="http://schemas.openxmlformats.org/officeDocument/2006/relationships" ref="Q530" r:id="rId541"/>
    <hyperlink xmlns:r="http://schemas.openxmlformats.org/officeDocument/2006/relationships" ref="Q531" r:id="rId542"/>
    <hyperlink xmlns:r="http://schemas.openxmlformats.org/officeDocument/2006/relationships" ref="D532" r:id="rId543"/>
    <hyperlink xmlns:r="http://schemas.openxmlformats.org/officeDocument/2006/relationships" ref="E532" r:id="rId544"/>
    <hyperlink xmlns:r="http://schemas.openxmlformats.org/officeDocument/2006/relationships" ref="Q532" r:id="rId545"/>
    <hyperlink xmlns:r="http://schemas.openxmlformats.org/officeDocument/2006/relationships" ref="C533" r:id="rId546"/>
    <hyperlink xmlns:r="http://schemas.openxmlformats.org/officeDocument/2006/relationships" ref="Q533" r:id="rId547"/>
    <hyperlink xmlns:r="http://schemas.openxmlformats.org/officeDocument/2006/relationships" ref="D534" r:id="rId548"/>
    <hyperlink xmlns:r="http://schemas.openxmlformats.org/officeDocument/2006/relationships" ref="Q535" location="/" r:id="rId549"/>
    <hyperlink xmlns:r="http://schemas.openxmlformats.org/officeDocument/2006/relationships" ref="Q536" r:id="rId550"/>
    <hyperlink xmlns:r="http://schemas.openxmlformats.org/officeDocument/2006/relationships" ref="AB536" r:id="rId551"/>
    <hyperlink xmlns:r="http://schemas.openxmlformats.org/officeDocument/2006/relationships" ref="Q537" r:id="rId552"/>
    <hyperlink xmlns:r="http://schemas.openxmlformats.org/officeDocument/2006/relationships" ref="AB537" r:id="rId553"/>
    <hyperlink xmlns:r="http://schemas.openxmlformats.org/officeDocument/2006/relationships" ref="Q538" r:id="rId554"/>
    <hyperlink xmlns:r="http://schemas.openxmlformats.org/officeDocument/2006/relationships" ref="AB538" r:id="rId555"/>
    <hyperlink xmlns:r="http://schemas.openxmlformats.org/officeDocument/2006/relationships" ref="Q539" r:id="rId556"/>
    <hyperlink xmlns:r="http://schemas.openxmlformats.org/officeDocument/2006/relationships" ref="AB539" r:id="rId557"/>
    <hyperlink xmlns:r="http://schemas.openxmlformats.org/officeDocument/2006/relationships" ref="Q540" r:id="rId558"/>
    <hyperlink xmlns:r="http://schemas.openxmlformats.org/officeDocument/2006/relationships" ref="AB540" r:id="rId559"/>
  </hyperlinks>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sheetPr>
  <dimension ref="A1:AR218"/>
  <sheetViews>
    <sheetView workbookViewId="0">
      <pane ySplit="2" topLeftCell="A3" activePane="bottomLeft" state="frozen"/>
      <selection pane="bottomLeft" activeCell="B4" sqref="B4"/>
    </sheetView>
  </sheetViews>
  <sheetFormatPr baseColWidth="8" defaultColWidth="12.63" defaultRowHeight="15.75" customHeight="1"/>
  <cols>
    <col width="10.13" customWidth="1" style="346" min="1" max="1"/>
    <col width="21.38" customWidth="1" style="346" min="2" max="2"/>
    <col width="59.63" customWidth="1" style="346" min="3" max="3"/>
    <col width="35.5" customWidth="1" style="346" min="4" max="4"/>
    <col width="17" customWidth="1" style="346" min="5" max="5"/>
    <col width="34.13" customWidth="1" style="346" min="6" max="6"/>
    <col width="16.75" customWidth="1" style="346" min="7" max="7"/>
    <col width="12.13" customWidth="1" style="346" min="9" max="9"/>
    <col width="13.13" customWidth="1" style="346" min="10" max="10"/>
    <col width="15" customWidth="1" style="346" min="11" max="11"/>
    <col width="14.25" customWidth="1" style="346" min="12" max="12"/>
    <col width="20.13" customWidth="1" style="346" min="13" max="13"/>
    <col width="18.13" customWidth="1" style="346" min="14" max="14"/>
    <col width="18.38" customWidth="1" style="346" min="15" max="15"/>
    <col width="17" customWidth="1" style="346" min="16" max="16"/>
    <col width="22.5" customWidth="1" style="346" min="17" max="17"/>
    <col width="18.63" customWidth="1" style="346" min="18" max="18"/>
    <col width="17.75" customWidth="1" style="346" min="19" max="19"/>
    <col width="16.88" customWidth="1" style="346" min="20" max="20"/>
    <col width="15.38" customWidth="1" style="346" min="23" max="23"/>
    <col width="16.75" customWidth="1" style="346" min="24" max="24"/>
    <col width="15.88" customWidth="1" style="346" min="25" max="25"/>
    <col width="15.5" customWidth="1" style="346" min="26" max="26"/>
    <col width="18.13" customWidth="1" style="346" min="27" max="27"/>
    <col width="14.88" customWidth="1" style="346" min="29" max="29"/>
    <col width="15.5" customWidth="1" style="346" min="30" max="30"/>
  </cols>
  <sheetData>
    <row r="1">
      <c r="A1" s="1" t="inlineStr">
        <is>
          <t>No</t>
        </is>
      </c>
      <c r="B1" s="2" t="inlineStr">
        <is>
          <t>Nama Layanan</t>
        </is>
      </c>
      <c r="C1" s="2" t="inlineStr">
        <is>
          <t>Tujuan dan Fungsi Layanan</t>
        </is>
      </c>
      <c r="D1" s="2" t="inlineStr">
        <is>
          <t>Dasar Hukum Layanan</t>
        </is>
      </c>
      <c r="E1" s="2" t="inlineStr">
        <is>
          <t>SOP / Proses Bisnis Layanan</t>
        </is>
      </c>
      <c r="F1" s="2" t="inlineStr">
        <is>
          <t>Referensi Layanan</t>
        </is>
      </c>
      <c r="G1" s="2" t="inlineStr">
        <is>
          <t>Target Layanan</t>
        </is>
      </c>
      <c r="H1" s="3" t="inlineStr">
        <is>
          <t>Data yang dimasukan</t>
        </is>
      </c>
      <c r="I1" s="3" t="inlineStr">
        <is>
          <t>Data yang dihasilkan</t>
        </is>
      </c>
      <c r="J1" s="3" t="inlineStr">
        <is>
          <t>Sifat Data</t>
        </is>
      </c>
      <c r="K1" s="3" t="inlineStr">
        <is>
          <t>Data Pribadi</t>
        </is>
      </c>
      <c r="L1" s="3" t="inlineStr">
        <is>
          <t>Interval update data yang dihasilkan</t>
        </is>
      </c>
      <c r="M1" s="4" t="inlineStr">
        <is>
          <t>Aplikasi Pendukung</t>
        </is>
      </c>
      <c r="N1" s="4" t="inlineStr">
        <is>
          <t>Pengembang</t>
        </is>
      </c>
      <c r="O1" s="4" t="inlineStr">
        <is>
          <t>Pemilik</t>
        </is>
      </c>
      <c r="P1" s="4" t="inlineStr">
        <is>
          <t>Platform</t>
        </is>
      </c>
      <c r="Q1" s="4" t="inlineStr">
        <is>
          <t>Alamat Aplikasi</t>
        </is>
      </c>
      <c r="R1" s="4" t="inlineStr">
        <is>
          <t>Kategori Akses</t>
        </is>
      </c>
      <c r="S1" s="4" t="inlineStr">
        <is>
          <t>Jenis Aplikasi</t>
        </is>
      </c>
      <c r="T1" s="4" t="inlineStr">
        <is>
          <t>Tahun Pembuatan</t>
        </is>
      </c>
      <c r="U1" s="4" t="inlineStr">
        <is>
          <t>Status Aplikasi</t>
        </is>
      </c>
      <c r="V1" s="4" t="inlineStr">
        <is>
          <t>Telah Terintegrasi</t>
        </is>
      </c>
      <c r="W1" s="4" t="inlineStr">
        <is>
          <t>Terintegrasi dengan Aplikasi</t>
        </is>
      </c>
      <c r="X1" s="4" t="inlineStr">
        <is>
          <t>Mekanisme Integrasi</t>
        </is>
      </c>
      <c r="Y1" s="4" t="inlineStr">
        <is>
          <t>Frekuensi Sinkronisasi</t>
        </is>
      </c>
      <c r="Z1" s="5" t="inlineStr">
        <is>
          <t>Bidang / Unit Kerja</t>
        </is>
      </c>
      <c r="AA1" s="5" t="inlineStr">
        <is>
          <t>OPD</t>
        </is>
      </c>
      <c r="AB1" s="5" t="inlineStr">
        <is>
          <t>Nama</t>
        </is>
      </c>
      <c r="AC1" s="5" t="inlineStr">
        <is>
          <t>No. HP</t>
        </is>
      </c>
      <c r="AD1" s="5" t="inlineStr">
        <is>
          <t>Email</t>
        </is>
      </c>
      <c r="AE1" s="31" t="inlineStr">
        <is>
          <t>Keterkaitan 58 Rencana Aksi</t>
        </is>
      </c>
      <c r="AF1" s="31" t="inlineStr">
        <is>
          <t>Frekuensi Penggunaan Aplikasi</t>
        </is>
      </c>
      <c r="AG1" s="31" t="inlineStr">
        <is>
          <t>TA</t>
        </is>
      </c>
      <c r="AH1" s="7" t="n"/>
      <c r="AI1" s="7" t="n"/>
      <c r="AJ1" s="7" t="n"/>
      <c r="AK1" s="7" t="n"/>
      <c r="AL1" s="7" t="n"/>
      <c r="AM1" s="7" t="n"/>
      <c r="AN1" s="7" t="n"/>
      <c r="AO1" s="7" t="n"/>
      <c r="AP1" s="7" t="n"/>
      <c r="AQ1" s="7" t="n"/>
      <c r="AR1" s="7" t="n"/>
    </row>
    <row r="2" hidden="1" s="346">
      <c r="A2" s="8" t="n">
        <v>1</v>
      </c>
      <c r="B2" s="9" t="n">
        <v>2</v>
      </c>
      <c r="C2" s="9" t="n">
        <v>3</v>
      </c>
      <c r="D2" s="9" t="n">
        <v>4</v>
      </c>
      <c r="E2" s="9" t="n">
        <v>5</v>
      </c>
      <c r="F2" s="9" t="n">
        <v>6</v>
      </c>
      <c r="G2" s="9" t="n">
        <v>7</v>
      </c>
      <c r="H2" s="11" t="n">
        <v>8</v>
      </c>
      <c r="I2" s="11" t="n">
        <v>9</v>
      </c>
      <c r="J2" s="11" t="n">
        <v>10</v>
      </c>
      <c r="K2" s="11" t="n">
        <v>11</v>
      </c>
      <c r="L2" s="11" t="n">
        <v>12</v>
      </c>
      <c r="M2" s="14" t="n">
        <v>13</v>
      </c>
      <c r="N2" s="14" t="n">
        <v>14</v>
      </c>
      <c r="O2" s="14" t="n">
        <v>15</v>
      </c>
      <c r="P2" s="14" t="n">
        <v>16</v>
      </c>
      <c r="Q2" s="14" t="n">
        <v>17</v>
      </c>
      <c r="R2" s="14" t="n">
        <v>18</v>
      </c>
      <c r="S2" s="14" t="n">
        <v>19</v>
      </c>
      <c r="T2" s="14" t="n">
        <v>20</v>
      </c>
      <c r="U2" s="14" t="n">
        <v>21</v>
      </c>
      <c r="V2" s="14" t="n">
        <v>22</v>
      </c>
      <c r="W2" s="14" t="n">
        <v>23</v>
      </c>
      <c r="X2" s="14" t="n">
        <v>24</v>
      </c>
      <c r="Y2" s="14" t="n">
        <v>25</v>
      </c>
      <c r="Z2" s="15" t="n">
        <v>26</v>
      </c>
      <c r="AA2" s="15" t="n">
        <v>27</v>
      </c>
      <c r="AB2" s="15" t="n">
        <v>28</v>
      </c>
      <c r="AC2" s="15" t="n">
        <v>29</v>
      </c>
      <c r="AD2" s="15" t="n">
        <v>30</v>
      </c>
      <c r="AE2" s="33" t="n">
        <v>31</v>
      </c>
      <c r="AF2" s="33" t="n">
        <v>32</v>
      </c>
      <c r="AG2" s="33" t="n">
        <v>33</v>
      </c>
      <c r="AH2" s="18" t="n"/>
      <c r="AI2" s="18" t="n"/>
      <c r="AJ2" s="18" t="n"/>
      <c r="AK2" s="18" t="n"/>
      <c r="AL2" s="18" t="n"/>
      <c r="AM2" s="18" t="n"/>
      <c r="AN2" s="18" t="n"/>
      <c r="AO2" s="18" t="n"/>
      <c r="AP2" s="18" t="n"/>
      <c r="AQ2" s="18" t="n"/>
      <c r="AR2" s="18" t="n"/>
    </row>
    <row r="3" hidden="1" s="346">
      <c r="A3" s="8" t="n">
        <v>1</v>
      </c>
      <c r="B3" s="41" t="inlineStr">
        <is>
          <t>Layanan Radio Kandaga</t>
        </is>
      </c>
      <c r="C3" s="41" t="inlineStr">
        <is>
          <t>layanan bagi para pembicara yang telah menyampaiakan informasi melalui Podcast Radio Kandaga</t>
        </is>
      </c>
      <c r="D3" s="41" t="n"/>
      <c r="E3" s="41" t="n"/>
      <c r="F3" s="46" t="inlineStr">
        <is>
          <t>PENYIARAN RADIO PUBLIK</t>
        </is>
      </c>
      <c r="G3" s="46" t="inlineStr">
        <is>
          <t>Masyarakat</t>
        </is>
      </c>
      <c r="H3" s="42" t="inlineStr">
        <is>
          <t>Data Siaran atau Podcast</t>
        </is>
      </c>
      <c r="I3" s="43" t="inlineStr">
        <is>
          <t>Data Siaran atau Podcast</t>
        </is>
      </c>
      <c r="J3" s="46" t="inlineStr">
        <is>
          <t>Terbuka</t>
        </is>
      </c>
      <c r="K3" s="46" t="n"/>
      <c r="L3" s="46" t="inlineStr">
        <is>
          <t>Tahunan</t>
        </is>
      </c>
      <c r="M3" s="44" t="inlineStr">
        <is>
          <t>KANDAGA</t>
        </is>
      </c>
      <c r="N3" s="46" t="n"/>
      <c r="O3" s="46" t="n"/>
      <c r="P3" s="46" t="inlineStr">
        <is>
          <t>Mobile</t>
        </is>
      </c>
      <c r="Q3" s="22" t="inlineStr">
        <is>
          <t>https://play.google.com/store/apps/details?id=com.diskominfo.radiokandagabedas&amp;pcampaignid=web_share</t>
        </is>
      </c>
      <c r="R3" s="46" t="n"/>
      <c r="S3" s="46" t="n"/>
      <c r="T3" s="41" t="n"/>
      <c r="U3" s="46" t="n"/>
      <c r="V3" s="46" t="n"/>
      <c r="W3" s="46" t="n"/>
      <c r="X3" s="46" t="n"/>
      <c r="Y3" s="46" t="n"/>
      <c r="Z3" s="45" t="inlineStr">
        <is>
          <t>Penyelenggaraan Informasi dan Komunikasi Publik</t>
        </is>
      </c>
      <c r="AA3" s="46" t="inlineStr">
        <is>
          <t>Diskominfo</t>
        </is>
      </c>
      <c r="AB3" s="41" t="n"/>
      <c r="AC3" s="41" t="n"/>
      <c r="AD3" s="41" t="n"/>
      <c r="AE3" s="39" t="n"/>
      <c r="AF3" s="39" t="n"/>
      <c r="AG3" s="24" t="n"/>
      <c r="AH3" s="24" t="n"/>
      <c r="AI3" s="24" t="n"/>
      <c r="AJ3" s="24" t="n"/>
      <c r="AK3" s="24" t="n"/>
      <c r="AL3" s="24" t="n"/>
      <c r="AM3" s="24" t="n"/>
      <c r="AN3" s="24" t="n"/>
      <c r="AO3" s="24" t="n"/>
      <c r="AP3" s="24" t="n"/>
      <c r="AQ3" s="24" t="n"/>
      <c r="AR3" s="24" t="n"/>
    </row>
    <row r="4" hidden="1" s="346">
      <c r="A4" s="8" t="n">
        <v>2</v>
      </c>
      <c r="B4" s="41" t="inlineStr">
        <is>
          <t>Layanan Pembinaan dan Fasilitasi KIM</t>
        </is>
      </c>
      <c r="C4" s="41" t="inlineStr">
        <is>
          <t>Layanan Pembinaan dan Fasilitasi KIM: Mendorong pengembangan kawasan industri melalui pembinaan dan fasilitasi.</t>
        </is>
      </c>
      <c r="D4" s="41" t="n"/>
      <c r="E4" s="41" t="n"/>
      <c r="F4" s="46" t="inlineStr">
        <is>
          <t>PEMBERDAYAAN DAN PERAN MASYARAKAT</t>
        </is>
      </c>
      <c r="G4" s="46" t="inlineStr">
        <is>
          <t>Instansi Pemerintah Lainnya</t>
        </is>
      </c>
      <c r="H4" s="50" t="inlineStr">
        <is>
          <t>Data Peserta KIM</t>
        </is>
      </c>
      <c r="I4" s="41" t="inlineStr">
        <is>
          <t>Data Peserta KIM</t>
        </is>
      </c>
      <c r="J4" s="46" t="inlineStr">
        <is>
          <t>Terbatas</t>
        </is>
      </c>
      <c r="K4" s="46" t="n"/>
      <c r="L4" s="46" t="inlineStr">
        <is>
          <t>Tahunan</t>
        </is>
      </c>
      <c r="M4" s="51" t="inlineStr">
        <is>
          <t>KIM</t>
        </is>
      </c>
      <c r="N4" s="46" t="n"/>
      <c r="O4" s="46" t="inlineStr">
        <is>
          <t>Pusat</t>
        </is>
      </c>
      <c r="P4" s="46" t="inlineStr">
        <is>
          <t>Website</t>
        </is>
      </c>
      <c r="Q4" s="52" t="inlineStr">
        <is>
          <t>https://kimonline.bandungkab.go.id/ kim/</t>
        </is>
      </c>
      <c r="R4" s="46" t="n"/>
      <c r="S4" s="46" t="n"/>
      <c r="T4" s="41" t="n"/>
      <c r="U4" s="46" t="n"/>
      <c r="V4" s="46" t="n"/>
      <c r="W4" s="46" t="n"/>
      <c r="X4" s="46" t="n"/>
      <c r="Y4" s="46" t="n"/>
      <c r="Z4" s="46" t="n"/>
      <c r="AA4" s="46" t="inlineStr">
        <is>
          <t>Diskominfo</t>
        </is>
      </c>
      <c r="AB4" s="41" t="n"/>
      <c r="AC4" s="41" t="n"/>
      <c r="AD4" s="41" t="n"/>
      <c r="AE4" s="39" t="n"/>
      <c r="AF4" s="39" t="n"/>
      <c r="AG4" s="24" t="n"/>
      <c r="AH4" s="24" t="n"/>
      <c r="AI4" s="24" t="n"/>
      <c r="AJ4" s="24" t="n"/>
      <c r="AK4" s="24" t="n"/>
      <c r="AL4" s="24" t="n"/>
      <c r="AM4" s="24" t="n"/>
      <c r="AN4" s="24" t="n"/>
      <c r="AO4" s="24" t="n"/>
      <c r="AP4" s="24" t="n"/>
      <c r="AQ4" s="24" t="n"/>
      <c r="AR4" s="24" t="n"/>
    </row>
    <row r="5" hidden="1" s="346">
      <c r="A5" s="8" t="n">
        <v>3</v>
      </c>
      <c r="B5" s="41" t="inlineStr">
        <is>
          <t>Layanan Portal Aplikasi</t>
        </is>
      </c>
      <c r="C5" s="41" t="inlineStr">
        <is>
          <t>Layanan Portal Aplikasi: Memberikan akses terpadu ke berbagai aplikasi pemerintah daerah.</t>
        </is>
      </c>
      <c r="D5" s="41" t="n"/>
      <c r="E5" s="41" t="n"/>
      <c r="F5" s="46" t="inlineStr">
        <is>
          <t>PENATAKELOLAAN APLIKASI INFORMATIKA</t>
        </is>
      </c>
      <c r="G5" s="46" t="inlineStr">
        <is>
          <t>Instansi Pemerintah Lainnya</t>
        </is>
      </c>
      <c r="H5" s="54" t="inlineStr">
        <is>
          <t>Data Portal Layanan</t>
        </is>
      </c>
      <c r="I5" s="41" t="inlineStr">
        <is>
          <t>Data Portal Layanan</t>
        </is>
      </c>
      <c r="J5" s="46" t="inlineStr">
        <is>
          <t>Terbuka</t>
        </is>
      </c>
      <c r="K5" s="46" t="n"/>
      <c r="L5" s="46" t="inlineStr">
        <is>
          <t>Tahunan</t>
        </is>
      </c>
      <c r="M5" s="283" t="inlineStr">
        <is>
          <t>PORTAL KAB BANDUNG</t>
        </is>
      </c>
      <c r="N5" s="46" t="inlineStr">
        <is>
          <t>Diskominfo</t>
        </is>
      </c>
      <c r="O5" s="46" t="inlineStr">
        <is>
          <t>Kab. Bandung</t>
        </is>
      </c>
      <c r="P5" s="46" t="inlineStr">
        <is>
          <t>Website</t>
        </is>
      </c>
      <c r="Q5" s="22" t="inlineStr">
        <is>
          <t>https://bandungkab.go.id/</t>
        </is>
      </c>
      <c r="R5" s="46" t="n"/>
      <c r="S5" s="46" t="n"/>
      <c r="T5" s="41" t="n"/>
      <c r="U5" s="46" t="n"/>
      <c r="V5" s="46" t="n"/>
      <c r="W5" s="46" t="n"/>
      <c r="X5" s="46" t="n"/>
      <c r="Y5" s="46" t="n"/>
      <c r="Z5" s="46" t="n"/>
      <c r="AA5" s="46" t="inlineStr">
        <is>
          <t>Diskominfo</t>
        </is>
      </c>
      <c r="AB5" s="41" t="n"/>
      <c r="AC5" s="41" t="n"/>
      <c r="AD5" s="41" t="n"/>
      <c r="AE5" s="39" t="n"/>
      <c r="AF5" s="39" t="n"/>
      <c r="AG5" s="24" t="n"/>
      <c r="AH5" s="24" t="n"/>
      <c r="AI5" s="24" t="n"/>
      <c r="AJ5" s="24" t="n"/>
      <c r="AK5" s="24" t="n"/>
      <c r="AL5" s="24" t="n"/>
      <c r="AM5" s="24" t="n"/>
      <c r="AN5" s="24" t="n"/>
      <c r="AO5" s="24" t="n"/>
      <c r="AP5" s="24" t="n"/>
      <c r="AQ5" s="24" t="n"/>
      <c r="AR5" s="24" t="n"/>
    </row>
    <row r="6" hidden="1" s="346">
      <c r="A6" s="8" t="n">
        <v>4</v>
      </c>
      <c r="B6" s="41" t="inlineStr">
        <is>
          <t>Layanan Smart CIty</t>
        </is>
      </c>
      <c r="C6" s="41" t="inlineStr">
        <is>
          <t>Layanan Smart City: Mengintegrasikan teknologi untuk meningkatkan efisiensi dan kualitas hidup warga dalam konteks perkotaan.</t>
        </is>
      </c>
      <c r="D6" s="41" t="n"/>
      <c r="E6" s="41" t="n"/>
      <c r="F6" s="46" t="inlineStr">
        <is>
          <t>PENINGKATAN KUALITAS PELAYANAN PUBLIK</t>
        </is>
      </c>
      <c r="G6" s="46" t="inlineStr">
        <is>
          <t>Masyarakat</t>
        </is>
      </c>
      <c r="H6" s="48" t="inlineStr">
        <is>
          <t>Data Smart City</t>
        </is>
      </c>
      <c r="I6" s="41" t="inlineStr">
        <is>
          <t>Data Smart City</t>
        </is>
      </c>
      <c r="J6" s="46" t="inlineStr">
        <is>
          <t>Terbuka</t>
        </is>
      </c>
      <c r="K6" s="46" t="n"/>
      <c r="L6" s="46" t="inlineStr">
        <is>
          <t>Tahunan</t>
        </is>
      </c>
      <c r="M6" s="53" t="inlineStr">
        <is>
          <t>SMART CITY</t>
        </is>
      </c>
      <c r="N6" s="46" t="n"/>
      <c r="O6" s="46" t="n"/>
      <c r="P6" s="46" t="inlineStr">
        <is>
          <t>Website</t>
        </is>
      </c>
      <c r="Q6" s="22" t="inlineStr">
        <is>
          <t>https://smartcity.bandungkab.go.id/</t>
        </is>
      </c>
      <c r="R6" s="46" t="n"/>
      <c r="S6" s="46" t="n"/>
      <c r="T6" s="41" t="n"/>
      <c r="U6" s="46" t="n"/>
      <c r="V6" s="46" t="n"/>
      <c r="W6" s="46" t="n"/>
      <c r="X6" s="46" t="n"/>
      <c r="Y6" s="46" t="n"/>
      <c r="Z6" s="46" t="n"/>
      <c r="AA6" s="46" t="inlineStr">
        <is>
          <t>Diskominfo</t>
        </is>
      </c>
      <c r="AB6" s="41" t="n"/>
      <c r="AC6" s="41" t="n"/>
      <c r="AD6" s="41" t="n"/>
      <c r="AE6" s="39" t="n"/>
      <c r="AF6" s="39" t="n"/>
      <c r="AG6" s="24" t="n"/>
      <c r="AH6" s="24" t="n"/>
      <c r="AI6" s="24" t="n"/>
      <c r="AJ6" s="24" t="n"/>
      <c r="AK6" s="24" t="n"/>
      <c r="AL6" s="24" t="n"/>
      <c r="AM6" s="24" t="n"/>
      <c r="AN6" s="24" t="n"/>
      <c r="AO6" s="24" t="n"/>
      <c r="AP6" s="24" t="n"/>
      <c r="AQ6" s="24" t="n"/>
      <c r="AR6" s="24" t="n"/>
    </row>
    <row r="7" hidden="1" s="346">
      <c r="A7" s="62" t="n">
        <v>5</v>
      </c>
      <c r="B7" s="63" t="inlineStr">
        <is>
          <t>Layanan Sistem Informasi Tindak Lanjut Hasil Layanan Terpadu</t>
        </is>
      </c>
      <c r="C7" s="63" t="inlineStr">
        <is>
          <t>Layanan Sistem Informasi Tindak Lanjut Hasil Layanan Terpadu mengacu pada sistem informasi berbasis web untuk mengelola dan memantau proses tindak lanjut (TL) hasil rekomendasi pemeriksaan oleh lembaga seperti Badan Pemeriksa Keuangan (BPK), agar prosesnya menjadi lebih efisien, transparan, dan akuntabel melalui digitalisasi data dan komunikasi online secara real-time antara BPK dan entitas yang diperiksa.</t>
        </is>
      </c>
      <c r="D7" s="63" t="inlineStr">
        <is>
          <t>Undang-Undang Nomor 25 Tahun 2009 tentang Pelayanan Publik, Peraturan Pemerintah Nomor 96 Tahun 2012</t>
        </is>
      </c>
      <c r="E7" s="288" t="n"/>
      <c r="F7" s="64" t="inlineStr">
        <is>
          <t>PENINGKATAN KUALITAS PELAYANAN PUBLIK</t>
        </is>
      </c>
      <c r="G7" s="64" t="inlineStr">
        <is>
          <t>Instansi Pemerintah Lainnya</t>
        </is>
      </c>
      <c r="H7" s="64" t="inlineStr">
        <is>
          <t>Data Evidence Tindak Lanjut yang Direkomendasikan</t>
        </is>
      </c>
      <c r="I7" s="64" t="inlineStr">
        <is>
          <t>Data Hasil Tindak Lanjut</t>
        </is>
      </c>
      <c r="J7" s="64" t="inlineStr">
        <is>
          <t>Terbatas</t>
        </is>
      </c>
      <c r="K7" s="64" t="inlineStr">
        <is>
          <t>Tidak terdapat</t>
        </is>
      </c>
      <c r="L7" s="64" t="inlineStr">
        <is>
          <t>Tahunan</t>
        </is>
      </c>
      <c r="M7" s="64" t="inlineStr">
        <is>
          <t>SIMASLAHAT</t>
        </is>
      </c>
      <c r="N7" s="64" t="inlineStr">
        <is>
          <t>Pihak Ke 3</t>
        </is>
      </c>
      <c r="O7" s="64" t="inlineStr">
        <is>
          <t>Kab. Bandung</t>
        </is>
      </c>
      <c r="P7" s="64" t="inlineStr">
        <is>
          <t>Website</t>
        </is>
      </c>
      <c r="Q7" s="66" t="inlineStr">
        <is>
          <t>https://simaslahat.bandungkab.go.id</t>
        </is>
      </c>
      <c r="R7" s="64" t="inlineStr">
        <is>
          <t>Secara Online</t>
        </is>
      </c>
      <c r="S7" s="64" t="inlineStr">
        <is>
          <t>Transaksi</t>
        </is>
      </c>
      <c r="T7" s="64" t="n">
        <v>2022</v>
      </c>
      <c r="U7" s="64" t="inlineStr">
        <is>
          <t>Aktif</t>
        </is>
      </c>
      <c r="V7" s="64" t="inlineStr">
        <is>
          <t>Tidak</t>
        </is>
      </c>
      <c r="W7" s="64" t="inlineStr">
        <is>
          <t>Tidak Terintegrasi</t>
        </is>
      </c>
      <c r="X7" s="64" t="inlineStr">
        <is>
          <t>Tidak Terintegrasi</t>
        </is>
      </c>
      <c r="Y7" s="64" t="inlineStr">
        <is>
          <t>Tidak Terintegrasi</t>
        </is>
      </c>
      <c r="Z7" s="64" t="inlineStr">
        <is>
          <t>Bagian Perencanaan dan Keuangan</t>
        </is>
      </c>
      <c r="AA7" s="65" t="inlineStr">
        <is>
          <t>Setda</t>
        </is>
      </c>
      <c r="AB7" s="63" t="inlineStr">
        <is>
          <t>VERRYNOVYANDI SADIKIN, SE., MM</t>
        </is>
      </c>
      <c r="AC7" s="63" t="n">
        <v>895327038135</v>
      </c>
      <c r="AD7" s="63" t="inlineStr">
        <is>
          <t>setdakab.bdg@gmail.com</t>
        </is>
      </c>
      <c r="AE7" s="67" t="inlineStr">
        <is>
          <t>-</t>
        </is>
      </c>
      <c r="AF7" s="68" t="inlineStr">
        <is>
          <t>Tahunan</t>
        </is>
      </c>
      <c r="AG7" s="284" t="n"/>
      <c r="AH7" s="284" t="n"/>
      <c r="AI7" s="284" t="n"/>
      <c r="AJ7" s="284" t="n"/>
      <c r="AK7" s="284" t="n"/>
      <c r="AL7" s="284" t="n"/>
      <c r="AM7" s="284" t="n"/>
      <c r="AN7" s="284" t="n"/>
      <c r="AO7" s="284" t="n"/>
      <c r="AP7" s="284" t="n"/>
      <c r="AQ7" s="284" t="n"/>
      <c r="AR7" s="284" t="n"/>
    </row>
    <row r="8" hidden="1" s="346">
      <c r="A8" s="62" t="n">
        <v>6</v>
      </c>
      <c r="B8" s="63" t="inlineStr">
        <is>
          <t>Layanan Pengaduan Masyarakat</t>
        </is>
      </c>
      <c r="C8" s="63" t="inlineStr">
        <is>
          <t>Layanan Pengaduan Masyarakat (LPM) adalah wadah atau sistem yang disediakan oleh instansi pemerintah (atau lembaga publik lainnya) bagi masyarakat untuk menyampaikan keluhan, saran, masukan, aspirasi, hingga laporan atas dugaan penyimpangan atau maladministrasi dalam penyelenggaraan pemerintahan dan pelayanan publik.</t>
        </is>
      </c>
      <c r="D8" s="63" t="inlineStr">
        <is>
          <t>Undang-Undang Nomor 25 Tahun 2009 tentang Pelayanan Publik</t>
        </is>
      </c>
      <c r="E8" s="288" t="n"/>
      <c r="F8" s="64" t="inlineStr">
        <is>
          <t>PENINGKATAN KUALITAS PELAYANAN PUBLIK</t>
        </is>
      </c>
      <c r="G8" s="64" t="inlineStr">
        <is>
          <t>Masyarakat</t>
        </is>
      </c>
      <c r="H8" s="64" t="inlineStr">
        <is>
          <t>Data Pengguna, Data Adun</t>
        </is>
      </c>
      <c r="I8" s="64" t="inlineStr">
        <is>
          <t>Data Aduan Masyarakat</t>
        </is>
      </c>
      <c r="J8" s="64" t="inlineStr">
        <is>
          <t>Terbatas</t>
        </is>
      </c>
      <c r="K8" s="64" t="inlineStr">
        <is>
          <t>Terdapat</t>
        </is>
      </c>
      <c r="L8" s="64" t="inlineStr">
        <is>
          <t>Harian</t>
        </is>
      </c>
      <c r="M8" s="64" t="inlineStr">
        <is>
          <t>SP4N Lapor</t>
        </is>
      </c>
      <c r="N8" s="64" t="inlineStr">
        <is>
          <t>Pusat</t>
        </is>
      </c>
      <c r="O8" s="64" t="inlineStr">
        <is>
          <t>Pusat</t>
        </is>
      </c>
      <c r="P8" s="64" t="inlineStr">
        <is>
          <t>Website</t>
        </is>
      </c>
      <c r="Q8" s="66" t="inlineStr">
        <is>
          <t>https://lapor.go.id/</t>
        </is>
      </c>
      <c r="R8" s="64" t="inlineStr">
        <is>
          <t>Secara Online</t>
        </is>
      </c>
      <c r="S8" s="64" t="inlineStr">
        <is>
          <t>Informasi</t>
        </is>
      </c>
      <c r="T8" s="64" t="n">
        <v>2018</v>
      </c>
      <c r="U8" s="64" t="inlineStr">
        <is>
          <t>Aktif</t>
        </is>
      </c>
      <c r="V8" s="64" t="inlineStr">
        <is>
          <t>Tidak</t>
        </is>
      </c>
      <c r="W8" s="64" t="inlineStr">
        <is>
          <t>Tidak Terintegrasi</t>
        </is>
      </c>
      <c r="X8" s="64" t="inlineStr">
        <is>
          <t>Tidak Terintegrasi</t>
        </is>
      </c>
      <c r="Y8" s="64" t="inlineStr">
        <is>
          <t>Tidak Terintegrasi</t>
        </is>
      </c>
      <c r="Z8" s="64" t="inlineStr">
        <is>
          <t>Bidang Informasi Komunikasi Publik</t>
        </is>
      </c>
      <c r="AA8" s="64" t="inlineStr">
        <is>
          <t>Diskominfo</t>
        </is>
      </c>
      <c r="AB8" s="63" t="inlineStr">
        <is>
          <t>ALIPHIO DYAKSHA PUTRA, A.Md.Ak.</t>
        </is>
      </c>
      <c r="AC8" s="63" t="n">
        <v>8988005270</v>
      </c>
      <c r="AD8" s="63" t="inlineStr">
        <is>
          <t>setdakab.bdg@gmail.com</t>
        </is>
      </c>
      <c r="AE8" s="67" t="inlineStr">
        <is>
          <t>-</t>
        </is>
      </c>
      <c r="AF8" s="68" t="inlineStr">
        <is>
          <t>Insidentil</t>
        </is>
      </c>
      <c r="AG8" s="284" t="n"/>
      <c r="AH8" s="284" t="n"/>
      <c r="AI8" s="284" t="n"/>
      <c r="AJ8" s="284" t="n"/>
      <c r="AK8" s="284" t="n"/>
      <c r="AL8" s="284" t="n"/>
      <c r="AM8" s="284" t="n"/>
      <c r="AN8" s="284" t="n"/>
      <c r="AO8" s="284" t="n"/>
      <c r="AP8" s="284" t="n"/>
      <c r="AQ8" s="284" t="n"/>
      <c r="AR8" s="284" t="n"/>
    </row>
    <row r="9" hidden="1" s="346">
      <c r="A9" s="62" t="n">
        <v>7</v>
      </c>
      <c r="B9" s="63" t="inlineStr">
        <is>
          <t>Layanan Data Sektoral</t>
        </is>
      </c>
      <c r="C9" s="63" t="inlineStr">
        <is>
          <t>Layanan data sektoral adalah statistik yang dihasilkan oleh instansi pemerintah pusat atau daerah sesuai dengan tugas dan fungsi masing-masing, yang bertujuan untuk memenuhi kebutuhan internal instansi tersebut dalam penyelenggaraan pemerintahan dan pembangunan.</t>
        </is>
      </c>
      <c r="D9" s="63" t="inlineStr">
        <is>
          <t>PERATURAN BADAN PUSAT STATISTIK NOMOR 3 TAHUN 2022 TENTANG EVALUASI PENYELENGGARAAN STATISTIK SEKTORAL</t>
        </is>
      </c>
      <c r="E9" s="288" t="n"/>
      <c r="F9" s="64" t="inlineStr">
        <is>
          <t>PENGELOLAAN DATA STATISTIK</t>
        </is>
      </c>
      <c r="G9" s="64" t="inlineStr">
        <is>
          <t>Instansi Pemerintah Lainnya</t>
        </is>
      </c>
      <c r="H9" s="64" t="inlineStr">
        <is>
          <t>Data Sektoral</t>
        </is>
      </c>
      <c r="I9" s="64" t="inlineStr">
        <is>
          <t>Data Sektoral</t>
        </is>
      </c>
      <c r="J9" s="64" t="inlineStr">
        <is>
          <t>Terbatas</t>
        </is>
      </c>
      <c r="K9" s="64" t="inlineStr">
        <is>
          <t>Tidak terdapat</t>
        </is>
      </c>
      <c r="L9" s="64" t="inlineStr">
        <is>
          <t>Tahunan</t>
        </is>
      </c>
      <c r="M9" s="64" t="inlineStr">
        <is>
          <t>SIMASDA</t>
        </is>
      </c>
      <c r="N9" s="64" t="inlineStr">
        <is>
          <t>Diskominfo</t>
        </is>
      </c>
      <c r="O9" s="64" t="inlineStr">
        <is>
          <t>Kab. Bandung</t>
        </is>
      </c>
      <c r="P9" s="64" t="inlineStr">
        <is>
          <t>Website</t>
        </is>
      </c>
      <c r="Q9" s="66" t="inlineStr">
        <is>
          <t>https://simasda.bandungkab.go.id/</t>
        </is>
      </c>
      <c r="R9" s="64" t="inlineStr">
        <is>
          <t>Secara Online</t>
        </is>
      </c>
      <c r="S9" s="64" t="inlineStr">
        <is>
          <t>Informasi</t>
        </is>
      </c>
      <c r="T9" s="64" t="n">
        <v>2022</v>
      </c>
      <c r="U9" s="64" t="inlineStr">
        <is>
          <t>Aktif</t>
        </is>
      </c>
      <c r="V9" s="64" t="inlineStr">
        <is>
          <t>Ya</t>
        </is>
      </c>
      <c r="W9" s="64" t="inlineStr">
        <is>
          <t>Terintegrasi dengan Bedas, E-Walidata dan Satu Data Kab Bandung</t>
        </is>
      </c>
      <c r="X9" s="64" t="inlineStr">
        <is>
          <t>Database to Database</t>
        </is>
      </c>
      <c r="Y9" s="64" t="inlineStr">
        <is>
          <t>Realtime</t>
        </is>
      </c>
      <c r="Z9" s="64" t="inlineStr">
        <is>
          <t>Bidang Statistik</t>
        </is>
      </c>
      <c r="AA9" s="64" t="inlineStr">
        <is>
          <t>Diskominfo</t>
        </is>
      </c>
      <c r="AB9" s="63" t="inlineStr">
        <is>
          <t>DHANTI AURILIA PRATIWI, M.Stat</t>
        </is>
      </c>
      <c r="AC9" s="63" t="n">
        <v>81904085710</v>
      </c>
      <c r="AD9" s="63" t="inlineStr">
        <is>
          <t>setdakab.bdg@gmail.com</t>
        </is>
      </c>
      <c r="AE9" s="288" t="n"/>
      <c r="AF9" s="288" t="n"/>
      <c r="AG9" s="284" t="n"/>
      <c r="AH9" s="284" t="n"/>
      <c r="AI9" s="284" t="n"/>
      <c r="AJ9" s="284" t="n"/>
      <c r="AK9" s="284" t="n"/>
      <c r="AL9" s="284" t="n"/>
      <c r="AM9" s="284" t="n"/>
      <c r="AN9" s="284" t="n"/>
      <c r="AO9" s="284" t="n"/>
      <c r="AP9" s="284" t="n"/>
      <c r="AQ9" s="284" t="n"/>
      <c r="AR9" s="284" t="n"/>
    </row>
    <row r="10" hidden="1" s="346">
      <c r="A10" s="62" t="n">
        <v>8</v>
      </c>
      <c r="B10" s="63" t="inlineStr">
        <is>
          <t>Layanan Rekonsiliasi Pajak Pusat</t>
        </is>
      </c>
      <c r="C10" s="63" t="inlineStr">
        <is>
          <t>Rekonsiliasi pajak pusat atas belanja daerah adalah proses penyesuaian atau pencocokan antara jumlah pajak yang harus dibayarkan oleh pemerintah daerah kepada pemerintah pusat dengan total belanja yang telah dilakukan oleh pemerintah daerah dalam kerangka Anggaran Pendapatan dan Belanja Daerah (APBD)</t>
        </is>
      </c>
      <c r="D10" s="63" t="inlineStr">
        <is>
          <t>PERBUP Nomor 165 Tahun 2021 dan PERBUP Nomor 289 Tahun 2022</t>
        </is>
      </c>
      <c r="E10" s="288" t="n"/>
      <c r="F10" s="64" t="inlineStr">
        <is>
          <t>AKUNTANSI DAN PELAPORAN KEUANGAN</t>
        </is>
      </c>
      <c r="G10" s="64" t="inlineStr">
        <is>
          <t>Instansi Pemerintah Lainnya</t>
        </is>
      </c>
      <c r="H10" s="64" t="inlineStr">
        <is>
          <t>Data Pajak Pusat (ID Billing &amp; NTPN)</t>
        </is>
      </c>
      <c r="I10" s="64" t="inlineStr">
        <is>
          <t>Rekap Data Pajak Pusat</t>
        </is>
      </c>
      <c r="J10" s="64" t="inlineStr">
        <is>
          <t>Tertutup</t>
        </is>
      </c>
      <c r="K10" s="64" t="inlineStr">
        <is>
          <t>Terdapat</t>
        </is>
      </c>
      <c r="L10" s="64" t="inlineStr">
        <is>
          <t>Harian</t>
        </is>
      </c>
      <c r="M10" s="64" t="inlineStr">
        <is>
          <t>SIREKON</t>
        </is>
      </c>
      <c r="N10" s="67" t="inlineStr">
        <is>
          <t>Pihak Ke 3</t>
        </is>
      </c>
      <c r="O10" s="67" t="inlineStr">
        <is>
          <t>Kab. Bandung</t>
        </is>
      </c>
      <c r="P10" s="67" t="inlineStr">
        <is>
          <t>Website</t>
        </is>
      </c>
      <c r="Q10" s="66" t="inlineStr">
        <is>
          <t>https://sirekonpajak.bandungkab.go.id/</t>
        </is>
      </c>
      <c r="R10" s="64" t="inlineStr">
        <is>
          <t>Secara Online</t>
        </is>
      </c>
      <c r="S10" s="64" t="inlineStr">
        <is>
          <t>Informasi</t>
        </is>
      </c>
      <c r="T10" s="64" t="n">
        <v>2020</v>
      </c>
      <c r="U10" s="64" t="inlineStr">
        <is>
          <t>Aktif</t>
        </is>
      </c>
      <c r="V10" s="64" t="inlineStr">
        <is>
          <t>Tidak</t>
        </is>
      </c>
      <c r="W10" s="64" t="inlineStr">
        <is>
          <t>Tidak Terintegrasi</t>
        </is>
      </c>
      <c r="X10" s="64" t="inlineStr">
        <is>
          <t>Tidak Terintegrasi</t>
        </is>
      </c>
      <c r="Y10" s="64" t="inlineStr">
        <is>
          <t>Tidak Terintegrasi</t>
        </is>
      </c>
      <c r="Z10" s="64" t="inlineStr">
        <is>
          <t>Bagian Perencanaan dan Keuangan</t>
        </is>
      </c>
      <c r="AA10" s="65" t="inlineStr">
        <is>
          <t>BKAD</t>
        </is>
      </c>
      <c r="AB10" s="63" t="inlineStr">
        <is>
          <t>VERRYNOVYANDI SADIKIN, SE., MM</t>
        </is>
      </c>
      <c r="AC10" s="63" t="n">
        <v>895327038135</v>
      </c>
      <c r="AD10" s="63" t="inlineStr">
        <is>
          <t>setdakab.bdg@gmail.com</t>
        </is>
      </c>
      <c r="AE10" s="67" t="inlineStr">
        <is>
          <t>-</t>
        </is>
      </c>
      <c r="AF10" s="68" t="inlineStr">
        <is>
          <t>Bulanan</t>
        </is>
      </c>
      <c r="AG10" s="284" t="n"/>
      <c r="AH10" s="284" t="n"/>
      <c r="AI10" s="284" t="n"/>
      <c r="AJ10" s="284" t="n"/>
      <c r="AK10" s="284" t="n"/>
      <c r="AL10" s="284" t="n"/>
      <c r="AM10" s="284" t="n"/>
      <c r="AN10" s="284" t="n"/>
      <c r="AO10" s="284" t="n"/>
      <c r="AP10" s="284" t="n"/>
      <c r="AQ10" s="284" t="n"/>
      <c r="AR10" s="284" t="n"/>
    </row>
    <row r="11" hidden="1" s="346">
      <c r="A11" s="62" t="n">
        <v>9</v>
      </c>
      <c r="B11" s="63" t="inlineStr">
        <is>
          <t>Layanan Pajak</t>
        </is>
      </c>
      <c r="C11" s="63" t="inlineStr">
        <is>
          <t>Fungsi layanan pajak meliputi pengumpulan pajak daerah, pengelolaan data wajib pajak, pengawasan kepatuhan, serta penyediaan kemudahan pembayaran menggunakan aplikasi digital yang mendukung optimalisasi penerimaan pajak dan peningkatan kualitas pelayanan kepada masyarakat.</t>
        </is>
      </c>
      <c r="D11" s="63" t="inlineStr">
        <is>
          <t>UU No. 1 Tahun 2022</t>
        </is>
      </c>
      <c r="E11" s="288" t="n"/>
      <c r="F11" s="64" t="inlineStr">
        <is>
          <t>AKUNTANSI DAN PELAPORAN KEUANGAN</t>
        </is>
      </c>
      <c r="G11" s="64" t="inlineStr">
        <is>
          <t>Instansi Pemerintah Lainnya</t>
        </is>
      </c>
      <c r="H11" s="64" t="inlineStr">
        <is>
          <t>Data Pajak</t>
        </is>
      </c>
      <c r="I11" s="64" t="inlineStr">
        <is>
          <t>ID Billing</t>
        </is>
      </c>
      <c r="J11" s="64" t="inlineStr">
        <is>
          <t>Terbatas</t>
        </is>
      </c>
      <c r="K11" s="64" t="inlineStr">
        <is>
          <t>Terdapat</t>
        </is>
      </c>
      <c r="L11" s="64" t="inlineStr">
        <is>
          <t>Harian</t>
        </is>
      </c>
      <c r="M11" s="64" t="inlineStr">
        <is>
          <t>Coretax</t>
        </is>
      </c>
      <c r="N11" s="67" t="inlineStr">
        <is>
          <t>Pusat</t>
        </is>
      </c>
      <c r="O11" s="67" t="inlineStr">
        <is>
          <t>Pusat</t>
        </is>
      </c>
      <c r="P11" s="64" t="inlineStr">
        <is>
          <t>Website</t>
        </is>
      </c>
      <c r="Q11" s="66" t="inlineStr">
        <is>
          <t>coretaxdjp.pajak.go.id</t>
        </is>
      </c>
      <c r="R11" s="64" t="inlineStr">
        <is>
          <t>Secara Online</t>
        </is>
      </c>
      <c r="S11" s="64" t="inlineStr">
        <is>
          <t>Informasi</t>
        </is>
      </c>
      <c r="T11" s="64" t="n">
        <v>2025</v>
      </c>
      <c r="U11" s="64" t="inlineStr">
        <is>
          <t>Aktif</t>
        </is>
      </c>
      <c r="V11" s="64" t="inlineStr">
        <is>
          <t>Tidak</t>
        </is>
      </c>
      <c r="W11" s="64" t="inlineStr">
        <is>
          <t>Tidak Terintegrasi</t>
        </is>
      </c>
      <c r="X11" s="64" t="inlineStr">
        <is>
          <t>Tidak Terintegrasi</t>
        </is>
      </c>
      <c r="Y11" s="64" t="inlineStr">
        <is>
          <t>Tidak Terintegrasi</t>
        </is>
      </c>
      <c r="Z11" s="64" t="inlineStr">
        <is>
          <t>Bagian Perencanaan dan Keuangan</t>
        </is>
      </c>
      <c r="AA11" s="64" t="inlineStr">
        <is>
          <t>BKAD</t>
        </is>
      </c>
      <c r="AB11" s="63" t="inlineStr">
        <is>
          <t>VERRYNOVYANDI SADIKIN, SE., MM</t>
        </is>
      </c>
      <c r="AC11" s="63" t="n">
        <v>895327038135</v>
      </c>
      <c r="AD11" s="63" t="inlineStr">
        <is>
          <t>setdakab.bdg@gmail.com</t>
        </is>
      </c>
      <c r="AE11" s="67" t="inlineStr">
        <is>
          <t>-</t>
        </is>
      </c>
      <c r="AF11" s="68" t="inlineStr">
        <is>
          <t>Harian</t>
        </is>
      </c>
      <c r="AG11" s="284" t="n"/>
      <c r="AH11" s="284" t="n"/>
      <c r="AI11" s="284" t="n"/>
      <c r="AJ11" s="284" t="n"/>
      <c r="AK11" s="284" t="n"/>
      <c r="AL11" s="284" t="n"/>
      <c r="AM11" s="284" t="n"/>
      <c r="AN11" s="284" t="n"/>
      <c r="AO11" s="284" t="n"/>
      <c r="AP11" s="284" t="n"/>
      <c r="AQ11" s="284" t="n"/>
      <c r="AR11" s="284" t="n"/>
    </row>
    <row r="12" hidden="1" s="346">
      <c r="A12" s="62" t="n">
        <v>10</v>
      </c>
      <c r="B12" s="63" t="inlineStr">
        <is>
          <t>Layanan Pajak Daerah</t>
        </is>
      </c>
      <c r="C12" s="63" t="inlineStr">
        <is>
          <t>Pajak daerah yang ada digunakan untuk membiayai semua kepentingan umum. Termasuk untuk membuka lapangan kerja baru, sehingga terjadi pemerataan pendapatan agar kesenjangan ekonomi antara yang kaya dan miskin tidak terlalu menonjol. Pajak daerah diharapkan dapat meningkatkan pemerataan di setiap daerah.</t>
        </is>
      </c>
      <c r="D12" s="63" t="inlineStr">
        <is>
          <t>Undang-Undang Nomor 28 Tahun 2009 tentang Pajak Daerah dan Retribusi Daerah (UU PDRD)</t>
        </is>
      </c>
      <c r="E12" s="288" t="n"/>
      <c r="F12" s="64" t="inlineStr">
        <is>
          <t>AKUNTANSI DAN PELAPORAN KEUANGAN</t>
        </is>
      </c>
      <c r="G12" s="64" t="inlineStr">
        <is>
          <t>Instansi Pemerintah Lainnya</t>
        </is>
      </c>
      <c r="H12" s="64" t="inlineStr">
        <is>
          <t>Data Pajak Daerah</t>
        </is>
      </c>
      <c r="I12" s="64" t="inlineStr">
        <is>
          <t>Data Rekap Pajak Daerah</t>
        </is>
      </c>
      <c r="J12" s="64" t="inlineStr">
        <is>
          <t>Terbatas</t>
        </is>
      </c>
      <c r="K12" s="64" t="inlineStr">
        <is>
          <t>Tidak terdapat</t>
        </is>
      </c>
      <c r="L12" s="64" t="inlineStr">
        <is>
          <t>Harian</t>
        </is>
      </c>
      <c r="M12" s="64" t="inlineStr">
        <is>
          <t>E-SPTPD</t>
        </is>
      </c>
      <c r="N12" s="67" t="inlineStr">
        <is>
          <t>Pihak Ke 3</t>
        </is>
      </c>
      <c r="O12" s="67" t="inlineStr">
        <is>
          <t>Kab. Bandung</t>
        </is>
      </c>
      <c r="P12" s="67" t="inlineStr">
        <is>
          <t>Website dan Mobile</t>
        </is>
      </c>
      <c r="Q12" s="66" t="inlineStr">
        <is>
          <t>https://e-sptpd.bandungkab.go.id/</t>
        </is>
      </c>
      <c r="R12" s="64" t="inlineStr">
        <is>
          <t>Secara Online</t>
        </is>
      </c>
      <c r="S12" s="64" t="inlineStr">
        <is>
          <t>Informasi</t>
        </is>
      </c>
      <c r="T12" s="64" t="n">
        <v>2019</v>
      </c>
      <c r="U12" s="64" t="inlineStr">
        <is>
          <t>Aktif</t>
        </is>
      </c>
      <c r="V12" s="64" t="inlineStr">
        <is>
          <t>Tidak</t>
        </is>
      </c>
      <c r="W12" s="64" t="inlineStr">
        <is>
          <t>Tidak Terintegrasi</t>
        </is>
      </c>
      <c r="X12" s="64" t="inlineStr">
        <is>
          <t>Tidak Terintegrasi</t>
        </is>
      </c>
      <c r="Y12" s="64" t="inlineStr">
        <is>
          <t>Tidak Terintegrasi</t>
        </is>
      </c>
      <c r="Z12" s="64" t="inlineStr">
        <is>
          <t>Bagian Perencanaan dan Keuangan</t>
        </is>
      </c>
      <c r="AA12" s="64" t="inlineStr">
        <is>
          <t>Setda, Bapenda</t>
        </is>
      </c>
      <c r="AB12" s="63" t="inlineStr">
        <is>
          <t>VERRYNOVYANDI SADIKIN, SE., MM</t>
        </is>
      </c>
      <c r="AC12" s="63" t="n">
        <v>895327038135</v>
      </c>
      <c r="AD12" s="63" t="inlineStr">
        <is>
          <t>setdakab.bdg@gmail.com</t>
        </is>
      </c>
      <c r="AE12" s="67" t="inlineStr">
        <is>
          <t>-</t>
        </is>
      </c>
      <c r="AF12" s="68" t="inlineStr">
        <is>
          <t>Harian</t>
        </is>
      </c>
      <c r="AG12" s="284" t="n"/>
      <c r="AH12" s="284" t="n"/>
      <c r="AI12" s="284" t="n"/>
      <c r="AJ12" s="284" t="n"/>
      <c r="AK12" s="284" t="n"/>
      <c r="AL12" s="284" t="n"/>
      <c r="AM12" s="284" t="n"/>
      <c r="AN12" s="284" t="n"/>
      <c r="AO12" s="284" t="n"/>
      <c r="AP12" s="284" t="n"/>
      <c r="AQ12" s="284" t="n"/>
      <c r="AR12" s="284" t="n"/>
    </row>
    <row r="13" hidden="1" s="346">
      <c r="A13" s="62" t="n">
        <v>11</v>
      </c>
      <c r="B13" s="63" t="inlineStr">
        <is>
          <t>Layanan Transaksi</t>
        </is>
      </c>
      <c r="C13" s="63" t="inlineStr">
        <is>
          <t>Fungsi utama layanan transaksi di Kabupaten Bandung adalah untuk memudahkan masyarakat dalam memenuhi kewajiban pembayaran pajak daerah dan mendukung efisiensi pengelolaan pajak oleh pemerintah daerah. Layanan ini meliputi berbagai fasilitas dan sistem, seperti pengesahan STNK, pembayaran PKB, dan pemanfaatan teknologi untuk pelaporan data transaksi usaha secara online.</t>
        </is>
      </c>
      <c r="D13" s="63" t="inlineStr">
        <is>
          <t>Peraturan Bupati (Perbup) Kabupaten Bandung Nomor 22 Tahun 2018 tentang Implementasi Transaksi Non Tunai, yang telah beberapa kali diubah dengan Perbup Nomor 6 Tahun 2020 dan Perbup Nomor 15 Tahun 2020.</t>
        </is>
      </c>
      <c r="E13" s="288" t="n"/>
      <c r="F13" s="64" t="inlineStr">
        <is>
          <t>AKUNTANSI DAN PELAPORAN KEUANGAN</t>
        </is>
      </c>
      <c r="G13" s="64" t="inlineStr">
        <is>
          <t>Instansi Pemerintah Lainnya</t>
        </is>
      </c>
      <c r="H13" s="64" t="inlineStr">
        <is>
          <t>Data Transaksi</t>
        </is>
      </c>
      <c r="I13" s="64" t="inlineStr">
        <is>
          <t>Data Rekening Koran</t>
        </is>
      </c>
      <c r="J13" s="64" t="inlineStr">
        <is>
          <t>Terbatas</t>
        </is>
      </c>
      <c r="K13" s="64" t="inlineStr">
        <is>
          <t>Tidak terdapat</t>
        </is>
      </c>
      <c r="L13" s="64" t="inlineStr">
        <is>
          <t>Lainnya</t>
        </is>
      </c>
      <c r="M13" s="64" t="inlineStr">
        <is>
          <t>IBC (Internet Banking Corporate)</t>
        </is>
      </c>
      <c r="N13" s="64" t="inlineStr">
        <is>
          <t>Pihak Ke 3</t>
        </is>
      </c>
      <c r="O13" s="64" t="inlineStr">
        <is>
          <t>Pihak Ke 3 (Lisensi)</t>
        </is>
      </c>
      <c r="P13" s="64" t="inlineStr">
        <is>
          <t>Desktop</t>
        </is>
      </c>
      <c r="Q13" s="67" t="inlineStr">
        <is>
          <t>Aplikasi dari BJB</t>
        </is>
      </c>
      <c r="R13" s="64" t="inlineStr">
        <is>
          <t>Secara Online</t>
        </is>
      </c>
      <c r="S13" s="64" t="inlineStr">
        <is>
          <t>Transaksi</t>
        </is>
      </c>
      <c r="T13" s="64" t="n">
        <v>2019</v>
      </c>
      <c r="U13" s="64" t="inlineStr">
        <is>
          <t>Aktif</t>
        </is>
      </c>
      <c r="V13" s="64" t="inlineStr">
        <is>
          <t>Tidak</t>
        </is>
      </c>
      <c r="W13" s="64" t="inlineStr">
        <is>
          <t>Tidak Terintegrasi</t>
        </is>
      </c>
      <c r="X13" s="64" t="inlineStr">
        <is>
          <t>Tidak Terintegrasi</t>
        </is>
      </c>
      <c r="Y13" s="64" t="inlineStr">
        <is>
          <t>Tidak Terintegrasi</t>
        </is>
      </c>
      <c r="Z13" s="64" t="inlineStr">
        <is>
          <t>Bagian Perencanaan dan Keuangan</t>
        </is>
      </c>
      <c r="AA13" s="64" t="inlineStr">
        <is>
          <t>Setda</t>
        </is>
      </c>
      <c r="AB13" s="63" t="inlineStr">
        <is>
          <t>VERRYNOVYANDI SADIKIN, SE., MM</t>
        </is>
      </c>
      <c r="AC13" s="63" t="n">
        <v>895327038135</v>
      </c>
      <c r="AD13" s="63" t="inlineStr">
        <is>
          <t>setdakab.bdg@gmail.com</t>
        </is>
      </c>
      <c r="AE13" s="67" t="inlineStr">
        <is>
          <t>-</t>
        </is>
      </c>
      <c r="AF13" s="68" t="inlineStr">
        <is>
          <t>Harian</t>
        </is>
      </c>
      <c r="AG13" s="284" t="n"/>
      <c r="AH13" s="284" t="n"/>
      <c r="AI13" s="284" t="n"/>
      <c r="AJ13" s="284" t="n"/>
      <c r="AK13" s="284" t="n"/>
      <c r="AL13" s="284" t="n"/>
      <c r="AM13" s="284" t="n"/>
      <c r="AN13" s="284" t="n"/>
      <c r="AO13" s="284" t="n"/>
      <c r="AP13" s="284" t="n"/>
      <c r="AQ13" s="284" t="n"/>
      <c r="AR13" s="284" t="n"/>
    </row>
    <row r="14" hidden="1" s="346">
      <c r="A14" s="62" t="n">
        <v>12</v>
      </c>
      <c r="B14" s="63" t="inlineStr">
        <is>
          <t>Layanan Penatausahaan Keuangan</t>
        </is>
      </c>
      <c r="C14" s="63" t="inlineStr">
        <is>
          <t>Fungsi layanan penatausahaan keuangan di Kabupaten Bandung adalah mencatat dan menyimpan semua transaksi penerimaan dan pengeluaran kas daerah secara akurat dan tertib untuk penyusunan laporan keuangan, pengendalian APBD, serta penyediaan data dan informasi keuangan yang dapat dipertanggungjawabkan. Penatausahaan ini mendukung efektivitas pengelolaan keuangan daerah dan memastikan transparansi serta akuntabilitas dalam penggunaan dana publik.</t>
        </is>
      </c>
      <c r="D14" s="63" t="inlineStr">
        <is>
          <t>Peraturan Bupati (Perbup) Kabupaten Bandung Nomor 48 Tahun 2025 tentang Perubahan Atas Peraturan Bupati Nomor 83 Tahun 2024</t>
        </is>
      </c>
      <c r="E14" s="288" t="n"/>
      <c r="F14" s="64" t="inlineStr">
        <is>
          <t>AKUNTANSI DAN PELAPORAN KEUANGAN</t>
        </is>
      </c>
      <c r="G14" s="64" t="inlineStr">
        <is>
          <t>Instansi Pemerintah Lainnya</t>
        </is>
      </c>
      <c r="H14" s="64" t="inlineStr">
        <is>
          <t>Data APBD</t>
        </is>
      </c>
      <c r="I14" s="64" t="inlineStr">
        <is>
          <t>Data APBD</t>
        </is>
      </c>
      <c r="J14" s="64" t="inlineStr">
        <is>
          <t>Tertutup</t>
        </is>
      </c>
      <c r="K14" s="64" t="inlineStr">
        <is>
          <t>Terdapat</t>
        </is>
      </c>
      <c r="L14" s="64" t="inlineStr">
        <is>
          <t>Lainnya</t>
        </is>
      </c>
      <c r="M14" s="64" t="inlineStr">
        <is>
          <t>SIPD</t>
        </is>
      </c>
      <c r="N14" s="64" t="inlineStr">
        <is>
          <t>Pusat</t>
        </is>
      </c>
      <c r="O14" s="64" t="inlineStr">
        <is>
          <t>Pusat</t>
        </is>
      </c>
      <c r="P14" s="64" t="inlineStr">
        <is>
          <t>Website</t>
        </is>
      </c>
      <c r="Q14" s="285" t="inlineStr">
        <is>
          <t>sipd.kemendagri.go.id</t>
        </is>
      </c>
      <c r="R14" s="64" t="inlineStr">
        <is>
          <t>Secara Online</t>
        </is>
      </c>
      <c r="S14" s="64" t="inlineStr">
        <is>
          <t>Transaksi</t>
        </is>
      </c>
      <c r="T14" s="64" t="n">
        <v>2021</v>
      </c>
      <c r="U14" s="64" t="inlineStr">
        <is>
          <t>Aktif</t>
        </is>
      </c>
      <c r="V14" s="64" t="inlineStr">
        <is>
          <t>Tidak</t>
        </is>
      </c>
      <c r="W14" s="64" t="inlineStr">
        <is>
          <t>Tidak Terintegrasi</t>
        </is>
      </c>
      <c r="X14" s="64" t="inlineStr">
        <is>
          <t>Tidak Terintegrasi</t>
        </is>
      </c>
      <c r="Y14" s="64" t="inlineStr">
        <is>
          <t>Tidak Terintegrasi</t>
        </is>
      </c>
      <c r="Z14" s="64" t="inlineStr">
        <is>
          <t>Bagian Perencanaan dan Keuangan</t>
        </is>
      </c>
      <c r="AA14" s="64" t="inlineStr">
        <is>
          <t>Setda</t>
        </is>
      </c>
      <c r="AB14" s="63" t="inlineStr">
        <is>
          <t>VERRYNOVYANDI SADIKIN, SE., MM</t>
        </is>
      </c>
      <c r="AC14" s="63" t="n">
        <v>895327038135</v>
      </c>
      <c r="AD14" s="63" t="inlineStr">
        <is>
          <t>setdakab.bdg@gmail.com</t>
        </is>
      </c>
      <c r="AE14" s="67" t="inlineStr">
        <is>
          <t>-</t>
        </is>
      </c>
      <c r="AF14" s="68" t="inlineStr">
        <is>
          <t>Harian</t>
        </is>
      </c>
      <c r="AG14" s="284" t="n"/>
      <c r="AH14" s="284" t="n"/>
      <c r="AI14" s="284" t="n"/>
      <c r="AJ14" s="284" t="n"/>
      <c r="AK14" s="284" t="n"/>
      <c r="AL14" s="284" t="n"/>
      <c r="AM14" s="284" t="n"/>
      <c r="AN14" s="284" t="n"/>
      <c r="AO14" s="284" t="n"/>
      <c r="AP14" s="284" t="n"/>
      <c r="AQ14" s="284" t="n"/>
      <c r="AR14" s="284" t="n"/>
    </row>
    <row r="15" hidden="1" s="346">
      <c r="A15" s="62" t="n">
        <v>13</v>
      </c>
      <c r="B15" s="63" t="inlineStr">
        <is>
          <t>Layanan Tata Naskah Dinas</t>
        </is>
      </c>
      <c r="C15" s="63" t="inlineStr">
        <is>
          <t>Fungsi utama layanan Tata Naskah Dinas (TND) di Kabupaten Bandung adalah untuk menciptakan kelancaran komunikasi tertulis yang efektif dan efisien, memastikan keotentikan, keterpercayaan, kepastian, dan akuntabilitas informasi, serta mendukung terwujudnya tata kelola pemerintahan yang baik (good governance) melalui penerapan penggunaan naskah dinas secara elektronik. TND juga berfungsi sebagai sarana untuk mengatur jenis dan penyusunan naskah dinas, penggunaan lambang negara dan cap dinas, serta penggunaan bahasa Indonesia yang sesuai dalam komunikasi resmi.</t>
        </is>
      </c>
      <c r="D15" s="63" t="inlineStr">
        <is>
          <t>Peraturan Bupati (PERBUP) Nomor 82 Tahun 2024 tentang Pedoman Tata Naskah Dinas di Lingkungan Pemerintah Kabupaten Bandung.</t>
        </is>
      </c>
      <c r="E15" s="288" t="n"/>
      <c r="F15" s="64" t="inlineStr">
        <is>
          <t>PENATAAN SISTEM TATA LAKSANA</t>
        </is>
      </c>
      <c r="G15" s="64" t="inlineStr">
        <is>
          <t>Instansi Pemerintah Lainnya</t>
        </is>
      </c>
      <c r="H15" s="64" t="inlineStr">
        <is>
          <t>Naskah Surat</t>
        </is>
      </c>
      <c r="I15" s="64" t="inlineStr">
        <is>
          <t>Surat yang dilegalisasi</t>
        </is>
      </c>
      <c r="J15" s="64" t="inlineStr">
        <is>
          <t>Terbatas</t>
        </is>
      </c>
      <c r="K15" s="64" t="inlineStr">
        <is>
          <t>Tidak terdapat</t>
        </is>
      </c>
      <c r="L15" s="64" t="inlineStr">
        <is>
          <t>Harian</t>
        </is>
      </c>
      <c r="M15" s="64" t="inlineStr">
        <is>
          <t>SULTAN (e-office)</t>
        </is>
      </c>
      <c r="N15" s="64" t="inlineStr">
        <is>
          <t>Diskominfo</t>
        </is>
      </c>
      <c r="O15" s="64" t="inlineStr">
        <is>
          <t>Kab. Bandung</t>
        </is>
      </c>
      <c r="P15" s="64" t="inlineStr">
        <is>
          <t>Website dan Mobile</t>
        </is>
      </c>
      <c r="Q15" s="66" t="inlineStr">
        <is>
          <t>https://sultan.bandungkab.go.id/</t>
        </is>
      </c>
      <c r="R15" s="64" t="inlineStr">
        <is>
          <t>Secara Online</t>
        </is>
      </c>
      <c r="S15" s="64" t="inlineStr">
        <is>
          <t>Informasi</t>
        </is>
      </c>
      <c r="T15" s="64" t="n">
        <v>2025</v>
      </c>
      <c r="U15" s="64" t="inlineStr">
        <is>
          <t>Aktif</t>
        </is>
      </c>
      <c r="V15" s="64" t="inlineStr">
        <is>
          <t>Ya</t>
        </is>
      </c>
      <c r="W15" s="64" t="inlineStr">
        <is>
          <t>Terintegrasi dengan SIPPHADE, dll</t>
        </is>
      </c>
      <c r="X15" s="64" t="inlineStr">
        <is>
          <t>Web Service</t>
        </is>
      </c>
      <c r="Y15" s="64" t="inlineStr">
        <is>
          <t>Realtime</t>
        </is>
      </c>
      <c r="Z15" s="64" t="inlineStr">
        <is>
          <t>Semua Bagian</t>
        </is>
      </c>
      <c r="AA15" s="65" t="inlineStr">
        <is>
          <t>Setda</t>
        </is>
      </c>
      <c r="AB15" s="63" t="inlineStr">
        <is>
          <t>ALIPHIO DYAKSHA PUTRA, A.Md.Ak.</t>
        </is>
      </c>
      <c r="AC15" s="63" t="n">
        <v>8988005270</v>
      </c>
      <c r="AD15" s="63" t="inlineStr">
        <is>
          <t>setdakab.bdg@gmail.com</t>
        </is>
      </c>
      <c r="AE15" s="67" t="inlineStr">
        <is>
          <t>-</t>
        </is>
      </c>
      <c r="AF15" s="68" t="inlineStr">
        <is>
          <t>Harian</t>
        </is>
      </c>
      <c r="AG15" s="284" t="n"/>
      <c r="AH15" s="284" t="n"/>
      <c r="AI15" s="284" t="n"/>
      <c r="AJ15" s="284" t="n"/>
      <c r="AK15" s="284" t="n"/>
      <c r="AL15" s="284" t="n"/>
      <c r="AM15" s="284" t="n"/>
      <c r="AN15" s="284" t="n"/>
      <c r="AO15" s="284" t="n"/>
      <c r="AP15" s="284" t="n"/>
      <c r="AQ15" s="284" t="n"/>
      <c r="AR15" s="284" t="n"/>
    </row>
    <row r="16" hidden="1" s="346">
      <c r="A16" s="62" t="n">
        <v>14</v>
      </c>
      <c r="B16" s="63" t="inlineStr">
        <is>
          <t>Layanan Perencanaan BMD</t>
        </is>
      </c>
      <c r="C16" s="63" t="inlineStr">
        <is>
          <t>Untuk mengidentifikasi kebutuhan aset, merencanakan pengadaan, pemanfaatan, pemeliharaan, dan pengelolaan aset agar sesuai dengan tugas dan fungsi SKPD, mendukung pelayanan publik, dan memastikan pengelolaan yang akuntabel dan transparan sesuai regulasi. Layanan ini bertujuan untuk menciptakan pengelolaan aset yang efisien dan efektif, mencegah pemborosan, serta mengoptimalkan penggunaan aset daerah untuk pembangunan.</t>
        </is>
      </c>
      <c r="D16" s="63" t="inlineStr">
        <is>
          <t>Undang-Undang Nomor 1 Tahun 2004 tentang Perbendaharaan Negara, Peraturan Pemerintah Nomor 27 Tahun 2014 tentang Pengelolaan BMD.</t>
        </is>
      </c>
      <c r="E16" s="288" t="n"/>
      <c r="F16" s="64" t="inlineStr">
        <is>
          <t>PERENCANAAN PEMBANGUNAN</t>
        </is>
      </c>
      <c r="G16" s="64" t="inlineStr">
        <is>
          <t>Instansi Pemerintah Lainnya</t>
        </is>
      </c>
      <c r="H16" s="64" t="inlineStr">
        <is>
          <t>Data Kebutuhan Aset</t>
        </is>
      </c>
      <c r="I16" s="64" t="inlineStr">
        <is>
          <t>Pengadaan Aset</t>
        </is>
      </c>
      <c r="J16" s="64" t="inlineStr">
        <is>
          <t>Terbatas</t>
        </is>
      </c>
      <c r="K16" s="64" t="inlineStr">
        <is>
          <t>Tidak terdapat</t>
        </is>
      </c>
      <c r="L16" s="64" t="inlineStr">
        <is>
          <t>Tahunan</t>
        </is>
      </c>
      <c r="M16" s="64" t="inlineStr">
        <is>
          <t>SSH SBU</t>
        </is>
      </c>
      <c r="N16" s="64" t="inlineStr">
        <is>
          <t>OPD</t>
        </is>
      </c>
      <c r="O16" s="64" t="inlineStr">
        <is>
          <t>Kab. Bandung</t>
        </is>
      </c>
      <c r="P16" s="64" t="inlineStr">
        <is>
          <t>Website</t>
        </is>
      </c>
      <c r="Q16" s="66" t="inlineStr">
        <is>
          <t>sshsbu.e-planningbmd.id</t>
        </is>
      </c>
      <c r="R16" s="64" t="inlineStr">
        <is>
          <t>Secara Online</t>
        </is>
      </c>
      <c r="S16" s="64" t="inlineStr">
        <is>
          <t>Informasi</t>
        </is>
      </c>
      <c r="T16" s="288" t="n"/>
      <c r="U16" s="64" t="inlineStr">
        <is>
          <t>Aktif</t>
        </is>
      </c>
      <c r="V16" s="64" t="inlineStr">
        <is>
          <t>Tidak</t>
        </is>
      </c>
      <c r="W16" s="64" t="inlineStr">
        <is>
          <t>Tidak Terintegrasi</t>
        </is>
      </c>
      <c r="X16" s="64" t="inlineStr">
        <is>
          <t>Tidak Terintegrasi</t>
        </is>
      </c>
      <c r="Y16" s="64" t="inlineStr">
        <is>
          <t>Tidak Terintegrasi</t>
        </is>
      </c>
      <c r="Z16" s="64" t="inlineStr">
        <is>
          <t>Bagian Perencanaan dan Keuangan</t>
        </is>
      </c>
      <c r="AA16" s="64" t="inlineStr">
        <is>
          <t>BKAD</t>
        </is>
      </c>
      <c r="AB16" s="63" t="inlineStr">
        <is>
          <t>YATI KURNIATI, SE., M.K.P.</t>
        </is>
      </c>
      <c r="AC16" s="63" t="n">
        <v>81321814674</v>
      </c>
      <c r="AD16" s="63" t="inlineStr">
        <is>
          <t>bagianprogramsetdakab.bandung@gmail.com</t>
        </is>
      </c>
      <c r="AE16" s="67" t="inlineStr">
        <is>
          <t>-</t>
        </is>
      </c>
      <c r="AF16" s="68" t="inlineStr">
        <is>
          <t>Tahunan</t>
        </is>
      </c>
      <c r="AG16" s="284" t="n"/>
      <c r="AH16" s="284" t="n"/>
      <c r="AI16" s="284" t="n"/>
      <c r="AJ16" s="284" t="n"/>
      <c r="AK16" s="284" t="n"/>
      <c r="AL16" s="284" t="n"/>
      <c r="AM16" s="284" t="n"/>
      <c r="AN16" s="284" t="n"/>
      <c r="AO16" s="284" t="n"/>
      <c r="AP16" s="284" t="n"/>
      <c r="AQ16" s="284" t="n"/>
      <c r="AR16" s="284" t="n"/>
    </row>
    <row r="17" hidden="1" s="346">
      <c r="A17" s="62" t="n">
        <v>15</v>
      </c>
      <c r="B17" s="63" t="inlineStr">
        <is>
          <t>Layanan Statistik</t>
        </is>
      </c>
      <c r="C17" s="63" t="inlineStr">
        <is>
          <t>Indonesia Data Hub merupakan one stop collaboration platform yang bertujuan untuk meningkatkan literasi data dan value of statistics serta mendukung interoperabilitas data dan kolaborasi eksplorasi terhadap data.</t>
        </is>
      </c>
      <c r="D17" s="63" t="inlineStr">
        <is>
          <t>Undang-Undang Nomor 16 Tahun 1997 tentang Statistik sebagai dasar umum, serta Peraturan Presiden Nomor 86 Tahun 2007 dan Peraturan Kepala Badan Pusat Statistik (BPS) Nomor 78 Tahun 2020 yang mengatur pelayanan statistik terpadu di tingkat pusat.</t>
        </is>
      </c>
      <c r="E17" s="288" t="n"/>
      <c r="F17" s="64" t="inlineStr">
        <is>
          <t>PENGELOLAAN DATA STATISTIK</t>
        </is>
      </c>
      <c r="G17" s="64" t="inlineStr">
        <is>
          <t>Instansi Pemerintah Lainnya</t>
        </is>
      </c>
      <c r="H17" s="64" t="inlineStr">
        <is>
          <t>Metadata dan Standar Data Statistik</t>
        </is>
      </c>
      <c r="I17" s="64" t="inlineStr">
        <is>
          <t>Metadata dan Standar Data Statistik</t>
        </is>
      </c>
      <c r="J17" s="64" t="inlineStr">
        <is>
          <t>Terbuka</t>
        </is>
      </c>
      <c r="K17" s="64" t="inlineStr">
        <is>
          <t>Tidak terdapat</t>
        </is>
      </c>
      <c r="L17" s="64" t="inlineStr">
        <is>
          <t>Lainnya</t>
        </is>
      </c>
      <c r="M17" s="64" t="inlineStr">
        <is>
          <t>INDAH</t>
        </is>
      </c>
      <c r="N17" s="64" t="inlineStr">
        <is>
          <t>Pusat</t>
        </is>
      </c>
      <c r="O17" s="64" t="inlineStr">
        <is>
          <t>Pusat</t>
        </is>
      </c>
      <c r="P17" s="64" t="inlineStr">
        <is>
          <t>Website</t>
        </is>
      </c>
      <c r="Q17" s="66" t="inlineStr">
        <is>
          <t>https://indah.bps.go.id/</t>
        </is>
      </c>
      <c r="R17" s="64" t="inlineStr">
        <is>
          <t>Secara Online</t>
        </is>
      </c>
      <c r="S17" s="64" t="inlineStr">
        <is>
          <t>Informasi</t>
        </is>
      </c>
      <c r="T17" s="64" t="n">
        <v>2019</v>
      </c>
      <c r="U17" s="64" t="inlineStr">
        <is>
          <t>Aktif</t>
        </is>
      </c>
      <c r="V17" s="64" t="inlineStr">
        <is>
          <t>Ya</t>
        </is>
      </c>
      <c r="W17" s="64" t="inlineStr">
        <is>
          <t>Terintegrasi dengan Aplikasi Romantik</t>
        </is>
      </c>
      <c r="X17" s="64" t="inlineStr">
        <is>
          <t>Web Service</t>
        </is>
      </c>
      <c r="Y17" s="64" t="inlineStr">
        <is>
          <t>Realtime</t>
        </is>
      </c>
      <c r="Z17" s="64" t="inlineStr">
        <is>
          <t>Bagian Perencanaan dan Keuangan</t>
        </is>
      </c>
      <c r="AA17" s="64" t="inlineStr">
        <is>
          <t>Setda</t>
        </is>
      </c>
      <c r="AB17" s="63" t="inlineStr">
        <is>
          <t>DHANTI AURILIA PRATIWI, M.Stat</t>
        </is>
      </c>
      <c r="AC17" s="63" t="n">
        <v>81904085710</v>
      </c>
      <c r="AD17" s="63" t="inlineStr">
        <is>
          <t>setdakab.bdg@gmail.com</t>
        </is>
      </c>
      <c r="AE17" s="67" t="inlineStr">
        <is>
          <t>-</t>
        </is>
      </c>
      <c r="AF17" s="68" t="inlineStr">
        <is>
          <t>Tahunan</t>
        </is>
      </c>
      <c r="AG17" s="284" t="n"/>
      <c r="AH17" s="284" t="n"/>
      <c r="AI17" s="284" t="n"/>
      <c r="AJ17" s="284" t="n"/>
      <c r="AK17" s="284" t="n"/>
      <c r="AL17" s="284" t="n"/>
      <c r="AM17" s="284" t="n"/>
      <c r="AN17" s="284" t="n"/>
      <c r="AO17" s="284" t="n"/>
      <c r="AP17" s="284" t="n"/>
      <c r="AQ17" s="284" t="n"/>
      <c r="AR17" s="284" t="n"/>
    </row>
    <row r="18" hidden="1" s="346">
      <c r="A18" s="62" t="n">
        <v>16</v>
      </c>
      <c r="B18" s="63" t="inlineStr">
        <is>
          <t>Layanan Informasi Pengawasan SAKIP, SPIP, MR</t>
        </is>
      </c>
      <c r="C18" s="63" t="inlineStr">
        <is>
          <t>Fungsinya adalah menyediakan data dan laporan pengawasan yang terintegrasi untuk mendukung perbaikan tata kelola, meningkatkan transparansi, mengurangi potensi penyimpangan, dan memperkuat pengambilan keputusan berbasis bukti dalam rangka mewujudkan pemerintahan yang efektif, efisien, dan akuntabel.</t>
        </is>
      </c>
      <c r="D18" s="63" t="inlineStr">
        <is>
          <t>Nomor 60 Tahun 2008 tentang Sistem Pengendalian Intern Pemerintah (SPIP), Peraturan Presiden (Perpres) Nomor 29 Tahun 2014 tentang Sistem Akuntabilitas Kinerja Instansi Pemerintah (SAKIP).</t>
        </is>
      </c>
      <c r="E18" s="288" t="n"/>
      <c r="F18" s="64" t="inlineStr">
        <is>
          <t>PENINGKATAN KUALITAS PELAYANAN PUBLIK</t>
        </is>
      </c>
      <c r="G18" s="64" t="inlineStr">
        <is>
          <t>Instansi Pemerintah Lainnya</t>
        </is>
      </c>
      <c r="H18" s="64" t="inlineStr">
        <is>
          <t>Data Evidence SAKIP, SPIP, MR</t>
        </is>
      </c>
      <c r="I18" s="64" t="inlineStr">
        <is>
          <t>Nilai SAKIP dan MR</t>
        </is>
      </c>
      <c r="J18" s="64" t="inlineStr">
        <is>
          <t>Terbatas</t>
        </is>
      </c>
      <c r="K18" s="64" t="inlineStr">
        <is>
          <t>Tidak terdapat</t>
        </is>
      </c>
      <c r="L18" s="64" t="inlineStr">
        <is>
          <t>Tahunan</t>
        </is>
      </c>
      <c r="M18" s="64" t="inlineStr">
        <is>
          <t>SIMWAS</t>
        </is>
      </c>
      <c r="N18" s="64" t="inlineStr">
        <is>
          <t>Pihak Ke 3</t>
        </is>
      </c>
      <c r="O18" s="64" t="inlineStr">
        <is>
          <t>Kab. Bandung</t>
        </is>
      </c>
      <c r="P18" s="64" t="inlineStr">
        <is>
          <t>Website</t>
        </is>
      </c>
      <c r="Q18" s="70" t="inlineStr">
        <is>
          <t>simwas.bandungkab.go.id</t>
        </is>
      </c>
      <c r="R18" s="64" t="inlineStr">
        <is>
          <t>Secara Online</t>
        </is>
      </c>
      <c r="S18" s="64" t="inlineStr">
        <is>
          <t>Transaksi</t>
        </is>
      </c>
      <c r="T18" s="64" t="n">
        <v>2022</v>
      </c>
      <c r="U18" s="64" t="inlineStr">
        <is>
          <t>Aktif</t>
        </is>
      </c>
      <c r="V18" s="64" t="inlineStr">
        <is>
          <t>Tidak</t>
        </is>
      </c>
      <c r="W18" s="64" t="inlineStr">
        <is>
          <t>Tidak Terintegrasi</t>
        </is>
      </c>
      <c r="X18" s="64" t="inlineStr">
        <is>
          <t>Tidak Terintegrasi</t>
        </is>
      </c>
      <c r="Y18" s="64" t="inlineStr">
        <is>
          <t>Tidak Terintegrasi</t>
        </is>
      </c>
      <c r="Z18" s="64" t="inlineStr">
        <is>
          <t>Bagian Perencanaan dan Keuangan</t>
        </is>
      </c>
      <c r="AA18" s="64" t="inlineStr">
        <is>
          <t>Setda, Inspektorat</t>
        </is>
      </c>
      <c r="AB18" s="63" t="inlineStr">
        <is>
          <t>DEBI RIANA S.STP., M.Si.</t>
        </is>
      </c>
      <c r="AC18" s="63" t="n">
        <v>8127392553</v>
      </c>
      <c r="AD18" s="63" t="inlineStr">
        <is>
          <t>setdakab.bdg@gmail.com</t>
        </is>
      </c>
      <c r="AE18" s="67" t="inlineStr">
        <is>
          <t>mungkin berkaitan dengan 27</t>
        </is>
      </c>
      <c r="AF18" s="68" t="inlineStr">
        <is>
          <t>Tahunan</t>
        </is>
      </c>
      <c r="AG18" s="284" t="n"/>
      <c r="AH18" s="284" t="n"/>
      <c r="AI18" s="284" t="n"/>
      <c r="AJ18" s="284" t="n"/>
      <c r="AK18" s="284" t="n"/>
      <c r="AL18" s="284" t="n"/>
      <c r="AM18" s="284" t="n"/>
      <c r="AN18" s="284" t="n"/>
      <c r="AO18" s="284" t="n"/>
      <c r="AP18" s="284" t="n"/>
      <c r="AQ18" s="284" t="n"/>
      <c r="AR18" s="284" t="n"/>
    </row>
    <row r="19" hidden="1" s="346">
      <c r="A19" s="62" t="n">
        <v>17</v>
      </c>
      <c r="B19" s="63" t="inlineStr">
        <is>
          <t>Layanan Informasi Data, Pengendalian, Evaluasi, dan Pelaporan</t>
        </is>
      </c>
      <c r="C19" s="63" t="inlineStr">
        <is>
          <t>Mencakup penyediaan dan pengelolaan data dan informasi pembangunan, pemantauan dan pengendalian pelaksanaan program/kegiatan, serta penyusunan laporan hasil evaluasi untuk mendukung perumusan kebijakan dan pengambilan keputusan. Layanan ini bertugas menganalisis data, mengoordinasikan evaluasi, dan menyusun pelaporan program pembangunan daerah.</t>
        </is>
      </c>
      <c r="D19" s="63" t="inlineStr">
        <is>
          <t>Undang-Undang Nomor 14 Tahun 2008 tentang Keterbukaan Informasi Publik, Undang-Undang Nomor 25 Tahun 2009 tentang Pelayanan Publik.</t>
        </is>
      </c>
      <c r="E19" s="288" t="n"/>
      <c r="F19" s="64" t="inlineStr">
        <is>
          <t>PENINGKATAN KUALITAS REFORMASI BIROKRASI, PENGAWASAN, DAN AKUNTABILITAS KINERJA</t>
        </is>
      </c>
      <c r="G19" s="64" t="inlineStr">
        <is>
          <t>Instansi Pemerintah Lainnya</t>
        </is>
      </c>
      <c r="H19" s="64" t="inlineStr">
        <is>
          <t>Data Kinerja dan Realisasi Anggaran</t>
        </is>
      </c>
      <c r="I19" s="64" t="inlineStr">
        <is>
          <t>Data Capaian Kinerja dan Realisasi Anggaran</t>
        </is>
      </c>
      <c r="J19" s="64" t="inlineStr">
        <is>
          <t>Terbatas</t>
        </is>
      </c>
      <c r="K19" s="64" t="inlineStr">
        <is>
          <t>Tidak terdapat</t>
        </is>
      </c>
      <c r="L19" s="64" t="inlineStr">
        <is>
          <t>Lainnya</t>
        </is>
      </c>
      <c r="M19" s="64" t="inlineStr">
        <is>
          <t>SIDALMONEP</t>
        </is>
      </c>
      <c r="N19" s="64" t="inlineStr">
        <is>
          <t>OPD</t>
        </is>
      </c>
      <c r="O19" s="64" t="inlineStr">
        <is>
          <t>Kab. Bandung</t>
        </is>
      </c>
      <c r="P19" s="64" t="inlineStr">
        <is>
          <t>Website</t>
        </is>
      </c>
      <c r="Q19" s="66" t="inlineStr">
        <is>
          <t>sidalmonep.bandungkab.go.id/</t>
        </is>
      </c>
      <c r="R19" s="64" t="inlineStr">
        <is>
          <t>Secara Online</t>
        </is>
      </c>
      <c r="S19" s="64" t="inlineStr">
        <is>
          <t>Informasi</t>
        </is>
      </c>
      <c r="T19" s="64" t="n">
        <v>2021</v>
      </c>
      <c r="U19" s="64" t="inlineStr">
        <is>
          <t>Aktif</t>
        </is>
      </c>
      <c r="V19" s="67" t="inlineStr">
        <is>
          <t>Tidak</t>
        </is>
      </c>
      <c r="W19" s="64" t="inlineStr">
        <is>
          <t>SIPD</t>
        </is>
      </c>
      <c r="X19" s="64" t="inlineStr">
        <is>
          <t>API</t>
        </is>
      </c>
      <c r="Y19" s="64" t="inlineStr">
        <is>
          <t>Realtime</t>
        </is>
      </c>
      <c r="Z19" s="64" t="inlineStr">
        <is>
          <t>Bagian Perencanaan dan Keuangan</t>
        </is>
      </c>
      <c r="AA19" s="64" t="inlineStr">
        <is>
          <t>Setda, Bapperida</t>
        </is>
      </c>
      <c r="AB19" s="63" t="inlineStr">
        <is>
          <t>YATI KURNIATI, SE., M.K.P.</t>
        </is>
      </c>
      <c r="AC19" s="63" t="n">
        <v>81321814674</v>
      </c>
      <c r="AD19" s="63" t="inlineStr">
        <is>
          <t>bagianprogramsetdakab.bandung@gmail.com</t>
        </is>
      </c>
      <c r="AE19" s="67" t="inlineStr">
        <is>
          <t>-</t>
        </is>
      </c>
      <c r="AF19" s="68" t="inlineStr">
        <is>
          <t>Tahunan</t>
        </is>
      </c>
      <c r="AG19" s="284" t="n"/>
      <c r="AH19" s="284" t="n"/>
      <c r="AI19" s="284" t="n"/>
      <c r="AJ19" s="284" t="n"/>
      <c r="AK19" s="284" t="n"/>
      <c r="AL19" s="284" t="n"/>
      <c r="AM19" s="284" t="n"/>
      <c r="AN19" s="284" t="n"/>
      <c r="AO19" s="284" t="n"/>
      <c r="AP19" s="284" t="n"/>
      <c r="AQ19" s="284" t="n"/>
      <c r="AR19" s="284" t="n"/>
    </row>
    <row r="20" hidden="1" s="346">
      <c r="A20" s="62" t="n">
        <v>18</v>
      </c>
      <c r="B20" s="63" t="inlineStr">
        <is>
          <t>Layanan Pengelolaan Administrasi Kepegawaian</t>
        </is>
      </c>
      <c r="C20" s="67" t="inlineStr">
        <is>
          <t>mengelola administrasi, pengembangan, dan pelayanan pegawai secara efektif untuk mendukung kinerja Sekretariat Daerah. Fungsinya meliputi penyiapan bahan kebijakan, manajemen mutasi, kenaikan pangkat, pensiun, disiplin, hingga pengembangan kompetensi pegawai</t>
        </is>
      </c>
      <c r="D20" s="67" t="inlineStr">
        <is>
          <t>Undang-Undang Nomor 20 Tahun 2023 tentang Aparatur Sipil Negara</t>
        </is>
      </c>
      <c r="E20" s="288" t="n"/>
      <c r="F20" s="67" t="inlineStr">
        <is>
          <t>PENATAAN SUMBER DAYA MANUSIA APARATUR</t>
        </is>
      </c>
      <c r="G20" s="67" t="inlineStr">
        <is>
          <t>Pegawai</t>
        </is>
      </c>
      <c r="H20" s="67" t="inlineStr">
        <is>
          <t>Data Kepegawaian</t>
        </is>
      </c>
      <c r="I20" s="67" t="inlineStr">
        <is>
          <t>Data Kepegawaian</t>
        </is>
      </c>
      <c r="J20" s="67" t="inlineStr">
        <is>
          <t>Terbatas</t>
        </is>
      </c>
      <c r="K20" s="67" t="inlineStr">
        <is>
          <t>Terdapat</t>
        </is>
      </c>
      <c r="L20" s="67" t="inlineStr">
        <is>
          <t>Harian</t>
        </is>
      </c>
      <c r="M20" s="68" t="inlineStr">
        <is>
          <t>SIMPEL BKPSDM</t>
        </is>
      </c>
      <c r="N20" s="67" t="inlineStr">
        <is>
          <t>Diskominfo</t>
        </is>
      </c>
      <c r="O20" s="67" t="inlineStr">
        <is>
          <t>Kab. Bandung</t>
        </is>
      </c>
      <c r="P20" s="67" t="inlineStr">
        <is>
          <t>Website</t>
        </is>
      </c>
      <c r="Q20" s="75" t="inlineStr">
        <is>
          <t>https://simpelbkpsdm.bandungkab.go.id/</t>
        </is>
      </c>
      <c r="R20" s="67" t="inlineStr">
        <is>
          <t>Secara Online</t>
        </is>
      </c>
      <c r="S20" s="67" t="inlineStr">
        <is>
          <t>Informasi</t>
        </is>
      </c>
      <c r="T20" s="288" t="n"/>
      <c r="U20" s="67" t="inlineStr">
        <is>
          <t>Aktif</t>
        </is>
      </c>
      <c r="V20" s="67" t="inlineStr">
        <is>
          <t>Ya</t>
        </is>
      </c>
      <c r="W20" s="67" t="inlineStr">
        <is>
          <t>Terintegrasi</t>
        </is>
      </c>
      <c r="X20" s="67" t="inlineStr">
        <is>
          <t>Database to Database</t>
        </is>
      </c>
      <c r="Y20" s="67" t="inlineStr">
        <is>
          <t>Realtime</t>
        </is>
      </c>
      <c r="Z20" s="67" t="inlineStr">
        <is>
          <t>Bagian Umum</t>
        </is>
      </c>
      <c r="AA20" s="67" t="inlineStr">
        <is>
          <t>BKPSDM</t>
        </is>
      </c>
      <c r="AB20" s="67" t="inlineStr">
        <is>
          <t>Iman Herman Sudrajat, S.IP.</t>
        </is>
      </c>
      <c r="AC20" s="288" t="n"/>
      <c r="AD20" s="67" t="inlineStr">
        <is>
          <t>bag_umum@bandungkab.go.id</t>
        </is>
      </c>
      <c r="AE20" s="68" t="n">
        <v>28</v>
      </c>
      <c r="AF20" s="68" t="inlineStr">
        <is>
          <t>Harian</t>
        </is>
      </c>
      <c r="AG20" s="284" t="n"/>
      <c r="AH20" s="284" t="n"/>
      <c r="AI20" s="284" t="n"/>
      <c r="AJ20" s="284" t="n"/>
      <c r="AK20" s="284" t="n"/>
      <c r="AL20" s="284" t="n"/>
      <c r="AM20" s="284" t="n"/>
      <c r="AN20" s="284" t="n"/>
      <c r="AO20" s="284" t="n"/>
      <c r="AP20" s="284" t="n"/>
      <c r="AQ20" s="284" t="n"/>
      <c r="AR20" s="284" t="n"/>
    </row>
    <row r="21">
      <c r="A21" s="62" t="n">
        <v>19</v>
      </c>
      <c r="B21" s="63" t="inlineStr">
        <is>
          <t>Layanan Piagam Penghargaan Bupati Bandung</t>
        </is>
      </c>
      <c r="C21" s="67" t="inlineStr">
        <is>
          <t>Layanan Fasilitasi Piagam Penghargaan Bupati berupa administrasi penerbitan, penyiapan naskah, dan pendokumentasian piagam penghargaan Bupati Bandung</t>
        </is>
      </c>
      <c r="D21" s="67" t="inlineStr">
        <is>
          <t>Peraturan Bupati (PERBUP) Nomor 82 Tahun 2024 tentang Pedoman Tata Naskah Dinas di Lingkungan Pemerintah Kabupaten Bandung.</t>
        </is>
      </c>
      <c r="E21" s="288" t="n"/>
      <c r="F21" s="67" t="inlineStr">
        <is>
          <t>PENINGKATAN KUALITAS PELAYANAN PUBLIK</t>
        </is>
      </c>
      <c r="G21" s="67" t="inlineStr">
        <is>
          <t>Instansi Pemerintah Lainnya</t>
        </is>
      </c>
      <c r="H21" s="67" t="inlineStr">
        <is>
          <t>Permohonan Piagam</t>
        </is>
      </c>
      <c r="I21" s="76" t="inlineStr">
        <is>
          <t>Naskah dan Dokumen Piagam</t>
        </is>
      </c>
      <c r="J21" s="67" t="inlineStr">
        <is>
          <t>Terbatas</t>
        </is>
      </c>
      <c r="K21" s="67" t="inlineStr">
        <is>
          <t>Tidak terdapat</t>
        </is>
      </c>
      <c r="L21" s="67" t="inlineStr">
        <is>
          <t>Lainnya</t>
        </is>
      </c>
      <c r="M21" s="68" t="inlineStr">
        <is>
          <t>Microsoft Excel</t>
        </is>
      </c>
      <c r="N21" s="67" t="inlineStr">
        <is>
          <t>OPD</t>
        </is>
      </c>
      <c r="O21" s="67" t="inlineStr">
        <is>
          <t>Kab. Bandung</t>
        </is>
      </c>
      <c r="P21" s="67" t="inlineStr">
        <is>
          <t>Desktop</t>
        </is>
      </c>
      <c r="Q21" s="67" t="inlineStr">
        <is>
          <t>-</t>
        </is>
      </c>
      <c r="R21" s="67" t="inlineStr">
        <is>
          <t>Secara Offline</t>
        </is>
      </c>
      <c r="S21" s="67" t="inlineStr">
        <is>
          <t>Informasi</t>
        </is>
      </c>
      <c r="T21" s="288" t="n"/>
      <c r="U21" s="67" t="inlineStr">
        <is>
          <t>Aktif</t>
        </is>
      </c>
      <c r="V21" s="67" t="inlineStr">
        <is>
          <t>Tidak</t>
        </is>
      </c>
      <c r="W21" s="64" t="inlineStr">
        <is>
          <t>Tidak Terintegrasi</t>
        </is>
      </c>
      <c r="X21" s="67" t="inlineStr">
        <is>
          <t>Tidak Terintegrasi</t>
        </is>
      </c>
      <c r="Y21" s="67" t="inlineStr">
        <is>
          <t>Tidak Terintegrasi</t>
        </is>
      </c>
      <c r="Z21" s="67" t="inlineStr">
        <is>
          <t>Bagian Umum</t>
        </is>
      </c>
      <c r="AA21" s="67" t="inlineStr">
        <is>
          <t>Setda</t>
        </is>
      </c>
      <c r="AB21" s="67" t="inlineStr">
        <is>
          <t>Iman Herman Sudrajat, S.IP.</t>
        </is>
      </c>
      <c r="AC21" s="288" t="n"/>
      <c r="AD21" s="67" t="inlineStr">
        <is>
          <t>bag_umum@bandungkab.go.id</t>
        </is>
      </c>
      <c r="AE21" s="68" t="n">
        <v>28</v>
      </c>
      <c r="AF21" s="68" t="inlineStr">
        <is>
          <t>Harian</t>
        </is>
      </c>
      <c r="AG21" s="284" t="n"/>
      <c r="AH21" s="284" t="n"/>
      <c r="AI21" s="284" t="n"/>
      <c r="AJ21" s="284" t="n"/>
      <c r="AK21" s="284" t="n"/>
      <c r="AL21" s="284" t="n"/>
      <c r="AM21" s="284" t="n"/>
      <c r="AN21" s="284" t="n"/>
      <c r="AO21" s="284" t="n"/>
      <c r="AP21" s="284" t="n"/>
      <c r="AQ21" s="284" t="n"/>
      <c r="AR21" s="284" t="n"/>
    </row>
    <row r="22" hidden="1" s="346">
      <c r="A22" s="62" t="n">
        <v>20</v>
      </c>
      <c r="B22" s="63" t="inlineStr">
        <is>
          <t>Layanan Informasi Akuntabilitas Kinerja</t>
        </is>
      </c>
      <c r="C22" s="63" t="inlineStr">
        <is>
          <t>Layanan Sistem Informasi Akuntabilitas Kinerja adalah sebuah sistem elektronik yang digunakan oleh instansi pemerintah untuk mengelola, mengukur, dan melaporkan kinerja secara terukur dan transparan. Sistem ini bertujuan untuk mewujudkan pemerintahan yang akuntabel, efektif, dan efisien, serta memberikan pertanggungjawaban atas penggunaan anggaran dan pencapaian tujuan organisasi kepada masyarakat.</t>
        </is>
      </c>
      <c r="D22" s="63" t="inlineStr">
        <is>
          <t>Peraturan Presiden Nomor 29 Tahun 2014 tentang Sistem Akuntabilitas Kinerja Instansi Pemerintah, serta peraturan pelaksanaannya seperti Peraturan Menteri Pendayagunaan Aparatur Negara dan Reformasi Birokrasi Nomor 88 Tahun 2021 tentang Evaluasi Akuntabilitas Kinerja Instansi Pemerintah</t>
        </is>
      </c>
      <c r="E22" s="288" t="n"/>
      <c r="F22" s="64" t="inlineStr">
        <is>
          <t>PENINGKATAN KUALITAS REFORMASI BIROKRASI, PENGAWASAN, DAN AKUNTABILITAS KINERJA</t>
        </is>
      </c>
      <c r="G22" s="64" t="inlineStr">
        <is>
          <t>Instansi Pemerintah Lainnya</t>
        </is>
      </c>
      <c r="H22" s="64" t="inlineStr">
        <is>
          <t>Data Akuntabilitas Kinerja</t>
        </is>
      </c>
      <c r="I22" s="64" t="inlineStr">
        <is>
          <t>Data Akuntabilitas Kinerja</t>
        </is>
      </c>
      <c r="J22" s="64" t="inlineStr">
        <is>
          <t>Terbatas</t>
        </is>
      </c>
      <c r="K22" s="64" t="inlineStr">
        <is>
          <t>Tidak terdapat</t>
        </is>
      </c>
      <c r="L22" s="64" t="inlineStr">
        <is>
          <t>Tahunan</t>
        </is>
      </c>
      <c r="M22" s="64" t="inlineStr">
        <is>
          <t>SIAKANG</t>
        </is>
      </c>
      <c r="N22" s="64" t="inlineStr">
        <is>
          <t>OPD</t>
        </is>
      </c>
      <c r="O22" s="64" t="inlineStr">
        <is>
          <t>Kab. Bandung</t>
        </is>
      </c>
      <c r="P22" s="64" t="inlineStr">
        <is>
          <t>Website dan Mobile</t>
        </is>
      </c>
      <c r="Q22" s="66" t="inlineStr">
        <is>
          <t>siakang.bandungkab.go.id</t>
        </is>
      </c>
      <c r="R22" s="64" t="inlineStr">
        <is>
          <t>Secara Online</t>
        </is>
      </c>
      <c r="S22" s="64" t="inlineStr">
        <is>
          <t>Informasi</t>
        </is>
      </c>
      <c r="T22" s="64" t="n">
        <v>2023</v>
      </c>
      <c r="U22" s="64" t="inlineStr">
        <is>
          <t>Aktif</t>
        </is>
      </c>
      <c r="V22" s="64" t="inlineStr">
        <is>
          <t>Tidak</t>
        </is>
      </c>
      <c r="W22" s="64" t="inlineStr">
        <is>
          <t>Tidak Terintegrasi</t>
        </is>
      </c>
      <c r="X22" s="64" t="inlineStr">
        <is>
          <t>Tidak Terintegrasi</t>
        </is>
      </c>
      <c r="Y22" s="64" t="inlineStr">
        <is>
          <t>Tidak Terintegrasi</t>
        </is>
      </c>
      <c r="Z22" s="64" t="inlineStr">
        <is>
          <t>Bagian Organisasi</t>
        </is>
      </c>
      <c r="AA22" s="64" t="inlineStr">
        <is>
          <t>Setda</t>
        </is>
      </c>
      <c r="AB22" s="66" t="inlineStr">
        <is>
          <t>IRMA PURNAMA, S.STP, M.Tr.A.P</t>
        </is>
      </c>
      <c r="AC22" s="63" t="n">
        <v>85218888714</v>
      </c>
      <c r="AD22" s="63" t="inlineStr">
        <is>
          <t>setdakab.bdg@gmail.com</t>
        </is>
      </c>
      <c r="AE22" s="288" t="n"/>
      <c r="AF22" s="288" t="n"/>
      <c r="AG22" s="284" t="n"/>
      <c r="AH22" s="284" t="n"/>
      <c r="AI22" s="284" t="n"/>
      <c r="AJ22" s="284" t="n"/>
      <c r="AK22" s="284" t="n"/>
      <c r="AL22" s="284" t="n"/>
      <c r="AM22" s="284" t="n"/>
      <c r="AN22" s="284" t="n"/>
      <c r="AO22" s="284" t="n"/>
      <c r="AP22" s="284" t="n"/>
      <c r="AQ22" s="284" t="n"/>
      <c r="AR22" s="284" t="n"/>
    </row>
    <row r="23" hidden="1" s="346">
      <c r="A23" s="62" t="n">
        <v>21</v>
      </c>
      <c r="B23" s="63" t="inlineStr">
        <is>
          <t>Layanan Reformasi Birokrasi</t>
        </is>
      </c>
      <c r="C23" s="63" t="inlineStr">
        <is>
          <t>Fungsi utama layanan Reformasi Birokrasi (RB) di Kabupaten Bandung adalah meningkatkan birokrasi yang bersih dan akuntabel, pelayanan publik yang prima, serta efektivitas kelembagaan agar menjadi organisasi yang adaptif, inovatif, dan berintegritas tinggi dalam melayani masyarakat. Tujuannya adalah menciptakan aparatur negara yang profesional, profesional, dan sejahtera, yang bekerja dengan integritas tinggi untuk memberikan pelayanan terbaik kepada masyarakat.</t>
        </is>
      </c>
      <c r="D23" s="63" t="inlineStr">
        <is>
          <t>Perpres No. 81 Tahun 2010 tentang Grand Design RB, Perbup No. 286 Tahun 2022 tentang Roadmap Reformasi Birokrasi Kabupaten Bandung.</t>
        </is>
      </c>
      <c r="E23" s="288" t="n"/>
      <c r="F23" s="64" t="inlineStr">
        <is>
          <t>PROTOKOL DAN KONSULER</t>
        </is>
      </c>
      <c r="G23" s="64" t="inlineStr">
        <is>
          <t>Instansi Pemerintah Lainnya</t>
        </is>
      </c>
      <c r="H23" s="64" t="inlineStr">
        <is>
          <t>Data Capaian dan Evidence setiap Indikator RB</t>
        </is>
      </c>
      <c r="I23" s="64" t="inlineStr">
        <is>
          <t>Indeks Reformasi Birokrasi (IRB)</t>
        </is>
      </c>
      <c r="J23" s="64" t="inlineStr">
        <is>
          <t>Terbatas</t>
        </is>
      </c>
      <c r="K23" s="64" t="inlineStr">
        <is>
          <t>Tidak terdapat</t>
        </is>
      </c>
      <c r="L23" s="64" t="inlineStr">
        <is>
          <t>Tahunan</t>
        </is>
      </c>
      <c r="M23" s="64" t="inlineStr">
        <is>
          <t>SURABI</t>
        </is>
      </c>
      <c r="N23" s="64" t="inlineStr">
        <is>
          <t>Provinsi</t>
        </is>
      </c>
      <c r="O23" s="64" t="inlineStr">
        <is>
          <t>Provinsi</t>
        </is>
      </c>
      <c r="P23" s="64" t="inlineStr">
        <is>
          <t>Website dan Mobile</t>
        </is>
      </c>
      <c r="Q23" s="66" t="inlineStr">
        <is>
          <t>https://surabi.jabarprov.go.id/</t>
        </is>
      </c>
      <c r="R23" s="64" t="inlineStr">
        <is>
          <t>Secara Online</t>
        </is>
      </c>
      <c r="S23" s="64" t="inlineStr">
        <is>
          <t>Informasi</t>
        </is>
      </c>
      <c r="T23" s="64" t="n">
        <v>2023</v>
      </c>
      <c r="U23" s="64" t="inlineStr">
        <is>
          <t>Aktif</t>
        </is>
      </c>
      <c r="V23" s="64" t="inlineStr">
        <is>
          <t>Tidak</t>
        </is>
      </c>
      <c r="W23" s="64" t="inlineStr">
        <is>
          <t>Tidak Terintegrasi</t>
        </is>
      </c>
      <c r="X23" s="64" t="inlineStr">
        <is>
          <t>Tidak Terintegrasi</t>
        </is>
      </c>
      <c r="Y23" s="64" t="inlineStr">
        <is>
          <t>Tidak Terintegrasi</t>
        </is>
      </c>
      <c r="Z23" s="64" t="inlineStr">
        <is>
          <t>Bagian Organisasi</t>
        </is>
      </c>
      <c r="AA23" s="64" t="inlineStr">
        <is>
          <t>Setda</t>
        </is>
      </c>
      <c r="AB23" s="66" t="inlineStr">
        <is>
          <t>IRMA PURNAMA, S.STP, M.Tr.A.P</t>
        </is>
      </c>
      <c r="AC23" s="63" t="n">
        <v>85218888714</v>
      </c>
      <c r="AD23" s="63" t="inlineStr">
        <is>
          <t>setdakab.bdg@gmail.com</t>
        </is>
      </c>
      <c r="AE23" s="288" t="n"/>
      <c r="AF23" s="288" t="n"/>
      <c r="AG23" s="284" t="n"/>
      <c r="AH23" s="284" t="n"/>
      <c r="AI23" s="284" t="n"/>
      <c r="AJ23" s="284" t="n"/>
      <c r="AK23" s="284" t="n"/>
      <c r="AL23" s="284" t="n"/>
      <c r="AM23" s="284" t="n"/>
      <c r="AN23" s="284" t="n"/>
      <c r="AO23" s="284" t="n"/>
      <c r="AP23" s="284" t="n"/>
      <c r="AQ23" s="284" t="n"/>
      <c r="AR23" s="284" t="n"/>
    </row>
    <row r="24" hidden="1" s="346">
      <c r="A24" s="62" t="n">
        <v>22</v>
      </c>
      <c r="B24" s="63" t="inlineStr">
        <is>
          <t>Layanan Survey Kepuasan Masyarakat</t>
        </is>
      </c>
      <c r="C24" s="63" t="inlineStr">
        <is>
          <t>Fungsi utama layanan Survey Kepuasan Masyarakat (SKM) di Kabupaten Bandung adalah mengukur tingkat kepuasan masyarakat terhadap kualitas layanan publik yang diberikan oleh instansi pemerintah daerah, guna mengidentifikasi kelemahan dan kekurangan untuk selanjutnya menetapkan kebijakan dan tindakan perbaikan yang bertujuan meningkatkan kualitas pelayanan di masa mendatang.</t>
        </is>
      </c>
      <c r="D24" s="63" t="inlineStr">
        <is>
          <t>Undang-Undang Nomor 25 Tahun 2009 tentang Pelayanan Publik dan Peraturan Menteri Pendayagunaan Aparatur Negara dan Reformasi Birokrasi (PermenPAN-RB) Nomor 14 Tahun 2017 tentang Pedoman Penyusunan Survei Kepuasan Masyarakat Unit Penyelenggara Pelayanan Publik.</t>
        </is>
      </c>
      <c r="E24" s="288" t="n"/>
      <c r="F24" s="64" t="inlineStr">
        <is>
          <t>PENINGKATAN KUALITAS PELAYANAN PUBLIK</t>
        </is>
      </c>
      <c r="G24" s="64" t="inlineStr">
        <is>
          <t>Masyarakat</t>
        </is>
      </c>
      <c r="H24" s="64" t="inlineStr">
        <is>
          <t>Hasil Survei Kepuasan Masyarakat</t>
        </is>
      </c>
      <c r="I24" s="64" t="inlineStr">
        <is>
          <t>Nilai Survei Kepuasan Masyarakat</t>
        </is>
      </c>
      <c r="J24" s="64" t="inlineStr">
        <is>
          <t>Terbatas</t>
        </is>
      </c>
      <c r="K24" s="64" t="inlineStr">
        <is>
          <t>Terdapat</t>
        </is>
      </c>
      <c r="L24" s="64" t="inlineStr">
        <is>
          <t>Lainnya</t>
        </is>
      </c>
      <c r="M24" s="64" t="inlineStr">
        <is>
          <t>E-SKM</t>
        </is>
      </c>
      <c r="N24" s="64" t="inlineStr">
        <is>
          <t>Diskominfo</t>
        </is>
      </c>
      <c r="O24" s="64" t="inlineStr">
        <is>
          <t>Kab. Bandung</t>
        </is>
      </c>
      <c r="P24" s="64" t="inlineStr">
        <is>
          <t>Website dan Mobile</t>
        </is>
      </c>
      <c r="Q24" s="66" t="inlineStr">
        <is>
          <t>https://skm.bandungkab.go.id/</t>
        </is>
      </c>
      <c r="R24" s="64" t="inlineStr">
        <is>
          <t>Secara Online</t>
        </is>
      </c>
      <c r="S24" s="64" t="inlineStr">
        <is>
          <t>Informasi</t>
        </is>
      </c>
      <c r="T24" s="64" t="n">
        <v>2021</v>
      </c>
      <c r="U24" s="64" t="inlineStr">
        <is>
          <t>Aktif</t>
        </is>
      </c>
      <c r="V24" s="64" t="inlineStr">
        <is>
          <t>Tidak</t>
        </is>
      </c>
      <c r="W24" s="64" t="inlineStr">
        <is>
          <t>Tidak Terintegrasi</t>
        </is>
      </c>
      <c r="X24" s="64" t="inlineStr">
        <is>
          <t>Tidak Terintegrasi</t>
        </is>
      </c>
      <c r="Y24" s="64" t="inlineStr">
        <is>
          <t>Tidak Terintegrasi</t>
        </is>
      </c>
      <c r="Z24" s="64" t="inlineStr">
        <is>
          <t>Bagian Organisasi</t>
        </is>
      </c>
      <c r="AA24" s="64" t="inlineStr">
        <is>
          <t>Setda</t>
        </is>
      </c>
      <c r="AB24" s="63" t="inlineStr">
        <is>
          <t>RAFSANJANI M. AMIN, S.STP</t>
        </is>
      </c>
      <c r="AC24" s="63" t="n">
        <v>82190093518</v>
      </c>
      <c r="AD24" s="63" t="inlineStr">
        <is>
          <t>setdakab.bdg@gmail.com</t>
        </is>
      </c>
      <c r="AE24" s="288" t="n"/>
      <c r="AF24" s="288" t="n"/>
      <c r="AG24" s="284" t="n"/>
      <c r="AH24" s="284" t="n"/>
      <c r="AI24" s="284" t="n"/>
      <c r="AJ24" s="284" t="n"/>
      <c r="AK24" s="284" t="n"/>
      <c r="AL24" s="284" t="n"/>
      <c r="AM24" s="284" t="n"/>
      <c r="AN24" s="284" t="n"/>
      <c r="AO24" s="284" t="n"/>
      <c r="AP24" s="284" t="n"/>
      <c r="AQ24" s="284" t="n"/>
      <c r="AR24" s="284" t="n"/>
    </row>
    <row r="25" hidden="1" s="346">
      <c r="A25" s="62" t="n">
        <v>23</v>
      </c>
      <c r="B25" s="63" t="inlineStr">
        <is>
          <t>Layanan Tambahan Penghasilan ASN</t>
        </is>
      </c>
      <c r="C25" s="63" t="inlineStr">
        <is>
          <t>Tujuannya untuk menyusun Kepbup besaran TPP-ASN dan Memberi kemudahan dalam penyusunan TPP-ASN dan mengontrol realisasi TPP setiap Perangkat Daerah</t>
        </is>
      </c>
      <c r="D25" s="63" t="inlineStr">
        <is>
          <t>Pasal 58-PP 12/2019 Tentang PENGELOLAAN KEUANGAN DAERAH,
 Permendagri 14/2025 Tentang PEDOMAN PENYUSUNAN ANGGARAN PENDAPATAN DAN BELANJA DAERAH TAHUN ANGGARAN 2026
 Kepmendagri 900.1.3.2-1287 Tahun 2024 Tentang Tata Cara Persetujuan Menteri Dalam Negeri Terhadap Pemberian Tambahan Penghasilan Pegawai Aparatur Sipil Negara di Pemerintah Daerah</t>
        </is>
      </c>
      <c r="E25" s="288" t="n"/>
      <c r="F25" s="64" t="inlineStr">
        <is>
          <t>PENINGKATAN KUALITAS REFORMASI BIROKRASI, PENGAWASAN, DAN AKUNTABILITAS KINERJA</t>
        </is>
      </c>
      <c r="G25" s="64" t="inlineStr">
        <is>
          <t>Pegawai</t>
        </is>
      </c>
      <c r="H25" s="64" t="inlineStr">
        <is>
          <t>Data Jabatan, Jumlah Pegawai dan Pagu Anggaran</t>
        </is>
      </c>
      <c r="I25" s="64" t="inlineStr">
        <is>
          <t>Keputusan Bupati Tentang Besaran TPP-ASN</t>
        </is>
      </c>
      <c r="J25" s="64" t="inlineStr">
        <is>
          <t>Terbatas</t>
        </is>
      </c>
      <c r="K25" s="64" t="inlineStr">
        <is>
          <t>Terdapat</t>
        </is>
      </c>
      <c r="L25" s="64" t="inlineStr">
        <is>
          <t>Bulanan</t>
        </is>
      </c>
      <c r="M25" s="64" t="inlineStr">
        <is>
          <t>SITAMPAN</t>
        </is>
      </c>
      <c r="N25" s="64" t="inlineStr">
        <is>
          <t>Pihak Ke 3</t>
        </is>
      </c>
      <c r="O25" s="64" t="inlineStr">
        <is>
          <t>Kab. Bandung</t>
        </is>
      </c>
      <c r="P25" s="64" t="inlineStr">
        <is>
          <t>Website dan Mobile</t>
        </is>
      </c>
      <c r="Q25" s="66" t="inlineStr">
        <is>
          <t>https://sitampan-insaba.web.app/</t>
        </is>
      </c>
      <c r="R25" s="64" t="inlineStr">
        <is>
          <t>Secara Online</t>
        </is>
      </c>
      <c r="S25" s="64" t="inlineStr">
        <is>
          <t>Transaksi</t>
        </is>
      </c>
      <c r="T25" s="64" t="n">
        <v>2025</v>
      </c>
      <c r="U25" s="64" t="inlineStr">
        <is>
          <t>Aktif</t>
        </is>
      </c>
      <c r="V25" s="64" t="inlineStr">
        <is>
          <t>Tidak</t>
        </is>
      </c>
      <c r="W25" s="64" t="inlineStr">
        <is>
          <t>Belum Terintegrasi</t>
        </is>
      </c>
      <c r="X25" s="64" t="inlineStr">
        <is>
          <t>Tidak Terintegrasi</t>
        </is>
      </c>
      <c r="Y25" s="64" t="inlineStr">
        <is>
          <t>Realtime</t>
        </is>
      </c>
      <c r="Z25" s="64" t="inlineStr">
        <is>
          <t>Bagian Organisasi</t>
        </is>
      </c>
      <c r="AA25" s="64" t="inlineStr">
        <is>
          <t>Setda</t>
        </is>
      </c>
      <c r="AB25" s="66" t="inlineStr">
        <is>
          <t>IRMA PURNAMA, S.STP, M.Tr.A.P</t>
        </is>
      </c>
      <c r="AC25" s="63" t="n">
        <v>85218888714</v>
      </c>
      <c r="AD25" s="63" t="inlineStr">
        <is>
          <t>setdakab.bdg@gmail.com</t>
        </is>
      </c>
      <c r="AE25" s="288" t="n"/>
      <c r="AF25" s="288" t="n"/>
      <c r="AG25" s="284" t="n"/>
      <c r="AH25" s="284" t="n"/>
      <c r="AI25" s="284" t="n"/>
      <c r="AJ25" s="284" t="n"/>
      <c r="AK25" s="284" t="n"/>
      <c r="AL25" s="284" t="n"/>
      <c r="AM25" s="284" t="n"/>
      <c r="AN25" s="284" t="n"/>
      <c r="AO25" s="284" t="n"/>
      <c r="AP25" s="284" t="n"/>
      <c r="AQ25" s="284" t="n"/>
      <c r="AR25" s="284" t="n"/>
    </row>
    <row r="26" hidden="1" s="346">
      <c r="A26" s="62" t="n">
        <v>24</v>
      </c>
      <c r="B26" s="63" t="inlineStr">
        <is>
          <t>Layanan Informasi Agenda Pimpinan</t>
        </is>
      </c>
      <c r="C26" s="63" t="inlineStr">
        <is>
          <t>Fungsi Utama layanan agenda pimpinan adalah agar PD dan ASN di pemerintah kabupaten bandung dapat dengan mudah melihat detail jadwal Bapak Bupati dan mengajukan permohonan untuk mengundang Bapak Bupati</t>
        </is>
      </c>
      <c r="D26" s="288" t="n"/>
      <c r="E26" s="288" t="n"/>
      <c r="F26" s="64" t="inlineStr">
        <is>
          <t>PENINGKATAN KUALITAS PELAYANAN PUBLIK</t>
        </is>
      </c>
      <c r="G26" s="64" t="inlineStr">
        <is>
          <t>Pegawai</t>
        </is>
      </c>
      <c r="H26" s="64" t="inlineStr">
        <is>
          <t>Data Pengajuan Agenda</t>
        </is>
      </c>
      <c r="I26" s="64" t="inlineStr">
        <is>
          <t>Data Agenda Pimpinan</t>
        </is>
      </c>
      <c r="J26" s="64" t="inlineStr">
        <is>
          <t>Terbatas</t>
        </is>
      </c>
      <c r="K26" s="64" t="inlineStr">
        <is>
          <t>Tidak terdapat</t>
        </is>
      </c>
      <c r="L26" s="64" t="inlineStr">
        <is>
          <t>Harian</t>
        </is>
      </c>
      <c r="M26" s="64" t="inlineStr">
        <is>
          <t>SIAGAN BEDAS</t>
        </is>
      </c>
      <c r="N26" s="64" t="inlineStr">
        <is>
          <t>Diskominfo</t>
        </is>
      </c>
      <c r="O26" s="64" t="inlineStr">
        <is>
          <t>Kab. Bandung</t>
        </is>
      </c>
      <c r="P26" s="64" t="inlineStr">
        <is>
          <t>Website dan Mobile</t>
        </is>
      </c>
      <c r="Q26" s="66" t="inlineStr">
        <is>
          <t>https://play.google.com/store/apps/details?id=com.diskominfo.siagan_bedas&amp;hl=id</t>
        </is>
      </c>
      <c r="R26" s="64" t="inlineStr">
        <is>
          <t>Secara Online</t>
        </is>
      </c>
      <c r="S26" s="64" t="inlineStr">
        <is>
          <t>Informasi</t>
        </is>
      </c>
      <c r="T26" s="77" t="n">
        <v>2023</v>
      </c>
      <c r="U26" s="64" t="inlineStr">
        <is>
          <t>Aktif</t>
        </is>
      </c>
      <c r="V26" s="64" t="inlineStr">
        <is>
          <t>Tidak</t>
        </is>
      </c>
      <c r="W26" s="64" t="inlineStr">
        <is>
          <t>Tidak Terintegrasi</t>
        </is>
      </c>
      <c r="X26" s="64" t="inlineStr">
        <is>
          <t>Tidak Terintegrasi</t>
        </is>
      </c>
      <c r="Y26" s="64" t="inlineStr">
        <is>
          <t>Tidak Terintegrasi</t>
        </is>
      </c>
      <c r="Z26" s="64" t="inlineStr">
        <is>
          <t>Bagian Prokopim</t>
        </is>
      </c>
      <c r="AA26" s="64" t="inlineStr">
        <is>
          <t>Setda</t>
        </is>
      </c>
      <c r="AB26" s="67" t="inlineStr">
        <is>
          <t>Ira</t>
        </is>
      </c>
      <c r="AC26" s="77" t="n">
        <v>85294019899</v>
      </c>
      <c r="AD26" s="67" t="inlineStr">
        <is>
          <t>-</t>
        </is>
      </c>
      <c r="AE26" s="67" t="inlineStr">
        <is>
          <t>-</t>
        </is>
      </c>
      <c r="AF26" s="68" t="inlineStr">
        <is>
          <t>Harian</t>
        </is>
      </c>
      <c r="AG26" s="284" t="n"/>
      <c r="AH26" s="284" t="n"/>
      <c r="AI26" s="284" t="n"/>
      <c r="AJ26" s="284" t="n"/>
      <c r="AK26" s="284" t="n"/>
      <c r="AL26" s="284" t="n"/>
      <c r="AM26" s="284" t="n"/>
      <c r="AN26" s="284" t="n"/>
      <c r="AO26" s="284" t="n"/>
      <c r="AP26" s="284" t="n"/>
      <c r="AQ26" s="284" t="n"/>
      <c r="AR26" s="284" t="n"/>
    </row>
    <row r="27" hidden="1" s="346">
      <c r="A27" s="62" t="n">
        <v>25</v>
      </c>
      <c r="B27" s="63" t="inlineStr">
        <is>
          <t>Analisi Media Monitoring</t>
        </is>
      </c>
      <c r="C27" s="288" t="n"/>
      <c r="D27" s="288" t="n"/>
      <c r="E27" s="288" t="n"/>
      <c r="F27" s="64" t="inlineStr">
        <is>
          <t>INFORMASI DAN DIPLOMASI PUBLIK</t>
        </is>
      </c>
      <c r="G27" s="64" t="inlineStr">
        <is>
          <t>Pelaku Bisnis</t>
        </is>
      </c>
      <c r="H27" s="64" t="inlineStr">
        <is>
          <t>Data berita dan sosial media</t>
        </is>
      </c>
      <c r="I27" s="64" t="inlineStr">
        <is>
          <t>Statistik Data berita &amp; sosial medi</t>
        </is>
      </c>
      <c r="J27" s="64" t="inlineStr">
        <is>
          <t>Rahasia</t>
        </is>
      </c>
      <c r="K27" s="64" t="inlineStr">
        <is>
          <t>Tidak terdapat</t>
        </is>
      </c>
      <c r="L27" s="64" t="inlineStr">
        <is>
          <t>Harian</t>
        </is>
      </c>
      <c r="M27" s="64" t="inlineStr">
        <is>
          <t>SIMANIS</t>
        </is>
      </c>
      <c r="N27" s="64" t="inlineStr">
        <is>
          <t>Diskominfo</t>
        </is>
      </c>
      <c r="O27" s="64" t="inlineStr">
        <is>
          <t>Kab. Bandung</t>
        </is>
      </c>
      <c r="P27" s="64" t="inlineStr">
        <is>
          <t>Website</t>
        </is>
      </c>
      <c r="Q27" s="78" t="inlineStr">
        <is>
          <t>{{need url}}</t>
        </is>
      </c>
      <c r="R27" s="64" t="inlineStr">
        <is>
          <t>Secara Online</t>
        </is>
      </c>
      <c r="S27" s="64" t="inlineStr">
        <is>
          <t>Informasi</t>
        </is>
      </c>
      <c r="T27" s="77" t="n">
        <v>2024</v>
      </c>
      <c r="U27" s="64" t="inlineStr">
        <is>
          <t>Non Aktif</t>
        </is>
      </c>
      <c r="V27" s="64" t="inlineStr">
        <is>
          <t>Ya</t>
        </is>
      </c>
      <c r="W27" s="64" t="inlineStr">
        <is>
          <t>Web Prokopim</t>
        </is>
      </c>
      <c r="X27" s="64" t="inlineStr">
        <is>
          <t>API</t>
        </is>
      </c>
      <c r="Y27" s="64" t="inlineStr">
        <is>
          <t>Realtime</t>
        </is>
      </c>
      <c r="Z27" s="64" t="inlineStr">
        <is>
          <t>Bagian Prokopim</t>
        </is>
      </c>
      <c r="AA27" s="64" t="inlineStr">
        <is>
          <t>Setda</t>
        </is>
      </c>
      <c r="AB27" s="67" t="inlineStr">
        <is>
          <t>Vita</t>
        </is>
      </c>
      <c r="AC27" s="67" t="inlineStr">
        <is>
          <t>62 813-1222-9386</t>
        </is>
      </c>
      <c r="AD27" s="288" t="n"/>
      <c r="AE27" s="67" t="inlineStr">
        <is>
          <t>Semua</t>
        </is>
      </c>
      <c r="AF27" s="68" t="inlineStr">
        <is>
          <t>Harian</t>
        </is>
      </c>
      <c r="AG27" s="284" t="n"/>
      <c r="AH27" s="284" t="n"/>
      <c r="AI27" s="284" t="n"/>
      <c r="AJ27" s="284" t="n"/>
      <c r="AK27" s="284" t="n"/>
      <c r="AL27" s="284" t="n"/>
      <c r="AM27" s="284" t="n"/>
      <c r="AN27" s="284" t="n"/>
      <c r="AO27" s="284" t="n"/>
      <c r="AP27" s="284" t="n"/>
      <c r="AQ27" s="284" t="n"/>
      <c r="AR27" s="284" t="n"/>
    </row>
    <row r="28" hidden="1" s="346">
      <c r="A28" s="62" t="n">
        <v>26</v>
      </c>
      <c r="B28" s="63" t="inlineStr">
        <is>
          <t>Layanan Informasi Nama Rupabumi</t>
        </is>
      </c>
      <c r="C28" s="63" t="inlineStr">
        <is>
          <t>Fungsi utama layanan aplikasi adalah melaksanakan Penyelenggaraan Nama Rupabumi pada tahapan pendataan Nama Rupabumi dan penelaaahan Nama Rupabumi dengan output berupa Nama Rupabumi baku beserta atributnya sebagai dasar penyusunan Gazeter RI</t>
        </is>
      </c>
      <c r="D28" s="63" t="inlineStr">
        <is>
          <t>PP Nomor 2 Tahun 2021 tentang Penyelenggaraan Nama Rupabumi</t>
        </is>
      </c>
      <c r="E28" s="288" t="n"/>
      <c r="F28" s="64" t="inlineStr">
        <is>
          <t>PEMBINAAN ADMINISTRASI KEWILAYAHAN</t>
        </is>
      </c>
      <c r="G28" s="64" t="inlineStr">
        <is>
          <t>Instansi Pemerintah Lainnya</t>
        </is>
      </c>
      <c r="H28" s="64" t="inlineStr">
        <is>
          <t>Objek Rupabumi buatan dan alami</t>
        </is>
      </c>
      <c r="I28" s="64" t="inlineStr">
        <is>
          <t>Nama Rupabumi Baku</t>
        </is>
      </c>
      <c r="J28" s="64" t="inlineStr">
        <is>
          <t>Terbuka</t>
        </is>
      </c>
      <c r="K28" s="64" t="inlineStr">
        <is>
          <t>Tidak terdapat</t>
        </is>
      </c>
      <c r="L28" s="64" t="inlineStr">
        <is>
          <t>Harian</t>
        </is>
      </c>
      <c r="M28" s="64" t="inlineStr">
        <is>
          <t>SINAR</t>
        </is>
      </c>
      <c r="N28" s="64" t="inlineStr">
        <is>
          <t>Pusat</t>
        </is>
      </c>
      <c r="O28" s="64" t="inlineStr">
        <is>
          <t>Pusat</t>
        </is>
      </c>
      <c r="P28" s="64" t="inlineStr">
        <is>
          <t>Website dan Mobile</t>
        </is>
      </c>
      <c r="Q28" s="66" t="inlineStr">
        <is>
          <t>Sinar.big.go.id</t>
        </is>
      </c>
      <c r="R28" s="64" t="inlineStr">
        <is>
          <t>Secara Online</t>
        </is>
      </c>
      <c r="S28" s="64" t="inlineStr">
        <is>
          <t>Informasi</t>
        </is>
      </c>
      <c r="T28" s="64" t="n">
        <v>2021</v>
      </c>
      <c r="U28" s="64" t="inlineStr">
        <is>
          <t>Aktif</t>
        </is>
      </c>
      <c r="V28" s="64" t="inlineStr">
        <is>
          <t>Tidak</t>
        </is>
      </c>
      <c r="W28" s="64" t="inlineStr">
        <is>
          <t>Tidak Terintegrasi</t>
        </is>
      </c>
      <c r="X28" s="64" t="inlineStr">
        <is>
          <t>Tidak Terintegrasi</t>
        </is>
      </c>
      <c r="Y28" s="64" t="inlineStr">
        <is>
          <t>Tidak Terintegrasi</t>
        </is>
      </c>
      <c r="Z28" s="64" t="inlineStr">
        <is>
          <t>Tim Pembakuan Nama Rupabumi Kab. Bandung (Sekretariat: Bagian Tata Pemerintahan)</t>
        </is>
      </c>
      <c r="AA28" s="64" t="inlineStr">
        <is>
          <t>Setda</t>
        </is>
      </c>
      <c r="AB28" s="66" t="inlineStr">
        <is>
          <t>Gugum Gumilar, S.STP., M.Si</t>
        </is>
      </c>
      <c r="AC28" s="63" t="inlineStr">
        <is>
          <t>0819-1001-1980</t>
        </is>
      </c>
      <c r="AD28" s="63" t="inlineStr">
        <is>
          <t>admkewilayah@gmail.com</t>
        </is>
      </c>
      <c r="AE28" s="288" t="n"/>
      <c r="AF28" s="288" t="n"/>
      <c r="AG28" s="284" t="n"/>
      <c r="AH28" s="284" t="n"/>
      <c r="AI28" s="284" t="n"/>
      <c r="AJ28" s="284" t="n"/>
      <c r="AK28" s="284" t="n"/>
      <c r="AL28" s="284" t="n"/>
      <c r="AM28" s="284" t="n"/>
      <c r="AN28" s="284" t="n"/>
      <c r="AO28" s="284" t="n"/>
      <c r="AP28" s="284" t="n"/>
      <c r="AQ28" s="284" t="n"/>
      <c r="AR28" s="284" t="n"/>
    </row>
    <row r="29" hidden="1" s="346">
      <c r="A29" s="62" t="n">
        <v>27</v>
      </c>
      <c r="B29" s="63" t="inlineStr">
        <is>
          <t>Layanan Laporan Penyelenggaraan Pemerintahan Daerah</t>
        </is>
      </c>
      <c r="C29" s="63" t="inlineStr">
        <is>
          <t>Sebagai sistem aplikasi terpusat yang mempermudah Pemerintah Daerah (Provinsi, Kabupaten, Kota) untuk menyampaikan Laporan Penyelenggaraan Pemerintahan Daerah (LPPD) dan melakukan evaluasi secara online dan real-time, sehingga menghasilkan satu data yang akurat, mengurangi redundansi data, dan mempercepat penyebaran informasi pelaporan</t>
        </is>
      </c>
      <c r="D29" s="63" t="inlineStr">
        <is>
          <t>Peraturan Menteri Dalam Negeri Nomor 19 Tahun 2024 tentang Peraturan Pelaksana Peraturan Pemerintah Nomor 13 Tahun 2019 tentang Laporan dan Evaluasi Penyelenggaraan Pemerintahan Daerah;</t>
        </is>
      </c>
      <c r="E29" s="288" t="n"/>
      <c r="F29" s="64" t="inlineStr">
        <is>
          <t>OTONOMI DAERAH</t>
        </is>
      </c>
      <c r="G29" s="64" t="inlineStr">
        <is>
          <t>Instansi Pemerintah Lainnya</t>
        </is>
      </c>
      <c r="H29" s="288" t="n"/>
      <c r="I29" s="64" t="inlineStr">
        <is>
          <t>Laporan Penyelenggaraan Pemerintahan Daerah (LPPD)</t>
        </is>
      </c>
      <c r="J29" s="64" t="inlineStr">
        <is>
          <t>Terbuka</t>
        </is>
      </c>
      <c r="K29" s="64" t="inlineStr">
        <is>
          <t>Tidak terdapat</t>
        </is>
      </c>
      <c r="L29" s="64" t="inlineStr">
        <is>
          <t>Tahunan</t>
        </is>
      </c>
      <c r="M29" s="64" t="inlineStr">
        <is>
          <t>SILPPD</t>
        </is>
      </c>
      <c r="N29" s="64" t="inlineStr">
        <is>
          <t>Pusat</t>
        </is>
      </c>
      <c r="O29" s="64" t="inlineStr">
        <is>
          <t>Pusat</t>
        </is>
      </c>
      <c r="P29" s="64" t="inlineStr">
        <is>
          <t>Website dan Mobile</t>
        </is>
      </c>
      <c r="Q29" s="66" t="inlineStr">
        <is>
          <t>https://elppd.kemendagri.go.id/</t>
        </is>
      </c>
      <c r="R29" s="64" t="inlineStr">
        <is>
          <t>Secara Online</t>
        </is>
      </c>
      <c r="S29" s="64" t="inlineStr">
        <is>
          <t>Informasi</t>
        </is>
      </c>
      <c r="T29" s="64" t="n">
        <v>2021</v>
      </c>
      <c r="U29" s="64" t="inlineStr">
        <is>
          <t>Aktif</t>
        </is>
      </c>
      <c r="V29" s="64" t="inlineStr">
        <is>
          <t>Tidak</t>
        </is>
      </c>
      <c r="W29" s="64" t="inlineStr">
        <is>
          <t>Tidak Terintegrasi</t>
        </is>
      </c>
      <c r="X29" s="64" t="inlineStr">
        <is>
          <t>Tidak Terintegrasi</t>
        </is>
      </c>
      <c r="Y29" s="64" t="inlineStr">
        <is>
          <t>Tidak Terintegrasi</t>
        </is>
      </c>
      <c r="Z29" s="64" t="inlineStr">
        <is>
          <t>Bagian Tata Pemerintahan</t>
        </is>
      </c>
      <c r="AA29" s="64" t="inlineStr">
        <is>
          <t>Setda, Disdik, Dinkes, DPUTR, Disperkimtan, Dinsos, Disdamkar, Satpol PP, BPBD, Inspektorat, Disnaker, DP2KBP3A, DLH, Disdukcapil, DPMD, Dishub, Diskominfo, DPMPTSP, Dispora, Disperdagin, Distan, Dispakan, Disbud, DISKOP-UKM, Dispusip, Disparekraf, BKAD, BKPSDM</t>
        </is>
      </c>
      <c r="AB29" s="66" t="inlineStr">
        <is>
          <t>Gugum Gumilar, S.STP., M.Si</t>
        </is>
      </c>
      <c r="AC29" s="63" t="inlineStr">
        <is>
          <t>0819-1001-1980</t>
        </is>
      </c>
      <c r="AD29" s="63" t="inlineStr">
        <is>
          <t>admkewilayah@gmail.com</t>
        </is>
      </c>
      <c r="AE29" s="288" t="n"/>
      <c r="AF29" s="288" t="n"/>
      <c r="AG29" s="284" t="n"/>
      <c r="AH29" s="284" t="n"/>
      <c r="AI29" s="284" t="n"/>
      <c r="AJ29" s="284" t="n"/>
      <c r="AK29" s="284" t="n"/>
      <c r="AL29" s="284" t="n"/>
      <c r="AM29" s="284" t="n"/>
      <c r="AN29" s="284" t="n"/>
      <c r="AO29" s="284" t="n"/>
      <c r="AP29" s="284" t="n"/>
      <c r="AQ29" s="284" t="n"/>
      <c r="AR29" s="284" t="n"/>
    </row>
    <row r="30" hidden="1" s="346">
      <c r="A30" s="62" t="n">
        <v>28</v>
      </c>
      <c r="B30" s="63" t="inlineStr">
        <is>
          <t>Layanan Pelaporan Standar Pelayanan Minimal (SPM) Ditjen Bina Pembangunan Daerah Kementerian Dalam Negeri</t>
        </is>
      </c>
      <c r="C30" s="63" t="inlineStr">
        <is>
          <t>Sebagai dasar untuk melakukan monitoring dan evaluasi terpadu, mengelola data dan menganalisis capaian penerapan SPM di daerah, serta menjadi alat untuk mengkoordinasikan implementasi SPM antara pemerintah pusat dan daerah agar pelayanan dasar yang diberikan kepada masyarakat sesuai dengan ketentuan yang berlaku</t>
        </is>
      </c>
      <c r="D30" s="63" t="inlineStr">
        <is>
          <t>Peraturan Menteri Dalam Negeri Nomor 59 Tahun 2021 Tentang Penerapan Standar Pelayanan Minimal</t>
        </is>
      </c>
      <c r="E30" s="288" t="n"/>
      <c r="F30" s="64" t="inlineStr">
        <is>
          <t>OTONOMI DAERAH</t>
        </is>
      </c>
      <c r="G30" s="64" t="inlineStr">
        <is>
          <t>Instansi Pemerintah Lainnya</t>
        </is>
      </c>
      <c r="H30" s="288" t="n"/>
      <c r="I30" s="64" t="inlineStr">
        <is>
          <t>Laporan Penerapan Standar Pelayanan Minimal (SPM)</t>
        </is>
      </c>
      <c r="J30" s="64" t="inlineStr">
        <is>
          <t>Terbuka</t>
        </is>
      </c>
      <c r="K30" s="64" t="inlineStr">
        <is>
          <t>Tidak terdapat</t>
        </is>
      </c>
      <c r="L30" s="64" t="inlineStr">
        <is>
          <t>Lainnya</t>
        </is>
      </c>
      <c r="M30" s="64" t="inlineStr">
        <is>
          <t>e-SPM</t>
        </is>
      </c>
      <c r="N30" s="64" t="inlineStr">
        <is>
          <t>Pusat</t>
        </is>
      </c>
      <c r="O30" s="64" t="inlineStr">
        <is>
          <t>Pusat</t>
        </is>
      </c>
      <c r="P30" s="64" t="inlineStr">
        <is>
          <t>Website dan Mobile</t>
        </is>
      </c>
      <c r="Q30" s="66" t="inlineStr">
        <is>
          <t>https://spm.bangda.kemendagri.go.id/</t>
        </is>
      </c>
      <c r="R30" s="64" t="inlineStr">
        <is>
          <t>Secara Online</t>
        </is>
      </c>
      <c r="S30" s="64" t="inlineStr">
        <is>
          <t>Informasi</t>
        </is>
      </c>
      <c r="T30" s="64" t="n">
        <v>2021</v>
      </c>
      <c r="U30" s="64" t="inlineStr">
        <is>
          <t>Aktif</t>
        </is>
      </c>
      <c r="V30" s="64" t="inlineStr">
        <is>
          <t>Tidak</t>
        </is>
      </c>
      <c r="W30" s="64" t="inlineStr">
        <is>
          <t>Tidak Terintegrasi</t>
        </is>
      </c>
      <c r="X30" s="64" t="inlineStr">
        <is>
          <t>Tidak Terintegrasi</t>
        </is>
      </c>
      <c r="Y30" s="64" t="inlineStr">
        <is>
          <t>Tidak Terintegrasi</t>
        </is>
      </c>
      <c r="Z30" s="64" t="inlineStr">
        <is>
          <t>Bagian Tata Pemerintahan</t>
        </is>
      </c>
      <c r="AA30" s="64" t="inlineStr">
        <is>
          <t>Setda, Disdik, Dinkes, DPUTR, Disperkimtan, BPBD, Disdamkar, Satpol PP</t>
        </is>
      </c>
      <c r="AB30" s="66" t="inlineStr">
        <is>
          <t>Gugum Gumilar, S.STP., M.Si</t>
        </is>
      </c>
      <c r="AC30" s="63" t="inlineStr">
        <is>
          <t>0819-1001-1980</t>
        </is>
      </c>
      <c r="AD30" s="63" t="inlineStr">
        <is>
          <t>admkewilayah@gmail.com</t>
        </is>
      </c>
      <c r="AE30" s="288" t="n"/>
      <c r="AF30" s="288" t="n"/>
      <c r="AG30" s="284" t="n"/>
      <c r="AH30" s="284" t="n"/>
      <c r="AI30" s="284" t="n"/>
      <c r="AJ30" s="284" t="n"/>
      <c r="AK30" s="284" t="n"/>
      <c r="AL30" s="284" t="n"/>
      <c r="AM30" s="284" t="n"/>
      <c r="AN30" s="284" t="n"/>
      <c r="AO30" s="284" t="n"/>
      <c r="AP30" s="284" t="n"/>
      <c r="AQ30" s="284" t="n"/>
      <c r="AR30" s="284" t="n"/>
    </row>
    <row r="31" hidden="1" s="346">
      <c r="A31" s="62" t="n">
        <v>29</v>
      </c>
      <c r="B31" s="63" t="inlineStr">
        <is>
          <t>Layanan informasi publik</t>
        </is>
      </c>
      <c r="C31" s="64" t="inlineStr">
        <is>
          <t>Keterbukaan informasi publik merupakan sarana dalam mengoptimalkan pengawasan publik terhadap penyelenggaraan negara dan Badan Publik lainnya dan segala sesuatu yang berakibat pada kepentingan publik sebagaimana yang diamanatkan dalam Undang-Undang Nomor 14 Tahun 2008</t>
        </is>
      </c>
      <c r="D31" s="67" t="inlineStr">
        <is>
          <t>Undang-Undang Nomor 14 Tahun 2008</t>
        </is>
      </c>
      <c r="E31" s="288" t="n"/>
      <c r="F31" s="67" t="inlineStr">
        <is>
          <t>PENGELOLAAN INFORMASI PUBLIK</t>
        </is>
      </c>
      <c r="G31" s="67" t="inlineStr">
        <is>
          <t>Pelaku Bisnis</t>
        </is>
      </c>
      <c r="H31" s="68" t="inlineStr">
        <is>
          <t>Data Informasi Publik</t>
        </is>
      </c>
      <c r="I31" s="68" t="inlineStr">
        <is>
          <t>Data Informasi Publik</t>
        </is>
      </c>
      <c r="J31" s="67" t="inlineStr">
        <is>
          <t>Terbatas</t>
        </is>
      </c>
      <c r="K31" s="67" t="inlineStr">
        <is>
          <t>Tidak terdapat</t>
        </is>
      </c>
      <c r="L31" s="67" t="inlineStr">
        <is>
          <t>Lainnya</t>
        </is>
      </c>
      <c r="M31" s="64" t="inlineStr">
        <is>
          <t>PPID</t>
        </is>
      </c>
      <c r="N31" s="67" t="inlineStr">
        <is>
          <t>Diskominfo</t>
        </is>
      </c>
      <c r="O31" s="67" t="inlineStr">
        <is>
          <t>Kab. Bandung</t>
        </is>
      </c>
      <c r="P31" s="67" t="inlineStr">
        <is>
          <t>Website dan Mobile</t>
        </is>
      </c>
      <c r="Q31" s="75" t="inlineStr">
        <is>
          <t>https://ppid.bandungkab.go.id/</t>
        </is>
      </c>
      <c r="R31" s="67" t="inlineStr">
        <is>
          <t>Secara Online</t>
        </is>
      </c>
      <c r="S31" s="67" t="inlineStr">
        <is>
          <t>Informasi</t>
        </is>
      </c>
      <c r="T31" s="288" t="n"/>
      <c r="U31" s="67" t="inlineStr">
        <is>
          <t>Aktif</t>
        </is>
      </c>
      <c r="V31" s="67" t="inlineStr">
        <is>
          <t>Ya</t>
        </is>
      </c>
      <c r="W31" s="184" t="inlineStr">
        <is>
          <t>Tidak Terintegrasi</t>
        </is>
      </c>
      <c r="X31" s="184" t="inlineStr">
        <is>
          <t>Tidak Terintegrasi</t>
        </is>
      </c>
      <c r="Y31" s="184" t="inlineStr">
        <is>
          <t>Tidak Terintegrasi</t>
        </is>
      </c>
      <c r="Z31" s="68" t="inlineStr">
        <is>
          <t>Bagian Kesra</t>
        </is>
      </c>
      <c r="AA31" s="68" t="inlineStr">
        <is>
          <t>Diskominfo</t>
        </is>
      </c>
      <c r="AB31" s="288" t="n"/>
      <c r="AC31" s="288" t="n"/>
      <c r="AD31" s="288" t="n"/>
      <c r="AE31" s="288" t="n"/>
      <c r="AF31" s="288" t="n"/>
      <c r="AG31" s="284" t="n"/>
      <c r="AH31" s="284" t="n"/>
      <c r="AI31" s="284" t="n"/>
      <c r="AJ31" s="284" t="n"/>
      <c r="AK31" s="284" t="n"/>
      <c r="AL31" s="284" t="n"/>
      <c r="AM31" s="284" t="n"/>
      <c r="AN31" s="284" t="n"/>
      <c r="AO31" s="284" t="n"/>
      <c r="AP31" s="284" t="n"/>
      <c r="AQ31" s="284" t="n"/>
      <c r="AR31" s="284" t="n"/>
    </row>
    <row r="32" hidden="1" s="346">
      <c r="A32" s="62" t="n">
        <v>30</v>
      </c>
      <c r="B32" s="63" t="inlineStr">
        <is>
          <t>Layanan Pengajuan Produk Hukum</t>
        </is>
      </c>
      <c r="C32" s="63" t="inlineStr">
        <is>
          <t>Sipphade, yang juga disebut BEDAS Sipphade (akronim dari “Sistem Informasi Penyusunan Produk Hukum Daerah”), adalah sebuah aplikasi digital yang diluncurkan oleh Pemerintah Kabupaten Bandung. Aplikasi ini dirancang untuk:Mempermudah proses pengajuan produk hukum daerah oleh perangkat daerah.</t>
        </is>
      </c>
      <c r="D32" s="63" t="inlineStr">
        <is>
          <t>Undang-Undang Nomor 12 Tahun 2011 tentang Pembentukan Peraturan Perundang-Undangan sebagaimana telah diubah dengan Undang-Undang Nomor 13 Tahun 2022 tentang Perubahan Kedua atas Undang-Undang Nomor 12 Tahun 2011 tentang Pembentukan Peraturan Perundang-Undangan</t>
        </is>
      </c>
      <c r="E32" s="63" t="inlineStr">
        <is>
          <t>-</t>
        </is>
      </c>
      <c r="F32" s="64" t="inlineStr">
        <is>
          <t>PENYELENGGARAAN PERATURAN PERUNDANG-UNDANGAN</t>
        </is>
      </c>
      <c r="G32" s="64" t="inlineStr">
        <is>
          <t>Instansi Pemerintah Lainnya</t>
        </is>
      </c>
      <c r="H32" s="64" t="inlineStr">
        <is>
          <t>Identitas Perangkat Daerah Pengusul</t>
        </is>
      </c>
      <c r="I32" s="64" t="inlineStr">
        <is>
          <t>surat keputusan</t>
        </is>
      </c>
      <c r="J32" s="64" t="inlineStr">
        <is>
          <t>Terbatas</t>
        </is>
      </c>
      <c r="K32" s="64" t="inlineStr">
        <is>
          <t>Tidak terdapat</t>
        </is>
      </c>
      <c r="L32" s="64" t="inlineStr">
        <is>
          <t>Bulanan</t>
        </is>
      </c>
      <c r="M32" s="64" t="inlineStr">
        <is>
          <t>SIPPHADE</t>
        </is>
      </c>
      <c r="N32" s="64" t="inlineStr">
        <is>
          <t>Diskominfo</t>
        </is>
      </c>
      <c r="O32" s="64" t="inlineStr">
        <is>
          <t>Kab. Bandung</t>
        </is>
      </c>
      <c r="P32" s="64" t="inlineStr">
        <is>
          <t>Website</t>
        </is>
      </c>
      <c r="Q32" s="66" t="inlineStr">
        <is>
          <t>https://sipphade.bandungkab.go.id/</t>
        </is>
      </c>
      <c r="R32" s="64" t="inlineStr">
        <is>
          <t>Secara Online</t>
        </is>
      </c>
      <c r="S32" s="64" t="inlineStr">
        <is>
          <t>Informasi</t>
        </is>
      </c>
      <c r="T32" s="64" t="n">
        <v>2024</v>
      </c>
      <c r="U32" s="64" t="inlineStr">
        <is>
          <t>Aktif</t>
        </is>
      </c>
      <c r="V32" s="64" t="inlineStr">
        <is>
          <t>Ya</t>
        </is>
      </c>
      <c r="W32" s="64" t="inlineStr">
        <is>
          <t>TERINTERGRASI DENGAN E OFFICE DAN BSRE</t>
        </is>
      </c>
      <c r="X32" s="64" t="inlineStr">
        <is>
          <t>Database to Database</t>
        </is>
      </c>
      <c r="Y32" s="64" t="inlineStr">
        <is>
          <t>Realtime</t>
        </is>
      </c>
      <c r="Z32" s="81" t="inlineStr">
        <is>
          <t>Bagian Hukum Sekretariat Daerah Kabupaten Bandung</t>
        </is>
      </c>
      <c r="AA32" s="64" t="inlineStr">
        <is>
          <t>Setda</t>
        </is>
      </c>
      <c r="AB32" s="82" t="inlineStr">
        <is>
          <t>DADAN SUNANDAR, SH</t>
        </is>
      </c>
      <c r="AC32" s="63" t="n">
        <v>85721347799</v>
      </c>
      <c r="AD32" s="63" t="inlineStr">
        <is>
          <t>baghukum17@gmail.com</t>
        </is>
      </c>
      <c r="AE32" s="288" t="n"/>
      <c r="AF32" s="288" t="n"/>
      <c r="AG32" s="284" t="n"/>
      <c r="AH32" s="284" t="n"/>
      <c r="AI32" s="284" t="n"/>
      <c r="AJ32" s="284" t="n"/>
      <c r="AK32" s="284" t="n"/>
      <c r="AL32" s="284" t="n"/>
      <c r="AM32" s="284" t="n"/>
      <c r="AN32" s="284" t="n"/>
      <c r="AO32" s="284" t="n"/>
      <c r="AP32" s="284" t="n"/>
      <c r="AQ32" s="284" t="n"/>
      <c r="AR32" s="284" t="n"/>
    </row>
    <row r="33" hidden="1" s="346">
      <c r="A33" s="62" t="n">
        <v>31</v>
      </c>
      <c r="B33" s="63" t="inlineStr">
        <is>
          <t>Layanan Penanganan litigasi Hukum bedas</t>
        </is>
      </c>
      <c r="C33" s="83" t="inlineStr">
        <is>
          <t>Sistem Penanganan litigasi Hukum bedas</t>
        </is>
      </c>
      <c r="D33" s="63" t="inlineStr">
        <is>
          <t>-</t>
        </is>
      </c>
      <c r="E33" s="63" t="inlineStr">
        <is>
          <t>-</t>
        </is>
      </c>
      <c r="F33" s="64" t="inlineStr">
        <is>
          <t>ADMINISTRASI HUKUM UMUM</t>
        </is>
      </c>
      <c r="G33" s="64" t="inlineStr">
        <is>
          <t>Masyarakat</t>
        </is>
      </c>
      <c r="H33" s="64" t="inlineStr">
        <is>
          <t>para pihak yang berperkara</t>
        </is>
      </c>
      <c r="I33" s="64" t="inlineStr">
        <is>
          <t>panggilan sidang</t>
        </is>
      </c>
      <c r="J33" s="64" t="inlineStr">
        <is>
          <t>Terbuka</t>
        </is>
      </c>
      <c r="K33" s="64" t="inlineStr">
        <is>
          <t>Terdapat</t>
        </is>
      </c>
      <c r="L33" s="64" t="inlineStr">
        <is>
          <t>Bulanan</t>
        </is>
      </c>
      <c r="M33" s="64" t="inlineStr">
        <is>
          <t>SIPATUHBEDAS</t>
        </is>
      </c>
      <c r="N33" s="64" t="inlineStr">
        <is>
          <t>Diskominfo</t>
        </is>
      </c>
      <c r="O33" s="64" t="inlineStr">
        <is>
          <t>Kab. Bandung</t>
        </is>
      </c>
      <c r="P33" s="64" t="inlineStr">
        <is>
          <t>Website</t>
        </is>
      </c>
      <c r="Q33" s="66" t="inlineStr">
        <is>
          <t>https://sipatuhbedas.bandungkab.go.id/</t>
        </is>
      </c>
      <c r="R33" s="64" t="inlineStr">
        <is>
          <t>Secara Online</t>
        </is>
      </c>
      <c r="S33" s="64" t="inlineStr">
        <is>
          <t>Informasi</t>
        </is>
      </c>
      <c r="T33" s="64" t="n">
        <v>2023</v>
      </c>
      <c r="U33" s="64" t="inlineStr">
        <is>
          <t>Aktif</t>
        </is>
      </c>
      <c r="V33" s="64" t="inlineStr">
        <is>
          <t>Ya</t>
        </is>
      </c>
      <c r="W33" s="64" t="inlineStr">
        <is>
          <t>-</t>
        </is>
      </c>
      <c r="X33" s="64" t="inlineStr">
        <is>
          <t>Database to Database</t>
        </is>
      </c>
      <c r="Y33" s="64" t="inlineStr">
        <is>
          <t>Bulanan</t>
        </is>
      </c>
      <c r="Z33" s="64" t="inlineStr">
        <is>
          <t>bagian Hukum Sekretariat Daerah Kabupaten Bandung</t>
        </is>
      </c>
      <c r="AA33" s="64" t="inlineStr">
        <is>
          <t>Setda</t>
        </is>
      </c>
      <c r="AB33" s="83" t="inlineStr">
        <is>
          <t>ZAENAL MUTTAQIN,SH</t>
        </is>
      </c>
      <c r="AC33" s="63" t="n">
        <v>8127585399</v>
      </c>
      <c r="AD33" s="63" t="inlineStr">
        <is>
          <t>zaenal1972.zm@gmail.com</t>
        </is>
      </c>
      <c r="AE33" s="288" t="n"/>
      <c r="AF33" s="288" t="n"/>
      <c r="AG33" s="284" t="n"/>
      <c r="AH33" s="284" t="n"/>
      <c r="AI33" s="284" t="n"/>
      <c r="AJ33" s="284" t="n"/>
      <c r="AK33" s="284" t="n"/>
      <c r="AL33" s="284" t="n"/>
      <c r="AM33" s="284" t="n"/>
      <c r="AN33" s="284" t="n"/>
      <c r="AO33" s="284" t="n"/>
      <c r="AP33" s="284" t="n"/>
      <c r="AQ33" s="284" t="n"/>
      <c r="AR33" s="284" t="n"/>
    </row>
    <row r="34" hidden="1" s="346">
      <c r="A34" s="62" t="n">
        <v>32</v>
      </c>
      <c r="B34" s="63" t="inlineStr">
        <is>
          <t>Layanan Fasilitasi Kerja Sama Daerah</t>
        </is>
      </c>
      <c r="C34" s="63" t="inlineStr">
        <is>
          <t>Mempercepat transformasi digital dalam tata kelola pemerintahan dan penyusunan peraturan perundang-undangan.</t>
        </is>
      </c>
      <c r="D34" s="63" t="inlineStr">
        <is>
          <t>PP No 28 Tahun 2018 tentang Kerja Sama Daerah. Permendagri No 22 Tahun 2020 tentang Tata Cara Kerja Sama Daerah dengan Daerah Lain dan Kerja Sama Daerah dengan Pihak Ketiga, Permendagri No 25 Tahun 2020 tentang Tata Cara Kerja Sama Daerah dengan Pemerintah Daerah di Luar Negeri dan Kerja Sama Daerah dengan Lembaga di Luar Negeri</t>
        </is>
      </c>
      <c r="E34" s="63" t="inlineStr">
        <is>
          <t>Ada sesuai Keputusan Sekretaris Dearah No.415.4/KEP.25-KSM/2023 tentang Penetapan Standar Operasional Prosedur Kerja Sama Daerah di Lingkungan Pemerintah Kabupaten Bandung</t>
        </is>
      </c>
      <c r="F34" s="64" t="inlineStr">
        <is>
          <t>PENINGKATAN KUALITAS PELAYANAN PUBLIK</t>
        </is>
      </c>
      <c r="G34" s="64" t="inlineStr">
        <is>
          <t>Pelaku Bisnis, Masyarakat, Pegawai, Instansi Pemerintah Lainnya</t>
        </is>
      </c>
      <c r="H34" s="64" t="inlineStr">
        <is>
          <t>Data Pengguna, data persyaratan permohonan kerja sama, laporan dan perencanaan</t>
        </is>
      </c>
      <c r="I34" s="64" t="inlineStr">
        <is>
          <t>Data kerja sama, data permohonan, data perencanaan dan data laporan</t>
        </is>
      </c>
      <c r="J34" s="64" t="inlineStr">
        <is>
          <t>Terbatas</t>
        </is>
      </c>
      <c r="K34" s="64" t="inlineStr">
        <is>
          <t>Terdapat</t>
        </is>
      </c>
      <c r="L34" s="64" t="inlineStr">
        <is>
          <t>Lainnya</t>
        </is>
      </c>
      <c r="M34" s="64" t="inlineStr">
        <is>
          <t>SiBERKAH</t>
        </is>
      </c>
      <c r="N34" s="64" t="inlineStr">
        <is>
          <t>Diskominfo</t>
        </is>
      </c>
      <c r="O34" s="64" t="inlineStr">
        <is>
          <t>Kab. Bandung</t>
        </is>
      </c>
      <c r="P34" s="64" t="inlineStr">
        <is>
          <t>Website dan Mobile</t>
        </is>
      </c>
      <c r="Q34" s="66" t="inlineStr">
        <is>
          <t>kerjasama.bandungkab.go.id</t>
        </is>
      </c>
      <c r="R34" s="64" t="inlineStr">
        <is>
          <t>Secara Online</t>
        </is>
      </c>
      <c r="S34" s="64" t="inlineStr">
        <is>
          <t>Informasi</t>
        </is>
      </c>
      <c r="T34" s="64" t="n">
        <v>2022</v>
      </c>
      <c r="U34" s="64" t="inlineStr">
        <is>
          <t>Aktif</t>
        </is>
      </c>
      <c r="V34" s="64" t="inlineStr">
        <is>
          <t>Ya</t>
        </is>
      </c>
      <c r="W34" s="64" t="inlineStr">
        <is>
          <t>BDS</t>
        </is>
      </c>
      <c r="X34" s="64" t="inlineStr">
        <is>
          <t>Web Service</t>
        </is>
      </c>
      <c r="Y34" s="64" t="inlineStr">
        <is>
          <t>Realtime</t>
        </is>
      </c>
      <c r="Z34" s="64" t="inlineStr">
        <is>
          <t>Bagian Kerja Sama SETDA</t>
        </is>
      </c>
      <c r="AA34" s="64" t="inlineStr">
        <is>
          <t>Setda</t>
        </is>
      </c>
      <c r="AB34" s="63" t="inlineStr">
        <is>
          <t>Ir. Elis Kusmawati,MM</t>
        </is>
      </c>
      <c r="AC34" s="63" t="n">
        <v>85322543009</v>
      </c>
      <c r="AD34" s="63" t="inlineStr">
        <is>
          <t>kerjasamabandungkab@gmail.com</t>
        </is>
      </c>
      <c r="AE34" s="288" t="n"/>
      <c r="AF34" s="67" t="inlineStr">
        <is>
          <t>harian</t>
        </is>
      </c>
      <c r="AG34" s="216" t="inlineStr">
        <is>
          <t>data kerjasama daerah dengan daerah atau daerah dengan pihak ketiga perangkat daerah sudah punya admin sendiri pengguna mitra kerja dan perangkat daerah, kabupaten lain Mitra kerja itu perangkat daerah lain dan oerguruan tinggi</t>
        </is>
      </c>
    </row>
    <row r="35" hidden="1" s="346">
      <c r="A35" s="62" t="n">
        <v>33</v>
      </c>
      <c r="B35" s="63" t="inlineStr">
        <is>
          <t>Layanan informasi data terkait penyerapan KUR untuk UMKM Kabupaten Bandung</t>
        </is>
      </c>
      <c r="C35" s="63" t="inlineStr">
        <is>
          <t>Meningkatkan kapasitas SDM (sumber daya manusia) yang merancang produk hukum.</t>
        </is>
      </c>
      <c r="D35" s="63" t="inlineStr">
        <is>
          <t>keputusan bupati bandung nomor 500/KEP..671-Perek/2017 tentang pembentukan tim inflasi darah kabupaten bandung</t>
        </is>
      </c>
      <c r="E35" s="288" t="n"/>
      <c r="F35" s="64" t="inlineStr">
        <is>
          <t>USAHA KECIL DAN MENENGAH</t>
        </is>
      </c>
      <c r="G35" s="64" t="inlineStr">
        <is>
          <t>Instansi Pemerintah Lainnya</t>
        </is>
      </c>
      <c r="H35" s="64" t="inlineStr">
        <is>
          <t>dataUMKM yang membutuhkan KUR</t>
        </is>
      </c>
      <c r="I35" s="64" t="inlineStr">
        <is>
          <t>data UMKM yang telah menerima KUR</t>
        </is>
      </c>
      <c r="J35" s="64" t="inlineStr">
        <is>
          <t>Terbuka</t>
        </is>
      </c>
      <c r="K35" s="64" t="inlineStr">
        <is>
          <t>Terdapat</t>
        </is>
      </c>
      <c r="L35" s="64" t="inlineStr">
        <is>
          <t>Harian</t>
        </is>
      </c>
      <c r="M35" s="68" t="inlineStr">
        <is>
          <t>SIKP</t>
        </is>
      </c>
      <c r="N35" s="64" t="inlineStr">
        <is>
          <t>Pusat</t>
        </is>
      </c>
      <c r="O35" s="64" t="inlineStr">
        <is>
          <t>Pusat</t>
        </is>
      </c>
      <c r="P35" s="64" t="inlineStr">
        <is>
          <t>Website</t>
        </is>
      </c>
      <c r="Q35" s="66" t="inlineStr">
        <is>
          <t>https://sikp.kemenkeu.go.id/login</t>
        </is>
      </c>
      <c r="R35" s="64" t="inlineStr">
        <is>
          <t>Secara Online</t>
        </is>
      </c>
      <c r="S35" s="64" t="inlineStr">
        <is>
          <t>Informasi</t>
        </is>
      </c>
      <c r="T35" s="64" t="n">
        <v>2017</v>
      </c>
      <c r="U35" s="64" t="inlineStr">
        <is>
          <t>Aktif</t>
        </is>
      </c>
      <c r="V35" s="64" t="inlineStr">
        <is>
          <t>Tidak</t>
        </is>
      </c>
      <c r="W35" s="64" t="inlineStr">
        <is>
          <t>Tidak Terintegrasi</t>
        </is>
      </c>
      <c r="X35" s="288" t="n"/>
      <c r="Y35" s="64" t="inlineStr">
        <is>
          <t>Mingguan</t>
        </is>
      </c>
      <c r="Z35" s="64" t="inlineStr">
        <is>
          <t>bagian perekonomian</t>
        </is>
      </c>
      <c r="AA35" s="288" t="n"/>
      <c r="AB35" s="63" t="inlineStr">
        <is>
          <t>herrier mustari</t>
        </is>
      </c>
      <c r="AC35" s="288" t="n"/>
      <c r="AD35" s="63" t="inlineStr">
        <is>
          <t>usmankaryana1961@gmail.com</t>
        </is>
      </c>
      <c r="AE35" s="288" t="n"/>
      <c r="AF35" s="288" t="n"/>
      <c r="AG35" s="284" t="n"/>
      <c r="AH35" s="284" t="n"/>
      <c r="AI35" s="284" t="n"/>
      <c r="AJ35" s="284" t="n"/>
      <c r="AK35" s="284" t="n"/>
      <c r="AL35" s="284" t="n"/>
      <c r="AM35" s="284" t="n"/>
      <c r="AN35" s="284" t="n"/>
      <c r="AO35" s="284" t="n"/>
      <c r="AP35" s="284" t="n"/>
      <c r="AQ35" s="284" t="n"/>
      <c r="AR35" s="284" t="n"/>
    </row>
    <row r="36" hidden="1" s="346">
      <c r="A36" s="62" t="n">
        <v>34</v>
      </c>
      <c r="B36" s="82" t="inlineStr">
        <is>
          <t>Layanan informasi dan penginputan realisasi terkait program percepatan keuangan daerah</t>
        </is>
      </c>
      <c r="C36" s="288" t="n"/>
      <c r="D36" s="63" t="inlineStr">
        <is>
          <t>keputusan bupati bandung nomor 539/Kep.481-Perek/2021 tentang pembentukan tim percepatan akses keuangan daerah kabupaten bandung</t>
        </is>
      </c>
      <c r="E36" s="288" t="n"/>
      <c r="F36" s="64" t="inlineStr">
        <is>
          <t>PEMBINAAN KEUANGAN DAERAH</t>
        </is>
      </c>
      <c r="G36" s="64" t="inlineStr">
        <is>
          <t>Instansi Pemerintah Lainnya</t>
        </is>
      </c>
      <c r="H36" s="64" t="inlineStr">
        <is>
          <t>target dan realisasi program percepatan akses keuangan daerah</t>
        </is>
      </c>
      <c r="I36" s="64" t="inlineStr">
        <is>
          <t>realisasi program percepatan akses keuangan daerah</t>
        </is>
      </c>
      <c r="J36" s="64" t="inlineStr">
        <is>
          <t>Terbuka</t>
        </is>
      </c>
      <c r="K36" s="64" t="inlineStr">
        <is>
          <t>Tidak terdapat</t>
        </is>
      </c>
      <c r="L36" s="64" t="inlineStr">
        <is>
          <t>Bulanan</t>
        </is>
      </c>
      <c r="M36" s="64" t="inlineStr">
        <is>
          <t>SITPAKD</t>
        </is>
      </c>
      <c r="N36" s="64" t="inlineStr">
        <is>
          <t>Pusat</t>
        </is>
      </c>
      <c r="O36" s="64" t="inlineStr">
        <is>
          <t>Pusat</t>
        </is>
      </c>
      <c r="P36" s="64" t="inlineStr">
        <is>
          <t>Website</t>
        </is>
      </c>
      <c r="Q36" s="66" t="inlineStr">
        <is>
          <t>https://sitpakd.ojk.go.id/Account/Login</t>
        </is>
      </c>
      <c r="R36" s="64" t="inlineStr">
        <is>
          <t>Secara Online</t>
        </is>
      </c>
      <c r="S36" s="64" t="inlineStr">
        <is>
          <t>Informasi</t>
        </is>
      </c>
      <c r="T36" s="64" t="n">
        <v>2021</v>
      </c>
      <c r="U36" s="64" t="inlineStr">
        <is>
          <t>Aktif</t>
        </is>
      </c>
      <c r="V36" s="64" t="inlineStr">
        <is>
          <t>Tidak</t>
        </is>
      </c>
      <c r="W36" s="64" t="inlineStr">
        <is>
          <t>Tidak Terintegrasi</t>
        </is>
      </c>
      <c r="X36" s="288" t="n"/>
      <c r="Y36" s="64" t="inlineStr">
        <is>
          <t>Mingguan</t>
        </is>
      </c>
      <c r="Z36" s="64" t="inlineStr">
        <is>
          <t>bagian perekonomian</t>
        </is>
      </c>
      <c r="AA36" s="64" t="inlineStr">
        <is>
          <t>Setda</t>
        </is>
      </c>
      <c r="AB36" s="63" t="inlineStr">
        <is>
          <t>herrier mustari</t>
        </is>
      </c>
      <c r="AC36" s="288" t="n"/>
      <c r="AD36" s="63" t="inlineStr">
        <is>
          <t>usmankaryana1961@gmail.com</t>
        </is>
      </c>
      <c r="AE36" s="288" t="n"/>
      <c r="AF36" s="288" t="n"/>
      <c r="AG36" s="284" t="n"/>
      <c r="AH36" s="284" t="n"/>
      <c r="AI36" s="284" t="n"/>
      <c r="AJ36" s="284" t="n"/>
      <c r="AK36" s="284" t="n"/>
      <c r="AL36" s="284" t="n"/>
      <c r="AM36" s="284" t="n"/>
      <c r="AN36" s="284" t="n"/>
      <c r="AO36" s="284" t="n"/>
      <c r="AP36" s="284" t="n"/>
      <c r="AQ36" s="284" t="n"/>
      <c r="AR36" s="284" t="n"/>
    </row>
    <row r="37" hidden="1" s="346">
      <c r="A37" s="62" t="n">
        <v>35</v>
      </c>
      <c r="B37" s="63" t="inlineStr">
        <is>
          <t>Layanan penginputan rencana kerja anggaran, laporan hasil kegiatan dan realisasi DBHCHT</t>
        </is>
      </c>
      <c r="C37" s="63" t="inlineStr">
        <is>
          <t>1. Meningkatkan Efektivitas dan Efisiensi kerja Pimpinan.
 2. Mempermudah koordinasi eksternal.
 3. Transparansi dan akuntabilitas.
 4. Dokumentasi dan arsip digital.
 5. Mendukung pengambilan keputusan.
 6. Memudahkan akses dan mobilitas.</t>
        </is>
      </c>
      <c r="D37" s="67" t="inlineStr">
        <is>
          <t>KEPUTUSAN BUPATI BANDUNG NOMOR : 900.1.14.3/KEP.746-PEREK/2024 Penetapan Pagu Alokasi Dana Bagi Hasil Cukai Hasil Tembakau Bagian Pemerintah Daerah Kabupaten Bandung Tahun Anggaran 2025 dan KEPUTUSAN BUPATI BANDUNG NOMOR : 000.8.1.1/KEP.738-PEREK/202 TIM KOORDINASI PENGELOLAAN DANA BAGI HASIL CUKAI HASIL TEMBAKAU
 DAERAH KABUPATEN BANDUNG TAHUN 2025</t>
        </is>
      </c>
      <c r="E37" s="288" t="n"/>
      <c r="F37" s="64" t="inlineStr">
        <is>
          <t>PENINGKATAN KUALITAS REFORMASI BIROKRASI, PENGAWASAN, DAN AKUNTABILITAS KINERJA</t>
        </is>
      </c>
      <c r="G37" s="64" t="inlineStr">
        <is>
          <t>Instansi Pemerintah Lainnya</t>
        </is>
      </c>
      <c r="H37" s="64" t="inlineStr">
        <is>
          <t>realisasi dan laporan hasil kegiatan DBHCHT</t>
        </is>
      </c>
      <c r="I37" s="64" t="inlineStr">
        <is>
          <t>realisasi dan laporan hasil kegiatan DBHCHT</t>
        </is>
      </c>
      <c r="J37" s="64" t="inlineStr">
        <is>
          <t>Terbuka</t>
        </is>
      </c>
      <c r="K37" s="64" t="inlineStr">
        <is>
          <t>Tidak terdapat</t>
        </is>
      </c>
      <c r="L37" s="64" t="inlineStr">
        <is>
          <t>Bulanan</t>
        </is>
      </c>
      <c r="M37" s="64" t="inlineStr">
        <is>
          <t>SIKD</t>
        </is>
      </c>
      <c r="N37" s="64" t="inlineStr">
        <is>
          <t>Pusat</t>
        </is>
      </c>
      <c r="O37" s="64" t="inlineStr">
        <is>
          <t>Pusat</t>
        </is>
      </c>
      <c r="P37" s="64" t="inlineStr">
        <is>
          <t>Website</t>
        </is>
      </c>
      <c r="Q37" s="66" t="inlineStr">
        <is>
          <t>https://sikd.djpk.kemenkeu.go.id/lapordbh/</t>
        </is>
      </c>
      <c r="R37" s="64" t="inlineStr">
        <is>
          <t>Secara Online</t>
        </is>
      </c>
      <c r="S37" s="64" t="inlineStr">
        <is>
          <t>Informasi</t>
        </is>
      </c>
      <c r="T37" s="288" t="n"/>
      <c r="U37" s="64" t="inlineStr">
        <is>
          <t>Aktif</t>
        </is>
      </c>
      <c r="V37" s="64" t="inlineStr">
        <is>
          <t>Tidak</t>
        </is>
      </c>
      <c r="W37" s="64" t="inlineStr">
        <is>
          <t>Tidak Terintegrasi</t>
        </is>
      </c>
      <c r="X37" s="288" t="n"/>
      <c r="Y37" s="64" t="inlineStr">
        <is>
          <t>Realtime</t>
        </is>
      </c>
      <c r="Z37" s="64" t="inlineStr">
        <is>
          <t>bagian perekonomian</t>
        </is>
      </c>
      <c r="AA37" s="64" t="inlineStr">
        <is>
          <t>Setda</t>
        </is>
      </c>
      <c r="AB37" s="63" t="inlineStr">
        <is>
          <t>selly rossela</t>
        </is>
      </c>
      <c r="AC37" s="288" t="n"/>
      <c r="AD37" s="288" t="n"/>
      <c r="AE37" s="288" t="n"/>
      <c r="AF37" s="288" t="n"/>
      <c r="AG37" s="284" t="n"/>
      <c r="AH37" s="284" t="n"/>
      <c r="AI37" s="284" t="n"/>
      <c r="AJ37" s="284" t="n"/>
      <c r="AK37" s="284" t="n"/>
      <c r="AL37" s="284" t="n"/>
      <c r="AM37" s="284" t="n"/>
      <c r="AN37" s="284" t="n"/>
      <c r="AO37" s="284" t="n"/>
      <c r="AP37" s="284" t="n"/>
      <c r="AQ37" s="284" t="n"/>
      <c r="AR37" s="284" t="n"/>
    </row>
    <row r="38" hidden="1" s="346">
      <c r="A38" s="62" t="n">
        <v>36</v>
      </c>
      <c r="B38" s="63" t="inlineStr">
        <is>
          <t>Layanan realisasi pengendalian inflasi per triwulan</t>
        </is>
      </c>
      <c r="C38" s="63" t="inlineStr">
        <is>
          <t>1. Meningkatkan Efektivitas dan Efisiensi kerja Pimpinan.
 2. Mempermudah koordinasi eksternal.
 3. Transparansi dan akuntabilitas.
 4. Dokumentasi dan arsip digital.
 5. Mendukung pengambilan keputusan.
 6. Memudahkan akses dan mobilitas.</t>
        </is>
      </c>
      <c r="D38" s="63" t="inlineStr">
        <is>
          <t>keputusan bupati bandung nomor 500/KEP.671-Perek/2017 tentang pembentukan tim inflasi Daerah</t>
        </is>
      </c>
      <c r="E38" s="288" t="n"/>
      <c r="F38" s="64" t="inlineStr">
        <is>
          <t>PENINGKATAN KUALITAS REFORMASI BIROKRASI, PENGAWASAN, DAN AKUNTABILITAS KINERJA</t>
        </is>
      </c>
      <c r="G38" s="64" t="inlineStr">
        <is>
          <t>Instansi Pemerintah Lainnya</t>
        </is>
      </c>
      <c r="H38" s="64" t="inlineStr">
        <is>
          <t>laporan pertriwulan pengendalian inflasi daerah</t>
        </is>
      </c>
      <c r="I38" s="64" t="inlineStr">
        <is>
          <t>laporan pertriwulan pengendalian inflasi daerah</t>
        </is>
      </c>
      <c r="J38" s="64" t="inlineStr">
        <is>
          <t>Terbuka</t>
        </is>
      </c>
      <c r="K38" s="64" t="inlineStr">
        <is>
          <t>Tidak terdapat</t>
        </is>
      </c>
      <c r="L38" s="64" t="inlineStr">
        <is>
          <t>Bulanan</t>
        </is>
      </c>
      <c r="M38" s="64" t="inlineStr">
        <is>
          <t>TPIN</t>
        </is>
      </c>
      <c r="N38" s="64" t="inlineStr">
        <is>
          <t>Pusat</t>
        </is>
      </c>
      <c r="O38" s="64" t="inlineStr">
        <is>
          <t>Pusat</t>
        </is>
      </c>
      <c r="P38" s="64" t="inlineStr">
        <is>
          <t>Website</t>
        </is>
      </c>
      <c r="Q38" s="66" t="inlineStr">
        <is>
          <t>https://tpin.id/login</t>
        </is>
      </c>
      <c r="R38" s="288" t="n"/>
      <c r="S38" s="288" t="n"/>
      <c r="T38" s="288" t="n"/>
      <c r="U38" s="288" t="n"/>
      <c r="V38" s="288" t="n"/>
      <c r="W38" s="64" t="inlineStr">
        <is>
          <t>Tidak Terintegrasi</t>
        </is>
      </c>
      <c r="X38" s="288" t="n"/>
      <c r="Y38" s="288" t="n"/>
      <c r="Z38" s="64" t="inlineStr">
        <is>
          <t>bagian perekonomian</t>
        </is>
      </c>
      <c r="AA38" s="64" t="inlineStr">
        <is>
          <t>Setda</t>
        </is>
      </c>
      <c r="AB38" s="63" t="inlineStr">
        <is>
          <t>MUHAMAD IFAN HERMANTO, S.E</t>
        </is>
      </c>
      <c r="AC38" s="288" t="n"/>
      <c r="AD38" s="288" t="n"/>
      <c r="AE38" s="288" t="n"/>
      <c r="AF38" s="288" t="n"/>
      <c r="AG38" s="284" t="n"/>
      <c r="AH38" s="284" t="n"/>
      <c r="AI38" s="284" t="n"/>
      <c r="AJ38" s="284" t="n"/>
      <c r="AK38" s="284" t="n"/>
      <c r="AL38" s="284" t="n"/>
      <c r="AM38" s="284" t="n"/>
      <c r="AN38" s="284" t="n"/>
      <c r="AO38" s="284" t="n"/>
      <c r="AP38" s="284" t="n"/>
      <c r="AQ38" s="284" t="n"/>
      <c r="AR38" s="284" t="n"/>
    </row>
    <row r="39" hidden="1" s="346">
      <c r="A39" s="62" t="n">
        <v>37</v>
      </c>
      <c r="B39" s="63" t="inlineStr">
        <is>
          <t>Layanan laporan realisasi proram reformasi birokrasi di tiap bagian</t>
        </is>
      </c>
      <c r="C39" s="63" t="inlineStr">
        <is>
          <t>1. Meningkatkan Efektivitas dan Efisiensi kerja Pimpinan.
 2. Mempermudah koordinasi eksternal.
 3. Transparansi dan akuntabilitas.
 4. Dokumentasi dan arsip digital.
 5. Mendukung pengambilan keputusan.
 6. Memudahkan akses dan mobilitas.</t>
        </is>
      </c>
      <c r="D39" s="288" t="n"/>
      <c r="E39" s="288" t="n"/>
      <c r="F39" s="64" t="inlineStr">
        <is>
          <t>PENINGKATAN KUALITAS REFORMASI BIROKRASI, PENGAWASAN, DAN AKUNTABILITAS KINERJA</t>
        </is>
      </c>
      <c r="G39" s="64" t="inlineStr">
        <is>
          <t>Instansi Pemerintah Lainnya</t>
        </is>
      </c>
      <c r="H39" s="288" t="n"/>
      <c r="I39" s="288" t="n"/>
      <c r="J39" s="64" t="inlineStr">
        <is>
          <t>Terbuka</t>
        </is>
      </c>
      <c r="K39" s="64" t="inlineStr">
        <is>
          <t>Tidak terdapat</t>
        </is>
      </c>
      <c r="L39" s="64" t="inlineStr">
        <is>
          <t>Lainnya</t>
        </is>
      </c>
      <c r="M39" s="64" t="inlineStr">
        <is>
          <t>PORTALRB</t>
        </is>
      </c>
      <c r="N39" s="64" t="inlineStr">
        <is>
          <t>Pusat</t>
        </is>
      </c>
      <c r="O39" s="64" t="inlineStr">
        <is>
          <t>Pusat</t>
        </is>
      </c>
      <c r="P39" s="64" t="inlineStr">
        <is>
          <t>Website</t>
        </is>
      </c>
      <c r="Q39" s="66" t="inlineStr">
        <is>
          <t>https://www.portalrb.id/</t>
        </is>
      </c>
      <c r="R39" s="64" t="inlineStr">
        <is>
          <t>Secara Online</t>
        </is>
      </c>
      <c r="S39" s="64" t="inlineStr">
        <is>
          <t>Informasi</t>
        </is>
      </c>
      <c r="T39" s="288" t="n"/>
      <c r="U39" s="64" t="inlineStr">
        <is>
          <t>Aktif</t>
        </is>
      </c>
      <c r="V39" s="288" t="n"/>
      <c r="W39" s="64" t="inlineStr">
        <is>
          <t>Tidak Terintegrasi</t>
        </is>
      </c>
      <c r="X39" s="288" t="n"/>
      <c r="Y39" s="64" t="inlineStr">
        <is>
          <t>Realtime</t>
        </is>
      </c>
      <c r="Z39" s="64" t="inlineStr">
        <is>
          <t>bagian perekonomian</t>
        </is>
      </c>
      <c r="AA39" s="64" t="inlineStr">
        <is>
          <t>Setda</t>
        </is>
      </c>
      <c r="AB39" s="63" t="inlineStr">
        <is>
          <t>MUHAMAD IFAN HERMANTO, S.E</t>
        </is>
      </c>
      <c r="AC39" s="288" t="n"/>
      <c r="AD39" s="288" t="n"/>
      <c r="AE39" s="288" t="n"/>
      <c r="AF39" s="288" t="n"/>
      <c r="AG39" s="284" t="n"/>
      <c r="AH39" s="284" t="n"/>
      <c r="AI39" s="284" t="n"/>
      <c r="AJ39" s="284" t="n"/>
      <c r="AK39" s="284" t="n"/>
      <c r="AL39" s="284" t="n"/>
      <c r="AM39" s="284" t="n"/>
      <c r="AN39" s="284" t="n"/>
      <c r="AO39" s="284" t="n"/>
      <c r="AP39" s="284" t="n"/>
      <c r="AQ39" s="284" t="n"/>
      <c r="AR39" s="284" t="n"/>
    </row>
    <row r="40" hidden="1" s="346">
      <c r="A40" s="62" t="n">
        <v>38</v>
      </c>
      <c r="B40" s="63" t="inlineStr">
        <is>
          <t>Layanan analisis kebutuhan jabatan dan analisis beban kerja</t>
        </is>
      </c>
      <c r="C40" s="63" t="inlineStr">
        <is>
          <t>1. Meningkatkan Efektivitas dan Efisiensi kerja Pimpinan.
 2. Mempermudah koordinasi eksternal.
 3. Transparansi dan akuntabilitas.
 4. Dokumentasi dan arsip digital.
 5. Mendukung pengambilan keputusan.
 6. Memudahkan akses dan mobilitas.</t>
        </is>
      </c>
      <c r="D40" s="63" t="inlineStr">
        <is>
          <t>keputusan sekretaris daerah nomor 800/Kep.29-Umum/2022 tentang pembentukan tim penyusunan analisis jabatan (ANJAB)analisis beban kerja (ABK) evaluasi jabatan (EVJAB) dan standar kompetensi jabatan ASN pada sekretariat daerah kabupaten bandung</t>
        </is>
      </c>
      <c r="E40" s="288" t="n"/>
      <c r="F40" s="64" t="inlineStr">
        <is>
          <t>PENINGKATAN KUALITAS REFORMASI BIROKRASI, PENGAWASAN, DAN AKUNTABILITAS KINERJA</t>
        </is>
      </c>
      <c r="G40" s="64" t="inlineStr">
        <is>
          <t>Pegawai</t>
        </is>
      </c>
      <c r="H40" s="64" t="inlineStr">
        <is>
          <t>hasil analisis jabatan, beban kinerja dan evaluasi jabatan</t>
        </is>
      </c>
      <c r="I40" s="64" t="inlineStr">
        <is>
          <t>hasil analisis jabatan, beban kinerja dan evaluasi jabatan</t>
        </is>
      </c>
      <c r="J40" s="64" t="inlineStr">
        <is>
          <t>Terbuka</t>
        </is>
      </c>
      <c r="K40" s="64" t="inlineStr">
        <is>
          <t>Tidak terdapat</t>
        </is>
      </c>
      <c r="L40" s="64" t="inlineStr">
        <is>
          <t>Lainnya</t>
        </is>
      </c>
      <c r="M40" s="64" t="inlineStr">
        <is>
          <t>BISAKERJA</t>
        </is>
      </c>
      <c r="N40" s="64" t="inlineStr">
        <is>
          <t>OPD</t>
        </is>
      </c>
      <c r="O40" s="64" t="inlineStr">
        <is>
          <t>Kab. Bandung</t>
        </is>
      </c>
      <c r="P40" s="64" t="inlineStr">
        <is>
          <t>Website</t>
        </is>
      </c>
      <c r="Q40" s="66" t="inlineStr">
        <is>
          <t>https://bisakerja.bandungkab.go.id/login</t>
        </is>
      </c>
      <c r="R40" s="64" t="inlineStr">
        <is>
          <t>Secara Online</t>
        </is>
      </c>
      <c r="S40" s="64" t="inlineStr">
        <is>
          <t>Informasi</t>
        </is>
      </c>
      <c r="T40" s="288" t="n"/>
      <c r="U40" s="64" t="inlineStr">
        <is>
          <t>Aktif</t>
        </is>
      </c>
      <c r="V40" s="288" t="n"/>
      <c r="W40" s="64" t="inlineStr">
        <is>
          <t>Tidak Terintegrasi</t>
        </is>
      </c>
      <c r="X40" s="288" t="n"/>
      <c r="Y40" s="64" t="inlineStr">
        <is>
          <t>Realtime</t>
        </is>
      </c>
      <c r="Z40" s="64" t="inlineStr">
        <is>
          <t>bagian perekonomian</t>
        </is>
      </c>
      <c r="AA40" s="64" t="inlineStr">
        <is>
          <t>Setda</t>
        </is>
      </c>
      <c r="AB40" s="63" t="inlineStr">
        <is>
          <t>LIES BETTY HIDAYANTI, SE</t>
        </is>
      </c>
      <c r="AC40" s="288" t="n"/>
      <c r="AD40" s="288" t="n"/>
      <c r="AE40" s="288" t="n"/>
      <c r="AF40" s="288" t="n"/>
      <c r="AG40" s="284" t="n"/>
      <c r="AH40" s="284" t="n"/>
      <c r="AI40" s="284" t="n"/>
      <c r="AJ40" s="284" t="n"/>
      <c r="AK40" s="284" t="n"/>
      <c r="AL40" s="284" t="n"/>
      <c r="AM40" s="284" t="n"/>
      <c r="AN40" s="284" t="n"/>
      <c r="AO40" s="284" t="n"/>
      <c r="AP40" s="284" t="n"/>
      <c r="AQ40" s="284" t="n"/>
      <c r="AR40" s="284" t="n"/>
    </row>
    <row r="41" hidden="1" s="346">
      <c r="A41" s="62" t="n">
        <v>39</v>
      </c>
      <c r="B41" s="63" t="inlineStr">
        <is>
          <t>Layanan Laporan Keuangan BUMD</t>
        </is>
      </c>
      <c r="C41" s="63" t="inlineStr">
        <is>
          <t>1. Meningkatkan Efektivitas dan Efisiensi kerja Pimpinan.
 2. Mempermudah koordinasi eksternal.
 3. Transparansi dan akuntabilitas.
 4. Dokumentasi dan arsip digital.
 5. Mendukung pengambilan keputusan.
 6. Memudahkan akses dan mobilitas.</t>
        </is>
      </c>
      <c r="D41" s="89" t="inlineStr">
        <is>
          <t>Peraturan Pemerintah Nomor 54 Tahun 2017 tentang Badan Usaha Milik Daerah (BUMD)</t>
        </is>
      </c>
      <c r="E41" s="288" t="n"/>
      <c r="F41" s="64" t="inlineStr">
        <is>
          <t>PENINGKATAN KUALITAS REFORMASI BIROKRASI, PENGAWASAN, DAN AKUNTABILITAS KINERJA</t>
        </is>
      </c>
      <c r="G41" s="64" t="inlineStr">
        <is>
          <t>Instansi Pemerintah Lainnya</t>
        </is>
      </c>
      <c r="H41" s="64" t="inlineStr">
        <is>
          <t>Laporan Keuangan BUMD</t>
        </is>
      </c>
      <c r="I41" s="64" t="inlineStr">
        <is>
          <t>Laporan Keuangan BUMD</t>
        </is>
      </c>
      <c r="J41" s="64" t="inlineStr">
        <is>
          <t>Terbatas</t>
        </is>
      </c>
      <c r="K41" s="64" t="inlineStr">
        <is>
          <t>Tidak terdapat</t>
        </is>
      </c>
      <c r="L41" s="64" t="inlineStr">
        <is>
          <t>Bulanan</t>
        </is>
      </c>
      <c r="M41" s="64" t="inlineStr">
        <is>
          <t>e-BUMD</t>
        </is>
      </c>
      <c r="N41" s="64" t="inlineStr">
        <is>
          <t>Pusat</t>
        </is>
      </c>
      <c r="O41" s="64" t="inlineStr">
        <is>
          <t>Pusat</t>
        </is>
      </c>
      <c r="P41" s="64" t="inlineStr">
        <is>
          <t>Website</t>
        </is>
      </c>
      <c r="Q41" s="66" t="inlineStr">
        <is>
          <t>http://e-bumd.com//dashboard</t>
        </is>
      </c>
      <c r="R41" s="64" t="inlineStr">
        <is>
          <t>Secara Online</t>
        </is>
      </c>
      <c r="S41" s="64" t="inlineStr">
        <is>
          <t>Informasi</t>
        </is>
      </c>
      <c r="T41" s="288" t="n"/>
      <c r="U41" s="64" t="inlineStr">
        <is>
          <t>Aktif</t>
        </is>
      </c>
      <c r="V41" s="64" t="inlineStr">
        <is>
          <t>Tidak</t>
        </is>
      </c>
      <c r="W41" s="64" t="inlineStr">
        <is>
          <t>Tidak Terintegrasi</t>
        </is>
      </c>
      <c r="X41" s="288" t="n"/>
      <c r="Y41" s="64" t="inlineStr">
        <is>
          <t>Bulanan</t>
        </is>
      </c>
      <c r="Z41" s="64" t="inlineStr">
        <is>
          <t>bagian perekonomian</t>
        </is>
      </c>
      <c r="AA41" s="64" t="inlineStr">
        <is>
          <t>Setda</t>
        </is>
      </c>
      <c r="AB41" s="63" t="inlineStr">
        <is>
          <t>ROBBY IRAWAN, S.Sos</t>
        </is>
      </c>
      <c r="AC41" s="288" t="n"/>
      <c r="AD41" s="288" t="n"/>
      <c r="AE41" s="288" t="n"/>
      <c r="AF41" s="288" t="n"/>
      <c r="AG41" s="284" t="n"/>
      <c r="AH41" s="284" t="n"/>
      <c r="AI41" s="284" t="n"/>
      <c r="AJ41" s="284" t="n"/>
      <c r="AK41" s="284" t="n"/>
      <c r="AL41" s="284" t="n"/>
      <c r="AM41" s="284" t="n"/>
      <c r="AN41" s="284" t="n"/>
      <c r="AO41" s="284" t="n"/>
      <c r="AP41" s="284" t="n"/>
      <c r="AQ41" s="284" t="n"/>
      <c r="AR41" s="284" t="n"/>
    </row>
    <row r="42" hidden="1" s="346">
      <c r="A42" s="62" t="n">
        <v>40</v>
      </c>
      <c r="B42" s="63" t="inlineStr">
        <is>
          <t>Layanan Administrasi Pembangunan</t>
        </is>
      </c>
      <c r="C42" s="63" t="inlineStr">
        <is>
          <t>Membantu memfasilitasi perangkat daerah dalam informasi yang berkaitan dengan kegiatan pembangunan fisik/non fisik di lingkup Pemerintah Daerah Kabupaten Bandung yang bertujuan untuk mendorong terciptanya mekanisme informasi pembangunan yang berkualitas dan tertib administrasi</t>
        </is>
      </c>
      <c r="D42" s="63" t="inlineStr">
        <is>
          <t>PP No. 26 Tahun 2006 Tentang Tata Cara Pengendalian dan Evaluasi Pelaksanaan Rencana Pembangunan; PP No. 38 Tahun 2019 Tantang Inovasi Daerah; Perpres No. 95 Tahun 2018 Tentang Sistem Pemerintahan Berbasis Elektronik; Peraturan Bupati No 281 Tahun 2023 Tentang Penerapan Inovasi Berupa Pelaksanaan Monitoring Kegiatan Pembangunan Daerah Melalui Sistem Informasi Manajemen Administrasi Pembangunan; Peraturan Bupati No. 281 Tahun 2023 Tentang Penerapan Inovasi Berupa Pelaksanaan Monitoring Kegiatan Pembangunan Daerah Melalui Sistem Informasi Manajemen Administrasi Pembangunan; Keputusan Bupati Bandung No. 500.12/KEP.754-ADBANG/2024 Tentang Penetapan Pengelola Sistem Informasi Manajemen Administrasi Pembangunan Kabupaten Bandung.</t>
        </is>
      </c>
      <c r="E42" s="66" t="inlineStr">
        <is>
          <t>SOP Simbangun: https://drive.google.com/drive/folders/1uT9c4NGjI41uZyGgKpyquckLoM2rSaQa?usp=sharing</t>
        </is>
      </c>
      <c r="F42" s="64" t="inlineStr">
        <is>
          <t>PENINGKATAN KUALITAS PELAYANAN PUBLIK</t>
        </is>
      </c>
      <c r="G42" s="64" t="inlineStr">
        <is>
          <t>Instansi Pemerintah Lainnya</t>
        </is>
      </c>
      <c r="H42" s="64" t="inlineStr">
        <is>
          <t>Data Tenaga Ahli, Data Tenaga Terampil, Data Badan Usaha, Data Quarry, Data Lab. Uji Konstruksi, Data Sewa Alat, Data Paket Pekerjaan, Data Progres Paket Pekerjaan, BPJS</t>
        </is>
      </c>
      <c r="I42" s="64" t="inlineStr">
        <is>
          <t>Kurva-S, Diagram Rekap Data, Tagging Kordinat Lokasi dan Dokumentasi</t>
        </is>
      </c>
      <c r="J42" s="64" t="inlineStr">
        <is>
          <t>Terbatas</t>
        </is>
      </c>
      <c r="K42" s="64" t="inlineStr">
        <is>
          <t>Tidak terdapat</t>
        </is>
      </c>
      <c r="L42" s="64" t="inlineStr">
        <is>
          <t>Lainnya</t>
        </is>
      </c>
      <c r="M42" s="64" t="inlineStr">
        <is>
          <t>SIMBANGUN</t>
        </is>
      </c>
      <c r="N42" s="64" t="inlineStr">
        <is>
          <t>Pihak Ke 3</t>
        </is>
      </c>
      <c r="O42" s="64" t="inlineStr">
        <is>
          <t>Kab. Bandung</t>
        </is>
      </c>
      <c r="P42" s="64" t="inlineStr">
        <is>
          <t>Website</t>
        </is>
      </c>
      <c r="Q42" s="66" t="inlineStr">
        <is>
          <t>https://simbangun.bandungkab.go.id</t>
        </is>
      </c>
      <c r="R42" s="64" t="inlineStr">
        <is>
          <t>Secara Online</t>
        </is>
      </c>
      <c r="S42" s="64" t="inlineStr">
        <is>
          <t>Informasi</t>
        </is>
      </c>
      <c r="T42" s="64" t="n">
        <v>2022</v>
      </c>
      <c r="U42" s="64" t="inlineStr">
        <is>
          <t>Aktif</t>
        </is>
      </c>
      <c r="V42" s="64" t="inlineStr">
        <is>
          <t>Tidak</t>
        </is>
      </c>
      <c r="W42" s="64" t="inlineStr">
        <is>
          <t>Link ke Amel, sireka</t>
        </is>
      </c>
      <c r="X42" s="64" t="inlineStr">
        <is>
          <t>Tidak Terintegrasi</t>
        </is>
      </c>
      <c r="Y42" s="64" t="inlineStr">
        <is>
          <t>Realtime</t>
        </is>
      </c>
      <c r="Z42" s="64" t="inlineStr">
        <is>
          <t>Bagian Administrasi Pembangunan</t>
        </is>
      </c>
      <c r="AA42" s="64" t="inlineStr">
        <is>
          <t>Setda</t>
        </is>
      </c>
      <c r="AB42" s="63" t="inlineStr">
        <is>
          <t>Wawan Purwanto, ST.</t>
        </is>
      </c>
      <c r="AC42" s="63" t="n">
        <v>8122233244</v>
      </c>
      <c r="AD42" s="63" t="inlineStr">
        <is>
          <t>wawan.purwanto3@gmail.com</t>
        </is>
      </c>
      <c r="AE42" s="67" t="inlineStr">
        <is>
          <t>-</t>
        </is>
      </c>
      <c r="AF42" s="68" t="inlineStr">
        <is>
          <t>Harian</t>
        </is>
      </c>
      <c r="AG42" s="91" t="inlineStr">
        <is>
          <t>OPD, Kecamatan</t>
        </is>
      </c>
      <c r="AH42" s="92" t="n"/>
      <c r="AI42" s="92" t="n"/>
      <c r="AJ42" s="92" t="n"/>
      <c r="AK42" s="92" t="n"/>
      <c r="AL42" s="92" t="n"/>
      <c r="AM42" s="92" t="n"/>
      <c r="AN42" s="92" t="n"/>
      <c r="AO42" s="92" t="n"/>
      <c r="AP42" s="92" t="n"/>
      <c r="AQ42" s="92" t="n"/>
      <c r="AR42" s="284" t="n"/>
    </row>
    <row r="43" hidden="1" s="346">
      <c r="A43" s="62" t="n">
        <v>41</v>
      </c>
      <c r="B43" s="67" t="inlineStr">
        <is>
          <t>Layanan Evaluasi Pelaporan Program Pembangunan</t>
        </is>
      </c>
      <c r="C43" s="67" t="inlineStr">
        <is>
          <t>Untuk mengevaluasi pencapaian hasil dari program pembangunan yang telah dilaksanakan. Ini melibatkan analisis terhadap kinerja program, dampak terhadap masyarakat, efisiensi penggunaan sumber daya, dan ketaatan terhadap peraturan.</t>
        </is>
      </c>
      <c r="D43" s="63" t="inlineStr">
        <is>
          <t>Peraturan Pemerintah Nomor 13
 Tahun 2019 dan Peraturan Menteri Dalam Negeri No. 18 Tahun 2020</t>
        </is>
      </c>
      <c r="E43" s="288" t="n"/>
      <c r="F43" s="67" t="inlineStr">
        <is>
          <t>PENINGKATAN KUALITAS PELAYANAN PUBLIK</t>
        </is>
      </c>
      <c r="G43" s="67" t="inlineStr">
        <is>
          <t>Instansi Pemerintah Lainnya</t>
        </is>
      </c>
      <c r="H43" s="67" t="inlineStr">
        <is>
          <t>Data Evaluasi Program Pembangunan</t>
        </is>
      </c>
      <c r="I43" s="67" t="inlineStr">
        <is>
          <t>LKPJ, Tugas Perbantuan, DAK</t>
        </is>
      </c>
      <c r="J43" s="67" t="inlineStr">
        <is>
          <t>Terbatas</t>
        </is>
      </c>
      <c r="K43" s="67" t="inlineStr">
        <is>
          <t>Tidak terdapat</t>
        </is>
      </c>
      <c r="L43" s="67" t="inlineStr">
        <is>
          <t>Tahunan</t>
        </is>
      </c>
      <c r="M43" s="68" t="inlineStr">
        <is>
          <t>e-LKPJ</t>
        </is>
      </c>
      <c r="N43" s="67" t="inlineStr">
        <is>
          <t>Pihak Ke 3</t>
        </is>
      </c>
      <c r="O43" s="67" t="inlineStr">
        <is>
          <t>Pihak Ke 3 (Lisensi)</t>
        </is>
      </c>
      <c r="P43" s="67" t="inlineStr">
        <is>
          <t>Website</t>
        </is>
      </c>
      <c r="Q43" s="75" t="inlineStr">
        <is>
          <t>https://e-lkpj.id/login</t>
        </is>
      </c>
      <c r="R43" s="67" t="inlineStr">
        <is>
          <t>Secara Online</t>
        </is>
      </c>
      <c r="S43" s="67" t="inlineStr">
        <is>
          <t>Informasi</t>
        </is>
      </c>
      <c r="T43" s="68" t="n">
        <v>2020</v>
      </c>
      <c r="U43" s="67" t="inlineStr">
        <is>
          <t>Aktif</t>
        </is>
      </c>
      <c r="V43" s="67" t="inlineStr">
        <is>
          <t>Tidak</t>
        </is>
      </c>
      <c r="W43" s="184" t="inlineStr">
        <is>
          <t>Tidak Terintegrasi</t>
        </is>
      </c>
      <c r="X43" s="67" t="inlineStr">
        <is>
          <t>Tidak Terintegrasi</t>
        </is>
      </c>
      <c r="Y43" s="67" t="inlineStr">
        <is>
          <t>Tidak Terintegrasi</t>
        </is>
      </c>
      <c r="Z43" s="64" t="inlineStr">
        <is>
          <t>Bagian Administrasi Pembangunan</t>
        </is>
      </c>
      <c r="AA43" s="68" t="inlineStr">
        <is>
          <t>Setda</t>
        </is>
      </c>
      <c r="AB43" s="63" t="inlineStr">
        <is>
          <t>Wawan Purwanto, ST.</t>
        </is>
      </c>
      <c r="AC43" s="63" t="n">
        <v>8122233244</v>
      </c>
      <c r="AD43" s="63" t="inlineStr">
        <is>
          <t>wawan.purwanto3@gmail.com</t>
        </is>
      </c>
      <c r="AE43" s="67" t="inlineStr">
        <is>
          <t>-</t>
        </is>
      </c>
      <c r="AF43" s="68" t="inlineStr">
        <is>
          <t>Tahunan</t>
        </is>
      </c>
      <c r="AG43" s="91" t="inlineStr">
        <is>
          <t>OPD</t>
        </is>
      </c>
      <c r="AH43" s="92" t="n"/>
      <c r="AI43" s="92" t="n"/>
      <c r="AJ43" s="92" t="n"/>
      <c r="AK43" s="92" t="n"/>
      <c r="AL43" s="92" t="n"/>
      <c r="AM43" s="92" t="n"/>
      <c r="AN43" s="92" t="n"/>
      <c r="AO43" s="92" t="n"/>
      <c r="AP43" s="92" t="n"/>
      <c r="AQ43" s="92" t="n"/>
      <c r="AR43" s="284" t="n"/>
    </row>
    <row r="44" hidden="1" s="346">
      <c r="A44" s="62" t="n">
        <v>42</v>
      </c>
      <c r="B44" s="63" t="inlineStr">
        <is>
          <t>Layanan Pengadaaan Barang dan Jasa</t>
        </is>
      </c>
      <c r="C44" s="63" t="inlineStr">
        <is>
          <t>meningkatkan kualitas layanan,
 kapasitas dan keamanan informasi dalam
 penyelenggaraan layanan pengadaan Barang/Jasa
 secara elektronik dan memfasilitasi pelaksanaan Pengadaan Barang/Jasa secara elektronik</t>
        </is>
      </c>
      <c r="D44" s="63" t="inlineStr">
        <is>
          <t>Perpres Nomor 46 Tahun 2025 tentang Perubahan Kedua atas Peraturan Presiden Nomor 16 Tahun 2018 tentang Pengadaan Barang/Jasa Pemerintah</t>
        </is>
      </c>
      <c r="E44" s="66" t="inlineStr">
        <is>
          <t>https://drive.google.com/file/d/1bfEasna0yACDkjKfdw6Q1Zy2Ku88gtKx/view?usp=sharing</t>
        </is>
      </c>
      <c r="F44" s="64" t="inlineStr">
        <is>
          <t>PENINGKATAN KUALITAS PELAYANAN PUBLIK</t>
        </is>
      </c>
      <c r="G44" s="64" t="inlineStr">
        <is>
          <t>Pelaku Bisnis</t>
        </is>
      </c>
      <c r="H44" s="64" t="inlineStr">
        <is>
          <t>Proses Pengadaan Barang/Jasa Tender dan Non Tender, Akun PA/KPA, PPK dan Penyedia</t>
        </is>
      </c>
      <c r="I44" s="64" t="inlineStr">
        <is>
          <t>Data Pengadaan Barang/Jasa yang dilaksakan secara Tender dan Non Tender</t>
        </is>
      </c>
      <c r="J44" s="64" t="inlineStr">
        <is>
          <t>Terbuka</t>
        </is>
      </c>
      <c r="K44" s="64" t="inlineStr">
        <is>
          <t>Tidak terdapat</t>
        </is>
      </c>
      <c r="L44" s="64" t="inlineStr">
        <is>
          <t>Lainnya</t>
        </is>
      </c>
      <c r="M44" s="64" t="inlineStr">
        <is>
          <t>SPSE</t>
        </is>
      </c>
      <c r="N44" s="64" t="inlineStr">
        <is>
          <t>Pusat</t>
        </is>
      </c>
      <c r="O44" s="64" t="inlineStr">
        <is>
          <t>Pusat</t>
        </is>
      </c>
      <c r="P44" s="64" t="inlineStr">
        <is>
          <t>Website</t>
        </is>
      </c>
      <c r="Q44" s="66" t="inlineStr">
        <is>
          <t>https://spse.inaproc.id/bandungkab</t>
        </is>
      </c>
      <c r="R44" s="64" t="inlineStr">
        <is>
          <t>Secara Online</t>
        </is>
      </c>
      <c r="S44" s="64" t="inlineStr">
        <is>
          <t>Informasi</t>
        </is>
      </c>
      <c r="T44" s="64" t="n">
        <v>2013</v>
      </c>
      <c r="U44" s="64" t="inlineStr">
        <is>
          <t>Aktif</t>
        </is>
      </c>
      <c r="V44" s="64" t="inlineStr">
        <is>
          <t>Tidak</t>
        </is>
      </c>
      <c r="W44" s="64" t="inlineStr">
        <is>
          <t>Tidak Terintegrasi</t>
        </is>
      </c>
      <c r="X44" s="64" t="inlineStr">
        <is>
          <t>Tidak Terintegrasi</t>
        </is>
      </c>
      <c r="Y44" s="64" t="inlineStr">
        <is>
          <t>Tidak Terintegrasi</t>
        </is>
      </c>
      <c r="Z44" s="64" t="inlineStr">
        <is>
          <t>Bagian Pengadaan Barang/Jasa</t>
        </is>
      </c>
      <c r="AA44" s="64" t="inlineStr">
        <is>
          <t>Setda</t>
        </is>
      </c>
      <c r="AB44" s="63" t="inlineStr">
        <is>
          <t>Ana Suryana, ST., MM.</t>
        </is>
      </c>
      <c r="AC44" s="63" t="n">
        <v>85220648981</v>
      </c>
      <c r="AD44" s="63" t="inlineStr">
        <is>
          <t>helpdesk.bandung.kab@gmail.com</t>
        </is>
      </c>
      <c r="AE44" s="200" t="n"/>
      <c r="AF44" s="68" t="inlineStr">
        <is>
          <t>Tahunan</t>
        </is>
      </c>
      <c r="AG44" s="284" t="n"/>
      <c r="AH44" s="284" t="n"/>
      <c r="AI44" s="284" t="n"/>
      <c r="AJ44" s="284" t="n"/>
      <c r="AK44" s="284" t="n"/>
      <c r="AL44" s="284" t="n"/>
      <c r="AM44" s="284" t="n"/>
      <c r="AN44" s="284" t="n"/>
      <c r="AO44" s="284" t="n"/>
      <c r="AP44" s="284" t="n"/>
      <c r="AQ44" s="284" t="n"/>
      <c r="AR44" s="284" t="n"/>
    </row>
    <row r="45" hidden="1" s="346">
      <c r="A45" s="62" t="n">
        <v>43</v>
      </c>
      <c r="B45" s="63" t="inlineStr">
        <is>
          <t>Layanan Satgas Percepatan Penyelenggaraan MBG Kabupaten Bandung</t>
        </is>
      </c>
      <c r="C45" s="63" t="inlineStr">
        <is>
          <t>1. Mengatur, mendokumentasikan, dan menyimpan seluruh dokumen 
 administrasi yang berkaitan dengan pelaksanaan program, seperti 
 notulen rapat, surat-menyurat, laporan, dan arsip lainnya;
 2. Memfasilitasi komunikasi dan koordinasi antar anggota Satuan 
 Tugas serta dengan pihak-pihak terkait lainnya agar informasi 
 tersampaikan dengan baik dan tepat waktu;
 3. Menyusun dan mengatur jadwal rapat, kunjungan lapangan, dan 
 kegiatan Satuan Tugas lainnya, serta memastikan pelaksanaan 
 kegiatan sesuai dengan jadwal yang ditetapkan;
 4. Membantu dalam penyusunan laporan pelaksanaan program, yang 
 akan disampaikan kepada pembina atau pengarah;
 5. Menyiapkan agenda rapat, mengundang peserta rapat, menyiapkan 
 bahan rapat, dan mencatat hasil rapat sebagai bahan tindak lanjut;
 6. Menjaga dan mengelola arsip data program makan siang bergizi 
 gratis untuk memudahkan akses informasi dan dokumentasi yang 
 dibutuhkan Satuan Tugas; dan
 7. Membantu dalam pengumpulan dan pendataan kebutuhan, 
 capaian, dan kendala pelaksanaan program makan siang bergizi 
 gratis.</t>
        </is>
      </c>
      <c r="D45" s="67" t="inlineStr">
        <is>
          <t>KEPUTUSAN BUPATI BANDUNG NOMOR : 000.8.1.1/KEP.465-HUK/2025 PEMBENTUKAN SATUAN TUGAS PERCEPATAN PENYELENGGARAAN 
 PROGRAM MAKAN SIANG BERGIZI GRATIS KABUPATEN BANDUNG</t>
        </is>
      </c>
      <c r="E45" s="288" t="n"/>
      <c r="F45" s="64" t="inlineStr">
        <is>
          <t>PENGENDALIAN PROGRAM PRIORITAS NASIONAL</t>
        </is>
      </c>
      <c r="G45" s="64" t="inlineStr">
        <is>
          <t>Instansi Pemerintah Lainnya</t>
        </is>
      </c>
      <c r="H45" s="64" t="inlineStr">
        <is>
          <t>Data Koordinasi dan Fasilitasi Pelaksanaan Program Pemerintah Daerah</t>
        </is>
      </c>
      <c r="I45" s="63" t="inlineStr">
        <is>
          <t>SK Pembentukan Satgas MBG Kabupaten BandungDokumen rencana kerja / rencana aksi percepatan penyelenggaraan MBG, Notulen atau berita acara rapat koordinasi Satgas MBG, Laporan pelaksanaan kegiatan Satgas, Laporan monitoring dan evaluasi pelaksanaan MBG, Rekomendasi kebijakan atau tindak lanjut percepatan MBG dan Data progres pelaksanaan program MBG di Kabupaten Bandung</t>
        </is>
      </c>
      <c r="J45" s="64" t="inlineStr">
        <is>
          <t>Terbuka</t>
        </is>
      </c>
      <c r="K45" s="64" t="inlineStr">
        <is>
          <t>Tidak terdapat</t>
        </is>
      </c>
      <c r="L45" s="64" t="inlineStr">
        <is>
          <t>Mingguan</t>
        </is>
      </c>
      <c r="M45" s="64" t="inlineStr">
        <is>
          <t>Dashboard Satgas MBG</t>
        </is>
      </c>
      <c r="N45" s="64" t="inlineStr">
        <is>
          <t>Diskominfo</t>
        </is>
      </c>
      <c r="O45" s="64" t="inlineStr">
        <is>
          <t>Kab. Bandung</t>
        </is>
      </c>
      <c r="P45" s="64" t="inlineStr">
        <is>
          <t>Website dan Mobile</t>
        </is>
      </c>
      <c r="Q45" s="66" t="inlineStr">
        <is>
          <t>https://aplikasi.bandungkab.go.id/publik/dashboard-pendataan-profil-sppg-aktif-untuk-satgas-mbg</t>
        </is>
      </c>
      <c r="R45" s="64" t="inlineStr">
        <is>
          <t>Secara Online</t>
        </is>
      </c>
      <c r="S45" s="64" t="inlineStr">
        <is>
          <t>Informasi</t>
        </is>
      </c>
      <c r="T45" s="77" t="n">
        <v>2025</v>
      </c>
      <c r="U45" s="64" t="inlineStr">
        <is>
          <t>Aktif</t>
        </is>
      </c>
      <c r="V45" s="64" t="inlineStr">
        <is>
          <t>Tidak</t>
        </is>
      </c>
      <c r="W45" s="64" t="inlineStr">
        <is>
          <t>Terintegrasi (Dashboard Pimpinan)</t>
        </is>
      </c>
      <c r="X45" s="67" t="inlineStr">
        <is>
          <t>Database to Database</t>
        </is>
      </c>
      <c r="Y45" s="64" t="inlineStr">
        <is>
          <t>Realtime</t>
        </is>
      </c>
      <c r="Z45" s="64" t="inlineStr">
        <is>
          <t>bagian SDA</t>
        </is>
      </c>
      <c r="AA45" s="64" t="inlineStr">
        <is>
          <t>Setda, Inspektorat, Disdik, Dinkes, DPUTR</t>
        </is>
      </c>
      <c r="AB45" s="66" t="inlineStr">
        <is>
          <t>RUSLI BAIJURI,AP.M.KP</t>
        </is>
      </c>
      <c r="AC45" s="288" t="n"/>
      <c r="AD45" s="67" t="inlineStr">
        <is>
          <t>bagsdasetdakabbandung@gmail.com</t>
        </is>
      </c>
      <c r="AE45" s="76" t="inlineStr">
        <is>
          <t>Prioritas Nasional</t>
        </is>
      </c>
      <c r="AF45" s="68" t="inlineStr">
        <is>
          <t>Harian</t>
        </is>
      </c>
      <c r="AG45" s="216" t="inlineStr">
        <is>
          <t>Desa, Kecamatan &amp; Kabupaten</t>
        </is>
      </c>
      <c r="AJ45" s="92" t="n"/>
      <c r="AK45" s="92" t="n"/>
      <c r="AL45" s="92" t="n"/>
      <c r="AM45" s="92" t="n"/>
      <c r="AN45" s="92" t="n"/>
      <c r="AO45" s="92" t="n"/>
      <c r="AP45" s="92" t="n"/>
      <c r="AQ45" s="92" t="n"/>
      <c r="AR45" s="284" t="n"/>
    </row>
    <row r="46" hidden="1" s="346">
      <c r="A46" s="62" t="n">
        <v>44</v>
      </c>
      <c r="B46" s="63" t="inlineStr">
        <is>
          <t>Layanan penginputan rencana kerja anggaran, laporan hasil kegiatan dan realisasi DBHCHT</t>
        </is>
      </c>
      <c r="C46" s="63" t="inlineStr">
        <is>
          <t>Meningkatkan kualitas produk hukum agar sesuai tujuan seperti kepastian hukum, manfaat, dan keadilan bagi pemangku kepentingan</t>
        </is>
      </c>
      <c r="D46" s="67" t="inlineStr">
        <is>
          <t>KEPUTUSAN BUPATI BANDUNG NOMOR : 900.1.14.3/KEP.657-PEREK/2025 PENETAPAN PAGU ALOKASI DANA BAGI HASIL CUKAI HASIL TEMBAKAU
 BAGIAN PEMERINTAH KABUPATEN BANDUNG TAHUN ANGGARAN 2026</t>
        </is>
      </c>
      <c r="E46" s="288" t="n"/>
      <c r="F46" s="64" t="inlineStr">
        <is>
          <t>PENINGKATAN KUALITAS REFORMASI BIROKRASI, PENGAWASAN, DAN AKUNTABILITAS KINERJA</t>
        </is>
      </c>
      <c r="G46" s="64" t="inlineStr">
        <is>
          <t>Instansi Pemerintah Lainnya</t>
        </is>
      </c>
      <c r="H46" s="64" t="inlineStr">
        <is>
          <t>realisasi dan laporan hasil kegiatan DBHCHT</t>
        </is>
      </c>
      <c r="I46" s="64" t="inlineStr">
        <is>
          <t>realisasi dan laporan hasil kegiatan DBHCHT</t>
        </is>
      </c>
      <c r="J46" s="64" t="inlineStr">
        <is>
          <t>Terbuka</t>
        </is>
      </c>
      <c r="K46" s="64" t="inlineStr">
        <is>
          <t>Tidak terdapat</t>
        </is>
      </c>
      <c r="L46" s="64" t="inlineStr">
        <is>
          <t>Bulanan</t>
        </is>
      </c>
      <c r="M46" s="64" t="inlineStr">
        <is>
          <t>e-DBHCHT</t>
        </is>
      </c>
      <c r="N46" s="64" t="inlineStr">
        <is>
          <t>Provinsi</t>
        </is>
      </c>
      <c r="O46" s="64" t="inlineStr">
        <is>
          <t>Provinsi</t>
        </is>
      </c>
      <c r="P46" s="64" t="inlineStr">
        <is>
          <t>Website</t>
        </is>
      </c>
      <c r="Q46" s="66" t="inlineStr">
        <is>
          <t>https://www.appsheet.com/Account/Login?appName=DBHCHT%20App&amp;FullScope=False&amp;provider=google&amp;returnUrl=https%3A%2F%2Fwww.appsheet.com%2Fstart%2F93891b63-df85-4aa1-a7bf-d007dfa96cf8%3Fplatform%3Ddesktop#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t>
        </is>
      </c>
      <c r="R46" s="64" t="inlineStr">
        <is>
          <t>Secara Online</t>
        </is>
      </c>
      <c r="S46" s="64" t="inlineStr">
        <is>
          <t>Informasi</t>
        </is>
      </c>
      <c r="T46" s="67" t="inlineStr">
        <is>
          <t>-</t>
        </is>
      </c>
      <c r="U46" s="64" t="inlineStr">
        <is>
          <t>Aktif</t>
        </is>
      </c>
      <c r="V46" s="64" t="inlineStr">
        <is>
          <t>Tidak</t>
        </is>
      </c>
      <c r="W46" s="64" t="inlineStr">
        <is>
          <t>Tidak Terintegrasi</t>
        </is>
      </c>
      <c r="X46" s="67" t="inlineStr">
        <is>
          <t>Manual</t>
        </is>
      </c>
      <c r="Y46" s="64" t="inlineStr">
        <is>
          <t>Realtime</t>
        </is>
      </c>
      <c r="Z46" s="64" t="inlineStr">
        <is>
          <t>bagian SDA</t>
        </is>
      </c>
      <c r="AA46" s="64" t="inlineStr">
        <is>
          <t>Setda, Dinkes, Disnaker, Dinsos, Disperdagin, Distan, Satpol PP</t>
        </is>
      </c>
      <c r="AB46" s="66" t="inlineStr">
        <is>
          <t>RUSLI BAIJURI,AP.M.KP</t>
        </is>
      </c>
      <c r="AC46" s="288" t="n"/>
      <c r="AD46" s="67" t="inlineStr">
        <is>
          <t>bagsdasetdakabbandung@gmail.com</t>
        </is>
      </c>
      <c r="AE46" s="288" t="n"/>
      <c r="AF46" s="288" t="n"/>
      <c r="AG46" s="284" t="n"/>
      <c r="AH46" s="284" t="n"/>
      <c r="AI46" s="284" t="n"/>
      <c r="AJ46" s="284" t="n"/>
      <c r="AK46" s="284" t="n"/>
      <c r="AL46" s="284" t="n"/>
      <c r="AM46" s="284" t="n"/>
      <c r="AN46" s="284" t="n"/>
      <c r="AO46" s="284" t="n"/>
      <c r="AP46" s="284" t="n"/>
      <c r="AQ46" s="284" t="n"/>
      <c r="AR46" s="284" t="n"/>
    </row>
    <row r="47" hidden="1" s="346">
      <c r="A47" s="62" t="n">
        <v>45</v>
      </c>
      <c r="B47" s="178" t="inlineStr">
        <is>
          <t>Layanan Penyerapan Asiparasi Masyarakat Kepada DPRD</t>
        </is>
      </c>
      <c r="C47" s="178" t="inlineStr">
        <is>
          <t>Layanan Penyerapan Aspirasi Masyarakat kepada DPRD memungkinkan warga Kabupaten Bandung untuk mengungkapkan aspirasi, usulan, dan kekhawatiran mereka kepada DPRD. Warga Kabupaten Bandung dapat dengan mudah menulis pesan atau mengirimkan keluhan terkait isu-isu seperti infrastruktur, pendidikan,kesehatan, lingkungan, dan lainnya.</t>
        </is>
      </c>
      <c r="D47" s="178" t="inlineStr">
        <is>
          <t>Peraturan Bupati Bandung Nomor 245 Tahun 2023 Tentang Layanan Aspirasi Masyarakat Secara Elektronik Melalui DPRD Bedas Mendengar Rakyat Bandung (D'Benderang)</t>
        </is>
      </c>
      <c r="E47" s="70" t="inlineStr">
        <is>
          <t>https://drive.google.com/file/d/1Xev2F7vScZDTlBaqHqPh8lzFUMNB_y8a/view?usp=sharing</t>
        </is>
      </c>
      <c r="F47" s="184" t="inlineStr">
        <is>
          <t>PENINGKATAN KUALITAS PELAYANAN PUBLIK</t>
        </is>
      </c>
      <c r="G47" s="184" t="inlineStr">
        <is>
          <t>Masyarakat</t>
        </is>
      </c>
      <c r="H47" s="184" t="inlineStr">
        <is>
          <t>Data Pengaduan dan Aspirasi Masyarakat</t>
        </is>
      </c>
      <c r="I47" s="178" t="inlineStr">
        <is>
          <t>Data Pengaduan dan Aspirasi Masyarakat</t>
        </is>
      </c>
      <c r="J47" s="184" t="inlineStr">
        <is>
          <t>Terbuka</t>
        </is>
      </c>
      <c r="K47" s="184" t="inlineStr">
        <is>
          <t>Terdapat</t>
        </is>
      </c>
      <c r="L47" s="184" t="inlineStr">
        <is>
          <t>Harian</t>
        </is>
      </c>
      <c r="M47" s="184" t="inlineStr">
        <is>
          <t>D'benderang</t>
        </is>
      </c>
      <c r="N47" s="184" t="inlineStr">
        <is>
          <t>Diskominfo</t>
        </is>
      </c>
      <c r="O47" s="184" t="inlineStr">
        <is>
          <t>Kab. Bandung</t>
        </is>
      </c>
      <c r="P47" s="184" t="inlineStr">
        <is>
          <t>Website</t>
        </is>
      </c>
      <c r="Q47" s="288" t="n"/>
      <c r="R47" s="184" t="inlineStr">
        <is>
          <t>Secara Online</t>
        </is>
      </c>
      <c r="S47" s="184" t="inlineStr">
        <is>
          <t>Transaksi</t>
        </is>
      </c>
      <c r="T47" s="98" t="n">
        <v>2022</v>
      </c>
      <c r="U47" s="184" t="inlineStr">
        <is>
          <t>Maintenance</t>
        </is>
      </c>
      <c r="V47" s="184" t="inlineStr">
        <is>
          <t>Tidak</t>
        </is>
      </c>
      <c r="W47" s="288" t="n"/>
      <c r="X47" s="288" t="n"/>
      <c r="Y47" s="184" t="inlineStr">
        <is>
          <t>Lainnya</t>
        </is>
      </c>
      <c r="Z47" s="184" t="inlineStr">
        <is>
          <t>Bagian Umum</t>
        </is>
      </c>
      <c r="AA47" s="184" t="inlineStr">
        <is>
          <t>Setwan</t>
        </is>
      </c>
      <c r="AB47" s="178" t="inlineStr">
        <is>
          <t>Hilmy Farhan</t>
        </is>
      </c>
      <c r="AC47" s="178" t="n">
        <v>816379600</v>
      </c>
      <c r="AD47" s="288" t="n"/>
      <c r="AE47" s="288" t="n"/>
      <c r="AF47" s="67" t="inlineStr">
        <is>
          <t>Harian</t>
        </is>
      </c>
      <c r="AG47" s="284" t="n"/>
      <c r="AH47" s="284" t="n"/>
      <c r="AI47" s="284" t="n"/>
      <c r="AJ47" s="284" t="n"/>
      <c r="AK47" s="284" t="n"/>
      <c r="AL47" s="284" t="n"/>
      <c r="AM47" s="284" t="n"/>
      <c r="AN47" s="284" t="n"/>
      <c r="AO47" s="284" t="n"/>
      <c r="AP47" s="284" t="n"/>
      <c r="AQ47" s="284" t="n"/>
      <c r="AR47" s="284" t="n"/>
    </row>
    <row r="48" hidden="1" s="346">
      <c r="A48" s="62" t="n">
        <v>46</v>
      </c>
      <c r="B48" s="178" t="inlineStr">
        <is>
          <t>Layanan Sistem Informasi Hukum DPRD</t>
        </is>
      </c>
      <c r="C48" s="178" t="inlineStr">
        <is>
          <t>Layanan Sistem Informasi Hukum DPRD merupakan layanan yang berada di Sekretariat DPRD yang memiliki manfaat agar seluruh masyarakat di kabupaten Bandung maupun Indonesia dapat mengakses seluruh produk hukum Peraturan Daerah (Perda), Peraturan DPRD, Surat Keputusan Pimpinan DPRD dan Surat Keputusan Sekretaris DPRD yang telah ditetapkan.</t>
        </is>
      </c>
      <c r="D48" s="178" t="inlineStr">
        <is>
          <t>Peraturan Presiden Nomor 33 Tahun 2012 tentang Jaringan Dokumentasi dan Informasi Hukum Nasional</t>
        </is>
      </c>
      <c r="E48" s="288" t="n"/>
      <c r="F48" s="184" t="inlineStr">
        <is>
          <t>HUKUM DAN PERJANJIAN INTERNASIONAL</t>
        </is>
      </c>
      <c r="G48" s="184" t="inlineStr">
        <is>
          <t>Masyarakat</t>
        </is>
      </c>
      <c r="H48" s="184" t="inlineStr">
        <is>
          <t>Data Keputusan dan Peraturan DPRD</t>
        </is>
      </c>
      <c r="I48" s="184" t="inlineStr">
        <is>
          <t>Data Keputusan dan Peraturan DPRD</t>
        </is>
      </c>
      <c r="J48" s="184" t="inlineStr">
        <is>
          <t>Terbuka</t>
        </is>
      </c>
      <c r="K48" s="184" t="inlineStr">
        <is>
          <t>Tidak terdapat</t>
        </is>
      </c>
      <c r="L48" s="184" t="inlineStr">
        <is>
          <t>Harian</t>
        </is>
      </c>
      <c r="M48" s="184" t="inlineStr">
        <is>
          <t>Bersih DPRD</t>
        </is>
      </c>
      <c r="N48" s="184" t="inlineStr">
        <is>
          <t>Diskominfo</t>
        </is>
      </c>
      <c r="O48" s="184" t="inlineStr">
        <is>
          <t>Kab. Bandung</t>
        </is>
      </c>
      <c r="P48" s="184" t="inlineStr">
        <is>
          <t>Website</t>
        </is>
      </c>
      <c r="Q48" s="70" t="inlineStr">
        <is>
          <t>https://jdihdprd.bandungkab.go.id/</t>
        </is>
      </c>
      <c r="R48" s="184" t="inlineStr">
        <is>
          <t>Secara Online</t>
        </is>
      </c>
      <c r="S48" s="184" t="inlineStr">
        <is>
          <t>Informasi</t>
        </is>
      </c>
      <c r="T48" s="98" t="n">
        <v>2022</v>
      </c>
      <c r="U48" s="184" t="inlineStr">
        <is>
          <t>Aktif</t>
        </is>
      </c>
      <c r="V48" s="184" t="inlineStr">
        <is>
          <t>Ya</t>
        </is>
      </c>
      <c r="W48" s="184" t="inlineStr">
        <is>
          <t>JDIH</t>
        </is>
      </c>
      <c r="X48" s="184" t="inlineStr">
        <is>
          <t>API</t>
        </is>
      </c>
      <c r="Y48" s="184" t="inlineStr">
        <is>
          <t>Harian</t>
        </is>
      </c>
      <c r="Z48" s="184" t="inlineStr">
        <is>
          <t>Bagian Persidangan dan Perundang-undangan</t>
        </is>
      </c>
      <c r="AA48" s="184" t="inlineStr">
        <is>
          <t>Setwan</t>
        </is>
      </c>
      <c r="AB48" s="178" t="inlineStr">
        <is>
          <t>HAIFA NUR GHAIDA, S.I.Kom</t>
        </is>
      </c>
      <c r="AC48" s="178" t="n">
        <v>81313077230</v>
      </c>
      <c r="AD48" s="288" t="n"/>
      <c r="AE48" s="288" t="n"/>
      <c r="AF48" s="67" t="inlineStr">
        <is>
          <t>Harian</t>
        </is>
      </c>
      <c r="AG48" s="284" t="n"/>
      <c r="AH48" s="284" t="n"/>
      <c r="AI48" s="284" t="n"/>
      <c r="AJ48" s="284" t="n"/>
      <c r="AK48" s="284" t="n"/>
      <c r="AL48" s="284" t="n"/>
      <c r="AM48" s="284" t="n"/>
      <c r="AN48" s="284" t="n"/>
      <c r="AO48" s="284" t="n"/>
      <c r="AP48" s="284" t="n"/>
      <c r="AQ48" s="284" t="n"/>
      <c r="AR48" s="284" t="n"/>
    </row>
    <row r="49" hidden="1" s="346">
      <c r="A49" s="62" t="n">
        <v>47</v>
      </c>
      <c r="B49" s="100" t="inlineStr">
        <is>
          <t>Layanan Penerimaan Tamu DPRD</t>
        </is>
      </c>
      <c r="C49" s="100" t="inlineStr">
        <is>
          <t>Layanan Penerimaan Tamu DPRD merupakan Layanan penerimaan kunjungan Tamu baik DPRD maupun Sekretariat DPRD ke Kantor Sekretariat DPRD Kabupaten Bandung dalam rangka kunjungan kerja dan studi komparasi.</t>
        </is>
      </c>
      <c r="D49" s="100" t="inlineStr">
        <is>
          <t>Peraturan Bupati Bandung Nomor 49 Tahun 2016 Tentang Pengelolaan Tamu Dinas di Lingkungan Pemerintah Kabupaten Bandung</t>
        </is>
      </c>
      <c r="E49" s="286" t="n"/>
      <c r="F49" s="102" t="inlineStr">
        <is>
          <t>INFORMASI DAN DIPLOMASI PUBLIK</t>
        </is>
      </c>
      <c r="G49" s="102" t="inlineStr">
        <is>
          <t>Instansi Pemerintah Lainnya</t>
        </is>
      </c>
      <c r="H49" s="102" t="inlineStr">
        <is>
          <t>Data Kunjungan Tamu DPRD</t>
        </is>
      </c>
      <c r="I49" s="102" t="inlineStr">
        <is>
          <t>Data Kunjungan Tamu DPRD</t>
        </is>
      </c>
      <c r="J49" s="102" t="inlineStr">
        <is>
          <t>Terbuka</t>
        </is>
      </c>
      <c r="K49" s="286" t="n"/>
      <c r="L49" s="286" t="n"/>
      <c r="M49" s="135" t="inlineStr">
        <is>
          <t>Dashboard kunjungan dprd kab bandung</t>
        </is>
      </c>
      <c r="N49" s="102" t="inlineStr">
        <is>
          <t>Diskominfo</t>
        </is>
      </c>
      <c r="O49" s="102" t="inlineStr">
        <is>
          <t>Kab. Bandung</t>
        </is>
      </c>
      <c r="P49" s="286" t="inlineStr">
        <is>
          <t>Website</t>
        </is>
      </c>
      <c r="Q49" s="70" t="inlineStr">
        <is>
          <t>https://aplikasi.bandungkab.go.id/publik/dashboard-kunjungan-dprd-kab-bandung</t>
        </is>
      </c>
      <c r="R49" s="102" t="inlineStr">
        <is>
          <t>Secara Online</t>
        </is>
      </c>
      <c r="S49" s="102" t="inlineStr">
        <is>
          <t>Transaksi</t>
        </is>
      </c>
      <c r="T49" s="104" t="n">
        <v>2025</v>
      </c>
      <c r="U49" s="102" t="inlineStr">
        <is>
          <t>Aktif</t>
        </is>
      </c>
      <c r="V49" s="102" t="inlineStr">
        <is>
          <t>Ya</t>
        </is>
      </c>
      <c r="W49" s="102" t="inlineStr">
        <is>
          <t>Dashboard Kabupaten Bandung</t>
        </is>
      </c>
      <c r="X49" s="102" t="inlineStr">
        <is>
          <t>API</t>
        </is>
      </c>
      <c r="Y49" s="102" t="inlineStr">
        <is>
          <t>Harian</t>
        </is>
      </c>
      <c r="Z49" s="184" t="inlineStr">
        <is>
          <t>Bagian Umum</t>
        </is>
      </c>
      <c r="AA49" s="102" t="inlineStr">
        <is>
          <t>Setwan</t>
        </is>
      </c>
      <c r="AB49" s="178" t="inlineStr">
        <is>
          <t>NOOR DINA CAMELIA, S.I.Kom</t>
        </is>
      </c>
      <c r="AC49" s="178" t="n">
        <v>895385108021</v>
      </c>
      <c r="AD49" s="288" t="n"/>
      <c r="AE49" s="288" t="n"/>
      <c r="AF49" s="67" t="inlineStr">
        <is>
          <t>Harian</t>
        </is>
      </c>
      <c r="AG49" s="284" t="n"/>
      <c r="AH49" s="284" t="n"/>
      <c r="AI49" s="284" t="n"/>
      <c r="AJ49" s="284" t="n"/>
      <c r="AK49" s="284" t="n"/>
      <c r="AL49" s="284" t="n"/>
      <c r="AM49" s="284" t="n"/>
      <c r="AN49" s="284" t="n"/>
      <c r="AO49" s="284" t="n"/>
      <c r="AP49" s="284" t="n"/>
      <c r="AQ49" s="284" t="n"/>
      <c r="AR49" s="284" t="n"/>
    </row>
    <row r="50" hidden="1" s="346">
      <c r="A50" s="62" t="n">
        <v>48</v>
      </c>
      <c r="B50" s="178" t="inlineStr">
        <is>
          <t>Pengawasan real-time perkembangan proyek pembangunan fisik</t>
        </is>
      </c>
      <c r="C50" s="178" t="inlineStr">
        <is>
          <t>Pengawasan real-time perkembangan proyek pembangunan fisik, mulai dari perencanaan hingga serah terima. Aplikasi ini juga mendukung Bupati dalam memantau proyek secara langsung serta berfungsi sebagai alat pelaksanaan probity audit oleh APIP.</t>
        </is>
      </c>
      <c r="D50" s="178" t="inlineStr">
        <is>
          <t>Peraturan Pemerintah Nomor 12 Tahun 2017 tentang
 Pembinaan dan Pengawasan Penyelenggaraan
 Pemerintahan Daerah</t>
        </is>
      </c>
      <c r="E50" s="70" t="inlineStr">
        <is>
          <t>https://drive.google.com/file/d/1YdxVCrqCKB2IhPmEjmI3enR0CnpLLtYZ/view?usp=sharing</t>
        </is>
      </c>
      <c r="F50" s="184" t="inlineStr">
        <is>
          <t>PENINGKATAN KUALITAS REFORMASI BIROKRASI, PENGAWASAN, DAN AKUNTABILITAS KINERJA</t>
        </is>
      </c>
      <c r="G50" s="184" t="inlineStr">
        <is>
          <t>Instansi Pemerintah Lainnya</t>
        </is>
      </c>
      <c r="H50" s="184" t="inlineStr">
        <is>
          <t>Database Objek Pemeriksaan, Data Inputan Laporan Hasil Pemeriksaan</t>
        </is>
      </c>
      <c r="I50" s="178" t="inlineStr">
        <is>
          <t>Laporan perkembangan proyek strategis secara real-time dan Dasbor monitoring</t>
        </is>
      </c>
      <c r="J50" s="184" t="inlineStr">
        <is>
          <t>Terbatas</t>
        </is>
      </c>
      <c r="K50" s="184" t="inlineStr">
        <is>
          <t>Tidak terdapat</t>
        </is>
      </c>
      <c r="L50" s="184" t="inlineStr">
        <is>
          <t>Bulanan</t>
        </is>
      </c>
      <c r="M50" s="184" t="inlineStr">
        <is>
          <t>SIMPRODAS</t>
        </is>
      </c>
      <c r="N50" s="184" t="inlineStr">
        <is>
          <t>Diskominfo</t>
        </is>
      </c>
      <c r="O50" s="184" t="inlineStr">
        <is>
          <t>Kab. Bandung</t>
        </is>
      </c>
      <c r="P50" s="184" t="inlineStr">
        <is>
          <t>Website dan Mobile</t>
        </is>
      </c>
      <c r="Q50" s="70" t="inlineStr">
        <is>
          <t>https://simprodas.bandungkab.go.id/</t>
        </is>
      </c>
      <c r="R50" s="184" t="inlineStr">
        <is>
          <t>Secara Online</t>
        </is>
      </c>
      <c r="S50" s="184" t="inlineStr">
        <is>
          <t>Transaksi</t>
        </is>
      </c>
      <c r="T50" s="98" t="n">
        <v>2024</v>
      </c>
      <c r="U50" s="184" t="inlineStr">
        <is>
          <t>Aktif</t>
        </is>
      </c>
      <c r="V50" s="184" t="inlineStr">
        <is>
          <t>Tidak</t>
        </is>
      </c>
      <c r="W50" s="184" t="inlineStr">
        <is>
          <t>tidak terintegrasi</t>
        </is>
      </c>
      <c r="X50" s="184" t="inlineStr">
        <is>
          <t>Tidak Terintegrasi</t>
        </is>
      </c>
      <c r="Y50" s="184" t="inlineStr">
        <is>
          <t>Tidak Terintegrasi</t>
        </is>
      </c>
      <c r="Z50" s="184" t="inlineStr">
        <is>
          <t>Inspektur Pembantu IV</t>
        </is>
      </c>
      <c r="AA50" s="184" t="inlineStr">
        <is>
          <t>Inspektorat</t>
        </is>
      </c>
      <c r="AB50" s="178" t="inlineStr">
        <is>
          <t>Naufal Rifki Pratama</t>
        </is>
      </c>
      <c r="AC50" s="98" t="n">
        <v>81776601960</v>
      </c>
      <c r="AD50" s="178" t="inlineStr">
        <is>
          <t>-</t>
        </is>
      </c>
      <c r="AE50" s="77" t="n">
        <v>37</v>
      </c>
      <c r="AF50" s="68" t="inlineStr">
        <is>
          <t>Bulanan</t>
        </is>
      </c>
      <c r="AG50" s="284" t="n"/>
      <c r="AH50" s="284" t="n"/>
      <c r="AI50" s="284" t="n"/>
      <c r="AJ50" s="284" t="n"/>
      <c r="AK50" s="284" t="n"/>
      <c r="AL50" s="284" t="n"/>
      <c r="AM50" s="284" t="n"/>
      <c r="AN50" s="284" t="n"/>
      <c r="AO50" s="284" t="n"/>
      <c r="AP50" s="284" t="n"/>
      <c r="AQ50" s="284" t="n"/>
      <c r="AR50" s="284" t="n"/>
    </row>
    <row r="51" hidden="1" s="346">
      <c r="A51" s="62" t="n">
        <v>49</v>
      </c>
      <c r="B51" s="178" t="inlineStr">
        <is>
          <t>Pelayanan konsultasi pada APIP</t>
        </is>
      </c>
      <c r="C51" s="178" t="inlineStr">
        <is>
          <t>Untuk membuat dan mengatur janji temu (sebagai layanan konsultasi)</t>
        </is>
      </c>
      <c r="D51" s="288" t="n"/>
      <c r="E51" s="70" t="inlineStr">
        <is>
          <t>https://drive.google.com/file/d/1hfZl5u33jLRHizH-t5QZsOhlwNoiUSfh/view?usp=sharing</t>
        </is>
      </c>
      <c r="F51" s="184" t="inlineStr">
        <is>
          <t>PENINGKATAN KUALITAS PELAYANAN PUBLIK</t>
        </is>
      </c>
      <c r="G51" s="184" t="inlineStr">
        <is>
          <t>Instansi Pemerintah Lainnya</t>
        </is>
      </c>
      <c r="H51" s="184" t="inlineStr">
        <is>
          <t>Data Konsultasi Permasalahan</t>
        </is>
      </c>
      <c r="I51" s="184" t="inlineStr">
        <is>
          <t>Data Solusi Permasalahan</t>
        </is>
      </c>
      <c r="J51" s="184" t="inlineStr">
        <is>
          <t>Tertutup</t>
        </is>
      </c>
      <c r="K51" s="184" t="inlineStr">
        <is>
          <t>Tidak terdapat</t>
        </is>
      </c>
      <c r="L51" s="184" t="inlineStr">
        <is>
          <t>Mingguan</t>
        </is>
      </c>
      <c r="M51" s="287" t="inlineStr">
        <is>
          <t>SANTAI</t>
        </is>
      </c>
      <c r="N51" s="184" t="inlineStr">
        <is>
          <t>OPD</t>
        </is>
      </c>
      <c r="O51" s="184" t="inlineStr">
        <is>
          <t>Pihak Ke 3 (Lisensi)</t>
        </is>
      </c>
      <c r="P51" s="184" t="inlineStr">
        <is>
          <t>Website</t>
        </is>
      </c>
      <c r="Q51" s="70" t="inlineStr">
        <is>
          <t>https://calendly.com/inspekkabbdg/santai-saranatanyaapipinteraktif</t>
        </is>
      </c>
      <c r="R51" s="184" t="inlineStr">
        <is>
          <t>Secara Online</t>
        </is>
      </c>
      <c r="S51" s="184" t="inlineStr">
        <is>
          <t>Transaksi</t>
        </is>
      </c>
      <c r="T51" s="98" t="n">
        <v>2025</v>
      </c>
      <c r="U51" s="184" t="inlineStr">
        <is>
          <t>Aktif</t>
        </is>
      </c>
      <c r="V51" s="184" t="inlineStr">
        <is>
          <t>Tidak</t>
        </is>
      </c>
      <c r="W51" s="184" t="inlineStr">
        <is>
          <t>tidak terintegrasi</t>
        </is>
      </c>
      <c r="X51" s="184" t="inlineStr">
        <is>
          <t>Tidak Terintegrasi</t>
        </is>
      </c>
      <c r="Y51" s="184" t="inlineStr">
        <is>
          <t>Tidak Terintegrasi</t>
        </is>
      </c>
      <c r="Z51" s="184" t="inlineStr">
        <is>
          <t>Sekertariat Inspektorat Daerah</t>
        </is>
      </c>
      <c r="AA51" s="184" t="inlineStr">
        <is>
          <t>Inspektorat</t>
        </is>
      </c>
      <c r="AB51" s="178" t="inlineStr">
        <is>
          <t>Yuda Maulid</t>
        </is>
      </c>
      <c r="AC51" s="98" t="n">
        <v>82117986701</v>
      </c>
      <c r="AD51" s="178" t="inlineStr">
        <is>
          <t>-</t>
        </is>
      </c>
      <c r="AE51" s="67" t="inlineStr">
        <is>
          <t>mungkin berkaitan dengan 27</t>
        </is>
      </c>
      <c r="AF51" s="68" t="inlineStr">
        <is>
          <t>Harian</t>
        </is>
      </c>
      <c r="AG51" s="284" t="n"/>
      <c r="AH51" s="284" t="n"/>
      <c r="AI51" s="284" t="n"/>
      <c r="AJ51" s="284" t="n"/>
      <c r="AK51" s="284" t="n"/>
      <c r="AL51" s="284" t="n"/>
      <c r="AM51" s="284" t="n"/>
      <c r="AN51" s="284" t="n"/>
      <c r="AO51" s="284" t="n"/>
      <c r="AP51" s="284" t="n"/>
      <c r="AQ51" s="284" t="n"/>
      <c r="AR51" s="284" t="n"/>
    </row>
    <row r="52" hidden="1" s="346">
      <c r="A52" s="62" t="n">
        <v>50</v>
      </c>
      <c r="B52" s="178" t="inlineStr">
        <is>
          <t>ZI</t>
        </is>
      </c>
      <c r="C52" s="178" t="inlineStr">
        <is>
          <t>Meningkatkan kualitas substansi dan pemahaman SDM TPI (Tim Penilai Internal) dalam pembangunan Zona Integritas (ZI) agar hasil evaluasi internal lebih baik dan sesuai kriteria WBK/WBBM. Melaksanakan monitoring, evaluasi, serta penyusunan dokumen</t>
        </is>
      </c>
      <c r="D52" s="178" t="inlineStr">
        <is>
          <t>PermenPANRB 90/2021 tentang Pembangunan dan Evaluasi ZI Menuju WBK/WBBM.</t>
        </is>
      </c>
      <c r="E52" s="288" t="n"/>
      <c r="F52" s="184" t="inlineStr">
        <is>
          <t>PENINGKATAN KUALITAS REFORMASI BIROKRASI, PENGAWASAN, DAN AKUNTABILITAS KINERJA</t>
        </is>
      </c>
      <c r="G52" s="184" t="inlineStr">
        <is>
          <t>Instansi Pemerintah Lainnya</t>
        </is>
      </c>
      <c r="H52" s="184" t="inlineStr">
        <is>
          <t>LHE (Laporan Hasil Evaluasi)</t>
        </is>
      </c>
      <c r="I52" s="178" t="inlineStr">
        <is>
          <t>Nilai Zona Integritas 2025</t>
        </is>
      </c>
      <c r="J52" s="184" t="inlineStr">
        <is>
          <t>Tertutup</t>
        </is>
      </c>
      <c r="K52" s="184" t="inlineStr">
        <is>
          <t>Terdapat</t>
        </is>
      </c>
      <c r="L52" s="184" t="inlineStr">
        <is>
          <t>Lainnya</t>
        </is>
      </c>
      <c r="M52" s="184" t="inlineStr">
        <is>
          <t>BERSIH</t>
        </is>
      </c>
      <c r="N52" s="184" t="inlineStr">
        <is>
          <t>Pihak Ke 3</t>
        </is>
      </c>
      <c r="O52" s="184" t="inlineStr">
        <is>
          <t>Kab. Bandung</t>
        </is>
      </c>
      <c r="P52" s="184" t="inlineStr">
        <is>
          <t>Website</t>
        </is>
      </c>
      <c r="Q52" s="178" t="inlineStr">
        <is>
          <t>Belum Launching</t>
        </is>
      </c>
      <c r="R52" s="184" t="inlineStr">
        <is>
          <t>Secara Online</t>
        </is>
      </c>
      <c r="S52" s="184" t="inlineStr">
        <is>
          <t>Transaksi</t>
        </is>
      </c>
      <c r="T52" s="178" t="inlineStr">
        <is>
          <t>Belum Launching</t>
        </is>
      </c>
      <c r="U52" s="184" t="inlineStr">
        <is>
          <t>Non Aktif</t>
        </is>
      </c>
      <c r="V52" s="184" t="inlineStr">
        <is>
          <t>Tidak</t>
        </is>
      </c>
      <c r="W52" s="184" t="inlineStr">
        <is>
          <t>tidak terintegrasi</t>
        </is>
      </c>
      <c r="X52" s="184" t="inlineStr">
        <is>
          <t>Tidak Terintegrasi</t>
        </is>
      </c>
      <c r="Y52" s="184" t="inlineStr">
        <is>
          <t>Tidak Terintegrasi</t>
        </is>
      </c>
      <c r="Z52" s="184" t="inlineStr">
        <is>
          <t>Inspektur Pembantu III</t>
        </is>
      </c>
      <c r="AA52" s="184" t="inlineStr">
        <is>
          <t>Inspektorat</t>
        </is>
      </c>
      <c r="AB52" s="178" t="inlineStr">
        <is>
          <t>Wiwin</t>
        </is>
      </c>
      <c r="AC52" s="98" t="n">
        <v>82130540674</v>
      </c>
      <c r="AD52" s="178" t="inlineStr">
        <is>
          <t>-</t>
        </is>
      </c>
      <c r="AE52" s="76" t="inlineStr">
        <is>
          <t>-</t>
        </is>
      </c>
      <c r="AF52" s="68" t="inlineStr">
        <is>
          <t>Tahunan</t>
        </is>
      </c>
      <c r="AG52" s="284" t="n"/>
      <c r="AH52" s="284" t="n"/>
      <c r="AI52" s="284" t="n"/>
      <c r="AJ52" s="284" t="n"/>
      <c r="AK52" s="284" t="n"/>
      <c r="AL52" s="284" t="n"/>
      <c r="AM52" s="284" t="n"/>
      <c r="AN52" s="284" t="n"/>
      <c r="AO52" s="284" t="n"/>
      <c r="AP52" s="284" t="n"/>
      <c r="AQ52" s="284" t="n"/>
      <c r="AR52" s="284" t="n"/>
    </row>
    <row r="53" hidden="1" s="346">
      <c r="A53" s="62" t="n">
        <v>51</v>
      </c>
      <c r="B53" s="178" t="inlineStr">
        <is>
          <t>Standar Pelayanan Penerbitan Suket Pengganti Ijazah/STTB</t>
        </is>
      </c>
      <c r="C53" s="178" t="inlineStr">
        <is>
          <t>Layanan masyarakat untuk mendapatkan surat keterangan pengganti ijazah/STTB apabila dokumen tersebut hilang, terdapat kesalahan penulisan, atau rusak.</t>
        </is>
      </c>
      <c r="D53" s="184" t="inlineStr">
        <is>
          <t>Undang-Undang Nomor 25 Tahun 2009 tentang Pelayanan Publik</t>
        </is>
      </c>
      <c r="E53" s="178" t="inlineStr">
        <is>
          <t>LAMPIRAN KEPUTUSAN KEPALA DINAS PENDIDIKAN : 9. Standar Pelayanan Penerbitan Suket Pengganti Ijazah/STTB</t>
        </is>
      </c>
      <c r="F53" s="184" t="inlineStr">
        <is>
          <t>PENINGKATAN KUALITAS PELAYANAN PUBLIK</t>
        </is>
      </c>
      <c r="G53" s="184" t="inlineStr">
        <is>
          <t>Masyarakat</t>
        </is>
      </c>
      <c r="H53" s="184" t="inlineStr">
        <is>
          <t>Dokumen yang diperlukan</t>
        </is>
      </c>
      <c r="I53" s="178" t="inlineStr">
        <is>
          <t>Surat Keterangan Pengganti</t>
        </is>
      </c>
      <c r="J53" s="184" t="inlineStr">
        <is>
          <t>Tertutup</t>
        </is>
      </c>
      <c r="K53" s="184" t="inlineStr">
        <is>
          <t>Terdapat</t>
        </is>
      </c>
      <c r="L53" s="184" t="inlineStr">
        <is>
          <t>Lainnya</t>
        </is>
      </c>
      <c r="M53" s="184" t="inlineStr">
        <is>
          <t>Sukizah</t>
        </is>
      </c>
      <c r="N53" s="184" t="inlineStr">
        <is>
          <t>Diskominfo</t>
        </is>
      </c>
      <c r="O53" s="184" t="inlineStr">
        <is>
          <t>Kab. Bandung</t>
        </is>
      </c>
      <c r="P53" s="184" t="inlineStr">
        <is>
          <t>Website dan Mobile</t>
        </is>
      </c>
      <c r="Q53" s="70" t="inlineStr">
        <is>
          <t>simpeldisdik.bandungkab.go.id/Sukizah</t>
        </is>
      </c>
      <c r="R53" s="184" t="inlineStr">
        <is>
          <t>Secara Online</t>
        </is>
      </c>
      <c r="S53" s="184" t="inlineStr">
        <is>
          <t>Transaksi</t>
        </is>
      </c>
      <c r="T53" s="98" t="n">
        <v>2024</v>
      </c>
      <c r="U53" s="184" t="inlineStr">
        <is>
          <t>Aktif</t>
        </is>
      </c>
      <c r="V53" s="184" t="inlineStr">
        <is>
          <t>Ya</t>
        </is>
      </c>
      <c r="W53" s="184" t="inlineStr">
        <is>
          <t>Simpel BKPSDM</t>
        </is>
      </c>
      <c r="X53" s="184" t="inlineStr">
        <is>
          <t>Database to Database</t>
        </is>
      </c>
      <c r="Y53" s="184" t="inlineStr">
        <is>
          <t>Lainnya</t>
        </is>
      </c>
      <c r="Z53" s="184" t="inlineStr">
        <is>
          <t>Sekretariat</t>
        </is>
      </c>
      <c r="AA53" s="184" t="inlineStr">
        <is>
          <t>Disdik</t>
        </is>
      </c>
      <c r="AB53" s="178" t="inlineStr">
        <is>
          <t>Faturochman Nuroni</t>
        </is>
      </c>
      <c r="AC53" s="178" t="n">
        <v>85117111582</v>
      </c>
      <c r="AD53" s="178" t="inlineStr">
        <is>
          <t>-</t>
        </is>
      </c>
      <c r="AE53" s="288" t="n"/>
      <c r="AF53" s="68" t="inlineStr">
        <is>
          <t>Insidentil</t>
        </is>
      </c>
      <c r="AG53" s="284" t="n"/>
      <c r="AH53" s="284" t="n"/>
      <c r="AI53" s="284" t="n"/>
      <c r="AJ53" s="284" t="n"/>
      <c r="AK53" s="284" t="n"/>
      <c r="AL53" s="284" t="n"/>
      <c r="AM53" s="284" t="n"/>
      <c r="AN53" s="284" t="n"/>
      <c r="AO53" s="284" t="n"/>
      <c r="AP53" s="284" t="n"/>
      <c r="AQ53" s="284" t="n"/>
      <c r="AR53" s="284" t="n"/>
    </row>
    <row r="54" hidden="1" s="346">
      <c r="A54" s="62" t="n">
        <v>52</v>
      </c>
      <c r="B54" s="178" t="inlineStr">
        <is>
          <t>Standar Pelayanan Fasilitasi Data Pokok Pendidikan (Dapodik)</t>
        </is>
      </c>
      <c r="C54" s="178" t="inlineStr">
        <is>
          <t>Layanan masyarakat terkait status verifikasi di Dapodik seperti Penugasan Pendidik dan Tenaga Kependidikan, Peserta Didik, Kondisi Bangunan, Mutasi PTK, Manajemen Dapodik Sekolah, Validasi Akun Dapodik Sekolah, Sinkronisasi Data Dapodik, dll.</t>
        </is>
      </c>
      <c r="D54" s="184" t="inlineStr">
        <is>
          <t>Undang-Undang Nomor 25 Tahun 2009 tentang Pelayanan Publik</t>
        </is>
      </c>
      <c r="E54" s="178" t="inlineStr">
        <is>
          <t>LAMPIRAN KEPUTUSAN KEPALA DINAS PENDIDIKAN : 13. Standar Pelayanan Fasilitasi Data Pokok Pendidikan (Dapodik)</t>
        </is>
      </c>
      <c r="F54" s="184" t="inlineStr">
        <is>
          <t>PENINGKATAN KUALITAS PELAYANAN PUBLIK</t>
        </is>
      </c>
      <c r="G54" s="184" t="inlineStr">
        <is>
          <t>Masyarakat</t>
        </is>
      </c>
      <c r="H54" s="184" t="inlineStr">
        <is>
          <t>Surat pengantar/tugas</t>
        </is>
      </c>
      <c r="I54" s="178" t="inlineStr">
        <is>
          <t>Sinkronisasi atau verifikasi data</t>
        </is>
      </c>
      <c r="J54" s="184" t="inlineStr">
        <is>
          <t>Tertutup</t>
        </is>
      </c>
      <c r="K54" s="184" t="inlineStr">
        <is>
          <t>Tidak terdapat</t>
        </is>
      </c>
      <c r="L54" s="184" t="inlineStr">
        <is>
          <t>Bulanan</t>
        </is>
      </c>
      <c r="M54" s="184" t="inlineStr">
        <is>
          <t>Dapodik</t>
        </is>
      </c>
      <c r="N54" s="184" t="inlineStr">
        <is>
          <t>Pusat</t>
        </is>
      </c>
      <c r="O54" s="184" t="inlineStr">
        <is>
          <t>Pusat</t>
        </is>
      </c>
      <c r="P54" s="184" t="inlineStr">
        <is>
          <t>Website</t>
        </is>
      </c>
      <c r="Q54" s="70" t="inlineStr">
        <is>
          <t>https://dapo.kemendikdasmen.go.id/</t>
        </is>
      </c>
      <c r="R54" s="184" t="inlineStr">
        <is>
          <t>Secara Online</t>
        </is>
      </c>
      <c r="S54" s="184" t="inlineStr">
        <is>
          <t>Informasi</t>
        </is>
      </c>
      <c r="T54" s="178" t="inlineStr">
        <is>
          <t>[Belum tahu]</t>
        </is>
      </c>
      <c r="U54" s="184" t="inlineStr">
        <is>
          <t>Aktif</t>
        </is>
      </c>
      <c r="V54" s="288" t="n"/>
      <c r="W54" s="184" t="inlineStr">
        <is>
          <t>-</t>
        </is>
      </c>
      <c r="X54" s="288" t="n"/>
      <c r="Y54" s="184" t="inlineStr">
        <is>
          <t>Bulanan</t>
        </is>
      </c>
      <c r="Z54" s="184" t="inlineStr">
        <is>
          <t>SD, SMP</t>
        </is>
      </c>
      <c r="AA54" s="184" t="inlineStr">
        <is>
          <t>Disdik</t>
        </is>
      </c>
      <c r="AB54" s="178" t="inlineStr">
        <is>
          <t>SD : Erik Sugiarto
 SMP : Lina Sarlina</t>
        </is>
      </c>
      <c r="AC54" s="178" t="n">
        <v>85117111582</v>
      </c>
      <c r="AD54" s="178" t="inlineStr">
        <is>
          <t>-</t>
        </is>
      </c>
      <c r="AE54" s="288" t="n"/>
      <c r="AF54" s="68" t="inlineStr">
        <is>
          <t>Insidentil</t>
        </is>
      </c>
      <c r="AG54" s="284" t="n"/>
      <c r="AH54" s="284" t="n"/>
      <c r="AI54" s="284" t="n"/>
      <c r="AJ54" s="284" t="n"/>
      <c r="AK54" s="284" t="n"/>
      <c r="AL54" s="284" t="n"/>
      <c r="AM54" s="284" t="n"/>
      <c r="AN54" s="284" t="n"/>
      <c r="AO54" s="284" t="n"/>
      <c r="AP54" s="284" t="n"/>
      <c r="AQ54" s="284" t="n"/>
      <c r="AR54" s="284" t="n"/>
    </row>
    <row r="55" hidden="1" s="346">
      <c r="A55" s="62" t="n">
        <v>53</v>
      </c>
      <c r="B55" s="178" t="inlineStr">
        <is>
          <t>Penyediaan Website Untuk Sekolah-sekolah di kabupaten Bandung</t>
        </is>
      </c>
      <c r="C55" s="178" t="inlineStr">
        <is>
          <t>Layanan bagi lembaga/yayasan PAUD, SD, SMP dan PNF yang ingin melakukan pembuatan website sebagai media Informasi dan Branding</t>
        </is>
      </c>
      <c r="D55" s="184" t="inlineStr">
        <is>
          <t>Undang-Undang Nomor 25 Tahun 2009 tentang Pelayanan Publik</t>
        </is>
      </c>
      <c r="E55" s="288" t="n"/>
      <c r="F55" s="184" t="inlineStr">
        <is>
          <t>PENINGKATAN KUALITAS PELAYANAN PUBLIK</t>
        </is>
      </c>
      <c r="G55" s="184" t="inlineStr">
        <is>
          <t>Instansi Pemerintah Lainnya</t>
        </is>
      </c>
      <c r="H55" s="184" t="inlineStr">
        <is>
          <t>Data Sekolah</t>
        </is>
      </c>
      <c r="I55" s="178" t="inlineStr">
        <is>
          <t>Informasi Tampilan Data Sekolah</t>
        </is>
      </c>
      <c r="J55" s="184" t="inlineStr">
        <is>
          <t>Tertutup</t>
        </is>
      </c>
      <c r="K55" s="184" t="inlineStr">
        <is>
          <t>Tidak terdapat</t>
        </is>
      </c>
      <c r="L55" s="184" t="inlineStr">
        <is>
          <t>Lainnya</t>
        </is>
      </c>
      <c r="M55" s="184" t="inlineStr">
        <is>
          <t>Multisite Edu</t>
        </is>
      </c>
      <c r="N55" s="184" t="inlineStr">
        <is>
          <t>Diskominfo</t>
        </is>
      </c>
      <c r="O55" s="184" t="inlineStr">
        <is>
          <t>Kab. Bandung</t>
        </is>
      </c>
      <c r="P55" s="184" t="inlineStr">
        <is>
          <t>Desktop</t>
        </is>
      </c>
      <c r="Q55" s="70" t="inlineStr">
        <is>
          <t>simpeldisdik.bandungkab.go.id/MultisiteEdu</t>
        </is>
      </c>
      <c r="R55" s="184" t="inlineStr">
        <is>
          <t>Secara Online</t>
        </is>
      </c>
      <c r="S55" s="184" t="inlineStr">
        <is>
          <t>Informasi</t>
        </is>
      </c>
      <c r="T55" s="184" t="n">
        <v>2024</v>
      </c>
      <c r="U55" s="184" t="inlineStr">
        <is>
          <t>Aktif</t>
        </is>
      </c>
      <c r="V55" s="184" t="inlineStr">
        <is>
          <t>Tidak</t>
        </is>
      </c>
      <c r="W55" s="184" t="inlineStr">
        <is>
          <t>-</t>
        </is>
      </c>
      <c r="X55" s="184" t="inlineStr">
        <is>
          <t>Tidak Terintegrasi</t>
        </is>
      </c>
      <c r="Y55" s="184" t="inlineStr">
        <is>
          <t>Tidak Terintegrasi</t>
        </is>
      </c>
      <c r="Z55" s="184" t="inlineStr">
        <is>
          <t>Sekretariat</t>
        </is>
      </c>
      <c r="AA55" s="184" t="inlineStr">
        <is>
          <t>Disdik</t>
        </is>
      </c>
      <c r="AB55" s="178" t="inlineStr">
        <is>
          <t>Raza Candra Anwar S.T</t>
        </is>
      </c>
      <c r="AC55" s="178" t="n">
        <v>85768637781</v>
      </c>
      <c r="AD55" s="178" t="inlineStr">
        <is>
          <t>razacandraanwar@gmail.com</t>
        </is>
      </c>
      <c r="AE55" s="288" t="n"/>
      <c r="AF55" s="68" t="inlineStr">
        <is>
          <t>Insidentil</t>
        </is>
      </c>
      <c r="AG55" s="284" t="n"/>
      <c r="AH55" s="284" t="n"/>
      <c r="AI55" s="284" t="n"/>
      <c r="AJ55" s="284" t="n"/>
      <c r="AK55" s="284" t="n"/>
      <c r="AL55" s="284" t="n"/>
      <c r="AM55" s="284" t="n"/>
      <c r="AN55" s="284" t="n"/>
      <c r="AO55" s="284" t="n"/>
      <c r="AP55" s="284" t="n"/>
      <c r="AQ55" s="284" t="n"/>
      <c r="AR55" s="284" t="n"/>
    </row>
    <row r="56" hidden="1" s="346">
      <c r="A56" s="62" t="n">
        <v>54</v>
      </c>
      <c r="B56" s="178" t="inlineStr">
        <is>
          <t>Layanan SPMBE</t>
        </is>
      </c>
      <c r="C56" s="178" t="inlineStr">
        <is>
          <t>Sistem Penerimaan Murid Baru. Layanan terhadap masyarakat dalam rangka penerima siswa baru untuk jenjang pendidikan dasar dan menengah.</t>
        </is>
      </c>
      <c r="D56" s="178" t="inlineStr">
        <is>
          <t>Peraturan Menteri Pendidikan Dasar dan Menengah Nomor 3 Tahun 2025 tentang Sistem Penerimaan Murid Baru (Permendikdasmen No. 3 Tahun 2025)</t>
        </is>
      </c>
      <c r="E56" s="288" t="n"/>
      <c r="F56" s="184" t="inlineStr">
        <is>
          <t>PENDIDIKAN FORMAL PADA PENDIDIKAN ANAK USIA DINI, PENDIDIKAN DASAR, DAN PENDIDIKAN MENENGAH</t>
        </is>
      </c>
      <c r="G56" s="184" t="inlineStr">
        <is>
          <t>Masyarakat</t>
        </is>
      </c>
      <c r="H56" s="184" t="inlineStr">
        <is>
          <t>Data calon siswa</t>
        </is>
      </c>
      <c r="I56" s="178" t="inlineStr">
        <is>
          <t>Data Siswa baru</t>
        </is>
      </c>
      <c r="J56" s="184" t="inlineStr">
        <is>
          <t>Tertutup</t>
        </is>
      </c>
      <c r="K56" s="184" t="inlineStr">
        <is>
          <t>Terdapat</t>
        </is>
      </c>
      <c r="L56" s="184" t="inlineStr">
        <is>
          <t>Lainnya</t>
        </is>
      </c>
      <c r="M56" s="184" t="inlineStr">
        <is>
          <t>SPMBE</t>
        </is>
      </c>
      <c r="N56" s="184" t="inlineStr">
        <is>
          <t>Diskominfo</t>
        </is>
      </c>
      <c r="O56" s="184" t="inlineStr">
        <is>
          <t>Kab. Bandung</t>
        </is>
      </c>
      <c r="P56" s="184" t="inlineStr">
        <is>
          <t>Website</t>
        </is>
      </c>
      <c r="Q56" s="70" t="inlineStr">
        <is>
          <t>https://spmb.bandungkab.go.id/</t>
        </is>
      </c>
      <c r="R56" s="184" t="inlineStr">
        <is>
          <t>Secara Online</t>
        </is>
      </c>
      <c r="S56" s="184" t="inlineStr">
        <is>
          <t>Informasi</t>
        </is>
      </c>
      <c r="T56" s="98" t="n">
        <v>2025</v>
      </c>
      <c r="U56" s="184" t="inlineStr">
        <is>
          <t>Aktif</t>
        </is>
      </c>
      <c r="V56" s="184" t="inlineStr">
        <is>
          <t>Tidak</t>
        </is>
      </c>
      <c r="W56" s="184" t="inlineStr">
        <is>
          <t>-</t>
        </is>
      </c>
      <c r="X56" s="288" t="n"/>
      <c r="Y56" s="288" t="n"/>
      <c r="Z56" s="184" t="inlineStr">
        <is>
          <t>SD, SMP</t>
        </is>
      </c>
      <c r="AA56" s="184" t="inlineStr">
        <is>
          <t>Disdik</t>
        </is>
      </c>
      <c r="AB56" s="178" t="inlineStr">
        <is>
          <t>SD : 
 SMP :</t>
        </is>
      </c>
      <c r="AC56" s="178" t="n">
        <v>87869520475</v>
      </c>
      <c r="AD56" s="184" t="inlineStr">
        <is>
          <t>-</t>
        </is>
      </c>
      <c r="AE56" s="288" t="n"/>
      <c r="AF56" s="68" t="inlineStr">
        <is>
          <t>Insidentil</t>
        </is>
      </c>
      <c r="AG56" s="284" t="n"/>
      <c r="AH56" s="284" t="n"/>
      <c r="AI56" s="284" t="n"/>
      <c r="AJ56" s="284" t="n"/>
      <c r="AK56" s="284" t="n"/>
      <c r="AL56" s="284" t="n"/>
      <c r="AM56" s="284" t="n"/>
      <c r="AN56" s="284" t="n"/>
      <c r="AO56" s="284" t="n"/>
      <c r="AP56" s="284" t="n"/>
      <c r="AQ56" s="284" t="n"/>
      <c r="AR56" s="284" t="n"/>
    </row>
    <row r="57" hidden="1" s="346">
      <c r="A57" s="62" t="n">
        <v>55</v>
      </c>
      <c r="B57" s="178" t="inlineStr">
        <is>
          <t>Layanan PSC 119 (Public Safety Center)</t>
        </is>
      </c>
      <c r="C57" s="178" t="inlineStr">
        <is>
          <t>Untuk menangani kegawatdaruratan dan rujukan medis</t>
        </is>
      </c>
      <c r="D57" s="288" t="n"/>
      <c r="E57" s="288" t="n"/>
      <c r="F57" s="184" t="inlineStr">
        <is>
          <t>PENGELOLAAN PELAYANAN KESEHATAN</t>
        </is>
      </c>
      <c r="G57" s="184" t="inlineStr">
        <is>
          <t>Masyarakat</t>
        </is>
      </c>
      <c r="H57" s="184" t="inlineStr">
        <is>
          <t>Rujukan Kasus Gawat Darurat</t>
        </is>
      </c>
      <c r="I57" s="178" t="inlineStr">
        <is>
          <t>Data Kasus Gawat Darurat Pra Hospital</t>
        </is>
      </c>
      <c r="J57" s="184" t="inlineStr">
        <is>
          <t>Tertutup</t>
        </is>
      </c>
      <c r="K57" s="184" t="inlineStr">
        <is>
          <t>Terdapat</t>
        </is>
      </c>
      <c r="L57" s="184" t="inlineStr">
        <is>
          <t>Harian</t>
        </is>
      </c>
      <c r="M57" s="184" t="inlineStr">
        <is>
          <t>PSC Kemenkes</t>
        </is>
      </c>
      <c r="N57" s="184" t="inlineStr">
        <is>
          <t>Pusat</t>
        </is>
      </c>
      <c r="O57" s="184" t="inlineStr">
        <is>
          <t>Pusat</t>
        </is>
      </c>
      <c r="P57" s="184" t="inlineStr">
        <is>
          <t>Website</t>
        </is>
      </c>
      <c r="Q57" s="122" t="inlineStr">
        <is>
          <t>psc.kemkes.go.id</t>
        </is>
      </c>
      <c r="R57" s="184" t="inlineStr">
        <is>
          <t>Secara Online</t>
        </is>
      </c>
      <c r="S57" s="184" t="inlineStr">
        <is>
          <t>Informasi</t>
        </is>
      </c>
      <c r="T57" s="98" t="n">
        <v>2026</v>
      </c>
      <c r="U57" s="184" t="inlineStr">
        <is>
          <t>Aktif</t>
        </is>
      </c>
      <c r="V57" s="184" t="inlineStr">
        <is>
          <t>Tidak</t>
        </is>
      </c>
      <c r="W57" s="288" t="n"/>
      <c r="X57" s="184" t="inlineStr">
        <is>
          <t>Manual</t>
        </is>
      </c>
      <c r="Y57" s="184" t="inlineStr">
        <is>
          <t>Harian</t>
        </is>
      </c>
      <c r="Z57" s="184" t="inlineStr">
        <is>
          <t>Bidang Pelayanan Kesehatan</t>
        </is>
      </c>
      <c r="AA57" s="184" t="inlineStr">
        <is>
          <t>Dinkes</t>
        </is>
      </c>
      <c r="AB57" s="178" t="inlineStr">
        <is>
          <t>Ekawati Triyani</t>
        </is>
      </c>
      <c r="AC57" s="178" t="n">
        <v>811976661</v>
      </c>
      <c r="AD57" s="178" t="inlineStr">
        <is>
          <t>psc119bandungkab@gmail.com</t>
        </is>
      </c>
      <c r="AE57" s="288" t="n"/>
      <c r="AF57" s="288" t="n"/>
      <c r="AG57" s="284" t="n"/>
      <c r="AH57" s="284" t="n"/>
      <c r="AI57" s="284" t="n"/>
      <c r="AJ57" s="284" t="n"/>
      <c r="AK57" s="284" t="n"/>
      <c r="AL57" s="284" t="n"/>
      <c r="AM57" s="284" t="n"/>
      <c r="AN57" s="284" t="n"/>
      <c r="AO57" s="284" t="n"/>
      <c r="AP57" s="284" t="n"/>
      <c r="AQ57" s="284" t="n"/>
      <c r="AR57" s="284" t="n"/>
    </row>
    <row r="58" hidden="1" s="346">
      <c r="A58" s="62" t="n">
        <v>56</v>
      </c>
      <c r="B58" s="178" t="inlineStr">
        <is>
          <t>Layanan Pendaftaran Pemeriksaan Laboratorium Kesehatan</t>
        </is>
      </c>
      <c r="C58" s="178" t="inlineStr">
        <is>
          <t>Untuk mengambil sampel dan pemeriksaan laboratorium klinis</t>
        </is>
      </c>
      <c r="D58" s="288" t="n"/>
      <c r="E58" s="288" t="n"/>
      <c r="F58" s="288" t="n"/>
      <c r="G58" s="288" t="n"/>
      <c r="H58" s="288" t="n"/>
      <c r="I58" s="178" t="inlineStr">
        <is>
          <t>Data Riwayat Pasien</t>
        </is>
      </c>
      <c r="J58" s="288" t="n"/>
      <c r="K58" s="288" t="n"/>
      <c r="L58" s="288" t="n"/>
      <c r="M58" s="184" t="inlineStr">
        <is>
          <t>SILABKES</t>
        </is>
      </c>
      <c r="N58" s="184" t="inlineStr">
        <is>
          <t>Pihak Ke 3</t>
        </is>
      </c>
      <c r="O58" s="288" t="n"/>
      <c r="P58" s="184" t="inlineStr">
        <is>
          <t>Desktop</t>
        </is>
      </c>
      <c r="Q58" s="288" t="n"/>
      <c r="R58" s="288" t="n"/>
      <c r="S58" s="288" t="n"/>
      <c r="T58" s="288" t="n"/>
      <c r="U58" s="288" t="n"/>
      <c r="V58" s="288" t="n"/>
      <c r="W58" s="288" t="n"/>
      <c r="X58" s="288" t="n"/>
      <c r="Y58" s="288" t="n"/>
      <c r="Z58" s="288" t="n"/>
      <c r="AA58" s="288" t="n"/>
      <c r="AB58" s="288" t="n"/>
      <c r="AC58" s="288" t="n"/>
      <c r="AD58" s="288" t="n"/>
      <c r="AE58" s="288" t="n"/>
      <c r="AF58" s="288" t="n"/>
      <c r="AG58" s="284" t="n"/>
      <c r="AH58" s="284" t="n"/>
      <c r="AI58" s="284" t="n"/>
      <c r="AJ58" s="284" t="n"/>
      <c r="AK58" s="284" t="n"/>
      <c r="AL58" s="284" t="n"/>
      <c r="AM58" s="284" t="n"/>
      <c r="AN58" s="284" t="n"/>
      <c r="AO58" s="284" t="n"/>
      <c r="AP58" s="284" t="n"/>
      <c r="AQ58" s="284" t="n"/>
      <c r="AR58" s="284" t="n"/>
    </row>
    <row r="59" hidden="1" s="346">
      <c r="A59" s="62" t="n">
        <v>57</v>
      </c>
      <c r="B59" s="178" t="inlineStr">
        <is>
          <t>Layanan Surveilans Puskesmas dan Dinkes</t>
        </is>
      </c>
      <c r="C59" s="178" t="inlineStr">
        <is>
          <t>Untuk mendeteksi secara dini kejadian luar biasa dan wabah di suatu wilayah</t>
        </is>
      </c>
      <c r="D59" s="288" t="n"/>
      <c r="E59" s="288" t="n"/>
      <c r="F59" s="184" t="inlineStr">
        <is>
          <t>PENCEGAHAN DAN PENGENDALIAN PENYAKIT</t>
        </is>
      </c>
      <c r="G59" s="184" t="inlineStr">
        <is>
          <t>Masyarakat</t>
        </is>
      </c>
      <c r="H59" s="288" t="n"/>
      <c r="I59" s="178" t="inlineStr">
        <is>
          <t>Data Peringatan Potensi KLB dan Wabah</t>
        </is>
      </c>
      <c r="J59" s="184" t="inlineStr">
        <is>
          <t>Tertutup</t>
        </is>
      </c>
      <c r="K59" s="184" t="inlineStr">
        <is>
          <t>Terdapat</t>
        </is>
      </c>
      <c r="L59" s="184" t="inlineStr">
        <is>
          <t>Mingguan</t>
        </is>
      </c>
      <c r="M59" s="184" t="inlineStr">
        <is>
          <t>APLIKASI Sistem Kewaspadaan Dini dan Respon</t>
        </is>
      </c>
      <c r="N59" s="184" t="inlineStr">
        <is>
          <t>Pusat</t>
        </is>
      </c>
      <c r="O59" s="184" t="inlineStr">
        <is>
          <t>Pusat</t>
        </is>
      </c>
      <c r="P59" s="184" t="inlineStr">
        <is>
          <t>Website</t>
        </is>
      </c>
      <c r="Q59" s="70" t="inlineStr">
        <is>
          <t>skdr.kemkes.go.id</t>
        </is>
      </c>
      <c r="R59" s="184" t="inlineStr">
        <is>
          <t>Secara Online</t>
        </is>
      </c>
      <c r="S59" s="184" t="inlineStr">
        <is>
          <t>Informasi</t>
        </is>
      </c>
      <c r="T59" s="98" t="n">
        <v>2015</v>
      </c>
      <c r="U59" s="184" t="inlineStr">
        <is>
          <t>Aktif</t>
        </is>
      </c>
      <c r="V59" s="184" t="inlineStr">
        <is>
          <t>Ya</t>
        </is>
      </c>
      <c r="W59" s="288" t="n"/>
      <c r="X59" s="184" t="inlineStr">
        <is>
          <t>API</t>
        </is>
      </c>
      <c r="Y59" s="184" t="inlineStr">
        <is>
          <t>Realtime</t>
        </is>
      </c>
      <c r="Z59" s="184" t="inlineStr">
        <is>
          <t>Bidang Pengendalian dan Pencegahan Penyakit</t>
        </is>
      </c>
      <c r="AA59" s="184" t="inlineStr">
        <is>
          <t>Dinkes</t>
        </is>
      </c>
      <c r="AB59" s="178" t="inlineStr">
        <is>
          <t>Stella Wirasto Dwiputra</t>
        </is>
      </c>
      <c r="AC59" s="178" t="n">
        <v>87822419136</v>
      </c>
      <c r="AD59" s="178" t="inlineStr">
        <is>
          <t>survimkabbandung@gmail.com</t>
        </is>
      </c>
      <c r="AE59" s="288" t="n"/>
      <c r="AF59" s="288" t="n"/>
      <c r="AG59" s="284" t="n"/>
      <c r="AH59" s="284" t="n"/>
      <c r="AI59" s="284" t="n"/>
      <c r="AJ59" s="284" t="n"/>
      <c r="AK59" s="284" t="n"/>
      <c r="AL59" s="284" t="n"/>
      <c r="AM59" s="284" t="n"/>
      <c r="AN59" s="284" t="n"/>
      <c r="AO59" s="284" t="n"/>
      <c r="AP59" s="284" t="n"/>
      <c r="AQ59" s="284" t="n"/>
      <c r="AR59" s="284" t="n"/>
    </row>
    <row r="60" hidden="1" s="346">
      <c r="A60" s="62" t="n">
        <v>58</v>
      </c>
      <c r="B60" s="178" t="inlineStr">
        <is>
          <t>Layanan Pelaporan Skrining Faktor Resiko Penyakit Tidak Menular</t>
        </is>
      </c>
      <c r="C60" s="178" t="inlineStr">
        <is>
          <t>Untuk melaporkan kegiatan skrining faktor resiko</t>
        </is>
      </c>
      <c r="D60" s="288" t="n"/>
      <c r="E60" s="288" t="n"/>
      <c r="F60" s="288" t="n"/>
      <c r="G60" s="288" t="n"/>
      <c r="H60" s="288" t="n"/>
      <c r="I60" s="178" t="inlineStr">
        <is>
          <t>Data Pelaporan Kegiatan PTM</t>
        </is>
      </c>
      <c r="J60" s="288" t="n"/>
      <c r="K60" s="288" t="n"/>
      <c r="L60" s="288" t="n"/>
      <c r="M60" s="184" t="inlineStr">
        <is>
          <t>SIPTM</t>
        </is>
      </c>
      <c r="N60" s="184" t="inlineStr">
        <is>
          <t>Pusat</t>
        </is>
      </c>
      <c r="O60" s="184" t="inlineStr">
        <is>
          <t>Pusat</t>
        </is>
      </c>
      <c r="P60" s="184" t="inlineStr">
        <is>
          <t>Website</t>
        </is>
      </c>
      <c r="Q60" s="70" t="inlineStr">
        <is>
          <t>https://surveilans-pptm.kemkes.go.id/</t>
        </is>
      </c>
      <c r="R60" s="288" t="n"/>
      <c r="S60" s="288" t="n"/>
      <c r="T60" s="288" t="n"/>
      <c r="U60" s="184" t="inlineStr">
        <is>
          <t>Non Aktif</t>
        </is>
      </c>
      <c r="V60" s="288" t="n"/>
      <c r="W60" s="288" t="n"/>
      <c r="X60" s="288" t="n"/>
      <c r="Y60" s="288" t="n"/>
      <c r="Z60" s="288" t="n"/>
      <c r="AA60" s="288" t="n"/>
      <c r="AB60" s="288" t="n"/>
      <c r="AC60" s="288" t="n"/>
      <c r="AD60" s="288" t="n"/>
      <c r="AE60" s="288" t="n"/>
      <c r="AF60" s="288" t="n"/>
      <c r="AG60" s="284" t="n"/>
      <c r="AH60" s="284" t="n"/>
      <c r="AI60" s="284" t="n"/>
      <c r="AJ60" s="284" t="n"/>
      <c r="AK60" s="284" t="n"/>
      <c r="AL60" s="284" t="n"/>
      <c r="AM60" s="284" t="n"/>
      <c r="AN60" s="284" t="n"/>
      <c r="AO60" s="284" t="n"/>
      <c r="AP60" s="284" t="n"/>
      <c r="AQ60" s="284" t="n"/>
      <c r="AR60" s="284" t="n"/>
    </row>
    <row r="61" hidden="1" s="346">
      <c r="A61" s="62" t="n">
        <v>59</v>
      </c>
      <c r="B61" s="178" t="inlineStr">
        <is>
          <t>Layanan Program Imunisasi</t>
        </is>
      </c>
      <c r="C61" s="178" t="inlineStr">
        <is>
          <t>Untuk memberikan pelayanan imunisasi pada bayi, balita dan wanita usia subur</t>
        </is>
      </c>
      <c r="D61" s="178" t="inlineStr">
        <is>
          <t>Surat Edaran Kementerian Kesehatan nomor : HK.02.02/C/5961/2022 tentang Penggunaan Aplikasi Sehat Indonesiaku (ASIK) untuk Imunisasi rutin</t>
        </is>
      </c>
      <c r="E61" s="288" t="n"/>
      <c r="F61" s="184" t="inlineStr">
        <is>
          <t>PENCEGAHAN DAN PENGENDALIAN PENYAKIT</t>
        </is>
      </c>
      <c r="G61" s="184" t="inlineStr">
        <is>
          <t>Masyarakat</t>
        </is>
      </c>
      <c r="H61" s="288" t="n"/>
      <c r="I61" s="178" t="inlineStr">
        <is>
          <t>Data Imunisasi</t>
        </is>
      </c>
      <c r="J61" s="184" t="inlineStr">
        <is>
          <t>Tertutup</t>
        </is>
      </c>
      <c r="K61" s="184" t="inlineStr">
        <is>
          <t>Terdapat</t>
        </is>
      </c>
      <c r="L61" s="184" t="inlineStr">
        <is>
          <t>Harian</t>
        </is>
      </c>
      <c r="M61" s="184" t="inlineStr">
        <is>
          <t>SEHAT INDONESIAKU</t>
        </is>
      </c>
      <c r="N61" s="184" t="inlineStr">
        <is>
          <t>Pusat</t>
        </is>
      </c>
      <c r="O61" s="184" t="inlineStr">
        <is>
          <t>Pusat</t>
        </is>
      </c>
      <c r="P61" s="184" t="inlineStr">
        <is>
          <t>Website</t>
        </is>
      </c>
      <c r="Q61" s="122" t="inlineStr">
        <is>
          <t>https://sehatindonesiaku.kemkes.go.id</t>
        </is>
      </c>
      <c r="R61" s="184" t="inlineStr">
        <is>
          <t>Secara Online</t>
        </is>
      </c>
      <c r="S61" s="184" t="inlineStr">
        <is>
          <t>Informasi</t>
        </is>
      </c>
      <c r="T61" s="98" t="n">
        <v>2023</v>
      </c>
      <c r="U61" s="184" t="inlineStr">
        <is>
          <t>Aktif</t>
        </is>
      </c>
      <c r="V61" s="184" t="inlineStr">
        <is>
          <t>Ya</t>
        </is>
      </c>
      <c r="W61" s="288" t="n"/>
      <c r="X61" s="184" t="inlineStr">
        <is>
          <t>API</t>
        </is>
      </c>
      <c r="Y61" s="184" t="inlineStr">
        <is>
          <t>Harian</t>
        </is>
      </c>
      <c r="Z61" s="184" t="inlineStr">
        <is>
          <t>Bidang Pengendalian dan Pencegahan Penyakit</t>
        </is>
      </c>
      <c r="AA61" s="184" t="inlineStr">
        <is>
          <t>Dinkes</t>
        </is>
      </c>
      <c r="AB61" s="178" t="inlineStr">
        <is>
          <t>Endang Sunandar</t>
        </is>
      </c>
      <c r="AC61" s="178" t="n">
        <v>81313125931</v>
      </c>
      <c r="AD61" s="178" t="inlineStr">
        <is>
          <t>survimkabbandung@gmail.com</t>
        </is>
      </c>
      <c r="AE61" s="288" t="n"/>
      <c r="AF61" s="288" t="n"/>
      <c r="AG61" s="284" t="n"/>
      <c r="AH61" s="284" t="n"/>
      <c r="AI61" s="284" t="n"/>
      <c r="AJ61" s="284" t="n"/>
      <c r="AK61" s="284" t="n"/>
      <c r="AL61" s="284" t="n"/>
      <c r="AM61" s="284" t="n"/>
      <c r="AN61" s="284" t="n"/>
      <c r="AO61" s="284" t="n"/>
      <c r="AP61" s="284" t="n"/>
      <c r="AQ61" s="284" t="n"/>
      <c r="AR61" s="284" t="n"/>
    </row>
    <row r="62" hidden="1" s="346">
      <c r="A62" s="62" t="n">
        <v>60</v>
      </c>
      <c r="B62" s="178" t="inlineStr">
        <is>
          <t>Layanan Pelaporan Penggunaan Sediaan Narkotika dan Psikotropika</t>
        </is>
      </c>
      <c r="C62" s="178" t="inlineStr">
        <is>
          <t>Untuk melaporkan penggunaan sediaan narkotika dan psikotropika dari seluruh unit pelayanan (apotek, klinik dan rumah sakit) instalasi farmasi kabupatek/kota, dinas kesehatan kabupaten/ kota dan dinas kesehatan provinsi seluruh indonesia</t>
        </is>
      </c>
      <c r="D62" s="288" t="n"/>
      <c r="E62" s="288" t="n"/>
      <c r="F62" s="288" t="n"/>
      <c r="G62" s="288" t="n"/>
      <c r="H62" s="288" t="n"/>
      <c r="I62" s="178" t="inlineStr">
        <is>
          <t>Data Laporan Penggunaan Sediaan NAPSA Nasional</t>
        </is>
      </c>
      <c r="J62" s="288" t="n"/>
      <c r="K62" s="288" t="n"/>
      <c r="L62" s="288" t="n"/>
      <c r="M62" s="184" t="inlineStr">
        <is>
          <t>SIPNAP</t>
        </is>
      </c>
      <c r="N62" s="184" t="inlineStr">
        <is>
          <t>Pusat</t>
        </is>
      </c>
      <c r="O62" s="184" t="inlineStr">
        <is>
          <t>Pusat</t>
        </is>
      </c>
      <c r="P62" s="184" t="inlineStr">
        <is>
          <t>Website</t>
        </is>
      </c>
      <c r="Q62" s="70" t="inlineStr">
        <is>
          <t>sipnap.kemkes.go.id</t>
        </is>
      </c>
      <c r="R62" s="288" t="inlineStr">
        <is>
          <t>Secara Online</t>
        </is>
      </c>
      <c r="S62" s="288" t="n"/>
      <c r="T62" s="288" t="n"/>
      <c r="U62" s="288" t="inlineStr">
        <is>
          <t>Aktif</t>
        </is>
      </c>
      <c r="V62" s="288" t="n"/>
      <c r="W62" s="288" t="n"/>
      <c r="X62" s="288" t="n"/>
      <c r="Y62" s="288" t="n"/>
      <c r="Z62" s="288" t="n"/>
      <c r="AA62" s="288" t="inlineStr">
        <is>
          <t>Dinkes</t>
        </is>
      </c>
      <c r="AB62" s="288" t="n"/>
      <c r="AC62" s="288" t="n"/>
      <c r="AD62" s="288" t="n"/>
      <c r="AE62" s="288" t="n"/>
      <c r="AF62" s="288" t="n"/>
      <c r="AG62" s="284" t="n"/>
      <c r="AH62" s="284" t="n"/>
      <c r="AI62" s="284" t="n"/>
      <c r="AJ62" s="284" t="n"/>
      <c r="AK62" s="284" t="n"/>
      <c r="AL62" s="284" t="n"/>
      <c r="AM62" s="284" t="n"/>
      <c r="AN62" s="284" t="n"/>
      <c r="AO62" s="284" t="n"/>
      <c r="AP62" s="284" t="n"/>
      <c r="AQ62" s="284" t="n"/>
      <c r="AR62" s="284" t="n"/>
    </row>
    <row r="63" hidden="1" s="346">
      <c r="A63" s="62" t="n">
        <v>61</v>
      </c>
      <c r="B63" s="178" t="inlineStr">
        <is>
          <t>Layanan Perekaman Data RM Pasien Elektronik</t>
        </is>
      </c>
      <c r="C63" s="178" t="inlineStr">
        <is>
          <t>Untuk mencatat data rekam medis pasien yang berkunjung ke puskesmas</t>
        </is>
      </c>
      <c r="D63" s="288" t="n"/>
      <c r="E63" s="288" t="n"/>
      <c r="F63" s="288" t="n"/>
      <c r="G63" s="288" t="n"/>
      <c r="H63" s="288" t="n"/>
      <c r="I63" s="178" t="inlineStr">
        <is>
          <t>Data Rekam Medis</t>
        </is>
      </c>
      <c r="J63" s="288" t="n"/>
      <c r="K63" s="288" t="n"/>
      <c r="L63" s="288" t="n"/>
      <c r="M63" s="184" t="inlineStr">
        <is>
          <t>SIMPUS</t>
        </is>
      </c>
      <c r="N63" s="288" t="n"/>
      <c r="O63" s="288" t="n"/>
      <c r="P63" s="288" t="n"/>
      <c r="Q63" s="288" t="n"/>
      <c r="R63" s="288" t="n"/>
      <c r="S63" s="288" t="n"/>
      <c r="T63" s="288" t="n"/>
      <c r="U63" s="288" t="n"/>
      <c r="V63" s="288" t="n"/>
      <c r="W63" s="288" t="n"/>
      <c r="X63" s="288" t="n"/>
      <c r="Y63" s="288" t="n"/>
      <c r="Z63" s="288" t="n"/>
      <c r="AA63" s="288" t="n"/>
      <c r="AB63" s="288" t="n"/>
      <c r="AC63" s="288" t="n"/>
      <c r="AD63" s="288" t="n"/>
      <c r="AE63" s="288" t="n"/>
      <c r="AF63" s="288" t="n"/>
      <c r="AG63" s="284" t="n"/>
      <c r="AH63" s="284" t="n"/>
      <c r="AI63" s="284" t="n"/>
      <c r="AJ63" s="284" t="n"/>
      <c r="AK63" s="284" t="n"/>
      <c r="AL63" s="284" t="n"/>
      <c r="AM63" s="284" t="n"/>
      <c r="AN63" s="284" t="n"/>
      <c r="AO63" s="284" t="n"/>
      <c r="AP63" s="284" t="n"/>
      <c r="AQ63" s="284" t="n"/>
      <c r="AR63" s="284" t="n"/>
    </row>
    <row r="64" hidden="1" s="346">
      <c r="A64" s="62" t="n">
        <v>62</v>
      </c>
      <c r="B64" s="178" t="inlineStr">
        <is>
          <t>Layanan Pendataan Tuberkulosis</t>
        </is>
      </c>
      <c r="C64" s="178" t="inlineStr">
        <is>
          <t>Untuk memantau keadaan pasien TBC</t>
        </is>
      </c>
      <c r="D64" s="288" t="n"/>
      <c r="E64" s="288" t="n"/>
      <c r="F64" s="184" t="inlineStr">
        <is>
          <t>PENCEGAHAN DAN PENGENDALIAN PENYAKIT</t>
        </is>
      </c>
      <c r="G64" s="184" t="inlineStr">
        <is>
          <t>Masyarakat</t>
        </is>
      </c>
      <c r="H64" s="288" t="n"/>
      <c r="I64" s="178" t="inlineStr">
        <is>
          <t>Data Pasien TBC</t>
        </is>
      </c>
      <c r="J64" s="184" t="inlineStr">
        <is>
          <t>Terbatas</t>
        </is>
      </c>
      <c r="K64" s="184" t="inlineStr">
        <is>
          <t>Terdapat</t>
        </is>
      </c>
      <c r="L64" s="184" t="inlineStr">
        <is>
          <t>Harian</t>
        </is>
      </c>
      <c r="M64" s="184" t="inlineStr">
        <is>
          <t>Sistem Informasi Tuberkulosis (SITB)</t>
        </is>
      </c>
      <c r="N64" s="184" t="inlineStr">
        <is>
          <t>Pusat</t>
        </is>
      </c>
      <c r="O64" s="184" t="inlineStr">
        <is>
          <t>Pusat</t>
        </is>
      </c>
      <c r="P64" s="184" t="inlineStr">
        <is>
          <t>Website</t>
        </is>
      </c>
      <c r="Q64" s="70" t="inlineStr">
        <is>
          <t>https://sitb.kemkes.go.id/</t>
        </is>
      </c>
      <c r="R64" s="184" t="inlineStr">
        <is>
          <t>Secara Online</t>
        </is>
      </c>
      <c r="S64" s="184" t="inlineStr">
        <is>
          <t>Informasi</t>
        </is>
      </c>
      <c r="T64" s="288" t="n"/>
      <c r="U64" s="184" t="inlineStr">
        <is>
          <t>Aktif</t>
        </is>
      </c>
      <c r="V64" s="184" t="inlineStr">
        <is>
          <t>Ya</t>
        </is>
      </c>
      <c r="W64" s="288" t="n"/>
      <c r="X64" s="184" t="inlineStr">
        <is>
          <t>Manual</t>
        </is>
      </c>
      <c r="Y64" s="184" t="inlineStr">
        <is>
          <t>Realtime</t>
        </is>
      </c>
      <c r="Z64" s="184" t="inlineStr">
        <is>
          <t>Bidang Pengendalian dan Pencegahan Penyakit</t>
        </is>
      </c>
      <c r="AA64" s="184" t="inlineStr">
        <is>
          <t>Dinkes</t>
        </is>
      </c>
      <c r="AB64" s="178" t="inlineStr">
        <is>
          <t>dr.Lucy</t>
        </is>
      </c>
      <c r="AC64" s="178" t="n">
        <v>81322836363</v>
      </c>
      <c r="AD64" s="178" t="inlineStr">
        <is>
          <t>seksipmptmkabupatenbandung@gmail.com</t>
        </is>
      </c>
      <c r="AE64" s="288" t="n"/>
      <c r="AF64" s="288" t="n"/>
      <c r="AG64" s="284" t="n"/>
      <c r="AH64" s="284" t="n"/>
      <c r="AI64" s="284" t="n"/>
      <c r="AJ64" s="284" t="n"/>
      <c r="AK64" s="284" t="n"/>
      <c r="AL64" s="284" t="n"/>
      <c r="AM64" s="284" t="n"/>
      <c r="AN64" s="284" t="n"/>
      <c r="AO64" s="284" t="n"/>
      <c r="AP64" s="284" t="n"/>
      <c r="AQ64" s="284" t="n"/>
      <c r="AR64" s="284" t="n"/>
    </row>
    <row r="65" hidden="1" s="346">
      <c r="A65" s="62" t="n">
        <v>63</v>
      </c>
      <c r="B65" s="178" t="inlineStr">
        <is>
          <t>Layanan Penanggulangan Penderita Malaria</t>
        </is>
      </c>
      <c r="C65" s="178" t="inlineStr">
        <is>
          <t>Untuk melaporkan penderita malaria</t>
        </is>
      </c>
      <c r="D65" s="288" t="n"/>
      <c r="E65" s="288" t="n"/>
      <c r="F65" s="184" t="inlineStr">
        <is>
          <t>PENCEGAHAN DAN PENGENDALIAN PENYAKIT</t>
        </is>
      </c>
      <c r="G65" s="184" t="inlineStr">
        <is>
          <t>Masyarakat</t>
        </is>
      </c>
      <c r="H65" s="288" t="n"/>
      <c r="I65" s="178" t="inlineStr">
        <is>
          <t>Data Pasien Penderita Malaria</t>
        </is>
      </c>
      <c r="J65" s="184" t="inlineStr">
        <is>
          <t>Terbatas</t>
        </is>
      </c>
      <c r="K65" s="184" t="inlineStr">
        <is>
          <t>Terdapat</t>
        </is>
      </c>
      <c r="L65" s="184" t="inlineStr">
        <is>
          <t>Harian</t>
        </is>
      </c>
      <c r="M65" s="184" t="inlineStr">
        <is>
          <t>ESISMAL</t>
        </is>
      </c>
      <c r="N65" s="184" t="inlineStr">
        <is>
          <t>Pusat</t>
        </is>
      </c>
      <c r="O65" s="184" t="inlineStr">
        <is>
          <t>Pusat</t>
        </is>
      </c>
      <c r="P65" s="184" t="inlineStr">
        <is>
          <t>Website</t>
        </is>
      </c>
      <c r="Q65" s="70" t="inlineStr">
        <is>
          <t>sismal.kemkes.go.id</t>
        </is>
      </c>
      <c r="R65" s="184" t="inlineStr">
        <is>
          <t>Secara Online</t>
        </is>
      </c>
      <c r="S65" s="184" t="inlineStr">
        <is>
          <t>Informasi</t>
        </is>
      </c>
      <c r="T65" s="288" t="n"/>
      <c r="U65" s="184" t="inlineStr">
        <is>
          <t>Aktif</t>
        </is>
      </c>
      <c r="V65" s="184" t="inlineStr">
        <is>
          <t>Ya</t>
        </is>
      </c>
      <c r="W65" s="288" t="n"/>
      <c r="X65" s="184" t="inlineStr">
        <is>
          <t>Manual</t>
        </is>
      </c>
      <c r="Y65" s="184" t="inlineStr">
        <is>
          <t>Realtime</t>
        </is>
      </c>
      <c r="Z65" s="184" t="inlineStr">
        <is>
          <t>Bidang Pengendalian dan Pencegahan Penyakit</t>
        </is>
      </c>
      <c r="AA65" s="184" t="inlineStr">
        <is>
          <t>Dinkes</t>
        </is>
      </c>
      <c r="AB65" s="178" t="inlineStr">
        <is>
          <t>Ratna Wulan Sari</t>
        </is>
      </c>
      <c r="AC65" s="178" t="n">
        <v>81223266494</v>
      </c>
      <c r="AD65" s="178" t="inlineStr">
        <is>
          <t>seksipmptmkabupatenbandung@gmail.com</t>
        </is>
      </c>
      <c r="AE65" s="288" t="n"/>
      <c r="AF65" s="288" t="n"/>
      <c r="AG65" s="284" t="n"/>
      <c r="AH65" s="284" t="n"/>
      <c r="AI65" s="284" t="n"/>
      <c r="AJ65" s="284" t="n"/>
      <c r="AK65" s="284" t="n"/>
      <c r="AL65" s="284" t="n"/>
      <c r="AM65" s="284" t="n"/>
      <c r="AN65" s="284" t="n"/>
      <c r="AO65" s="284" t="n"/>
      <c r="AP65" s="284" t="n"/>
      <c r="AQ65" s="284" t="n"/>
      <c r="AR65" s="284" t="n"/>
    </row>
    <row r="66" hidden="1" s="346">
      <c r="A66" s="62" t="n">
        <v>64</v>
      </c>
      <c r="B66" s="178" t="inlineStr">
        <is>
          <t>Layanan Penyakit Tular Vektor, Zoonotik dan DBD</t>
        </is>
      </c>
      <c r="C66" s="178" t="inlineStr">
        <is>
          <t>Untuk mempersiapkan kewaspadaan dini terhadap penyakit tulat vektor dan zoonotik</t>
        </is>
      </c>
      <c r="D66" s="288" t="n"/>
      <c r="E66" s="288" t="n"/>
      <c r="F66" s="184" t="inlineStr">
        <is>
          <t>PENCEGAHAN DAN PENGENDALIAN PENYAKIT</t>
        </is>
      </c>
      <c r="G66" s="184" t="inlineStr">
        <is>
          <t>Masyarakat</t>
        </is>
      </c>
      <c r="H66" s="288" t="n"/>
      <c r="I66" s="178" t="inlineStr">
        <is>
          <t>Data Penyakit Tular Vektor dan Zoonotik</t>
        </is>
      </c>
      <c r="J66" s="184" t="inlineStr">
        <is>
          <t>Terbatas</t>
        </is>
      </c>
      <c r="K66" s="184" t="inlineStr">
        <is>
          <t>Terdapat</t>
        </is>
      </c>
      <c r="L66" s="184" t="inlineStr">
        <is>
          <t>Harian</t>
        </is>
      </c>
      <c r="M66" s="184" t="inlineStr">
        <is>
          <t>SILANTOR</t>
        </is>
      </c>
      <c r="N66" s="184" t="inlineStr">
        <is>
          <t>Pusat</t>
        </is>
      </c>
      <c r="O66" s="184" t="inlineStr">
        <is>
          <t>Pusat</t>
        </is>
      </c>
      <c r="P66" s="184" t="inlineStr">
        <is>
          <t>Website</t>
        </is>
      </c>
      <c r="Q66" s="70" t="inlineStr">
        <is>
          <t>silantor.kemkes.go.id</t>
        </is>
      </c>
      <c r="R66" s="184" t="inlineStr">
        <is>
          <t>Secara Online</t>
        </is>
      </c>
      <c r="S66" s="184" t="inlineStr">
        <is>
          <t>Informasi</t>
        </is>
      </c>
      <c r="T66" s="288" t="n"/>
      <c r="U66" s="184" t="inlineStr">
        <is>
          <t>Aktif</t>
        </is>
      </c>
      <c r="V66" s="184" t="inlineStr">
        <is>
          <t>Ya</t>
        </is>
      </c>
      <c r="W66" s="288" t="n"/>
      <c r="X66" s="184" t="inlineStr">
        <is>
          <t>Manual</t>
        </is>
      </c>
      <c r="Y66" s="184" t="inlineStr">
        <is>
          <t>Realtime</t>
        </is>
      </c>
      <c r="Z66" s="184" t="inlineStr">
        <is>
          <t>Bidang Pengendalian dan Pencegahan Penyakit</t>
        </is>
      </c>
      <c r="AA66" s="184" t="inlineStr">
        <is>
          <t>Dinkes</t>
        </is>
      </c>
      <c r="AB66" s="178" t="inlineStr">
        <is>
          <t>Ratna Wulan Sari</t>
        </is>
      </c>
      <c r="AC66" s="178" t="n">
        <v>81223266494</v>
      </c>
      <c r="AD66" s="178" t="inlineStr">
        <is>
          <t>seksipmptmkabupatenbandung@gmail.com</t>
        </is>
      </c>
      <c r="AE66" s="288" t="n"/>
      <c r="AF66" s="288" t="n"/>
      <c r="AG66" s="284" t="n"/>
      <c r="AH66" s="284" t="n"/>
      <c r="AI66" s="284" t="n"/>
      <c r="AJ66" s="284" t="n"/>
      <c r="AK66" s="284" t="n"/>
      <c r="AL66" s="284" t="n"/>
      <c r="AM66" s="284" t="n"/>
      <c r="AN66" s="284" t="n"/>
      <c r="AO66" s="284" t="n"/>
      <c r="AP66" s="284" t="n"/>
      <c r="AQ66" s="284" t="n"/>
      <c r="AR66" s="284" t="n"/>
    </row>
    <row r="67" hidden="1" s="346">
      <c r="A67" s="62" t="n">
        <v>65</v>
      </c>
      <c r="B67" s="178" t="inlineStr">
        <is>
          <t>Layanan Perencanaan Kebutuhan Tenaga Fasyankes Kabupaten Bandung</t>
        </is>
      </c>
      <c r="C67" s="178" t="inlineStr">
        <is>
          <t>Untuk merencanakan jumlah kebutuhan tenaga kesehatan di fasyankes pemerintah kabupaten bandung</t>
        </is>
      </c>
      <c r="D67" s="288" t="n"/>
      <c r="E67" s="288" t="n"/>
      <c r="F67" s="288" t="n"/>
      <c r="G67" s="288" t="n"/>
      <c r="H67" s="288" t="n"/>
      <c r="I67" s="178" t="inlineStr">
        <is>
          <t>Data Formasi Nakes Fayankes</t>
        </is>
      </c>
      <c r="J67" s="288" t="n"/>
      <c r="K67" s="288" t="n"/>
      <c r="L67" s="288" t="n"/>
      <c r="M67" s="184" t="inlineStr">
        <is>
          <t>RENBUT</t>
        </is>
      </c>
      <c r="N67" s="288" t="n"/>
      <c r="O67" s="288" t="n"/>
      <c r="P67" s="288" t="n"/>
      <c r="Q67" s="288" t="n"/>
      <c r="R67" s="288" t="n"/>
      <c r="S67" s="288" t="n"/>
      <c r="T67" s="288" t="n"/>
      <c r="U67" s="288" t="n"/>
      <c r="V67" s="288" t="n"/>
      <c r="W67" s="288" t="n"/>
      <c r="X67" s="288" t="n"/>
      <c r="Y67" s="288" t="n"/>
      <c r="Z67" s="288" t="n"/>
      <c r="AA67" s="288" t="n"/>
      <c r="AB67" s="178" t="inlineStr">
        <is>
          <t>Sari</t>
        </is>
      </c>
      <c r="AC67" s="288" t="n"/>
      <c r="AD67" s="288" t="n"/>
      <c r="AE67" s="288" t="n"/>
      <c r="AF67" s="288" t="n"/>
      <c r="AG67" s="284" t="n"/>
      <c r="AH67" s="284" t="n"/>
      <c r="AI67" s="284" t="n"/>
      <c r="AJ67" s="284" t="n"/>
      <c r="AK67" s="284" t="n"/>
      <c r="AL67" s="284" t="n"/>
      <c r="AM67" s="284" t="n"/>
      <c r="AN67" s="284" t="n"/>
      <c r="AO67" s="284" t="n"/>
      <c r="AP67" s="284" t="n"/>
      <c r="AQ67" s="284" t="n"/>
      <c r="AR67" s="284" t="n"/>
    </row>
    <row r="68" hidden="1" s="346">
      <c r="A68" s="62" t="n">
        <v>66</v>
      </c>
      <c r="B68" s="178" t="inlineStr">
        <is>
          <t>Layanan Pencegahan dan Pengendalian HIV AIDS</t>
        </is>
      </c>
      <c r="C68" s="178" t="inlineStr">
        <is>
          <t>Untuk melaksanakan upaya-upaya pencegahan dan pengendalian penyakit HIV</t>
        </is>
      </c>
      <c r="D68" s="288" t="n"/>
      <c r="E68" s="288" t="n"/>
      <c r="F68" s="184" t="inlineStr">
        <is>
          <t>PENCEGAHAN DAN PENGENDALIAN PENYAKIT</t>
        </is>
      </c>
      <c r="G68" s="184" t="inlineStr">
        <is>
          <t>Masyarakat</t>
        </is>
      </c>
      <c r="H68" s="288" t="n"/>
      <c r="I68" s="178" t="inlineStr">
        <is>
          <t>Data Penderita Penyakit HIV AIDS</t>
        </is>
      </c>
      <c r="J68" s="184" t="inlineStr">
        <is>
          <t>Terbatas</t>
        </is>
      </c>
      <c r="K68" s="184" t="inlineStr">
        <is>
          <t>Terdapat</t>
        </is>
      </c>
      <c r="L68" s="184" t="inlineStr">
        <is>
          <t>Harian</t>
        </is>
      </c>
      <c r="M68" s="184" t="inlineStr">
        <is>
          <t>SIHA</t>
        </is>
      </c>
      <c r="N68" s="184" t="inlineStr">
        <is>
          <t>Pusat</t>
        </is>
      </c>
      <c r="O68" s="184" t="inlineStr">
        <is>
          <t>Pusat</t>
        </is>
      </c>
      <c r="P68" s="184" t="inlineStr">
        <is>
          <t>Website</t>
        </is>
      </c>
      <c r="Q68" s="70" t="inlineStr">
        <is>
          <t>https://sihapims2.kemkes.go.id</t>
        </is>
      </c>
      <c r="R68" s="184" t="inlineStr">
        <is>
          <t>Secara Online</t>
        </is>
      </c>
      <c r="S68" s="184" t="inlineStr">
        <is>
          <t>Informasi</t>
        </is>
      </c>
      <c r="T68" s="288" t="n"/>
      <c r="U68" s="184" t="inlineStr">
        <is>
          <t>Aktif</t>
        </is>
      </c>
      <c r="V68" s="184" t="inlineStr">
        <is>
          <t>Ya</t>
        </is>
      </c>
      <c r="W68" s="288" t="n"/>
      <c r="X68" s="184" t="inlineStr">
        <is>
          <t>Manual</t>
        </is>
      </c>
      <c r="Y68" s="184" t="inlineStr">
        <is>
          <t>Realtime</t>
        </is>
      </c>
      <c r="Z68" s="184" t="inlineStr">
        <is>
          <t>Bidang Pengendalian dan Pencegahan Penyakit</t>
        </is>
      </c>
      <c r="AA68" s="184" t="inlineStr">
        <is>
          <t>Dinkes</t>
        </is>
      </c>
      <c r="AB68" s="178" t="inlineStr">
        <is>
          <t>Ratna Wulan Sari</t>
        </is>
      </c>
      <c r="AC68" s="178" t="n">
        <v>81223266494</v>
      </c>
      <c r="AD68" s="178" t="inlineStr">
        <is>
          <t>seksipmptmkabupatenbandung@gmail.com</t>
        </is>
      </c>
      <c r="AE68" s="288" t="n"/>
      <c r="AF68" s="288" t="n"/>
      <c r="AG68" s="284" t="n"/>
      <c r="AH68" s="284" t="n"/>
      <c r="AI68" s="284" t="n"/>
      <c r="AJ68" s="284" t="n"/>
      <c r="AK68" s="284" t="n"/>
      <c r="AL68" s="284" t="n"/>
      <c r="AM68" s="284" t="n"/>
      <c r="AN68" s="284" t="n"/>
      <c r="AO68" s="284" t="n"/>
      <c r="AP68" s="284" t="n"/>
      <c r="AQ68" s="284" t="n"/>
      <c r="AR68" s="284" t="n"/>
    </row>
    <row r="69" hidden="1" s="346">
      <c r="A69" s="62" t="n">
        <v>67</v>
      </c>
      <c r="B69" s="178" t="inlineStr">
        <is>
          <t>Layanan Komdat dan Microsite</t>
        </is>
      </c>
      <c r="C69" s="178" t="inlineStr">
        <is>
          <t>Untuk mengetahui data kegiatan Germas dan posyandu aktif</t>
        </is>
      </c>
      <c r="D69" s="288" t="n"/>
      <c r="E69" s="288" t="n"/>
      <c r="F69" s="288" t="n"/>
      <c r="G69" s="288" t="n"/>
      <c r="H69" s="288" t="n"/>
      <c r="I69" s="178" t="inlineStr">
        <is>
          <t>Data Posyandu Aktif &amp; Kegiatan Germas</t>
        </is>
      </c>
      <c r="J69" s="288" t="n"/>
      <c r="K69" s="288" t="n"/>
      <c r="L69" s="288" t="n"/>
      <c r="M69" s="184" t="inlineStr">
        <is>
          <t>KOMDAT &amp; MICROSITE</t>
        </is>
      </c>
      <c r="N69" s="288" t="n"/>
      <c r="O69" s="288" t="n"/>
      <c r="P69" s="288" t="n"/>
      <c r="Q69" s="288" t="n"/>
      <c r="R69" s="288" t="n"/>
      <c r="S69" s="288" t="n"/>
      <c r="T69" s="288" t="n"/>
      <c r="U69" s="288" t="n"/>
      <c r="V69" s="288" t="n"/>
      <c r="W69" s="288" t="n"/>
      <c r="X69" s="288" t="n"/>
      <c r="Y69" s="288" t="n"/>
      <c r="Z69" s="288" t="n"/>
      <c r="AA69" s="288" t="n"/>
      <c r="AB69" s="288" t="n"/>
      <c r="AC69" s="288" t="n"/>
      <c r="AD69" s="288" t="n"/>
      <c r="AE69" s="288" t="n"/>
      <c r="AF69" s="288" t="n"/>
      <c r="AG69" s="284" t="n"/>
      <c r="AH69" s="284" t="n"/>
      <c r="AI69" s="284" t="n"/>
      <c r="AJ69" s="284" t="n"/>
      <c r="AK69" s="284" t="n"/>
      <c r="AL69" s="284" t="n"/>
      <c r="AM69" s="284" t="n"/>
      <c r="AN69" s="284" t="n"/>
      <c r="AO69" s="284" t="n"/>
      <c r="AP69" s="284" t="n"/>
      <c r="AQ69" s="284" t="n"/>
      <c r="AR69" s="284" t="n"/>
    </row>
    <row r="70" hidden="1" s="346">
      <c r="A70" s="62" t="n">
        <v>68</v>
      </c>
      <c r="B70" s="178" t="inlineStr">
        <is>
          <t>Pelaporan data realisasi hasil pemantauan pelaksanaan Renja _K/L</t>
        </is>
      </c>
      <c r="C70" s="178" t="inlineStr">
        <is>
          <t>untuk Pelaporan data realisasi hasil pemantauan pelaksanaan Renja _K/L</t>
        </is>
      </c>
      <c r="D70" s="288" t="n"/>
      <c r="E70" s="288" t="n"/>
      <c r="F70" s="288" t="n"/>
      <c r="G70" s="288" t="n"/>
      <c r="H70" s="288" t="n"/>
      <c r="I70" s="178" t="inlineStr">
        <is>
          <t>Data TFU ( Tempat Fasilitas Umum )</t>
        </is>
      </c>
      <c r="J70" s="288" t="n"/>
      <c r="K70" s="288" t="n"/>
      <c r="L70" s="288" t="n"/>
      <c r="M70" s="184" t="inlineStr">
        <is>
          <t>E-MONEV TFU</t>
        </is>
      </c>
      <c r="N70" s="288" t="n"/>
      <c r="O70" s="288" t="n"/>
      <c r="P70" s="288" t="n"/>
      <c r="Q70" s="288" t="n"/>
      <c r="R70" s="288" t="n"/>
      <c r="S70" s="288" t="n"/>
      <c r="T70" s="288" t="n"/>
      <c r="U70" s="288" t="n"/>
      <c r="V70" s="288" t="n"/>
      <c r="W70" s="288" t="n"/>
      <c r="X70" s="288" t="n"/>
      <c r="Y70" s="288" t="n"/>
      <c r="Z70" s="288" t="n"/>
      <c r="AA70" s="288" t="n"/>
      <c r="AB70" s="288" t="n"/>
      <c r="AC70" s="288" t="n"/>
      <c r="AD70" s="288" t="n"/>
      <c r="AE70" s="288" t="n"/>
      <c r="AF70" s="288" t="n"/>
      <c r="AG70" s="284" t="n"/>
      <c r="AH70" s="284" t="n"/>
      <c r="AI70" s="284" t="n"/>
      <c r="AJ70" s="284" t="n"/>
      <c r="AK70" s="284" t="n"/>
      <c r="AL70" s="284" t="n"/>
      <c r="AM70" s="284" t="n"/>
      <c r="AN70" s="284" t="n"/>
      <c r="AO70" s="284" t="n"/>
      <c r="AP70" s="284" t="n"/>
      <c r="AQ70" s="284" t="n"/>
      <c r="AR70" s="284" t="n"/>
    </row>
    <row r="71" hidden="1" s="346">
      <c r="A71" s="62" t="n">
        <v>69</v>
      </c>
      <c r="B71" s="178" t="inlineStr">
        <is>
          <t>Pencatatan dan pelaporan status gizi</t>
        </is>
      </c>
      <c r="C71" s="178" t="inlineStr">
        <is>
          <t>untuk memperoleh informasi status gizi individu dan kinerja program gizi secara cepat, akurat, teratur dan berkelanjutan untuk penyusunan perencanaan dan perumusan kebijakan gizi</t>
        </is>
      </c>
      <c r="D71" s="288" t="n"/>
      <c r="E71" s="288" t="n"/>
      <c r="F71" s="288" t="n"/>
      <c r="G71" s="288" t="n"/>
      <c r="H71" s="288" t="n"/>
      <c r="I71" s="178" t="inlineStr">
        <is>
          <t>Data Gizi</t>
        </is>
      </c>
      <c r="J71" s="288" t="n"/>
      <c r="K71" s="288" t="n"/>
      <c r="L71" s="288" t="n"/>
      <c r="M71" s="184" t="inlineStr">
        <is>
          <t>Sigizi Terpadu</t>
        </is>
      </c>
      <c r="N71" s="288" t="n"/>
      <c r="O71" s="288" t="n"/>
      <c r="P71" s="288" t="n"/>
      <c r="Q71" s="288" t="n"/>
      <c r="R71" s="288" t="n"/>
      <c r="S71" s="288" t="n"/>
      <c r="T71" s="288" t="n"/>
      <c r="U71" s="288" t="n"/>
      <c r="V71" s="288" t="n"/>
      <c r="W71" s="288" t="n"/>
      <c r="X71" s="288" t="n"/>
      <c r="Y71" s="288" t="n"/>
      <c r="Z71" s="288" t="n"/>
      <c r="AA71" s="288" t="n"/>
      <c r="AB71" s="288" t="n"/>
      <c r="AC71" s="288" t="n"/>
      <c r="AD71" s="288" t="n"/>
      <c r="AE71" s="288" t="n"/>
      <c r="AF71" s="288" t="n"/>
      <c r="AG71" s="284" t="n"/>
      <c r="AH71" s="284" t="n"/>
      <c r="AI71" s="284" t="n"/>
      <c r="AJ71" s="284" t="n"/>
      <c r="AK71" s="284" t="n"/>
      <c r="AL71" s="284" t="n"/>
      <c r="AM71" s="284" t="n"/>
      <c r="AN71" s="284" t="n"/>
      <c r="AO71" s="284" t="n"/>
      <c r="AP71" s="284" t="n"/>
      <c r="AQ71" s="284" t="n"/>
      <c r="AR71" s="284" t="n"/>
    </row>
    <row r="72" hidden="1" s="346">
      <c r="A72" s="62" t="n">
        <v>70</v>
      </c>
      <c r="B72" s="178" t="inlineStr">
        <is>
          <t>Sistem Monitoring Inventaris Logistik Kesehatan Secara Elektronik</t>
        </is>
      </c>
      <c r="C72" s="178" t="inlineStr">
        <is>
          <t>membantu dalam mencatat dan memantau pemesanan, distribusi, dan logistik vaksin, obat dan alat kesehatan secara real-time</t>
        </is>
      </c>
      <c r="D72" s="288" t="n"/>
      <c r="E72" s="288" t="n"/>
      <c r="F72" s="288" t="n"/>
      <c r="G72" s="184" t="inlineStr">
        <is>
          <t>Instansi Pemerintah Lainnya</t>
        </is>
      </c>
      <c r="H72" s="288" t="n"/>
      <c r="I72" s="288" t="n"/>
      <c r="J72" s="288" t="n"/>
      <c r="K72" s="288" t="n"/>
      <c r="L72" s="184" t="inlineStr">
        <is>
          <t>Harian</t>
        </is>
      </c>
      <c r="M72" s="184" t="inlineStr">
        <is>
          <t>SMILE HEALTH</t>
        </is>
      </c>
      <c r="N72" s="184" t="inlineStr">
        <is>
          <t>Pusat</t>
        </is>
      </c>
      <c r="O72" s="184" t="inlineStr">
        <is>
          <t>Pusat</t>
        </is>
      </c>
      <c r="P72" s="184" t="inlineStr">
        <is>
          <t>Website dan Mobile</t>
        </is>
      </c>
      <c r="Q72" s="70" t="inlineStr">
        <is>
          <t>https://smile.kemkes.go.id/</t>
        </is>
      </c>
      <c r="R72" s="184" t="inlineStr">
        <is>
          <t>Secara Online</t>
        </is>
      </c>
      <c r="S72" s="288" t="n"/>
      <c r="T72" s="288" t="n"/>
      <c r="U72" s="184" t="inlineStr">
        <is>
          <t>Aktif</t>
        </is>
      </c>
      <c r="V72" s="184" t="inlineStr">
        <is>
          <t>Ya</t>
        </is>
      </c>
      <c r="W72" s="184" t="inlineStr">
        <is>
          <t>SITB, SIHA</t>
        </is>
      </c>
      <c r="X72" s="288" t="n"/>
      <c r="Y72" s="184" t="inlineStr">
        <is>
          <t>Realtime</t>
        </is>
      </c>
      <c r="Z72" s="184" t="inlineStr">
        <is>
          <t>Farmasi</t>
        </is>
      </c>
      <c r="AA72" s="288" t="inlineStr">
        <is>
          <t>Dinkes</t>
        </is>
      </c>
      <c r="AB72" s="288" t="n"/>
      <c r="AC72" s="288" t="n"/>
      <c r="AD72" s="288" t="n"/>
      <c r="AE72" s="288" t="n"/>
      <c r="AF72" s="288" t="n"/>
      <c r="AG72" s="284" t="n"/>
      <c r="AH72" s="284" t="n"/>
      <c r="AI72" s="284" t="n"/>
      <c r="AJ72" s="284" t="n"/>
      <c r="AK72" s="284" t="n"/>
      <c r="AL72" s="284" t="n"/>
      <c r="AM72" s="284" t="n"/>
      <c r="AN72" s="284" t="n"/>
      <c r="AO72" s="284" t="n"/>
      <c r="AP72" s="284" t="n"/>
      <c r="AQ72" s="284" t="n"/>
      <c r="AR72" s="284" t="n"/>
    </row>
    <row r="73" hidden="1" s="346">
      <c r="A73" s="62" t="n">
        <v>71</v>
      </c>
      <c r="B73" s="178" t="inlineStr">
        <is>
          <t>SIJALAK (Sistem Informasi Jalan dan Jembatan Kabupaten Bandung)</t>
        </is>
      </c>
      <c r="C73" s="178" t="inlineStr">
        <is>
          <t>Si Jalak merupakan sebuah platform digital inovatif yang bertujuan
 untuk mempermudah masyarakat dalam melaporkan kondisi kerusakan
 infrastruktur publik, seperti jalan raya, jembatan, saluran air, dan tembok penahan.</t>
        </is>
      </c>
      <c r="D73" s="178" t="inlineStr">
        <is>
          <t>Peraturan Daerah Nomor 23 Tahun 2016 tentang Penyelenggaraan Jalan</t>
        </is>
      </c>
      <c r="E73" s="184" t="inlineStr">
        <is>
          <t>Belum Tersedia</t>
        </is>
      </c>
      <c r="F73" s="184" t="inlineStr">
        <is>
          <t>PENGELOLAAN PEMBANGUNAN INFRASTRUKTUR BIDANG PUPR</t>
        </is>
      </c>
      <c r="G73" s="184" t="inlineStr">
        <is>
          <t>Masyarakat</t>
        </is>
      </c>
      <c r="H73" s="178" t="inlineStr">
        <is>
          <t>Data Pelapor dan Aduan Lokasi Kerusakan Jalan, Jembatan, Saluran Tepi Jalan dan Tembok Penahan Tanah</t>
        </is>
      </c>
      <c r="I73" s="178" t="inlineStr">
        <is>
          <t>Data Hasil Pelaporan dan Aduan Masyarakat Terkait Kerusakan Jalan, Jembatan, Saluran Tepi Jalan dan Tembok Penahan Tanah</t>
        </is>
      </c>
      <c r="J73" s="184" t="inlineStr">
        <is>
          <t>Terbuka</t>
        </is>
      </c>
      <c r="K73" s="184" t="inlineStr">
        <is>
          <t>Terdapat</t>
        </is>
      </c>
      <c r="L73" s="184" t="inlineStr">
        <is>
          <t>Harian</t>
        </is>
      </c>
      <c r="M73" s="184" t="inlineStr">
        <is>
          <t>SI PUTRA (sijalak)</t>
        </is>
      </c>
      <c r="N73" s="184" t="inlineStr">
        <is>
          <t>Pihak Ke 3</t>
        </is>
      </c>
      <c r="O73" s="184" t="inlineStr">
        <is>
          <t>Kab. Bandung</t>
        </is>
      </c>
      <c r="P73" s="184" t="inlineStr">
        <is>
          <t>Website dan Mobile</t>
        </is>
      </c>
      <c r="Q73" s="70" t="inlineStr">
        <is>
          <t>https://sijalak-kab-bandung.com/</t>
        </is>
      </c>
      <c r="R73" s="184" t="inlineStr">
        <is>
          <t>Secara Online</t>
        </is>
      </c>
      <c r="S73" s="184" t="inlineStr">
        <is>
          <t>Transaksi</t>
        </is>
      </c>
      <c r="T73" s="184" t="n">
        <v>2024</v>
      </c>
      <c r="U73" s="184" t="inlineStr">
        <is>
          <t>Aktif</t>
        </is>
      </c>
      <c r="V73" s="184" t="inlineStr">
        <is>
          <t>Tidak</t>
        </is>
      </c>
      <c r="W73" s="184" t="inlineStr">
        <is>
          <t>Tidak Terintegrasi</t>
        </is>
      </c>
      <c r="X73" s="184" t="inlineStr">
        <is>
          <t>Tidak Terintegrasi</t>
        </is>
      </c>
      <c r="Y73" s="184" t="inlineStr">
        <is>
          <t>Tidak Terintegrasi</t>
        </is>
      </c>
      <c r="Z73" s="184" t="inlineStr">
        <is>
          <t>Bidang Jalan</t>
        </is>
      </c>
      <c r="AA73" s="184" t="inlineStr">
        <is>
          <t>DPUTR</t>
        </is>
      </c>
      <c r="AB73" s="178" t="inlineStr">
        <is>
          <t>Luthfi Jauhari, S.T</t>
        </is>
      </c>
      <c r="AC73" s="184" t="n">
        <v>81290730949</v>
      </c>
      <c r="AD73" s="288" t="n"/>
      <c r="AE73" s="68" t="n">
        <v>39</v>
      </c>
      <c r="AF73" s="68" t="inlineStr">
        <is>
          <t>Harian</t>
        </is>
      </c>
      <c r="AG73" s="284" t="n"/>
      <c r="AH73" s="284" t="n"/>
      <c r="AI73" s="284" t="n"/>
      <c r="AJ73" s="284" t="n"/>
      <c r="AK73" s="284" t="n"/>
      <c r="AL73" s="284" t="n"/>
      <c r="AM73" s="284" t="n"/>
      <c r="AN73" s="284" t="n"/>
      <c r="AO73" s="284" t="n"/>
      <c r="AP73" s="284" t="n"/>
      <c r="AQ73" s="284" t="n"/>
      <c r="AR73" s="284" t="n"/>
    </row>
    <row r="74" hidden="1" s="346">
      <c r="A74" s="62" t="n">
        <v>72</v>
      </c>
      <c r="B74" s="178" t="inlineStr">
        <is>
          <t>SIBEDAS PBG</t>
        </is>
      </c>
      <c r="C74" s="178" t="inlineStr">
        <is>
          <t>SIBEDAS PBG merupakan dashboard untuk memonitoring berkas permohonan Persetujuan Bangunan Gedung (PBG). Pada Dashboard juga terdapat fitur yang digunakan untuk mempermudah melihat pemetaan persebaran karena tersajikan dalam bentuk peta. SIBEDAS PBG bertujuan untuk memonitoring setiap berkas PBG berdasarkan satus permohonan seperti belum diverifikasi, perbaikan ulang, verifikasi ulang dan selesai verifikasi. Selain itu SIBEDAS PBG untuk mempermudah melihat pemetaan persebaran karena tersajikan dalam bentuk peta serta untuk mempermudah merekap data.</t>
        </is>
      </c>
      <c r="D74" s="178" t="inlineStr">
        <is>
          <t>Permen PUPR Nomor 22 Tahun 2021 tentang Pedoman Teknis Pendataan Bangunan Gedung</t>
        </is>
      </c>
      <c r="E74" s="131" t="inlineStr">
        <is>
          <t>https://drive.google.com/drive/folders/187_7CPT7sxhjamsZJOlN2T4qhrxFpoWq?hl=id</t>
        </is>
      </c>
      <c r="F74" s="184" t="inlineStr">
        <is>
          <t>PENATAAN BANGUNAN GEDUNG</t>
        </is>
      </c>
      <c r="G74" s="184" t="inlineStr">
        <is>
          <t>Masyarakat</t>
        </is>
      </c>
      <c r="H74" s="184" t="inlineStr">
        <is>
          <t>Data Pemohon dan Kelengkapan Berkas PBG</t>
        </is>
      </c>
      <c r="I74" s="184" t="inlineStr">
        <is>
          <t>Data Tahapan Progres Permohonan PBG</t>
        </is>
      </c>
      <c r="J74" s="184" t="inlineStr">
        <is>
          <t>Terbatas</t>
        </is>
      </c>
      <c r="K74" s="184" t="inlineStr">
        <is>
          <t>Terdapat</t>
        </is>
      </c>
      <c r="L74" s="184" t="inlineStr">
        <is>
          <t>Harian</t>
        </is>
      </c>
      <c r="M74" s="184" t="inlineStr">
        <is>
          <t>SI PUTRA (sibedaspbg)</t>
        </is>
      </c>
      <c r="N74" s="184" t="inlineStr">
        <is>
          <t>Pihak Ke 3</t>
        </is>
      </c>
      <c r="O74" s="184" t="inlineStr">
        <is>
          <t>Kab. Bandung</t>
        </is>
      </c>
      <c r="P74" s="184" t="inlineStr">
        <is>
          <t>Website dan Mobile</t>
        </is>
      </c>
      <c r="Q74" s="70" t="inlineStr">
        <is>
          <t>https://sibedaspbg.bandungkab.go.id/</t>
        </is>
      </c>
      <c r="R74" s="184" t="inlineStr">
        <is>
          <t>Secara Online</t>
        </is>
      </c>
      <c r="S74" s="184" t="inlineStr">
        <is>
          <t>Informasi</t>
        </is>
      </c>
      <c r="T74" s="184" t="n">
        <v>2022</v>
      </c>
      <c r="U74" s="184" t="inlineStr">
        <is>
          <t>Aktif</t>
        </is>
      </c>
      <c r="V74" s="184" t="inlineStr">
        <is>
          <t>Ya</t>
        </is>
      </c>
      <c r="W74" s="184" t="inlineStr">
        <is>
          <t>Dashboard Pimpinan</t>
        </is>
      </c>
      <c r="X74" s="184" t="inlineStr">
        <is>
          <t>Database to Database</t>
        </is>
      </c>
      <c r="Y74" s="184" t="inlineStr">
        <is>
          <t>Harian</t>
        </is>
      </c>
      <c r="Z74" s="184" t="inlineStr">
        <is>
          <t>Bidang Bangunan Gedung dan Pengembangan Permukiman</t>
        </is>
      </c>
      <c r="AA74" s="184" t="inlineStr">
        <is>
          <t>DPUTR</t>
        </is>
      </c>
      <c r="AB74" s="178" t="inlineStr">
        <is>
          <t>Dirgantara Putra Mappaono, ST</t>
        </is>
      </c>
      <c r="AC74" s="184" t="n">
        <v>81318911897</v>
      </c>
      <c r="AD74" s="178" t="inlineStr">
        <is>
          <t>dirgantaraaapm@gmail.com</t>
        </is>
      </c>
      <c r="AE74" s="64" t="inlineStr">
        <is>
          <t>34,37, dan 42</t>
        </is>
      </c>
      <c r="AF74" s="64" t="inlineStr">
        <is>
          <t>Harian</t>
        </is>
      </c>
      <c r="AG74" s="284" t="n"/>
      <c r="AH74" s="284" t="n"/>
      <c r="AI74" s="284" t="n"/>
      <c r="AJ74" s="284" t="n"/>
      <c r="AK74" s="284" t="n"/>
      <c r="AL74" s="284" t="n"/>
      <c r="AM74" s="284" t="n"/>
      <c r="AN74" s="284" t="n"/>
      <c r="AO74" s="284" t="n"/>
      <c r="AP74" s="284" t="n"/>
      <c r="AQ74" s="284" t="n"/>
      <c r="AR74" s="284" t="n"/>
    </row>
    <row r="75" hidden="1" s="346">
      <c r="A75" s="62" t="n">
        <v>73</v>
      </c>
      <c r="B75" s="178" t="inlineStr">
        <is>
          <t>LINKTREE PENGADUAN DPUTR KAB. BANDUNG</t>
        </is>
      </c>
      <c r="C75" s="178" t="inlineStr">
        <is>
          <t>LINKTREE menjadi wadah yang dapat memonitoring sekaligus memberikan informasi penyelesaian pengaduan untuk kepentingan dinas. LINKTREE Pengaduan DPUTR bertujuan untuk memonitoring setiap pengaduan secara elektronik sehingga memudahkan masyarakat dan untuk mempermudah setiap bidang dalam proses penyelesaian pengaduan serta untuk mempermudah merekap data.</t>
        </is>
      </c>
      <c r="D75" s="178" t="inlineStr">
        <is>
          <t>Undang-Undang Nomor 25 Tahun 2009 tentang Pelayanan Publik</t>
        </is>
      </c>
      <c r="E75" s="131" t="inlineStr">
        <is>
          <t>https://drive.google.com/drive/folders/1zpVBSJQx0K3N4_wyw8qZeOJVWGrdlDAe?hl=ID</t>
        </is>
      </c>
      <c r="F75" s="184" t="inlineStr">
        <is>
          <t>PENINGKATAN KUALITAS PELAYANAN PUBLIK</t>
        </is>
      </c>
      <c r="G75" s="184" t="inlineStr">
        <is>
          <t>Masyarakat</t>
        </is>
      </c>
      <c r="H75" s="184" t="inlineStr">
        <is>
          <t>Data Pengguna, Data Aduan</t>
        </is>
      </c>
      <c r="I75" s="184" t="inlineStr">
        <is>
          <t>Data Aduan Masyarakat</t>
        </is>
      </c>
      <c r="J75" s="184" t="inlineStr">
        <is>
          <t>Terbuka</t>
        </is>
      </c>
      <c r="K75" s="184" t="inlineStr">
        <is>
          <t>Terdapat</t>
        </is>
      </c>
      <c r="L75" s="184" t="inlineStr">
        <is>
          <t>Harian</t>
        </is>
      </c>
      <c r="M75" s="184" t="inlineStr">
        <is>
          <t>SI PUTRA (pengaduan)</t>
        </is>
      </c>
      <c r="N75" s="184" t="inlineStr">
        <is>
          <t>Pihak Ke 3</t>
        </is>
      </c>
      <c r="O75" s="184" t="inlineStr">
        <is>
          <t>Kab. Bandung</t>
        </is>
      </c>
      <c r="P75" s="184" t="inlineStr">
        <is>
          <t>Website dan Mobile</t>
        </is>
      </c>
      <c r="Q75" s="70" t="inlineStr">
        <is>
          <t>linktr.ee/PENGADUAN_DPUTR_KABBDG</t>
        </is>
      </c>
      <c r="R75" s="184" t="inlineStr">
        <is>
          <t>Secara Online</t>
        </is>
      </c>
      <c r="S75" s="184" t="inlineStr">
        <is>
          <t>Transaksi</t>
        </is>
      </c>
      <c r="T75" s="184" t="n">
        <v>2022</v>
      </c>
      <c r="U75" s="184" t="inlineStr">
        <is>
          <t>Aktif</t>
        </is>
      </c>
      <c r="V75" s="184" t="inlineStr">
        <is>
          <t>Tidak</t>
        </is>
      </c>
      <c r="W75" s="184" t="inlineStr">
        <is>
          <t>Tidak Terintegrasi</t>
        </is>
      </c>
      <c r="X75" s="184" t="inlineStr">
        <is>
          <t>Tidak Terintegrasi</t>
        </is>
      </c>
      <c r="Y75" s="184" t="inlineStr">
        <is>
          <t>Tidak Terintegrasi</t>
        </is>
      </c>
      <c r="Z75" s="184" t="inlineStr">
        <is>
          <t>Bidang dan UPTD</t>
        </is>
      </c>
      <c r="AA75" s="184" t="inlineStr">
        <is>
          <t>DPUTR</t>
        </is>
      </c>
      <c r="AB75" s="178" t="inlineStr">
        <is>
          <t>Operator Bidang dan UPTD</t>
        </is>
      </c>
      <c r="AC75" s="288" t="n"/>
      <c r="AD75" s="288" t="n"/>
      <c r="AE75" s="288" t="n"/>
      <c r="AF75" s="64" t="inlineStr">
        <is>
          <t>Harian</t>
        </is>
      </c>
      <c r="AG75" s="284" t="n"/>
      <c r="AH75" s="284" t="n"/>
      <c r="AI75" s="284" t="n"/>
      <c r="AJ75" s="284" t="n"/>
      <c r="AK75" s="284" t="n"/>
      <c r="AL75" s="284" t="n"/>
      <c r="AM75" s="284" t="n"/>
      <c r="AN75" s="284" t="n"/>
      <c r="AO75" s="284" t="n"/>
      <c r="AP75" s="284" t="n"/>
      <c r="AQ75" s="284" t="n"/>
      <c r="AR75" s="284" t="n"/>
    </row>
    <row r="76" hidden="1" s="346">
      <c r="A76" s="62" t="n">
        <v>74</v>
      </c>
      <c r="B76" s="178" t="inlineStr">
        <is>
          <t>SIPEDAS (Sistem Informasi Pemetaan Drainase)</t>
        </is>
      </c>
      <c r="C76" s="178" t="inlineStr">
        <is>
          <t>SIPEDAS merupakan sistem informasi elektronik untuk menyediakan data pemetaan dan memantau pembangunan saluran drainase, sanitasi dan persampahan.</t>
        </is>
      </c>
      <c r="D76" s="132" t="inlineStr">
        <is>
          <t>Permen PUPR Nomor 12 Tahun 2014 tentang Penyelenggaraan Sistem Drainase Perkotaan</t>
        </is>
      </c>
      <c r="E76" s="184" t="inlineStr">
        <is>
          <t>Belum Tersedia</t>
        </is>
      </c>
      <c r="F76" s="184" t="inlineStr">
        <is>
          <t>PENGELOLAAN PEMBANGUNAN INFRASTRUKTUR BIDANG PUPR</t>
        </is>
      </c>
      <c r="G76" s="184" t="inlineStr">
        <is>
          <t>Instansi Pemerintah Lainnya</t>
        </is>
      </c>
      <c r="H76" s="184" t="inlineStr">
        <is>
          <t>Data Perencanaan Pembangunan dan Pemeliharaan Saluran Drainase</t>
        </is>
      </c>
      <c r="I76" s="184" t="inlineStr">
        <is>
          <t>Capaian dan Kondisi Saluran Drainase</t>
        </is>
      </c>
      <c r="J76" s="184" t="inlineStr">
        <is>
          <t>Terbatas</t>
        </is>
      </c>
      <c r="K76" s="184" t="inlineStr">
        <is>
          <t>Terdapat</t>
        </is>
      </c>
      <c r="L76" s="184" t="inlineStr">
        <is>
          <t>Bulanan</t>
        </is>
      </c>
      <c r="M76" s="184" t="inlineStr">
        <is>
          <t>SI PUTRA (sipedas)</t>
        </is>
      </c>
      <c r="N76" s="184" t="inlineStr">
        <is>
          <t>Pihak Ke 3</t>
        </is>
      </c>
      <c r="O76" s="184" t="inlineStr">
        <is>
          <t>Kab. Bandung</t>
        </is>
      </c>
      <c r="P76" s="184" t="inlineStr">
        <is>
          <t>Website dan Mobile</t>
        </is>
      </c>
      <c r="Q76" s="70" t="inlineStr">
        <is>
          <t>https://sites.google.com/view/aplikasi-sipedas-drainase/home</t>
        </is>
      </c>
      <c r="R76" s="184" t="inlineStr">
        <is>
          <t>Secara Online</t>
        </is>
      </c>
      <c r="S76" s="184" t="inlineStr">
        <is>
          <t>Informasi</t>
        </is>
      </c>
      <c r="T76" s="184" t="n">
        <v>2024</v>
      </c>
      <c r="U76" s="184" t="inlineStr">
        <is>
          <t>Aktif</t>
        </is>
      </c>
      <c r="V76" s="184" t="inlineStr">
        <is>
          <t>Tidak</t>
        </is>
      </c>
      <c r="W76" s="184" t="inlineStr">
        <is>
          <t>Tidak Terintegrasi</t>
        </is>
      </c>
      <c r="X76" s="184" t="inlineStr">
        <is>
          <t>Tidak Terintegrasi</t>
        </is>
      </c>
      <c r="Y76" s="184" t="inlineStr">
        <is>
          <t>Tidak Terintegrasi</t>
        </is>
      </c>
      <c r="Z76" s="184" t="inlineStr">
        <is>
          <t>Bidang Drainase dan Penyedia Infrastruktur Persampahan</t>
        </is>
      </c>
      <c r="AA76" s="184" t="inlineStr">
        <is>
          <t>DPUTR</t>
        </is>
      </c>
      <c r="AB76" s="178" t="inlineStr">
        <is>
          <t>Roni Romansa</t>
        </is>
      </c>
      <c r="AC76" s="184" t="n">
        <v>85860661778</v>
      </c>
      <c r="AD76" s="178" t="inlineStr">
        <is>
          <t>roni.romansa78@gmail.com</t>
        </is>
      </c>
      <c r="AE76" s="68" t="n">
        <v>47</v>
      </c>
      <c r="AF76" s="64" t="inlineStr">
        <is>
          <t>Bulanan</t>
        </is>
      </c>
      <c r="AG76" s="284" t="n"/>
      <c r="AH76" s="284" t="n"/>
      <c r="AI76" s="284" t="n"/>
      <c r="AJ76" s="284" t="n"/>
      <c r="AK76" s="284" t="n"/>
      <c r="AL76" s="284" t="n"/>
      <c r="AM76" s="284" t="n"/>
      <c r="AN76" s="284" t="n"/>
      <c r="AO76" s="284" t="n"/>
      <c r="AP76" s="284" t="n"/>
      <c r="AQ76" s="284" t="n"/>
      <c r="AR76" s="284" t="n"/>
    </row>
    <row r="77" hidden="1" s="346">
      <c r="A77" s="62" t="n">
        <v>75</v>
      </c>
      <c r="B77" s="178" t="inlineStr">
        <is>
          <t>SIJAGA (Sistem Informasi Jaringan Irigasi)</t>
        </is>
      </c>
      <c r="C77" s="178" t="inlineStr">
        <is>
          <t>Si Jaga merupakan aplikasi yang menyediakan data pengelolaan jaringan irigasi di Kabupaten Bandung. Aplikasi ini memanfaatkan teknologi GIS (Geographic Information System) untuk memberikan tampilan peta jaringan irigasi dan informasi terkait aset-aset irigasi seperti bendungan, saluran, pintu air, dan sebagainya.</t>
        </is>
      </c>
      <c r="D77" s="178" t="inlineStr">
        <is>
          <t>Permen PUPR Nomor 12 Tahun 2015 tentang Eksploitasi dan Pemeliharaan Jaringan Irigasi</t>
        </is>
      </c>
      <c r="E77" s="70" t="inlineStr">
        <is>
          <t>https://drive.google.com/drive/folders/1foPXyzm-sQ7KaSp-qTysnVqAWt_Dif53?hl=id</t>
        </is>
      </c>
      <c r="F77" s="184" t="inlineStr">
        <is>
          <t>PENGELOLAAN IRIGASI PERTANIAN, KONSERVASI AIR DAN LINGKUNGAN HIDUP</t>
        </is>
      </c>
      <c r="G77" s="184" t="inlineStr">
        <is>
          <t>Masyarakat</t>
        </is>
      </c>
      <c r="H77" s="184" t="inlineStr">
        <is>
          <t>Data Aduan/
 Pelaporan Jaringan Irigasi</t>
        </is>
      </c>
      <c r="I77" s="184" t="inlineStr">
        <is>
          <t>Data Hasil Aduan/
 Pelaporan Masyarakat</t>
        </is>
      </c>
      <c r="J77" s="184" t="inlineStr">
        <is>
          <t>Terbuka</t>
        </is>
      </c>
      <c r="K77" s="184" t="inlineStr">
        <is>
          <t>Terdapat</t>
        </is>
      </c>
      <c r="L77" s="184" t="inlineStr">
        <is>
          <t>Harian</t>
        </is>
      </c>
      <c r="M77" s="184" t="inlineStr">
        <is>
          <t>SI PUTRA (sijaga)</t>
        </is>
      </c>
      <c r="N77" s="184" t="inlineStr">
        <is>
          <t>Pihak Ke 3</t>
        </is>
      </c>
      <c r="O77" s="184" t="inlineStr">
        <is>
          <t>Kab. Bandung</t>
        </is>
      </c>
      <c r="P77" s="184" t="inlineStr">
        <is>
          <t>Website dan Mobile</t>
        </is>
      </c>
      <c r="Q77" s="70" t="inlineStr">
        <is>
          <t>https://sijaga.kabbdg.com/</t>
        </is>
      </c>
      <c r="R77" s="184" t="inlineStr">
        <is>
          <t>Secara Online</t>
        </is>
      </c>
      <c r="S77" s="184" t="inlineStr">
        <is>
          <t>Transaksi</t>
        </is>
      </c>
      <c r="T77" s="184" t="n">
        <v>2024</v>
      </c>
      <c r="U77" s="184" t="inlineStr">
        <is>
          <t>Maintenance</t>
        </is>
      </c>
      <c r="V77" s="184" t="inlineStr">
        <is>
          <t>Tidak</t>
        </is>
      </c>
      <c r="W77" s="184" t="inlineStr">
        <is>
          <t>Tidak Terintegrasi</t>
        </is>
      </c>
      <c r="X77" s="184" t="inlineStr">
        <is>
          <t>Tidak Terintegrasi</t>
        </is>
      </c>
      <c r="Y77" s="184" t="inlineStr">
        <is>
          <t>Tidak Terintegrasi</t>
        </is>
      </c>
      <c r="Z77" s="184" t="inlineStr">
        <is>
          <t>Bidang Pengelolaan Sumber Daya Air dan Penyediaan Air Minum</t>
        </is>
      </c>
      <c r="AA77" s="184" t="inlineStr">
        <is>
          <t>DPUTR</t>
        </is>
      </c>
      <c r="AB77" s="178" t="inlineStr">
        <is>
          <t>Dian Noorcahya Permana, S.T.</t>
        </is>
      </c>
      <c r="AC77" s="184" t="n">
        <v>89681575101</v>
      </c>
      <c r="AD77" s="178" t="inlineStr">
        <is>
          <t>dian.noorcahya1221@gmail.com</t>
        </is>
      </c>
      <c r="AE77" s="68" t="n">
        <v>47</v>
      </c>
      <c r="AF77" s="64" t="inlineStr">
        <is>
          <t>Harian</t>
        </is>
      </c>
      <c r="AG77" s="284" t="n"/>
      <c r="AH77" s="284" t="n"/>
      <c r="AI77" s="284" t="n"/>
      <c r="AJ77" s="284" t="n"/>
      <c r="AK77" s="284" t="n"/>
      <c r="AL77" s="284" t="n"/>
      <c r="AM77" s="284" t="n"/>
      <c r="AN77" s="284" t="n"/>
      <c r="AO77" s="284" t="n"/>
      <c r="AP77" s="284" t="n"/>
      <c r="AQ77" s="284" t="n"/>
      <c r="AR77" s="284" t="n"/>
    </row>
    <row r="78" hidden="1" s="346">
      <c r="A78" s="62" t="n">
        <v>76</v>
      </c>
      <c r="B78" s="178" t="inlineStr">
        <is>
          <t>SIBEDAS JAKON</t>
        </is>
      </c>
      <c r="C78" s="178" t="inlineStr">
        <is>
          <t>SIBEDAS JAKON merupakan aplikasi yang memberikan informasi mengenai paket pekerjaan, penyedia jasa konstruksi, tenaga terampil bersertifikat, dan lain sebagainya.</t>
        </is>
      </c>
      <c r="D78" s="178" t="inlineStr">
        <is>
          <t>Permen PUPR Nomor 22 Tahun 2018 tentang Pembangunan Gedung Negara</t>
        </is>
      </c>
      <c r="E78" s="131" t="inlineStr">
        <is>
          <t>https://drive.google.com/drive/folders/1sHKD9PH8GG_yqtIurnieYvG1qyHCbekF?hl=id</t>
        </is>
      </c>
      <c r="F78" s="184" t="inlineStr">
        <is>
          <t>PENINGKATAN KUALITAS PELAYANAN PUBLIK</t>
        </is>
      </c>
      <c r="G78" s="184" t="inlineStr">
        <is>
          <t>Masyarakat</t>
        </is>
      </c>
      <c r="H78" s="184" t="inlineStr">
        <is>
          <t>Data Peserta Bimtek Tenaga Terampil Konstruksi</t>
        </is>
      </c>
      <c r="I78" s="184" t="inlineStr">
        <is>
          <t>Data Tenaga Terampil Konstruksi yang Bersertifikat</t>
        </is>
      </c>
      <c r="J78" s="184" t="inlineStr">
        <is>
          <t>Terbatas</t>
        </is>
      </c>
      <c r="K78" s="184" t="inlineStr">
        <is>
          <t>Terdapat</t>
        </is>
      </c>
      <c r="L78" s="184" t="inlineStr">
        <is>
          <t>Bulanan</t>
        </is>
      </c>
      <c r="M78" s="184" t="inlineStr">
        <is>
          <t>SI PUTRA (sibedas jakon)</t>
        </is>
      </c>
      <c r="N78" s="184" t="inlineStr">
        <is>
          <t>Pihak Ke 3</t>
        </is>
      </c>
      <c r="O78" s="184" t="inlineStr">
        <is>
          <t>Kab. Bandung</t>
        </is>
      </c>
      <c r="P78" s="184" t="inlineStr">
        <is>
          <t>Website dan Mobile</t>
        </is>
      </c>
      <c r="Q78" s="70" t="inlineStr">
        <is>
          <t>https://sibedasjakon.bandungkab.go.id/</t>
        </is>
      </c>
      <c r="R78" s="184" t="inlineStr">
        <is>
          <t>Secara Online</t>
        </is>
      </c>
      <c r="S78" s="184" t="inlineStr">
        <is>
          <t>Informasi</t>
        </is>
      </c>
      <c r="T78" s="184" t="n">
        <v>2022</v>
      </c>
      <c r="U78" s="184" t="inlineStr">
        <is>
          <t>Aktif</t>
        </is>
      </c>
      <c r="V78" s="184" t="inlineStr">
        <is>
          <t>Tidak</t>
        </is>
      </c>
      <c r="W78" s="184" t="inlineStr">
        <is>
          <t>Tidak Terintegrasi</t>
        </is>
      </c>
      <c r="X78" s="184" t="inlineStr">
        <is>
          <t>Tidak Terintegrasi</t>
        </is>
      </c>
      <c r="Y78" s="184" t="inlineStr">
        <is>
          <t>Tidak Terintegrasi</t>
        </is>
      </c>
      <c r="Z78" s="184" t="inlineStr">
        <is>
          <t>Bidang Pengembangan Jasa Konstruksi</t>
        </is>
      </c>
      <c r="AA78" s="184" t="inlineStr">
        <is>
          <t>DPUTR</t>
        </is>
      </c>
      <c r="AB78" s="178" t="inlineStr">
        <is>
          <t>Fuat Ardi Jaya, S.T.</t>
        </is>
      </c>
      <c r="AC78" s="133" t="n">
        <v>89649072891</v>
      </c>
      <c r="AD78" s="178" t="inlineStr">
        <is>
          <t>fuatardi222@gmail.com</t>
        </is>
      </c>
      <c r="AE78" s="68" t="n">
        <v>13</v>
      </c>
      <c r="AF78" s="64" t="inlineStr">
        <is>
          <t>Bulanan</t>
        </is>
      </c>
      <c r="AG78" s="284" t="n"/>
      <c r="AH78" s="284" t="n"/>
      <c r="AI78" s="284" t="n"/>
      <c r="AJ78" s="284" t="n"/>
      <c r="AK78" s="284" t="n"/>
      <c r="AL78" s="284" t="n"/>
      <c r="AM78" s="284" t="n"/>
      <c r="AN78" s="284" t="n"/>
      <c r="AO78" s="284" t="n"/>
      <c r="AP78" s="284" t="n"/>
      <c r="AQ78" s="284" t="n"/>
      <c r="AR78" s="284" t="n"/>
    </row>
    <row r="79" hidden="1" s="346">
      <c r="A79" s="62" t="n">
        <v>77</v>
      </c>
      <c r="B79" s="178" t="inlineStr">
        <is>
          <t>Dashboard Persampahan</t>
        </is>
      </c>
      <c r="C79" s="178" t="inlineStr">
        <is>
          <t>Dashboard Persampahan bertujuan untuk menyediakan platform efisien dan terpadu dalam mengumpulkan, merekam, dan memantau data pemilahan, penanganan dan volume sampah sebelum masuk ke Tempat Pembuangan Akhir (TPA)</t>
        </is>
      </c>
      <c r="D79" s="178" t="inlineStr">
        <is>
          <t>Peraturan Bupati Bandung Nomor 25 Tahun 2010 tentang Pengelolaan Sampah</t>
        </is>
      </c>
      <c r="E79" s="184" t="inlineStr">
        <is>
          <t>Belum Tersedia</t>
        </is>
      </c>
      <c r="F79" s="184" t="inlineStr">
        <is>
          <t>PENGELOLAAN SAMPAH</t>
        </is>
      </c>
      <c r="G79" s="184" t="inlineStr">
        <is>
          <t>Masyarakat</t>
        </is>
      </c>
      <c r="H79" s="184" t="inlineStr">
        <is>
          <t>Data Jenis dan Volume Sampah dari Masyarakat</t>
        </is>
      </c>
      <c r="I79" s="184" t="inlineStr">
        <is>
          <t>Data Hasil Pemilahan dan Banyaknya Sampah yang Terkumpul dari Masyarakat</t>
        </is>
      </c>
      <c r="J79" s="184" t="inlineStr">
        <is>
          <t>Terbuka</t>
        </is>
      </c>
      <c r="K79" s="184" t="inlineStr">
        <is>
          <t>Tidak terdapat</t>
        </is>
      </c>
      <c r="L79" s="184" t="inlineStr">
        <is>
          <t>Mingguan</t>
        </is>
      </c>
      <c r="M79" s="184" t="inlineStr">
        <is>
          <t>SI PUTRA (sibedasok)</t>
        </is>
      </c>
      <c r="N79" s="184" t="inlineStr">
        <is>
          <t>Pihak Ke 3</t>
        </is>
      </c>
      <c r="O79" s="184" t="inlineStr">
        <is>
          <t>Kab. Bandung</t>
        </is>
      </c>
      <c r="P79" s="184" t="inlineStr">
        <is>
          <t>Website dan Mobile</t>
        </is>
      </c>
      <c r="Q79" s="70" t="inlineStr">
        <is>
          <t>https://linktr.ee/SIBEDASOK</t>
        </is>
      </c>
      <c r="R79" s="184" t="inlineStr">
        <is>
          <t>Secara Online</t>
        </is>
      </c>
      <c r="S79" s="184" t="inlineStr">
        <is>
          <t>Informasi</t>
        </is>
      </c>
      <c r="T79" s="184" t="n">
        <v>2024</v>
      </c>
      <c r="U79" s="184" t="inlineStr">
        <is>
          <t>Aktif</t>
        </is>
      </c>
      <c r="V79" s="184" t="inlineStr">
        <is>
          <t>Tidak</t>
        </is>
      </c>
      <c r="W79" s="184" t="inlineStr">
        <is>
          <t>Tidak Terintegrasi</t>
        </is>
      </c>
      <c r="X79" s="184" t="inlineStr">
        <is>
          <t>Tidak Terintegrasi</t>
        </is>
      </c>
      <c r="Y79" s="184" t="inlineStr">
        <is>
          <t>Tidak Terintegrasi</t>
        </is>
      </c>
      <c r="Z79" s="184" t="inlineStr">
        <is>
          <t>Bidang Drainase dan Penyedia Infrastruktur Persampahan</t>
        </is>
      </c>
      <c r="AA79" s="184" t="inlineStr">
        <is>
          <t>DPUTR</t>
        </is>
      </c>
      <c r="AB79" s="178" t="inlineStr">
        <is>
          <t>H. Imam Yudha Pratama, S.T., M.T., M.M.</t>
        </is>
      </c>
      <c r="AC79" s="184" t="n">
        <v>81221971903</v>
      </c>
      <c r="AD79" s="178" t="inlineStr">
        <is>
          <t>imamprogdbm@gmail.com</t>
        </is>
      </c>
      <c r="AE79" s="68" t="inlineStr">
        <is>
          <t>41 dan 46</t>
        </is>
      </c>
      <c r="AF79" s="64" t="inlineStr">
        <is>
          <t>Bulanan</t>
        </is>
      </c>
      <c r="AG79" s="284" t="n"/>
      <c r="AH79" s="284" t="n"/>
      <c r="AI79" s="284" t="n"/>
      <c r="AJ79" s="284" t="n"/>
      <c r="AK79" s="284" t="n"/>
      <c r="AL79" s="284" t="n"/>
      <c r="AM79" s="284" t="n"/>
      <c r="AN79" s="284" t="n"/>
      <c r="AO79" s="284" t="n"/>
      <c r="AP79" s="284" t="n"/>
      <c r="AQ79" s="284" t="n"/>
      <c r="AR79" s="284" t="n"/>
    </row>
    <row r="80" hidden="1" s="346">
      <c r="A80" s="62" t="n">
        <v>78</v>
      </c>
      <c r="B80" s="178" t="inlineStr">
        <is>
          <t>Layanan Informasi Perumahan</t>
        </is>
      </c>
      <c r="C80" s="178" t="inlineStr">
        <is>
          <t>memberikan layanan informasi perumahan yang sudah dan akan melaksanakan serah terima PSU perumahan Kabupaten Bandung</t>
        </is>
      </c>
      <c r="D80" s="178" t="inlineStr">
        <is>
          <t>1. Undang - Undang Nomor 1 Tahun 2011 tentang Perumahan dan Kawasan Permukiman
 2. Peraturan Pemerintah Nomor 12 Tahun 2021 tentang Perumahan Atas Peraturan Pemerintah Nomor 14 Tahun 2016 tentang Penyelenggaraan Perumahan dan Kawasan Permukiman
 3. Peraturan Menteri Dalam Negeri Nomor 9 Tahun 2009 Tentang Pedoman Penyerahan Prasarana, Sarana, dan Utilitas Perumahan dan Permukiman di Daerah
 4. Peraturan Daerah Kabupaten Bandung Nomor 5 Tahun 2020 dan Peraturan Bupati Nomor 5 TahunTentang Penyediaan, Penyerahan dan Pengelolaan Prasarana, Sarana dan Utilitas Umum Perumahan dan Permukiman
 5. Peraturan Bupati Bandung Nomor 4 Tahun 2021 tentang Peratura Pelaksanaan Peraturan Daerah Nomor 5 Tahun 2020 tentang Penyediaan, Penyerahan, dan Pengelolaan Prasarana, Sarana, dan Utilitas Umum Perumahan dan Permukiman</t>
        </is>
      </c>
      <c r="E80" s="70" t="inlineStr">
        <is>
          <t>https://drive.google.com/file/d/1kvVSSjFHbdSKP4vPWzb0wDWs5x8kMCbU/view?usp=sharing</t>
        </is>
      </c>
      <c r="F80" s="184" t="inlineStr">
        <is>
          <t>PENYELENGGARAAN PERUMAHAN</t>
        </is>
      </c>
      <c r="G80" s="184" t="inlineStr">
        <is>
          <t>Masyarakat</t>
        </is>
      </c>
      <c r="H80" s="68" t="inlineStr">
        <is>
          <t>Data Pelapor dan Kejadian</t>
        </is>
      </c>
      <c r="I80" s="178" t="inlineStr">
        <is>
          <t>Data Perumahan
 Data Fasos Fasum</t>
        </is>
      </c>
      <c r="J80" s="184" t="inlineStr">
        <is>
          <t>Terbatas</t>
        </is>
      </c>
      <c r="K80" s="184" t="inlineStr">
        <is>
          <t>Terdapat</t>
        </is>
      </c>
      <c r="L80" s="184" t="inlineStr">
        <is>
          <t>Tahunan</t>
        </is>
      </c>
      <c r="M80" s="184" t="inlineStr">
        <is>
          <t>SIPIKAT</t>
        </is>
      </c>
      <c r="N80" s="184" t="inlineStr">
        <is>
          <t>Diskominfo</t>
        </is>
      </c>
      <c r="O80" s="184" t="inlineStr">
        <is>
          <t>Kab. Bandung</t>
        </is>
      </c>
      <c r="P80" s="184" t="inlineStr">
        <is>
          <t>Website</t>
        </is>
      </c>
      <c r="Q80" s="70" t="inlineStr">
        <is>
          <t>https://aplikasi.bandungkab.com/publik/landing-page-aplikasi-sipikat</t>
        </is>
      </c>
      <c r="R80" s="184" t="inlineStr">
        <is>
          <t>Secara Online</t>
        </is>
      </c>
      <c r="S80" s="184" t="inlineStr">
        <is>
          <t>Informasi</t>
        </is>
      </c>
      <c r="T80" s="184" t="n">
        <v>2025</v>
      </c>
      <c r="U80" s="184" t="inlineStr">
        <is>
          <t>Aktif</t>
        </is>
      </c>
      <c r="V80" s="288" t="n"/>
      <c r="W80" s="288" t="n"/>
      <c r="X80" s="288" t="n"/>
      <c r="Y80" s="288" t="n"/>
      <c r="Z80" s="184" t="inlineStr">
        <is>
          <t>Bidang PSU</t>
        </is>
      </c>
      <c r="AA80" s="184" t="inlineStr">
        <is>
          <t>Disperkimtan</t>
        </is>
      </c>
      <c r="AB80" s="288" t="n"/>
      <c r="AC80" s="288" t="n"/>
      <c r="AD80" s="288" t="n"/>
      <c r="AE80" s="288" t="n"/>
      <c r="AF80" s="288" t="n"/>
      <c r="AG80" s="284" t="n"/>
      <c r="AH80" s="284" t="n"/>
      <c r="AI80" s="284" t="n"/>
      <c r="AJ80" s="284" t="n"/>
      <c r="AK80" s="284" t="n"/>
      <c r="AL80" s="284" t="n"/>
      <c r="AM80" s="284" t="n"/>
      <c r="AN80" s="284" t="n"/>
      <c r="AO80" s="284" t="n"/>
      <c r="AP80" s="284" t="n"/>
      <c r="AQ80" s="284" t="n"/>
      <c r="AR80" s="284" t="n"/>
    </row>
    <row r="81" hidden="1" s="346">
      <c r="A81" s="62" t="n">
        <v>79</v>
      </c>
      <c r="B81" s="178" t="inlineStr">
        <is>
          <t>Surat Keterangan Tidak Mampu (SKTM) Online</t>
        </is>
      </c>
      <c r="C81" s="178" t="inlineStr">
        <is>
          <t>Surat Keterangan Tidak Mampu (SKTM) adalah surat resmi yang dikeluarkan oleh pemerintah desa/kelurahan Dinas Sosial yang menerangkan bahwa seseorang atau keluarga berada dalam kondisi ekonomi kurang mampu. SKTM biasanya digunakan sebagai syarat untuk mendapatkan keringanan biaya, bantuan sosial, atau akses layanan tertentu dari pemerintah maupun lembaga lain.</t>
        </is>
      </c>
      <c r="D81" s="178" t="inlineStr">
        <is>
          <t>- Peraturan Bupati Bandung Nomor 318 Tahun 2022 tentang Pusat Kesejahteraan Sosial Penanganan Kemiskinan
 - Peraturan Bupati Bandung No 50 Tahun 2018 Tentang Surat Keterangan Tidak Mampu (SKTM)</t>
        </is>
      </c>
      <c r="E81" s="70" t="inlineStr">
        <is>
          <t>https://drive.google.com/file/d/1Ramy4vxff2nlZwmQYryTo4j9HIjXgRt2/view?usp=sharing</t>
        </is>
      </c>
      <c r="F81" s="184" t="inlineStr">
        <is>
          <t>PENYELENGGARAAN PERLINDUNGAN SOSIAL</t>
        </is>
      </c>
      <c r="G81" s="184" t="inlineStr">
        <is>
          <t>Masyarakat</t>
        </is>
      </c>
      <c r="H81" s="184" t="inlineStr">
        <is>
          <t>Berkas
 persyaratan
 pengajuan
 rekomendasi
 SKTM</t>
        </is>
      </c>
      <c r="I81" s="178" t="inlineStr">
        <is>
          <t>Berkas
 rekomendasi
 SKTM</t>
        </is>
      </c>
      <c r="J81" s="184" t="inlineStr">
        <is>
          <t>Tertutup</t>
        </is>
      </c>
      <c r="K81" s="184" t="inlineStr">
        <is>
          <t>Terdapat</t>
        </is>
      </c>
      <c r="L81" s="184" t="inlineStr">
        <is>
          <t>Bulanan</t>
        </is>
      </c>
      <c r="M81" s="184" t="inlineStr">
        <is>
          <t>DIBEDASKEN</t>
        </is>
      </c>
      <c r="N81" s="184" t="inlineStr">
        <is>
          <t>OPD</t>
        </is>
      </c>
      <c r="O81" s="184" t="inlineStr">
        <is>
          <t>Kab. Bandung</t>
        </is>
      </c>
      <c r="P81" s="184" t="inlineStr">
        <is>
          <t>Website dan Mobile</t>
        </is>
      </c>
      <c r="Q81" s="70" t="inlineStr">
        <is>
          <t>https://dibedasken.bandungkab.go.id/</t>
        </is>
      </c>
      <c r="R81" s="184" t="inlineStr">
        <is>
          <t>Secara Online</t>
        </is>
      </c>
      <c r="S81" s="184" t="inlineStr">
        <is>
          <t>Transaksi</t>
        </is>
      </c>
      <c r="T81" s="184" t="n">
        <v>2021</v>
      </c>
      <c r="U81" s="184" t="inlineStr">
        <is>
          <t>Aktif</t>
        </is>
      </c>
      <c r="V81" s="184" t="inlineStr">
        <is>
          <t>Tidak</t>
        </is>
      </c>
      <c r="W81" s="184" t="inlineStr">
        <is>
          <t>Tidak Terintegrasi</t>
        </is>
      </c>
      <c r="X81" s="184" t="inlineStr">
        <is>
          <t>Tidak Terintegrasi</t>
        </is>
      </c>
      <c r="Y81" s="184" t="inlineStr">
        <is>
          <t>Tidak Terintegrasi</t>
        </is>
      </c>
      <c r="Z81" s="184" t="inlineStr">
        <is>
          <t>Bidang Perlindungan dan Jaminan Sosial</t>
        </is>
      </c>
      <c r="AA81" s="184" t="inlineStr">
        <is>
          <t>Dinsos</t>
        </is>
      </c>
      <c r="AB81" s="178" t="inlineStr">
        <is>
          <t>M. Fitrian Ramadan, S.Psi., MM</t>
        </is>
      </c>
      <c r="AC81" s="178" t="n">
        <v>8994413332</v>
      </c>
      <c r="AD81" s="178" t="inlineStr">
        <is>
          <t>programdinsoskabbdg@gmail.com</t>
        </is>
      </c>
      <c r="AE81" s="77" t="n">
        <v>10</v>
      </c>
      <c r="AF81" s="68" t="inlineStr">
        <is>
          <t>Setiap Saat</t>
        </is>
      </c>
      <c r="AG81" s="284" t="n"/>
      <c r="AH81" s="284" t="n"/>
      <c r="AI81" s="284" t="n"/>
      <c r="AJ81" s="284" t="n"/>
      <c r="AK81" s="284" t="n"/>
      <c r="AL81" s="284" t="n"/>
      <c r="AM81" s="284" t="n"/>
      <c r="AN81" s="284" t="n"/>
      <c r="AO81" s="284" t="n"/>
      <c r="AP81" s="284" t="n"/>
      <c r="AQ81" s="284" t="n"/>
      <c r="AR81" s="284" t="n"/>
    </row>
    <row r="82" hidden="1" s="346">
      <c r="A82" s="62" t="n">
        <v>80</v>
      </c>
      <c r="B82" s="178" t="inlineStr">
        <is>
          <t>Layanan AK1</t>
        </is>
      </c>
      <c r="C82" s="178" t="inlineStr">
        <is>
          <t>Layanan AK1: Meningkatkan akses dan pelayanan terkait Ketenagakerjaan untuk mendukung keberlanjutan karir pekerja.</t>
        </is>
      </c>
      <c r="D82" s="178" t="inlineStr">
        <is>
          <t>Permenaker 18 Tahun 2024 tentang Penempatan Tenaga Kerja Dalam Negeri</t>
        </is>
      </c>
      <c r="E82" s="70" t="inlineStr">
        <is>
          <t>https://drive.google.com/drive/folders/1Uinu-ZgkI_8xZeYLw7yaEW1HRhG7prDv?usp=drive_link</t>
        </is>
      </c>
      <c r="F82" s="184" t="inlineStr">
        <is>
          <t>PENINGKATAN KUALITAS PELAYANAN PUBLIK</t>
        </is>
      </c>
      <c r="G82" s="184" t="inlineStr">
        <is>
          <t>Masyarakat</t>
        </is>
      </c>
      <c r="H82" s="184" t="inlineStr">
        <is>
          <t>Data Pencari Kerja</t>
        </is>
      </c>
      <c r="I82" s="178" t="inlineStr">
        <is>
          <t>Kartu AK 1</t>
        </is>
      </c>
      <c r="J82" s="184" t="inlineStr">
        <is>
          <t>Terbuka</t>
        </is>
      </c>
      <c r="K82" s="184" t="inlineStr">
        <is>
          <t>Terdapat</t>
        </is>
      </c>
      <c r="L82" s="184" t="inlineStr">
        <is>
          <t>Harian</t>
        </is>
      </c>
      <c r="M82" s="184" t="inlineStr">
        <is>
          <t>SIAP KERJA</t>
        </is>
      </c>
      <c r="N82" s="184" t="inlineStr">
        <is>
          <t>Pusat</t>
        </is>
      </c>
      <c r="O82" s="184" t="inlineStr">
        <is>
          <t>Pusat</t>
        </is>
      </c>
      <c r="P82" s="184" t="inlineStr">
        <is>
          <t>Website dan Mobile</t>
        </is>
      </c>
      <c r="Q82" s="70" t="inlineStr">
        <is>
          <t>siapkerja.kemnaker.go.id</t>
        </is>
      </c>
      <c r="R82" s="184" t="inlineStr">
        <is>
          <t>Secara Online</t>
        </is>
      </c>
      <c r="S82" s="184" t="inlineStr">
        <is>
          <t>Transaksi</t>
        </is>
      </c>
      <c r="T82" s="184" t="n">
        <v>2023</v>
      </c>
      <c r="U82" s="184" t="inlineStr">
        <is>
          <t>Aktif</t>
        </is>
      </c>
      <c r="V82" s="184" t="inlineStr">
        <is>
          <t>Tidak</t>
        </is>
      </c>
      <c r="W82" s="131" t="inlineStr">
        <is>
          <t>https://dashnaker.bandungkab.go.id/login</t>
        </is>
      </c>
      <c r="X82" s="184" t="inlineStr">
        <is>
          <t>Database to Database</t>
        </is>
      </c>
      <c r="Y82" s="184" t="inlineStr">
        <is>
          <t>Harian</t>
        </is>
      </c>
      <c r="Z82" s="184" t="inlineStr">
        <is>
          <t>Bidang Penempatan Tenaga Kerja</t>
        </is>
      </c>
      <c r="AA82" s="184" t="inlineStr">
        <is>
          <t>Disnaker</t>
        </is>
      </c>
      <c r="AB82" s="178" t="inlineStr">
        <is>
          <t>Panji Subakti</t>
        </is>
      </c>
      <c r="AC82" s="178" t="n">
        <v>85759713013</v>
      </c>
      <c r="AD82" s="178" t="inlineStr">
        <is>
          <t>bidangpenempatan04@gmail.com</t>
        </is>
      </c>
      <c r="AE82" s="68" t="n">
        <v>28</v>
      </c>
      <c r="AF82" s="68" t="inlineStr">
        <is>
          <t>Harian</t>
        </is>
      </c>
      <c r="AG82" s="216" t="inlineStr">
        <is>
          <t>masyarakat</t>
        </is>
      </c>
      <c r="AH82" s="92" t="n"/>
      <c r="AI82" s="92" t="n"/>
      <c r="AJ82" s="92" t="n"/>
      <c r="AK82" s="92" t="n"/>
      <c r="AL82" s="92" t="n"/>
      <c r="AM82" s="92" t="n"/>
      <c r="AN82" s="92" t="n"/>
      <c r="AO82" s="92" t="n"/>
      <c r="AP82" s="92" t="n"/>
      <c r="AQ82" s="92" t="n"/>
      <c r="AR82" s="284" t="n"/>
    </row>
    <row r="83" hidden="1" s="346">
      <c r="A83" s="62" t="n">
        <v>81</v>
      </c>
      <c r="B83" s="178" t="inlineStr">
        <is>
          <t>Layanan Informasi Lowongan Pekerjaan</t>
        </is>
      </c>
      <c r="C83" s="178" t="inlineStr">
        <is>
          <t>Layanan Informasi Lowongan Pekerjaan: Memberikan informasi terkini mengenai peluang pekerjaan untuk membantu pengangguran atau pencari kerja.</t>
        </is>
      </c>
      <c r="D83" s="178" t="inlineStr">
        <is>
          <t>Undang-Undang Nomor 13 Tahun 2003 tentang Ketenagakerjaan Pasal 31 s.d. 34 Pemerintah bertanggung jawab menyediakan informasi pasar kerja serta bursa kerja untuk masyarakat, Undang-Undang Nomor 25 Tahun 2009 tentang Pelayanan Publik, Mengatur kewajiban instansi pemerintah dalam memberikan pelayanan publik yang cepat, tepat, transparan, dan akuntabel, termasuk layanan informasi lowongan kerja</t>
        </is>
      </c>
      <c r="E83" s="178" t="inlineStr">
        <is>
          <t>Belum tersedia</t>
        </is>
      </c>
      <c r="F83" s="184" t="inlineStr">
        <is>
          <t>PENINGKATAN KUALITAS PELAYANAN PUBLIK</t>
        </is>
      </c>
      <c r="G83" s="184" t="inlineStr">
        <is>
          <t>Pelaku Bisnis, Masyarakat</t>
        </is>
      </c>
      <c r="H83" s="184" t="inlineStr">
        <is>
          <t>Data Informasi Lowongan Kerja</t>
        </is>
      </c>
      <c r="I83" s="178" t="inlineStr">
        <is>
          <t>Data Lowongan Kerja, Data penempatan</t>
        </is>
      </c>
      <c r="J83" s="184" t="inlineStr">
        <is>
          <t>Terbuka</t>
        </is>
      </c>
      <c r="K83" s="184" t="inlineStr">
        <is>
          <t>Terdapat</t>
        </is>
      </c>
      <c r="L83" s="184" t="inlineStr">
        <is>
          <t>Harian</t>
        </is>
      </c>
      <c r="M83" s="184" t="inlineStr">
        <is>
          <t>Dashnaker Plus</t>
        </is>
      </c>
      <c r="N83" s="184" t="inlineStr">
        <is>
          <t>Diskominfo</t>
        </is>
      </c>
      <c r="O83" s="184" t="inlineStr">
        <is>
          <t>Kab. Bandung</t>
        </is>
      </c>
      <c r="P83" s="184" t="inlineStr">
        <is>
          <t>Website</t>
        </is>
      </c>
      <c r="Q83" s="70" t="inlineStr">
        <is>
          <t>https://dashnaker.bandungkab.go.id/login</t>
        </is>
      </c>
      <c r="R83" s="184" t="inlineStr">
        <is>
          <t>Secara Online</t>
        </is>
      </c>
      <c r="S83" s="184" t="inlineStr">
        <is>
          <t>Informasi</t>
        </is>
      </c>
      <c r="T83" s="184" t="n">
        <v>2021</v>
      </c>
      <c r="U83" s="184" t="inlineStr">
        <is>
          <t>Aktif</t>
        </is>
      </c>
      <c r="V83" s="184" t="inlineStr">
        <is>
          <t>Ya</t>
        </is>
      </c>
      <c r="W83" s="131" t="inlineStr">
        <is>
          <t>http://siapkerja.kemnaker.go.id/</t>
        </is>
      </c>
      <c r="X83" s="184" t="inlineStr">
        <is>
          <t>Database to Database</t>
        </is>
      </c>
      <c r="Y83" s="184" t="inlineStr">
        <is>
          <t>Harian</t>
        </is>
      </c>
      <c r="Z83" s="184" t="inlineStr">
        <is>
          <t>Bidang Perencanaan Tenaga Kerja dan Informasi Pasar Kerja</t>
        </is>
      </c>
      <c r="AA83" s="184" t="inlineStr">
        <is>
          <t>Disnaker</t>
        </is>
      </c>
      <c r="AB83" s="178" t="inlineStr">
        <is>
          <t>Yogie Noor Hidayat, S.I.Kom</t>
        </is>
      </c>
      <c r="AC83" s="178" t="n">
        <v>81809627007</v>
      </c>
      <c r="AD83" s="178" t="inlineStr">
        <is>
          <t>bidjamsosdisnaker@gmail.com</t>
        </is>
      </c>
      <c r="AE83" s="68" t="n">
        <v>28</v>
      </c>
      <c r="AF83" s="68" t="inlineStr">
        <is>
          <t>Harian</t>
        </is>
      </c>
      <c r="AG83" s="216" t="inlineStr">
        <is>
          <t>masyarakat dan perushaan</t>
        </is>
      </c>
      <c r="AI83" s="92" t="n"/>
      <c r="AJ83" s="92" t="n"/>
      <c r="AK83" s="92" t="n"/>
      <c r="AL83" s="92" t="n"/>
      <c r="AM83" s="92" t="n"/>
      <c r="AN83" s="92" t="n"/>
      <c r="AO83" s="92" t="n"/>
      <c r="AP83" s="92" t="n"/>
      <c r="AQ83" s="92" t="n"/>
      <c r="AR83" s="284" t="n"/>
    </row>
    <row r="84" hidden="1" s="346">
      <c r="A84" s="62" t="n">
        <v>82</v>
      </c>
      <c r="B84" s="178" t="inlineStr">
        <is>
          <t>Layanan Pengajuan dan Registrasi Transmigrasi</t>
        </is>
      </c>
      <c r="C84" s="178" t="inlineStr">
        <is>
          <t>Layanan Pengajuan dan Registrasi Transmigrasi: Memfasilitasi proses pendaftaran dan registrasi bagi individu yang ingin mengikuti program transmigrasi.</t>
        </is>
      </c>
      <c r="D84" s="178" t="inlineStr">
        <is>
          <t>Undang-Undang Nomor 29 Tahun 2009 tentang Perubahan atas UU No. 15 Tahun 1997 tentang Ketransmigrasian.
 Peraturan Pemerintah Nomor 3 Tahun 2014 tentang Pelaksanaan UU No. 15 Tahun 1997 tentang Ketransmigrasian.
 Peraturan Menteri Tenaga Kerja dan Transmigrasi Nomor 25 Tahun 2009 tentang Tingkat Perkembangan Permukiman Transmigrasi dan Kesejahteraan Transmigran.
 Peraturan Menteri Tenaga Kerja dan Transmigrasi Nomor 9 Tahun 2012 tentang Pedoman Pengelolaan Data dan Informasi Ketransmigrasian.</t>
        </is>
      </c>
      <c r="E84" s="178" t="inlineStr">
        <is>
          <t>Belum tersedia</t>
        </is>
      </c>
      <c r="F84" s="184" t="inlineStr">
        <is>
          <t>PENINGKATAN KUALITAS PELAYANAN PUBLIK</t>
        </is>
      </c>
      <c r="G84" s="184" t="inlineStr">
        <is>
          <t>Masyarakat</t>
        </is>
      </c>
      <c r="H84" s="184" t="inlineStr">
        <is>
          <t>Data Pemohon</t>
        </is>
      </c>
      <c r="I84" s="178" t="inlineStr">
        <is>
          <t>Data Animo</t>
        </is>
      </c>
      <c r="J84" s="184" t="inlineStr">
        <is>
          <t>Terbuka</t>
        </is>
      </c>
      <c r="K84" s="184" t="inlineStr">
        <is>
          <t>Terdapat</t>
        </is>
      </c>
      <c r="L84" s="184" t="inlineStr">
        <is>
          <t>Harian</t>
        </is>
      </c>
      <c r="M84" s="184" t="inlineStr">
        <is>
          <t>SIBARDUKTRANS</t>
        </is>
      </c>
      <c r="N84" s="184" t="inlineStr">
        <is>
          <t>Pusat</t>
        </is>
      </c>
      <c r="O84" s="184" t="inlineStr">
        <is>
          <t>Pusat</t>
        </is>
      </c>
      <c r="P84" s="184" t="inlineStr">
        <is>
          <t>Website</t>
        </is>
      </c>
      <c r="Q84" s="70" t="inlineStr">
        <is>
          <t>sibarduktrans.transmigrasi.go.id</t>
        </is>
      </c>
      <c r="R84" s="184" t="inlineStr">
        <is>
          <t>Secara Online</t>
        </is>
      </c>
      <c r="S84" s="184" t="inlineStr">
        <is>
          <t>Informasi</t>
        </is>
      </c>
      <c r="T84" s="184" t="n">
        <v>2024</v>
      </c>
      <c r="U84" s="184" t="inlineStr">
        <is>
          <t>Aktif</t>
        </is>
      </c>
      <c r="V84" s="184" t="inlineStr">
        <is>
          <t>Tidak</t>
        </is>
      </c>
      <c r="W84" s="184" t="inlineStr">
        <is>
          <t>Tidak Terintegrasi</t>
        </is>
      </c>
      <c r="X84" s="184" t="inlineStr">
        <is>
          <t>Tidak Terintegrasi</t>
        </is>
      </c>
      <c r="Y84" s="184" t="inlineStr">
        <is>
          <t>Tidak Terintegrasi</t>
        </is>
      </c>
      <c r="Z84" s="184" t="inlineStr">
        <is>
          <t>Bidang Penempatan Tenagga Kerja</t>
        </is>
      </c>
      <c r="AA84" s="184" t="inlineStr">
        <is>
          <t>Disnaker</t>
        </is>
      </c>
      <c r="AB84" s="178" t="inlineStr">
        <is>
          <t>Jana Silniodi</t>
        </is>
      </c>
      <c r="AC84" s="178" t="n">
        <v>8122423955</v>
      </c>
      <c r="AD84" s="178" t="inlineStr">
        <is>
          <t>bidangpenempatan04@gmail.com</t>
        </is>
      </c>
      <c r="AE84" s="68" t="n">
        <v>28</v>
      </c>
      <c r="AF84" s="68" t="inlineStr">
        <is>
          <t>Harian</t>
        </is>
      </c>
      <c r="AG84" s="284" t="n"/>
      <c r="AH84" s="284" t="n"/>
      <c r="AI84" s="284" t="n"/>
      <c r="AJ84" s="284" t="n"/>
      <c r="AK84" s="284" t="n"/>
      <c r="AL84" s="284" t="n"/>
      <c r="AM84" s="284" t="n"/>
      <c r="AN84" s="284" t="n"/>
      <c r="AO84" s="284" t="n"/>
      <c r="AP84" s="284" t="n"/>
      <c r="AQ84" s="284" t="n"/>
      <c r="AR84" s="284" t="n"/>
    </row>
    <row r="85" hidden="1" s="346">
      <c r="A85" s="62" t="n">
        <v>83</v>
      </c>
      <c r="B85" s="178" t="inlineStr">
        <is>
          <t>Layanan Sistem informasi Pelaporan Tindak Kekerasan Perempuan Dan Anak</t>
        </is>
      </c>
      <c r="C85" s="178" t="inlineStr">
        <is>
          <t>Memberikan Layanan Data Korban kekerasan Terhadap Perempuan dan Anak</t>
        </is>
      </c>
      <c r="D85" s="178" t="inlineStr">
        <is>
          <t>- Undang-Undang Nomor 23 Tahun 2004 Tentang Penghapusan KDRT
 - Peraturan Daerah Kabupaten Bandung Nomor 20 Tahun 2016 Tentang Perlindungan Hak Anak Di Daerah Kabupaten Bandung</t>
        </is>
      </c>
      <c r="E85" s="70" t="inlineStr">
        <is>
          <t>https://drive.google.com/file/d/13kiJLOSVRFOj2CqIpMMxJSxRVwkT4VuN/view?usp=drive_link</t>
        </is>
      </c>
      <c r="F85" s="184" t="inlineStr">
        <is>
          <t>PENINGKATAN KUALITAS PELAYANAN PUBLIK</t>
        </is>
      </c>
      <c r="G85" s="184" t="inlineStr">
        <is>
          <t>Masyarakat</t>
        </is>
      </c>
      <c r="H85" s="184" t="inlineStr">
        <is>
          <t>Data Korban,Progres Pendampingan</t>
        </is>
      </c>
      <c r="I85" s="178" t="inlineStr">
        <is>
          <t>Progres Pendampingan</t>
        </is>
      </c>
      <c r="J85" s="184" t="inlineStr">
        <is>
          <t>Rahasia</t>
        </is>
      </c>
      <c r="K85" s="184" t="inlineStr">
        <is>
          <t>Terdapat</t>
        </is>
      </c>
      <c r="L85" s="184" t="inlineStr">
        <is>
          <t>Harian</t>
        </is>
      </c>
      <c r="M85" s="184" t="inlineStr">
        <is>
          <t>SIPETIK</t>
        </is>
      </c>
      <c r="N85" s="184" t="inlineStr">
        <is>
          <t>Diskominfo</t>
        </is>
      </c>
      <c r="O85" s="184" t="inlineStr">
        <is>
          <t>Kab. Bandung</t>
        </is>
      </c>
      <c r="P85" s="184" t="inlineStr">
        <is>
          <t>Website</t>
        </is>
      </c>
      <c r="Q85" s="70" t="inlineStr">
        <is>
          <t>https://dp2kbp3a.bandungkab.go.id/ppa/</t>
        </is>
      </c>
      <c r="R85" s="184" t="inlineStr">
        <is>
          <t>Secara Online</t>
        </is>
      </c>
      <c r="S85" s="184" t="inlineStr">
        <is>
          <t>Transaksi</t>
        </is>
      </c>
      <c r="T85" s="98" t="n">
        <v>2023</v>
      </c>
      <c r="U85" s="184" t="inlineStr">
        <is>
          <t>Aktif</t>
        </is>
      </c>
      <c r="V85" s="184" t="inlineStr">
        <is>
          <t>Tidak</t>
        </is>
      </c>
      <c r="W85" s="184" t="inlineStr">
        <is>
          <t>Tidak Terintegrasi</t>
        </is>
      </c>
      <c r="X85" s="184" t="inlineStr">
        <is>
          <t>Tidak Terintegrasi</t>
        </is>
      </c>
      <c r="Y85" s="184" t="inlineStr">
        <is>
          <t>Tidak Terintegrasi</t>
        </is>
      </c>
      <c r="Z85" s="184" t="inlineStr">
        <is>
          <t>Bidang pemberdayaan Perempuan</t>
        </is>
      </c>
      <c r="AA85" s="184" t="inlineStr">
        <is>
          <t>DP2KBP3A</t>
        </is>
      </c>
      <c r="AB85" s="142" t="inlineStr">
        <is>
          <t>Deti Rosdiani</t>
        </is>
      </c>
      <c r="AC85" s="178" t="n">
        <v>85722205379</v>
      </c>
      <c r="AD85" s="288" t="n"/>
      <c r="AE85" s="77" t="n">
        <v>11</v>
      </c>
      <c r="AF85" s="68" t="inlineStr">
        <is>
          <t>Harian</t>
        </is>
      </c>
      <c r="AG85" s="284" t="n"/>
      <c r="AH85" s="284" t="n"/>
      <c r="AI85" s="284" t="n"/>
      <c r="AJ85" s="284" t="n"/>
      <c r="AK85" s="284" t="n"/>
      <c r="AL85" s="284" t="n"/>
      <c r="AM85" s="284" t="n"/>
      <c r="AN85" s="284" t="n"/>
      <c r="AO85" s="284" t="n"/>
      <c r="AP85" s="284" t="n"/>
      <c r="AQ85" s="284" t="n"/>
      <c r="AR85" s="284" t="n"/>
    </row>
    <row r="86" hidden="1" s="346">
      <c r="A86" s="62" t="n">
        <v>84</v>
      </c>
      <c r="B86" s="178" t="inlineStr">
        <is>
          <t>Penyusunan Penganggaran Perencanaan Responsif Gender BErsinergi Dalam Anggaran PengaruStamaan - Gender</t>
        </is>
      </c>
      <c r="C86" s="178" t="inlineStr">
        <is>
          <t>Untuk Mempermudah Instansi Lainya Untuk Mengkases Gender Analysis Pathway dan Gender Budget Statement</t>
        </is>
      </c>
      <c r="D86" s="178" t="inlineStr">
        <is>
          <t>Peraturan Bupati Nomor 24 tahun 2016 Tentang Pedoman Umum Pelaksanaan Pengarustamaan Gender dalam Pembangunan Daerah di Kabupaten bandung</t>
        </is>
      </c>
      <c r="E86" s="70" t="inlineStr">
        <is>
          <t>https://drive.google.com/file/d/1qhJbKAh0RXizTZVD-lHLPJTl4ZBGbOzZ/view?usp=sharing</t>
        </is>
      </c>
      <c r="F86" s="184" t="inlineStr">
        <is>
          <t>KESETARAAN GENDER</t>
        </is>
      </c>
      <c r="G86" s="184" t="inlineStr">
        <is>
          <t>Instansi Pemerintah Lainnya</t>
        </is>
      </c>
      <c r="H86" s="184" t="inlineStr">
        <is>
          <t>Perencanaan Dan Penganggaran Renfonsif Gender</t>
        </is>
      </c>
      <c r="I86" s="178" t="inlineStr">
        <is>
          <t>Data Gender Analisis Patway,Data Gender Budget Statmen</t>
        </is>
      </c>
      <c r="J86" s="184" t="inlineStr">
        <is>
          <t>Terbatas</t>
        </is>
      </c>
      <c r="K86" s="184" t="inlineStr">
        <is>
          <t>Tidak terdapat</t>
        </is>
      </c>
      <c r="L86" s="184" t="inlineStr">
        <is>
          <t>Tahunan</t>
        </is>
      </c>
      <c r="M86" s="184" t="inlineStr">
        <is>
          <t>PPRG BEDAS-G</t>
        </is>
      </c>
      <c r="N86" s="184" t="inlineStr">
        <is>
          <t>Diskominfo</t>
        </is>
      </c>
      <c r="O86" s="184" t="inlineStr">
        <is>
          <t>Kab. Bandung</t>
        </is>
      </c>
      <c r="P86" s="184" t="inlineStr">
        <is>
          <t>Website</t>
        </is>
      </c>
      <c r="Q86" s="70" t="inlineStr">
        <is>
          <t>https://dp2kbp3a.bandungkab.go.id/pprg/</t>
        </is>
      </c>
      <c r="R86" s="184" t="inlineStr">
        <is>
          <t>Secara Online</t>
        </is>
      </c>
      <c r="S86" s="184" t="inlineStr">
        <is>
          <t>Transaksi</t>
        </is>
      </c>
      <c r="T86" s="98" t="n">
        <v>2022</v>
      </c>
      <c r="U86" s="184" t="inlineStr">
        <is>
          <t>Aktif</t>
        </is>
      </c>
      <c r="V86" s="184" t="inlineStr">
        <is>
          <t>Ya</t>
        </is>
      </c>
      <c r="W86" s="184" t="inlineStr">
        <is>
          <t>Terintegrasi dengan aplikasi SIPD</t>
        </is>
      </c>
      <c r="X86" s="184" t="inlineStr">
        <is>
          <t>Manual</t>
        </is>
      </c>
      <c r="Y86" s="184" t="inlineStr">
        <is>
          <t>Tahunan</t>
        </is>
      </c>
      <c r="Z86" s="184" t="inlineStr">
        <is>
          <t>Bidang pemberdayaan Perempuan</t>
        </is>
      </c>
      <c r="AA86" s="184" t="inlineStr">
        <is>
          <t>DP2KBP3A</t>
        </is>
      </c>
      <c r="AB86" s="178" t="inlineStr">
        <is>
          <t>Raihan Ilhamudin, S. Kep</t>
        </is>
      </c>
      <c r="AC86" s="178" t="n">
        <v>82317985659</v>
      </c>
      <c r="AD86" s="178" t="inlineStr">
        <is>
          <t>raihanilham6@gmail.com</t>
        </is>
      </c>
      <c r="AE86" s="77" t="n">
        <v>11</v>
      </c>
      <c r="AF86" s="68" t="inlineStr">
        <is>
          <t>Tahunan</t>
        </is>
      </c>
      <c r="AG86" s="284" t="n"/>
      <c r="AH86" s="284" t="n"/>
      <c r="AI86" s="284" t="n"/>
      <c r="AJ86" s="284" t="n"/>
      <c r="AK86" s="284" t="n"/>
      <c r="AL86" s="284" t="n"/>
      <c r="AM86" s="284" t="n"/>
      <c r="AN86" s="284" t="n"/>
      <c r="AO86" s="284" t="n"/>
      <c r="AP86" s="284" t="n"/>
      <c r="AQ86" s="284" t="n"/>
      <c r="AR86" s="284" t="n"/>
    </row>
    <row r="87" hidden="1" s="346">
      <c r="A87" s="62" t="n">
        <v>85</v>
      </c>
      <c r="B87" s="178" t="inlineStr">
        <is>
          <t>Sistem Informasi Keluarga</t>
        </is>
      </c>
      <c r="C87" s="178" t="inlineStr">
        <is>
          <t>mengumpulkan, mengelola, dan menyajikan data serta informasi yang akurat dan terkini mengenai kependudukan dan keluarga berencana untuk mendukung perencanaan dan intervensi program-program BKKBN, seperti Program Bangga Kencana dan penurunan stunting.</t>
        </is>
      </c>
      <c r="D87" s="178" t="inlineStr">
        <is>
          <t>Undang-Undang Nomor 52 Tahun 2009 tentang Perkembangan
 Kependudukan dan Pembangunan Keluarga, Badan Kependudukan dan Keluarga
 Berencana Nasional memiliki tugas untuk melaksanakan Program Pembangunan
 Keluarga, Kependudukan dan Keluarga Berencana (Bangga Kencana)</t>
        </is>
      </c>
      <c r="E87" s="288" t="n"/>
      <c r="F87" s="184" t="inlineStr">
        <is>
          <t>PENDATAAN KELUARGA</t>
        </is>
      </c>
      <c r="G87" s="184" t="inlineStr">
        <is>
          <t>Masyarakat</t>
        </is>
      </c>
      <c r="H87" s="184" t="inlineStr">
        <is>
          <t>Data Keluarga</t>
        </is>
      </c>
      <c r="I87" s="178" t="inlineStr">
        <is>
          <t>,Data Hasil Pelayanan KB,Data Pendataan Keluarga</t>
        </is>
      </c>
      <c r="J87" s="184" t="inlineStr">
        <is>
          <t>Tertutup</t>
        </is>
      </c>
      <c r="K87" s="184" t="inlineStr">
        <is>
          <t>Terdapat</t>
        </is>
      </c>
      <c r="L87" s="184" t="inlineStr">
        <is>
          <t>Bulanan</t>
        </is>
      </c>
      <c r="M87" s="184" t="inlineStr">
        <is>
          <t>SIGA</t>
        </is>
      </c>
      <c r="N87" s="184" t="inlineStr">
        <is>
          <t>Pusat</t>
        </is>
      </c>
      <c r="O87" s="184" t="inlineStr">
        <is>
          <t>Pusat</t>
        </is>
      </c>
      <c r="P87" s="184" t="inlineStr">
        <is>
          <t>Website dan Mobile</t>
        </is>
      </c>
      <c r="Q87" s="70" t="inlineStr">
        <is>
          <t>https://siga.bkkbn.go.id/</t>
        </is>
      </c>
      <c r="R87" s="184" t="inlineStr">
        <is>
          <t>Secara Online</t>
        </is>
      </c>
      <c r="S87" s="184" t="inlineStr">
        <is>
          <t>Transaksi</t>
        </is>
      </c>
      <c r="T87" s="98" t="n">
        <v>2023</v>
      </c>
      <c r="U87" s="184" t="inlineStr">
        <is>
          <t>Aktif</t>
        </is>
      </c>
      <c r="V87" s="184" t="inlineStr">
        <is>
          <t>Ya</t>
        </is>
      </c>
      <c r="W87" s="184" t="inlineStr">
        <is>
          <t>SIPERINDU</t>
        </is>
      </c>
      <c r="X87" s="184" t="inlineStr">
        <is>
          <t>API</t>
        </is>
      </c>
      <c r="Y87" s="184" t="inlineStr">
        <is>
          <t>Realtime</t>
        </is>
      </c>
      <c r="Z87" s="184" t="inlineStr">
        <is>
          <t>Bidang Pengendalian Penduduk</t>
        </is>
      </c>
      <c r="AA87" s="184" t="inlineStr">
        <is>
          <t>DP2KBP3A</t>
        </is>
      </c>
      <c r="AB87" s="178" t="inlineStr">
        <is>
          <t>Sangki Sopyan, S. Pd. OR</t>
        </is>
      </c>
      <c r="AC87" s="178" t="n">
        <v>85729245486</v>
      </c>
      <c r="AD87" s="288" t="n"/>
      <c r="AE87" s="77" t="n">
        <v>9</v>
      </c>
      <c r="AF87" s="68" t="inlineStr">
        <is>
          <t>Tahunan</t>
        </is>
      </c>
      <c r="AG87" s="284" t="n"/>
      <c r="AH87" s="284" t="n"/>
      <c r="AI87" s="284" t="n"/>
      <c r="AJ87" s="284" t="n"/>
      <c r="AK87" s="284" t="n"/>
      <c r="AL87" s="284" t="n"/>
      <c r="AM87" s="284" t="n"/>
      <c r="AN87" s="284" t="n"/>
      <c r="AO87" s="284" t="n"/>
      <c r="AP87" s="284" t="n"/>
      <c r="AQ87" s="284" t="n"/>
      <c r="AR87" s="284" t="n"/>
    </row>
    <row r="88" hidden="1" s="346">
      <c r="A88" s="62" t="n">
        <v>86</v>
      </c>
      <c r="B88" s="178" t="inlineStr">
        <is>
          <t>Satgas Perlindungan Perempuan dan Anak</t>
        </is>
      </c>
      <c r="C88" s="178" t="inlineStr">
        <is>
          <t>Menciptakan Lingkungan yang Aman Bagi Perempuan dan Anak di Kecamatan dan Desa/Kelurahan dan Memastikan Mendapatkan Hak-Hak untuk Hidup Tumbuh,Berkembang Dan berpartisipasi secara Optimal sesuai harkat dan Martabat Kemanusiaan serta terlindungi dari kekerasan dan diskriminasi</t>
        </is>
      </c>
      <c r="D88" s="178" t="inlineStr">
        <is>
          <t>- Peraturan Daerah Nomor 20 Tahun 2016 Tentang Perlindungan dan Hak Anak
 - Peraturan Daerah Nomor 21 Tahun 2016 Tenang Perlindungan Perempuan</t>
        </is>
      </c>
      <c r="E88" s="70" t="inlineStr">
        <is>
          <t>https://drive.google.com/file/d/16ULKF-_fc7--75zz-4n8WtETaChfDzBD/view?usp=sharing</t>
        </is>
      </c>
      <c r="F88" s="184" t="inlineStr">
        <is>
          <t>PENINGKATAN KUALITAS PELAYANAN PUBLIK</t>
        </is>
      </c>
      <c r="G88" s="184" t="inlineStr">
        <is>
          <t>Masyarakat</t>
        </is>
      </c>
      <c r="H88" s="184" t="inlineStr">
        <is>
          <t>Data Perempuan Kepala Keluarga</t>
        </is>
      </c>
      <c r="I88" s="178" t="inlineStr">
        <is>
          <t>Data Perempuan Kepala Keluarga</t>
        </is>
      </c>
      <c r="J88" s="184" t="inlineStr">
        <is>
          <t>Tertutup</t>
        </is>
      </c>
      <c r="K88" s="184" t="inlineStr">
        <is>
          <t>Terdapat</t>
        </is>
      </c>
      <c r="L88" s="184" t="inlineStr">
        <is>
          <t>Bulanan</t>
        </is>
      </c>
      <c r="M88" s="184" t="inlineStr">
        <is>
          <t>SAPPANA</t>
        </is>
      </c>
      <c r="N88" s="184" t="inlineStr">
        <is>
          <t>Diskominfo</t>
        </is>
      </c>
      <c r="O88" s="184" t="inlineStr">
        <is>
          <t>Kab. Bandung</t>
        </is>
      </c>
      <c r="P88" s="184" t="inlineStr">
        <is>
          <t>Website</t>
        </is>
      </c>
      <c r="Q88" s="70" t="inlineStr">
        <is>
          <t>https://dp2kbp3a.bandungkab.go.id/sappana/</t>
        </is>
      </c>
      <c r="R88" s="184" t="inlineStr">
        <is>
          <t>Secara Online</t>
        </is>
      </c>
      <c r="S88" s="184" t="inlineStr">
        <is>
          <t>Transaksi</t>
        </is>
      </c>
      <c r="T88" s="98" t="n">
        <v>2024</v>
      </c>
      <c r="U88" s="184" t="inlineStr">
        <is>
          <t>Aktif</t>
        </is>
      </c>
      <c r="V88" s="184" t="inlineStr">
        <is>
          <t>Ya</t>
        </is>
      </c>
      <c r="W88" s="184" t="inlineStr">
        <is>
          <t>Terintegrasi dengan SIPETIK</t>
        </is>
      </c>
      <c r="X88" s="184" t="inlineStr">
        <is>
          <t>Tidak Terintegrasi</t>
        </is>
      </c>
      <c r="Y88" s="184" t="inlineStr">
        <is>
          <t>Tahunan</t>
        </is>
      </c>
      <c r="Z88" s="184" t="inlineStr">
        <is>
          <t>Bidang pemberdayaan Perempuan</t>
        </is>
      </c>
      <c r="AA88" s="184" t="inlineStr">
        <is>
          <t>DP2KBP3A</t>
        </is>
      </c>
      <c r="AB88" s="178" t="inlineStr">
        <is>
          <t>Riki Kardina, S. Ag</t>
        </is>
      </c>
      <c r="AC88" s="178" t="n">
        <v>882001405143</v>
      </c>
      <c r="AD88" s="288" t="n"/>
      <c r="AE88" s="77" t="n">
        <v>11</v>
      </c>
      <c r="AF88" s="68" t="inlineStr">
        <is>
          <t>Bulanan</t>
        </is>
      </c>
      <c r="AG88" s="284" t="n"/>
      <c r="AH88" s="284" t="n"/>
      <c r="AI88" s="284" t="n"/>
      <c r="AJ88" s="284" t="n"/>
      <c r="AK88" s="284" t="n"/>
      <c r="AL88" s="284" t="n"/>
      <c r="AM88" s="284" t="n"/>
      <c r="AN88" s="284" t="n"/>
      <c r="AO88" s="284" t="n"/>
      <c r="AP88" s="284" t="n"/>
      <c r="AQ88" s="284" t="n"/>
      <c r="AR88" s="284" t="n"/>
    </row>
    <row r="89" hidden="1" s="346">
      <c r="A89" s="62" t="n">
        <v>87</v>
      </c>
      <c r="B89" s="178" t="inlineStr">
        <is>
          <t>Sistem Informasi Online Perlindungan Perempuan dan Anak</t>
        </is>
      </c>
      <c r="C89" s="178" t="inlineStr">
        <is>
          <t>Pencatatan dan pelaporan kekerasan terhadap perempuan dan anak yang terjadi di wilayah Indonesia, baik untuk warga negara indonesia maupun warga negara asing. SIMFONI PPA bekerja sama dengan instansi pemerintahan di setiap provinsi / kabupaten / kota sehingga aplikasi dapat diakses oleh semua unit layanan penanganan korban kekerasan perempuan dan anak dibawah pada tingkat nasional meliputi provinsi / kabupaten / kota secara up to date.</t>
        </is>
      </c>
      <c r="D89" s="178" t="inlineStr">
        <is>
          <t>Undang-Undang Nomor 23 Tahun 2004 Tentang Penghapusan KDRT</t>
        </is>
      </c>
      <c r="E89" s="70" t="inlineStr">
        <is>
          <t>https://docs.google.com/spreadsheets/d/1f2FpxtXLWyTMlao3H1cM7ZWvZY62FNOP/edit?usp=drivesdk&amp;ouid=101319060553117315214&amp;rtpof=true&amp;sd=true</t>
        </is>
      </c>
      <c r="F89" s="184" t="inlineStr">
        <is>
          <t>PENYEDIA LAYANAN BAGI ANAK YANG MEMERLUKAN PERLINDUNGAN KHUSUS DAN PEREMPUAN KORBAN KEKERASAN YANG MEMERLUKAN KOORDINASI LINTAS PROVINSI, TINGKAT NASIONAL, DAN INTERNASIONAL</t>
        </is>
      </c>
      <c r="G89" s="184" t="inlineStr">
        <is>
          <t>Pegawai</t>
        </is>
      </c>
      <c r="H89" s="184" t="inlineStr">
        <is>
          <t>Data Korban,Progres Pendampingan</t>
        </is>
      </c>
      <c r="I89" s="178" t="inlineStr">
        <is>
          <t>Data Korban Kekerasan Perempuan dan Anak, Progres penanganan Kasus</t>
        </is>
      </c>
      <c r="J89" s="184" t="inlineStr">
        <is>
          <t>Rahasia</t>
        </is>
      </c>
      <c r="K89" s="184" t="inlineStr">
        <is>
          <t>Terdapat</t>
        </is>
      </c>
      <c r="L89" s="184" t="inlineStr">
        <is>
          <t>Lainnya</t>
        </is>
      </c>
      <c r="M89" s="184" t="inlineStr">
        <is>
          <t>Simfoni PPA</t>
        </is>
      </c>
      <c r="N89" s="184" t="inlineStr">
        <is>
          <t>Pusat</t>
        </is>
      </c>
      <c r="O89" s="184" t="inlineStr">
        <is>
          <t>Pusat</t>
        </is>
      </c>
      <c r="P89" s="184" t="inlineStr">
        <is>
          <t>Website</t>
        </is>
      </c>
      <c r="Q89" s="70" t="inlineStr">
        <is>
          <t>https://simfonippa.kemenpppa.go.id/</t>
        </is>
      </c>
      <c r="R89" s="184" t="inlineStr">
        <is>
          <t>Secara Online</t>
        </is>
      </c>
      <c r="S89" s="184" t="inlineStr">
        <is>
          <t>Transaksi</t>
        </is>
      </c>
      <c r="T89" s="98" t="n">
        <v>2019</v>
      </c>
      <c r="U89" s="184" t="inlineStr">
        <is>
          <t>Aktif</t>
        </is>
      </c>
      <c r="V89" s="184" t="inlineStr">
        <is>
          <t>Tidak</t>
        </is>
      </c>
      <c r="W89" s="184" t="inlineStr">
        <is>
          <t>Tidak Terintegrasi</t>
        </is>
      </c>
      <c r="X89" s="184" t="inlineStr">
        <is>
          <t>Tidak Terintegrasi</t>
        </is>
      </c>
      <c r="Y89" s="184" t="inlineStr">
        <is>
          <t>Tidak Terintegrasi</t>
        </is>
      </c>
      <c r="Z89" s="184" t="inlineStr">
        <is>
          <t>Unit Pelaksana Teknis Daerah Perindungan Perempuan dan Anak</t>
        </is>
      </c>
      <c r="AA89" s="184" t="inlineStr">
        <is>
          <t>DP2KBP3A</t>
        </is>
      </c>
      <c r="AB89" s="178" t="inlineStr">
        <is>
          <t>Dinda Nurul</t>
        </is>
      </c>
      <c r="AC89" s="178" t="n">
        <v>81320344426</v>
      </c>
      <c r="AD89" s="178" t="inlineStr">
        <is>
          <t>dindanurul150@gmail.com</t>
        </is>
      </c>
      <c r="AE89" s="77" t="n">
        <v>11</v>
      </c>
      <c r="AF89" s="68" t="inlineStr">
        <is>
          <t>Insidentil</t>
        </is>
      </c>
      <c r="AG89" s="284" t="n"/>
      <c r="AH89" s="284" t="n"/>
      <c r="AI89" s="284" t="n"/>
      <c r="AJ89" s="284" t="n"/>
      <c r="AK89" s="284" t="n"/>
      <c r="AL89" s="284" t="n"/>
      <c r="AM89" s="284" t="n"/>
      <c r="AN89" s="284" t="n"/>
      <c r="AO89" s="284" t="n"/>
      <c r="AP89" s="284" t="n"/>
      <c r="AQ89" s="284" t="n"/>
      <c r="AR89" s="284" t="n"/>
    </row>
    <row r="90" hidden="1" s="346">
      <c r="A90" s="62" t="n">
        <v>88</v>
      </c>
      <c r="B90" s="178" t="inlineStr">
        <is>
          <t>Layanan Bersama Lindungi Anak</t>
        </is>
      </c>
      <c r="C90" s="178" t="inlineStr">
        <is>
          <t>pengumpulan data tekait KLA untuk mengumpulkan bukti dukung program pemenuhan hak anak di kabupaten bandung</t>
        </is>
      </c>
      <c r="D90" s="178" t="inlineStr">
        <is>
          <t>Permen PPA no 4 Tahun 2024 tentang penyelneggaraaan layanan pemenuhan hak anak</t>
        </is>
      </c>
      <c r="E90" s="288" t="n"/>
      <c r="F90" s="184" t="inlineStr">
        <is>
          <t>PEMENUHAN HAK ANAK</t>
        </is>
      </c>
      <c r="G90" s="184" t="inlineStr">
        <is>
          <t>Masyarakat</t>
        </is>
      </c>
      <c r="H90" s="184" t="inlineStr">
        <is>
          <t>eviden pelaksanaan kegiatan</t>
        </is>
      </c>
      <c r="I90" s="178" t="inlineStr">
        <is>
          <t>pemenuhan penilaian KLA</t>
        </is>
      </c>
      <c r="J90" s="184" t="inlineStr">
        <is>
          <t>Terbatas</t>
        </is>
      </c>
      <c r="K90" s="184" t="inlineStr">
        <is>
          <t>Terdapat</t>
        </is>
      </c>
      <c r="L90" s="184" t="inlineStr">
        <is>
          <t>Tahunan</t>
        </is>
      </c>
      <c r="M90" s="184" t="inlineStr">
        <is>
          <t>aplikasi evaluasi KLA</t>
        </is>
      </c>
      <c r="N90" s="184" t="inlineStr">
        <is>
          <t>Diskominfo</t>
        </is>
      </c>
      <c r="O90" s="184" t="inlineStr">
        <is>
          <t>Kab. Bandung</t>
        </is>
      </c>
      <c r="P90" s="184" t="inlineStr">
        <is>
          <t>Website dan Mobile</t>
        </is>
      </c>
      <c r="Q90" s="70" t="inlineStr">
        <is>
          <t>https://dp2kbp3a.bandungkab.go.id/apps/perlindungan-anak/</t>
        </is>
      </c>
      <c r="R90" s="184" t="inlineStr">
        <is>
          <t>Secara Online</t>
        </is>
      </c>
      <c r="S90" s="184" t="inlineStr">
        <is>
          <t>Informasi</t>
        </is>
      </c>
      <c r="T90" s="98" t="n">
        <v>2020</v>
      </c>
      <c r="U90" s="184" t="inlineStr">
        <is>
          <t>Aktif</t>
        </is>
      </c>
      <c r="V90" s="184" t="inlineStr">
        <is>
          <t>Tidak</t>
        </is>
      </c>
      <c r="W90" s="288" t="n"/>
      <c r="X90" s="288" t="n"/>
      <c r="Y90" s="288" t="n"/>
      <c r="Z90" s="184" t="inlineStr">
        <is>
          <t>Bidang Perlinudngan anak</t>
        </is>
      </c>
      <c r="AA90" s="184" t="inlineStr">
        <is>
          <t>DP2KBP3A</t>
        </is>
      </c>
      <c r="AB90" s="178" t="inlineStr">
        <is>
          <t>Wina Sri Utami</t>
        </is>
      </c>
      <c r="AC90" s="98" t="n">
        <v>8993829204</v>
      </c>
      <c r="AD90" s="178" t="inlineStr">
        <is>
          <t>awinwina4@gmail.com</t>
        </is>
      </c>
      <c r="AE90" s="288" t="n"/>
      <c r="AF90" s="288" t="n"/>
      <c r="AG90" s="284" t="n"/>
      <c r="AH90" s="284" t="n"/>
      <c r="AI90" s="284" t="n"/>
      <c r="AJ90" s="284" t="n"/>
      <c r="AK90" s="284" t="n"/>
      <c r="AL90" s="284" t="n"/>
      <c r="AM90" s="284" t="n"/>
      <c r="AN90" s="284" t="n"/>
      <c r="AO90" s="284" t="n"/>
      <c r="AP90" s="284" t="n"/>
      <c r="AQ90" s="284" t="n"/>
      <c r="AR90" s="284" t="n"/>
    </row>
    <row r="91" hidden="1" s="346">
      <c r="A91" s="62" t="n">
        <v>89</v>
      </c>
      <c r="B91" s="178" t="inlineStr">
        <is>
          <t>Layanan Surat Pengelolaan dan Pamantauan Lingkungan Hidup</t>
        </is>
      </c>
      <c r="C91" s="178" t="inlineStr">
        <is>
          <t>Untuk menghasilkan Surat Keterangan SPPL, Berita Acara Konsultasi Rencana Teknis
 dan Notulensi Rapat</t>
        </is>
      </c>
      <c r="D91" s="178" t="inlineStr">
        <is>
          <t>Berdasarkan Peraturan Pemerintah Nomor 22 Tahun 2021 tentang Penyelenggaraan Perlindungan dan Pengelolaan Lingkungan Hidup</t>
        </is>
      </c>
      <c r="E91" s="178" t="inlineStr">
        <is>
          <t>STANDAR PELAYANAN PADA DINAS LINGKUNGAN HIDUP.pdf</t>
        </is>
      </c>
      <c r="F91" s="184" t="inlineStr">
        <is>
          <t>PENATAAN LINGKUNGAN HIDUP SECARA BERKELANJUTAN</t>
        </is>
      </c>
      <c r="G91" s="184" t="inlineStr">
        <is>
          <t>Pelaku Bisnis</t>
        </is>
      </c>
      <c r="H91" s="184" t="inlineStr">
        <is>
          <t>Data Pemrakarsa, Dokumen Lingkungan</t>
        </is>
      </c>
      <c r="I91" s="178" t="inlineStr">
        <is>
          <t>Data Pengelolaan Dan Pamantauan Lingkungan Hidup</t>
        </is>
      </c>
      <c r="J91" s="184" t="inlineStr">
        <is>
          <t>Terbatas</t>
        </is>
      </c>
      <c r="K91" s="184" t="inlineStr">
        <is>
          <t>Terdapat</t>
        </is>
      </c>
      <c r="L91" s="184" t="inlineStr">
        <is>
          <t>Lainnya</t>
        </is>
      </c>
      <c r="M91" s="184" t="inlineStr">
        <is>
          <t>Amdalnet</t>
        </is>
      </c>
      <c r="N91" s="184" t="inlineStr">
        <is>
          <t>Pusat</t>
        </is>
      </c>
      <c r="O91" s="184" t="inlineStr">
        <is>
          <t>Pusat</t>
        </is>
      </c>
      <c r="P91" s="184" t="inlineStr">
        <is>
          <t>Website</t>
        </is>
      </c>
      <c r="Q91" s="70" t="inlineStr">
        <is>
          <t>amdalnet.kemenlh.go.id</t>
        </is>
      </c>
      <c r="R91" s="184" t="inlineStr">
        <is>
          <t>Secara Online</t>
        </is>
      </c>
      <c r="S91" s="184" t="inlineStr">
        <is>
          <t>Transaksi</t>
        </is>
      </c>
      <c r="T91" s="288" t="n"/>
      <c r="U91" s="184" t="inlineStr">
        <is>
          <t>Aktif</t>
        </is>
      </c>
      <c r="V91" s="184" t="inlineStr">
        <is>
          <t>Tidak</t>
        </is>
      </c>
      <c r="W91" s="184" t="inlineStr">
        <is>
          <t>tidak terintegrasi</t>
        </is>
      </c>
      <c r="X91" s="184" t="inlineStr">
        <is>
          <t>Tidak Terintegrasi</t>
        </is>
      </c>
      <c r="Y91" s="184" t="inlineStr">
        <is>
          <t>Tidak Terintegrasi</t>
        </is>
      </c>
      <c r="Z91" s="184" t="inlineStr">
        <is>
          <t>Bidang Tata Lingkungan</t>
        </is>
      </c>
      <c r="AA91" s="184" t="inlineStr">
        <is>
          <t>DLH</t>
        </is>
      </c>
      <c r="AB91" s="178" t="inlineStr">
        <is>
          <t>Iqsan Okiyanto / Andri Taufik</t>
        </is>
      </c>
      <c r="AC91" s="178" t="inlineStr">
        <is>
          <t>085225996451 / 081322181254</t>
        </is>
      </c>
      <c r="AD91" s="178" t="inlineStr">
        <is>
          <t>dlh@bandungkab.go.id</t>
        </is>
      </c>
      <c r="AE91" s="288" t="n"/>
      <c r="AF91" s="288" t="n"/>
      <c r="AG91" s="284" t="n"/>
      <c r="AH91" s="284" t="n"/>
      <c r="AI91" s="284" t="n"/>
      <c r="AJ91" s="284" t="n"/>
      <c r="AK91" s="284" t="n"/>
      <c r="AL91" s="284" t="n"/>
      <c r="AM91" s="284" t="n"/>
      <c r="AN91" s="284" t="n"/>
      <c r="AO91" s="284" t="n"/>
      <c r="AP91" s="284" t="n"/>
      <c r="AQ91" s="284" t="n"/>
      <c r="AR91" s="284" t="n"/>
    </row>
    <row r="92" hidden="1" s="346">
      <c r="A92" s="62" t="n">
        <v>90</v>
      </c>
      <c r="B92" s="178" t="inlineStr">
        <is>
          <t>Layanan Pengangkutan Sampah Wilayah Kabupaten Bandung</t>
        </is>
      </c>
      <c r="C92" s="178" t="inlineStr">
        <is>
          <t>Menyediakan layanan pengangkutan sampah secara teratur dan efisien di wilayah Kabupaten Bandung guna menjaga kebersihan lingkungan, mencegah pencemaran, dan memastikan pengelolaan sampah yang ramah lingkungan serta sesuai dengan peraturan yang berlaku.</t>
        </is>
      </c>
      <c r="D92" s="178" t="inlineStr">
        <is>
          <t>Berdasarkan Peraturan Daerah Kabupaten Bandung Nomor 1 Tahun 2022 Tentang Pengelolaan Sampah</t>
        </is>
      </c>
      <c r="E92" s="178" t="inlineStr">
        <is>
          <t>STANDAR PELAYANAN PADA DINAS LINGKUNGAN HIDUP.pdf</t>
        </is>
      </c>
      <c r="F92" s="184" t="inlineStr">
        <is>
          <t>PENGELOLAAN SAMPAH</t>
        </is>
      </c>
      <c r="G92" s="184" t="inlineStr">
        <is>
          <t>Masyarakat</t>
        </is>
      </c>
      <c r="H92" s="184" t="inlineStr">
        <is>
          <t>Data Sampah yang diangkut</t>
        </is>
      </c>
      <c r="I92" s="178" t="inlineStr">
        <is>
          <t>Data Pelayanan Pengangkutan Sampah Wilayah Rancaekek
 Data Pelayanan Pengangkutan Sampah Wilayah Soreang
 Data Pelayanan Pengangkutan Sampah Wilayah Ciparay
 Data Pelayanan Pengangkutan Sampah Wilayah Baleendah</t>
        </is>
      </c>
      <c r="J92" s="184" t="inlineStr">
        <is>
          <t>Terbuka</t>
        </is>
      </c>
      <c r="K92" s="184" t="inlineStr">
        <is>
          <t>Tidak terdapat</t>
        </is>
      </c>
      <c r="L92" s="184" t="inlineStr">
        <is>
          <t>Harian</t>
        </is>
      </c>
      <c r="M92" s="184" t="inlineStr">
        <is>
          <t>Sampahkita</t>
        </is>
      </c>
      <c r="N92" s="184" t="inlineStr">
        <is>
          <t>Provinsi</t>
        </is>
      </c>
      <c r="O92" s="184" t="inlineStr">
        <is>
          <t>Provinsi</t>
        </is>
      </c>
      <c r="P92" s="184" t="inlineStr">
        <is>
          <t>Website</t>
        </is>
      </c>
      <c r="Q92" s="70" t="inlineStr">
        <is>
          <t>https://sampahkita.jabarprov.go.id/</t>
        </is>
      </c>
      <c r="R92" s="184" t="inlineStr">
        <is>
          <t>Secara Online</t>
        </is>
      </c>
      <c r="S92" s="184" t="inlineStr">
        <is>
          <t>Informasi</t>
        </is>
      </c>
      <c r="T92" s="288" t="n"/>
      <c r="U92" s="184" t="inlineStr">
        <is>
          <t>Aktif</t>
        </is>
      </c>
      <c r="V92" s="184" t="inlineStr">
        <is>
          <t>Tidak</t>
        </is>
      </c>
      <c r="W92" s="184" t="inlineStr">
        <is>
          <t>tidak terintegrasi</t>
        </is>
      </c>
      <c r="X92" s="184" t="inlineStr">
        <is>
          <t>Tidak Terintegrasi</t>
        </is>
      </c>
      <c r="Y92" s="184" t="inlineStr">
        <is>
          <t>Tidak Terintegrasi</t>
        </is>
      </c>
      <c r="Z92" s="184" t="inlineStr">
        <is>
          <t>Bidang Pengelolaan Sampah</t>
        </is>
      </c>
      <c r="AA92" s="184" t="inlineStr">
        <is>
          <t>DLH</t>
        </is>
      </c>
      <c r="AB92" s="178" t="inlineStr">
        <is>
          <t>Iqsan Okiyanto / Andri Taufik</t>
        </is>
      </c>
      <c r="AC92" s="178" t="inlineStr">
        <is>
          <t>085225996451 / 081322181254</t>
        </is>
      </c>
      <c r="AD92" s="178" t="inlineStr">
        <is>
          <t>dlh@bandungkab.go.id</t>
        </is>
      </c>
      <c r="AE92" s="68" t="n">
        <v>46</v>
      </c>
      <c r="AF92" s="68" t="inlineStr">
        <is>
          <t>Harian</t>
        </is>
      </c>
      <c r="AG92" s="284" t="n"/>
      <c r="AH92" s="284" t="n"/>
      <c r="AI92" s="284" t="n"/>
      <c r="AJ92" s="284" t="n"/>
      <c r="AK92" s="284" t="n"/>
      <c r="AL92" s="284" t="n"/>
      <c r="AM92" s="284" t="n"/>
      <c r="AN92" s="284" t="n"/>
      <c r="AO92" s="284" t="n"/>
      <c r="AP92" s="284" t="n"/>
      <c r="AQ92" s="284" t="n"/>
      <c r="AR92" s="284" t="n"/>
    </row>
    <row r="93" hidden="1" s="346">
      <c r="A93" s="62" t="n">
        <v>91</v>
      </c>
      <c r="B93" s="178" t="inlineStr">
        <is>
          <t>Layanan Pengelolaan dan Pemanfaatan Sampah</t>
        </is>
      </c>
      <c r="C93" s="178" t="inlineStr">
        <is>
          <t>Untuk menghasilkan materi penyuluhan atau pelatihan, sarana dan prasarana pelatihan, bibit BSF, pembinaan secara berkala dan surat registrasi pengelola sampah/bank sampah
 tematik/TPS3R</t>
        </is>
      </c>
      <c r="D93" s="178" t="inlineStr">
        <is>
          <t>Berdasarkan Peraturan Daerah Kabupaten Bandung Nomor 1 Tahun 2022 Tentang Pengelolaan Sampah</t>
        </is>
      </c>
      <c r="E93" s="178" t="inlineStr">
        <is>
          <t>STANDAR PELAYANAN PADA DINAS LINGKUNGAN HIDUP.pdf</t>
        </is>
      </c>
      <c r="F93" s="184" t="inlineStr">
        <is>
          <t>PENGELOLAAN SAMPAH</t>
        </is>
      </c>
      <c r="G93" s="184" t="inlineStr">
        <is>
          <t>Masyarakat</t>
        </is>
      </c>
      <c r="H93" s="76" t="inlineStr">
        <is>
          <t>Data sampah yang dilakukan pengelolaan</t>
        </is>
      </c>
      <c r="I93" s="178" t="inlineStr">
        <is>
          <t>Data Pelayanan Pengelolaan Dan Pemanfaatan Sampah</t>
        </is>
      </c>
      <c r="J93" s="184" t="inlineStr">
        <is>
          <t>Terbuka</t>
        </is>
      </c>
      <c r="K93" s="184" t="inlineStr">
        <is>
          <t>Tidak terdapat</t>
        </is>
      </c>
      <c r="L93" s="184" t="inlineStr">
        <is>
          <t>Tahunan</t>
        </is>
      </c>
      <c r="M93" s="184" t="inlineStr">
        <is>
          <t>SIPSN</t>
        </is>
      </c>
      <c r="N93" s="184" t="inlineStr">
        <is>
          <t>Pusat</t>
        </is>
      </c>
      <c r="O93" s="184" t="inlineStr">
        <is>
          <t>Pusat</t>
        </is>
      </c>
      <c r="P93" s="184" t="inlineStr">
        <is>
          <t>Website</t>
        </is>
      </c>
      <c r="Q93" s="131" t="inlineStr">
        <is>
          <t>https://sipsn.kemenlh.go.id/sipsn/</t>
        </is>
      </c>
      <c r="R93" s="184" t="inlineStr">
        <is>
          <t>Secara Online</t>
        </is>
      </c>
      <c r="S93" s="184" t="inlineStr">
        <is>
          <t>Informasi</t>
        </is>
      </c>
      <c r="T93" s="288" t="n"/>
      <c r="U93" s="184" t="inlineStr">
        <is>
          <t>Aktif</t>
        </is>
      </c>
      <c r="V93" s="184" t="inlineStr">
        <is>
          <t>Tidak</t>
        </is>
      </c>
      <c r="W93" s="184" t="inlineStr">
        <is>
          <t>tidak terintegrasi</t>
        </is>
      </c>
      <c r="X93" s="184" t="inlineStr">
        <is>
          <t>Tidak Terintegrasi</t>
        </is>
      </c>
      <c r="Y93" s="184" t="inlineStr">
        <is>
          <t>Tidak Terintegrasi</t>
        </is>
      </c>
      <c r="Z93" s="184" t="inlineStr">
        <is>
          <t>Bidang Pengelolaan Sampah</t>
        </is>
      </c>
      <c r="AA93" s="184" t="inlineStr">
        <is>
          <t>DLH</t>
        </is>
      </c>
      <c r="AB93" s="178" t="inlineStr">
        <is>
          <t>Iqsan Okiyanto / Andri Taufik</t>
        </is>
      </c>
      <c r="AC93" s="178" t="inlineStr">
        <is>
          <t>085225996451 / 081322181254</t>
        </is>
      </c>
      <c r="AD93" s="178" t="inlineStr">
        <is>
          <t>dlh@bandungkab.go.id</t>
        </is>
      </c>
      <c r="AE93" s="68" t="n">
        <v>46</v>
      </c>
      <c r="AF93" s="68" t="inlineStr">
        <is>
          <t>Tahunan</t>
        </is>
      </c>
      <c r="AG93" s="284" t="n"/>
      <c r="AH93" s="284" t="n"/>
      <c r="AI93" s="284" t="n"/>
      <c r="AJ93" s="284" t="n"/>
      <c r="AK93" s="284" t="n"/>
      <c r="AL93" s="284" t="n"/>
      <c r="AM93" s="284" t="n"/>
      <c r="AN93" s="284" t="n"/>
      <c r="AO93" s="284" t="n"/>
      <c r="AP93" s="284" t="n"/>
      <c r="AQ93" s="284" t="n"/>
      <c r="AR93" s="284" t="n"/>
    </row>
    <row r="94" hidden="1" s="346">
      <c r="A94" s="62" t="n">
        <v>92</v>
      </c>
      <c r="B94" s="178" t="inlineStr">
        <is>
          <t>Layanan Gep4k Sayang</t>
        </is>
      </c>
      <c r="C94" s="178" t="inlineStr">
        <is>
          <t>Untuk melayani Gerakan Peduli Penanaman dan Pemeliharaan Pohon Kesayangan (Gep4k Sayang) yang dimana mewajibkan setiap warga Kabupaten Bandung menanam, memiliki, dan memelihara minimal 2 pohon kesayangan seumur hidupnya</t>
        </is>
      </c>
      <c r="D94" s="178" t="inlineStr">
        <is>
          <t>Peraturan Menteri Lingkungan Hidup Dan Kehutanan Republik Indonesia Nomor 23 Tahun 2021 Tentang Pelaksanaan Rehabilitasi Hutan Dan Lahan</t>
        </is>
      </c>
      <c r="E94" s="178" t="inlineStr">
        <is>
          <t>STANDAR PELAYANAN PADA DINAS LINGKUNGAN HIDUP.pdf</t>
        </is>
      </c>
      <c r="F94" s="184" t="inlineStr">
        <is>
          <t>PELESTARIAN LINGKUNGAN HIDUP</t>
        </is>
      </c>
      <c r="G94" s="184" t="inlineStr">
        <is>
          <t>Masyarakat</t>
        </is>
      </c>
      <c r="H94" s="178" t="inlineStr">
        <is>
          <t>Data penanaman pohon</t>
        </is>
      </c>
      <c r="I94" s="178" t="inlineStr">
        <is>
          <t>Data Gerakan Penanaman dan Pemeliharaan Pohon Kesayangan</t>
        </is>
      </c>
      <c r="J94" s="184" t="inlineStr">
        <is>
          <t>Terbuka</t>
        </is>
      </c>
      <c r="K94" s="184" t="inlineStr">
        <is>
          <t>Tidak terdapat</t>
        </is>
      </c>
      <c r="L94" s="184" t="inlineStr">
        <is>
          <t>Bulanan</t>
        </is>
      </c>
      <c r="M94" s="184" t="inlineStr">
        <is>
          <t>GeP4K Sayang</t>
        </is>
      </c>
      <c r="N94" s="184" t="inlineStr">
        <is>
          <t>Diskominfo</t>
        </is>
      </c>
      <c r="O94" s="184" t="inlineStr">
        <is>
          <t>Kab. Bandung</t>
        </is>
      </c>
      <c r="P94" s="184" t="inlineStr">
        <is>
          <t>Website</t>
        </is>
      </c>
      <c r="Q94" s="70" t="inlineStr">
        <is>
          <t>https://gepak.bandungkab.go.id/</t>
        </is>
      </c>
      <c r="R94" s="184" t="inlineStr">
        <is>
          <t>Secara Online</t>
        </is>
      </c>
      <c r="S94" s="184" t="inlineStr">
        <is>
          <t>Informasi</t>
        </is>
      </c>
      <c r="T94" s="98" t="n">
        <v>2025</v>
      </c>
      <c r="U94" s="184" t="inlineStr">
        <is>
          <t>Aktif</t>
        </is>
      </c>
      <c r="V94" s="184" t="inlineStr">
        <is>
          <t>Tidak</t>
        </is>
      </c>
      <c r="W94" s="184" t="inlineStr">
        <is>
          <t>tidak terintegrasi</t>
        </is>
      </c>
      <c r="X94" s="184" t="inlineStr">
        <is>
          <t>Tidak Terintegrasi</t>
        </is>
      </c>
      <c r="Y94" s="184" t="inlineStr">
        <is>
          <t>Tidak Terintegrasi</t>
        </is>
      </c>
      <c r="Z94" s="184" t="inlineStr">
        <is>
          <t>Bidang Konservasi dan Pengendalian Kerusakan Lingkungan</t>
        </is>
      </c>
      <c r="AA94" s="184" t="inlineStr">
        <is>
          <t>DLH</t>
        </is>
      </c>
      <c r="AB94" s="178" t="inlineStr">
        <is>
          <t>Iqsan Okiyanto / Andri Taufik</t>
        </is>
      </c>
      <c r="AC94" s="178" t="inlineStr">
        <is>
          <t>085225996451 / 081322181254</t>
        </is>
      </c>
      <c r="AD94" s="178" t="inlineStr">
        <is>
          <t>dlh@bandungkab.go.id</t>
        </is>
      </c>
      <c r="AE94" s="68" t="n">
        <v>41</v>
      </c>
      <c r="AF94" s="68" t="inlineStr">
        <is>
          <t>Bulanan</t>
        </is>
      </c>
      <c r="AG94" s="284" t="n"/>
      <c r="AH94" s="284" t="n"/>
      <c r="AI94" s="284" t="n"/>
      <c r="AJ94" s="284" t="n"/>
      <c r="AK94" s="284" t="n"/>
      <c r="AL94" s="284" t="n"/>
      <c r="AM94" s="284" t="n"/>
      <c r="AN94" s="284" t="n"/>
      <c r="AO94" s="284" t="n"/>
      <c r="AP94" s="284" t="n"/>
      <c r="AQ94" s="284" t="n"/>
      <c r="AR94" s="284" t="n"/>
    </row>
    <row r="95" hidden="1" s="346">
      <c r="A95" s="62" t="n">
        <v>93</v>
      </c>
      <c r="B95" s="178" t="inlineStr">
        <is>
          <t>Layanan Taman Kehati</t>
        </is>
      </c>
      <c r="C95" s="178" t="inlineStr">
        <is>
          <t>Untuk mengelola Taman Keanekaragaman Hayati (Taman Kehati) dan mengelola kawasan pencadangan sumber daya alam hayati lokal di luar kawasan hutan yang mempunyai fungsi konservasi insitu dan/atau exsitu</t>
        </is>
      </c>
      <c r="D95" s="178" t="inlineStr">
        <is>
          <t>Peraturan Menteri Lingkungan Hidup Dan Kehutanan Republik Indonesia Nomor 16 Tahun 2024 Tentang Resor Pada Unit Pelaksana Teknis Direktorat Jenderal Konservasi Sumber Daya Alam Dan Ekosistem</t>
        </is>
      </c>
      <c r="E95" s="178" t="inlineStr">
        <is>
          <t>STANDAR PELAYANAN PADA DINAS LINGKUNGAN HIDUP.pdf</t>
        </is>
      </c>
      <c r="F95" s="184" t="inlineStr">
        <is>
          <t>PELESTARIAN LINGKUNGAN HIDUP</t>
        </is>
      </c>
      <c r="G95" s="184" t="inlineStr">
        <is>
          <t>Masyarakat</t>
        </is>
      </c>
      <c r="H95" s="178" t="inlineStr">
        <is>
          <t>Data Taman Kehati</t>
        </is>
      </c>
      <c r="I95" s="178" t="inlineStr">
        <is>
          <t>Data Taman Kehati</t>
        </is>
      </c>
      <c r="J95" s="184" t="inlineStr">
        <is>
          <t>Terbuka</t>
        </is>
      </c>
      <c r="K95" s="184" t="inlineStr">
        <is>
          <t>Tidak terdapat</t>
        </is>
      </c>
      <c r="L95" s="184" t="inlineStr">
        <is>
          <t>Bulanan</t>
        </is>
      </c>
      <c r="M95" s="184" t="inlineStr">
        <is>
          <t>Taman Kehati</t>
        </is>
      </c>
      <c r="N95" s="184" t="inlineStr">
        <is>
          <t>Diskominfo</t>
        </is>
      </c>
      <c r="O95" s="184" t="inlineStr">
        <is>
          <t>Kab. Bandung</t>
        </is>
      </c>
      <c r="P95" s="184" t="inlineStr">
        <is>
          <t>Website</t>
        </is>
      </c>
      <c r="Q95" s="70" t="inlineStr">
        <is>
          <t>Kehati.bandungkab.go.id</t>
        </is>
      </c>
      <c r="R95" s="184" t="inlineStr">
        <is>
          <t>Secara Online</t>
        </is>
      </c>
      <c r="S95" s="184" t="inlineStr">
        <is>
          <t>Informasi</t>
        </is>
      </c>
      <c r="T95" s="98" t="n">
        <v>2021</v>
      </c>
      <c r="U95" s="184" t="inlineStr">
        <is>
          <t>Aktif</t>
        </is>
      </c>
      <c r="V95" s="184" t="inlineStr">
        <is>
          <t>Tidak</t>
        </is>
      </c>
      <c r="W95" s="184" t="inlineStr">
        <is>
          <t>tidak terintegrasi</t>
        </is>
      </c>
      <c r="X95" s="184" t="inlineStr">
        <is>
          <t>Tidak Terintegrasi</t>
        </is>
      </c>
      <c r="Y95" s="184" t="inlineStr">
        <is>
          <t>Tidak Terintegrasi</t>
        </is>
      </c>
      <c r="Z95" s="184" t="inlineStr">
        <is>
          <t>Bidang Konservasi dan Pengendalian Kerusakan Lingkungan</t>
        </is>
      </c>
      <c r="AA95" s="184" t="inlineStr">
        <is>
          <t>DLH</t>
        </is>
      </c>
      <c r="AB95" s="178" t="inlineStr">
        <is>
          <t>Iqsan Okiyanto / Andri Taufik</t>
        </is>
      </c>
      <c r="AC95" s="178" t="inlineStr">
        <is>
          <t>085225996451 / 081322181254</t>
        </is>
      </c>
      <c r="AD95" s="178" t="inlineStr">
        <is>
          <t>dlh@bandungkab.go.id</t>
        </is>
      </c>
      <c r="AE95" s="68" t="n">
        <v>41</v>
      </c>
      <c r="AF95" s="68" t="inlineStr">
        <is>
          <t>Bulanan</t>
        </is>
      </c>
      <c r="AG95" s="284" t="n"/>
      <c r="AH95" s="284" t="n"/>
      <c r="AI95" s="284" t="n"/>
      <c r="AJ95" s="284" t="n"/>
      <c r="AK95" s="284" t="n"/>
      <c r="AL95" s="284" t="n"/>
      <c r="AM95" s="284" t="n"/>
      <c r="AN95" s="284" t="n"/>
      <c r="AO95" s="284" t="n"/>
      <c r="AP95" s="284" t="n"/>
      <c r="AQ95" s="284" t="n"/>
      <c r="AR95" s="284" t="n"/>
    </row>
    <row r="96" hidden="1" s="346">
      <c r="A96" s="62" t="n">
        <v>94</v>
      </c>
      <c r="B96" s="146" t="inlineStr">
        <is>
          <t>Pencatatan Biodata</t>
        </is>
      </c>
      <c r="C96" s="147" t="inlineStr">
        <is>
          <t>Menjamin ketersediaan data pribadi penduduk yang valid dan terintegrasi dalam database kependudukan nasional.</t>
        </is>
      </c>
      <c r="D96"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E96" s="148" t="inlineStr">
        <is>
          <t>SOP Layanan 2025</t>
        </is>
      </c>
      <c r="F96" s="160" t="inlineStr">
        <is>
          <t>PENINGKATAN KUALITAS PELAYANAN PUBLIK</t>
        </is>
      </c>
      <c r="G96" s="160" t="inlineStr">
        <is>
          <t>Masyarakat</t>
        </is>
      </c>
      <c r="H96" s="160" t="inlineStr">
        <is>
          <t>Data Pelapor</t>
        </is>
      </c>
      <c r="I96" s="160" t="inlineStr">
        <is>
          <t>Data Pelapor</t>
        </is>
      </c>
      <c r="J96" s="160" t="inlineStr">
        <is>
          <t>Tertutup</t>
        </is>
      </c>
      <c r="K96" s="160" t="inlineStr">
        <is>
          <t>Terdapat</t>
        </is>
      </c>
      <c r="L96" s="160" t="inlineStr">
        <is>
          <t>Lainnya</t>
        </is>
      </c>
      <c r="M96" s="160" t="inlineStr">
        <is>
          <t>BDS</t>
        </is>
      </c>
      <c r="N96" s="160" t="inlineStr">
        <is>
          <t>Diskominfo</t>
        </is>
      </c>
      <c r="O96" s="160" t="inlineStr">
        <is>
          <t>Kab. Bandung</t>
        </is>
      </c>
      <c r="P96" s="160" t="inlineStr">
        <is>
          <t>Website dan Mobile</t>
        </is>
      </c>
      <c r="Q96" s="289" t="inlineStr">
        <is>
          <t>https://bds.bandungkab.go.id/</t>
        </is>
      </c>
      <c r="R96" s="160" t="inlineStr">
        <is>
          <t>Secara Online</t>
        </is>
      </c>
      <c r="S96" s="160" t="inlineStr">
        <is>
          <t>Transaksi</t>
        </is>
      </c>
      <c r="T96" s="160" t="n">
        <v>2022</v>
      </c>
      <c r="U96" s="160" t="inlineStr">
        <is>
          <t>Aktif</t>
        </is>
      </c>
      <c r="V96" s="160" t="inlineStr">
        <is>
          <t>Tidak</t>
        </is>
      </c>
      <c r="W96" s="160" t="inlineStr">
        <is>
          <t>Tidak Terintegrasi</t>
        </is>
      </c>
      <c r="X96" s="160" t="inlineStr">
        <is>
          <t>Tidak Terintegrasi</t>
        </is>
      </c>
      <c r="Y96" s="160" t="inlineStr">
        <is>
          <t>Tidak Terintegrasi</t>
        </is>
      </c>
      <c r="Z96" s="160" t="inlineStr">
        <is>
          <t>Bidang Pendaftaran Penduduk</t>
        </is>
      </c>
      <c r="AA96" s="160" t="inlineStr">
        <is>
          <t>Disdukcapil</t>
        </is>
      </c>
      <c r="AB96" s="161" t="inlineStr">
        <is>
          <t>Riana Aji Iskandar S.T., M.Kom.</t>
        </is>
      </c>
      <c r="AC96" s="147" t="n">
        <v>8994450222</v>
      </c>
      <c r="AD96" s="146" t="inlineStr">
        <is>
          <t>rianaajiiskandar@gmail.com</t>
        </is>
      </c>
      <c r="AE96" s="147" t="inlineStr">
        <is>
          <t>32. Peningkatan Layanan Kependudukan yang Responsif dan Cepat</t>
        </is>
      </c>
      <c r="AF96" s="163" t="inlineStr">
        <is>
          <t>Harian</t>
        </is>
      </c>
      <c r="AG96" s="154" t="inlineStr">
        <is>
          <t>1. SIAK TERPUSAT : Disdukcapil dan 57 OPD yang sudah melakukan Perjanjian Kerjasama Pemanfaatan Data Kependudukan Tahun 2025 dengan 5 Perangkat Daerah baru yaitu Bagian Kesejahteraan Rakyat Sekretariat Daerah, DPMD, Dishub, Baperida dan Kec. Arjasari, disamping Perjanjian Kerjasama yang masih aktif yakni DPMPTSP, Dinsos, Disdik, Diskominfo, Disnaker, Dispora, Dinkes, Distan, Diskop UKM, DP2KBP3A, Dispakan, Disperdagin, Dispusip, Disperkimtan, Disdamkar, Dinas LH, BPBD, BAPENDA, BKPSDM, Kesbangpol, Satpol PP, Sekretariat DPRD, Kec. Baleendah. Kec. Bojongsoang, Kec. Cicalengka, Kec. Dayeuhkolot, Kec. Katapang, Kec. Kutawaringin, Kec. Nagreg, Kec. Cimenyan, Kec. Cimaung, Kec. Rancaekek, Kec. Pasirjambu, Kec. Margaasih, Kec. Ciparay, Kec. Pacet, Kec. Cileunyi, Kec. Pangalengan, Kec. Rancabali, Kec. Cikancung, Kec. Pameungpeuk, Kec. Margahayu, Kec. Majalaya, Kec. Soreang, Kec. Solokan Jeruk, Kec. Ibun, Kec. Cangkuang, Kec. Ciwidey, Kec. Kertasari, Kec. Paseh, Kec. Banjaran, sehingga sampai dengan akhir Tahun 2025 jumlah Perangkat Daerah yang telah melakukan Perjanjian Kerja Sama Pemanfaatan Data Kependudukan sebanyak 57 PD termasuk Disdukcapil sebagai Leading Sector.
 2. Aplikasi BDS : Seluruh Masyarakat</t>
        </is>
      </c>
      <c r="AH96" s="155" t="n"/>
      <c r="AI96" s="155" t="n"/>
      <c r="AJ96" s="155" t="n"/>
      <c r="AK96" s="155" t="n"/>
      <c r="AL96" s="155" t="n"/>
      <c r="AM96" s="155" t="n"/>
      <c r="AN96" s="155" t="n"/>
      <c r="AO96" s="155" t="n"/>
      <c r="AP96" s="155" t="n"/>
      <c r="AQ96" s="155" t="n"/>
      <c r="AR96" s="284" t="n"/>
    </row>
    <row r="97" hidden="1" s="346">
      <c r="A97" s="62" t="n">
        <v>95</v>
      </c>
      <c r="B97" s="158" t="n"/>
      <c r="C97" s="162" t="n"/>
      <c r="D97" s="158" t="n"/>
      <c r="E97" s="159" t="n"/>
      <c r="F97" s="160" t="n"/>
      <c r="G97" s="160" t="n"/>
      <c r="H97" s="160" t="n"/>
      <c r="I97" s="160" t="n"/>
      <c r="J97" s="160" t="n"/>
      <c r="K97" s="160" t="n"/>
      <c r="L97" s="160" t="n"/>
      <c r="M97" s="160" t="inlineStr">
        <is>
          <t>SIAK TERPUSAT</t>
        </is>
      </c>
      <c r="N97" s="160" t="inlineStr">
        <is>
          <t>Pusat</t>
        </is>
      </c>
      <c r="O97" s="160" t="inlineStr">
        <is>
          <t>Pusat</t>
        </is>
      </c>
      <c r="P97" s="160" t="inlineStr">
        <is>
          <t>Website dan Mobile</t>
        </is>
      </c>
      <c r="Q97" s="289" t="inlineStr">
        <is>
          <t>Tidak tersedia secara publik. Paket update hanya dapat diunduh via SVN Client internal.</t>
        </is>
      </c>
      <c r="R97" s="160" t="inlineStr">
        <is>
          <t>Secara Online</t>
        </is>
      </c>
      <c r="S97" s="160" t="inlineStr">
        <is>
          <t>Transaksi</t>
        </is>
      </c>
      <c r="T97" s="160" t="n">
        <v>2022</v>
      </c>
      <c r="U97" s="160" t="inlineStr">
        <is>
          <t>Aktif</t>
        </is>
      </c>
      <c r="V97" s="160" t="inlineStr">
        <is>
          <t>Tidak</t>
        </is>
      </c>
      <c r="W97" s="160" t="inlineStr">
        <is>
          <t>Tidak Terintegrasi</t>
        </is>
      </c>
      <c r="X97" s="160" t="inlineStr">
        <is>
          <t>Tidak Terintegrasi</t>
        </is>
      </c>
      <c r="Y97" s="160" t="inlineStr">
        <is>
          <t>Tidak Terintegrasi</t>
        </is>
      </c>
      <c r="Z97" s="160" t="n"/>
      <c r="AA97" s="160" t="n"/>
      <c r="AB97" s="161" t="n"/>
      <c r="AC97" s="162" t="n"/>
      <c r="AD97" s="158" t="n"/>
      <c r="AE97" s="162" t="n"/>
      <c r="AF97" s="163" t="n"/>
      <c r="AG97" s="155" t="n"/>
      <c r="AH97" s="155" t="n"/>
      <c r="AI97" s="155" t="n"/>
      <c r="AJ97" s="155" t="n"/>
      <c r="AK97" s="155" t="n"/>
      <c r="AL97" s="155" t="n"/>
      <c r="AM97" s="155" t="n"/>
      <c r="AN97" s="155" t="n"/>
      <c r="AO97" s="155" t="n"/>
      <c r="AP97" s="155" t="n"/>
      <c r="AQ97" s="155" t="n"/>
      <c r="AR97" s="284" t="n"/>
    </row>
    <row r="98" hidden="1" s="346">
      <c r="A98" s="62" t="n">
        <v>96</v>
      </c>
      <c r="B98" s="164" t="inlineStr">
        <is>
          <t>LAMPID</t>
        </is>
      </c>
      <c r="C98" s="147" t="inlineStr">
        <is>
          <t>Menjamin pencatatan empat peristiwa penting (lahir, mati, pindah, datang) secara cepat dan terintegrasi.</t>
        </is>
      </c>
      <c r="D98"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E98" s="148" t="inlineStr">
        <is>
          <t>SOP Layanan 2025</t>
        </is>
      </c>
      <c r="F98" s="160" t="inlineStr">
        <is>
          <t>PENINGKATAN KUALITAS PELAYANAN PUBLIK</t>
        </is>
      </c>
      <c r="G98" s="160" t="inlineStr">
        <is>
          <t>Masyarakat</t>
        </is>
      </c>
      <c r="H98" s="160" t="inlineStr">
        <is>
          <t>Data Pelapor</t>
        </is>
      </c>
      <c r="I98" s="160" t="inlineStr">
        <is>
          <t>Data Pelapor</t>
        </is>
      </c>
      <c r="J98" s="160" t="inlineStr">
        <is>
          <t>Tertutup</t>
        </is>
      </c>
      <c r="K98" s="160" t="inlineStr">
        <is>
          <t>Terdapat</t>
        </is>
      </c>
      <c r="L98" s="160" t="inlineStr">
        <is>
          <t>Lainnya</t>
        </is>
      </c>
      <c r="M98" s="160" t="inlineStr">
        <is>
          <t>lampid</t>
        </is>
      </c>
      <c r="N98" s="160" t="inlineStr">
        <is>
          <t>OPD</t>
        </is>
      </c>
      <c r="O98" s="160" t="inlineStr">
        <is>
          <t>Kab. Bandung</t>
        </is>
      </c>
      <c r="P98" s="160" t="inlineStr">
        <is>
          <t>Website</t>
        </is>
      </c>
      <c r="Q98" s="151" t="inlineStr">
        <is>
          <t>http://lampid.bandungkab.go.id/</t>
        </is>
      </c>
      <c r="R98" s="160" t="inlineStr">
        <is>
          <t>Secara Online</t>
        </is>
      </c>
      <c r="S98" s="160" t="inlineStr">
        <is>
          <t>Transaksi</t>
        </is>
      </c>
      <c r="T98" s="160" t="n">
        <v>2022</v>
      </c>
      <c r="U98" s="160" t="inlineStr">
        <is>
          <t>Non Aktif</t>
        </is>
      </c>
      <c r="V98" s="160" t="inlineStr">
        <is>
          <t>Tidak</t>
        </is>
      </c>
      <c r="W98" s="160" t="inlineStr">
        <is>
          <t>Tidak Terintegrasi</t>
        </is>
      </c>
      <c r="X98" s="160" t="inlineStr">
        <is>
          <t>Tidak Terintegrasi</t>
        </is>
      </c>
      <c r="Y98" s="160" t="inlineStr">
        <is>
          <t>Tidak Terintegrasi</t>
        </is>
      </c>
      <c r="Z98" s="160" t="inlineStr">
        <is>
          <t>Bidang Pencatatan Sipil</t>
        </is>
      </c>
      <c r="AA98" s="160" t="inlineStr">
        <is>
          <t>Disdukcapil</t>
        </is>
      </c>
      <c r="AB98" s="161" t="inlineStr">
        <is>
          <t>Riana Aji Iskandar S.T., M.Kom.</t>
        </is>
      </c>
      <c r="AC98" s="147" t="n">
        <v>8994450222</v>
      </c>
      <c r="AD98" s="146" t="inlineStr">
        <is>
          <t>rianaajiiskandar@gmail.com</t>
        </is>
      </c>
      <c r="AE98" s="147" t="inlineStr">
        <is>
          <t>32. Peningkatan Layanan Kependudukan yang Responsif dan Cepat</t>
        </is>
      </c>
      <c r="AF98" s="163" t="inlineStr">
        <is>
          <t>Harian</t>
        </is>
      </c>
      <c r="AG98" s="154" t="inlineStr">
        <is>
          <t>Aplikasi LAMPID : Disdukcapil dan Desa/Kecamatan</t>
        </is>
      </c>
      <c r="AH98" s="155" t="n"/>
      <c r="AI98" s="155" t="n"/>
      <c r="AJ98" s="155" t="n"/>
      <c r="AK98" s="155" t="n"/>
      <c r="AL98" s="155" t="n"/>
      <c r="AM98" s="155" t="n"/>
      <c r="AN98" s="155" t="n"/>
      <c r="AO98" s="155" t="n"/>
      <c r="AP98" s="155" t="n"/>
      <c r="AQ98" s="155" t="n"/>
      <c r="AR98" s="284" t="n"/>
    </row>
    <row r="99" hidden="1" s="346">
      <c r="A99" s="62" t="n">
        <v>97</v>
      </c>
      <c r="B99" s="171" t="inlineStr">
        <is>
          <t>Layanan Pengelolaan Keuangan Desa</t>
        </is>
      </c>
      <c r="C99" s="171" t="inlineStr">
        <is>
          <t>Meningkatkan transparansi, akuntabilitas, dan efisiensi dalam pengelolaan keuangan di tingkat desa untuk memastikan dana desa digunakan secara efektif dan sesuai peruntukannya.</t>
        </is>
      </c>
      <c r="D99" s="171" t="inlineStr">
        <is>
          <t>- Undang-Undang Nomor 6 Tahun 2014 tentang Desa
 - Permendagri Nomor 20 Tahun 2018 tentang Pengelolaan Keuangan Desa</t>
        </is>
      </c>
      <c r="E99" s="171" t="inlineStr">
        <is>
          <t>Tidak ada</t>
        </is>
      </c>
      <c r="F99" s="167" t="inlineStr">
        <is>
          <t>PENINGKATAN KUALITAS PELAYANAN PUBLIK</t>
        </is>
      </c>
      <c r="G99" s="167" t="inlineStr">
        <is>
          <t>Masyarakat</t>
        </is>
      </c>
      <c r="H99" s="171" t="inlineStr">
        <is>
          <t>Data Keuangan Desa</t>
        </is>
      </c>
      <c r="I99" s="171" t="inlineStr">
        <is>
          <t>Data Keuangan Desa</t>
        </is>
      </c>
      <c r="J99" s="167" t="inlineStr">
        <is>
          <t>Terbatas</t>
        </is>
      </c>
      <c r="K99" s="167" t="inlineStr">
        <is>
          <t>Terdapat</t>
        </is>
      </c>
      <c r="L99" s="167" t="inlineStr">
        <is>
          <t>Bulanan</t>
        </is>
      </c>
      <c r="M99" s="167" t="inlineStr">
        <is>
          <t>SISKEUDES</t>
        </is>
      </c>
      <c r="N99" s="167" t="inlineStr">
        <is>
          <t>Pusat</t>
        </is>
      </c>
      <c r="O99" s="167" t="inlineStr">
        <is>
          <t>Pusat</t>
        </is>
      </c>
      <c r="P99" s="167" t="inlineStr">
        <is>
          <t>Desktop</t>
        </is>
      </c>
      <c r="Q99" s="169" t="inlineStr">
        <is>
          <t>http://siskeudes.bandungkab.go.id:8080/guacamole/#/</t>
        </is>
      </c>
      <c r="R99" s="167" t="inlineStr">
        <is>
          <t>Secara Online</t>
        </is>
      </c>
      <c r="S99" s="167" t="inlineStr">
        <is>
          <t>Transaksi</t>
        </is>
      </c>
      <c r="T99" s="170" t="n">
        <v>2015</v>
      </c>
      <c r="U99" s="167" t="inlineStr">
        <is>
          <t>Aktif</t>
        </is>
      </c>
      <c r="V99" s="167" t="inlineStr">
        <is>
          <t>Ya</t>
        </is>
      </c>
      <c r="W99" s="167" t="inlineStr">
        <is>
          <t>website konsolidasi Kemendagri</t>
        </is>
      </c>
      <c r="X99" s="167" t="inlineStr">
        <is>
          <t>Database to Database</t>
        </is>
      </c>
      <c r="Y99" s="167" t="inlineStr">
        <is>
          <t>Lainnya</t>
        </is>
      </c>
      <c r="Z99" s="167" t="inlineStr">
        <is>
          <t>Bidang Administrasi Pemerintahan Desa</t>
        </is>
      </c>
      <c r="AA99" s="167" t="inlineStr">
        <is>
          <t>DPMD</t>
        </is>
      </c>
      <c r="AB99" s="171" t="inlineStr">
        <is>
          <t>Fauzan Pujarahmani</t>
        </is>
      </c>
      <c r="AC99" s="171">
        <f>+62 852-2443-7788</f>
        <v/>
      </c>
      <c r="AD99" s="288" t="n"/>
      <c r="AE99" s="67" t="inlineStr">
        <is>
          <t>Mewujudkan pembangunan berbasis Desa</t>
        </is>
      </c>
      <c r="AF99" s="68" t="inlineStr">
        <is>
          <t>Harian</t>
        </is>
      </c>
      <c r="AG99" s="172" t="inlineStr">
        <is>
          <t>Desa</t>
        </is>
      </c>
      <c r="AH99" s="173" t="n"/>
      <c r="AI99" s="173" t="n"/>
      <c r="AJ99" s="173" t="n"/>
      <c r="AK99" s="173" t="n"/>
      <c r="AL99" s="173" t="n"/>
      <c r="AM99" s="173" t="n"/>
      <c r="AN99" s="173" t="n"/>
      <c r="AO99" s="173" t="n"/>
      <c r="AP99" s="173" t="n"/>
      <c r="AQ99" s="173" t="n"/>
      <c r="AR99" s="284" t="n"/>
    </row>
    <row r="100" hidden="1" s="346">
      <c r="A100" s="62" t="n">
        <v>98</v>
      </c>
      <c r="B100" s="171" t="inlineStr">
        <is>
          <t>Layanan Pengelolaan Keuangan Desa</t>
        </is>
      </c>
      <c r="C100" s="171" t="inlineStr">
        <is>
          <t>Meningkatkan transparansi, akuntabilitas, dan efisiensi dalam pengelolaan keuangan di tingkat desa untuk memastikan dana desa digunakan secara efektif dan sesuai peruntukannya.</t>
        </is>
      </c>
      <c r="D100" s="171" t="inlineStr">
        <is>
          <t>UU Nomor 1 Tahun 2004 tentang Perbendaharaan Negara</t>
        </is>
      </c>
      <c r="E100" s="171" t="inlineStr">
        <is>
          <t>Tidak ada</t>
        </is>
      </c>
      <c r="F100" s="167" t="inlineStr">
        <is>
          <t>PENINGKATAN KUALITAS PELAYANAN PUBLIK</t>
        </is>
      </c>
      <c r="G100" s="167" t="inlineStr">
        <is>
          <t>Masyarakat</t>
        </is>
      </c>
      <c r="H100" s="171" t="inlineStr">
        <is>
          <t>Data Keuangan Desa</t>
        </is>
      </c>
      <c r="I100" s="171" t="inlineStr">
        <is>
          <t>Data Keuangan Desa</t>
        </is>
      </c>
      <c r="J100" s="167" t="inlineStr">
        <is>
          <t>Terbatas</t>
        </is>
      </c>
      <c r="K100" s="167" t="inlineStr">
        <is>
          <t>Terdapat</t>
        </is>
      </c>
      <c r="L100" s="167" t="inlineStr">
        <is>
          <t>Bulanan</t>
        </is>
      </c>
      <c r="M100" s="167" t="inlineStr">
        <is>
          <t>OM-SPAN</t>
        </is>
      </c>
      <c r="N100" s="167" t="inlineStr">
        <is>
          <t>Pusat</t>
        </is>
      </c>
      <c r="O100" s="167" t="inlineStr">
        <is>
          <t>Pusat</t>
        </is>
      </c>
      <c r="P100" s="167" t="inlineStr">
        <is>
          <t>Website</t>
        </is>
      </c>
      <c r="Q100" s="169" t="inlineStr">
        <is>
          <t>https://spanint.kemenkeu.go.id/tkd/#/home/login</t>
        </is>
      </c>
      <c r="R100" s="167" t="inlineStr">
        <is>
          <t>Secara Online</t>
        </is>
      </c>
      <c r="S100" s="167" t="inlineStr">
        <is>
          <t>Transaksi</t>
        </is>
      </c>
      <c r="T100" s="170" t="n">
        <v>2016</v>
      </c>
      <c r="U100" s="167" t="inlineStr">
        <is>
          <t>Aktif</t>
        </is>
      </c>
      <c r="V100" s="167" t="inlineStr">
        <is>
          <t>Ya</t>
        </is>
      </c>
      <c r="W100" s="167" t="inlineStr">
        <is>
          <t>Terintegrasi dengan SISKEUDES</t>
        </is>
      </c>
      <c r="X100" s="167" t="inlineStr">
        <is>
          <t>Database to Database</t>
        </is>
      </c>
      <c r="Y100" s="167" t="inlineStr">
        <is>
          <t>Lainnya</t>
        </is>
      </c>
      <c r="Z100" s="167" t="inlineStr">
        <is>
          <t>Bidang Administrasi Pemerintahan Desa</t>
        </is>
      </c>
      <c r="AA100" s="167" t="inlineStr">
        <is>
          <t>DPMD</t>
        </is>
      </c>
      <c r="AB100" s="171" t="inlineStr">
        <is>
          <t>Tsalits Nur F</t>
        </is>
      </c>
      <c r="AC100" s="171">
        <f>+62 877-4168-8587</f>
        <v/>
      </c>
      <c r="AD100" s="171" t="inlineStr">
        <is>
          <t>apd.dpmd.bdgkab@gmail.com</t>
        </is>
      </c>
      <c r="AE100" s="67" t="inlineStr">
        <is>
          <t>Mewujudkan pembangunan berbasis Desa</t>
        </is>
      </c>
      <c r="AF100" s="68" t="inlineStr">
        <is>
          <t>Harian</t>
        </is>
      </c>
      <c r="AG100" s="172" t="inlineStr">
        <is>
          <t>Desa</t>
        </is>
      </c>
      <c r="AH100" s="173" t="n"/>
      <c r="AI100" s="173" t="n"/>
      <c r="AJ100" s="173" t="n"/>
      <c r="AK100" s="173" t="n"/>
      <c r="AL100" s="173" t="n"/>
      <c r="AM100" s="173" t="n"/>
      <c r="AN100" s="173" t="n"/>
      <c r="AO100" s="173" t="n"/>
      <c r="AP100" s="173" t="n"/>
      <c r="AQ100" s="173" t="n"/>
      <c r="AR100" s="284" t="n"/>
    </row>
    <row r="101" hidden="1" s="346">
      <c r="A101" s="62" t="n">
        <v>99</v>
      </c>
      <c r="B101" s="171" t="inlineStr">
        <is>
          <t>Layanan Informasi Profil Desa dan Kelurahan</t>
        </is>
      </c>
      <c r="C101" s="171" t="inlineStr">
        <is>
          <t>Memberikan informasi terkait profil, potensi, dan perkembangan desa atau kelurahan kepada masyarakat serta pihak terkait untuk mendukung pengambilan keputusan dan perencanaan pembangunan.</t>
        </is>
      </c>
      <c r="D101" s="171" t="inlineStr">
        <is>
          <t>-Undang-Undang Nomor 6 Tahun 2014 tentang Desa
 - Peraturan Menteri Dalam Negeri Nomor 12 Tahun 2007 tentang Pedoman Penyusunan dan Pendayagunaan Data Profil Desa dan Kelurahan
 - Permendagri Nomor 81 Tahun 2015 tentang Evaluasi Perkembangan Desa dan Kelurahan</t>
        </is>
      </c>
      <c r="E101" s="171" t="inlineStr">
        <is>
          <t>Tidak ada</t>
        </is>
      </c>
      <c r="F101" s="167" t="inlineStr">
        <is>
          <t>PENINGKATAN KUALITAS PELAYANAN PUBLIK</t>
        </is>
      </c>
      <c r="G101" s="167" t="inlineStr">
        <is>
          <t>Masyarakat</t>
        </is>
      </c>
      <c r="H101" s="167" t="inlineStr">
        <is>
          <t>Data Profil Desa dan Kelurahan Desa</t>
        </is>
      </c>
      <c r="I101" s="171" t="inlineStr">
        <is>
          <t>Data Profil Desa dan Kelurahan</t>
        </is>
      </c>
      <c r="J101" s="167" t="inlineStr">
        <is>
          <t>Terbatas</t>
        </is>
      </c>
      <c r="K101" s="167" t="inlineStr">
        <is>
          <t>Tidak terdapat</t>
        </is>
      </c>
      <c r="L101" s="167" t="inlineStr">
        <is>
          <t>Harian</t>
        </is>
      </c>
      <c r="M101" s="167" t="inlineStr">
        <is>
          <t>PRODESKEL</t>
        </is>
      </c>
      <c r="N101" s="167" t="inlineStr">
        <is>
          <t>Pusat</t>
        </is>
      </c>
      <c r="O101" s="167" t="inlineStr">
        <is>
          <t>Pusat</t>
        </is>
      </c>
      <c r="P101" s="167" t="inlineStr">
        <is>
          <t>Website</t>
        </is>
      </c>
      <c r="Q101" s="169" t="inlineStr">
        <is>
          <t>https://prodeskel.binapemdes.kemendagri.go.id/mpublik/</t>
        </is>
      </c>
      <c r="R101" s="167" t="inlineStr">
        <is>
          <t>Secara Online</t>
        </is>
      </c>
      <c r="S101" s="167" t="inlineStr">
        <is>
          <t>Informasi</t>
        </is>
      </c>
      <c r="T101" s="170" t="n">
        <v>2011</v>
      </c>
      <c r="U101" s="167" t="inlineStr">
        <is>
          <t>Aktif</t>
        </is>
      </c>
      <c r="V101" s="167" t="inlineStr">
        <is>
          <t>Tidak</t>
        </is>
      </c>
      <c r="W101" s="167" t="inlineStr">
        <is>
          <t>Tidak Terintegrasi</t>
        </is>
      </c>
      <c r="X101" s="167" t="inlineStr">
        <is>
          <t>Tidak Terintegrasi</t>
        </is>
      </c>
      <c r="Y101" s="167" t="inlineStr">
        <is>
          <t>Tidak Terintegrasi</t>
        </is>
      </c>
      <c r="Z101" s="167" t="inlineStr">
        <is>
          <t>Bidang Administrasi Pemerintahan Desa</t>
        </is>
      </c>
      <c r="AA101" s="167" t="inlineStr">
        <is>
          <t>DPMD</t>
        </is>
      </c>
      <c r="AB101" s="171" t="inlineStr">
        <is>
          <t>Oktavianti</t>
        </is>
      </c>
      <c r="AC101" s="171">
        <f>+62 819-1521-7805</f>
        <v/>
      </c>
      <c r="AD101" s="288" t="n"/>
      <c r="AE101" s="288" t="n"/>
      <c r="AF101" s="68" t="inlineStr">
        <is>
          <t>Harian</t>
        </is>
      </c>
      <c r="AG101" s="172" t="inlineStr">
        <is>
          <t>Desa</t>
        </is>
      </c>
      <c r="AH101" s="173" t="n"/>
      <c r="AI101" s="173" t="n"/>
      <c r="AJ101" s="173" t="n"/>
      <c r="AK101" s="173" t="n"/>
      <c r="AL101" s="173" t="n"/>
      <c r="AM101" s="173" t="n"/>
      <c r="AN101" s="173" t="n"/>
      <c r="AO101" s="173" t="n"/>
      <c r="AP101" s="173" t="n"/>
      <c r="AQ101" s="173" t="n"/>
      <c r="AR101" s="284" t="n"/>
    </row>
    <row r="102" hidden="1" s="346">
      <c r="A102" s="62" t="n">
        <v>100</v>
      </c>
      <c r="B102" s="171" t="inlineStr">
        <is>
          <t>Layanan Informasi Profil Desa dan Kelurahan</t>
        </is>
      </c>
      <c r="C102" s="171" t="inlineStr">
        <is>
          <t>Memberikan informasi terkait profil, potensi, dan perkembangan desa atau kelurahan kepada masyarakat serta pihak terkait untuk mendukung pengambilan keputusan dan perencanaan pembangunan.</t>
        </is>
      </c>
      <c r="D102" s="171" t="inlineStr">
        <is>
          <t>-Undang-Undang Nomor 6 Tahun 2014 tentang Desa
 - Permendagri Nomor 81 Tahun 2015 tentang Evaluasi Perkembangan Desa dan Kelurahan
 - Permendagri Nomor 86 Tahun 2017 tentang Tata Cara Perencanaan, Pengendalian, dan Evaluasi Pembangunan Daerah</t>
        </is>
      </c>
      <c r="E102" s="171" t="inlineStr">
        <is>
          <t>Tidak ada</t>
        </is>
      </c>
      <c r="F102" s="167" t="inlineStr">
        <is>
          <t>PENINGKATAN KUALITAS PELAYANAN PUBLIK</t>
        </is>
      </c>
      <c r="G102" s="167" t="inlineStr">
        <is>
          <t>Instansi Pemerintah Lainnya</t>
        </is>
      </c>
      <c r="H102" s="167" t="inlineStr">
        <is>
          <t>Data tingkat perkembangan desa</t>
        </is>
      </c>
      <c r="I102" s="171" t="inlineStr">
        <is>
          <t>Status desa</t>
        </is>
      </c>
      <c r="J102" s="167" t="inlineStr">
        <is>
          <t>Terbatas</t>
        </is>
      </c>
      <c r="K102" s="167" t="inlineStr">
        <is>
          <t>Tidak terdapat</t>
        </is>
      </c>
      <c r="L102" s="167" t="inlineStr">
        <is>
          <t>Tahunan</t>
        </is>
      </c>
      <c r="M102" s="167" t="inlineStr">
        <is>
          <t>EPDESKEL</t>
        </is>
      </c>
      <c r="N102" s="167" t="inlineStr">
        <is>
          <t>Pusat</t>
        </is>
      </c>
      <c r="O102" s="167" t="inlineStr">
        <is>
          <t>Pusat</t>
        </is>
      </c>
      <c r="P102" s="167" t="inlineStr">
        <is>
          <t>Website</t>
        </is>
      </c>
      <c r="Q102" s="169" t="inlineStr">
        <is>
          <t>https://epdeskel.binapemdes.kemendagri.go.id/app_Login/</t>
        </is>
      </c>
      <c r="R102" s="167" t="inlineStr">
        <is>
          <t>Secara Online</t>
        </is>
      </c>
      <c r="S102" s="167" t="inlineStr">
        <is>
          <t>Informasi</t>
        </is>
      </c>
      <c r="T102" s="170" t="n">
        <v>2016</v>
      </c>
      <c r="U102" s="167" t="inlineStr">
        <is>
          <t>Aktif</t>
        </is>
      </c>
      <c r="V102" s="167" t="inlineStr">
        <is>
          <t>Tidak</t>
        </is>
      </c>
      <c r="W102" s="167" t="inlineStr">
        <is>
          <t>Tidak Terintegrasi</t>
        </is>
      </c>
      <c r="X102" s="167" t="inlineStr">
        <is>
          <t>Tidak Terintegrasi</t>
        </is>
      </c>
      <c r="Y102" s="167" t="inlineStr">
        <is>
          <t>Tidak Terintegrasi</t>
        </is>
      </c>
      <c r="Z102" s="167" t="inlineStr">
        <is>
          <t>Bidang Administrasi Pemerintahan Desa</t>
        </is>
      </c>
      <c r="AA102" s="167" t="inlineStr">
        <is>
          <t>DPMD</t>
        </is>
      </c>
      <c r="AB102" s="171" t="inlineStr">
        <is>
          <t>Melia H</t>
        </is>
      </c>
      <c r="AC102" s="171">
        <f>+62 852-2242-7635</f>
        <v/>
      </c>
      <c r="AD102" s="288" t="n"/>
      <c r="AE102" s="288" t="n"/>
      <c r="AF102" s="68" t="inlineStr">
        <is>
          <t>Harian</t>
        </is>
      </c>
      <c r="AG102" s="172" t="inlineStr">
        <is>
          <t>Desa</t>
        </is>
      </c>
      <c r="AH102" s="173" t="n"/>
      <c r="AI102" s="173" t="n"/>
      <c r="AJ102" s="173" t="n"/>
      <c r="AK102" s="173" t="n"/>
      <c r="AL102" s="173" t="n"/>
      <c r="AM102" s="173" t="n"/>
      <c r="AN102" s="173" t="n"/>
      <c r="AO102" s="173" t="n"/>
      <c r="AP102" s="173" t="n"/>
      <c r="AQ102" s="173" t="n"/>
      <c r="AR102" s="284" t="n"/>
    </row>
    <row r="103" hidden="1" s="346">
      <c r="A103" s="62" t="n">
        <v>101</v>
      </c>
      <c r="B103" s="171" t="inlineStr">
        <is>
          <t>Layanan Aset Desa (Pengelolaan, Pengadaan dan Penghapusan)</t>
        </is>
      </c>
      <c r="C103" s="171" t="inlineStr">
        <is>
          <t>Mengelola aset desa dengan baik, termasuk dalam proses pengadaan, pengelolaan, dan penghapusan aset agar dapat memberikan manfaat maksimal bagi masyarakat desa.</t>
        </is>
      </c>
      <c r="D103" s="171" t="inlineStr">
        <is>
          <t>-Undang-Undang Nomor 6 Tahun 2014 tentang Desa
 - Permendagri Nomor 1 Tahun 2016 tentang Pengelolaan Aset Desa</t>
        </is>
      </c>
      <c r="E103" s="169" t="inlineStr">
        <is>
          <t>https://drive.google.com/file/d/1CvHE6emS2UxjsAt6IC87kgxEb19CuE3k/view?usp=sharing</t>
        </is>
      </c>
      <c r="F103" s="167" t="inlineStr">
        <is>
          <t>PENINGKATAN KUALITAS PELAYANAN PUBLIK</t>
        </is>
      </c>
      <c r="G103" s="167" t="inlineStr">
        <is>
          <t>Instansi Pemerintah Lainnya</t>
        </is>
      </c>
      <c r="H103" s="167" t="inlineStr">
        <is>
          <t>Aset desa</t>
        </is>
      </c>
      <c r="I103" s="171" t="inlineStr">
        <is>
          <t>Data Aset Desa</t>
        </is>
      </c>
      <c r="J103" s="167" t="inlineStr">
        <is>
          <t>Terbatas</t>
        </is>
      </c>
      <c r="K103" s="167" t="inlineStr">
        <is>
          <t>Tidak terdapat</t>
        </is>
      </c>
      <c r="L103" s="167" t="inlineStr">
        <is>
          <t>Harian</t>
        </is>
      </c>
      <c r="M103" s="167" t="inlineStr">
        <is>
          <t>SIPADES</t>
        </is>
      </c>
      <c r="N103" s="167" t="inlineStr">
        <is>
          <t>Pusat</t>
        </is>
      </c>
      <c r="O103" s="167" t="inlineStr">
        <is>
          <t>Pusat</t>
        </is>
      </c>
      <c r="P103" s="167" t="inlineStr">
        <is>
          <t>Website</t>
        </is>
      </c>
      <c r="Q103" s="169" t="inlineStr">
        <is>
          <t>http://sipades.id/</t>
        </is>
      </c>
      <c r="R103" s="167" t="inlineStr">
        <is>
          <t>Secara Online</t>
        </is>
      </c>
      <c r="S103" s="167" t="inlineStr">
        <is>
          <t>Informasi</t>
        </is>
      </c>
      <c r="T103" s="170" t="n">
        <v>2017</v>
      </c>
      <c r="U103" s="167" t="inlineStr">
        <is>
          <t>Maintenance</t>
        </is>
      </c>
      <c r="V103" s="167" t="inlineStr">
        <is>
          <t>Ya</t>
        </is>
      </c>
      <c r="W103" s="167" t="inlineStr">
        <is>
          <t>SIPD</t>
        </is>
      </c>
      <c r="X103" s="167" t="inlineStr">
        <is>
          <t>Database to Database</t>
        </is>
      </c>
      <c r="Y103" s="167" t="inlineStr">
        <is>
          <t>Realtime</t>
        </is>
      </c>
      <c r="Z103" s="167" t="inlineStr">
        <is>
          <t>Bidang Administrasi Pemerintahan Desa</t>
        </is>
      </c>
      <c r="AA103" s="167" t="inlineStr">
        <is>
          <t>DPMD</t>
        </is>
      </c>
      <c r="AB103" s="171" t="inlineStr">
        <is>
          <t>Bilal Rizky</t>
        </is>
      </c>
      <c r="AC103" s="171">
        <f>+62 813-1367-9948</f>
        <v/>
      </c>
      <c r="AD103" s="171" t="inlineStr">
        <is>
          <t>bilalramadhan30@gmail.com</t>
        </is>
      </c>
      <c r="AE103" s="288" t="n"/>
      <c r="AF103" s="68" t="inlineStr">
        <is>
          <t>Harian</t>
        </is>
      </c>
      <c r="AG103" s="172" t="inlineStr">
        <is>
          <t>Desa</t>
        </is>
      </c>
      <c r="AH103" s="173" t="n"/>
      <c r="AI103" s="173" t="n"/>
      <c r="AJ103" s="173" t="n"/>
      <c r="AK103" s="173" t="n"/>
      <c r="AL103" s="173" t="n"/>
      <c r="AM103" s="173" t="n"/>
      <c r="AN103" s="173" t="n"/>
      <c r="AO103" s="173" t="n"/>
      <c r="AP103" s="173" t="n"/>
      <c r="AQ103" s="173" t="n"/>
      <c r="AR103" s="284" t="n"/>
    </row>
    <row r="104" hidden="1" s="346">
      <c r="A104" s="62" t="n">
        <v>102</v>
      </c>
      <c r="B104" s="171" t="inlineStr">
        <is>
          <t>Layanan Pembinaan Lembaga Kemasyarakatan Desa</t>
        </is>
      </c>
      <c r="C104" s="171" t="inlineStr">
        <is>
          <t>Memberikan pembinaan dan dukungan kepada lembaga kemasyarakatan desa seperti karang taruna, PKK, dan lainnya untuk meningkatkan peran dan kontribusi mereka dalam pembangunan desa.</t>
        </is>
      </c>
      <c r="D104" s="171" t="inlineStr">
        <is>
          <t>Permendagri 13 tahun 2024 tentang Pos Pelayanan Terpadu</t>
        </is>
      </c>
      <c r="E104" s="169" t="inlineStr">
        <is>
          <t>https://drive.google.com/file/d/1YdbXWdCS28ppql72phZoI1RvIMqiXeuL/view?usp=sharing</t>
        </is>
      </c>
      <c r="F104" s="167" t="inlineStr">
        <is>
          <t>PENINGKATAN KUALITAS PELAYANAN PUBLIK</t>
        </is>
      </c>
      <c r="G104" s="167" t="inlineStr">
        <is>
          <t>Masyarakat</t>
        </is>
      </c>
      <c r="H104" s="167" t="inlineStr">
        <is>
          <t>Laporan/aduan masyarakat berdasarkan Posyandu 6 SPM (Kesehatan, Pendidikan, PU, PR, Trantibum Linmas, Sosial)</t>
        </is>
      </c>
      <c r="I104" s="167" t="inlineStr">
        <is>
          <t>Laporan/aduan masyarakat berdasarkan Posyandu 6 SPM (Kesehatan, Pendidikan, PU, PR, Trantibum Linmas, Sosial)</t>
        </is>
      </c>
      <c r="J104" s="167" t="inlineStr">
        <is>
          <t>Terbatas</t>
        </is>
      </c>
      <c r="K104" s="167" t="inlineStr">
        <is>
          <t>Terdapat</t>
        </is>
      </c>
      <c r="L104" s="167" t="inlineStr">
        <is>
          <t>Harian</t>
        </is>
      </c>
      <c r="M104" s="167" t="inlineStr">
        <is>
          <t>SIPANDU BEDAS</t>
        </is>
      </c>
      <c r="N104" s="167" t="inlineStr">
        <is>
          <t>Pihak Ke 3</t>
        </is>
      </c>
      <c r="O104" s="167" t="inlineStr">
        <is>
          <t>Kab. Bandung</t>
        </is>
      </c>
      <c r="P104" s="167" t="inlineStr">
        <is>
          <t>Mobile</t>
        </is>
      </c>
      <c r="Q104" s="169" t="inlineStr">
        <is>
          <t>http://s.id/sipandubedas</t>
        </is>
      </c>
      <c r="R104" s="167" t="inlineStr">
        <is>
          <t>Secara Online</t>
        </is>
      </c>
      <c r="S104" s="167" t="inlineStr">
        <is>
          <t>Transaksi</t>
        </is>
      </c>
      <c r="T104" s="170" t="n">
        <v>2025</v>
      </c>
      <c r="U104" s="167" t="inlineStr">
        <is>
          <t>Maintenance</t>
        </is>
      </c>
      <c r="V104" s="167" t="inlineStr">
        <is>
          <t>Tidak</t>
        </is>
      </c>
      <c r="W104" s="167" t="inlineStr">
        <is>
          <t>Tidak Terintegrasi</t>
        </is>
      </c>
      <c r="X104" s="167" t="inlineStr">
        <is>
          <t>Tidak Terintegrasi</t>
        </is>
      </c>
      <c r="Y104" s="167" t="inlineStr">
        <is>
          <t>Tidak Terintegrasi</t>
        </is>
      </c>
      <c r="Z104" s="167" t="inlineStr">
        <is>
          <t>Kelembagaan dan Peningkatan Partisipasi Masyarakat</t>
        </is>
      </c>
      <c r="AA104" s="167" t="inlineStr">
        <is>
          <t>DPMD</t>
        </is>
      </c>
      <c r="AB104" s="171" t="inlineStr">
        <is>
          <t>Ilham Juliana;
 Mariska Ardilla Faza</t>
        </is>
      </c>
      <c r="AC104" s="171">
        <f>+62 814-6098-3680
 +62 813-2079-8875</f>
        <v/>
      </c>
      <c r="AD104" s="288" t="n"/>
      <c r="AE104" s="288" t="n"/>
      <c r="AF104" s="68" t="inlineStr">
        <is>
          <t>Harian</t>
        </is>
      </c>
      <c r="AG104" s="172" t="inlineStr">
        <is>
          <t>Desa</t>
        </is>
      </c>
      <c r="AH104" s="173" t="n"/>
      <c r="AI104" s="173" t="n"/>
      <c r="AJ104" s="173" t="n"/>
      <c r="AK104" s="173" t="n"/>
      <c r="AL104" s="173" t="n"/>
      <c r="AM104" s="173" t="n"/>
      <c r="AN104" s="173" t="n"/>
      <c r="AO104" s="173" t="n"/>
      <c r="AP104" s="173" t="n"/>
      <c r="AQ104" s="173" t="n"/>
      <c r="AR104" s="284" t="n"/>
    </row>
    <row r="105" hidden="1" s="346">
      <c r="A105" s="62" t="n">
        <v>103</v>
      </c>
      <c r="B105" s="178" t="inlineStr">
        <is>
          <t>Layanan Pengelolaan Keuangan Desa</t>
        </is>
      </c>
      <c r="C105" s="178" t="inlineStr">
        <is>
          <t>Meningkatkan transparansi, akuntabilitas, dan efisiensi dalam pengelolaan keuangan di tingkat desa untuk memastikan setiap pengajuan bankeu digunakan secara efektif dan sesuai peruntukannya.</t>
        </is>
      </c>
      <c r="D105" s="178" t="inlineStr">
        <is>
          <t>Peraturan Bupati Bandung Nomor 328 Tahun 2025 tentang Pengelolaan Keuangan Desa</t>
        </is>
      </c>
      <c r="E105" s="70" t="inlineStr">
        <is>
          <t>https://drive.google.com/file/d/15CRvlXeoq6lRDTUnunhCxVgWmxrUKQsz/view?usp=drive_link</t>
        </is>
      </c>
      <c r="F105" s="184" t="inlineStr">
        <is>
          <t>PENINGKATAN KUALITAS PELAYANAN PUBLIK</t>
        </is>
      </c>
      <c r="G105" s="184" t="inlineStr">
        <is>
          <t>Instansi Pemerintah Lainnya</t>
        </is>
      </c>
      <c r="H105" s="184" t="inlineStr">
        <is>
          <t>Data Keuangan Desa, Informasi Desa</t>
        </is>
      </c>
      <c r="I105" s="178" t="inlineStr">
        <is>
          <t>Surat Rekomendasi Pencairan Bankeu, Surat Pengantar</t>
        </is>
      </c>
      <c r="J105" s="184" t="inlineStr">
        <is>
          <t>Terbatas</t>
        </is>
      </c>
      <c r="K105" s="184" t="inlineStr">
        <is>
          <t>Terdapat</t>
        </is>
      </c>
      <c r="L105" s="184" t="inlineStr">
        <is>
          <t>Harian</t>
        </is>
      </c>
      <c r="M105" s="184" t="inlineStr">
        <is>
          <t>SiPAKADES</t>
        </is>
      </c>
      <c r="N105" s="184" t="inlineStr">
        <is>
          <t>Pihak Ke 3</t>
        </is>
      </c>
      <c r="O105" s="184" t="inlineStr">
        <is>
          <t>Kab. Bandung</t>
        </is>
      </c>
      <c r="P105" s="184" t="inlineStr">
        <is>
          <t>Website</t>
        </is>
      </c>
      <c r="Q105" s="70" t="inlineStr">
        <is>
          <t>https://sipakades.bandungkab.go.id/</t>
        </is>
      </c>
      <c r="R105" s="184" t="inlineStr">
        <is>
          <t>Secara Online</t>
        </is>
      </c>
      <c r="S105" s="184" t="inlineStr">
        <is>
          <t>Transaksi</t>
        </is>
      </c>
      <c r="T105" s="98" t="n">
        <v>2025</v>
      </c>
      <c r="U105" s="184" t="inlineStr">
        <is>
          <t>Aktif</t>
        </is>
      </c>
      <c r="V105" s="184" t="inlineStr">
        <is>
          <t>Ya</t>
        </is>
      </c>
      <c r="W105" s="184" t="inlineStr">
        <is>
          <t>SIAP BKAD</t>
        </is>
      </c>
      <c r="X105" s="184" t="inlineStr">
        <is>
          <t>API</t>
        </is>
      </c>
      <c r="Y105" s="184" t="inlineStr">
        <is>
          <t>Harian</t>
        </is>
      </c>
      <c r="Z105" s="184" t="inlineStr">
        <is>
          <t>PEMDES</t>
        </is>
      </c>
      <c r="AA105" s="184" t="inlineStr">
        <is>
          <t>DPMD</t>
        </is>
      </c>
      <c r="AB105" s="178" t="inlineStr">
        <is>
          <t>Taopik; Fauzan</t>
        </is>
      </c>
      <c r="AC105" s="178">
        <f>+62 858-1117-3233
 +62 852-2443-7788</f>
        <v/>
      </c>
      <c r="AD105" s="288" t="n"/>
      <c r="AE105" s="67" t="inlineStr">
        <is>
          <t>Mewujudkan pembangunan berbasis Desa</t>
        </is>
      </c>
      <c r="AF105" s="68" t="inlineStr">
        <is>
          <t>Harian</t>
        </is>
      </c>
      <c r="AG105" s="172" t="inlineStr">
        <is>
          <t>Desa</t>
        </is>
      </c>
      <c r="AH105" s="173" t="n"/>
      <c r="AI105" s="173" t="n"/>
      <c r="AJ105" s="173" t="n"/>
      <c r="AK105" s="173" t="n"/>
      <c r="AL105" s="173" t="n"/>
      <c r="AM105" s="173" t="n"/>
      <c r="AN105" s="173" t="n"/>
      <c r="AO105" s="173" t="n"/>
      <c r="AP105" s="173" t="n"/>
      <c r="AQ105" s="173" t="n"/>
      <c r="AR105" s="284" t="n"/>
    </row>
    <row r="106" hidden="1" s="346">
      <c r="A106" s="62" t="n">
        <v>104</v>
      </c>
      <c r="B106" s="178" t="inlineStr">
        <is>
          <t>Layanan Informasi dan Pengajuan Uji KIR Kendaraan</t>
        </is>
      </c>
      <c r="C106" s="178" t="inlineStr">
        <is>
          <t>Memastikan kendaraan bermotor dan trayek angkutan umum aman dan layak operasi sesuai standar.</t>
        </is>
      </c>
      <c r="D106" s="176" t="inlineStr">
        <is>
          <t>UPTD Pengujian Kendaraan Bermotor</t>
        </is>
      </c>
      <c r="E106" s="178" t="inlineStr">
        <is>
          <t>-Undang - Undang No 22 tahun 2009 Lalu Lintas dan Angkutan Jalan
 - Peraturan Pemerintah Nomor 55 Tahun 2012 tentang kendaraan
 - Peraturan Menteri No 19 TAHUN2021 tentang Pengujian kendaraan Bermotor
 - Peraturan Menteri 156 Tahun 2016 tentang Kompetensi Penguji kendaraan Bermotor
 - KP.4404 AJ.502 DRJD 2020 TTG AKREDITASI UNIT PELAKSANA UJI BERKALA KB 
 - KEP DITJENHUBDAT BLUE NOMOR KP-DRJD 3291 TAHUN 2021 TENTANG PEDOMAN TEKNIS BUKTI LULUS UJI BERKALA KENDARAAN BERMOTOR</t>
        </is>
      </c>
      <c r="F106" s="70" t="inlineStr">
        <is>
          <t>https://drive.google.com/file/d/1r3y4yoWaoByjuAovOlwVhpYcdVHWYZlA/view?usp=drive_link</t>
        </is>
      </c>
      <c r="G106" s="184" t="inlineStr">
        <is>
          <t>PENINGKATAN KUALITAS PELAYANAN PUBLIK</t>
        </is>
      </c>
      <c r="H106" s="184" t="inlineStr">
        <is>
          <t>Masyarakat</t>
        </is>
      </c>
      <c r="I106" s="184" t="inlineStr">
        <is>
          <t>Data Pengujian Kendaraan Bermotor</t>
        </is>
      </c>
      <c r="J106" s="178" t="inlineStr">
        <is>
          <t>Data Hasil Pengujian Kendaraan Bermotor</t>
        </is>
      </c>
      <c r="K106" s="184" t="inlineStr">
        <is>
          <t>Terbatas</t>
        </is>
      </c>
      <c r="L106" s="184" t="inlineStr">
        <is>
          <t>Terdapat</t>
        </is>
      </c>
      <c r="M106" s="184" t="inlineStr">
        <is>
          <t>SIKUMIS BOKIR</t>
        </is>
      </c>
      <c r="N106" s="183" t="n"/>
      <c r="O106" s="184" t="inlineStr">
        <is>
          <t>Pihak Ke 3 (Lisensi)</t>
        </is>
      </c>
      <c r="P106" s="184" t="inlineStr">
        <is>
          <t>Kab. Bandung</t>
        </is>
      </c>
      <c r="Q106" s="184" t="inlineStr">
        <is>
          <t>Desktop</t>
        </is>
      </c>
      <c r="R106" s="288" t="n"/>
      <c r="S106" s="184" t="inlineStr">
        <is>
          <t>Secara Online</t>
        </is>
      </c>
      <c r="T106" s="184" t="inlineStr">
        <is>
          <t>Informasi</t>
        </is>
      </c>
      <c r="U106" s="184" t="n">
        <v>2018</v>
      </c>
      <c r="V106" s="184" t="inlineStr">
        <is>
          <t>Aktif</t>
        </is>
      </c>
      <c r="W106" s="184" t="inlineStr">
        <is>
          <t>Ya</t>
        </is>
      </c>
      <c r="X106" s="184" t="inlineStr">
        <is>
          <t>- Aplikasi Pencetakan BLUe Bukti Lulus Uji Elektronik Kementrian Perhubungan
 - Aplikasi MItra Darat Kementrian Perhubungan.</t>
        </is>
      </c>
      <c r="Y106" s="184" t="inlineStr">
        <is>
          <t>Database to Database</t>
        </is>
      </c>
      <c r="Z106" s="184" t="inlineStr">
        <is>
          <t>Realtime</t>
        </is>
      </c>
      <c r="AA106" s="184" t="inlineStr">
        <is>
          <t>UPTD Pengujian Kendaraan Bermotor</t>
        </is>
      </c>
      <c r="AB106" s="184" t="inlineStr">
        <is>
          <t>Dishub</t>
        </is>
      </c>
      <c r="AC106" s="178" t="inlineStr">
        <is>
          <t>- Pratiwi Aprianti Malinda , S.ST
 - Suryana</t>
        </is>
      </c>
      <c r="AD106" s="178" t="inlineStr">
        <is>
          <t>- 085883571918
 - 085758638608</t>
        </is>
      </c>
      <c r="AE106" s="178" t="inlineStr">
        <is>
          <t>uptdpkb383@gmail.com</t>
        </is>
      </c>
      <c r="AF106" s="288" t="n"/>
      <c r="AG106" s="90" t="n"/>
      <c r="AH106" s="284" t="n"/>
      <c r="AI106" s="284" t="n"/>
      <c r="AJ106" s="284" t="n"/>
      <c r="AK106" s="284" t="n"/>
      <c r="AL106" s="284" t="n"/>
      <c r="AM106" s="284" t="n"/>
      <c r="AN106" s="284" t="n"/>
      <c r="AO106" s="284" t="n"/>
      <c r="AP106" s="284" t="n"/>
      <c r="AQ106" s="284" t="n"/>
      <c r="AR106" s="284" t="n"/>
    </row>
    <row r="107" hidden="1" s="346">
      <c r="A107" s="62" t="n">
        <v>105</v>
      </c>
      <c r="B107" s="178" t="inlineStr">
        <is>
          <t>Layanan Perizinan Berusaha Berbasis Risiko (OSS)</t>
        </is>
      </c>
      <c r="C107" s="178" t="inlineStr">
        <is>
          <t>Untuk mempermudah proses penerbitan Nomor Induk Berusaha (NIB) bagi pelaku usaha dengan pendekatan berbasis risiko, sehingga memberikan kepastian dan kemudahan dalam menunjang perizinan usaha.</t>
        </is>
      </c>
      <c r="D107" s="178" t="inlineStr">
        <is>
          <t>1. Peraturan Pemerintah Nomor 5 Tahun 2021
 2. Peaturan Menteri BKPM Nomor 3 TAHUN 2021
 3. Peraturan Daerah Kabupaten Bandung Nomor 16 Tahun 2022</t>
        </is>
      </c>
      <c r="E107" s="178" t="inlineStr">
        <is>
          <t>Tersedia</t>
        </is>
      </c>
      <c r="F107" s="184" t="inlineStr">
        <is>
          <t>PENINGKATAN KUALITAS PELAYANAN PUBLIK</t>
        </is>
      </c>
      <c r="G107" s="184" t="inlineStr">
        <is>
          <t>Masyarakat</t>
        </is>
      </c>
      <c r="H107" s="184" t="inlineStr">
        <is>
          <t>Data Perizinan Berusaha</t>
        </is>
      </c>
      <c r="I107" s="178" t="inlineStr">
        <is>
          <t>Data Perizinan Berusaha</t>
        </is>
      </c>
      <c r="J107" s="184" t="inlineStr">
        <is>
          <t>Terbatas</t>
        </is>
      </c>
      <c r="K107" s="184" t="inlineStr">
        <is>
          <t>Terdapat</t>
        </is>
      </c>
      <c r="L107" s="184" t="inlineStr">
        <is>
          <t>Harian</t>
        </is>
      </c>
      <c r="M107" s="184" t="inlineStr">
        <is>
          <t>OSS</t>
        </is>
      </c>
      <c r="N107" s="184" t="inlineStr">
        <is>
          <t>Pusat</t>
        </is>
      </c>
      <c r="O107" s="184" t="inlineStr">
        <is>
          <t>Pusat</t>
        </is>
      </c>
      <c r="P107" s="184" t="inlineStr">
        <is>
          <t>Website dan Mobile</t>
        </is>
      </c>
      <c r="Q107" s="70" t="inlineStr">
        <is>
          <t>https://oss.go.id/</t>
        </is>
      </c>
      <c r="R107" s="184" t="inlineStr">
        <is>
          <t>Secara Online</t>
        </is>
      </c>
      <c r="S107" s="184" t="inlineStr">
        <is>
          <t>Transaksi</t>
        </is>
      </c>
      <c r="T107" s="98" t="n">
        <v>2019</v>
      </c>
      <c r="U107" s="184" t="inlineStr">
        <is>
          <t>Aktif</t>
        </is>
      </c>
      <c r="V107" s="184" t="inlineStr">
        <is>
          <t>Ya</t>
        </is>
      </c>
      <c r="W107" s="184" t="inlineStr">
        <is>
          <t>Terintegrasi dengan KSWP milik Kementerian Keuangan, terintegrasi dengan Kemendagri perihal data KTP, terintegrasi perihal Data Akta Hukum milik DITJEN AHU</t>
        </is>
      </c>
      <c r="X107" s="184" t="inlineStr">
        <is>
          <t>API</t>
        </is>
      </c>
      <c r="Y107" s="184" t="inlineStr">
        <is>
          <t>Realtime</t>
        </is>
      </c>
      <c r="Z107" s="184" t="inlineStr">
        <is>
          <t>Bidang Pelayanan Perizinan</t>
        </is>
      </c>
      <c r="AA107" s="184" t="inlineStr">
        <is>
          <t>DPMPTSP</t>
        </is>
      </c>
      <c r="AB107" s="288" t="n"/>
      <c r="AC107" s="288" t="n"/>
      <c r="AD107" s="178" t="inlineStr">
        <is>
          <t>dpmptsp@bandungkab.go.id</t>
        </is>
      </c>
      <c r="AE107" s="179" t="inlineStr">
        <is>
          <t>Peningkatan kualitas pelayanan perizinan</t>
        </is>
      </c>
      <c r="AF107" s="68" t="inlineStr">
        <is>
          <t>Harian</t>
        </is>
      </c>
      <c r="AG107" s="180" t="inlineStr">
        <is>
          <t>DPMPTSP dan Dinas Teknis sesuai layanan perizinan</t>
        </is>
      </c>
      <c r="AH107" s="284" t="n"/>
      <c r="AI107" s="284" t="n"/>
      <c r="AJ107" s="284" t="n"/>
      <c r="AK107" s="284" t="n"/>
      <c r="AL107" s="284" t="n"/>
      <c r="AM107" s="284" t="n"/>
      <c r="AN107" s="284" t="n"/>
      <c r="AO107" s="284" t="n"/>
      <c r="AP107" s="284" t="n"/>
      <c r="AQ107" s="284" t="n"/>
      <c r="AR107" s="284" t="n"/>
    </row>
    <row r="108" hidden="1" s="346">
      <c r="A108" s="62" t="n">
        <v>106</v>
      </c>
      <c r="B108" s="178" t="inlineStr">
        <is>
          <t>Layanan Perizinan Non Berusaha (Non OSS)</t>
        </is>
      </c>
      <c r="C108" s="178" t="inlineStr">
        <is>
          <t>Untuk memberikan layanan perizinan untuk kegiatan yang tidak terkait dengan usaha seperti Penerbitan Izin Pendidikan, Penerbitan Izin Sosial dan Penerbitan Izin Tata Ruang.</t>
        </is>
      </c>
      <c r="D108" s="178" t="inlineStr">
        <is>
          <t>1. Peraturan Bupati Bandung Nomor 239 Tahun 2025
 2. Keputusan Kepala Dinas DPMPTSP Kabupaten Bandung Nomor 100.3.3/033-KEP/DPMPTSP</t>
        </is>
      </c>
      <c r="E108" s="178" t="inlineStr">
        <is>
          <t>Tersedia</t>
        </is>
      </c>
      <c r="F108" s="184" t="inlineStr">
        <is>
          <t>PENINGKATAN KUALITAS PELAYANAN PUBLIK</t>
        </is>
      </c>
      <c r="G108" s="184" t="inlineStr">
        <is>
          <t>Masyarakat</t>
        </is>
      </c>
      <c r="H108" s="184" t="inlineStr">
        <is>
          <t>Data Perizinan Berusaha</t>
        </is>
      </c>
      <c r="I108" s="178" t="inlineStr">
        <is>
          <t>Data Perizinan Non Berusaha</t>
        </is>
      </c>
      <c r="J108" s="184" t="inlineStr">
        <is>
          <t>Terbatas</t>
        </is>
      </c>
      <c r="K108" s="184" t="inlineStr">
        <is>
          <t>Terdapat</t>
        </is>
      </c>
      <c r="L108" s="184" t="inlineStr">
        <is>
          <t>Harian</t>
        </is>
      </c>
      <c r="M108" s="184" t="inlineStr">
        <is>
          <t>SAMIRINDU SILONCER</t>
        </is>
      </c>
      <c r="N108" s="184" t="inlineStr">
        <is>
          <t>OPD</t>
        </is>
      </c>
      <c r="O108" s="184" t="inlineStr">
        <is>
          <t>Kab. Bandung</t>
        </is>
      </c>
      <c r="P108" s="184" t="inlineStr">
        <is>
          <t>Website</t>
        </is>
      </c>
      <c r="Q108" s="70" t="inlineStr">
        <is>
          <t>https://dpmptsp.bandungkab.go.id/</t>
        </is>
      </c>
      <c r="R108" s="184" t="inlineStr">
        <is>
          <t>Secara Online</t>
        </is>
      </c>
      <c r="S108" s="184" t="inlineStr">
        <is>
          <t>Transaksi</t>
        </is>
      </c>
      <c r="T108" s="98" t="n">
        <v>2018</v>
      </c>
      <c r="U108" s="184" t="inlineStr">
        <is>
          <t>Aktif</t>
        </is>
      </c>
      <c r="V108" s="184" t="inlineStr">
        <is>
          <t>Ya</t>
        </is>
      </c>
      <c r="W108" s="184" t="inlineStr">
        <is>
          <t>Terintegrasi dengan Dukcapil Kab. Bandung dan terintegrasi dengan KSWP Kementerian Keuangan</t>
        </is>
      </c>
      <c r="X108" s="184" t="inlineStr">
        <is>
          <t>API</t>
        </is>
      </c>
      <c r="Y108" s="184" t="inlineStr">
        <is>
          <t>Realtime</t>
        </is>
      </c>
      <c r="Z108" s="184" t="inlineStr">
        <is>
          <t>Bidang Pelayanan Perizinan</t>
        </is>
      </c>
      <c r="AA108" s="184" t="inlineStr">
        <is>
          <t>DPMPTSP</t>
        </is>
      </c>
      <c r="AB108" s="288" t="n"/>
      <c r="AC108" s="288" t="n"/>
      <c r="AD108" s="178" t="inlineStr">
        <is>
          <t>dpmptsp@bandungkab.go.id</t>
        </is>
      </c>
      <c r="AE108" s="179" t="inlineStr">
        <is>
          <t>Peningkatan kualitas pelayanan perizinan</t>
        </is>
      </c>
      <c r="AF108" s="68" t="inlineStr">
        <is>
          <t>Harian</t>
        </is>
      </c>
      <c r="AG108" s="180" t="inlineStr">
        <is>
          <t>DPMPTSP dan Dinas Teknis sesuai layanan perizinan</t>
        </is>
      </c>
      <c r="AH108" s="284" t="n"/>
      <c r="AI108" s="284" t="n"/>
      <c r="AJ108" s="284" t="n"/>
      <c r="AK108" s="284" t="n"/>
      <c r="AL108" s="284" t="n"/>
      <c r="AM108" s="284" t="n"/>
      <c r="AN108" s="284" t="n"/>
      <c r="AO108" s="284" t="n"/>
      <c r="AP108" s="284" t="n"/>
      <c r="AQ108" s="284" t="n"/>
      <c r="AR108" s="284" t="n"/>
    </row>
    <row r="109" hidden="1" s="346">
      <c r="A109" s="62" t="n">
        <v>107</v>
      </c>
      <c r="B109" s="178" t="inlineStr">
        <is>
          <t>Layanan Persetujuan Bangunan Gedung</t>
        </is>
      </c>
      <c r="C109" s="178" t="inlineStr">
        <is>
          <t>Untuk memfasilitasi proses perizinan dan menerbitkan Surat Persetujuan Bangunan Gedung atau pembangunan gedung agar sesuai dengan peraturan dan standar yang berlaku.</t>
        </is>
      </c>
      <c r="D109" s="178" t="inlineStr">
        <is>
          <t>1. Peraturan Pemerintah Nomor 16 Tahun 2021</t>
        </is>
      </c>
      <c r="E109" s="178" t="inlineStr">
        <is>
          <t>Tersedia</t>
        </is>
      </c>
      <c r="F109" s="184" t="inlineStr">
        <is>
          <t>PENINGKATAN KUALITAS PELAYANAN PUBLIK</t>
        </is>
      </c>
      <c r="G109" s="184" t="inlineStr">
        <is>
          <t>Masyarakat</t>
        </is>
      </c>
      <c r="H109" s="184" t="inlineStr">
        <is>
          <t>Data Persetujuan Bangunan Gedung</t>
        </is>
      </c>
      <c r="I109" s="178" t="inlineStr">
        <is>
          <t>Data Persetujuan Bangunan Gedung</t>
        </is>
      </c>
      <c r="J109" s="184" t="inlineStr">
        <is>
          <t>Terbatas</t>
        </is>
      </c>
      <c r="K109" s="184" t="inlineStr">
        <is>
          <t>Terdapat</t>
        </is>
      </c>
      <c r="L109" s="184" t="inlineStr">
        <is>
          <t>Harian</t>
        </is>
      </c>
      <c r="M109" s="184" t="inlineStr">
        <is>
          <t>SIMBG</t>
        </is>
      </c>
      <c r="N109" s="184" t="inlineStr">
        <is>
          <t>Pusat</t>
        </is>
      </c>
      <c r="O109" s="184" t="inlineStr">
        <is>
          <t>Pusat</t>
        </is>
      </c>
      <c r="P109" s="184" t="inlineStr">
        <is>
          <t>Website</t>
        </is>
      </c>
      <c r="Q109" s="70" t="inlineStr">
        <is>
          <t>https://simbg.pu.go.id/</t>
        </is>
      </c>
      <c r="R109" s="184" t="inlineStr">
        <is>
          <t>Secara Online</t>
        </is>
      </c>
      <c r="S109" s="184" t="inlineStr">
        <is>
          <t>Transaksi</t>
        </is>
      </c>
      <c r="T109" s="98" t="n">
        <v>2021</v>
      </c>
      <c r="U109" s="184" t="inlineStr">
        <is>
          <t>Aktif</t>
        </is>
      </c>
      <c r="V109" s="184" t="inlineStr">
        <is>
          <t>Tidak</t>
        </is>
      </c>
      <c r="W109" s="184" t="inlineStr">
        <is>
          <t>-</t>
        </is>
      </c>
      <c r="X109" s="184" t="inlineStr">
        <is>
          <t>API</t>
        </is>
      </c>
      <c r="Y109" s="184" t="inlineStr">
        <is>
          <t>Realtime</t>
        </is>
      </c>
      <c r="Z109" s="184" t="inlineStr">
        <is>
          <t>Bidang Pelayanan Perizinan</t>
        </is>
      </c>
      <c r="AA109" s="184" t="inlineStr">
        <is>
          <t>DPMPTSP</t>
        </is>
      </c>
      <c r="AB109" s="288" t="n"/>
      <c r="AC109" s="288" t="n"/>
      <c r="AD109" s="178" t="inlineStr">
        <is>
          <t>dpmptsp@bandungkab.go.id</t>
        </is>
      </c>
      <c r="AE109" s="179" t="inlineStr">
        <is>
          <t>Peningkatan kualitas pelayanan perizinan</t>
        </is>
      </c>
      <c r="AF109" s="68" t="inlineStr">
        <is>
          <t>Harian</t>
        </is>
      </c>
      <c r="AG109" s="180" t="inlineStr">
        <is>
          <t>DPMPTSP dan DPUTR</t>
        </is>
      </c>
      <c r="AH109" s="284" t="n"/>
      <c r="AI109" s="284" t="n"/>
      <c r="AJ109" s="284" t="n"/>
      <c r="AK109" s="284" t="n"/>
      <c r="AL109" s="284" t="n"/>
      <c r="AM109" s="284" t="n"/>
      <c r="AN109" s="284" t="n"/>
      <c r="AO109" s="284" t="n"/>
      <c r="AP109" s="284" t="n"/>
      <c r="AQ109" s="284" t="n"/>
      <c r="AR109" s="284" t="n"/>
    </row>
    <row r="110" hidden="1" s="346">
      <c r="A110" s="62" t="n">
        <v>108</v>
      </c>
      <c r="B110" s="178" t="inlineStr">
        <is>
          <t>Layanan MPP DIGITAL</t>
        </is>
      </c>
      <c r="C110" s="178" t="inlineStr">
        <is>
          <t>Untuk memberikan layanan perizinan untuk sementara kegiatan yang terkait dengan layanan kesehatan seperti Penerbitan Perizinan untuk Tenaga Kesehatan (SIP)</t>
        </is>
      </c>
      <c r="D110" s="178" t="inlineStr">
        <is>
          <t>1. Peraturan Presiden Nomor 89 Tahun 2021
 2. Peraturan Menteri PAN RB Nomor 92 Tahun 2021
 3. Keputusan Menteri PAN RB Nomor 660 Tahun 2024</t>
        </is>
      </c>
      <c r="E110" s="178" t="inlineStr">
        <is>
          <t>Tersedia</t>
        </is>
      </c>
      <c r="F110" s="184" t="inlineStr">
        <is>
          <t>PENINGKATAN KUALITAS PELAYANAN PUBLIK</t>
        </is>
      </c>
      <c r="G110" s="184" t="inlineStr">
        <is>
          <t>Masyarakat</t>
        </is>
      </c>
      <c r="H110" s="184" t="inlineStr">
        <is>
          <t>Data Perizinan Layanan Kesehatan</t>
        </is>
      </c>
      <c r="I110" s="178" t="inlineStr">
        <is>
          <t>Surat Izin Praktik untuk Petugas Layanan Kesehatan</t>
        </is>
      </c>
      <c r="J110" s="184" t="inlineStr">
        <is>
          <t>Terbatas</t>
        </is>
      </c>
      <c r="K110" s="184" t="inlineStr">
        <is>
          <t>Terdapat</t>
        </is>
      </c>
      <c r="L110" s="184" t="inlineStr">
        <is>
          <t>Harian</t>
        </is>
      </c>
      <c r="M110" s="184" t="inlineStr">
        <is>
          <t>MPP DIGITAL</t>
        </is>
      </c>
      <c r="N110" s="184" t="inlineStr">
        <is>
          <t>Pusat</t>
        </is>
      </c>
      <c r="O110" s="184" t="inlineStr">
        <is>
          <t>Pusat</t>
        </is>
      </c>
      <c r="P110" s="184" t="inlineStr">
        <is>
          <t>Website dan Mobile</t>
        </is>
      </c>
      <c r="Q110" s="70" t="inlineStr">
        <is>
          <t>https://next-gen.mppdigital.go.id/</t>
        </is>
      </c>
      <c r="R110" s="184" t="inlineStr">
        <is>
          <t>Secara Online</t>
        </is>
      </c>
      <c r="S110" s="184" t="inlineStr">
        <is>
          <t>Transaksi</t>
        </is>
      </c>
      <c r="T110" s="98" t="n">
        <v>2024</v>
      </c>
      <c r="U110" s="184" t="inlineStr">
        <is>
          <t>Aktif</t>
        </is>
      </c>
      <c r="V110" s="184" t="inlineStr">
        <is>
          <t>Ya</t>
        </is>
      </c>
      <c r="W110" s="184" t="inlineStr">
        <is>
          <t>Terintegrasi dengan Satu Sehat milik Kementerian Kesehatan</t>
        </is>
      </c>
      <c r="X110" s="184" t="inlineStr">
        <is>
          <t>API</t>
        </is>
      </c>
      <c r="Y110" s="184" t="inlineStr">
        <is>
          <t>Realtime</t>
        </is>
      </c>
      <c r="Z110" s="184" t="inlineStr">
        <is>
          <t>Bidang Pelayanan Perizinan</t>
        </is>
      </c>
      <c r="AA110" s="184" t="inlineStr">
        <is>
          <t>DPMPTSP</t>
        </is>
      </c>
      <c r="AB110" s="288" t="n"/>
      <c r="AC110" s="288" t="n"/>
      <c r="AD110" s="178" t="inlineStr">
        <is>
          <t>dpmptsp@bandungkab.go.id</t>
        </is>
      </c>
      <c r="AE110" s="288" t="n"/>
      <c r="AF110" s="68" t="inlineStr">
        <is>
          <t>Harian</t>
        </is>
      </c>
      <c r="AG110" s="180" t="inlineStr">
        <is>
          <t>DPMPTSP dan DINKES</t>
        </is>
      </c>
      <c r="AH110" s="284" t="n"/>
      <c r="AI110" s="284" t="n"/>
      <c r="AJ110" s="284" t="n"/>
      <c r="AK110" s="284" t="n"/>
      <c r="AL110" s="284" t="n"/>
      <c r="AM110" s="284" t="n"/>
      <c r="AN110" s="284" t="n"/>
      <c r="AO110" s="284" t="n"/>
      <c r="AP110" s="284" t="n"/>
      <c r="AQ110" s="284" t="n"/>
      <c r="AR110" s="284" t="n"/>
    </row>
    <row r="111" hidden="1" s="346">
      <c r="A111" s="62" t="n">
        <v>109</v>
      </c>
      <c r="B111" s="178" t="inlineStr">
        <is>
          <t>Layanan Legalisir PBG</t>
        </is>
      </c>
      <c r="C111" s="178" t="inlineStr">
        <is>
          <t>1. Meningkatkan efisiensi proses; dengan e-legalisir, proses legalisir dokumen menjadi lebih cepat dan erisjen karena menghapus langkah-langkah konvensional (proses tanda tangan manual) yang memakan waktu.
 2. Menjaga efektifitas kinerja pemerintah; dengan e-legalisir, durasi kerja pemegang otoritas/ mandat legalisir dokumen dapat digunakan secara lebih efektif.
 3. Meningkatkan keamanan dan jaminan keaslian legalisir; dengan menggunakan teknologi digital seperti tanda tangan elektronik dan kode QR, eJegalisir sulit untuk dipalsukan, karena merekam data dokumen yang dilegalisir serta identitas penandatangan legalisir.
 4. Transparansi dan akuntabilitas; dengan +.legalisir tercipta sistem yang lebih transparan dan akuntabel, karena setiap tahapan proses dapat dipantau dan direkam secara digital.
 5. Pemenuhan target SPBE dalam indikator reformasi birokrasi; eJegalisir sebagai salah satu wujud komitmen digitalisasi layanan publik, meningkatkan kinerja pelayanan kepada masyarakat, serta mengikuti perkembangan teknologi.
 6. Potensi replika sistem verifikasi dokumen dalam sektor lainnya; eJegalisir ini memungkinkan proses replika pada penyelenggaraan urusan pemerintahan bidang lainnya (di luar bidang penanaman modal, pelayanan perizinan, PTSP), serta memungkinkan proses integrasi dengan sistem lain, seperti bidang pendidikan, kependudukan dan catatan sipil.</t>
        </is>
      </c>
      <c r="D111" s="178" t="inlineStr">
        <is>
          <t>1. Peraturan Daerah Kabupaten Bandung Nomor 2 Tahun 2024</t>
        </is>
      </c>
      <c r="E111" s="178" t="inlineStr">
        <is>
          <t>Tersedia</t>
        </is>
      </c>
      <c r="F111" s="184" t="inlineStr">
        <is>
          <t>PENINGKATAN KUALITAS PELAYANAN PUBLIK</t>
        </is>
      </c>
      <c r="G111" s="184" t="inlineStr">
        <is>
          <t>Masyarakat</t>
        </is>
      </c>
      <c r="H111" s="184" t="inlineStr">
        <is>
          <t>Data PBG</t>
        </is>
      </c>
      <c r="I111" s="178" t="inlineStr">
        <is>
          <t>TTE Qr Code</t>
        </is>
      </c>
      <c r="J111" s="184" t="inlineStr">
        <is>
          <t>Terbatas</t>
        </is>
      </c>
      <c r="K111" s="184" t="inlineStr">
        <is>
          <t>Terdapat</t>
        </is>
      </c>
      <c r="L111" s="184" t="inlineStr">
        <is>
          <t>Harian</t>
        </is>
      </c>
      <c r="M111" s="184" t="inlineStr">
        <is>
          <t>SIRSAK</t>
        </is>
      </c>
      <c r="N111" s="184" t="inlineStr">
        <is>
          <t>OPD</t>
        </is>
      </c>
      <c r="O111" s="184" t="inlineStr">
        <is>
          <t>Kab. Bandung</t>
        </is>
      </c>
      <c r="P111" s="184" t="inlineStr">
        <is>
          <t>Website</t>
        </is>
      </c>
      <c r="Q111" s="70" t="inlineStr">
        <is>
          <t>https://perizinan.bandungkab.go.id/sirsak</t>
        </is>
      </c>
      <c r="R111" s="184" t="inlineStr">
        <is>
          <t>Secara Online</t>
        </is>
      </c>
      <c r="S111" s="184" t="inlineStr">
        <is>
          <t>Informasi</t>
        </is>
      </c>
      <c r="T111" s="98" t="n">
        <v>2024</v>
      </c>
      <c r="U111" s="184" t="inlineStr">
        <is>
          <t>Aktif</t>
        </is>
      </c>
      <c r="V111" s="184" t="inlineStr">
        <is>
          <t>Tidak</t>
        </is>
      </c>
      <c r="W111" s="288" t="n"/>
      <c r="X111" s="184" t="inlineStr">
        <is>
          <t>Web Service</t>
        </is>
      </c>
      <c r="Y111" s="184" t="inlineStr">
        <is>
          <t>Realtime</t>
        </is>
      </c>
      <c r="Z111" s="184" t="inlineStr">
        <is>
          <t>Sekretariat DPMPTSP Kab. Bandung</t>
        </is>
      </c>
      <c r="AA111" s="184" t="inlineStr">
        <is>
          <t>DPMPTSP</t>
        </is>
      </c>
      <c r="AB111" s="288" t="n"/>
      <c r="AC111" s="288" t="n"/>
      <c r="AD111" s="178" t="inlineStr">
        <is>
          <t>dpmptsp@bandungkab.go.id</t>
        </is>
      </c>
      <c r="AE111" s="179" t="inlineStr">
        <is>
          <t>Peningkatan kualitas pelayanan perizinan</t>
        </is>
      </c>
      <c r="AF111" s="68" t="inlineStr">
        <is>
          <t>Harian</t>
        </is>
      </c>
      <c r="AG111" s="182" t="inlineStr">
        <is>
          <t>DPMPTSP</t>
        </is>
      </c>
      <c r="AH111" s="284" t="n"/>
      <c r="AI111" s="284" t="n"/>
      <c r="AJ111" s="284" t="n"/>
      <c r="AK111" s="284" t="n"/>
      <c r="AL111" s="284" t="n"/>
      <c r="AM111" s="284" t="n"/>
      <c r="AN111" s="284" t="n"/>
      <c r="AO111" s="284" t="n"/>
      <c r="AP111" s="284" t="n"/>
      <c r="AQ111" s="284" t="n"/>
      <c r="AR111" s="284" t="n"/>
    </row>
    <row r="112" hidden="1" s="346">
      <c r="A112" s="62" t="n">
        <v>110</v>
      </c>
      <c r="B112" s="178" t="inlineStr">
        <is>
          <t>Booking Antrian Imgirasi</t>
        </is>
      </c>
      <c r="C112" s="178" t="inlineStr">
        <is>
          <t>Tujuan Layanan
 1. Memberikan kemudahan kepada masyarakat dalam melakukan pemesanan antrian pelayanan keimigrasian secara terjadwal.
 2. Mengurangi waktu tunggu masyarakat dalam memperoleh pelayanan di kantor imigrasi.
 3. Menghindari penumpukan atau kerumunan pemohon layanan di lokasi pelayanan.
 4. Meningkatkan ketertiban, efisiensi, dan kualitas pelayanan kepada masyarakat.
 5. Mengatur jumlah pemohon layanan sesuai kuota yang telah ditetapkan yaitu 25 orang per hari, yang dibuka setiap hari Selasa dan Jumat.
 Fungsi Layanan
 1. Sebagai sistem pendaftaran antrian pelayanan keimigrasian secara online.
 2. Membantu masyarakat dalam memilih jadwal pelayanan yang tersedia.
 3. Membantu petugas dalam mengatur dan mengontrol jumlah pemohon yang dilayani setiap hari.
 4. Menciptakan proses pelayanan yang lebih tertib, terorganisir, dan transparan.
 5.Memastikan pelayanan berjalan sesuai dengan jadwal dan kuota yang telah ditentukan.</t>
        </is>
      </c>
      <c r="D112" s="178" t="inlineStr">
        <is>
          <t>Peraturan Daerah Kabupaten Bandung Nomor 16 Tahun 2022</t>
        </is>
      </c>
      <c r="E112" s="178" t="inlineStr">
        <is>
          <t>Belum Tersedia</t>
        </is>
      </c>
      <c r="F112" s="184" t="inlineStr">
        <is>
          <t>PENINGKATAN KUALITAS PELAYANAN PUBLIK</t>
        </is>
      </c>
      <c r="G112" s="184" t="inlineStr">
        <is>
          <t>Masyarakat</t>
        </is>
      </c>
      <c r="H112" s="184" t="inlineStr">
        <is>
          <t>Data KTP</t>
        </is>
      </c>
      <c r="I112" s="178" t="inlineStr">
        <is>
          <t>Dokumen Booking</t>
        </is>
      </c>
      <c r="J112" s="184" t="inlineStr">
        <is>
          <t>Terbatas</t>
        </is>
      </c>
      <c r="K112" s="184" t="inlineStr">
        <is>
          <t>Terdapat</t>
        </is>
      </c>
      <c r="L112" s="184" t="inlineStr">
        <is>
          <t>Mingguan</t>
        </is>
      </c>
      <c r="M112" s="184" t="inlineStr">
        <is>
          <t>Booking Antrian Imigrasi</t>
        </is>
      </c>
      <c r="N112" s="184" t="inlineStr">
        <is>
          <t>OPD</t>
        </is>
      </c>
      <c r="O112" s="184" t="inlineStr">
        <is>
          <t>Kab. Bandung</t>
        </is>
      </c>
      <c r="P112" s="184" t="inlineStr">
        <is>
          <t>Website</t>
        </is>
      </c>
      <c r="Q112" s="70" t="inlineStr">
        <is>
          <t>https://perizinan.bandungkab.go.id/layanan-kami/booking-antrian-imigrasi</t>
        </is>
      </c>
      <c r="R112" s="184" t="inlineStr">
        <is>
          <t>Secara Online</t>
        </is>
      </c>
      <c r="S112" s="184" t="inlineStr">
        <is>
          <t>Informasi</t>
        </is>
      </c>
      <c r="T112" s="98" t="n">
        <v>2024</v>
      </c>
      <c r="U112" s="184" t="inlineStr">
        <is>
          <t>Aktif</t>
        </is>
      </c>
      <c r="V112" s="184" t="inlineStr">
        <is>
          <t>Tidak</t>
        </is>
      </c>
      <c r="W112" s="288" t="n"/>
      <c r="X112" s="184" t="inlineStr">
        <is>
          <t>Web Service</t>
        </is>
      </c>
      <c r="Y112" s="184" t="inlineStr">
        <is>
          <t>Realtime</t>
        </is>
      </c>
      <c r="Z112" s="184" t="inlineStr">
        <is>
          <t>Sekretariat DPMPTSP Kab. Bandung</t>
        </is>
      </c>
      <c r="AA112" s="184" t="inlineStr">
        <is>
          <t>DPMPTSP</t>
        </is>
      </c>
      <c r="AB112" s="288" t="n"/>
      <c r="AC112" s="288" t="n"/>
      <c r="AD112" s="178" t="inlineStr">
        <is>
          <t>dpmptsp@bandungkab.go.id</t>
        </is>
      </c>
      <c r="AE112" s="179" t="inlineStr">
        <is>
          <t>Peningkatan kualitas pelayanan perizinan</t>
        </is>
      </c>
      <c r="AF112" s="68" t="inlineStr">
        <is>
          <t>Harian</t>
        </is>
      </c>
      <c r="AG112" s="182" t="inlineStr">
        <is>
          <t>DPMPTSP</t>
        </is>
      </c>
      <c r="AH112" s="284" t="n"/>
      <c r="AI112" s="284" t="n"/>
      <c r="AJ112" s="284" t="n"/>
      <c r="AK112" s="284" t="n"/>
      <c r="AL112" s="284" t="n"/>
      <c r="AM112" s="284" t="n"/>
      <c r="AN112" s="284" t="n"/>
      <c r="AO112" s="284" t="n"/>
      <c r="AP112" s="284" t="n"/>
      <c r="AQ112" s="284" t="n"/>
      <c r="AR112" s="284" t="n"/>
    </row>
    <row r="113" hidden="1" s="346">
      <c r="A113" s="62" t="n">
        <v>111</v>
      </c>
      <c r="B113" s="178" t="inlineStr">
        <is>
          <t>Layanan Pendataan Atlet Berprestasi</t>
        </is>
      </c>
      <c r="C113" s="178" t="inlineStr">
        <is>
          <t>Sistem Data Keolahragaan (SIDORA) adalah sistem yang disediakan oleh Dinas Pemuda dan Olahraga bagi internal dan masyarakat untuk mengetahui potensi SDM Keolahragaan dan mengetahui serta menginventarisir Sarana Prasarana olahraga yang berada di Kabupaten Bandung</t>
        </is>
      </c>
      <c r="D113"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E113" s="178" t="inlineStr">
        <is>
          <t>Belum Tersedia</t>
        </is>
      </c>
      <c r="F113" s="184" t="inlineStr">
        <is>
          <t>PENINGKATAN PRESTASI OLAHRAGA</t>
        </is>
      </c>
      <c r="G113" s="184" t="inlineStr">
        <is>
          <t>Masyarakat</t>
        </is>
      </c>
      <c r="H113" s="184" t="inlineStr">
        <is>
          <t>Nama, Jenis Kelamin, Alamat, Foto ID, Cabang Olahraga, Jenis Prestasi, Kategori, Tempat Tanggal Lahir, Jenis Organisasi, Peraihan Medali, Tahun peraihan prestasi</t>
        </is>
      </c>
      <c r="I113" s="178" t="inlineStr">
        <is>
          <t>Data Atlet Berprestasi di ajang Provinsi, Nasional dan internasional</t>
        </is>
      </c>
      <c r="J113" s="184" t="inlineStr">
        <is>
          <t>Terbatas</t>
        </is>
      </c>
      <c r="K113" s="184" t="inlineStr">
        <is>
          <t>Terdapat</t>
        </is>
      </c>
      <c r="L113" s="184" t="inlineStr">
        <is>
          <t>Bulanan</t>
        </is>
      </c>
      <c r="M113" s="184" t="inlineStr">
        <is>
          <t>SIDORA</t>
        </is>
      </c>
      <c r="N113" s="184" t="inlineStr">
        <is>
          <t>Pihak Ke 3</t>
        </is>
      </c>
      <c r="O113" s="184" t="inlineStr">
        <is>
          <t>Pihak Ke 3 (Lisensi)</t>
        </is>
      </c>
      <c r="P113" s="184" t="inlineStr">
        <is>
          <t>Website</t>
        </is>
      </c>
      <c r="Q113" s="70" t="inlineStr">
        <is>
          <t>https://sidora.bandungkab.go.id/</t>
        </is>
      </c>
      <c r="R113" s="184" t="inlineStr">
        <is>
          <t>Secara Online</t>
        </is>
      </c>
      <c r="S113" s="184" t="inlineStr">
        <is>
          <t>Informasi</t>
        </is>
      </c>
      <c r="T113" s="98" t="n">
        <v>2022</v>
      </c>
      <c r="U113" s="184" t="inlineStr">
        <is>
          <t>Aktif</t>
        </is>
      </c>
      <c r="V113" s="184" t="inlineStr">
        <is>
          <t>Ya</t>
        </is>
      </c>
      <c r="W113" s="184" t="inlineStr">
        <is>
          <t>Sudah terintegrasi Diskominfo</t>
        </is>
      </c>
      <c r="X113" s="184" t="inlineStr">
        <is>
          <t>API</t>
        </is>
      </c>
      <c r="Y113" s="184" t="inlineStr">
        <is>
          <t>Bulanan</t>
        </is>
      </c>
      <c r="Z113" s="184" t="inlineStr">
        <is>
          <t>Bidang Pengembangan Organisasi Keolahragaan Prestasi</t>
        </is>
      </c>
      <c r="AA113" s="184" t="inlineStr">
        <is>
          <t>Dispora</t>
        </is>
      </c>
      <c r="AB113" s="178" t="inlineStr">
        <is>
          <t>Deden Mulyana</t>
        </is>
      </c>
      <c r="AC113" s="184" t="n">
        <v>81912125222</v>
      </c>
      <c r="AD113" s="184" t="inlineStr">
        <is>
          <t>bidorpresdispora@gmail.com</t>
        </is>
      </c>
      <c r="AE113" s="68" t="n">
        <v>14</v>
      </c>
      <c r="AF113" s="68" t="inlineStr">
        <is>
          <t>Bulanan</t>
        </is>
      </c>
      <c r="AG113" s="284" t="n"/>
      <c r="AH113" s="284" t="n"/>
      <c r="AI113" s="284" t="n"/>
      <c r="AJ113" s="284" t="n"/>
      <c r="AK113" s="284" t="n"/>
      <c r="AL113" s="284" t="n"/>
      <c r="AM113" s="284" t="n"/>
      <c r="AN113" s="284" t="n"/>
      <c r="AO113" s="284" t="n"/>
      <c r="AP113" s="284" t="n"/>
      <c r="AQ113" s="284" t="n"/>
      <c r="AR113" s="284" t="n"/>
    </row>
    <row r="114" hidden="1" s="346">
      <c r="A114" s="62" t="n">
        <v>112</v>
      </c>
      <c r="B114" s="178" t="inlineStr">
        <is>
          <t>Layanan Pendataan Pemuda dan Minat Pemuda</t>
        </is>
      </c>
      <c r="C114" s="178" t="inlineStr">
        <is>
          <t>Sistem Data Kepemudaan (SIDOPA) adalah sistem yang disediakan oleh Dinas Pemuda dan Olahraga khusus untuk pemuda Kabupaten Bandung berusia 16-30 tahun agar dapat belajar, berkarya, dan menjadi agen perubahan.</t>
        </is>
      </c>
      <c r="D114" s="178" t="inlineStr">
        <is>
          <t>1. Undang-Undang Nomor 40 tahun 2009 Tentang Kepemudaan
 2. PP Nomor 41 Tahun 2011 Tentang Pengembangan Kewirausahaan pemuda dan kepeloporanpemuda serta penyediaan sarana prasarana pemuda
 3. Peraturan Menteri Pemuda dan Olahraga RI No. 1 Tahun 2023 tentang peeningkatan daya saing kewirausahaan pemuda di daerah
 4. Peraturan Daera (PERDA) Provinsi Jawa Barat No. 8 Tahun 2016 tentang pedoman pelayanan kepemudaan
 5. Peraturan Bupati Bandung no 148 Tahun 2021 tentang Petunjuk Pelaksanaan PERDA nomor 30 tahun 2012 tentang pembanagunan kepemudaan</t>
        </is>
      </c>
      <c r="E114" s="178" t="inlineStr">
        <is>
          <t>Belum Tersedia</t>
        </is>
      </c>
      <c r="F114" s="184" t="inlineStr">
        <is>
          <t>PEMBERDAYAAN PEMUDA</t>
        </is>
      </c>
      <c r="G114" s="184" t="inlineStr">
        <is>
          <t>Masyarakat</t>
        </is>
      </c>
      <c r="H114" s="184" t="inlineStr">
        <is>
          <t>Nama, Jenis Kelamin, Alamat, Tempat Tanggal Lahir, NIK, Agama, Pendidikan terakhir, Profesi, Hobi, Data Komunitas, Data Organisasi, Kemampuan, Jumlah Pendapatan, Golongan Darah, Pelatihan yang diminati, status perwkawinan, izin usaha yang sudah dimiliki</t>
        </is>
      </c>
      <c r="I114" s="178" t="inlineStr">
        <is>
          <t>Data Pemuda di Kabupaten Bandung</t>
        </is>
      </c>
      <c r="J114" s="184" t="inlineStr">
        <is>
          <t>Terbatas</t>
        </is>
      </c>
      <c r="K114" s="184" t="inlineStr">
        <is>
          <t>Terdapat</t>
        </is>
      </c>
      <c r="L114" s="184" t="inlineStr">
        <is>
          <t>Harian</t>
        </is>
      </c>
      <c r="M114" s="184" t="inlineStr">
        <is>
          <t>SIDOPA</t>
        </is>
      </c>
      <c r="N114" s="184" t="inlineStr">
        <is>
          <t>Pihak Ke 3</t>
        </is>
      </c>
      <c r="O114" s="184" t="inlineStr">
        <is>
          <t>Pihak Ke 3 (Lisensi)</t>
        </is>
      </c>
      <c r="P114" s="184" t="inlineStr">
        <is>
          <t>Website</t>
        </is>
      </c>
      <c r="Q114" s="70" t="inlineStr">
        <is>
          <t>https://sidopabandungkab.com</t>
        </is>
      </c>
      <c r="R114" s="184" t="inlineStr">
        <is>
          <t>Secara Online</t>
        </is>
      </c>
      <c r="S114" s="184" t="inlineStr">
        <is>
          <t>Informasi</t>
        </is>
      </c>
      <c r="T114" s="98" t="n">
        <v>2025</v>
      </c>
      <c r="U114" s="184" t="inlineStr">
        <is>
          <t>Aktif</t>
        </is>
      </c>
      <c r="V114" s="184" t="inlineStr">
        <is>
          <t>Tidak</t>
        </is>
      </c>
      <c r="W114" s="181" t="inlineStr">
        <is>
          <t>belum terintegrasi</t>
        </is>
      </c>
      <c r="X114" s="184" t="inlineStr">
        <is>
          <t>Tidak Terintegrasi</t>
        </is>
      </c>
      <c r="Y114" s="184" t="inlineStr">
        <is>
          <t>Tidak Terintegrasi</t>
        </is>
      </c>
      <c r="Z114" s="184" t="inlineStr">
        <is>
          <t>Bidang Pemberdayaan Kepemudaan</t>
        </is>
      </c>
      <c r="AA114" s="184" t="inlineStr">
        <is>
          <t>Dispora</t>
        </is>
      </c>
      <c r="AB114" s="178" t="inlineStr">
        <is>
          <t>Obikha Rezeki</t>
        </is>
      </c>
      <c r="AC114" s="178" t="n">
        <v>81320998488</v>
      </c>
      <c r="AD114" s="178" t="inlineStr">
        <is>
          <t>pemberdayaan.kab.bandung@gmail.com</t>
        </is>
      </c>
      <c r="AE114" s="68" t="n">
        <v>17</v>
      </c>
      <c r="AF114" s="68" t="inlineStr">
        <is>
          <t>Harian</t>
        </is>
      </c>
      <c r="AG114" s="284" t="n"/>
      <c r="AH114" s="284" t="n"/>
      <c r="AI114" s="284" t="n"/>
      <c r="AJ114" s="284" t="n"/>
      <c r="AK114" s="284" t="n"/>
      <c r="AL114" s="284" t="n"/>
      <c r="AM114" s="284" t="n"/>
      <c r="AN114" s="284" t="n"/>
      <c r="AO114" s="284" t="n"/>
      <c r="AP114" s="284" t="n"/>
      <c r="AQ114" s="284" t="n"/>
      <c r="AR114" s="284" t="n"/>
    </row>
    <row r="115" hidden="1" s="346">
      <c r="A115" s="62" t="n">
        <v>113</v>
      </c>
      <c r="B115" s="178" t="inlineStr">
        <is>
          <t>Layanan Pendataan Aset Barang Milik Daerah</t>
        </is>
      </c>
      <c r="C115" s="178" t="inlineStr">
        <is>
          <t>Sistem Informasi Manajemen Daerah (SIMDA) adalah wadah atau sistem yang disediakan untuk mengolah data terkait informasi barang milik daerah secara terstruktur dan terorganisir dan membantu pemerintah dalam melakukan pencatatan pelaporan dan analisis data BMD.</t>
        </is>
      </c>
      <c r="D115" s="178" t="inlineStr">
        <is>
          <t>1. UU Nomor 17 Tahun 2023 Tentang Keuangan Negara
 2. UU Nomor 15 Tahun 2024 Tentang Pembendaharaan Negara
 3. UU Nomor 1 Tahun 2024 Tentang Pertanggungjawaban Keuangan Negara</t>
        </is>
      </c>
      <c r="E115" s="178" t="inlineStr">
        <is>
          <t>Belum Tersedia</t>
        </is>
      </c>
      <c r="F115" s="184" t="inlineStr">
        <is>
          <t>PENGADAAN BARANG/JASA PEMERINTAH</t>
        </is>
      </c>
      <c r="G115" s="184" t="inlineStr">
        <is>
          <t>Instansi Pemerintah Lainnya</t>
        </is>
      </c>
      <c r="H115" s="184" t="inlineStr">
        <is>
          <t>Aset (Data Tanah, peralatan dan mesin, bangunan dan gedung, jaringan irigasi dan drainase, aset tetap lainnya), Luas, Jumlah, Harga, Kode barang, Kode Lokasi, Kode regis, Keterangan</t>
        </is>
      </c>
      <c r="I115" s="178" t="inlineStr">
        <is>
          <t>Laporan Aset</t>
        </is>
      </c>
      <c r="J115" s="184" t="inlineStr">
        <is>
          <t>Tertutup</t>
        </is>
      </c>
      <c r="K115" s="184" t="inlineStr">
        <is>
          <t>Tidak terdapat</t>
        </is>
      </c>
      <c r="L115" s="184" t="inlineStr">
        <is>
          <t>Lainnya</t>
        </is>
      </c>
      <c r="M115" s="184" t="inlineStr">
        <is>
          <t>SIMDA</t>
        </is>
      </c>
      <c r="N115" s="184" t="inlineStr">
        <is>
          <t>OPD</t>
        </is>
      </c>
      <c r="O115" s="184" t="inlineStr">
        <is>
          <t>Kab. Bandung</t>
        </is>
      </c>
      <c r="P115" s="184" t="inlineStr">
        <is>
          <t>Mobile</t>
        </is>
      </c>
      <c r="Q115" s="178" t="inlineStr">
        <is>
          <t>SIMDA BMD</t>
        </is>
      </c>
      <c r="R115" s="184" t="inlineStr">
        <is>
          <t>Secara Online</t>
        </is>
      </c>
      <c r="S115" s="184" t="inlineStr">
        <is>
          <t>Informasi</t>
        </is>
      </c>
      <c r="T115" s="98" t="n">
        <v>2016</v>
      </c>
      <c r="U115" s="184" t="inlineStr">
        <is>
          <t>Aktif</t>
        </is>
      </c>
      <c r="V115" s="184" t="inlineStr">
        <is>
          <t>Ya</t>
        </is>
      </c>
      <c r="W115" s="184" t="inlineStr">
        <is>
          <t>Simda Kabupaten Bandung</t>
        </is>
      </c>
      <c r="X115" s="184" t="inlineStr">
        <is>
          <t>API</t>
        </is>
      </c>
      <c r="Y115" s="184" t="inlineStr">
        <is>
          <t>Realtime</t>
        </is>
      </c>
      <c r="Z115" s="184" t="inlineStr">
        <is>
          <t>Kesekretariatan (Barang Milik Daerah)</t>
        </is>
      </c>
      <c r="AA115" s="130" t="inlineStr">
        <is>
          <t>Dispora</t>
        </is>
      </c>
      <c r="AB115" s="178" t="inlineStr">
        <is>
          <t>Zidan Fernando</t>
        </is>
      </c>
      <c r="AC115" s="178" t="n">
        <v>87806010625</v>
      </c>
      <c r="AD115" s="178" t="inlineStr">
        <is>
          <t>disporabmd@gmail.com</t>
        </is>
      </c>
      <c r="AE115" s="68" t="n">
        <v>17</v>
      </c>
      <c r="AF115" s="68" t="inlineStr">
        <is>
          <t>Harian</t>
        </is>
      </c>
      <c r="AG115" s="284" t="n"/>
      <c r="AH115" s="284" t="n"/>
      <c r="AI115" s="284" t="n"/>
      <c r="AJ115" s="284" t="n"/>
      <c r="AK115" s="284" t="n"/>
      <c r="AL115" s="284" t="n"/>
      <c r="AM115" s="284" t="n"/>
      <c r="AN115" s="284" t="n"/>
      <c r="AO115" s="284" t="n"/>
      <c r="AP115" s="284" t="n"/>
      <c r="AQ115" s="284" t="n"/>
      <c r="AR115" s="284" t="n"/>
    </row>
    <row r="116" hidden="1" s="346">
      <c r="A116" s="62" t="n">
        <v>114</v>
      </c>
      <c r="B116" s="178" t="inlineStr">
        <is>
          <t>Layanan Informasi mengenai tata kelola atau informasi</t>
        </is>
      </c>
      <c r="C116" s="178" t="inlineStr">
        <is>
          <t>SIJALAK adalah sistem informasi mengenai tata layanan dan operasi di kawasan SOR Jalak Harupat</t>
        </is>
      </c>
      <c r="D116"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E116" s="178" t="inlineStr">
        <is>
          <t>tidak tersedia</t>
        </is>
      </c>
      <c r="F116" s="184" t="inlineStr">
        <is>
          <t>PEMBUDAYAAN OLAHRAGA</t>
        </is>
      </c>
      <c r="G116" s="184" t="inlineStr">
        <is>
          <t>Masyarakat</t>
        </is>
      </c>
      <c r="H116" s="184" t="inlineStr">
        <is>
          <t>Informasi layanan, pengaduan, lokasi venue</t>
        </is>
      </c>
      <c r="I116" s="178" t="inlineStr">
        <is>
          <t>Informasi fasilitas</t>
        </is>
      </c>
      <c r="J116" s="184" t="inlineStr">
        <is>
          <t>Terbuka</t>
        </is>
      </c>
      <c r="K116" s="184" t="inlineStr">
        <is>
          <t>Tidak terdapat</t>
        </is>
      </c>
      <c r="L116" s="184" t="inlineStr">
        <is>
          <t>Harian</t>
        </is>
      </c>
      <c r="M116" s="184" t="inlineStr">
        <is>
          <t>SIJALAK</t>
        </is>
      </c>
      <c r="N116" s="184" t="inlineStr">
        <is>
          <t>Diskominfo</t>
        </is>
      </c>
      <c r="O116" s="184" t="inlineStr">
        <is>
          <t>Kab. Bandung</t>
        </is>
      </c>
      <c r="P116" s="184" t="inlineStr">
        <is>
          <t>Website</t>
        </is>
      </c>
      <c r="Q116" s="70" t="inlineStr">
        <is>
          <t>rencana membuat sub domain dari disporabandungkab.go.id</t>
        </is>
      </c>
      <c r="R116" s="184" t="inlineStr">
        <is>
          <t>Secara Online</t>
        </is>
      </c>
      <c r="S116" s="184" t="inlineStr">
        <is>
          <t>Informasi</t>
        </is>
      </c>
      <c r="T116" s="98" t="n">
        <v>2022</v>
      </c>
      <c r="U116" s="184" t="inlineStr">
        <is>
          <t>Non Aktif</t>
        </is>
      </c>
      <c r="V116" s="184" t="inlineStr">
        <is>
          <t>Tidak</t>
        </is>
      </c>
      <c r="W116" s="184" t="inlineStr">
        <is>
          <t>-</t>
        </is>
      </c>
      <c r="X116" s="184" t="inlineStr">
        <is>
          <t>Tidak Terintegrasi</t>
        </is>
      </c>
      <c r="Y116" s="184" t="inlineStr">
        <is>
          <t>Tidak Terintegrasi</t>
        </is>
      </c>
      <c r="Z116" s="184" t="inlineStr">
        <is>
          <t>Kesekretariatan</t>
        </is>
      </c>
      <c r="AA116" s="184" t="inlineStr">
        <is>
          <t>Dispora</t>
        </is>
      </c>
      <c r="AB116" s="178" t="inlineStr">
        <is>
          <t>Imam Budiana, S.E</t>
        </is>
      </c>
      <c r="AC116" s="178" t="n">
        <v>82120532304</v>
      </c>
      <c r="AD116" s="178" t="inlineStr">
        <is>
          <t>program.dispora.kabbdg@gmail.com</t>
        </is>
      </c>
      <c r="AE116" s="68" t="n">
        <v>17</v>
      </c>
      <c r="AF116" s="68" t="inlineStr">
        <is>
          <t>Bulanan</t>
        </is>
      </c>
      <c r="AG116" s="284" t="n"/>
      <c r="AH116" s="284" t="n"/>
      <c r="AI116" s="284" t="n"/>
      <c r="AJ116" s="284" t="n"/>
      <c r="AK116" s="284" t="n"/>
      <c r="AL116" s="284" t="n"/>
      <c r="AM116" s="284" t="n"/>
      <c r="AN116" s="284" t="n"/>
      <c r="AO116" s="284" t="n"/>
      <c r="AP116" s="284" t="n"/>
      <c r="AQ116" s="284" t="n"/>
      <c r="AR116" s="284" t="n"/>
    </row>
    <row r="117" hidden="1" s="346">
      <c r="A117" s="62" t="n">
        <v>115</v>
      </c>
      <c r="B117" s="178" t="inlineStr">
        <is>
          <t>Layanan Peminjaman Area/Venue Olahraga</t>
        </is>
      </c>
      <c r="C117" s="178" t="inlineStr">
        <is>
          <t>Layanan ini bertujuan untuk mengelola peminjaman sarana di kawasan SOR Jalak Harupat sekaligus transaksi untuk penyewaan agar lebih terorganisir. (SIPELOR-SISTEM INFORMASI PENYEWAAN LAPANGAN OLAHRAGA)</t>
        </is>
      </c>
      <c r="D117" s="178" t="inlineStr">
        <is>
          <t>1. UU 23 Tahun 2014 tentang Pemerintahan Daerah
 2. Peraturan Pemerintah Nomor 12 Tahun 2019 tentang Pengelolaan Keuangan Daerah 
 3. Undang-Undang Nomor 17 Tahun 2003 tentang Keuangan Negara
 4. Undang-Undang Nomor 1 Tahun 2004 tentang Perbendaharaan Negara
 5. Peraturan menteri dalam negeri (permendagri) nomor 77 tahun 2020 tentang Pedoman Teknis Pengelolaan Keuangan Daerah 
 6. Undang-Undang Nomor 15 Tahun 2004 tentang Pemeriksaan Pengelolaan dan Tanggung jawab Keuangan Negara 
 7. Undang-undang Nomor 30 Tahun 2014 tentang Administrasi Pemerintahan</t>
        </is>
      </c>
      <c r="E117" s="70" t="inlineStr">
        <is>
          <t>https://drive.google.com/file/d/1CK9sB-VkjtVcnm48SmIytt7EAWrjRZba/view?usp=sharing</t>
        </is>
      </c>
      <c r="F117" s="184" t="inlineStr">
        <is>
          <t>PEMBUDAYAAN OLAHRAGA</t>
        </is>
      </c>
      <c r="G117" s="184" t="inlineStr">
        <is>
          <t>Masyarakat</t>
        </is>
      </c>
      <c r="H117" s="184" t="inlineStr">
        <is>
          <t>Nama, No. HP, Venue yang disewa, Lama Waktu penyewaan (Jam/Hari), Harga</t>
        </is>
      </c>
      <c r="I117" s="178" t="inlineStr">
        <is>
          <t>Data Sewa Venue Olahraga</t>
        </is>
      </c>
      <c r="J117" s="184" t="inlineStr">
        <is>
          <t>Terbuka</t>
        </is>
      </c>
      <c r="K117" s="184" t="inlineStr">
        <is>
          <t>Terdapat</t>
        </is>
      </c>
      <c r="L117" s="184" t="inlineStr">
        <is>
          <t>Harian</t>
        </is>
      </c>
      <c r="M117" s="184" t="inlineStr">
        <is>
          <t>SIPELOR</t>
        </is>
      </c>
      <c r="N117" s="184" t="inlineStr">
        <is>
          <t>OPD</t>
        </is>
      </c>
      <c r="O117" s="184" t="inlineStr">
        <is>
          <t>Kab. Bandung</t>
        </is>
      </c>
      <c r="P117" s="184" t="inlineStr">
        <is>
          <t>Website dan Mobile</t>
        </is>
      </c>
      <c r="Q117" s="178" t="inlineStr">
        <is>
          <t>Data Administrasi</t>
        </is>
      </c>
      <c r="R117" s="184" t="inlineStr">
        <is>
          <t>Secara Online</t>
        </is>
      </c>
      <c r="S117" s="184" t="inlineStr">
        <is>
          <t>Transaksi</t>
        </is>
      </c>
      <c r="T117" s="178" t="inlineStr">
        <is>
          <t>-Rencana dan launching 2026</t>
        </is>
      </c>
      <c r="U117" s="184" t="inlineStr">
        <is>
          <t>Aktif</t>
        </is>
      </c>
      <c r="V117" s="184" t="inlineStr">
        <is>
          <t>Ya</t>
        </is>
      </c>
      <c r="W117" s="184" t="inlineStr">
        <is>
          <t>Terintegrasi</t>
        </is>
      </c>
      <c r="X117" s="184" t="inlineStr">
        <is>
          <t>API</t>
        </is>
      </c>
      <c r="Y117" s="184" t="inlineStr">
        <is>
          <t>Realtime</t>
        </is>
      </c>
      <c r="Z117" s="184" t="inlineStr">
        <is>
          <t>Kesekretariatan</t>
        </is>
      </c>
      <c r="AA117" s="184" t="inlineStr">
        <is>
          <t>Dispora</t>
        </is>
      </c>
      <c r="AB117" s="178" t="inlineStr">
        <is>
          <t>Bambang Triadi/ Rama</t>
        </is>
      </c>
      <c r="AC117" s="178" t="inlineStr">
        <is>
          <t>082121790185 / 085150692618</t>
        </is>
      </c>
      <c r="AD117" s="178" t="inlineStr">
        <is>
          <t>abanktriadi@gmail.com / program.dispora.kabbdg@gmail.com</t>
        </is>
      </c>
      <c r="AE117" s="68" t="n">
        <v>17</v>
      </c>
      <c r="AF117" s="68" t="inlineStr">
        <is>
          <t>Harian</t>
        </is>
      </c>
      <c r="AG117" s="284" t="n"/>
      <c r="AH117" s="284" t="n"/>
      <c r="AI117" s="284" t="n"/>
      <c r="AJ117" s="284" t="n"/>
      <c r="AK117" s="284" t="n"/>
      <c r="AL117" s="284" t="n"/>
      <c r="AM117" s="284" t="n"/>
      <c r="AN117" s="284" t="n"/>
      <c r="AO117" s="284" t="n"/>
      <c r="AP117" s="284" t="n"/>
      <c r="AQ117" s="284" t="n"/>
      <c r="AR117" s="284" t="n"/>
    </row>
    <row r="118" hidden="1" s="346">
      <c r="A118" s="62" t="n">
        <v>116</v>
      </c>
      <c r="B118" s="178" t="inlineStr">
        <is>
          <t>Sistem informasi Bahan Pokok dan Penting</t>
        </is>
      </c>
      <c r="C118" s="178" t="inlineStr">
        <is>
          <t>Tujuan dari SIBAPOKTING adalah menyediakan acuan bagi pemerintah Kabupaten Bandung dalam perencanaan, pelaksanaan, dan evaluasi kebijakan, dengan memuat data perkembangan harga kebutuhan pokok dan barang penting. Database ini juga mendukung penyusunan laporan harga yang lebih efisien dan dapat diakses oleh masyarakat luas. Fungsinya sebagai sarana penyimpanan dan penyajian data BAPOKTING secara terintegrasi, memberikan informasi akurat untuk pengambilan keputusan, serta sebagai alat monitoring perkembangan harga BAPOKTING guna meningkatkan transparansi, efisiensi, dan efektivitas.</t>
        </is>
      </c>
      <c r="D118" s="178" t="inlineStr">
        <is>
          <t>Undang - Undang Nomor 7 Tahun 2014 Tentang Perdagangan dan Permendag Nomor 22 Tahun 2021 Tentang Tata Cara Pelaporan Barang Kebutuhan
 Pokok dan Barang Penting</t>
        </is>
      </c>
      <c r="E118" s="70" t="inlineStr">
        <is>
          <t>SOP SIBAPOKTING 2025 Ttd.pdf</t>
        </is>
      </c>
      <c r="F118" s="184" t="inlineStr">
        <is>
          <t>STABILITAS PASOKAN DAN HARGA PANGAN</t>
        </is>
      </c>
      <c r="G118" s="184" t="inlineStr">
        <is>
          <t>Pelaku Bisnis</t>
        </is>
      </c>
      <c r="H118" s="184" t="inlineStr">
        <is>
          <t>Data Harga Bahan Pokok dan Barang Penting dari Pasar Pantauan Kabupaten Bandung</t>
        </is>
      </c>
      <c r="I118" s="178" t="inlineStr">
        <is>
          <t>Data Harga Bapokting</t>
        </is>
      </c>
      <c r="J118" s="184" t="inlineStr">
        <is>
          <t>Terbuka</t>
        </is>
      </c>
      <c r="K118" s="184" t="inlineStr">
        <is>
          <t>Terdapat</t>
        </is>
      </c>
      <c r="L118" s="184" t="inlineStr">
        <is>
          <t>Harian</t>
        </is>
      </c>
      <c r="M118" s="184" t="inlineStr">
        <is>
          <t>SIBAPOKTING</t>
        </is>
      </c>
      <c r="N118" s="184" t="inlineStr">
        <is>
          <t>Pihak Ke 3</t>
        </is>
      </c>
      <c r="O118" s="184" t="inlineStr">
        <is>
          <t>Pihak Ke 3 (Lisensi)</t>
        </is>
      </c>
      <c r="P118" s="184" t="inlineStr">
        <is>
          <t>Website dan Mobile</t>
        </is>
      </c>
      <c r="Q118" s="70" t="inlineStr">
        <is>
          <t>https://sibapokting.bandungkab.go.id/</t>
        </is>
      </c>
      <c r="R118" s="184" t="inlineStr">
        <is>
          <t>Secara Online</t>
        </is>
      </c>
      <c r="S118" s="184" t="inlineStr">
        <is>
          <t>Informasi</t>
        </is>
      </c>
      <c r="T118" s="98" t="n">
        <v>2021</v>
      </c>
      <c r="U118" s="184" t="inlineStr">
        <is>
          <t>Aktif</t>
        </is>
      </c>
      <c r="V118" s="184" t="inlineStr">
        <is>
          <t>Ya</t>
        </is>
      </c>
      <c r="W118" s="184" t="inlineStr">
        <is>
          <t>Integrasi dengan Silinda Jabar dan BDS Bandungkab</t>
        </is>
      </c>
      <c r="X118" s="184" t="inlineStr">
        <is>
          <t>Web Service</t>
        </is>
      </c>
      <c r="Y118" s="184" t="inlineStr">
        <is>
          <t>Harian</t>
        </is>
      </c>
      <c r="Z118" s="184" t="inlineStr">
        <is>
          <t>Bidang P3BP (Pengembangan Perdagangan dan Pengendalian Barang Pokok dan penting)</t>
        </is>
      </c>
      <c r="AA118" s="184" t="inlineStr">
        <is>
          <t>Disperdagin</t>
        </is>
      </c>
      <c r="AB118" s="178" t="inlineStr">
        <is>
          <t>Elisa Yuniangsih</t>
        </is>
      </c>
      <c r="AC118" s="178" t="n">
        <v>82318055276</v>
      </c>
      <c r="AD118" s="178" t="inlineStr">
        <is>
          <t>eliasyuniangsih076@gmail.com</t>
        </is>
      </c>
      <c r="AE118" s="288" t="n"/>
      <c r="AF118" s="288" t="n"/>
      <c r="AG118" s="284" t="n"/>
      <c r="AH118" s="284" t="n"/>
      <c r="AI118" s="284" t="n"/>
      <c r="AJ118" s="284" t="n"/>
      <c r="AK118" s="284" t="n"/>
      <c r="AL118" s="284" t="n"/>
      <c r="AM118" s="284" t="n"/>
      <c r="AN118" s="284" t="n"/>
      <c r="AO118" s="284" t="n"/>
      <c r="AP118" s="284" t="n"/>
      <c r="AQ118" s="284" t="n"/>
      <c r="AR118" s="284" t="n"/>
    </row>
    <row r="119" hidden="1" s="346">
      <c r="A119" s="62" t="n">
        <v>117</v>
      </c>
      <c r="B119" s="178" t="inlineStr">
        <is>
          <t>eSKA (Elektronik Surat Keterangan Asal)</t>
        </is>
      </c>
      <c r="C119" s="178" t="inlineStr">
        <is>
          <t>Layanan eSKA adalah merupakan sertifikasi asal barang, dimana dinyatakan dalam sertifikat tersebut bahwa barang/ komoditas yang diekspor adalah berasal dari daerah/negara pengekspor. Mendasari hal ini adalah kesepakatan Bilateral, Regional, Multilateral, Unilateral, atau Karena Ketentuan sepihak dari suatu negara pengimpor/ tujuan, yang mewajibkan SKA ini disertakan pada barang ekspor Indonesia. SKA ini yang membuktikan bahwa barang tersebut berasal, dihasilkan dan atau diolah di Indonesia.</t>
        </is>
      </c>
      <c r="D119" s="178" t="inlineStr">
        <is>
          <t>Keppermendag RI No. 1495 Tahun 2024 Tentang Penetapan Instansi Penerbit SKA. Permendag RI No. 39 Tahun 2020 Tentang Perubahan Ketiga atas Permendag No.24 Tahun 2018 Tentang Ketentuan dan Tata Cara Penerbitan SKA untuk Barang Asal Indonsia</t>
        </is>
      </c>
      <c r="E119" s="70" t="inlineStr">
        <is>
          <t>SOP SKA.pdf</t>
        </is>
      </c>
      <c r="F119" s="184" t="inlineStr">
        <is>
          <t>PENGUATAN PERDAGANGAN LUAR NEGERI</t>
        </is>
      </c>
      <c r="G119" s="184" t="inlineStr">
        <is>
          <t>Pelaku Bisnis</t>
        </is>
      </c>
      <c r="H119" s="184" t="inlineStr">
        <is>
          <t>Data Invoice, Packing List, PEB, NPE, dan BL atau AWB</t>
        </is>
      </c>
      <c r="I119" s="178" t="inlineStr">
        <is>
          <t>Data Ekspor</t>
        </is>
      </c>
      <c r="J119" s="184" t="inlineStr">
        <is>
          <t>Terbatas</t>
        </is>
      </c>
      <c r="K119" s="184" t="inlineStr">
        <is>
          <t>Terdapat</t>
        </is>
      </c>
      <c r="L119" s="184" t="inlineStr">
        <is>
          <t>Harian</t>
        </is>
      </c>
      <c r="M119" s="184" t="inlineStr">
        <is>
          <t>eSKA</t>
        </is>
      </c>
      <c r="N119" s="184" t="inlineStr">
        <is>
          <t>Pusat</t>
        </is>
      </c>
      <c r="O119" s="184" t="inlineStr">
        <is>
          <t>Pusat</t>
        </is>
      </c>
      <c r="P119" s="184" t="inlineStr">
        <is>
          <t>Website dan Mobile</t>
        </is>
      </c>
      <c r="Q119" s="70" t="inlineStr">
        <is>
          <t>ska.kemendag.go.id</t>
        </is>
      </c>
      <c r="R119" s="184" t="inlineStr">
        <is>
          <t>Secara Online</t>
        </is>
      </c>
      <c r="S119" s="184" t="inlineStr">
        <is>
          <t>Informasi</t>
        </is>
      </c>
      <c r="T119" s="98" t="n">
        <v>2012</v>
      </c>
      <c r="U119" s="184" t="inlineStr">
        <is>
          <t>Aktif</t>
        </is>
      </c>
      <c r="V119" s="184" t="inlineStr">
        <is>
          <t>Ya</t>
        </is>
      </c>
      <c r="W119" s="184" t="inlineStr">
        <is>
          <t>OSS, BI, Kemendag, Kantor IPSKA, Bea Cukai, Perusahaan, Buyer, dan Custom Luar Negeri</t>
        </is>
      </c>
      <c r="X119" s="184" t="inlineStr">
        <is>
          <t>Database to Database</t>
        </is>
      </c>
      <c r="Y119" s="184" t="inlineStr">
        <is>
          <t>Harian</t>
        </is>
      </c>
      <c r="Z119" s="184" t="inlineStr">
        <is>
          <t>Bidang P3BP (Pengembangan Perdagangan dan Pengendalian Barang Pokok dan penting)</t>
        </is>
      </c>
      <c r="AA119" s="184" t="inlineStr">
        <is>
          <t>Disperdagin</t>
        </is>
      </c>
      <c r="AB119" s="178" t="inlineStr">
        <is>
          <t>Didi Kusdiaman, S.E</t>
        </is>
      </c>
      <c r="AC119" s="178" t="n">
        <v>8122495695</v>
      </c>
      <c r="AD119" s="178" t="inlineStr">
        <is>
          <t>soreang.daglu@gmail.com</t>
        </is>
      </c>
      <c r="AE119" s="288" t="n"/>
      <c r="AF119" s="288" t="n"/>
      <c r="AG119" s="284" t="n"/>
      <c r="AH119" s="284" t="n"/>
      <c r="AI119" s="284" t="n"/>
      <c r="AJ119" s="284" t="n"/>
      <c r="AK119" s="284" t="n"/>
      <c r="AL119" s="284" t="n"/>
      <c r="AM119" s="284" t="n"/>
      <c r="AN119" s="284" t="n"/>
      <c r="AO119" s="284" t="n"/>
      <c r="AP119" s="284" t="n"/>
      <c r="AQ119" s="284" t="n"/>
      <c r="AR119" s="284" t="n"/>
    </row>
    <row r="120">
      <c r="A120" s="62" t="n">
        <v>118</v>
      </c>
      <c r="B120" s="178" t="inlineStr">
        <is>
          <t>Pelayanan Tera/Tera Ulang</t>
        </is>
      </c>
      <c r="C120" s="178" t="inlineStr">
        <is>
          <t>Memastikan kebenaran pengukuran dari alat ukur, takar, timbang dan perlengkapannya (UTTP) yang berada di wilayah Kabupaten Bandung</t>
        </is>
      </c>
      <c r="D120" s="178" t="inlineStr">
        <is>
          <t>Undang -Undang Nomor 2 Tahun 1981 tentang Metrologi Legal;</t>
        </is>
      </c>
      <c r="E120" s="70" t="inlineStr">
        <is>
          <t>SOP Pelayanan Kantor.xlsx</t>
        </is>
      </c>
      <c r="F120" s="184" t="inlineStr">
        <is>
          <t>PERLINDUNGAN KONSUMEN DAN TERTIB NIAGA</t>
        </is>
      </c>
      <c r="G120" s="184" t="inlineStr">
        <is>
          <t>Masyarakat</t>
        </is>
      </c>
      <c r="H120" s="184" t="inlineStr">
        <is>
          <t>Data Pemilik dan Alat UTTP</t>
        </is>
      </c>
      <c r="I120" s="178" t="inlineStr">
        <is>
          <t>Data Hasil Pelayanan Tera/Tera Ulang dan Surat Keterangan Hasil Pengujian</t>
        </is>
      </c>
      <c r="J120" s="184" t="inlineStr">
        <is>
          <t>Tertutup</t>
        </is>
      </c>
      <c r="K120" s="184" t="inlineStr">
        <is>
          <t>Terdapat</t>
        </is>
      </c>
      <c r="L120" s="184" t="inlineStr">
        <is>
          <t>Harian</t>
        </is>
      </c>
      <c r="M120" s="184" t="inlineStr">
        <is>
          <t>Google Formulir</t>
        </is>
      </c>
      <c r="N120" s="184" t="inlineStr">
        <is>
          <t>OPD</t>
        </is>
      </c>
      <c r="O120" s="184" t="inlineStr">
        <is>
          <t>Kab. Bandung</t>
        </is>
      </c>
      <c r="P120" s="184" t="inlineStr">
        <is>
          <t>Website dan Mobile</t>
        </is>
      </c>
      <c r="Q120" s="70" t="inlineStr">
        <is>
          <t>bit.ly/PendaftaranTTU2025</t>
        </is>
      </c>
      <c r="R120" s="184" t="inlineStr">
        <is>
          <t>Secara Online</t>
        </is>
      </c>
      <c r="S120" s="184" t="inlineStr">
        <is>
          <t>Informasi</t>
        </is>
      </c>
      <c r="T120" s="184" t="n">
        <v>2022</v>
      </c>
      <c r="U120" s="184" t="inlineStr">
        <is>
          <t>Aktif</t>
        </is>
      </c>
      <c r="V120" s="184" t="inlineStr">
        <is>
          <t>Tidak</t>
        </is>
      </c>
      <c r="W120" s="288" t="n"/>
      <c r="X120" s="184" t="inlineStr">
        <is>
          <t>Tidak Terintegrasi</t>
        </is>
      </c>
      <c r="Y120" s="184" t="inlineStr">
        <is>
          <t>Tidak Terintegrasi</t>
        </is>
      </c>
      <c r="Z120" s="184" t="inlineStr">
        <is>
          <t>UPTD Metrologi Legal</t>
        </is>
      </c>
      <c r="AA120" s="184" t="inlineStr">
        <is>
          <t>Disperdagin</t>
        </is>
      </c>
      <c r="AB120" s="131" t="inlineStr">
        <is>
          <t>Fatihatul Aulia, S.Si</t>
        </is>
      </c>
      <c r="AC120" s="184" t="n">
        <v>82384797299</v>
      </c>
      <c r="AD120" s="184" t="inlineStr">
        <is>
          <t>fatihatulaaulia@gmail.com</t>
        </is>
      </c>
      <c r="AE120" s="288" t="n"/>
      <c r="AF120" s="288" t="n"/>
      <c r="AG120" s="284" t="n"/>
      <c r="AH120" s="284" t="n"/>
      <c r="AI120" s="284" t="n"/>
      <c r="AJ120" s="284" t="n"/>
      <c r="AK120" s="284" t="n"/>
      <c r="AL120" s="284" t="n"/>
      <c r="AM120" s="284" t="n"/>
      <c r="AN120" s="284" t="n"/>
      <c r="AO120" s="284" t="n"/>
      <c r="AP120" s="284" t="n"/>
      <c r="AQ120" s="284" t="n"/>
      <c r="AR120" s="284" t="n"/>
    </row>
    <row r="121" hidden="1" s="346">
      <c r="A121" s="62" t="n">
        <v>119</v>
      </c>
      <c r="B121" s="178" t="inlineStr">
        <is>
          <t>Sistem Informasi Industri Nasional</t>
        </is>
      </c>
      <c r="C121" s="178" t="inlineStr">
        <is>
          <t>platform digital untuk mengumpulkan, mengelola, dan menyediakan data serta informasi tentang industri nasional</t>
        </is>
      </c>
      <c r="D121" s="178" t="inlineStr">
        <is>
          <t>Undang-Undang Nomor 3 Tahun 2014 tentang Perindustrian</t>
        </is>
      </c>
      <c r="E121" s="70" t="inlineStr">
        <is>
          <t>alur pelaporan siinas.pdf</t>
        </is>
      </c>
      <c r="F121" s="184" t="inlineStr">
        <is>
          <t>PENINGKATAN DAYA SAING DAN KEMANDIRIAN INDUSTRI</t>
        </is>
      </c>
      <c r="G121" s="184" t="inlineStr">
        <is>
          <t>Pelaku Bisnis</t>
        </is>
      </c>
      <c r="H121" s="184" t="inlineStr">
        <is>
          <t>Data perusahaan
 Laporan tahap pembangunan industri
 Laporan tahap produks</t>
        </is>
      </c>
      <c r="I121" s="178" t="inlineStr">
        <is>
          <t>Data industri</t>
        </is>
      </c>
      <c r="J121" s="184" t="inlineStr">
        <is>
          <t>Tertutup</t>
        </is>
      </c>
      <c r="K121" s="184" t="inlineStr">
        <is>
          <t>Terdapat</t>
        </is>
      </c>
      <c r="L121" s="184" t="inlineStr">
        <is>
          <t>Harian</t>
        </is>
      </c>
      <c r="M121" s="184" t="inlineStr">
        <is>
          <t>SIINas</t>
        </is>
      </c>
      <c r="N121" s="184" t="inlineStr">
        <is>
          <t>Pusat</t>
        </is>
      </c>
      <c r="O121" s="184" t="inlineStr">
        <is>
          <t>Pusat</t>
        </is>
      </c>
      <c r="P121" s="184" t="inlineStr">
        <is>
          <t>Website</t>
        </is>
      </c>
      <c r="Q121" s="70" t="inlineStr">
        <is>
          <t>https://siinas.kemenperin.go.id</t>
        </is>
      </c>
      <c r="R121" s="184" t="inlineStr">
        <is>
          <t>Secara Online</t>
        </is>
      </c>
      <c r="S121" s="184" t="inlineStr">
        <is>
          <t>Transaksi</t>
        </is>
      </c>
      <c r="T121" s="98" t="n">
        <v>2018</v>
      </c>
      <c r="U121" s="184" t="inlineStr">
        <is>
          <t>Aktif</t>
        </is>
      </c>
      <c r="V121" s="184" t="inlineStr">
        <is>
          <t>Tidak</t>
        </is>
      </c>
      <c r="W121" s="184" t="inlineStr">
        <is>
          <t>-</t>
        </is>
      </c>
      <c r="X121" s="184" t="inlineStr">
        <is>
          <t>Tidak Terintegrasi</t>
        </is>
      </c>
      <c r="Y121" s="184" t="inlineStr">
        <is>
          <t>Tidak Terintegrasi</t>
        </is>
      </c>
      <c r="Z121" s="184" t="inlineStr">
        <is>
          <t>Bidang Pengawasan dan Kerjasama Industri</t>
        </is>
      </c>
      <c r="AA121" s="184" t="inlineStr">
        <is>
          <t>Disperdagin</t>
        </is>
      </c>
      <c r="AB121" s="178" t="inlineStr">
        <is>
          <t>Dadang P Permana, SE</t>
        </is>
      </c>
      <c r="AC121" s="178" t="inlineStr">
        <is>
          <t>0823-1226-2303</t>
        </is>
      </c>
      <c r="AD121" s="178" t="inlineStr">
        <is>
          <t>Pdkiindagkabbdg@gmail.com</t>
        </is>
      </c>
      <c r="AE121" s="288" t="n"/>
      <c r="AF121" s="288" t="n"/>
      <c r="AG121" s="284" t="n"/>
      <c r="AH121" s="284" t="n"/>
      <c r="AI121" s="284" t="n"/>
      <c r="AJ121" s="284" t="n"/>
      <c r="AK121" s="284" t="n"/>
      <c r="AL121" s="284" t="n"/>
      <c r="AM121" s="284" t="n"/>
      <c r="AN121" s="284" t="n"/>
      <c r="AO121" s="284" t="n"/>
      <c r="AP121" s="284" t="n"/>
      <c r="AQ121" s="284" t="n"/>
      <c r="AR121" s="284" t="n"/>
    </row>
    <row r="122" hidden="1" s="346">
      <c r="A122" s="62" t="n">
        <v>120</v>
      </c>
      <c r="B122" s="178" t="inlineStr">
        <is>
          <t>Si Pintar Online (Sistem Penarikan Retribusi Pasar Secara Online)</t>
        </is>
      </c>
      <c r="C122" s="178" t="inlineStr">
        <is>
          <t>inovasi SI PINTAR ONLINE menciptakan sistem penarikan retribusi pasar yang terintegrasi, transparan, dan berbasis digital guna meningkatkan efisiensi pelayanan publik serta optimalisasi PAD Kabupaten Bandung. Melalui digitalisasi berbasis Mobile Point of Sale (MPOS) dan kanal pembayaran non tunai (QRIS, e-wallet, tapbrizi, virtual account), sistem ini memungkinkan transaksi real-time, akurat dan terdokumentasi otomatis.</t>
        </is>
      </c>
      <c r="D122" s="178" t="inlineStr">
        <is>
          <t>• Perda No. 10 Tahun 2023 tentang Pajak dan Retribusi Daerah,
 • Perda No. 10 Tahun 2022 tentang Penyelenggaraan Perdagangan dan Perindustrian
 • Perbup No. 97 Tahun 2024 tentang Pelaksanaan Perda Perdagangan,
 • Dukungan dalam RPJMD Kabupaten Bandung 2021–2026 dan Renstra Dokumen
 • SK Bupati Bandung tahun 2023 dan 2024 nomor : 050/Kep.955-Bapperida/2023 tentang penetapan Inovasi Perangkat Daerah Kabupaten Bandung 
 • SK Kepala Disperdagin Kab. Bandung Nomor : 511.2/Kep.065-SPD/2023 Tim Fasilitator Inovasi Daerah Sipintar Online</t>
        </is>
      </c>
      <c r="E122" s="70" t="inlineStr">
        <is>
          <t>SOP Eretribusi</t>
        </is>
      </c>
      <c r="F122" s="184" t="inlineStr">
        <is>
          <t>PENINGKATAN KUALITAS PELAYANAN PUBLIK</t>
        </is>
      </c>
      <c r="G122" s="184" t="inlineStr">
        <is>
          <t>Pelaku Bisnis</t>
        </is>
      </c>
      <c r="H122" s="184" t="inlineStr">
        <is>
          <t>Data Wajib Retribusi</t>
        </is>
      </c>
      <c r="I122" s="178" t="inlineStr">
        <is>
          <t>Laporan Penerimaan Pendapatan Asli Daerah (PAD)</t>
        </is>
      </c>
      <c r="J122" s="184" t="inlineStr">
        <is>
          <t>Tertutup</t>
        </is>
      </c>
      <c r="K122" s="184" t="inlineStr">
        <is>
          <t>Terdapat</t>
        </is>
      </c>
      <c r="L122" s="184" t="inlineStr">
        <is>
          <t>Harian</t>
        </is>
      </c>
      <c r="M122" s="131" t="inlineStr">
        <is>
          <t>sipintar online</t>
        </is>
      </c>
      <c r="N122" s="184" t="inlineStr">
        <is>
          <t>Diskominfo</t>
        </is>
      </c>
      <c r="O122" s="184" t="inlineStr">
        <is>
          <t>Kab. Bandung</t>
        </is>
      </c>
      <c r="P122" s="184" t="inlineStr">
        <is>
          <t>Website dan Mobile</t>
        </is>
      </c>
      <c r="Q122" s="70" t="inlineStr">
        <is>
          <t>https://sipintaronline.bandungkab.go.id/login</t>
        </is>
      </c>
      <c r="R122" s="184" t="inlineStr">
        <is>
          <t>Secara Online</t>
        </is>
      </c>
      <c r="S122" s="184" t="inlineStr">
        <is>
          <t>Transaksi</t>
        </is>
      </c>
      <c r="T122" s="184" t="n">
        <v>2022</v>
      </c>
      <c r="U122" s="184" t="inlineStr">
        <is>
          <t>Aktif</t>
        </is>
      </c>
      <c r="V122" s="184" t="inlineStr">
        <is>
          <t>Tidak</t>
        </is>
      </c>
      <c r="W122" s="184" t="inlineStr">
        <is>
          <t>Tidak Terintegrasi</t>
        </is>
      </c>
      <c r="X122" s="184" t="inlineStr">
        <is>
          <t>Tidak Terintegrasi</t>
        </is>
      </c>
      <c r="Y122" s="184" t="inlineStr">
        <is>
          <t>Tidak Terintegrasi</t>
        </is>
      </c>
      <c r="Z122" s="184" t="inlineStr">
        <is>
          <t>Bidang Sarana dan Pelaku Distribusi</t>
        </is>
      </c>
      <c r="AA122" s="184" t="inlineStr">
        <is>
          <t>Disperdagin</t>
        </is>
      </c>
      <c r="AB122" s="178" t="inlineStr">
        <is>
          <t>Cepi Hendi Sonjaya, SE., MM</t>
        </is>
      </c>
      <c r="AC122" s="178" t="n">
        <v>82117525952</v>
      </c>
      <c r="AD122" s="178" t="inlineStr">
        <is>
          <t>cepimeker@gmail.com</t>
        </is>
      </c>
      <c r="AE122" s="184" t="inlineStr">
        <is>
          <t>1. Penguatan Tata Kelola Pemerintahan yang Transparan dan Akuntabel, 
 2. Optimalisasi peningkatan Pendapatan Asli Daerah (PAD), dan 
 3. Digitalisasi pelayanan publik berbasis elektronik</t>
        </is>
      </c>
      <c r="AF122" s="68" t="inlineStr">
        <is>
          <t>Harian</t>
        </is>
      </c>
      <c r="AG122" s="284" t="n"/>
      <c r="AH122" s="284" t="n"/>
      <c r="AI122" s="284" t="n"/>
      <c r="AJ122" s="284" t="n"/>
      <c r="AK122" s="284" t="n"/>
      <c r="AL122" s="284" t="n"/>
      <c r="AM122" s="284" t="n"/>
      <c r="AN122" s="284" t="n"/>
      <c r="AO122" s="284" t="n"/>
      <c r="AP122" s="284" t="n"/>
      <c r="AQ122" s="284" t="n"/>
      <c r="AR122" s="284" t="n"/>
    </row>
    <row r="123" hidden="1" s="346">
      <c r="A123" s="62" t="n">
        <v>121</v>
      </c>
      <c r="B123" s="183" t="n"/>
      <c r="C123" s="183" t="n"/>
      <c r="D123" s="200" t="n"/>
      <c r="E123" s="183" t="n"/>
      <c r="F123" s="184" t="n"/>
      <c r="G123" s="184" t="n"/>
      <c r="H123" s="184" t="n"/>
      <c r="I123" s="183" t="n"/>
      <c r="J123" s="184" t="n"/>
      <c r="K123" s="184" t="n"/>
      <c r="L123" s="184" t="n"/>
      <c r="M123" s="184" t="inlineStr">
        <is>
          <t>SPP-IRT-Badan POM</t>
        </is>
      </c>
      <c r="N123" s="184" t="inlineStr">
        <is>
          <t>Pusat</t>
        </is>
      </c>
      <c r="O123" s="184" t="inlineStr">
        <is>
          <t>Pusat</t>
        </is>
      </c>
      <c r="P123" s="184" t="inlineStr">
        <is>
          <t>Website</t>
        </is>
      </c>
      <c r="Q123" s="70" t="inlineStr">
        <is>
          <t>https://sppirt.pom.go.id/</t>
        </is>
      </c>
      <c r="R123" s="184" t="inlineStr">
        <is>
          <t>Secara Online</t>
        </is>
      </c>
      <c r="S123" s="184" t="inlineStr">
        <is>
          <t>Informasi</t>
        </is>
      </c>
      <c r="T123" s="184" t="inlineStr">
        <is>
          <t>OSS : 2018
 SPP-IPR - Badan POM : 2021
 DGIP : 2019</t>
        </is>
      </c>
      <c r="U123" s="184" t="inlineStr">
        <is>
          <t>Aktif</t>
        </is>
      </c>
      <c r="V123" s="184" t="inlineStr">
        <is>
          <t>Tidak</t>
        </is>
      </c>
      <c r="W123" s="184" t="inlineStr">
        <is>
          <t>Tidak Terintegrasi</t>
        </is>
      </c>
      <c r="X123" s="184" t="inlineStr">
        <is>
          <t>Tidak Terintegrasi</t>
        </is>
      </c>
      <c r="Y123" s="184" t="inlineStr">
        <is>
          <t>Tidak Terintegrasi</t>
        </is>
      </c>
      <c r="Z123" s="184" t="n"/>
      <c r="AA123" s="184" t="n"/>
      <c r="AB123" s="184" t="n"/>
      <c r="AC123" s="184" t="n"/>
      <c r="AD123" s="184" t="n"/>
      <c r="AE123" s="288" t="n"/>
      <c r="AF123" s="288" t="n"/>
      <c r="AG123" s="284" t="n"/>
      <c r="AH123" s="284" t="n"/>
      <c r="AI123" s="284" t="n"/>
      <c r="AJ123" s="284" t="n"/>
      <c r="AK123" s="284" t="n"/>
      <c r="AL123" s="284" t="n"/>
      <c r="AM123" s="284" t="n"/>
      <c r="AN123" s="284" t="n"/>
      <c r="AO123" s="284" t="n"/>
      <c r="AP123" s="284" t="n"/>
      <c r="AQ123" s="284" t="n"/>
      <c r="AR123" s="284" t="n"/>
    </row>
    <row r="124" hidden="1" s="346">
      <c r="A124" s="62" t="n">
        <v>122</v>
      </c>
      <c r="B124" s="183" t="n"/>
      <c r="C124" s="183" t="n"/>
      <c r="D124" s="200" t="n"/>
      <c r="E124" s="183" t="n"/>
      <c r="F124" s="184" t="n"/>
      <c r="G124" s="184" t="n"/>
      <c r="H124" s="184" t="n"/>
      <c r="I124" s="183" t="n"/>
      <c r="J124" s="184" t="n"/>
      <c r="K124" s="184" t="n"/>
      <c r="L124" s="184" t="n"/>
      <c r="M124" s="184" t="inlineStr">
        <is>
          <t>DGIP</t>
        </is>
      </c>
      <c r="N124" s="184" t="inlineStr">
        <is>
          <t>Pusat</t>
        </is>
      </c>
      <c r="O124" s="184" t="inlineStr">
        <is>
          <t>Pusat</t>
        </is>
      </c>
      <c r="P124" s="184" t="inlineStr">
        <is>
          <t>Website</t>
        </is>
      </c>
      <c r="Q124" s="70" t="inlineStr">
        <is>
          <t>https://www.dgip.go.id/</t>
        </is>
      </c>
      <c r="R124" s="184" t="inlineStr">
        <is>
          <t>Secara Online</t>
        </is>
      </c>
      <c r="S124" s="184" t="inlineStr">
        <is>
          <t>Informasi</t>
        </is>
      </c>
      <c r="T124" s="184" t="inlineStr">
        <is>
          <t>OSS : 2018
 SPP-IPR - Badan POM : 2021
 DGIP : 2019</t>
        </is>
      </c>
      <c r="U124" s="184" t="inlineStr">
        <is>
          <t>Aktif</t>
        </is>
      </c>
      <c r="V124" s="184" t="inlineStr">
        <is>
          <t>Tidak</t>
        </is>
      </c>
      <c r="W124" s="184" t="inlineStr">
        <is>
          <t>Tidak Terintegrasi</t>
        </is>
      </c>
      <c r="X124" s="184" t="inlineStr">
        <is>
          <t>Tidak Terintegrasi</t>
        </is>
      </c>
      <c r="Y124" s="184" t="inlineStr">
        <is>
          <t>Tidak Terintegrasi</t>
        </is>
      </c>
      <c r="Z124" s="184" t="n"/>
      <c r="AA124" s="184" t="n"/>
      <c r="AB124" s="184" t="n"/>
      <c r="AC124" s="184" t="n"/>
      <c r="AD124" s="184" t="n"/>
      <c r="AE124" s="288" t="n"/>
      <c r="AF124" s="288" t="n"/>
      <c r="AG124" s="284" t="n"/>
      <c r="AH124" s="284" t="n"/>
      <c r="AI124" s="284" t="n"/>
      <c r="AJ124" s="284" t="n"/>
      <c r="AK124" s="284" t="n"/>
      <c r="AL124" s="284" t="n"/>
      <c r="AM124" s="284" t="n"/>
      <c r="AN124" s="284" t="n"/>
      <c r="AO124" s="284" t="n"/>
      <c r="AP124" s="284" t="n"/>
      <c r="AQ124" s="284" t="n"/>
      <c r="AR124" s="284" t="n"/>
    </row>
    <row r="125" hidden="1" s="346">
      <c r="A125" s="62" t="n">
        <v>123</v>
      </c>
      <c r="B125" s="178" t="inlineStr">
        <is>
          <t>Galeri Kriya Bedas</t>
        </is>
      </c>
      <c r="C125" s="178" t="inlineStr">
        <is>
          <t>Galeri Kriya Bedas merupakan pusat pelayanan dan promosi untuk para pelaku usaha di Kabupaten Bandung, yang dinaungi oleh Dinas Perdagangan dan Perindustrian Kabupaten Bandung. 
 Tujuannya dapat membantu para pelaku usaha di wilayah Kabupaten Bandung mulai dari legalitas hingga promosi pemasaran.</t>
        </is>
      </c>
      <c r="D125" s="76" t="inlineStr">
        <is>
          <t>1. Undang-Undang Nomor 3 Tahun 2014 tentang Perindustrian
 2. Undang-Undang Nomor 6 Tahun 2023 tentang Penetapan Peraturan Pemerintah 
 3. Peraturan Badan Pengawas Obat dan Makanan (BPOM) Nomor 4 Tahun 2024 tentang Pedoman Penerbitan Sertifikat Pemenuhan Komitmen Produksi Pangan Olahan Industri Rumah Tangga
 4. Undang-Undang Nomor 18 Tahun 2012 tentang Pangan dan Undang-Undang tentang Cipta Kerja
 5. Peraturan Daerah (Perda) Kabupaten Bandung Nomor 10 Tahun 2022 tentang Penyelenggaraan Perdagangan Dan Perindustrian</t>
        </is>
      </c>
      <c r="E125" s="70" t="inlineStr">
        <is>
          <t>SOP Galeri Kriya Bedas</t>
        </is>
      </c>
      <c r="F125" s="184" t="inlineStr">
        <is>
          <t>PENINGKATAN KUALITAS PELAYANAN PUBLIK</t>
        </is>
      </c>
      <c r="G125" s="184" t="inlineStr">
        <is>
          <t>Pelaku Bisnis</t>
        </is>
      </c>
      <c r="H125" s="184" t="inlineStr">
        <is>
          <t>Data Pelaku Usaha / IKM</t>
        </is>
      </c>
      <c r="I125" s="178" t="inlineStr">
        <is>
          <t>Sertifikat Legalitas, Data IKM</t>
        </is>
      </c>
      <c r="J125" s="184" t="inlineStr">
        <is>
          <t>Tertutup</t>
        </is>
      </c>
      <c r="K125" s="184" t="inlineStr">
        <is>
          <t>Terdapat</t>
        </is>
      </c>
      <c r="L125" s="184" t="inlineStr">
        <is>
          <t>Harian</t>
        </is>
      </c>
      <c r="M125" s="184" t="inlineStr">
        <is>
          <t>Google Formulir</t>
        </is>
      </c>
      <c r="N125" s="184" t="inlineStr">
        <is>
          <t>Pusat</t>
        </is>
      </c>
      <c r="O125" s="184" t="inlineStr">
        <is>
          <t>Pusat</t>
        </is>
      </c>
      <c r="P125" s="184" t="inlineStr">
        <is>
          <t>Website</t>
        </is>
      </c>
      <c r="Q125" s="178" t="inlineStr">
        <is>
          <t>https://bit.ly/eFormPembuatanNIB
 https://bit.ly/FormPengajuanPIRT
 https://bit.ly/HKImerek2025
 https://bit.ly/ujinutrisidanumursimpan2025
 https://bit.ly/FasilitasiHALAL2025</t>
        </is>
      </c>
      <c r="R125" s="184" t="inlineStr">
        <is>
          <t>Secara Online</t>
        </is>
      </c>
      <c r="S125" s="184" t="inlineStr">
        <is>
          <t>Informasi</t>
        </is>
      </c>
      <c r="T125" s="184" t="inlineStr">
        <is>
          <t>OSS : 2018
 SPP-IPR - Badan POM : 2021
 DGIP : 2019</t>
        </is>
      </c>
      <c r="U125" s="184" t="inlineStr">
        <is>
          <t>Aktif</t>
        </is>
      </c>
      <c r="V125" s="184" t="inlineStr">
        <is>
          <t>Tidak</t>
        </is>
      </c>
      <c r="W125" s="184" t="inlineStr">
        <is>
          <t>Tidak Terintegrasi</t>
        </is>
      </c>
      <c r="X125" s="184" t="inlineStr">
        <is>
          <t>Tidak Terintegrasi</t>
        </is>
      </c>
      <c r="Y125" s="184" t="inlineStr">
        <is>
          <t>Tidak Terintegrasi</t>
        </is>
      </c>
      <c r="Z125" s="184" t="inlineStr">
        <is>
          <t>Bidang Pembangunan dan Pemberdayaan Industri</t>
        </is>
      </c>
      <c r="AA125" s="184" t="inlineStr">
        <is>
          <t>Disperdagin</t>
        </is>
      </c>
      <c r="AB125" s="184" t="inlineStr">
        <is>
          <t>Maya Kusumadewi, ST</t>
        </is>
      </c>
      <c r="AC125" s="184" t="n">
        <v>81320513721</v>
      </c>
      <c r="AD125" s="184" t="inlineStr">
        <is>
          <t>galerikriyabedas.kabbdg@gmail.com</t>
        </is>
      </c>
      <c r="AE125" s="288" t="n"/>
      <c r="AF125" s="288" t="n"/>
      <c r="AG125" s="284" t="n"/>
      <c r="AH125" s="284" t="n"/>
      <c r="AI125" s="284" t="n"/>
      <c r="AJ125" s="284" t="n"/>
      <c r="AK125" s="284" t="n"/>
      <c r="AL125" s="284" t="n"/>
      <c r="AM125" s="284" t="n"/>
      <c r="AN125" s="284" t="n"/>
      <c r="AO125" s="284" t="n"/>
      <c r="AP125" s="284" t="n"/>
      <c r="AQ125" s="284" t="n"/>
      <c r="AR125" s="284" t="n"/>
    </row>
    <row r="126">
      <c r="A126" s="62" t="n">
        <v>124</v>
      </c>
      <c r="B126" s="178" t="inlineStr">
        <is>
          <t>Rumah Kemasan</t>
        </is>
      </c>
      <c r="C126" s="178" t="inlineStr">
        <is>
          <t>1) Peningkatan Kualitas dan Standarisasi Kemasan IKM
 a) Memberikan layanan desain kemasan yang menarik, fungsional, dan sesuai dengan trend pasar.
 b) Membantu IKM dalam memenuhi standar kemasan yang sesuai dengan peraturan perundangan-undangan yang berlaku.
 2) Optimalisasi Layanan Kemasan
 a) Memfasilitasi layanan pencetakan dan produksi kemasan bagi IKM yang belum memiliki akses ke pihak ketiga yang bekerja sama dengan dinas.
 b) Menyediakan konsultasi bagi IKM mengenai kemasan, strategi pencitraan merek (branding) dan pemasaran berbasis kemasan.
 3) Meningkatkan Daya Saing Produk IKM Kabupaten Bandung
 a) Membantu IKM dalam meningkatkan pencitraan merek (branding) produk melalui kemasan yang profesional.
 b) Mendorong produk IKM Kabupaten Bandung agar lebih kompetitif di pasar nasional maupun internasional.</t>
        </is>
      </c>
      <c r="D126" s="178" t="inlineStr">
        <is>
          <t>1) PerBPOM No. 6 Tahun 2024 tentang Perubahan Kedua atas PerBPOM No. 31 Tahun 2018 tentang Label Pangan Olahan
 2) Peraturan Daerah (Perda) Kabupaten Bandung Nomor 10 Tahun 2022 tentang Penyelenggaraan Perdagangan Dan Perindustrian
 3) Peraturan Menteri Perindustrian No. 6 Tahun 2025 tentang Pemberlakuan Standar Nasional Indonesia untuk Kertas dan Karton sebagai Bahan Baku Pembuatan Kemasan Primer untuk Pangan secara Wajib
 4) PERATURAN KEPALA BADAN PENGAWAS OBAT DAN MAKANAN REPUBLIK INDONESIA NOMOR : HK 00.05.55.6497 20 Agustus Tahun 2007 TENTANG BAHAN KEMASAN PANGAN</t>
        </is>
      </c>
      <c r="E126" s="70" t="inlineStr">
        <is>
          <t>SOP Rumah Kemasan</t>
        </is>
      </c>
      <c r="F126" s="184" t="inlineStr">
        <is>
          <t>PENINGKATAN KUALITAS PELAYANAN PUBLIK</t>
        </is>
      </c>
      <c r="G126" s="184" t="inlineStr">
        <is>
          <t>Pelaku Bisnis</t>
        </is>
      </c>
      <c r="H126" s="184" t="inlineStr">
        <is>
          <t>Data Pelaku Usaha / IKM</t>
        </is>
      </c>
      <c r="I126" s="178" t="inlineStr">
        <is>
          <t>Hasil Desain Kemasan, Logo</t>
        </is>
      </c>
      <c r="J126" s="184" t="inlineStr">
        <is>
          <t>Tertutup</t>
        </is>
      </c>
      <c r="K126" s="184" t="inlineStr">
        <is>
          <t>Terdapat</t>
        </is>
      </c>
      <c r="L126" s="184" t="inlineStr">
        <is>
          <t>Harian</t>
        </is>
      </c>
      <c r="M126" s="290" t="inlineStr">
        <is>
          <t>Google Formulir</t>
        </is>
      </c>
      <c r="N126" s="184" t="inlineStr">
        <is>
          <t>OPD</t>
        </is>
      </c>
      <c r="O126" s="184" t="inlineStr">
        <is>
          <t>Kab. Bandung</t>
        </is>
      </c>
      <c r="P126" s="184" t="inlineStr">
        <is>
          <t>Website</t>
        </is>
      </c>
      <c r="Q126" s="70" t="inlineStr">
        <is>
          <t>https://bit.ly/e-Form_KlinikKemasan</t>
        </is>
      </c>
      <c r="R126" s="184" t="inlineStr">
        <is>
          <t>Secara Online</t>
        </is>
      </c>
      <c r="S126" s="184" t="inlineStr">
        <is>
          <t>Informasi</t>
        </is>
      </c>
      <c r="T126" s="98" t="n">
        <v>2020</v>
      </c>
      <c r="U126" s="184" t="inlineStr">
        <is>
          <t>Aktif</t>
        </is>
      </c>
      <c r="V126" s="184" t="inlineStr">
        <is>
          <t>Tidak</t>
        </is>
      </c>
      <c r="W126" s="184" t="inlineStr">
        <is>
          <t>Tidak Terintegrasi</t>
        </is>
      </c>
      <c r="X126" s="184" t="inlineStr">
        <is>
          <t>Tidak Terintegrasi</t>
        </is>
      </c>
      <c r="Y126" s="184" t="inlineStr">
        <is>
          <t>Tidak Terintegrasi</t>
        </is>
      </c>
      <c r="Z126" s="184" t="inlineStr">
        <is>
          <t>Bidang Pembangunan dan Pemberdayaan Industri</t>
        </is>
      </c>
      <c r="AA126" s="184" t="inlineStr">
        <is>
          <t>Disperdagin</t>
        </is>
      </c>
      <c r="AB126" s="178" t="inlineStr">
        <is>
          <t>Maya Kusumadewi, ST</t>
        </is>
      </c>
      <c r="AC126" s="178" t="n">
        <v>81320513721</v>
      </c>
      <c r="AD126" s="178" t="inlineStr">
        <is>
          <t>klinikkemasan.kabbdg@gmail.com</t>
        </is>
      </c>
      <c r="AE126" s="288" t="n"/>
      <c r="AF126" s="288" t="n"/>
      <c r="AG126" s="284" t="n"/>
      <c r="AH126" s="284" t="n"/>
      <c r="AI126" s="284" t="n"/>
      <c r="AJ126" s="284" t="n"/>
      <c r="AK126" s="284" t="n"/>
      <c r="AL126" s="284" t="n"/>
      <c r="AM126" s="284" t="n"/>
      <c r="AN126" s="284" t="n"/>
      <c r="AO126" s="284" t="n"/>
      <c r="AP126" s="284" t="n"/>
      <c r="AQ126" s="284" t="n"/>
      <c r="AR126" s="284" t="n"/>
    </row>
    <row r="127" hidden="1" s="346">
      <c r="A127" s="62" t="n">
        <v>125</v>
      </c>
      <c r="B127" s="184" t="inlineStr">
        <is>
          <t>Aplikasi Layanan Guna Sertifikat Veteriner Online</t>
        </is>
      </c>
      <c r="C127" s="184" t="inlineStr">
        <is>
          <t>Layanan penerbitan surat keterangan kesehatan hewan atau produk hewan.</t>
        </is>
      </c>
      <c r="D127" s="184" t="inlineStr">
        <is>
          <t>Peraturan Menteri Pertanian Republik Indonesia Nomor 11 Tahun 2020 Tentang Sertifikasi Nomor Kontrol Veteriner Unit Usaha Produk Hewan</t>
        </is>
      </c>
      <c r="E127" s="131" t="inlineStr">
        <is>
          <t>https://docs.google.com/document/d/1c-7PUNKaiuUiy_admWwX1iClC1w9eJRB/edit?usp=sharing&amp;ouid=112536090230720318461&amp;rtpof=true&amp;sd=true</t>
        </is>
      </c>
      <c r="F127" s="184" t="inlineStr">
        <is>
          <t>PENGELOLAAN KESEHATAN MASYARAKAT VETERINER</t>
        </is>
      </c>
      <c r="G127" s="184" t="inlineStr">
        <is>
          <t>Masyarakat</t>
        </is>
      </c>
      <c r="H127" s="184" t="inlineStr">
        <is>
          <t>Data pemohon, data hewan atau produk hewan</t>
        </is>
      </c>
      <c r="I127" s="184" t="inlineStr">
        <is>
          <t>Data sertifikat veteriner</t>
        </is>
      </c>
      <c r="J127" s="184" t="inlineStr">
        <is>
          <t>Terbuka</t>
        </is>
      </c>
      <c r="K127" s="184" t="inlineStr">
        <is>
          <t>Terdapat</t>
        </is>
      </c>
      <c r="L127" s="184" t="inlineStr">
        <is>
          <t>Harian</t>
        </is>
      </c>
      <c r="M127" s="184" t="inlineStr">
        <is>
          <t>ANTERIN</t>
        </is>
      </c>
      <c r="N127" s="184" t="inlineStr">
        <is>
          <t>Diskominfo</t>
        </is>
      </c>
      <c r="O127" s="184" t="inlineStr">
        <is>
          <t>Kab. Bandung</t>
        </is>
      </c>
      <c r="P127" s="184" t="inlineStr">
        <is>
          <t>Website</t>
        </is>
      </c>
      <c r="Q127" s="131" t="inlineStr">
        <is>
          <t>https://anterin.bandungkab.go.id/</t>
        </is>
      </c>
      <c r="R127" s="184" t="inlineStr">
        <is>
          <t>Secara Online</t>
        </is>
      </c>
      <c r="S127" s="184" t="inlineStr">
        <is>
          <t>Informasi</t>
        </is>
      </c>
      <c r="T127" s="184" t="n">
        <v>2021</v>
      </c>
      <c r="U127" s="184" t="inlineStr">
        <is>
          <t>Aktif</t>
        </is>
      </c>
      <c r="V127" s="184" t="inlineStr">
        <is>
          <t>Tidak</t>
        </is>
      </c>
      <c r="W127" s="184" t="inlineStr">
        <is>
          <t>Tidak Terintegrasi</t>
        </is>
      </c>
      <c r="X127" s="184" t="inlineStr">
        <is>
          <t>Tidak Terintegrasi</t>
        </is>
      </c>
      <c r="Y127" s="184" t="inlineStr">
        <is>
          <t>Tidak Terintegrasi</t>
        </is>
      </c>
      <c r="Z127" s="184" t="inlineStr">
        <is>
          <t>Bidang Keswan Kesmavet</t>
        </is>
      </c>
      <c r="AA127" s="184" t="inlineStr">
        <is>
          <t>Distan</t>
        </is>
      </c>
      <c r="AB127" s="184" t="inlineStr">
        <is>
          <t>Maria</t>
        </is>
      </c>
      <c r="AC127" s="184" t="n">
        <v>81224510500</v>
      </c>
      <c r="AD127" s="288" t="n"/>
      <c r="AE127" s="288" t="n"/>
      <c r="AF127" s="68" t="inlineStr">
        <is>
          <t>Setiap Saat</t>
        </is>
      </c>
      <c r="AG127" s="186" t="inlineStr">
        <is>
          <t>Pelaku Bisnis / OPD /</t>
        </is>
      </c>
      <c r="AI127" s="284" t="n"/>
      <c r="AJ127" s="284" t="n"/>
      <c r="AK127" s="284" t="n"/>
      <c r="AL127" s="284" t="n"/>
      <c r="AM127" s="284" t="n"/>
      <c r="AN127" s="284" t="n"/>
      <c r="AO127" s="284" t="n"/>
      <c r="AP127" s="284" t="n"/>
      <c r="AQ127" s="284" t="n"/>
      <c r="AR127" s="284" t="n"/>
    </row>
    <row r="128" hidden="1" s="346">
      <c r="A128" s="62" t="n">
        <v>126</v>
      </c>
      <c r="B128" s="184" t="inlineStr">
        <is>
          <t>Pelayanan penerbitan surat keterangan kesehatan bahan asal hewan</t>
        </is>
      </c>
      <c r="C128" s="184" t="inlineStr">
        <is>
          <t>Menerbitkan dokumen resmi yang menyatakan bahan asal hewan layak dan sehat untuk diedarkan. Layanan ini memastikan keamanan distribusi produk hewan dan mencegah penyebaran penyakit.</t>
        </is>
      </c>
      <c r="D128" s="184" t="inlineStr">
        <is>
          <t>UU 18/2009; Permentan 17/2023</t>
        </is>
      </c>
      <c r="E128" s="131" t="inlineStr">
        <is>
          <t>https://docs.google.com/document/d/1c-7PUNKaiuUiy_admWwX1iClC1w9eJRB/edit?usp=sharing&amp;ouid=112536090230720318461&amp;rtpof=true&amp;sd=true</t>
        </is>
      </c>
      <c r="F128" s="184" t="inlineStr">
        <is>
          <t>PENGELOLAAN KESEHATAN MASYARAKAT VETERINER</t>
        </is>
      </c>
      <c r="G128" s="184" t="inlineStr">
        <is>
          <t>Masyarakat</t>
        </is>
      </c>
      <c r="H128" s="184" t="inlineStr">
        <is>
          <t>Data pemohon, data hewan/produk</t>
        </is>
      </c>
      <c r="I128" s="184" t="inlineStr">
        <is>
          <t>SKKH elektronik</t>
        </is>
      </c>
      <c r="J128" s="184" t="inlineStr">
        <is>
          <t>Tertutup</t>
        </is>
      </c>
      <c r="K128" s="184" t="inlineStr">
        <is>
          <t>Terdapat</t>
        </is>
      </c>
      <c r="L128" s="184" t="inlineStr">
        <is>
          <t>Harian</t>
        </is>
      </c>
      <c r="M128" s="184" t="inlineStr">
        <is>
          <t>iSIKHNAS</t>
        </is>
      </c>
      <c r="N128" s="184" t="inlineStr">
        <is>
          <t>Pusat</t>
        </is>
      </c>
      <c r="O128" s="184" t="inlineStr">
        <is>
          <t>Pusat</t>
        </is>
      </c>
      <c r="P128" s="184" t="inlineStr">
        <is>
          <t>Website</t>
        </is>
      </c>
      <c r="Q128" s="131" t="inlineStr">
        <is>
          <t>https://isikhnas.pertanian.go.id/</t>
        </is>
      </c>
      <c r="R128" s="184" t="inlineStr">
        <is>
          <t>Secara Online</t>
        </is>
      </c>
      <c r="S128" s="184" t="inlineStr">
        <is>
          <t>Informasi</t>
        </is>
      </c>
      <c r="T128" s="184" t="inlineStr">
        <is>
          <t>-</t>
        </is>
      </c>
      <c r="U128" s="184" t="inlineStr">
        <is>
          <t>Aktif</t>
        </is>
      </c>
      <c r="V128" s="184" t="inlineStr">
        <is>
          <t>Tidak</t>
        </is>
      </c>
      <c r="W128" s="184" t="inlineStr">
        <is>
          <t>Tidak Terintegrasi</t>
        </is>
      </c>
      <c r="X128" s="184" t="inlineStr">
        <is>
          <t>Tidak Terintegrasi</t>
        </is>
      </c>
      <c r="Y128" s="184" t="inlineStr">
        <is>
          <t>Tidak Terintegrasi</t>
        </is>
      </c>
      <c r="Z128" s="184" t="inlineStr">
        <is>
          <t>Bidang Keswan Kesmavet</t>
        </is>
      </c>
      <c r="AA128" s="184" t="inlineStr">
        <is>
          <t>Distan</t>
        </is>
      </c>
      <c r="AB128" s="184" t="inlineStr">
        <is>
          <t>Maria</t>
        </is>
      </c>
      <c r="AC128" s="184" t="n">
        <v>81224510500</v>
      </c>
      <c r="AD128" s="288" t="n"/>
      <c r="AE128" s="288" t="n"/>
      <c r="AF128" s="68" t="inlineStr">
        <is>
          <t>Harian</t>
        </is>
      </c>
      <c r="AG128" s="187" t="inlineStr">
        <is>
          <t>OPD</t>
        </is>
      </c>
      <c r="AH128" s="284" t="n"/>
      <c r="AI128" s="284" t="n"/>
      <c r="AJ128" s="284" t="n"/>
      <c r="AK128" s="284" t="n"/>
      <c r="AL128" s="284" t="n"/>
      <c r="AM128" s="284" t="n"/>
      <c r="AN128" s="284" t="n"/>
      <c r="AO128" s="284" t="n"/>
      <c r="AP128" s="284" t="n"/>
      <c r="AQ128" s="284" t="n"/>
      <c r="AR128" s="284" t="n"/>
    </row>
    <row r="129" hidden="1" s="346">
      <c r="A129" s="62" t="n">
        <v>127</v>
      </c>
      <c r="B129" s="184" t="inlineStr">
        <is>
          <t>Gerakan pengendalian hama dan penyakit tanaman</t>
        </is>
      </c>
      <c r="C129" s="184" t="inlineStr">
        <is>
          <t>Layanan pengendalian OPT &amp; penyakit tanaman melalui gerakan masal untuk menjaga produksi.</t>
        </is>
      </c>
      <c r="D129" s="184" t="inlineStr">
        <is>
          <t>UU 12/1992; Permentan 11/2015; Perbup Kab. Bandung ttg Perlindungan Tanaman.</t>
        </is>
      </c>
      <c r="E129" s="131" t="inlineStr">
        <is>
          <t>https://docs.google.com/spreadsheets/d/1c7RrRajyzrp7pLX7n6Z-t8K0gRXiw69i/edit?usp=sharing&amp;ouid=112536090230720318461&amp;rtpof=true&amp;sd=true</t>
        </is>
      </c>
      <c r="F129" s="184" t="inlineStr">
        <is>
          <t>PERLINDUNGAN TANAMAN PANGAN DAN HORTIKULTURA</t>
        </is>
      </c>
      <c r="G129" s="184" t="inlineStr">
        <is>
          <t>Masyarakat</t>
        </is>
      </c>
      <c r="H129" s="184" t="inlineStr">
        <is>
          <t>Data laporan serangan hama dan penyakit</t>
        </is>
      </c>
      <c r="I129" s="184" t="inlineStr">
        <is>
          <t>Data laporan hasil pengendalian dan rekomendasi penanganan</t>
        </is>
      </c>
      <c r="J129" s="184" t="inlineStr">
        <is>
          <t>Terbuka</t>
        </is>
      </c>
      <c r="K129" s="184" t="inlineStr">
        <is>
          <t>Terdapat</t>
        </is>
      </c>
      <c r="L129" s="184" t="inlineStr">
        <is>
          <t>Harian</t>
        </is>
      </c>
      <c r="M129" s="184" t="inlineStr">
        <is>
          <t>SIFORTUNA</t>
        </is>
      </c>
      <c r="N129" s="184" t="inlineStr">
        <is>
          <t>Pusat</t>
        </is>
      </c>
      <c r="O129" s="184" t="inlineStr">
        <is>
          <t>Pusat</t>
        </is>
      </c>
      <c r="P129" s="184" t="inlineStr">
        <is>
          <t>Website</t>
        </is>
      </c>
      <c r="Q129" s="131" t="inlineStr">
        <is>
          <t>sifortuna.tanamanpangan.pertanian.go.id</t>
        </is>
      </c>
      <c r="R129" s="184" t="inlineStr">
        <is>
          <t>Secara Online</t>
        </is>
      </c>
      <c r="S129" s="184" t="inlineStr">
        <is>
          <t>Informasi</t>
        </is>
      </c>
      <c r="T129" s="184" t="inlineStr">
        <is>
          <t>-</t>
        </is>
      </c>
      <c r="U129" s="184" t="inlineStr">
        <is>
          <t>Aktif</t>
        </is>
      </c>
      <c r="V129" s="184" t="inlineStr">
        <is>
          <t>Tidak</t>
        </is>
      </c>
      <c r="W129" s="184" t="inlineStr">
        <is>
          <t>Tidak Terintegrasi</t>
        </is>
      </c>
      <c r="X129" s="184" t="inlineStr">
        <is>
          <t>Tidak Terintegrasi</t>
        </is>
      </c>
      <c r="Y129" s="184" t="inlineStr">
        <is>
          <t>Tidak Terintegrasi</t>
        </is>
      </c>
      <c r="Z129" s="184" t="inlineStr">
        <is>
          <t>Bidang Pusdaltan</t>
        </is>
      </c>
      <c r="AA129" s="184" t="inlineStr">
        <is>
          <t>Distan</t>
        </is>
      </c>
      <c r="AB129" s="184" t="inlineStr">
        <is>
          <t>Dinar</t>
        </is>
      </c>
      <c r="AC129" s="184" t="n">
        <v>85794560785</v>
      </c>
      <c r="AD129" s="184" t="inlineStr">
        <is>
          <t>inayinoy22@gmail.com</t>
        </is>
      </c>
      <c r="AE129" s="288" t="n"/>
      <c r="AF129" s="288" t="n"/>
      <c r="AG129" s="90" t="n"/>
      <c r="AH129" s="284" t="n"/>
      <c r="AI129" s="284" t="n"/>
      <c r="AJ129" s="284" t="n"/>
      <c r="AK129" s="284" t="n"/>
      <c r="AL129" s="284" t="n"/>
      <c r="AM129" s="284" t="n"/>
      <c r="AN129" s="284" t="n"/>
      <c r="AO129" s="284" t="n"/>
      <c r="AP129" s="284" t="n"/>
      <c r="AQ129" s="284" t="n"/>
      <c r="AR129" s="284" t="n"/>
    </row>
    <row r="130" hidden="1" s="346">
      <c r="A130" s="62" t="n">
        <v>128</v>
      </c>
      <c r="B130" s="184" t="inlineStr">
        <is>
          <t>Aplikasi Pelayanan Prasarana Pertanian</t>
        </is>
      </c>
      <c r="C130" s="184" t="inlineStr">
        <is>
          <t>Layanan untuk mengajukan Prasarana Pertanian baik web maupun android di khusukan untuk penyuluh pertanian maupun kelompok tani</t>
        </is>
      </c>
      <c r="D130" s="184" t="inlineStr">
        <is>
          <t>Inpres No 2 Tahun 2025 tentang Percepatan Pembangunan Irigasi</t>
        </is>
      </c>
      <c r="E130" s="184" t="inlineStr">
        <is>
          <t>Belum Tersedia</t>
        </is>
      </c>
      <c r="F130" s="184" t="inlineStr">
        <is>
          <t>PENGEMBANGAN KELEMBAGAAN PETANI</t>
        </is>
      </c>
      <c r="G130" s="184" t="inlineStr">
        <is>
          <t>Masyarakat</t>
        </is>
      </c>
      <c r="H130" s="184" t="inlineStr">
        <is>
          <t>Data permohonan prasarana</t>
        </is>
      </c>
      <c r="I130" s="184" t="inlineStr">
        <is>
          <t>Data terkait Prasarana Pertanian</t>
        </is>
      </c>
      <c r="J130" s="184" t="inlineStr">
        <is>
          <t>Terbatas</t>
        </is>
      </c>
      <c r="K130" s="184" t="inlineStr">
        <is>
          <t>Terdapat</t>
        </is>
      </c>
      <c r="L130" s="184" t="inlineStr">
        <is>
          <t>Bulanan</t>
        </is>
      </c>
      <c r="M130" s="184" t="inlineStr">
        <is>
          <t>TANGINAS</t>
        </is>
      </c>
      <c r="N130" s="184" t="inlineStr">
        <is>
          <t>Pihak Ke 3</t>
        </is>
      </c>
      <c r="O130" s="184" t="inlineStr">
        <is>
          <t>Pihak Ke 3 (Lisensi)</t>
        </is>
      </c>
      <c r="P130" s="184" t="inlineStr">
        <is>
          <t>Website dan Mobile</t>
        </is>
      </c>
      <c r="Q130" s="131" t="inlineStr">
        <is>
          <t>tanginas.web.id</t>
        </is>
      </c>
      <c r="R130" s="184" t="inlineStr">
        <is>
          <t>Secara Online</t>
        </is>
      </c>
      <c r="S130" s="184" t="inlineStr">
        <is>
          <t>Informasi</t>
        </is>
      </c>
      <c r="T130" s="184" t="inlineStr">
        <is>
          <t>-</t>
        </is>
      </c>
      <c r="U130" s="184" t="inlineStr">
        <is>
          <t>Aktif</t>
        </is>
      </c>
      <c r="V130" s="184" t="inlineStr">
        <is>
          <t>Tidak</t>
        </is>
      </c>
      <c r="W130" s="184" t="inlineStr">
        <is>
          <t>Tidak Terintegrasi</t>
        </is>
      </c>
      <c r="X130" s="184" t="inlineStr">
        <is>
          <t>API</t>
        </is>
      </c>
      <c r="Y130" s="184" t="inlineStr">
        <is>
          <t>Realtime</t>
        </is>
      </c>
      <c r="Z130" s="184" t="inlineStr">
        <is>
          <t>Bidang Prasarana</t>
        </is>
      </c>
      <c r="AA130" s="184" t="inlineStr">
        <is>
          <t>Distan</t>
        </is>
      </c>
      <c r="AB130" s="184" t="inlineStr">
        <is>
          <t>Herman</t>
        </is>
      </c>
      <c r="AC130" s="184" t="n">
        <v>85882562008</v>
      </c>
      <c r="AD130" s="184" t="inlineStr">
        <is>
          <t>hermandistan1990@gmail.com</t>
        </is>
      </c>
      <c r="AE130" s="67" t="inlineStr">
        <is>
          <t>39,25,</t>
        </is>
      </c>
      <c r="AF130" s="68" t="inlineStr">
        <is>
          <t>Harian</t>
        </is>
      </c>
      <c r="AG130" s="187" t="inlineStr">
        <is>
          <t>OPD</t>
        </is>
      </c>
      <c r="AH130" s="284" t="n"/>
      <c r="AI130" s="284" t="n"/>
      <c r="AJ130" s="284" t="n"/>
      <c r="AK130" s="284" t="n"/>
      <c r="AL130" s="284" t="n"/>
      <c r="AM130" s="284" t="n"/>
      <c r="AN130" s="284" t="n"/>
      <c r="AO130" s="284" t="n"/>
      <c r="AP130" s="284" t="n"/>
      <c r="AQ130" s="284" t="n"/>
      <c r="AR130" s="284" t="n"/>
    </row>
    <row r="131" hidden="1" s="346">
      <c r="A131" s="62" t="n">
        <v>129</v>
      </c>
      <c r="B131" s="184" t="inlineStr">
        <is>
          <t>Pelayanan Administrasi Pupuk Bersubsidi</t>
        </is>
      </c>
      <c r="C131" s="184" t="inlineStr">
        <is>
          <t>Melayani proses administrasi dan validasi penerima pupuk bersubsidi melalui RDKK dan Kartu Tani agar penyaluran pupuk lebih tepat sasaran, transparan, serta mendukung keberlanjutan produksi pertanian.</t>
        </is>
      </c>
      <c r="D131" s="184" t="inlineStr">
        <is>
          <t>Permentan 49/2017; Perbup ttg Sibedas</t>
        </is>
      </c>
      <c r="E131" s="131" t="inlineStr">
        <is>
          <t>https://docs.google.com/spreadsheets/d/1cLC7YoJU_Mkyr5eJTL-fHfA0D-sQukvz/edit?usp=sharing&amp;ouid=112536090230720318461&amp;rtpof=true&amp;sd=true</t>
        </is>
      </c>
      <c r="F131" s="184" t="inlineStr">
        <is>
          <t>PENGEMBANGAN KELEMBAGAAN PETANI</t>
        </is>
      </c>
      <c r="G131" s="184" t="inlineStr">
        <is>
          <t>Masyarakat</t>
        </is>
      </c>
      <c r="H131" s="184" t="inlineStr">
        <is>
          <t>Data petani, luas lahan, NIK, RDKK</t>
        </is>
      </c>
      <c r="I131" s="184" t="inlineStr">
        <is>
          <t>Daftar penerima pupuk</t>
        </is>
      </c>
      <c r="J131" s="184" t="inlineStr">
        <is>
          <t>Tertutup</t>
        </is>
      </c>
      <c r="K131" s="184" t="inlineStr">
        <is>
          <t>Terdapat</t>
        </is>
      </c>
      <c r="L131" s="184" t="inlineStr">
        <is>
          <t>Tahunan</t>
        </is>
      </c>
      <c r="M131" s="184" t="inlineStr">
        <is>
          <t>E-RDKK Pupuk Bersubsidi</t>
        </is>
      </c>
      <c r="N131" s="184" t="inlineStr">
        <is>
          <t>Pusat</t>
        </is>
      </c>
      <c r="O131" s="184" t="inlineStr">
        <is>
          <t>Pusat</t>
        </is>
      </c>
      <c r="P131" s="184" t="inlineStr">
        <is>
          <t>Website</t>
        </is>
      </c>
      <c r="Q131" s="131" t="inlineStr">
        <is>
          <t>https://erdkk25.pertanian.go.id/</t>
        </is>
      </c>
      <c r="R131" s="184" t="inlineStr">
        <is>
          <t>Secara Online</t>
        </is>
      </c>
      <c r="S131" s="184" t="inlineStr">
        <is>
          <t>Informasi</t>
        </is>
      </c>
      <c r="T131" s="184" t="inlineStr">
        <is>
          <t>-</t>
        </is>
      </c>
      <c r="U131" s="184" t="inlineStr">
        <is>
          <t>Aktif</t>
        </is>
      </c>
      <c r="V131" s="184" t="inlineStr">
        <is>
          <t>Tidak</t>
        </is>
      </c>
      <c r="W131" s="184" t="inlineStr">
        <is>
          <t>Tidak Terintegrasi</t>
        </is>
      </c>
      <c r="X131" s="184" t="inlineStr">
        <is>
          <t>Tidak Terintegrasi</t>
        </is>
      </c>
      <c r="Y131" s="184" t="inlineStr">
        <is>
          <t>Tidak Terintegrasi</t>
        </is>
      </c>
      <c r="Z131" s="184" t="inlineStr">
        <is>
          <t>Bidang Penyuluhan</t>
        </is>
      </c>
      <c r="AA131" s="184" t="inlineStr">
        <is>
          <t>Distan</t>
        </is>
      </c>
      <c r="AB131" s="184" t="inlineStr">
        <is>
          <t>Yandi</t>
        </is>
      </c>
      <c r="AC131" s="184" t="n">
        <v>81321122481</v>
      </c>
      <c r="AD131" s="288" t="n"/>
      <c r="AE131" s="77" t="n">
        <v>22</v>
      </c>
      <c r="AF131" s="68" t="inlineStr">
        <is>
          <t>Insidentil</t>
        </is>
      </c>
      <c r="AG131" s="187" t="inlineStr">
        <is>
          <t>OPD</t>
        </is>
      </c>
      <c r="AH131" s="284" t="n"/>
      <c r="AI131" s="284" t="n"/>
      <c r="AJ131" s="284" t="n"/>
      <c r="AK131" s="284" t="n"/>
      <c r="AL131" s="284" t="n"/>
      <c r="AM131" s="284" t="n"/>
      <c r="AN131" s="284" t="n"/>
      <c r="AO131" s="284" t="n"/>
      <c r="AP131" s="284" t="n"/>
      <c r="AQ131" s="284" t="n"/>
      <c r="AR131" s="284" t="n"/>
    </row>
    <row r="132" hidden="1" s="346">
      <c r="A132" s="62" t="n">
        <v>130</v>
      </c>
      <c r="B132" s="184" t="inlineStr">
        <is>
          <t>Penyuluh Pertanian Keliling (PEPELING)</t>
        </is>
      </c>
      <c r="C132" s="184" t="inlineStr">
        <is>
          <t>Melaksanakan kegiatan penyuluhan pertanian secara mobile/keliling untuk menjangkau desa-desa, terutama di wilayah terpencil. Tujuannya mempercepat penyampaian inovasi teknologi, memperluas jangkauan layanan penyuluhan, dan meningkatkan kapasitas kelompok tani.</t>
        </is>
      </c>
      <c r="D132" s="184" t="inlineStr">
        <is>
          <t>UU 16/2006; Permentan 61/2008</t>
        </is>
      </c>
      <c r="E132" s="131" t="inlineStr">
        <is>
          <t>https://docs.google.com/spreadsheets/d/1cLZrBaEOapwKOQE9usRXCTW93SFEy7Xj/edit?usp=sharing&amp;ouid=112536090230720318461&amp;rtpof=true&amp;sd=true</t>
        </is>
      </c>
      <c r="F132" s="184" t="inlineStr">
        <is>
          <t>PENGEMBANGAN KUALITAS SDM PERTANIAN</t>
        </is>
      </c>
      <c r="G132" s="184" t="inlineStr">
        <is>
          <t>Masyarakat</t>
        </is>
      </c>
      <c r="H132" s="184" t="inlineStr">
        <is>
          <t>Jadwal, lokasi, peserta</t>
        </is>
      </c>
      <c r="I132" s="184" t="inlineStr">
        <is>
          <t>Laporan penyuluhan, materi</t>
        </is>
      </c>
      <c r="J132" s="184" t="inlineStr">
        <is>
          <t>Terbuka</t>
        </is>
      </c>
      <c r="K132" s="184" t="inlineStr">
        <is>
          <t>Terdapat</t>
        </is>
      </c>
      <c r="L132" s="184" t="inlineStr">
        <is>
          <t>Bulanan</t>
        </is>
      </c>
      <c r="M132" s="184" t="inlineStr">
        <is>
          <t>SIMLUHTAN</t>
        </is>
      </c>
      <c r="N132" s="184" t="inlineStr">
        <is>
          <t>Pusat</t>
        </is>
      </c>
      <c r="O132" s="184" t="inlineStr">
        <is>
          <t>Pusat</t>
        </is>
      </c>
      <c r="P132" s="184" t="inlineStr">
        <is>
          <t>Website</t>
        </is>
      </c>
      <c r="Q132" s="131" t="inlineStr">
        <is>
          <t>https://simluh.pertanian.go.id/</t>
        </is>
      </c>
      <c r="R132" s="184" t="inlineStr">
        <is>
          <t>Secara Online</t>
        </is>
      </c>
      <c r="S132" s="184" t="inlineStr">
        <is>
          <t>Informasi</t>
        </is>
      </c>
      <c r="T132" s="184" t="inlineStr">
        <is>
          <t>-</t>
        </is>
      </c>
      <c r="U132" s="184" t="inlineStr">
        <is>
          <t>Aktif</t>
        </is>
      </c>
      <c r="V132" s="184" t="inlineStr">
        <is>
          <t>Tidak</t>
        </is>
      </c>
      <c r="W132" s="184" t="inlineStr">
        <is>
          <t>Tidak Terintegrasi</t>
        </is>
      </c>
      <c r="X132" s="184" t="inlineStr">
        <is>
          <t>Tidak Terintegrasi</t>
        </is>
      </c>
      <c r="Y132" s="184" t="inlineStr">
        <is>
          <t>Tidak Terintegrasi</t>
        </is>
      </c>
      <c r="Z132" s="184" t="inlineStr">
        <is>
          <t>Bidang Penyuluhan</t>
        </is>
      </c>
      <c r="AA132" s="184" t="inlineStr">
        <is>
          <t>Distan</t>
        </is>
      </c>
      <c r="AB132" s="184" t="inlineStr">
        <is>
          <t>Yandi</t>
        </is>
      </c>
      <c r="AC132" s="184" t="n">
        <v>81321122481</v>
      </c>
      <c r="AD132" s="288" t="n"/>
      <c r="AE132" s="67" t="inlineStr">
        <is>
          <t>22, 25, 26</t>
        </is>
      </c>
      <c r="AF132" s="68" t="inlineStr">
        <is>
          <t>Setiap Saat</t>
        </is>
      </c>
      <c r="AG132" s="187" t="inlineStr">
        <is>
          <t>OPD</t>
        </is>
      </c>
      <c r="AH132" s="284" t="n"/>
      <c r="AI132" s="284" t="n"/>
      <c r="AJ132" s="284" t="n"/>
      <c r="AK132" s="284" t="n"/>
      <c r="AL132" s="284" t="n"/>
      <c r="AM132" s="284" t="n"/>
      <c r="AN132" s="284" t="n"/>
      <c r="AO132" s="284" t="n"/>
      <c r="AP132" s="284" t="n"/>
      <c r="AQ132" s="284" t="n"/>
      <c r="AR132" s="284" t="n"/>
    </row>
    <row r="133" hidden="1" s="346">
      <c r="A133" s="62" t="n">
        <v>131</v>
      </c>
      <c r="B133" s="184" t="inlineStr">
        <is>
          <t>Sistem Informasi Pos Kesehatan Hewan Kabupaten Bandung</t>
        </is>
      </c>
      <c r="C133" s="184" t="inlineStr">
        <is>
          <t>Digitalisasi layanan kesehatan hewan melalui poskeswan (pendaftaran, pelayanan, pencatatan penyakit, monitoring vaksinasi, konsultasi).</t>
        </is>
      </c>
      <c r="D133" s="184" t="inlineStr">
        <is>
          <t>Pusat Kesehatan Hewan yang selanjutnya disingkat Puskeswan adalah Pos Kesehatan Hewan yang memberikan pelayanan di bidang kesehatan hewan sebagaimana dimaksud dalam Keputusan Bersama Menteri Pertanian dan Menteri Dalam Negeri Nomor 690/Kpts/ TN.510/10/1993 dan Nomor 88 Tahun 1993 Tentang Pos Kesehatan Hewan.</t>
        </is>
      </c>
      <c r="E133" s="131" t="inlineStr">
        <is>
          <t>https://drive.google.com/drive/folders/1b_wlUHQifUNUdZcrhKipNlD0R6COD8yt?usp=sharing</t>
        </is>
      </c>
      <c r="F133" s="184" t="inlineStr">
        <is>
          <t>PENGELOLAAN KESEHATAN HEWAN</t>
        </is>
      </c>
      <c r="G133" s="184" t="inlineStr">
        <is>
          <t>Masyarakat</t>
        </is>
      </c>
      <c r="H133" s="184" t="inlineStr">
        <is>
          <t>Data identitas pengguna, data hewan</t>
        </is>
      </c>
      <c r="I133" s="184" t="inlineStr">
        <is>
          <t>Data laporan pelayanan kesehatan hewan</t>
        </is>
      </c>
      <c r="J133" s="184" t="inlineStr">
        <is>
          <t>Terbuka</t>
        </is>
      </c>
      <c r="K133" s="184" t="inlineStr">
        <is>
          <t>Terdapat</t>
        </is>
      </c>
      <c r="L133" s="184" t="inlineStr">
        <is>
          <t>Harian</t>
        </is>
      </c>
      <c r="M133" s="184" t="inlineStr">
        <is>
          <t>SIPOLAN</t>
        </is>
      </c>
      <c r="N133" s="184" t="inlineStr">
        <is>
          <t>Diskominfo</t>
        </is>
      </c>
      <c r="O133" s="184" t="inlineStr">
        <is>
          <t>Kab. Bandung</t>
        </is>
      </c>
      <c r="P133" s="184" t="inlineStr">
        <is>
          <t>Website</t>
        </is>
      </c>
      <c r="Q133" s="131" t="inlineStr">
        <is>
          <t>sipolan.bandungkab.go.id</t>
        </is>
      </c>
      <c r="R133" s="184" t="inlineStr">
        <is>
          <t>Secara Online</t>
        </is>
      </c>
      <c r="S133" s="184" t="inlineStr">
        <is>
          <t>Informasi</t>
        </is>
      </c>
      <c r="T133" s="184" t="n">
        <v>2021</v>
      </c>
      <c r="U133" s="184" t="inlineStr">
        <is>
          <t>Aktif</t>
        </is>
      </c>
      <c r="V133" s="184" t="inlineStr">
        <is>
          <t>Tidak</t>
        </is>
      </c>
      <c r="W133" s="184" t="inlineStr">
        <is>
          <t>Tidak Terintegrasi</t>
        </is>
      </c>
      <c r="X133" s="184" t="inlineStr">
        <is>
          <t>Tidak Terintegrasi</t>
        </is>
      </c>
      <c r="Y133" s="184" t="inlineStr">
        <is>
          <t>Tidak Terintegrasi</t>
        </is>
      </c>
      <c r="Z133" s="184" t="inlineStr">
        <is>
          <t>UPTD Pusat Kesehatan Hewan</t>
        </is>
      </c>
      <c r="AA133" s="184" t="inlineStr">
        <is>
          <t>Distan</t>
        </is>
      </c>
      <c r="AB133" s="184" t="inlineStr">
        <is>
          <t>Eviani</t>
        </is>
      </c>
      <c r="AC133" s="184" t="n">
        <v>81214317867</v>
      </c>
      <c r="AD133" s="184" t="inlineStr">
        <is>
          <t>evianivanita1011@gmail.com</t>
        </is>
      </c>
      <c r="AE133" s="288" t="n"/>
      <c r="AF133" s="68" t="inlineStr">
        <is>
          <t>Setiap Saat</t>
        </is>
      </c>
      <c r="AG133" s="187" t="inlineStr">
        <is>
          <t>OPD</t>
        </is>
      </c>
      <c r="AH133" s="284" t="n"/>
      <c r="AI133" s="284" t="n"/>
      <c r="AJ133" s="284" t="n"/>
      <c r="AK133" s="284" t="n"/>
      <c r="AL133" s="284" t="n"/>
      <c r="AM133" s="284" t="n"/>
      <c r="AN133" s="284" t="n"/>
      <c r="AO133" s="284" t="n"/>
      <c r="AP133" s="284" t="n"/>
      <c r="AQ133" s="284" t="n"/>
      <c r="AR133" s="284" t="n"/>
    </row>
    <row r="134" hidden="1" s="346">
      <c r="A134" s="62" t="n">
        <v>132</v>
      </c>
      <c r="B134" s="178" t="inlineStr">
        <is>
          <t>Layanan Pelaku Budidaya Perikanan, Perikanan Tangkap, dan Pengolahan Ikan</t>
        </is>
      </c>
      <c r="C134" s="178" t="inlineStr">
        <is>
          <t>Memberikan bantuan dan dukungan kepada para pelaku budidaya perikanan dalam hal teknis, modal, dan pemasaran untuk meningkatkan keberlanjutan usaha mereka.</t>
        </is>
      </c>
      <c r="D134" s="178" t="inlineStr">
        <is>
          <t>Peraturan Daerah Kabupaten Bandung Nomor 1 Tahun 2025 Tentang Penyelenggaraan Perikanan</t>
        </is>
      </c>
      <c r="E134" s="131" t="inlineStr">
        <is>
          <t>01. SOP Sistem Informasi Pangan.pdf</t>
        </is>
      </c>
      <c r="F134" s="184" t="inlineStr">
        <is>
          <t>PENGELOLAAN PERIKANAN BUDI DAYA</t>
        </is>
      </c>
      <c r="G134" s="184" t="inlineStr">
        <is>
          <t>Pelaku Bisnis</t>
        </is>
      </c>
      <c r="H134" s="184" t="inlineStr">
        <is>
          <t>Data pelaku usaha, data perikanan budidaya, data perikanan tangkap, dan data pengolahan hasil perikanan</t>
        </is>
      </c>
      <c r="I134" s="178" t="inlineStr">
        <is>
          <t>Data Pelaku Budidaya Perikanan</t>
        </is>
      </c>
      <c r="J134" s="184" t="inlineStr">
        <is>
          <t>Terbatas</t>
        </is>
      </c>
      <c r="K134" s="184" t="inlineStr">
        <is>
          <t>Terdapat</t>
        </is>
      </c>
      <c r="L134" s="184" t="inlineStr">
        <is>
          <t>Bulanan</t>
        </is>
      </c>
      <c r="M134" s="184" t="inlineStr">
        <is>
          <t>SIP SIKANDUNG</t>
        </is>
      </c>
      <c r="N134" s="184" t="inlineStr">
        <is>
          <t>Diskominfo</t>
        </is>
      </c>
      <c r="O134" s="184" t="inlineStr">
        <is>
          <t>Kab. Bandung</t>
        </is>
      </c>
      <c r="P134" s="184" t="inlineStr">
        <is>
          <t>Website</t>
        </is>
      </c>
      <c r="Q134" s="70" t="inlineStr">
        <is>
          <t>https://sip.bandungkab.go.id/portal/topic/sikandung</t>
        </is>
      </c>
      <c r="R134" s="184" t="inlineStr">
        <is>
          <t>Secara Online</t>
        </is>
      </c>
      <c r="S134" s="184" t="inlineStr">
        <is>
          <t>Informasi</t>
        </is>
      </c>
      <c r="T134" s="184" t="n">
        <v>2018</v>
      </c>
      <c r="U134" s="184" t="inlineStr">
        <is>
          <t>Maintenance</t>
        </is>
      </c>
      <c r="V134" s="184" t="inlineStr">
        <is>
          <t>Tidak</t>
        </is>
      </c>
      <c r="W134" s="184" t="inlineStr">
        <is>
          <t>Tidak Terintegrasi</t>
        </is>
      </c>
      <c r="X134" s="288" t="n"/>
      <c r="Y134" s="288" t="n"/>
      <c r="Z134" s="184" t="inlineStr">
        <is>
          <t>Bidang Budidaya Perikanan
 Bidang Usaha Perikanan</t>
        </is>
      </c>
      <c r="AA134" s="184" t="inlineStr">
        <is>
          <t>Dispakan</t>
        </is>
      </c>
      <c r="AB134" s="178" t="inlineStr">
        <is>
          <t>RAISA RAMADHANIA S.Pi
 JAJANG RUDIANTO SP
 RIAN HERMAWAN S.Pi</t>
        </is>
      </c>
      <c r="AC134" s="178" t="inlineStr">
        <is>
          <t>082120586902
 087824561374
 082127870192</t>
        </is>
      </c>
      <c r="AD134" s="178" t="inlineStr">
        <is>
          <t>raisarusrus@gmail.com
 jajangrudianto80@gmail.com
 aarianhermawan@gmail.com</t>
        </is>
      </c>
      <c r="AE134" s="288" t="n"/>
      <c r="AF134" s="288" t="n"/>
      <c r="AG134" s="216" t="inlineStr">
        <is>
          <t>DISPAKAN</t>
        </is>
      </c>
      <c r="AH134" s="284" t="n"/>
      <c r="AI134" s="284" t="n"/>
      <c r="AJ134" s="284" t="n"/>
      <c r="AK134" s="284" t="n"/>
      <c r="AL134" s="284" t="n"/>
      <c r="AM134" s="284" t="n"/>
      <c r="AN134" s="284" t="n"/>
      <c r="AO134" s="284" t="n"/>
      <c r="AP134" s="284" t="n"/>
      <c r="AQ134" s="284" t="n"/>
      <c r="AR134" s="284" t="n"/>
    </row>
    <row r="135" hidden="1" s="346">
      <c r="A135" s="62" t="n">
        <v>133</v>
      </c>
      <c r="B135" s="178" t="inlineStr">
        <is>
          <t>Layanan Rekomendasi Persetujuan Usaha Perikanan</t>
        </is>
      </c>
      <c r="C135" s="178" t="inlineStr">
        <is>
          <t>Memberikan persetujuan dan rekomendasi untuk usaha perikanan guna memastikan keberlanjutan sumber daya perikanan dan keberlanjutan ekonomi para pelaku usaha.</t>
        </is>
      </c>
      <c r="D135" s="178" t="inlineStr">
        <is>
          <t>Peraturan Pemerintah Nomor 27 Tahun 2021 Tentang Penyelenggaraan Bidang Kelautan dan Perikanan</t>
        </is>
      </c>
      <c r="E135" s="70" t="inlineStr">
        <is>
          <t>02. SOP Izin Usaha.pdf
 03. SOP Si Lele ikan.pdf</t>
        </is>
      </c>
      <c r="F135" s="184" t="inlineStr">
        <is>
          <t>PENGUATAN DAYA SAING PRODUK PERIKANAN</t>
        </is>
      </c>
      <c r="G135" s="184" t="inlineStr">
        <is>
          <t>Pelaku Bisnis</t>
        </is>
      </c>
      <c r="H135" s="184" t="inlineStr">
        <is>
          <t>Data pelaku usaha, data perizinan, laporan peksanaan kegiatan</t>
        </is>
      </c>
      <c r="I135" s="178" t="inlineStr">
        <is>
          <t>Data Usaha Perikanan</t>
        </is>
      </c>
      <c r="J135" s="184" t="inlineStr">
        <is>
          <t>Terbatas</t>
        </is>
      </c>
      <c r="K135" s="184" t="inlineStr">
        <is>
          <t>Terdapat</t>
        </is>
      </c>
      <c r="L135" s="184" t="inlineStr">
        <is>
          <t>Bulanan</t>
        </is>
      </c>
      <c r="M135" s="184" t="inlineStr">
        <is>
          <t>SI LELE IKAN</t>
        </is>
      </c>
      <c r="N135" s="184" t="inlineStr">
        <is>
          <t>Pihak Ke 3</t>
        </is>
      </c>
      <c r="O135" s="184" t="inlineStr">
        <is>
          <t>Pihak Ke 3 (Lisensi)</t>
        </is>
      </c>
      <c r="P135" s="184" t="inlineStr">
        <is>
          <t>Website dan Mobile</t>
        </is>
      </c>
      <c r="Q135" s="70" t="inlineStr">
        <is>
          <t>https://dispakan.bandungkab.go.id/video/</t>
        </is>
      </c>
      <c r="R135" s="184" t="inlineStr">
        <is>
          <t>Secara Online</t>
        </is>
      </c>
      <c r="S135" s="184" t="inlineStr">
        <is>
          <t>Informasi</t>
        </is>
      </c>
      <c r="T135" s="184" t="n">
        <v>2022</v>
      </c>
      <c r="U135" s="184" t="inlineStr">
        <is>
          <t>Maintenance</t>
        </is>
      </c>
      <c r="V135" s="184" t="inlineStr">
        <is>
          <t>Tidak</t>
        </is>
      </c>
      <c r="W135" s="184" t="inlineStr">
        <is>
          <t>Tidak Terintegrasi</t>
        </is>
      </c>
      <c r="X135" s="288" t="n"/>
      <c r="Y135" s="288" t="n"/>
      <c r="Z135" s="184" t="inlineStr">
        <is>
          <t>Bidang Usaha Perikanan</t>
        </is>
      </c>
      <c r="AA135" s="184" t="inlineStr">
        <is>
          <t>Dispakan</t>
        </is>
      </c>
      <c r="AB135" s="178" t="inlineStr">
        <is>
          <t>JAJANG RUDIANTO SP</t>
        </is>
      </c>
      <c r="AC135" s="178" t="n">
        <v>87824561374</v>
      </c>
      <c r="AD135" s="178" t="inlineStr">
        <is>
          <t>jajangrudianto80@gmail.com</t>
        </is>
      </c>
      <c r="AE135" s="288" t="n"/>
      <c r="AF135" s="288" t="n"/>
      <c r="AG135" s="216" t="inlineStr">
        <is>
          <t>DISPAKAN</t>
        </is>
      </c>
      <c r="AH135" s="284" t="n"/>
      <c r="AI135" s="284" t="n"/>
      <c r="AJ135" s="284" t="n"/>
      <c r="AK135" s="284" t="n"/>
      <c r="AL135" s="284" t="n"/>
      <c r="AM135" s="284" t="n"/>
      <c r="AN135" s="284" t="n"/>
      <c r="AO135" s="284" t="n"/>
      <c r="AP135" s="284" t="n"/>
      <c r="AQ135" s="284" t="n"/>
      <c r="AR135" s="284" t="n"/>
    </row>
    <row r="136" hidden="1" s="346">
      <c r="A136" s="62" t="n">
        <v>134</v>
      </c>
      <c r="B136" s="178" t="inlineStr">
        <is>
          <t>Layanan Ketahanan dan Kerawanan Pangan</t>
        </is>
      </c>
      <c r="C136" s="178" t="inlineStr">
        <is>
          <t>Menganalisis dan memantau kondisi ketahanan pangan daerah serta merancang strategi untuk mengatasi potensi kerawanan pangan.</t>
        </is>
      </c>
      <c r="D136" s="178" t="inlineStr">
        <is>
          <t>Peraturan Pemerintah Nomor 17 Tahun 2015 Tentang Ketahanan Pangan</t>
        </is>
      </c>
      <c r="E136" s="70" t="inlineStr">
        <is>
          <t>01. SOP Sistem Informasi Pangan.pdf</t>
        </is>
      </c>
      <c r="F136" s="184" t="inlineStr">
        <is>
          <t>KERAWANAN PANGAN DAN GIZI</t>
        </is>
      </c>
      <c r="G136" s="184" t="inlineStr">
        <is>
          <t>Masyarakat</t>
        </is>
      </c>
      <c r="H136" s="184" t="inlineStr">
        <is>
          <t>Data penerima bantuan, data bahan pangan yang diberikan, laporan pelaksanaan</t>
        </is>
      </c>
      <c r="I136" s="178" t="inlineStr">
        <is>
          <t>Data Kerawanan Pangan dan Keamanan Pangan</t>
        </is>
      </c>
      <c r="J136" s="184" t="inlineStr">
        <is>
          <t>Terbatas</t>
        </is>
      </c>
      <c r="K136" s="184" t="inlineStr">
        <is>
          <t>Terdapat</t>
        </is>
      </c>
      <c r="L136" s="184" t="inlineStr">
        <is>
          <t>Tahunan</t>
        </is>
      </c>
      <c r="M136" s="184" t="inlineStr">
        <is>
          <t>SIP FSVA</t>
        </is>
      </c>
      <c r="N136" s="184" t="inlineStr">
        <is>
          <t>Diskominfo</t>
        </is>
      </c>
      <c r="O136" s="184" t="inlineStr">
        <is>
          <t>Kab. Bandung</t>
        </is>
      </c>
      <c r="P136" s="184" t="inlineStr">
        <is>
          <t>Website</t>
        </is>
      </c>
      <c r="Q136" s="70" t="inlineStr">
        <is>
          <t>https://sip.bandungkab.go.id/portal/topic/fsva</t>
        </is>
      </c>
      <c r="R136" s="184" t="inlineStr">
        <is>
          <t>Secara Online</t>
        </is>
      </c>
      <c r="S136" s="184" t="inlineStr">
        <is>
          <t>Informasi</t>
        </is>
      </c>
      <c r="T136" s="184" t="n">
        <v>2021</v>
      </c>
      <c r="U136" s="184" t="inlineStr">
        <is>
          <t>Aktif</t>
        </is>
      </c>
      <c r="V136" s="184" t="inlineStr">
        <is>
          <t>Tidak</t>
        </is>
      </c>
      <c r="W136" s="184" t="inlineStr">
        <is>
          <t>Tidak Terintegrasi</t>
        </is>
      </c>
      <c r="X136" s="184" t="inlineStr">
        <is>
          <t>Tidak Terintegrasi</t>
        </is>
      </c>
      <c r="Y136" s="184" t="inlineStr">
        <is>
          <t>Tidak Terintegrasi</t>
        </is>
      </c>
      <c r="Z136" s="184" t="inlineStr">
        <is>
          <t>Bidang Ketersediaan dan Kerawanan Pangan</t>
        </is>
      </c>
      <c r="AA136" s="184" t="inlineStr">
        <is>
          <t>Dispakan</t>
        </is>
      </c>
      <c r="AB136" s="178" t="inlineStr">
        <is>
          <t>SRINIDIYANTI MISRUN SP</t>
        </is>
      </c>
      <c r="AC136" s="178" t="n">
        <v>85297499630</v>
      </c>
      <c r="AD136" s="178" t="inlineStr">
        <is>
          <t>srinidiyanti1988@gmail.com</t>
        </is>
      </c>
      <c r="AE136" s="288" t="n"/>
      <c r="AF136" s="288" t="n"/>
      <c r="AG136" s="216" t="inlineStr">
        <is>
          <t>DISPAKAN</t>
        </is>
      </c>
      <c r="AH136" s="284" t="n"/>
      <c r="AI136" s="284" t="n"/>
      <c r="AJ136" s="284" t="n"/>
      <c r="AK136" s="284" t="n"/>
      <c r="AL136" s="284" t="n"/>
      <c r="AM136" s="284" t="n"/>
      <c r="AN136" s="284" t="n"/>
      <c r="AO136" s="284" t="n"/>
      <c r="AP136" s="284" t="n"/>
      <c r="AQ136" s="284" t="n"/>
      <c r="AR136" s="284" t="n"/>
    </row>
    <row r="137" hidden="1" s="346">
      <c r="A137" s="62" t="n">
        <v>135</v>
      </c>
      <c r="B137" s="178" t="inlineStr">
        <is>
          <t>Layanan Pendataan dan Informasi Kebudayaan</t>
        </is>
      </c>
      <c r="C137" s="178" t="inlineStr">
        <is>
          <t>Layanan ini menyediakan berbagai data kebudayaan yang dibutuhkan, dimana bentuk layanannya meliputi:
 a. Informasi Data Lembaga Kebudayaan
 b. Informasi Data Pelaku Seni dan Budaya
 c. Informasi Data Warisan Budaya
 d. Pendataan Objek Pemajuan Kebudayaan (OPK)
 e. Pendataan Objek Diduga Cagar Budaya (ODCB)</t>
        </is>
      </c>
      <c r="D137" s="178" t="inlineStr">
        <is>
          <t>Undang-Undang Nomor 11 tahun 2010 tentang Cagar Budaya
 Undang-Undang Nomor 5 tahun 2017 tentang Pemajuan Kebudayaan
 Perda Kabupaten Bandung Nomor 5 tahun 2021 tentang Penyelenggaraan Pemajuan Kebudayaan Daerah</t>
        </is>
      </c>
      <c r="E137" s="178" t="inlineStr">
        <is>
          <t>Tersedia</t>
        </is>
      </c>
      <c r="F137" s="184" t="inlineStr">
        <is>
          <t>PENGELOLAAN PROGRAM KEBUDAYAAN</t>
        </is>
      </c>
      <c r="G137" s="184" t="inlineStr">
        <is>
          <t>Masyarakat</t>
        </is>
      </c>
      <c r="H137" s="184" t="inlineStr">
        <is>
          <t>Data Kebudayaan</t>
        </is>
      </c>
      <c r="I137" s="178" t="inlineStr">
        <is>
          <t>Data dan informasi Kebudayaan</t>
        </is>
      </c>
      <c r="J137" s="184" t="inlineStr">
        <is>
          <t>Terbuka</t>
        </is>
      </c>
      <c r="K137" s="184" t="inlineStr">
        <is>
          <t>Terdapat</t>
        </is>
      </c>
      <c r="L137" s="184" t="inlineStr">
        <is>
          <t>Tahunan</t>
        </is>
      </c>
      <c r="M137" s="184" t="inlineStr">
        <is>
          <t>Parbud Dalam Angka</t>
        </is>
      </c>
      <c r="N137" s="184" t="inlineStr">
        <is>
          <t>Provinsi</t>
        </is>
      </c>
      <c r="O137" s="184" t="inlineStr">
        <is>
          <t>Provinsi</t>
        </is>
      </c>
      <c r="P137" s="184" t="inlineStr">
        <is>
          <t>Website</t>
        </is>
      </c>
      <c r="Q137" s="70" t="inlineStr">
        <is>
          <t>https://parbuddalamangka.jabarprov.go.id/</t>
        </is>
      </c>
      <c r="R137" s="184" t="inlineStr">
        <is>
          <t>Secara Online</t>
        </is>
      </c>
      <c r="S137" s="184" t="inlineStr">
        <is>
          <t>Informasi</t>
        </is>
      </c>
      <c r="T137" s="184" t="n">
        <v>2017</v>
      </c>
      <c r="U137" s="184" t="inlineStr">
        <is>
          <t>Aktif</t>
        </is>
      </c>
      <c r="V137" s="184" t="inlineStr">
        <is>
          <t>Tidak</t>
        </is>
      </c>
      <c r="W137" s="184" t="inlineStr">
        <is>
          <t>Tidak Terintegrasi</t>
        </is>
      </c>
      <c r="X137" s="184" t="inlineStr">
        <is>
          <t>Tidak Terintegrasi</t>
        </is>
      </c>
      <c r="Y137" s="184" t="inlineStr">
        <is>
          <t>Tidak Terintegrasi</t>
        </is>
      </c>
      <c r="Z137" s="184" t="inlineStr">
        <is>
          <t>Bidang Pengembangan Kebudayaan</t>
        </is>
      </c>
      <c r="AA137" s="184" t="inlineStr">
        <is>
          <t>Disbud</t>
        </is>
      </c>
      <c r="AB137" s="178" t="inlineStr">
        <is>
          <t>Angga Satria Nugraha, S.Hum</t>
        </is>
      </c>
      <c r="AC137" s="178" t="n">
        <v>82118147356</v>
      </c>
      <c r="AD137" s="178" t="inlineStr">
        <is>
          <t>buatg844@gmail.com</t>
        </is>
      </c>
      <c r="AE137" s="68" t="n">
        <v>18</v>
      </c>
      <c r="AF137" s="68" t="inlineStr">
        <is>
          <t>Bulanan</t>
        </is>
      </c>
      <c r="AG137" s="188" t="inlineStr">
        <is>
          <t>OPD</t>
        </is>
      </c>
      <c r="AH137" s="284" t="n"/>
      <c r="AI137" s="284" t="n"/>
      <c r="AJ137" s="284" t="n"/>
      <c r="AK137" s="284" t="n"/>
      <c r="AL137" s="284" t="n"/>
      <c r="AM137" s="284" t="n"/>
      <c r="AN137" s="284" t="n"/>
      <c r="AO137" s="284" t="n"/>
      <c r="AP137" s="284" t="n"/>
      <c r="AQ137" s="284" t="n"/>
      <c r="AR137" s="284" t="n"/>
    </row>
    <row r="138" hidden="1" s="346">
      <c r="A138" s="62" t="n">
        <v>136</v>
      </c>
      <c r="B138" s="178" t="inlineStr">
        <is>
          <t>Sistem Informasi Pengembangan dan Peningkatan UKM</t>
        </is>
      </c>
      <c r="C138" s="184" t="inlineStr">
        <is>
          <t>Sibangkitukm (Sistem informasi pengembangan dan peningkatan UKM) merupakan Media pemasaran digital bagi pelaku UKM untuk mempromosikan produk atau jasanya kepada masyarakat luas, serta membuka peluang kemitraan. Selain itu, sistem ini menyediakan fitur agenda kegiatan yang memuat jadwal pelatihan, sosialisasi, dan event terkait pemberdayaan UKM secara terstruktur. Tak hanya itu, sistem ini juga mendukung penerbitan surat keterangan UKM secara otomatis dan berbasis elektronik, guna memudahkan pelaku usaha dalam pengajuan HKI dan pembelian BBM bersubsidi untuk produksi.</t>
        </is>
      </c>
      <c r="D138" s="184" t="inlineStr">
        <is>
          <t>Peraturan Bupati Bandung Nomor 80 Tahun 2024 tentang Petunjuk pelaksanaan Perda Nomor 6 Tahun 2021 tentang Kemudahan, Pelindungan, dan Pemberdayaan Usaha Mikro.</t>
        </is>
      </c>
      <c r="E138" s="178" t="inlineStr">
        <is>
          <t>Belum tersedia</t>
        </is>
      </c>
      <c r="F138" s="184" t="inlineStr">
        <is>
          <t>PENGUATAN KEWIRAUSAHAAN DAN INDUSTRI KECIL DAN MENENGAH</t>
        </is>
      </c>
      <c r="G138" s="184" t="inlineStr">
        <is>
          <t>Masyarakat</t>
        </is>
      </c>
      <c r="H138" s="184" t="inlineStr">
        <is>
          <t>Data Pelaku Usaha, Data Pengguna, Data Agenda Kegiatan</t>
        </is>
      </c>
      <c r="I138" s="184" t="inlineStr">
        <is>
          <t>Data penerbitan Surat Keterangan UKM</t>
        </is>
      </c>
      <c r="J138" s="184" t="inlineStr">
        <is>
          <t>Terbatas</t>
        </is>
      </c>
      <c r="K138" s="184" t="inlineStr">
        <is>
          <t>Terdapat</t>
        </is>
      </c>
      <c r="L138" s="184" t="inlineStr">
        <is>
          <t>Lainnya</t>
        </is>
      </c>
      <c r="M138" s="184" t="inlineStr">
        <is>
          <t>Sibangkitukm</t>
        </is>
      </c>
      <c r="N138" s="184" t="inlineStr">
        <is>
          <t>OPD</t>
        </is>
      </c>
      <c r="O138" s="184" t="inlineStr">
        <is>
          <t>Kab. Bandung</t>
        </is>
      </c>
      <c r="P138" s="184" t="inlineStr">
        <is>
          <t>Website</t>
        </is>
      </c>
      <c r="Q138" s="70" t="inlineStr">
        <is>
          <t>https://sibangkitukm.bandungkab.go.id</t>
        </is>
      </c>
      <c r="R138" s="184" t="inlineStr">
        <is>
          <t>Secara Online</t>
        </is>
      </c>
      <c r="S138" s="184" t="inlineStr">
        <is>
          <t>Transaksi</t>
        </is>
      </c>
      <c r="T138" s="184" t="n">
        <v>2021</v>
      </c>
      <c r="U138" s="184" t="inlineStr">
        <is>
          <t>Aktif</t>
        </is>
      </c>
      <c r="V138" s="184" t="inlineStr">
        <is>
          <t>Ya</t>
        </is>
      </c>
      <c r="W138" s="184" t="inlineStr">
        <is>
          <t>Bandung Digital Services</t>
        </is>
      </c>
      <c r="X138" s="184" t="inlineStr">
        <is>
          <t>Web Service</t>
        </is>
      </c>
      <c r="Y138" s="184" t="inlineStr">
        <is>
          <t>Realtime</t>
        </is>
      </c>
      <c r="Z138" s="184" t="inlineStr">
        <is>
          <t>Bidang Pemberdayaan dan Pengembangan Usaha Mikro</t>
        </is>
      </c>
      <c r="AA138" s="184" t="inlineStr">
        <is>
          <t>DISKOP-UKM</t>
        </is>
      </c>
      <c r="AB138" s="131" t="inlineStr">
        <is>
          <t>Anne Rahmawati, S.Sos., M.Si</t>
        </is>
      </c>
      <c r="AC138" s="178" t="n">
        <v>81214589147</v>
      </c>
      <c r="AD138" s="178" t="inlineStr">
        <is>
          <t>diskopukm@bandungkab.go.id</t>
        </is>
      </c>
      <c r="AE138" s="68" t="inlineStr">
        <is>
          <t>19, 20, 24</t>
        </is>
      </c>
      <c r="AF138" s="68" t="inlineStr">
        <is>
          <t>Harian</t>
        </is>
      </c>
      <c r="AG138" s="188" t="inlineStr">
        <is>
          <t>OPD dan Masyarakat</t>
        </is>
      </c>
      <c r="AH138" s="284" t="n"/>
      <c r="AI138" s="284" t="n"/>
      <c r="AJ138" s="284" t="n"/>
      <c r="AK138" s="284" t="n"/>
      <c r="AL138" s="284" t="n"/>
      <c r="AM138" s="284" t="n"/>
      <c r="AN138" s="284" t="n"/>
      <c r="AO138" s="284" t="n"/>
      <c r="AP138" s="284" t="n"/>
      <c r="AQ138" s="284" t="n"/>
      <c r="AR138" s="284" t="n"/>
    </row>
    <row r="139" hidden="1" s="346">
      <c r="A139" s="62" t="n">
        <v>137</v>
      </c>
      <c r="B139" s="189" t="inlineStr">
        <is>
          <t>Sistem Informasi Koperasi Terintegrasi Berdaya Saing</t>
        </is>
      </c>
      <c r="C139" s="68" t="inlineStr">
        <is>
          <t>SIKOPER BEDAS (Sistem Informasi Koperasi Terintegrasi Berdaya Saing) adalah platform digital yang dikembangkan oleh Dinas Koperasi dan UKM Kabupaten Bandung untuk meningkatkan pengelolaan koperasi secara transparan dan efisien. Sistem ini mengintegrasikan berbagai fungsi mulai dari pendataan kelembagaan koperasi, penilaian kesehatan koperasi, pengawasan, hingga pembinaan. Dengan SIKOPER BEDAS, informasi tentang koperasi dapat diakses secara real-time oleh petugas dan pimpinan, mendukung pengambilan keputusan yang berbasis data, meningkatkan akuntabilitas, dan mendorong koperasi agar lebih berdaya saing.</t>
        </is>
      </c>
      <c r="D139" s="178" t="inlineStr">
        <is>
          <t>Peraturan Menteri Koperasi dan Usaha Kecil dan Menengah Nomor 9 Tahun 2020 tentang Pengawasan Koperasi.</t>
        </is>
      </c>
      <c r="E139" s="178" t="inlineStr">
        <is>
          <t>Belum tersedia</t>
        </is>
      </c>
      <c r="F139" s="184" t="inlineStr">
        <is>
          <t>PENGAWASAN KOPERASI</t>
        </is>
      </c>
      <c r="G139" s="184" t="inlineStr">
        <is>
          <t>Masyarakat</t>
        </is>
      </c>
      <c r="H139" s="184" t="inlineStr">
        <is>
          <t>Data Koperasi</t>
        </is>
      </c>
      <c r="I139" s="178" t="inlineStr">
        <is>
          <t>Data hasil Pemeriksaan Kesehatan Koperasi</t>
        </is>
      </c>
      <c r="J139" s="184" t="inlineStr">
        <is>
          <t>Tertutup</t>
        </is>
      </c>
      <c r="K139" s="184" t="inlineStr">
        <is>
          <t>Terdapat</t>
        </is>
      </c>
      <c r="L139" s="184" t="inlineStr">
        <is>
          <t>Lainnya</t>
        </is>
      </c>
      <c r="M139" s="184" t="inlineStr">
        <is>
          <t>Sikoper</t>
        </is>
      </c>
      <c r="N139" s="184" t="inlineStr">
        <is>
          <t>OPD</t>
        </is>
      </c>
      <c r="O139" s="184" t="inlineStr">
        <is>
          <t>Kab. Bandung</t>
        </is>
      </c>
      <c r="P139" s="184" t="inlineStr">
        <is>
          <t>Website</t>
        </is>
      </c>
      <c r="Q139" s="70" t="inlineStr">
        <is>
          <t>https://sikoperbedas.bandungkab.go.id/</t>
        </is>
      </c>
      <c r="R139" s="184" t="inlineStr">
        <is>
          <t>Secara Online</t>
        </is>
      </c>
      <c r="S139" s="184" t="inlineStr">
        <is>
          <t>Transaksi</t>
        </is>
      </c>
      <c r="T139" s="184" t="n">
        <v>2025</v>
      </c>
      <c r="U139" s="184" t="inlineStr">
        <is>
          <t>Aktif</t>
        </is>
      </c>
      <c r="V139" s="184" t="inlineStr">
        <is>
          <t>Tidak</t>
        </is>
      </c>
      <c r="W139" s="184" t="inlineStr">
        <is>
          <t>Tidak Terintegrasi</t>
        </is>
      </c>
      <c r="X139" s="184" t="inlineStr">
        <is>
          <t>Tidak Terintegrasi</t>
        </is>
      </c>
      <c r="Y139" s="184" t="inlineStr">
        <is>
          <t>Tidak Terintegrasi</t>
        </is>
      </c>
      <c r="Z139" s="184" t="inlineStr">
        <is>
          <t>Bidang Pengawasan dan Pemeriksaan Koperasi</t>
        </is>
      </c>
      <c r="AA139" s="184" t="inlineStr">
        <is>
          <t>DISKOP-UKM</t>
        </is>
      </c>
      <c r="AB139" s="178" t="inlineStr">
        <is>
          <t>HEINTJE HERLANDO, SE</t>
        </is>
      </c>
      <c r="AC139" s="178" t="n">
        <v>85724376051</v>
      </c>
      <c r="AD139" s="178" t="inlineStr">
        <is>
          <t>diskopukm@bandungkab.go.id</t>
        </is>
      </c>
      <c r="AE139" s="68" t="n">
        <v>19</v>
      </c>
      <c r="AF139" s="68" t="inlineStr">
        <is>
          <t>Harian</t>
        </is>
      </c>
      <c r="AG139" s="188" t="inlineStr">
        <is>
          <t>OPD</t>
        </is>
      </c>
      <c r="AH139" s="284" t="n"/>
      <c r="AI139" s="284" t="n"/>
      <c r="AJ139" s="284" t="n"/>
      <c r="AK139" s="284" t="n"/>
      <c r="AL139" s="284" t="n"/>
      <c r="AM139" s="284" t="n"/>
      <c r="AN139" s="284" t="n"/>
      <c r="AO139" s="284" t="n"/>
      <c r="AP139" s="284" t="n"/>
      <c r="AQ139" s="284" t="n"/>
      <c r="AR139" s="284" t="n"/>
    </row>
    <row r="140" hidden="1" s="346">
      <c r="A140" s="62" t="n">
        <v>138</v>
      </c>
      <c r="B140" s="178" t="inlineStr">
        <is>
          <t>Sistem Informasi Monitoring Pinjaman Dana Bergulir BEDAS</t>
        </is>
      </c>
      <c r="C140" s="178" t="inlineStr">
        <is>
          <t>Simanjur BEDAS (Sistem Informasi Monitoring Pinjaman Dana Bergulir BEDAS), merupakan sistem informasi untuk memonitoring Program Dana Bergulir Tanpa Bunga dan Jaminan, program yang hadir untuk membantu para pelaku usaha mikro di Kabupaten Bandung agar bisa mengembangkan usaha dan bisnis UMKM, sekaligus terhindar dari jeratan bank emok dan pinjol yang semakin marak. Program ini menyediakan akses modal usaha dengan proses pengajuan yang lebih mudah, tanpa memerlukan agunan, serta bebas dari bunga pinjaman. Dengan demikian, pengusaha kecil yang membutuhkan modal dapat lebih mudah mengakses pendanaan.</t>
        </is>
      </c>
      <c r="D140" s="178" t="inlineStr">
        <is>
          <t>Peraturan Daerah Kabupaten Bandung Nomor 16 Tahun 2025 tentang Penyertaan Modal Non Permanen Berupa Pemberian Pinjaman Dana Bergulir Kepada Masyarakat Melalui Lembaga Keuangan Bank</t>
        </is>
      </c>
      <c r="E140" s="178" t="inlineStr">
        <is>
          <t>Belum tersedia</t>
        </is>
      </c>
      <c r="F140" s="184" t="inlineStr">
        <is>
          <t>USAHA MIKRO</t>
        </is>
      </c>
      <c r="G140" s="184" t="inlineStr">
        <is>
          <t>Pegawai</t>
        </is>
      </c>
      <c r="H140" s="184" t="inlineStr">
        <is>
          <t>Data Pelaku Usaha yang mengikuti Program Dana Bergulir</t>
        </is>
      </c>
      <c r="I140" s="184" t="inlineStr">
        <is>
          <t>Data Pelaku Usaha yang mengikuti Program Dana Bergulir</t>
        </is>
      </c>
      <c r="J140" s="184" t="inlineStr">
        <is>
          <t>Terbatas</t>
        </is>
      </c>
      <c r="K140" s="184" t="inlineStr">
        <is>
          <t>Terdapat</t>
        </is>
      </c>
      <c r="L140" s="184" t="inlineStr">
        <is>
          <t>Lainnya</t>
        </is>
      </c>
      <c r="M140" s="184" t="inlineStr">
        <is>
          <t>Simanjur BEDAS</t>
        </is>
      </c>
      <c r="N140" s="184" t="inlineStr">
        <is>
          <t>OPD</t>
        </is>
      </c>
      <c r="O140" s="184" t="inlineStr">
        <is>
          <t>Kab. Bandung</t>
        </is>
      </c>
      <c r="P140" s="184" t="inlineStr">
        <is>
          <t>Website</t>
        </is>
      </c>
      <c r="Q140" s="70" t="inlineStr">
        <is>
          <t>https://usahamikro.bandungkab.go.id/</t>
        </is>
      </c>
      <c r="R140" s="184" t="inlineStr">
        <is>
          <t>Secara Online</t>
        </is>
      </c>
      <c r="S140" s="184" t="inlineStr">
        <is>
          <t>Informasi</t>
        </is>
      </c>
      <c r="T140" s="184" t="n">
        <v>2023</v>
      </c>
      <c r="U140" s="184" t="inlineStr">
        <is>
          <t>Aktif</t>
        </is>
      </c>
      <c r="V140" s="184" t="inlineStr">
        <is>
          <t>Ya</t>
        </is>
      </c>
      <c r="W140" s="184" t="inlineStr">
        <is>
          <t>Bandung Digital Services</t>
        </is>
      </c>
      <c r="X140" s="184" t="inlineStr">
        <is>
          <t>Web Service</t>
        </is>
      </c>
      <c r="Y140" s="184" t="inlineStr">
        <is>
          <t>Realtime</t>
        </is>
      </c>
      <c r="Z140" s="184" t="inlineStr">
        <is>
          <t>Bidang Pemberdayaan dan Pengembangan Usaha Mikro</t>
        </is>
      </c>
      <c r="AA140" s="184" t="inlineStr">
        <is>
          <t>DISKOP-UKM</t>
        </is>
      </c>
      <c r="AB140" s="131" t="inlineStr">
        <is>
          <t>Anne Rahmawati, S.Sos., M.Si</t>
        </is>
      </c>
      <c r="AC140" s="178" t="n">
        <v>81214589147</v>
      </c>
      <c r="AD140" s="178" t="inlineStr">
        <is>
          <t>diskopukm@bandungkab.go.id</t>
        </is>
      </c>
      <c r="AE140" s="68" t="n">
        <v>23</v>
      </c>
      <c r="AF140" s="68" t="inlineStr">
        <is>
          <t>Harian</t>
        </is>
      </c>
      <c r="AG140" s="188" t="inlineStr">
        <is>
          <t>OPD</t>
        </is>
      </c>
      <c r="AH140" s="284" t="n"/>
      <c r="AI140" s="284" t="n"/>
      <c r="AJ140" s="284" t="n"/>
      <c r="AK140" s="284" t="n"/>
      <c r="AL140" s="284" t="n"/>
      <c r="AM140" s="284" t="n"/>
      <c r="AN140" s="284" t="n"/>
      <c r="AO140" s="284" t="n"/>
      <c r="AP140" s="284" t="n"/>
      <c r="AQ140" s="284" t="n"/>
      <c r="AR140" s="284" t="n"/>
    </row>
    <row r="141" hidden="1" s="346">
      <c r="A141" s="62" t="n">
        <v>139</v>
      </c>
      <c r="B141" s="178" t="inlineStr">
        <is>
          <t>Layanan Perpustakaan keliling</t>
        </is>
      </c>
      <c r="C141" s="178" t="inlineStr">
        <is>
          <t>Meningkatkan akses masyarakat terhadap bahan bacaan di berbagai lokasi.</t>
        </is>
      </c>
      <c r="D141" s="178" t="inlineStr">
        <is>
          <t>UU No. 43 Tahun 2007 tentang Perpustakaan : Pasal 22 keseluruhan mengatur tentang “Perpustakaan Umum” yang diselenggarakan oleh berbagai tingkatan pemerintahan dan menyebutkan kewajiban untuk memberikan layanan keliling</t>
        </is>
      </c>
      <c r="E141" s="70" t="inlineStr">
        <is>
          <t>https://drive.google.com/file/d/1xLGvVqyQdJTXp_gTo9XoOeAPrmSfoy_q/view?usp=sharing</t>
        </is>
      </c>
      <c r="F141" s="184" t="inlineStr">
        <is>
          <t>PENINGKATAN KUALITAS PELAYANAN PUBLIK</t>
        </is>
      </c>
      <c r="G141" s="184" t="inlineStr">
        <is>
          <t>Masyarakat</t>
        </is>
      </c>
      <c r="H141" s="288" t="n"/>
      <c r="I141" s="178" t="inlineStr">
        <is>
          <t>Data Pengunjung Perpustakaan Keliling</t>
        </is>
      </c>
      <c r="J141" s="184" t="inlineStr">
        <is>
          <t>Terbuka</t>
        </is>
      </c>
      <c r="K141" s="184" t="inlineStr">
        <is>
          <t>Tidak terdapat</t>
        </is>
      </c>
      <c r="L141" s="184" t="inlineStr">
        <is>
          <t>Mingguan</t>
        </is>
      </c>
      <c r="M141" s="184" t="inlineStr">
        <is>
          <t>iBandungKab</t>
        </is>
      </c>
      <c r="N141" s="184" t="inlineStr">
        <is>
          <t>Pihak Ke 3</t>
        </is>
      </c>
      <c r="O141" s="184" t="inlineStr">
        <is>
          <t>Kab. Bandung</t>
        </is>
      </c>
      <c r="P141" s="184" t="inlineStr">
        <is>
          <t>Website dan Mobile</t>
        </is>
      </c>
      <c r="Q141" s="70" t="inlineStr">
        <is>
          <t>https://ibandungkab.moco.co.id/</t>
        </is>
      </c>
      <c r="R141" s="184" t="inlineStr">
        <is>
          <t>Secara Online</t>
        </is>
      </c>
      <c r="S141" s="184" t="inlineStr">
        <is>
          <t>Informasi</t>
        </is>
      </c>
      <c r="T141" s="184" t="n">
        <v>2018</v>
      </c>
      <c r="U141" s="184" t="inlineStr">
        <is>
          <t>Aktif</t>
        </is>
      </c>
      <c r="V141" s="184" t="inlineStr">
        <is>
          <t>Tidak</t>
        </is>
      </c>
      <c r="W141" s="184" t="inlineStr">
        <is>
          <t>Tidak Terintegrasi</t>
        </is>
      </c>
      <c r="X141" s="184" t="inlineStr">
        <is>
          <t>Tidak Terintegrasi</t>
        </is>
      </c>
      <c r="Y141" s="184" t="inlineStr">
        <is>
          <t>Tidak Terintegrasi</t>
        </is>
      </c>
      <c r="Z141" s="184" t="inlineStr">
        <is>
          <t>Bidang Pengelolaan Perpustakaan</t>
        </is>
      </c>
      <c r="AA141" s="184" t="inlineStr">
        <is>
          <t>Dispusip</t>
        </is>
      </c>
      <c r="AB141" s="70" t="inlineStr">
        <is>
          <t>Rizal Mulki Farhan, A.Ma.Pust.</t>
        </is>
      </c>
      <c r="AC141" s="178" t="n">
        <v>85607626507</v>
      </c>
      <c r="AD141" s="178" t="inlineStr">
        <is>
          <t>perpust.kabbdg@gmail.com</t>
        </is>
      </c>
      <c r="AE141" s="288" t="n"/>
      <c r="AF141" s="288" t="n"/>
      <c r="AG141" s="284" t="n"/>
      <c r="AH141" s="284" t="n"/>
      <c r="AI141" s="284" t="n"/>
      <c r="AJ141" s="284" t="n"/>
      <c r="AK141" s="284" t="n"/>
      <c r="AL141" s="284" t="n"/>
      <c r="AM141" s="284" t="n"/>
      <c r="AN141" s="284" t="n"/>
      <c r="AO141" s="284" t="n"/>
      <c r="AP141" s="284" t="n"/>
      <c r="AQ141" s="284" t="n"/>
      <c r="AR141" s="284" t="n"/>
    </row>
    <row r="142" hidden="1" s="346">
      <c r="A142" s="62" t="n">
        <v>140</v>
      </c>
      <c r="B142" s="178" t="inlineStr">
        <is>
          <t>Layanan Pendaftaran Member Perpustakaan Online</t>
        </is>
      </c>
      <c r="C142" s="178" t="inlineStr">
        <is>
          <t>Memfasilitasi masyarakat untuk menjadi anggota perpustakaan secara online.</t>
        </is>
      </c>
      <c r="D142" s="178" t="inlineStr">
        <is>
          <t>Undang-Undang Nomor 43 Tahun 2007 tentang Perpustakaan : Pasal 5 ayat (1) huruf g</t>
        </is>
      </c>
      <c r="E142" s="70" t="inlineStr">
        <is>
          <t>https://drive.google.com/file/d/1FL4agfMs9a3tAmDlzxiGL6UA1alZs_Er/view?usp=sharing</t>
        </is>
      </c>
      <c r="F142" s="184" t="inlineStr">
        <is>
          <t>PENINGKATAN KUALITAS PELAYANAN PUBLIK</t>
        </is>
      </c>
      <c r="G142" s="184" t="inlineStr">
        <is>
          <t>Masyarakat</t>
        </is>
      </c>
      <c r="H142" s="184" t="inlineStr">
        <is>
          <t>Data Pengguna</t>
        </is>
      </c>
      <c r="I142" s="178" t="inlineStr">
        <is>
          <t>Data Member Perpustakaan</t>
        </is>
      </c>
      <c r="J142" s="184" t="inlineStr">
        <is>
          <t>Tertutup</t>
        </is>
      </c>
      <c r="K142" s="184" t="inlineStr">
        <is>
          <t>Terdapat</t>
        </is>
      </c>
      <c r="L142" s="184" t="inlineStr">
        <is>
          <t>Harian</t>
        </is>
      </c>
      <c r="M142" s="184" t="inlineStr">
        <is>
          <t>Inlislite</t>
        </is>
      </c>
      <c r="N142" s="184" t="inlineStr">
        <is>
          <t>Pusat</t>
        </is>
      </c>
      <c r="O142" s="184" t="inlineStr">
        <is>
          <t>Pusat</t>
        </is>
      </c>
      <c r="P142" s="184" t="inlineStr">
        <is>
          <t>Website</t>
        </is>
      </c>
      <c r="Q142" s="70" t="inlineStr">
        <is>
          <t>https://perpus.bandungkab.go.id/pendaftaran</t>
        </is>
      </c>
      <c r="R142" s="184" t="inlineStr">
        <is>
          <t>Secara Online</t>
        </is>
      </c>
      <c r="S142" s="184" t="inlineStr">
        <is>
          <t>Transaksi</t>
        </is>
      </c>
      <c r="T142" s="98" t="n">
        <v>2013</v>
      </c>
      <c r="U142" s="184" t="inlineStr">
        <is>
          <t>Aktif</t>
        </is>
      </c>
      <c r="V142" s="184" t="inlineStr">
        <is>
          <t>Tidak</t>
        </is>
      </c>
      <c r="W142" s="184" t="inlineStr">
        <is>
          <t>Tidak Terintegrasi</t>
        </is>
      </c>
      <c r="X142" s="184" t="inlineStr">
        <is>
          <t>Tidak Terintegrasi</t>
        </is>
      </c>
      <c r="Y142" s="184" t="inlineStr">
        <is>
          <t>Tidak Terintegrasi</t>
        </is>
      </c>
      <c r="Z142" s="184" t="inlineStr">
        <is>
          <t>Bidang Pengelolaan Perpustakaan</t>
        </is>
      </c>
      <c r="AA142" s="184" t="inlineStr">
        <is>
          <t>Dispusip</t>
        </is>
      </c>
      <c r="AB142" s="178" t="inlineStr">
        <is>
          <t>Reiyaldi Budi Wiguna</t>
        </is>
      </c>
      <c r="AC142" s="178" t="n">
        <v>81903169517</v>
      </c>
      <c r="AD142" s="178" t="inlineStr">
        <is>
          <t>bidangpp27@gmail.com</t>
        </is>
      </c>
      <c r="AE142" s="288" t="n"/>
      <c r="AF142" s="288" t="n"/>
      <c r="AG142" s="284" t="n"/>
      <c r="AH142" s="284" t="n"/>
      <c r="AI142" s="284" t="n"/>
      <c r="AJ142" s="284" t="n"/>
      <c r="AK142" s="284" t="n"/>
      <c r="AL142" s="284" t="n"/>
      <c r="AM142" s="284" t="n"/>
      <c r="AN142" s="284" t="n"/>
      <c r="AO142" s="284" t="n"/>
      <c r="AP142" s="284" t="n"/>
      <c r="AQ142" s="284" t="n"/>
      <c r="AR142" s="284" t="n"/>
    </row>
    <row r="143" hidden="1" s="346">
      <c r="A143" s="62" t="n">
        <v>141</v>
      </c>
      <c r="B143" s="178" t="inlineStr">
        <is>
          <t>Layanan Kearsipan Statis</t>
        </is>
      </c>
      <c r="C143" s="178" t="inlineStr">
        <is>
          <t>Menyediakan layanan penyimpanan dan pemeliharaan arsip statis.</t>
        </is>
      </c>
      <c r="D143" s="178" t="inlineStr">
        <is>
          <t>Undang Undang Nomor 43 Tahun 2009 tentang Kearsipan</t>
        </is>
      </c>
      <c r="E143" s="288" t="n"/>
      <c r="F143" s="184" t="inlineStr">
        <is>
          <t>PENINGKATAN KUALITAS PELAYANAN PUBLIK</t>
        </is>
      </c>
      <c r="G143" s="184" t="inlineStr">
        <is>
          <t>Masyarakat</t>
        </is>
      </c>
      <c r="H143" s="288" t="n"/>
      <c r="I143" s="178" t="inlineStr">
        <is>
          <t>Data Kearsipan Statis</t>
        </is>
      </c>
      <c r="J143" s="184" t="inlineStr">
        <is>
          <t>Terbuka</t>
        </is>
      </c>
      <c r="K143" s="184" t="inlineStr">
        <is>
          <t>Tidak terdapat</t>
        </is>
      </c>
      <c r="L143" s="184" t="inlineStr">
        <is>
          <t>Tahunan</t>
        </is>
      </c>
      <c r="M143" s="184" t="inlineStr">
        <is>
          <t>SIKN</t>
        </is>
      </c>
      <c r="N143" s="184" t="inlineStr">
        <is>
          <t>Pusat</t>
        </is>
      </c>
      <c r="O143" s="184" t="inlineStr">
        <is>
          <t>Pusat</t>
        </is>
      </c>
      <c r="P143" s="184" t="inlineStr">
        <is>
          <t>Website</t>
        </is>
      </c>
      <c r="Q143" s="70" t="inlineStr">
        <is>
          <t>sikn.anri.go.id</t>
        </is>
      </c>
      <c r="R143" s="184" t="inlineStr">
        <is>
          <t>Secara Online</t>
        </is>
      </c>
      <c r="S143" s="184" t="inlineStr">
        <is>
          <t>Informasi</t>
        </is>
      </c>
      <c r="T143" s="98" t="n">
        <v>2017</v>
      </c>
      <c r="U143" s="184" t="inlineStr">
        <is>
          <t>Aktif</t>
        </is>
      </c>
      <c r="V143" s="184" t="inlineStr">
        <is>
          <t>Tidak</t>
        </is>
      </c>
      <c r="W143" s="288" t="n"/>
      <c r="X143" s="288" t="n"/>
      <c r="Y143" s="288" t="n"/>
      <c r="Z143" s="184" t="inlineStr">
        <is>
          <t>Bidang Perlindungan dan Penyelamatan Arsip</t>
        </is>
      </c>
      <c r="AA143" s="184" t="inlineStr">
        <is>
          <t>Dispusip</t>
        </is>
      </c>
      <c r="AB143" s="178" t="inlineStr">
        <is>
          <t>Dewi Hastuti</t>
        </is>
      </c>
      <c r="AC143" s="98" t="n">
        <v>8131192289</v>
      </c>
      <c r="AD143" s="288" t="n"/>
      <c r="AE143" s="288" t="n"/>
      <c r="AF143" s="67" t="inlineStr">
        <is>
          <t>Harian</t>
        </is>
      </c>
      <c r="AG143" s="284" t="n"/>
      <c r="AH143" s="284" t="n"/>
      <c r="AI143" s="284" t="n"/>
      <c r="AJ143" s="284" t="n"/>
      <c r="AK143" s="284" t="n"/>
      <c r="AL143" s="284" t="n"/>
      <c r="AM143" s="284" t="n"/>
      <c r="AN143" s="284" t="n"/>
      <c r="AO143" s="284" t="n"/>
      <c r="AP143" s="284" t="n"/>
      <c r="AQ143" s="284" t="n"/>
      <c r="AR143" s="284" t="n"/>
    </row>
    <row r="144" hidden="1" s="346">
      <c r="A144" s="62" t="n">
        <v>142</v>
      </c>
      <c r="B144" s="178" t="inlineStr">
        <is>
          <t>Layanan Kearsipan Dinamis</t>
        </is>
      </c>
      <c r="C144" s="178" t="inlineStr">
        <is>
          <t>Menyediakan layanan pengelolaan arsip yang aktif dan mudah diakses.</t>
        </is>
      </c>
      <c r="D144" s="178" t="inlineStr">
        <is>
          <t>Undang Undang Nomor 43 Tahun 2009 tentang Kearsipan</t>
        </is>
      </c>
      <c r="E144" s="288" t="n"/>
      <c r="F144" s="184" t="inlineStr">
        <is>
          <t>PENINGKATAN KUALITAS PELAYANAN PUBLIK</t>
        </is>
      </c>
      <c r="G144" s="184" t="inlineStr">
        <is>
          <t>Masyarakat</t>
        </is>
      </c>
      <c r="H144" s="288" t="n"/>
      <c r="I144" s="178" t="inlineStr">
        <is>
          <t>Data Kearsipan Dinamis</t>
        </is>
      </c>
      <c r="J144" s="184" t="inlineStr">
        <is>
          <t>Terbuka</t>
        </is>
      </c>
      <c r="K144" s="184" t="inlineStr">
        <is>
          <t>Tidak terdapat</t>
        </is>
      </c>
      <c r="L144" s="184" t="inlineStr">
        <is>
          <t>Tahunan</t>
        </is>
      </c>
      <c r="M144" s="184" t="inlineStr">
        <is>
          <t>SRIKANDI</t>
        </is>
      </c>
      <c r="N144" s="184" t="inlineStr">
        <is>
          <t>OPD</t>
        </is>
      </c>
      <c r="O144" s="184" t="inlineStr">
        <is>
          <t>Kab. Bandung</t>
        </is>
      </c>
      <c r="P144" s="184" t="inlineStr">
        <is>
          <t>Desktop</t>
        </is>
      </c>
      <c r="Q144" s="70" t="inlineStr">
        <is>
          <t>srikandi.arsip.go.id</t>
        </is>
      </c>
      <c r="R144" s="184" t="inlineStr">
        <is>
          <t>Secara Online</t>
        </is>
      </c>
      <c r="S144" s="184" t="inlineStr">
        <is>
          <t>Informasi</t>
        </is>
      </c>
      <c r="T144" s="98" t="n">
        <v>2022</v>
      </c>
      <c r="U144" s="184" t="inlineStr">
        <is>
          <t>Aktif</t>
        </is>
      </c>
      <c r="V144" s="184" t="inlineStr">
        <is>
          <t>Tidak</t>
        </is>
      </c>
      <c r="W144" s="288" t="n"/>
      <c r="X144" s="288" t="n"/>
      <c r="Y144" s="288" t="n"/>
      <c r="Z144" s="184" t="inlineStr">
        <is>
          <t>Bidang Pengelolaan Arsip</t>
        </is>
      </c>
      <c r="AA144" s="184" t="inlineStr">
        <is>
          <t>Dispusip</t>
        </is>
      </c>
      <c r="AB144" s="178" t="inlineStr">
        <is>
          <t>Endang Wahyudi</t>
        </is>
      </c>
      <c r="AC144" s="98" t="n">
        <v>82219151878</v>
      </c>
      <c r="AD144" s="288" t="n"/>
      <c r="AE144" s="288" t="n"/>
      <c r="AF144" s="67" t="inlineStr">
        <is>
          <t>Harian</t>
        </is>
      </c>
      <c r="AG144" s="284" t="n"/>
      <c r="AH144" s="284" t="n"/>
      <c r="AI144" s="284" t="n"/>
      <c r="AJ144" s="284" t="n"/>
      <c r="AK144" s="284" t="n"/>
      <c r="AL144" s="284" t="n"/>
      <c r="AM144" s="284" t="n"/>
      <c r="AN144" s="284" t="n"/>
      <c r="AO144" s="284" t="n"/>
      <c r="AP144" s="284" t="n"/>
      <c r="AQ144" s="284" t="n"/>
      <c r="AR144" s="284" t="n"/>
    </row>
    <row r="145" hidden="1" s="346">
      <c r="A145" s="62" t="n">
        <v>143</v>
      </c>
      <c r="B145" s="178" t="inlineStr">
        <is>
          <t>Layanan Pojok Baca Digital</t>
        </is>
      </c>
      <c r="C145" s="178" t="inlineStr">
        <is>
          <t>Memberikan akses masyarakat terhadap bahan bacaan digital di suatu tempat tertentu.</t>
        </is>
      </c>
      <c r="D145" s="178" t="inlineStr">
        <is>
          <t>Perda Nomor 9 Tahun 2016 tentang Penyelenggaraan Perpustakaan</t>
        </is>
      </c>
      <c r="E145" s="184" t="inlineStr">
        <is>
          <t>-</t>
        </is>
      </c>
      <c r="F145" s="184" t="inlineStr">
        <is>
          <t>PENINGKATAN KUALITAS PELAYANAN PUBLIK</t>
        </is>
      </c>
      <c r="G145" s="184" t="inlineStr">
        <is>
          <t>Masyarakat</t>
        </is>
      </c>
      <c r="H145" s="288" t="n"/>
      <c r="I145" s="178" t="inlineStr">
        <is>
          <t>Data Pojok Baca Digital</t>
        </is>
      </c>
      <c r="J145" s="184" t="inlineStr">
        <is>
          <t>Tertutup</t>
        </is>
      </c>
      <c r="K145" s="184" t="inlineStr">
        <is>
          <t>Tidak terdapat</t>
        </is>
      </c>
      <c r="L145" s="184" t="inlineStr">
        <is>
          <t>Harian</t>
        </is>
      </c>
      <c r="M145" s="184" t="inlineStr">
        <is>
          <t>iPusnas</t>
        </is>
      </c>
      <c r="N145" s="184" t="inlineStr">
        <is>
          <t>Pusat</t>
        </is>
      </c>
      <c r="O145" s="184" t="inlineStr">
        <is>
          <t>Pusat</t>
        </is>
      </c>
      <c r="P145" s="184" t="inlineStr">
        <is>
          <t>Website dan Mobile</t>
        </is>
      </c>
      <c r="Q145" s="70" t="inlineStr">
        <is>
          <t>https://ipusnas2.perpusnas.go.id/login</t>
        </is>
      </c>
      <c r="R145" s="184" t="inlineStr">
        <is>
          <t>Secara Online</t>
        </is>
      </c>
      <c r="S145" s="184" t="inlineStr">
        <is>
          <t>Informasi</t>
        </is>
      </c>
      <c r="T145" s="184" t="n">
        <v>2016</v>
      </c>
      <c r="U145" s="184" t="inlineStr">
        <is>
          <t>Aktif</t>
        </is>
      </c>
      <c r="V145" s="184" t="inlineStr">
        <is>
          <t>Tidak</t>
        </is>
      </c>
      <c r="W145" s="184" t="inlineStr">
        <is>
          <t>Tidak Terintegrasi</t>
        </is>
      </c>
      <c r="X145" s="184" t="inlineStr">
        <is>
          <t>Tidak Terintegrasi</t>
        </is>
      </c>
      <c r="Y145" s="184" t="inlineStr">
        <is>
          <t>Tidak Terintegrasi</t>
        </is>
      </c>
      <c r="Z145" s="184" t="inlineStr">
        <is>
          <t>Bidang Pengelolaan Perpustakaan</t>
        </is>
      </c>
      <c r="AA145" s="184" t="inlineStr">
        <is>
          <t>Dispusip</t>
        </is>
      </c>
      <c r="AB145" s="178" t="inlineStr">
        <is>
          <t>Gugi Indra Ardiansyah</t>
        </is>
      </c>
      <c r="AC145" s="178" t="n">
        <v>89656240816</v>
      </c>
      <c r="AD145" s="178" t="inlineStr">
        <is>
          <t>perpust.kabbdg@gmail.com</t>
        </is>
      </c>
      <c r="AE145" s="288" t="n"/>
      <c r="AF145" s="288" t="n"/>
      <c r="AG145" s="284" t="n"/>
      <c r="AH145" s="284" t="n"/>
      <c r="AI145" s="284" t="n"/>
      <c r="AJ145" s="284" t="n"/>
      <c r="AK145" s="284" t="n"/>
      <c r="AL145" s="284" t="n"/>
      <c r="AM145" s="284" t="n"/>
      <c r="AN145" s="284" t="n"/>
      <c r="AO145" s="284" t="n"/>
      <c r="AP145" s="284" t="n"/>
      <c r="AQ145" s="284" t="n"/>
      <c r="AR145" s="284" t="n"/>
    </row>
    <row r="146" hidden="1" s="346">
      <c r="A146" s="62" t="n">
        <v>144</v>
      </c>
      <c r="B146" s="178" t="inlineStr">
        <is>
          <t>Laporan Kejadian Kebakaran</t>
        </is>
      </c>
      <c r="C146" s="178" t="inlineStr">
        <is>
          <t>Merupakan layanan untuk monitoring jumlah pelaporan dan progres penanganan kejadian kebakaran yang dilakukan oleh pasukan lapangan</t>
        </is>
      </c>
      <c r="D146" s="178" t="inlineStr">
        <is>
          <t>Permendagri 114/2028 tentang Standar Teknis Pelayanan Dasar pada Standar Pelayanan Minimal Sub Urusan Kebakaran Daerah Kabupaten/Kota</t>
        </is>
      </c>
      <c r="E146" s="70" t="inlineStr">
        <is>
          <t>https://drive.google.com/drive/folders/1Ejl6GsPadSWWZ-gXvbwNU62zsG4t_RcK?usp=drive_link</t>
        </is>
      </c>
      <c r="F146" s="184" t="inlineStr">
        <is>
          <t>PEMELIHARAAN KEAMANAN DAN KETERTIBAN MASYARAKAT</t>
        </is>
      </c>
      <c r="G146" s="184" t="inlineStr">
        <is>
          <t>Masyarakat</t>
        </is>
      </c>
      <c r="H146" s="184" t="inlineStr">
        <is>
          <t>Lokasi kejadian, Objek terbakar, Nama, No.HP, Dokumentasi kejadian, NIK</t>
        </is>
      </c>
      <c r="I146" s="178" t="inlineStr">
        <is>
          <t>Berita Acara Pelaporan (BAP) Kebakaran</t>
        </is>
      </c>
      <c r="J146" s="184" t="inlineStr">
        <is>
          <t>Terbatas</t>
        </is>
      </c>
      <c r="K146" s="184" t="inlineStr">
        <is>
          <t>Terdapat</t>
        </is>
      </c>
      <c r="L146" s="184" t="inlineStr">
        <is>
          <t>Harian</t>
        </is>
      </c>
      <c r="M146" s="184" t="inlineStr">
        <is>
          <t>APAR</t>
        </is>
      </c>
      <c r="N146" s="184" t="inlineStr">
        <is>
          <t>Pihak Ke 3</t>
        </is>
      </c>
      <c r="O146" s="184" t="inlineStr">
        <is>
          <t>Kab. Bandung</t>
        </is>
      </c>
      <c r="P146" s="184" t="inlineStr">
        <is>
          <t>Website dan Mobile</t>
        </is>
      </c>
      <c r="Q146" s="70" t="inlineStr">
        <is>
          <t>https://apar.bandungkab.go.id</t>
        </is>
      </c>
      <c r="R146" s="184" t="inlineStr">
        <is>
          <t>Secara Online</t>
        </is>
      </c>
      <c r="S146" s="184" t="inlineStr">
        <is>
          <t>Transaksi</t>
        </is>
      </c>
      <c r="T146" s="98" t="n">
        <v>2023</v>
      </c>
      <c r="U146" s="184" t="inlineStr">
        <is>
          <t>Aktif</t>
        </is>
      </c>
      <c r="V146" s="184" t="inlineStr">
        <is>
          <t>Ya</t>
        </is>
      </c>
      <c r="W146" s="184" t="inlineStr">
        <is>
          <t>NTPD 112</t>
        </is>
      </c>
      <c r="X146" s="184" t="inlineStr">
        <is>
          <t>API</t>
        </is>
      </c>
      <c r="Y146" s="184" t="inlineStr">
        <is>
          <t>Realtime</t>
        </is>
      </c>
      <c r="Z146" s="184" t="inlineStr">
        <is>
          <t>Bidang Sarana, Prasarana dan Informasi</t>
        </is>
      </c>
      <c r="AA146" s="184" t="inlineStr">
        <is>
          <t>Disdamkar</t>
        </is>
      </c>
      <c r="AB146" s="178" t="inlineStr">
        <is>
          <t>Noviyanti Gantini</t>
        </is>
      </c>
      <c r="AC146" s="178" t="n">
        <v>85220376631</v>
      </c>
      <c r="AD146" s="178" t="inlineStr">
        <is>
          <t>operatorkomunikasi.disdamkar@gmail.com</t>
        </is>
      </c>
      <c r="AE146" s="288" t="n"/>
      <c r="AF146" s="68" t="inlineStr">
        <is>
          <t>Insidentil</t>
        </is>
      </c>
      <c r="AG146" s="284" t="n"/>
      <c r="AH146" s="284" t="n"/>
      <c r="AI146" s="284" t="n"/>
      <c r="AJ146" s="284" t="n"/>
      <c r="AK146" s="284" t="n"/>
      <c r="AL146" s="284" t="n"/>
      <c r="AM146" s="284" t="n"/>
      <c r="AN146" s="284" t="n"/>
      <c r="AO146" s="284" t="n"/>
      <c r="AP146" s="284" t="n"/>
      <c r="AQ146" s="284" t="n"/>
      <c r="AR146" s="284" t="n"/>
    </row>
    <row r="147">
      <c r="A147" s="62" t="n">
        <v>145</v>
      </c>
      <c r="B147" s="178" t="inlineStr">
        <is>
          <t>Permohonan perbaikan dan pemeliharaan kendaraan</t>
        </is>
      </c>
      <c r="C147" s="178" t="inlineStr">
        <is>
          <t>Merupakan layanan untuk pengajuan perbaikan dan atau pemeliharaan rutin kendaraan operasional pemadam kebakaran dan penyelamatan</t>
        </is>
      </c>
      <c r="D147" s="178" t="inlineStr">
        <is>
          <t>Permendagri 122/2018 tentang Standardisasi Sarana dan Prasarana Pemadam Kebakaran di Daerah</t>
        </is>
      </c>
      <c r="E147" s="70" t="inlineStr">
        <is>
          <t>https://drive.google.com/drive/folders/1Ejl6GsPadSWWZ-gXvbwNU62zsG4t_RcK?usp=drive_link</t>
        </is>
      </c>
      <c r="F147" s="184" t="inlineStr">
        <is>
          <t>PENGELOLAAN SARANA DAN PRASARANA TRANSPORTASI</t>
        </is>
      </c>
      <c r="G147" s="184" t="inlineStr">
        <is>
          <t>Pegawai</t>
        </is>
      </c>
      <c r="H147" s="184" t="inlineStr">
        <is>
          <t>Identitas Operator Unit (Driver), Identitas Komandan Regu, Nomor Lambung Unit, Bidang, Regu, Keluhan pada Kendaraan, Rencana Perbaikan (sparepart/service)</t>
        </is>
      </c>
      <c r="I147" s="178" t="inlineStr">
        <is>
          <t>Laporan perbaikan unit (SPJ realisasi keuangan dan realisasi fisik pemeliharaan)</t>
        </is>
      </c>
      <c r="J147" s="184" t="inlineStr">
        <is>
          <t>Terbatas</t>
        </is>
      </c>
      <c r="K147" s="184" t="inlineStr">
        <is>
          <t>Tidak terdapat</t>
        </is>
      </c>
      <c r="L147" s="184" t="inlineStr">
        <is>
          <t>Lainnya</t>
        </is>
      </c>
      <c r="M147" s="184" t="inlineStr">
        <is>
          <t>google formulir</t>
        </is>
      </c>
      <c r="N147" s="184" t="inlineStr">
        <is>
          <t>OPD</t>
        </is>
      </c>
      <c r="O147" s="184" t="inlineStr">
        <is>
          <t>Kab. Bandung</t>
        </is>
      </c>
      <c r="P147" s="184" t="inlineStr">
        <is>
          <t>Website</t>
        </is>
      </c>
      <c r="Q147" s="70" t="inlineStr">
        <is>
          <t>https://bit.ly/3J7M46m?r=qr</t>
        </is>
      </c>
      <c r="R147" s="184" t="inlineStr">
        <is>
          <t>Secara Online</t>
        </is>
      </c>
      <c r="S147" s="184" t="inlineStr">
        <is>
          <t>Informasi</t>
        </is>
      </c>
      <c r="T147" s="98" t="n">
        <v>2024</v>
      </c>
      <c r="U147" s="184" t="inlineStr">
        <is>
          <t>Aktif</t>
        </is>
      </c>
      <c r="V147" s="184" t="inlineStr">
        <is>
          <t>Tidak</t>
        </is>
      </c>
      <c r="W147" s="184" t="inlineStr">
        <is>
          <t>Tidak Terintegrasi</t>
        </is>
      </c>
      <c r="X147" s="184" t="inlineStr">
        <is>
          <t>Tidak Terintegrasi</t>
        </is>
      </c>
      <c r="Y147" s="184" t="inlineStr">
        <is>
          <t>Tidak Terintegrasi</t>
        </is>
      </c>
      <c r="Z147" s="184" t="inlineStr">
        <is>
          <t>Bidang Sarana, Prasarana dan Informasi</t>
        </is>
      </c>
      <c r="AA147" s="184" t="inlineStr">
        <is>
          <t>Disdamkar</t>
        </is>
      </c>
      <c r="AB147" s="178" t="inlineStr">
        <is>
          <t>Noviyanti Gantini</t>
        </is>
      </c>
      <c r="AC147" s="178" t="n">
        <v>85220376631</v>
      </c>
      <c r="AD147" s="178" t="inlineStr">
        <is>
          <t>operatorkomunikasi.disdamkar@gmail.com</t>
        </is>
      </c>
      <c r="AE147" s="288" t="n"/>
      <c r="AF147" s="68" t="inlineStr">
        <is>
          <t>Insidentil</t>
        </is>
      </c>
      <c r="AG147" s="284" t="n"/>
      <c r="AH147" s="284" t="n"/>
      <c r="AI147" s="284" t="n"/>
      <c r="AJ147" s="284" t="n"/>
      <c r="AK147" s="284" t="n"/>
      <c r="AL147" s="284" t="n"/>
      <c r="AM147" s="284" t="n"/>
      <c r="AN147" s="284" t="n"/>
      <c r="AO147" s="284" t="n"/>
      <c r="AP147" s="284" t="n"/>
      <c r="AQ147" s="284" t="n"/>
      <c r="AR147" s="284" t="n"/>
    </row>
    <row r="148">
      <c r="A148" s="62" t="n">
        <v>146</v>
      </c>
      <c r="B148" s="178" t="inlineStr">
        <is>
          <t>Pemeliharaan rutin kendaraan operasional</t>
        </is>
      </c>
      <c r="C148" s="178" t="inlineStr">
        <is>
          <t>Merupakan layanan untuk monitoring status dan kondisi setiap kendaraan operasional pemadam kebakaran dan penyelamatan</t>
        </is>
      </c>
      <c r="D148" s="178" t="inlineStr">
        <is>
          <t>Permendagri 122/2018 tentang Standardisasi Sarana dan Prasarana Pemadam Kebakaran di Daerah</t>
        </is>
      </c>
      <c r="E148" s="70" t="inlineStr">
        <is>
          <t>https://drive.google.com/drive/folders/1Ejl6GsPadSWWZ-gXvbwNU62zsG4t_RcK?usp=drive_link</t>
        </is>
      </c>
      <c r="F148" s="184" t="inlineStr">
        <is>
          <t>PENGELOLAAN SARANA DAN PRASARANA TRANSPORTASI</t>
        </is>
      </c>
      <c r="G148" s="184" t="inlineStr">
        <is>
          <t>Pegawai</t>
        </is>
      </c>
      <c r="H148" s="184" t="inlineStr">
        <is>
          <t>Identitas Operator Unit (Driver), Identitas Komandan Regu, Nomor Lambung Unit, Bidang, Regu, Ceklis kondisi kendaraan</t>
        </is>
      </c>
      <c r="I148" s="178" t="inlineStr">
        <is>
          <t>Laporan pemeliharaan kendaraan operasional</t>
        </is>
      </c>
      <c r="J148" s="184" t="inlineStr">
        <is>
          <t>Terbatas</t>
        </is>
      </c>
      <c r="K148" s="184" t="inlineStr">
        <is>
          <t>Tidak terdapat</t>
        </is>
      </c>
      <c r="L148" s="184" t="inlineStr">
        <is>
          <t>Lainnya</t>
        </is>
      </c>
      <c r="M148" s="184" t="inlineStr">
        <is>
          <t>google formulir</t>
        </is>
      </c>
      <c r="N148" s="184" t="inlineStr">
        <is>
          <t>OPD</t>
        </is>
      </c>
      <c r="O148" s="184" t="inlineStr">
        <is>
          <t>Kab. Bandung</t>
        </is>
      </c>
      <c r="P148" s="184" t="inlineStr">
        <is>
          <t>Website</t>
        </is>
      </c>
      <c r="Q148" s="70" t="inlineStr">
        <is>
          <t>https://bit.ly/4maEzdy?r=qr</t>
        </is>
      </c>
      <c r="R148" s="184" t="inlineStr">
        <is>
          <t>Secara Online</t>
        </is>
      </c>
      <c r="S148" s="184" t="inlineStr">
        <is>
          <t>Informasi</t>
        </is>
      </c>
      <c r="T148" s="98" t="n">
        <v>2024</v>
      </c>
      <c r="U148" s="184" t="inlineStr">
        <is>
          <t>Aktif</t>
        </is>
      </c>
      <c r="V148" s="184" t="inlineStr">
        <is>
          <t>Tidak</t>
        </is>
      </c>
      <c r="W148" s="184" t="inlineStr">
        <is>
          <t>Tidak Terintegrasi</t>
        </is>
      </c>
      <c r="X148" s="184" t="inlineStr">
        <is>
          <t>Tidak Terintegrasi</t>
        </is>
      </c>
      <c r="Y148" s="184" t="inlineStr">
        <is>
          <t>Tidak Terintegrasi</t>
        </is>
      </c>
      <c r="Z148" s="184" t="inlineStr">
        <is>
          <t>Bidang Sarana, Prasarana dan Informasi</t>
        </is>
      </c>
      <c r="AA148" s="184" t="inlineStr">
        <is>
          <t>Disdamkar</t>
        </is>
      </c>
      <c r="AB148" s="178" t="inlineStr">
        <is>
          <t>Noviyanti Gantini</t>
        </is>
      </c>
      <c r="AC148" s="178" t="n">
        <v>85220376631</v>
      </c>
      <c r="AD148" s="178" t="inlineStr">
        <is>
          <t>operatorkomunikasi.disdamkar@gmail.com</t>
        </is>
      </c>
      <c r="AE148" s="288" t="n"/>
      <c r="AF148" s="68" t="inlineStr">
        <is>
          <t>Bulanan</t>
        </is>
      </c>
      <c r="AG148" s="284" t="n"/>
      <c r="AH148" s="284" t="n"/>
      <c r="AI148" s="284" t="n"/>
      <c r="AJ148" s="284" t="n"/>
      <c r="AK148" s="284" t="n"/>
      <c r="AL148" s="284" t="n"/>
      <c r="AM148" s="284" t="n"/>
      <c r="AN148" s="284" t="n"/>
      <c r="AO148" s="284" t="n"/>
      <c r="AP148" s="284" t="n"/>
      <c r="AQ148" s="284" t="n"/>
      <c r="AR148" s="284" t="n"/>
    </row>
    <row r="149">
      <c r="A149" s="62" t="n">
        <v>147</v>
      </c>
      <c r="B149" s="178" t="inlineStr">
        <is>
          <t>Pembentukan dan Pembinaan Relawan Pemadam Kebakaran (REDKAR BEDAS SIAGA)</t>
        </is>
      </c>
      <c r="C149" s="178" t="inlineStr">
        <is>
          <t>Tujuannya untuk memberdayakan masyarakat desa agak tercipta lingkungan yang aman dari bahaya kebakaran serta fungsi lainnya yaitu sebagai perpanjangan tangan Disdamkar yang dapat bekerja sama dengan pasukan lapangan dalam melaksanakan penanggulangan kebakaran, penyelamatan, penyuluhan/sosialisasi, dan penyebaran informasi</t>
        </is>
      </c>
      <c r="D149" s="178" t="inlineStr">
        <is>
          <t>Permendagri nomor 364.1-306 tahun 2020 pedoman pembinaan relawan pemadam kebakaran</t>
        </is>
      </c>
      <c r="E149" s="70" t="inlineStr">
        <is>
          <t>https://drive.google.com/drive/folders/1Ejl6GsPadSWWZ-gXvbwNU62zsG4t_RcK?usp=drive_link</t>
        </is>
      </c>
      <c r="F149" s="184" t="inlineStr">
        <is>
          <t>PEMBERDAYAAN DAN PERAN MASYARAKAT</t>
        </is>
      </c>
      <c r="G149" s="184" t="inlineStr">
        <is>
          <t>Masyarakat</t>
        </is>
      </c>
      <c r="H149" s="184" t="inlineStr">
        <is>
          <t>Usulan peserta dari hasil Musrenbang</t>
        </is>
      </c>
      <c r="I149" s="178" t="inlineStr">
        <is>
          <t>SK Keanggotaan REDKAR, Dokumen verifikasi kepesertaan REDKAR dari Kemendagri, Kartu anggota, sertifikat, data base jumlah REDKAR</t>
        </is>
      </c>
      <c r="J149" s="184" t="inlineStr">
        <is>
          <t>Terbatas</t>
        </is>
      </c>
      <c r="K149" s="184" t="inlineStr">
        <is>
          <t>Terdapat</t>
        </is>
      </c>
      <c r="L149" s="184" t="inlineStr">
        <is>
          <t>Bulanan</t>
        </is>
      </c>
      <c r="M149" s="184" t="inlineStr">
        <is>
          <t>Form manual</t>
        </is>
      </c>
      <c r="N149" s="184" t="inlineStr">
        <is>
          <t>OPD</t>
        </is>
      </c>
      <c r="O149" s="184" t="inlineStr">
        <is>
          <t>Kab. Bandung</t>
        </is>
      </c>
      <c r="P149" s="184" t="inlineStr">
        <is>
          <t>Desktop</t>
        </is>
      </c>
      <c r="Q149" s="178" t="inlineStr">
        <is>
          <t>tidak ada</t>
        </is>
      </c>
      <c r="R149" s="184" t="inlineStr">
        <is>
          <t>Secara Offline</t>
        </is>
      </c>
      <c r="S149" s="184" t="inlineStr">
        <is>
          <t>Transaksi</t>
        </is>
      </c>
      <c r="T149" s="98" t="n">
        <v>2021</v>
      </c>
      <c r="U149" s="184" t="inlineStr">
        <is>
          <t>Non Aktif</t>
        </is>
      </c>
      <c r="V149" s="184" t="inlineStr">
        <is>
          <t>Tidak</t>
        </is>
      </c>
      <c r="W149" s="184" t="inlineStr">
        <is>
          <t>Tidak Terintegrasi</t>
        </is>
      </c>
      <c r="X149" s="184" t="inlineStr">
        <is>
          <t>Tidak Terintegrasi</t>
        </is>
      </c>
      <c r="Y149" s="184" t="inlineStr">
        <is>
          <t>Tidak Terintegrasi</t>
        </is>
      </c>
      <c r="Z149" s="184" t="inlineStr">
        <is>
          <t>Bidang Pencegahan Kebakaran</t>
        </is>
      </c>
      <c r="AA149" s="184" t="inlineStr">
        <is>
          <t>Disdamkar</t>
        </is>
      </c>
      <c r="AB149" s="178" t="inlineStr">
        <is>
          <t>Salsabila Yasmine</t>
        </is>
      </c>
      <c r="AC149" s="178" t="inlineStr">
        <is>
          <t>0822-1342-3494</t>
        </is>
      </c>
      <c r="AD149" s="178" t="inlineStr">
        <is>
          <t>-</t>
        </is>
      </c>
      <c r="AE149" s="288" t="n"/>
      <c r="AF149" s="68" t="inlineStr">
        <is>
          <t>Tahunan</t>
        </is>
      </c>
      <c r="AG149" s="284" t="n"/>
      <c r="AH149" s="284" t="n"/>
      <c r="AI149" s="284" t="n"/>
      <c r="AJ149" s="284" t="n"/>
      <c r="AK149" s="284" t="n"/>
      <c r="AL149" s="284" t="n"/>
      <c r="AM149" s="284" t="n"/>
      <c r="AN149" s="284" t="n"/>
      <c r="AO149" s="284" t="n"/>
      <c r="AP149" s="284" t="n"/>
      <c r="AQ149" s="284" t="n"/>
      <c r="AR149" s="284" t="n"/>
    </row>
    <row r="150">
      <c r="A150" s="62" t="n">
        <v>148</v>
      </c>
      <c r="B150" s="178" t="inlineStr">
        <is>
          <t>Pemberdayaan Masyarakat dalam Pencegahan dan Penanggulangan Kebakaran melalui Sosialisai dan Edukasi Masyarakat</t>
        </is>
      </c>
      <c r="C150" s="178" t="inlineStr">
        <is>
          <t>Merupakan layanan untuk memberikan edukasi dan sosialisasi pencegahan dini kebakaran kepada masyarakat dan dunia usaha</t>
        </is>
      </c>
      <c r="D150" s="178" t="inlineStr">
        <is>
          <t>Peraturan Bupati Bandung Nomor 80 Tahun 2016 Tentang Uraian Tugas, Fungsi dan Tata Kerja Dinas Kebakaran.</t>
        </is>
      </c>
      <c r="E150" s="70" t="inlineStr">
        <is>
          <t>https://drive.google.com/drive/folders/1Ejl6GsPadSWWZ-gXvbwNU62zsG4t_RcK?usp=drive_link</t>
        </is>
      </c>
      <c r="F150" s="184" t="inlineStr">
        <is>
          <t>PEMBERDAYAAN DAN PERAN MASYARAKAT</t>
        </is>
      </c>
      <c r="G150" s="184" t="inlineStr">
        <is>
          <t>Masyarakat</t>
        </is>
      </c>
      <c r="H150" s="184" t="inlineStr">
        <is>
          <t>Surat permohonan</t>
        </is>
      </c>
      <c r="I150" s="178" t="inlineStr">
        <is>
          <t>Data base jumlah masyarakat yang mendapatkan layanan sosialisasi</t>
        </is>
      </c>
      <c r="J150" s="184" t="inlineStr">
        <is>
          <t>Terbatas</t>
        </is>
      </c>
      <c r="K150" s="184" t="inlineStr">
        <is>
          <t>Tidak terdapat</t>
        </is>
      </c>
      <c r="L150" s="184" t="inlineStr">
        <is>
          <t>Bulanan</t>
        </is>
      </c>
      <c r="M150" s="184" t="inlineStr">
        <is>
          <t>Form manual</t>
        </is>
      </c>
      <c r="N150" s="184" t="inlineStr">
        <is>
          <t>OPD</t>
        </is>
      </c>
      <c r="O150" s="184" t="inlineStr">
        <is>
          <t>Kab. Bandung</t>
        </is>
      </c>
      <c r="P150" s="184" t="inlineStr">
        <is>
          <t>Desktop</t>
        </is>
      </c>
      <c r="Q150" s="178" t="inlineStr">
        <is>
          <t>tidak ada</t>
        </is>
      </c>
      <c r="R150" s="184" t="inlineStr">
        <is>
          <t>Secara Offline</t>
        </is>
      </c>
      <c r="S150" s="184" t="inlineStr">
        <is>
          <t>Informasi</t>
        </is>
      </c>
      <c r="T150" s="98" t="n">
        <v>2021</v>
      </c>
      <c r="U150" s="184" t="inlineStr">
        <is>
          <t>Non Aktif</t>
        </is>
      </c>
      <c r="V150" s="184" t="inlineStr">
        <is>
          <t>Tidak</t>
        </is>
      </c>
      <c r="W150" s="184" t="inlineStr">
        <is>
          <t>Tidak Terintegrasi</t>
        </is>
      </c>
      <c r="X150" s="184" t="inlineStr">
        <is>
          <t>Tidak Terintegrasi</t>
        </is>
      </c>
      <c r="Y150" s="184" t="inlineStr">
        <is>
          <t>Tidak Terintegrasi</t>
        </is>
      </c>
      <c r="Z150" s="184" t="inlineStr">
        <is>
          <t>Bidang Pencegahan Kebakaran</t>
        </is>
      </c>
      <c r="AA150" s="184" t="inlineStr">
        <is>
          <t>Disdamkar</t>
        </is>
      </c>
      <c r="AB150" s="178" t="inlineStr">
        <is>
          <t>Salsabila Yasmine</t>
        </is>
      </c>
      <c r="AC150" s="178" t="inlineStr">
        <is>
          <t>0822-1342-3494</t>
        </is>
      </c>
      <c r="AD150" s="178" t="inlineStr">
        <is>
          <t>-</t>
        </is>
      </c>
      <c r="AE150" s="288" t="n"/>
      <c r="AF150" s="68" t="inlineStr">
        <is>
          <t>Setiap Saat</t>
        </is>
      </c>
      <c r="AG150" s="284" t="n"/>
      <c r="AH150" s="284" t="n"/>
      <c r="AI150" s="284" t="n"/>
      <c r="AJ150" s="284" t="n"/>
      <c r="AK150" s="284" t="n"/>
      <c r="AL150" s="284" t="n"/>
      <c r="AM150" s="284" t="n"/>
      <c r="AN150" s="284" t="n"/>
      <c r="AO150" s="284" t="n"/>
      <c r="AP150" s="284" t="n"/>
      <c r="AQ150" s="284" t="n"/>
      <c r="AR150" s="284" t="n"/>
    </row>
    <row r="151">
      <c r="A151" s="62" t="n">
        <v>149</v>
      </c>
      <c r="B151" s="178" t="inlineStr">
        <is>
          <t>Pendataan dan Inspeksi Proteksi Kebakaran</t>
        </is>
      </c>
      <c r="C151" s="178" t="inlineStr">
        <is>
          <t>Merupakan layanan pemeriksaan dan uji riksa sarana dan prasarana proteksi kebakaran pada bangunan gedung di wilayah kabupaten bandung</t>
        </is>
      </c>
      <c r="D151" s="178" t="inlineStr">
        <is>
          <t>- Undang - Undang Bangunan Gedung Nomor 28 tahun 2002 tentang Bangunan Gedung
 - Peraturan Pemerintah Nomor 16 tahun 2021 tentang Peraturan Pelaksanaan Undang-Undang Nomor 28 Tahun 2002 tentang Bangunan Gedung
 - Peraturan Menteri Pekerjaan Umum dan Perumahan Rakyat Nomor 26/PRT/M/2008 tentang Persyaratan Teknis Sistem Proteksi Kebakaran pada Bangunan Gedung dan Lingkungan
 - Peraturan Daerah Kabupaten Bandung Nomor 7 Tahun 2009 tentang Pencegahan dan Penanggulangan Bahaya Kebakaran
 - Peraturan Daerah Kabupaten Bandung Nomor 14 tahun 2012 tentang Perubahan Atas Peraturan Daerah Kabupaten Bandung Nomor 7 Tahun 2009 Tentang Pencegahan dan Penanggulangan Bahaya Kebakaran
 - Peraturan Bupati Bandung Nomor 13 tahun 2010 tentang Petunjuk Pelaksanaan dan Petunjuk Teknis Peraturan Daerah Kabupaten Bandung Nomor 7 Tahun 2009 tentang Pencegahan dan Penanggulangan Bahaya Kebakaran</t>
        </is>
      </c>
      <c r="E151" s="70" t="inlineStr">
        <is>
          <t>https://drive.google.com/drive/folders/1Ejl6GsPadSWWZ-gXvbwNU62zsG4t_RcK?usp=drive_link</t>
        </is>
      </c>
      <c r="F151" s="184" t="inlineStr">
        <is>
          <t>PENATAAN BANGUNAN GEDUNG</t>
        </is>
      </c>
      <c r="G151" s="184" t="inlineStr">
        <is>
          <t>Masyarakat</t>
        </is>
      </c>
      <c r="H151" s="184" t="inlineStr">
        <is>
          <t>- Data bangunan gedung yang memenuhi standar proteksi kebakaran</t>
        </is>
      </c>
      <c r="I151" s="184" t="inlineStr">
        <is>
          <t>- Data bangunan gedung yang memenuhi standar proteksi kebakaran</t>
        </is>
      </c>
      <c r="J151" s="184" t="inlineStr">
        <is>
          <t>Terbatas</t>
        </is>
      </c>
      <c r="K151" s="184" t="inlineStr">
        <is>
          <t>Terdapat</t>
        </is>
      </c>
      <c r="L151" s="184" t="inlineStr">
        <is>
          <t>Tahunan</t>
        </is>
      </c>
      <c r="M151" s="184" t="inlineStr">
        <is>
          <t>Form manual</t>
        </is>
      </c>
      <c r="N151" s="184" t="inlineStr">
        <is>
          <t>OPD</t>
        </is>
      </c>
      <c r="O151" s="184" t="inlineStr">
        <is>
          <t>Kab. Bandung</t>
        </is>
      </c>
      <c r="P151" s="184" t="inlineStr">
        <is>
          <t>Desktop</t>
        </is>
      </c>
      <c r="Q151" s="178" t="inlineStr">
        <is>
          <t>tidak ada</t>
        </is>
      </c>
      <c r="R151" s="184" t="inlineStr">
        <is>
          <t>Secara Offline</t>
        </is>
      </c>
      <c r="S151" s="184" t="inlineStr">
        <is>
          <t>Informasi</t>
        </is>
      </c>
      <c r="T151" s="98" t="n">
        <v>2017</v>
      </c>
      <c r="U151" s="184" t="inlineStr">
        <is>
          <t>Non Aktif</t>
        </is>
      </c>
      <c r="V151" s="184" t="inlineStr">
        <is>
          <t>Tidak</t>
        </is>
      </c>
      <c r="W151" s="184" t="inlineStr">
        <is>
          <t>Tidak Terintegrasi</t>
        </is>
      </c>
      <c r="X151" s="184" t="inlineStr">
        <is>
          <t>Tidak Terintegrasi</t>
        </is>
      </c>
      <c r="Y151" s="184" t="inlineStr">
        <is>
          <t>Tidak Terintegrasi</t>
        </is>
      </c>
      <c r="Z151" s="184" t="inlineStr">
        <is>
          <t>Bidang Pencegahan pada Disdamkar Kab. Bandung</t>
        </is>
      </c>
      <c r="AA151" s="184" t="inlineStr">
        <is>
          <t>Disdamkar</t>
        </is>
      </c>
      <c r="AB151" s="178" t="inlineStr">
        <is>
          <t>1. Ekki Malik Ibrahim, S.T.
 2. Rifqi Faza Maulana, S.Ars.</t>
        </is>
      </c>
      <c r="AC151" s="178" t="inlineStr">
        <is>
          <t>081320090620
 082120207124</t>
        </is>
      </c>
      <c r="AD151" s="178" t="inlineStr">
        <is>
          <t>-</t>
        </is>
      </c>
      <c r="AE151" s="288" t="n"/>
      <c r="AF151" s="68" t="inlineStr">
        <is>
          <t>Setiap Saat</t>
        </is>
      </c>
      <c r="AG151" s="284" t="n"/>
      <c r="AH151" s="284" t="n"/>
      <c r="AI151" s="284" t="n"/>
      <c r="AJ151" s="284" t="n"/>
      <c r="AK151" s="284" t="n"/>
      <c r="AL151" s="284" t="n"/>
      <c r="AM151" s="284" t="n"/>
      <c r="AN151" s="284" t="n"/>
      <c r="AO151" s="284" t="n"/>
      <c r="AP151" s="284" t="n"/>
      <c r="AQ151" s="284" t="n"/>
      <c r="AR151" s="284" t="n"/>
    </row>
    <row r="152">
      <c r="A152" s="62" t="n">
        <v>150</v>
      </c>
      <c r="B152" s="178" t="inlineStr">
        <is>
          <t>Investigasi pasca Kebakaran</t>
        </is>
      </c>
      <c r="C152" s="178" t="inlineStr">
        <is>
          <t>Merupakan layanan investigasi pada kejadian pasca kebakaran</t>
        </is>
      </c>
      <c r="D152" s="178" t="inlineStr">
        <is>
          <t>Permendagri 114/2028 tentang Standar Teknis Pelayanan Dasar pada Standar Pelayanan Minimal Sub Urusan Kebakaran Daerah Kabupaten/Kota</t>
        </is>
      </c>
      <c r="E152" s="70" t="inlineStr">
        <is>
          <t>https://drive.google.com/drive/folders/1Ejl6GsPadSWWZ-gXvbwNU62zsG4t_RcK?usp=drive_link</t>
        </is>
      </c>
      <c r="F152" s="184" t="inlineStr">
        <is>
          <t>PEMELIHARAAN KEAMANAN DAN KETERTIBAN MASYARAKAT</t>
        </is>
      </c>
      <c r="G152" s="184" t="inlineStr">
        <is>
          <t>Masyarakat</t>
        </is>
      </c>
      <c r="H152" s="184" t="inlineStr">
        <is>
          <t>Lokasi kejadian, Objek terbakar, Nama, No.HP, Dokumentasi kejadian, NIK, Dugaan penyebab kebakaran, taksiran aset selamat dan terbakar</t>
        </is>
      </c>
      <c r="I152" s="178" t="inlineStr">
        <is>
          <t>Laporan hasil investigasi</t>
        </is>
      </c>
      <c r="J152" s="184" t="inlineStr">
        <is>
          <t>Terbatas</t>
        </is>
      </c>
      <c r="K152" s="184" t="inlineStr">
        <is>
          <t>Terdapat</t>
        </is>
      </c>
      <c r="L152" s="184" t="inlineStr">
        <is>
          <t>Bulanan</t>
        </is>
      </c>
      <c r="M152" s="184" t="inlineStr">
        <is>
          <t>Form manual</t>
        </is>
      </c>
      <c r="N152" s="184" t="inlineStr">
        <is>
          <t>OPD</t>
        </is>
      </c>
      <c r="O152" s="184" t="inlineStr">
        <is>
          <t>Kab. Bandung</t>
        </is>
      </c>
      <c r="P152" s="184" t="inlineStr">
        <is>
          <t>Desktop</t>
        </is>
      </c>
      <c r="Q152" s="178" t="inlineStr">
        <is>
          <t>tidak ada</t>
        </is>
      </c>
      <c r="R152" s="184" t="inlineStr">
        <is>
          <t>Secara Offline</t>
        </is>
      </c>
      <c r="S152" s="184" t="inlineStr">
        <is>
          <t>Informasi</t>
        </is>
      </c>
      <c r="T152" s="98" t="n">
        <v>2021</v>
      </c>
      <c r="U152" s="184" t="inlineStr">
        <is>
          <t>Non Aktif</t>
        </is>
      </c>
      <c r="V152" s="184" t="inlineStr">
        <is>
          <t>Tidak</t>
        </is>
      </c>
      <c r="W152" s="184" t="inlineStr">
        <is>
          <t>Tidak Terintegrasi</t>
        </is>
      </c>
      <c r="X152" s="184" t="inlineStr">
        <is>
          <t>Tidak Terintegrasi</t>
        </is>
      </c>
      <c r="Y152" s="184" t="inlineStr">
        <is>
          <t>Tidak Terintegrasi</t>
        </is>
      </c>
      <c r="Z152" s="184" t="inlineStr">
        <is>
          <t>Bidang Pemadaman</t>
        </is>
      </c>
      <c r="AA152" s="184" t="inlineStr">
        <is>
          <t>Disdamkar</t>
        </is>
      </c>
      <c r="AB152" s="178" t="inlineStr">
        <is>
          <t>Rizki Nauval Mujahid</t>
        </is>
      </c>
      <c r="AC152" s="178" t="inlineStr">
        <is>
          <t>0896-5632-7735</t>
        </is>
      </c>
      <c r="AD152" s="178" t="inlineStr">
        <is>
          <t>-</t>
        </is>
      </c>
      <c r="AE152" s="288" t="n"/>
      <c r="AF152" s="68" t="inlineStr">
        <is>
          <t>Insidentil</t>
        </is>
      </c>
      <c r="AG152" s="284" t="n"/>
      <c r="AH152" s="284" t="n"/>
      <c r="AI152" s="284" t="n"/>
      <c r="AJ152" s="284" t="n"/>
      <c r="AK152" s="284" t="n"/>
      <c r="AL152" s="284" t="n"/>
      <c r="AM152" s="284" t="n"/>
      <c r="AN152" s="284" t="n"/>
      <c r="AO152" s="284" t="n"/>
      <c r="AP152" s="284" t="n"/>
      <c r="AQ152" s="284" t="n"/>
      <c r="AR152" s="284" t="n"/>
    </row>
    <row r="153">
      <c r="A153" s="62" t="n">
        <v>151</v>
      </c>
      <c r="B153" s="178" t="inlineStr">
        <is>
          <t>Dukungan Pemberdayaan Masyarakat / Relawan Pemadam Kebakaran Melalui Penyediaan Sarana dan Prasarana</t>
        </is>
      </c>
      <c r="C153" s="178" t="inlineStr">
        <is>
          <t>Meminimalisir dampak kejadian kebakaran berupa korban jiwa dan harta benda,dengan tujuan tercapainya kelancaran pelaksanaan kegiatan</t>
        </is>
      </c>
      <c r="D153" s="178" t="inlineStr">
        <is>
          <t>Peraturan Bupati Bandung Nomor 13 Tahun 2010 Tentang Petunjuk Pelaksanaan dan Petunjuk Teknis Peraturan Daerah Kabupaten Bandung Nomor 7 Tahun 2009 Tentang Penanggulangan dan Pencegahan Kebakaran.</t>
        </is>
      </c>
      <c r="E153" s="70" t="inlineStr">
        <is>
          <t>https://drive.google.com/drive/folders/1Ejl6GsPadSWWZ-gXvbwNU62zsG4t_RcK?usp=drive_link</t>
        </is>
      </c>
      <c r="F153" s="184" t="inlineStr">
        <is>
          <t>PEMBERDAYAAN DAN PERAN MASYARAKAT</t>
        </is>
      </c>
      <c r="G153" s="184" t="inlineStr">
        <is>
          <t>Masyarakat</t>
        </is>
      </c>
      <c r="H153" s="184" t="inlineStr">
        <is>
          <t>Proposal usulan, SK Desa yang mendapatkan dukungan sarpras</t>
        </is>
      </c>
      <c r="I153" s="178" t="inlineStr">
        <is>
          <t>Laporan hasil kegiatan dukungan sarpas</t>
        </is>
      </c>
      <c r="J153" s="184" t="inlineStr">
        <is>
          <t>Terbatas</t>
        </is>
      </c>
      <c r="K153" s="184" t="inlineStr">
        <is>
          <t>Tidak terdapat</t>
        </is>
      </c>
      <c r="L153" s="184" t="inlineStr">
        <is>
          <t>Tahunan</t>
        </is>
      </c>
      <c r="M153" s="184" t="inlineStr">
        <is>
          <t>Form manual</t>
        </is>
      </c>
      <c r="N153" s="184" t="inlineStr">
        <is>
          <t>OPD</t>
        </is>
      </c>
      <c r="O153" s="184" t="inlineStr">
        <is>
          <t>Kab. Bandung</t>
        </is>
      </c>
      <c r="P153" s="184" t="inlineStr">
        <is>
          <t>Desktop</t>
        </is>
      </c>
      <c r="Q153" s="178" t="inlineStr">
        <is>
          <t>tidak ada</t>
        </is>
      </c>
      <c r="R153" s="184" t="inlineStr">
        <is>
          <t>Secara Offline</t>
        </is>
      </c>
      <c r="S153" s="184" t="inlineStr">
        <is>
          <t>Transaksi</t>
        </is>
      </c>
      <c r="T153" s="98" t="n">
        <v>2021</v>
      </c>
      <c r="U153" s="184" t="inlineStr">
        <is>
          <t>Non Aktif</t>
        </is>
      </c>
      <c r="V153" s="184" t="inlineStr">
        <is>
          <t>Tidak</t>
        </is>
      </c>
      <c r="W153" s="184" t="inlineStr">
        <is>
          <t>Tidak Terintegrasi</t>
        </is>
      </c>
      <c r="X153" s="184" t="inlineStr">
        <is>
          <t>Tidak Terintegrasi</t>
        </is>
      </c>
      <c r="Y153" s="184" t="inlineStr">
        <is>
          <t>Tidak Terintegrasi</t>
        </is>
      </c>
      <c r="Z153" s="184" t="inlineStr">
        <is>
          <t>Bidang Pencegahan Kebakaran</t>
        </is>
      </c>
      <c r="AA153" s="184" t="inlineStr">
        <is>
          <t>Disdamkar</t>
        </is>
      </c>
      <c r="AB153" s="178" t="inlineStr">
        <is>
          <t>Salsabila Yasmine</t>
        </is>
      </c>
      <c r="AC153" s="178" t="inlineStr">
        <is>
          <t>0822-1342-3494</t>
        </is>
      </c>
      <c r="AD153" s="178" t="inlineStr">
        <is>
          <t>-</t>
        </is>
      </c>
      <c r="AE153" s="288" t="n"/>
      <c r="AF153" s="68" t="inlineStr">
        <is>
          <t>Tahunan</t>
        </is>
      </c>
      <c r="AG153" s="284" t="n"/>
      <c r="AH153" s="284" t="n"/>
      <c r="AI153" s="284" t="n"/>
      <c r="AJ153" s="284" t="n"/>
      <c r="AK153" s="284" t="n"/>
      <c r="AL153" s="284" t="n"/>
      <c r="AM153" s="284" t="n"/>
      <c r="AN153" s="284" t="n"/>
      <c r="AO153" s="284" t="n"/>
      <c r="AP153" s="284" t="n"/>
      <c r="AQ153" s="284" t="n"/>
      <c r="AR153" s="284" t="n"/>
    </row>
    <row r="154">
      <c r="A154" s="62" t="n">
        <v>152</v>
      </c>
      <c r="B154" s="178" t="inlineStr">
        <is>
          <t>Pencatatan Surat Masuk dan Keluar</t>
        </is>
      </c>
      <c r="C154" s="178" t="inlineStr">
        <is>
          <t>Untuk Pencatatan Surat Masuk, Surat Keluar, Agenda Kegiatan serta Pencatatan Legalisir Salinan Dokumen</t>
        </is>
      </c>
      <c r="D154" s="178" t="inlineStr">
        <is>
          <t>Peraturan Arsip Nasional Republik Indonesia nomor 9 Tahun 2018 tentang Pedoman Pemeliharaan Arsip Dinamis</t>
        </is>
      </c>
      <c r="E154" s="288" t="n"/>
      <c r="F154" s="184" t="inlineStr">
        <is>
          <t>PENGELOLAAN INFORMASI PUBLIK</t>
        </is>
      </c>
      <c r="G154" s="184" t="inlineStr">
        <is>
          <t>Pegawai</t>
        </is>
      </c>
      <c r="H154" s="184" t="inlineStr">
        <is>
          <t>Data Surat Masuk, Pengirim Surat</t>
        </is>
      </c>
      <c r="I154" s="178" t="inlineStr">
        <is>
          <t>Data Pengelolaan Kearsipan Surat Masuk dan Keluar, Agenda Kegiatan, Rekap Legalisir Salinan Dokumen</t>
        </is>
      </c>
      <c r="J154" s="184" t="inlineStr">
        <is>
          <t>Terbatas</t>
        </is>
      </c>
      <c r="K154" s="184" t="inlineStr">
        <is>
          <t>Terdapat</t>
        </is>
      </c>
      <c r="L154" s="184" t="inlineStr">
        <is>
          <t>Bulanan</t>
        </is>
      </c>
      <c r="M154" s="184" t="inlineStr">
        <is>
          <t>Google formulir</t>
        </is>
      </c>
      <c r="N154" s="184" t="inlineStr">
        <is>
          <t>OPD</t>
        </is>
      </c>
      <c r="O154" s="184" t="inlineStr">
        <is>
          <t>Kab. Bandung</t>
        </is>
      </c>
      <c r="P154" s="184" t="inlineStr">
        <is>
          <t>Website</t>
        </is>
      </c>
      <c r="Q154" s="178" t="inlineStr">
        <is>
          <t>tidak ada</t>
        </is>
      </c>
      <c r="R154" s="184" t="inlineStr">
        <is>
          <t>Secara Online</t>
        </is>
      </c>
      <c r="S154" s="184" t="inlineStr">
        <is>
          <t>Transaksi</t>
        </is>
      </c>
      <c r="T154" s="98" t="n">
        <v>2024</v>
      </c>
      <c r="U154" s="184" t="inlineStr">
        <is>
          <t>Aktif</t>
        </is>
      </c>
      <c r="V154" s="184" t="inlineStr">
        <is>
          <t>Tidak</t>
        </is>
      </c>
      <c r="W154" s="184" t="inlineStr">
        <is>
          <t>Tidak Terintegrasi</t>
        </is>
      </c>
      <c r="X154" s="184" t="inlineStr">
        <is>
          <t>Tidak Terintegrasi</t>
        </is>
      </c>
      <c r="Y154" s="184" t="inlineStr">
        <is>
          <t>Tidak Terintegrasi</t>
        </is>
      </c>
      <c r="Z154" s="184" t="inlineStr">
        <is>
          <t>Sekretariat - Umum dan Kepegawaian</t>
        </is>
      </c>
      <c r="AA154" s="184" t="inlineStr">
        <is>
          <t>Disdamkar</t>
        </is>
      </c>
      <c r="AB154" s="178" t="inlineStr">
        <is>
          <t>Muhammad Heda Nurhidayatulloh</t>
        </is>
      </c>
      <c r="AC154" s="178" t="inlineStr">
        <is>
          <t>0822-1918-5277</t>
        </is>
      </c>
      <c r="AD154" s="178" t="inlineStr">
        <is>
          <t>disdamkar@bandungkab.go.id</t>
        </is>
      </c>
      <c r="AE154" s="288" t="n"/>
      <c r="AF154" s="68" t="inlineStr">
        <is>
          <t>Harian</t>
        </is>
      </c>
      <c r="AG154" s="284" t="n"/>
      <c r="AH154" s="284" t="n"/>
      <c r="AI154" s="284" t="n"/>
      <c r="AJ154" s="284" t="n"/>
      <c r="AK154" s="284" t="n"/>
      <c r="AL154" s="284" t="n"/>
      <c r="AM154" s="284" t="n"/>
      <c r="AN154" s="284" t="n"/>
      <c r="AO154" s="284" t="n"/>
      <c r="AP154" s="284" t="n"/>
      <c r="AQ154" s="284" t="n"/>
      <c r="AR154" s="284" t="n"/>
    </row>
    <row r="155" hidden="1" s="346">
      <c r="A155" s="62" t="n">
        <v>153</v>
      </c>
      <c r="B155" s="178" t="inlineStr">
        <is>
          <t>Layanan Pendataan Kunjungan Wisatawan</t>
        </is>
      </c>
      <c r="C155" s="178" t="inlineStr">
        <is>
          <t>- Menyediakan data mengenai jumlah kunjungan wisatawan, profil usaha pariwisata, dan grafik kunjungan wisatawan (domestik maupun mancanegara).
 - Mendukung perencanaan dan kebijakan pembangunan pariwisata daerah.
 - Memantau perkembangan tren pariwisata secara berkala untuk melihat pertumbuhan sektor pariwisata.
 - Mendorong promosi dan investasi dengan data yang dapat dijadikan dasar analisis potensi pasar wisata.
 - Alat monitoring dan evaluasi dalam pelaksanaan program dan kegiatan kepariwisataan.</t>
        </is>
      </c>
      <c r="D155" s="178" t="inlineStr">
        <is>
          <t>Undang-Undang Nomor 10 Tahun 2009 tentang Kepariwisataan, terkait :
 - Pasal 14 huruf g: Pemerintah dan pemerintah daerah berkewajiban menyediakan data dan informasi kepariwisataan secara lengkap, akurat, dan terkini.
 - Pasal 30: Setiap usaha pariwisata wajib menyampaikan data dan informasi yang benar kepada pemerintah/pemerintah daerah.
 Peraturan Bupati No 82 Tahun 2019, tentang Tatakelola Satu Data Daerah</t>
        </is>
      </c>
      <c r="E155" s="70" t="inlineStr">
        <is>
          <t>https://drive.google.com/drive/u/1/folders/1OmZJCQ07S-vIbWQDO6jSHpZyJaE2oGJM</t>
        </is>
      </c>
      <c r="F155" s="184" t="inlineStr">
        <is>
          <t>PENGELOLAAN DATA STATISTIK</t>
        </is>
      </c>
      <c r="G155" s="184" t="inlineStr">
        <is>
          <t>Pelaku Bisnis</t>
        </is>
      </c>
      <c r="H155" s="184" t="inlineStr">
        <is>
          <t>- Data Pengunjung/wisatawan domestik maupun mancanegara
 - Data usaha Pariwisata (Daya Tarik Wisata, Akomodasi, Makan dan Minum, Rekreasi dan Hiburan serta Wisata Tirta.)
 - Informasi Destinasi Wisata (tiket masuk, jam operasional dll.)</t>
        </is>
      </c>
      <c r="I155" s="178" t="inlineStr">
        <is>
          <t>Data tren kunjungan wisatawan dan media promosi usaha wisata</t>
        </is>
      </c>
      <c r="J155" s="184" t="inlineStr">
        <is>
          <t>Terbatas</t>
        </is>
      </c>
      <c r="K155" s="184" t="inlineStr">
        <is>
          <t>Terdapat</t>
        </is>
      </c>
      <c r="L155" s="184" t="inlineStr">
        <is>
          <t>Lainnya</t>
        </is>
      </c>
      <c r="M155" s="184" t="inlineStr">
        <is>
          <t>SIM BARRAYA</t>
        </is>
      </c>
      <c r="N155" s="184" t="inlineStr">
        <is>
          <t>OPD</t>
        </is>
      </c>
      <c r="O155" s="184" t="inlineStr">
        <is>
          <t>Kab. Bandung</t>
        </is>
      </c>
      <c r="P155" s="184" t="inlineStr">
        <is>
          <t>Website</t>
        </is>
      </c>
      <c r="Q155" s="70" t="inlineStr">
        <is>
          <t>https://simbarraya.bandungkab.go.id/</t>
        </is>
      </c>
      <c r="R155" s="184" t="inlineStr">
        <is>
          <t>Secara Online</t>
        </is>
      </c>
      <c r="S155" s="184" t="inlineStr">
        <is>
          <t>Informasi</t>
        </is>
      </c>
      <c r="T155" s="184" t="n">
        <v>2022</v>
      </c>
      <c r="U155" s="184" t="inlineStr">
        <is>
          <t>Aktif</t>
        </is>
      </c>
      <c r="V155" s="184" t="inlineStr">
        <is>
          <t>Tidak</t>
        </is>
      </c>
      <c r="W155" s="184" t="inlineStr">
        <is>
          <t>Tidak Terintegrasi</t>
        </is>
      </c>
      <c r="X155" s="184" t="inlineStr">
        <is>
          <t>Tidak Terintegrasi</t>
        </is>
      </c>
      <c r="Y155" s="184" t="inlineStr">
        <is>
          <t>Tidak Terintegrasi</t>
        </is>
      </c>
      <c r="Z155" s="184" t="inlineStr">
        <is>
          <t>Bidang Ekonomi Kreatif</t>
        </is>
      </c>
      <c r="AA155" s="184" t="inlineStr">
        <is>
          <t>Disparekraf</t>
        </is>
      </c>
      <c r="AB155" s="178" t="inlineStr">
        <is>
          <t>- Moch Syahril Anas, S.Kom</t>
        </is>
      </c>
      <c r="AC155" s="98" t="n">
        <v>89678500033</v>
      </c>
      <c r="AD155" s="178" t="inlineStr">
        <is>
          <t>syahrilanas09@gmail.com</t>
        </is>
      </c>
      <c r="AE155" s="288" t="n"/>
      <c r="AF155" s="288" t="n"/>
      <c r="AG155" s="216" t="inlineStr">
        <is>
          <t>pelaku usaha</t>
        </is>
      </c>
      <c r="AH155" s="284" t="n"/>
      <c r="AI155" s="284" t="n"/>
      <c r="AJ155" s="284" t="n"/>
      <c r="AK155" s="284" t="n"/>
      <c r="AL155" s="284" t="n"/>
      <c r="AM155" s="284" t="n"/>
      <c r="AN155" s="284" t="n"/>
      <c r="AO155" s="284" t="n"/>
      <c r="AP155" s="284" t="n"/>
      <c r="AQ155" s="284" t="n"/>
      <c r="AR155" s="284" t="n"/>
    </row>
    <row r="156" hidden="1" s="346">
      <c r="A156" s="62" t="n">
        <v>154</v>
      </c>
      <c r="B156" s="178" t="inlineStr">
        <is>
          <t>Layanan Kelitbangan</t>
        </is>
      </c>
      <c r="C156" s="178" t="inlineStr">
        <is>
          <t>Memberikan informasi dan analisis kepada pemerintah daerah untuk mendukung pengambilan keputusan yang bijaksana</t>
        </is>
      </c>
      <c r="D156" s="178" t="inlineStr">
        <is>
          <t>Peraturan Pemerintah Nomor 38 Tahun 2017 tentang Inovasi Daerah</t>
        </is>
      </c>
      <c r="E156" s="70" t="inlineStr">
        <is>
          <t>https://drive.google.com/file/d/1U5Ce3fAIo3YOESTLI_rdag9_xK_sncgn/view?usp=sharing</t>
        </is>
      </c>
      <c r="F156" s="184" t="inlineStr">
        <is>
          <t>RISET DAN INOVASI</t>
        </is>
      </c>
      <c r="G156" s="184" t="inlineStr">
        <is>
          <t>Pegawai</t>
        </is>
      </c>
      <c r="H156" s="184" t="inlineStr">
        <is>
          <t>Data Inovasi Daerah</t>
        </is>
      </c>
      <c r="I156" s="178" t="inlineStr">
        <is>
          <t>Indeks Inovasi Daerah Kabupaten Bandung</t>
        </is>
      </c>
      <c r="J156" s="184" t="inlineStr">
        <is>
          <t>Terbatas</t>
        </is>
      </c>
      <c r="K156" s="184" t="inlineStr">
        <is>
          <t>Tidak terdapat</t>
        </is>
      </c>
      <c r="L156" s="184" t="inlineStr">
        <is>
          <t>Tahunan</t>
        </is>
      </c>
      <c r="M156" s="184" t="inlineStr">
        <is>
          <t>APIK</t>
        </is>
      </c>
      <c r="N156" s="184" t="inlineStr">
        <is>
          <t>Diskominfo</t>
        </is>
      </c>
      <c r="O156" s="184" t="inlineStr">
        <is>
          <t>Kab. Bandung</t>
        </is>
      </c>
      <c r="P156" s="184" t="inlineStr">
        <is>
          <t>Website</t>
        </is>
      </c>
      <c r="Q156" s="70" t="inlineStr">
        <is>
          <t>https://apik.bandungkab.go.id/apik/login</t>
        </is>
      </c>
      <c r="R156" s="184" t="inlineStr">
        <is>
          <t>Secara Online</t>
        </is>
      </c>
      <c r="S156" s="184" t="inlineStr">
        <is>
          <t>Informasi</t>
        </is>
      </c>
      <c r="T156" s="98" t="n">
        <v>2023</v>
      </c>
      <c r="U156" s="184" t="inlineStr">
        <is>
          <t>Aktif</t>
        </is>
      </c>
      <c r="V156" s="184" t="inlineStr">
        <is>
          <t>Ya</t>
        </is>
      </c>
      <c r="W156" s="184" t="inlineStr">
        <is>
          <t>Terintegrasi dengan Aplikasi BDS</t>
        </is>
      </c>
      <c r="X156" s="184" t="inlineStr">
        <is>
          <t>Web Service</t>
        </is>
      </c>
      <c r="Y156" s="184" t="inlineStr">
        <is>
          <t>Realtime</t>
        </is>
      </c>
      <c r="Z156" s="184" t="inlineStr">
        <is>
          <t>Bidang Riset dan Inovasi</t>
        </is>
      </c>
      <c r="AA156" s="184" t="inlineStr">
        <is>
          <t>Bapperida</t>
        </is>
      </c>
      <c r="AB156" s="178" t="inlineStr">
        <is>
          <t>Ajat Sudrajat</t>
        </is>
      </c>
      <c r="AC156" s="98" t="n">
        <v>8170222882</v>
      </c>
      <c r="AD156" s="178" t="inlineStr">
        <is>
          <t>jatsudrajat@gmail.com</t>
        </is>
      </c>
      <c r="AE156" s="77" t="n">
        <v>29</v>
      </c>
      <c r="AF156" s="67" t="inlineStr">
        <is>
          <t>Semesteran</t>
        </is>
      </c>
      <c r="AG156" s="194" t="inlineStr">
        <is>
          <t>OPD, Kec, Masrakat Umum</t>
        </is>
      </c>
      <c r="AH156" s="284" t="n"/>
      <c r="AI156" s="284" t="n"/>
      <c r="AJ156" s="284" t="n"/>
      <c r="AK156" s="284" t="n"/>
      <c r="AL156" s="284" t="n"/>
      <c r="AM156" s="284" t="n"/>
      <c r="AN156" s="284" t="n"/>
      <c r="AO156" s="284" t="n"/>
      <c r="AP156" s="284" t="n"/>
      <c r="AQ156" s="284" t="n"/>
      <c r="AR156" s="284" t="n"/>
    </row>
    <row r="157" hidden="1" s="346">
      <c r="A157" s="62" t="n">
        <v>155</v>
      </c>
      <c r="B157" s="178" t="inlineStr">
        <is>
          <t>Layanan Baperida Jurnal Riset</t>
        </is>
      </c>
      <c r="C157" s="178" t="inlineStr">
        <is>
          <t>Mendorong dan mendukung penelitian serta pengembangan di berbagai sektor untuk meningkatkan inovasi dan pemahaman dalam pembangunan daerah</t>
        </is>
      </c>
      <c r="D157" s="178" t="inlineStr">
        <is>
          <t>1. Undang-undang Nomor 11 Tahun 2019 tentang Sistem Nasional Ilmu Pengetahuan dan Teknologi.
 2. Daerah Nomor 7 Tahun 2016 tentang Rencana Pembangunan Jangka Menengah Daerah Tahu n
  9. Peraturan Bupati Bandung Nomor 67 Tahun 2017 tentang Pedoman Pelaksanaan Penelitian dan
  Pengembangan di Lingkungan Pemerintah Kabupaten Bandung.</t>
        </is>
      </c>
      <c r="E157" s="70" t="inlineStr">
        <is>
          <t>https://drive.google.com/file/d/1JhS_khzdBgbJD9WfRdXNmMfYuI_ppqJR/view?usp=sharing</t>
        </is>
      </c>
      <c r="F157" s="184" t="inlineStr">
        <is>
          <t>PENGUATAN EKOSISTEM RISET DAN INOVASI</t>
        </is>
      </c>
      <c r="G157" s="184" t="inlineStr">
        <is>
          <t>Masyarakat</t>
        </is>
      </c>
      <c r="H157" s="184" t="inlineStr">
        <is>
          <t>Data Jurnal</t>
        </is>
      </c>
      <c r="I157" s="178" t="inlineStr">
        <is>
          <t>Jurnal</t>
        </is>
      </c>
      <c r="J157" s="184" t="inlineStr">
        <is>
          <t>Terbuka</t>
        </is>
      </c>
      <c r="K157" s="184" t="inlineStr">
        <is>
          <t>Tidak terdapat</t>
        </is>
      </c>
      <c r="L157" s="184" t="inlineStr">
        <is>
          <t>Bulanan</t>
        </is>
      </c>
      <c r="M157" s="184" t="inlineStr">
        <is>
          <t>BAJURI</t>
        </is>
      </c>
      <c r="N157" s="184" t="inlineStr">
        <is>
          <t>Diskominfo</t>
        </is>
      </c>
      <c r="O157" s="184" t="inlineStr">
        <is>
          <t>Kab. Bandung</t>
        </is>
      </c>
      <c r="P157" s="184" t="inlineStr">
        <is>
          <t>Website</t>
        </is>
      </c>
      <c r="Q157" s="70" t="inlineStr">
        <is>
          <t>https://bajuri.bandungkab.go.id/</t>
        </is>
      </c>
      <c r="R157" s="184" t="inlineStr">
        <is>
          <t>Secara Online</t>
        </is>
      </c>
      <c r="S157" s="184" t="inlineStr">
        <is>
          <t>Informasi</t>
        </is>
      </c>
      <c r="T157" s="98" t="n">
        <v>2024</v>
      </c>
      <c r="U157" s="184" t="inlineStr">
        <is>
          <t>Aktif</t>
        </is>
      </c>
      <c r="V157" s="184" t="inlineStr">
        <is>
          <t>Ya</t>
        </is>
      </c>
      <c r="W157" s="184" t="inlineStr">
        <is>
          <t>Terintegrasi dengan aplikasi BDS</t>
        </is>
      </c>
      <c r="X157" s="184" t="inlineStr">
        <is>
          <t>Web Service</t>
        </is>
      </c>
      <c r="Y157" s="184" t="inlineStr">
        <is>
          <t>Realtime</t>
        </is>
      </c>
      <c r="Z157" s="184" t="inlineStr">
        <is>
          <t>Bidang Riset dan Inovasi</t>
        </is>
      </c>
      <c r="AA157" s="184" t="inlineStr">
        <is>
          <t>Bapperida</t>
        </is>
      </c>
      <c r="AB157" s="178" t="inlineStr">
        <is>
          <t>Martius</t>
        </is>
      </c>
      <c r="AC157" s="98" t="n">
        <v>82218897073</v>
      </c>
      <c r="AD157" s="178" t="inlineStr">
        <is>
          <t>martius2876@gmail.com</t>
        </is>
      </c>
      <c r="AE157" s="77" t="n">
        <v>29</v>
      </c>
      <c r="AF157" s="67" t="inlineStr">
        <is>
          <t>semesteran</t>
        </is>
      </c>
      <c r="AG157" s="216" t="inlineStr">
        <is>
          <t>OPD</t>
        </is>
      </c>
      <c r="AH157" s="284" t="n"/>
      <c r="AI157" s="284" t="n"/>
      <c r="AJ157" s="284" t="n"/>
      <c r="AK157" s="284" t="n"/>
      <c r="AL157" s="284" t="n"/>
      <c r="AM157" s="284" t="n"/>
      <c r="AN157" s="284" t="n"/>
      <c r="AO157" s="284" t="n"/>
      <c r="AP157" s="284" t="n"/>
      <c r="AQ157" s="284" t="n"/>
      <c r="AR157" s="284" t="n"/>
    </row>
    <row r="158" hidden="1" s="346">
      <c r="A158" s="62" t="n">
        <v>156</v>
      </c>
      <c r="B158" s="178" t="inlineStr">
        <is>
          <t>Layanan bagi instansi pemerintah untuk mendapatkan rekomendasi penyelenggaraan kegiatan statistik sektoral dari BPS.</t>
        </is>
      </c>
      <c r="C158" s="178" t="inlineStr">
        <is>
          <t>Rekomendasi kegiatan statistik merupakan saran dan masukan yang diberikan oleh BPS terhadap rancangan kegiatan statistik sektoral yang disampaikan oleh Kementerian/Lembaga/Dinas/Instansi Pemerintah Lainnya (K/L/D/I).</t>
        </is>
      </c>
      <c r="D158" s="288" t="n"/>
      <c r="E158" s="288" t="n"/>
      <c r="F158" s="288" t="n"/>
      <c r="G158" s="288" t="n"/>
      <c r="H158" s="288" t="n"/>
      <c r="I158" s="288" t="n"/>
      <c r="J158" s="288" t="n"/>
      <c r="K158" s="288" t="n"/>
      <c r="L158" s="288" t="n"/>
      <c r="M158" s="184" t="inlineStr">
        <is>
          <t>ROMANTIK</t>
        </is>
      </c>
      <c r="N158" s="288" t="inlineStr">
        <is>
          <t>Diskominfo</t>
        </is>
      </c>
      <c r="O158" s="184" t="inlineStr">
        <is>
          <t>Kab. Bandung</t>
        </is>
      </c>
      <c r="P158" s="184" t="inlineStr">
        <is>
          <t>Website dan Mobile</t>
        </is>
      </c>
      <c r="Q158" s="70" t="inlineStr">
        <is>
          <t>https://romantik.web.bps.go.id/</t>
        </is>
      </c>
      <c r="R158" s="184" t="inlineStr">
        <is>
          <t>Secara Online</t>
        </is>
      </c>
      <c r="S158" s="288" t="n"/>
      <c r="T158" s="288" t="n"/>
      <c r="U158" s="288" t="inlineStr">
        <is>
          <t>Aktif</t>
        </is>
      </c>
      <c r="V158" s="288" t="n"/>
      <c r="W158" s="288" t="n"/>
      <c r="X158" s="288" t="n"/>
      <c r="Y158" s="288" t="n"/>
      <c r="Z158" s="288" t="n"/>
      <c r="AA158" s="288" t="n"/>
      <c r="AB158" s="178" t="inlineStr">
        <is>
          <t>Bu Tutut</t>
        </is>
      </c>
      <c r="AC158" s="98" t="n">
        <v>81223467651</v>
      </c>
      <c r="AD158" s="288" t="n"/>
      <c r="AE158" s="288" t="n"/>
      <c r="AF158" s="288" t="n"/>
      <c r="AG158" s="216" t="inlineStr">
        <is>
          <t>BPS</t>
        </is>
      </c>
      <c r="AH158" s="284" t="n"/>
      <c r="AI158" s="284" t="n"/>
      <c r="AJ158" s="284" t="n"/>
      <c r="AK158" s="284" t="n"/>
      <c r="AL158" s="284" t="n"/>
      <c r="AM158" s="284" t="n"/>
      <c r="AN158" s="284" t="n"/>
      <c r="AO158" s="284" t="n"/>
      <c r="AP158" s="284" t="n"/>
      <c r="AQ158" s="284" t="n"/>
      <c r="AR158" s="284" t="n"/>
    </row>
    <row r="159" hidden="1" s="346">
      <c r="A159" s="62" t="n">
        <v>157</v>
      </c>
      <c r="B159" s="178" t="inlineStr">
        <is>
          <t>Layanan Kenaikan Gaji Berkala</t>
        </is>
      </c>
      <c r="C159" s="178" t="inlineStr">
        <is>
          <t>Layanan Kenaikan Gaji Berkala merupakan pelayanan administrasi kepegawaian yang diberikan kepada ASN sebagai pemenuhan hak atas penyesuaian gaji pokok sesuai dengan masa kerja dan ketentuan peraturan yang berlaku yang berfungsi untuk memastikan tertib administrasi, memberikan kepastian serta penghargaan atas pengabdian pegawai, sekaligus meningkatkan kesejahteraan melalui penyesuaian penghasilan secara berkala.</t>
        </is>
      </c>
      <c r="D159" s="178" t="inlineStr">
        <is>
          <t>Surat Edaran Sekretariat Daerah No. 800/786/BKPSDM Tanggal 23 Maret 2020 Tentang Pelayanan Administrasi Kepegawaian Paperless pada Badan Kepegawaian dan Pengembangan Sumber Daya Manusia Kabupaten Bandung</t>
        </is>
      </c>
      <c r="E159" s="70" t="inlineStr">
        <is>
          <t>https://drive.google.com/file/d/18x4SyFaMTJIHq1ORgmmghi6RwxlrdqOk/view?usp=sharing</t>
        </is>
      </c>
      <c r="F159" s="184" t="inlineStr">
        <is>
          <t>PENATAAN SUMBER DAYA MANUSIA APARATUR</t>
        </is>
      </c>
      <c r="G159" s="184" t="inlineStr">
        <is>
          <t>Pegawai</t>
        </is>
      </c>
      <c r="H159" s="184" t="inlineStr">
        <is>
          <t>Data Pengguna</t>
        </is>
      </c>
      <c r="I159" s="178" t="inlineStr">
        <is>
          <t>Produk Layanan Kepegawaian</t>
        </is>
      </c>
      <c r="J159" s="184" t="inlineStr">
        <is>
          <t>Terbatas</t>
        </is>
      </c>
      <c r="K159" s="184" t="inlineStr">
        <is>
          <t>Terdapat</t>
        </is>
      </c>
      <c r="L159" s="184" t="inlineStr">
        <is>
          <t>Harian</t>
        </is>
      </c>
      <c r="M159" s="184" t="inlineStr">
        <is>
          <t>SSO</t>
        </is>
      </c>
      <c r="N159" s="184" t="inlineStr">
        <is>
          <t>OPD</t>
        </is>
      </c>
      <c r="O159" s="184" t="inlineStr">
        <is>
          <t>Kab. Bandung</t>
        </is>
      </c>
      <c r="P159" s="184" t="inlineStr">
        <is>
          <t>Website</t>
        </is>
      </c>
      <c r="Q159" s="70" t="inlineStr">
        <is>
          <t>https://sso.bandungkab.go.id/</t>
        </is>
      </c>
      <c r="R159" s="184" t="inlineStr">
        <is>
          <t>Secara Online</t>
        </is>
      </c>
      <c r="S159" s="184" t="inlineStr">
        <is>
          <t>Transaksi</t>
        </is>
      </c>
      <c r="T159" s="184" t="n">
        <v>2020</v>
      </c>
      <c r="U159" s="184" t="inlineStr">
        <is>
          <t>Aktif</t>
        </is>
      </c>
      <c r="V159" s="184" t="inlineStr">
        <is>
          <t>Ya</t>
        </is>
      </c>
      <c r="W159" s="184" t="inlineStr">
        <is>
          <t>SI ASN</t>
        </is>
      </c>
      <c r="X159" s="184" t="inlineStr">
        <is>
          <t>Database to Database</t>
        </is>
      </c>
      <c r="Y159" s="184" t="inlineStr">
        <is>
          <t>Harian</t>
        </is>
      </c>
      <c r="Z159" s="184" t="inlineStr">
        <is>
          <t>Bidang Pengadaan Pemberhentian dan Informasi Kepegawaian ASN</t>
        </is>
      </c>
      <c r="AA159" s="184" t="inlineStr">
        <is>
          <t>BKPSDM</t>
        </is>
      </c>
      <c r="AB159" s="178" t="inlineStr">
        <is>
          <t>LEMI CANDRA LESMANA, ST</t>
        </is>
      </c>
      <c r="AC159" s="178" t="n">
        <v>82129997000</v>
      </c>
      <c r="AD159" s="70" t="inlineStr">
        <is>
          <t>mailto:lemicandra@gmail.com</t>
        </is>
      </c>
      <c r="AE159" s="288" t="n"/>
      <c r="AF159" s="288" t="n"/>
      <c r="AG159" s="284" t="n"/>
      <c r="AH159" s="284" t="n"/>
      <c r="AI159" s="284" t="n"/>
      <c r="AJ159" s="284" t="n"/>
      <c r="AK159" s="284" t="n"/>
      <c r="AL159" s="284" t="n"/>
      <c r="AM159" s="284" t="n"/>
      <c r="AN159" s="284" t="n"/>
      <c r="AO159" s="284" t="n"/>
      <c r="AP159" s="284" t="n"/>
      <c r="AQ159" s="284" t="n"/>
      <c r="AR159" s="284" t="n"/>
    </row>
    <row r="160" hidden="1" s="346">
      <c r="A160" s="62" t="n">
        <v>158</v>
      </c>
      <c r="B160" s="178" t="inlineStr">
        <is>
          <t>SURAT MASUK/NASKAH/DOKUMEN</t>
        </is>
      </c>
      <c r="C160" s="178" t="inlineStr">
        <is>
          <t>Layanan Surat Masuk/Naskah/Dokumen bertujuan untuk memberikan akses informasi publik secara resmi, memastikan setiap naskah dinas diterima, diperiksa, dan didisposisi sesuai ketentuan tata naskah dinas, serta menghasilkan tanggapan atau surat jawaban tertulis bagi pemohon. Fungsi layanan ini meliputi penerimaan dan pemeriksaan permohonan beserta persyaratan, verifikasi serta disposisi berjenjang oleh pejabat terkait (Kasubag Umpeg, Sekretaris Badan, hingga Kepala BKAD), pencatatan dan distribusi naskah dinas sesuai arahan pimpinan, hingga penyediaan kanal pengaduan melalui website resmi BKAD Kabupaten Bandung, dengan prinsip pelayanan cepat, transparan, dan akuntabel.</t>
        </is>
      </c>
      <c r="D160" s="288" t="n"/>
      <c r="E160" s="288" t="n"/>
      <c r="F160" s="184" t="inlineStr">
        <is>
          <t>PENINGKATAN KUALITAS PELAYANAN PUBLIK</t>
        </is>
      </c>
      <c r="G160" s="184" t="inlineStr">
        <is>
          <t>Instansi Pemerintah Lainnya</t>
        </is>
      </c>
      <c r="H160" s="184" t="inlineStr">
        <is>
          <t>Data Surat Masuk</t>
        </is>
      </c>
      <c r="I160" s="178" t="inlineStr">
        <is>
          <t>Data Surat Masuk telah di proses</t>
        </is>
      </c>
      <c r="J160" s="184" t="inlineStr">
        <is>
          <t>Tertutup</t>
        </is>
      </c>
      <c r="K160" s="184" t="inlineStr">
        <is>
          <t>Tidak terdapat</t>
        </is>
      </c>
      <c r="L160" s="184" t="inlineStr">
        <is>
          <t>Harian</t>
        </is>
      </c>
      <c r="M160" s="184" t="inlineStr">
        <is>
          <t>SIAP</t>
        </is>
      </c>
      <c r="N160" s="184" t="inlineStr">
        <is>
          <t>Pihak Ke 3</t>
        </is>
      </c>
      <c r="O160" s="184" t="inlineStr">
        <is>
          <t>Kab. Bandung</t>
        </is>
      </c>
      <c r="P160" s="184" t="inlineStr">
        <is>
          <t>Website</t>
        </is>
      </c>
      <c r="Q160" s="70" t="inlineStr">
        <is>
          <t>https://pelayanan.bandungkab.dapda.id/</t>
        </is>
      </c>
      <c r="R160" s="184" t="inlineStr">
        <is>
          <t>Secara Online</t>
        </is>
      </c>
      <c r="S160" s="184" t="inlineStr">
        <is>
          <t>Informasi</t>
        </is>
      </c>
      <c r="T160" s="98" t="n">
        <v>2024</v>
      </c>
      <c r="U160" s="184" t="inlineStr">
        <is>
          <t>Aktif</t>
        </is>
      </c>
      <c r="V160" s="184" t="inlineStr">
        <is>
          <t>Tidak</t>
        </is>
      </c>
      <c r="W160" s="184" t="inlineStr">
        <is>
          <t>Tidak Terintegrasi</t>
        </is>
      </c>
      <c r="X160" s="184" t="inlineStr">
        <is>
          <t>Tidak Terintegrasi</t>
        </is>
      </c>
      <c r="Y160" s="184" t="inlineStr">
        <is>
          <t>Tidak Terintegrasi</t>
        </is>
      </c>
      <c r="Z160" s="184" t="inlineStr">
        <is>
          <t>Sekretariat</t>
        </is>
      </c>
      <c r="AA160" s="184" t="inlineStr">
        <is>
          <t>BKAD</t>
        </is>
      </c>
      <c r="AB160" s="288" t="n"/>
      <c r="AC160" s="288" t="n"/>
      <c r="AD160" s="288" t="n"/>
      <c r="AE160" s="288" t="n"/>
      <c r="AF160" s="288" t="n"/>
      <c r="AG160" s="284" t="n"/>
      <c r="AH160" s="284" t="n"/>
      <c r="AI160" s="284" t="n"/>
      <c r="AJ160" s="284" t="n"/>
      <c r="AK160" s="284" t="n"/>
      <c r="AL160" s="284" t="n"/>
      <c r="AM160" s="284" t="n"/>
      <c r="AN160" s="284" t="n"/>
      <c r="AO160" s="284" t="n"/>
      <c r="AP160" s="284" t="n"/>
      <c r="AQ160" s="284" t="n"/>
      <c r="AR160" s="284" t="n"/>
    </row>
    <row r="161" hidden="1" s="346">
      <c r="A161" s="62" t="n">
        <v>159</v>
      </c>
      <c r="B161" s="178" t="inlineStr">
        <is>
          <t>PENYUSUNAN HARGA SATUAN POKOK KEGIATAN (HSPK) DAN ANALISIS STANDAR BELANJA (ASB)</t>
        </is>
      </c>
      <c r="C161" s="178" t="inlineStr">
        <is>
          <t>Sebagai media untuk menghimpun usulan ASB Konstruksi dan Non Konstruksi dari seluruh Perangkat Daerah di lingkungan Pemerintah Kabupaten Bandung dalam rangka penyusunan Peraturan Bupati Bandung tentang HSPK dan ASB</t>
        </is>
      </c>
      <c r="D161" s="178" t="inlineStr">
        <is>
          <t>Undang-Undang Nomor 23 Tahun 2014 tentang Pemerintah Daerah; Peraturan Pemerintah Nomor 12 Tahun 2019 tentang Pengelolaan Keuangan Daerah; Peraturan Menteri Dalam Negeri Nomor 77 Tahun 2020 tentang Pedoman Teknis Pengelolaan Keuangan Daerah.</t>
        </is>
      </c>
      <c r="E161" s="70" t="inlineStr">
        <is>
          <t>https://drive.google.com/file/d/1Wq5fbFaB6cGVodoz0G93rd3_HKNa842I/view?usp=sharing</t>
        </is>
      </c>
      <c r="F161" s="184" t="inlineStr">
        <is>
          <t>PERENCANAAN DAN PENGANGGARAN APBN</t>
        </is>
      </c>
      <c r="G161" s="184" t="inlineStr">
        <is>
          <t>Instansi Pemerintah Lainnya</t>
        </is>
      </c>
      <c r="H161" s="184" t="inlineStr">
        <is>
          <t>Data Usulan ASB Konstruksi dan Non Konstruksi</t>
        </is>
      </c>
      <c r="I161" s="178" t="inlineStr">
        <is>
          <t>Data Usulan ASB Konstruksi dan Non Konstruksi yang telah diverifikasi oleh Bidang Anggaran</t>
        </is>
      </c>
      <c r="J161" s="184" t="inlineStr">
        <is>
          <t>Terbuka</t>
        </is>
      </c>
      <c r="K161" s="184" t="inlineStr">
        <is>
          <t>Tidak terdapat</t>
        </is>
      </c>
      <c r="L161" s="184" t="inlineStr">
        <is>
          <t>Tahunan</t>
        </is>
      </c>
      <c r="M161" s="184" t="inlineStr">
        <is>
          <t>HSPKASB E-PLANNING</t>
        </is>
      </c>
      <c r="N161" s="184" t="inlineStr">
        <is>
          <t>OPD</t>
        </is>
      </c>
      <c r="O161" s="184" t="inlineStr">
        <is>
          <t>Kab. Bandung</t>
        </is>
      </c>
      <c r="P161" s="184" t="inlineStr">
        <is>
          <t>Website</t>
        </is>
      </c>
      <c r="Q161" s="70" t="inlineStr">
        <is>
          <t>https://hspkasb.e-planningbmd.id/auth</t>
        </is>
      </c>
      <c r="R161" s="184" t="inlineStr">
        <is>
          <t>Secara Online</t>
        </is>
      </c>
      <c r="S161" s="184" t="inlineStr">
        <is>
          <t>Transaksi</t>
        </is>
      </c>
      <c r="T161" s="98" t="n">
        <v>2022</v>
      </c>
      <c r="U161" s="184" t="inlineStr">
        <is>
          <t>Aktif</t>
        </is>
      </c>
      <c r="V161" s="184" t="inlineStr">
        <is>
          <t>Ya</t>
        </is>
      </c>
      <c r="W161" s="184" t="inlineStr">
        <is>
          <t>SSH SBU E-Planning</t>
        </is>
      </c>
      <c r="X161" s="184" t="inlineStr">
        <is>
          <t>API</t>
        </is>
      </c>
      <c r="Y161" s="184" t="inlineStr">
        <is>
          <t>Realtime</t>
        </is>
      </c>
      <c r="Z161" s="184" t="inlineStr">
        <is>
          <t>Bidang Anggaran</t>
        </is>
      </c>
      <c r="AA161" s="184" t="inlineStr">
        <is>
          <t>BKAD</t>
        </is>
      </c>
      <c r="AB161" s="178" t="inlineStr">
        <is>
          <t>Yanti Daryati</t>
        </is>
      </c>
      <c r="AC161" s="178" t="n">
        <v>85314238177</v>
      </c>
      <c r="AD161" s="178" t="inlineStr">
        <is>
          <t>yantidaryati46@gmail.com</t>
        </is>
      </c>
      <c r="AE161" s="288" t="n"/>
      <c r="AF161" s="288" t="n"/>
      <c r="AG161" s="284" t="n"/>
      <c r="AH161" s="284" t="n"/>
      <c r="AI161" s="284" t="n"/>
      <c r="AJ161" s="284" t="n"/>
      <c r="AK161" s="284" t="n"/>
      <c r="AL161" s="284" t="n"/>
      <c r="AM161" s="284" t="n"/>
      <c r="AN161" s="284" t="n"/>
      <c r="AO161" s="284" t="n"/>
      <c r="AP161" s="284" t="n"/>
      <c r="AQ161" s="284" t="n"/>
      <c r="AR161" s="284" t="n"/>
    </row>
    <row r="162" hidden="1" s="346">
      <c r="A162" s="62" t="n">
        <v>160</v>
      </c>
      <c r="B162" s="178" t="inlineStr">
        <is>
          <t>DANA DESA KEPADA PEMERINTAH DESA</t>
        </is>
      </c>
      <c r="C162" s="196" t="inlineStr">
        <is>
          <t>Dana Desa (DD) adalah dana yang bersumber dari Anggaran Pendapatan dan Belanja Negara (APBN) yang dialokasikan melalui Anggaran Pendapatan dan Belanja Daerah (APBD) Kabupaten/Kota, dan ditransfer ke rekening desa. Dana ini ditujukan untuk membiayai penyelenggaraan pemerintahan, pembangunan, pembinaan kemasyarakatan, dan pemberdayaan masyarakat desa.</t>
        </is>
      </c>
      <c r="D162" s="178" t="inlineStr">
        <is>
          <t>Undang-Undang Nomor 17 Tahun 2003 tentang Keuangan Negara.Undang-Undang Nomor 1 Tahun 2004 tentang Perbendaharaan Negara.Undang-Undang Nomor 23 Tahun 2014 tentang Pemerintahan Daerah.Peraturan Presiden Nomor 95 Tahun 2018 tentang Sistem Pemerintahan Berbasis Elektronik (SPBE).</t>
        </is>
      </c>
      <c r="E162" s="288" t="n"/>
      <c r="F162" s="184" t="inlineStr">
        <is>
          <t>PENINGKATAN KUALITAS PELAYANAN PUBLIK</t>
        </is>
      </c>
      <c r="G162" s="184" t="inlineStr">
        <is>
          <t>Instansi Pemerintah Lainnya</t>
        </is>
      </c>
      <c r="H162" s="184" t="inlineStr">
        <is>
          <t>Usulan Rekomendasi Dari DPMD</t>
        </is>
      </c>
      <c r="I162" s="178" t="inlineStr">
        <is>
          <t>Terbitan SP2D</t>
        </is>
      </c>
      <c r="J162" s="184" t="inlineStr">
        <is>
          <t>Tertutup</t>
        </is>
      </c>
      <c r="K162" s="184" t="inlineStr">
        <is>
          <t>Terdapat</t>
        </is>
      </c>
      <c r="L162" s="184" t="inlineStr">
        <is>
          <t>Harian</t>
        </is>
      </c>
      <c r="M162" s="184" t="inlineStr">
        <is>
          <t>Si-Desa</t>
        </is>
      </c>
      <c r="N162" s="184" t="inlineStr">
        <is>
          <t>Pihak Ke 3</t>
        </is>
      </c>
      <c r="O162" s="184" t="inlineStr">
        <is>
          <t>Pihak Ke 3 (Lisensi)</t>
        </is>
      </c>
      <c r="P162" s="184" t="inlineStr">
        <is>
          <t>Website</t>
        </is>
      </c>
      <c r="Q162" s="70" t="inlineStr">
        <is>
          <t>https://sidesa.bandungkab.dapda.id/login</t>
        </is>
      </c>
      <c r="R162" s="184" t="inlineStr">
        <is>
          <t>Secara Online</t>
        </is>
      </c>
      <c r="S162" s="184" t="inlineStr">
        <is>
          <t>Informasi</t>
        </is>
      </c>
      <c r="T162" s="184" t="n">
        <v>2024</v>
      </c>
      <c r="U162" s="184" t="inlineStr">
        <is>
          <t>Aktif</t>
        </is>
      </c>
      <c r="V162" s="184" t="inlineStr">
        <is>
          <t>Tidak</t>
        </is>
      </c>
      <c r="W162" s="184" t="inlineStr">
        <is>
          <t>Tidak Terintegrasi</t>
        </is>
      </c>
      <c r="X162" s="184" t="inlineStr">
        <is>
          <t>Tidak Terintegrasi</t>
        </is>
      </c>
      <c r="Y162" s="184" t="inlineStr">
        <is>
          <t>Tidak Terintegrasi</t>
        </is>
      </c>
      <c r="Z162" s="184" t="inlineStr">
        <is>
          <t>Sekretariat</t>
        </is>
      </c>
      <c r="AA162" s="184" t="inlineStr">
        <is>
          <t>BKAD</t>
        </is>
      </c>
      <c r="AB162" s="288" t="n"/>
      <c r="AC162" s="288" t="n"/>
      <c r="AD162" s="288" t="n"/>
      <c r="AE162" s="288" t="n"/>
      <c r="AF162" s="288" t="n"/>
      <c r="AG162" s="284" t="n"/>
      <c r="AH162" s="284" t="n"/>
      <c r="AI162" s="284" t="n"/>
      <c r="AJ162" s="284" t="n"/>
      <c r="AK162" s="284" t="n"/>
      <c r="AL162" s="284" t="n"/>
      <c r="AM162" s="284" t="n"/>
      <c r="AN162" s="284" t="n"/>
      <c r="AO162" s="284" t="n"/>
      <c r="AP162" s="284" t="n"/>
      <c r="AQ162" s="284" t="n"/>
      <c r="AR162" s="284" t="n"/>
    </row>
    <row r="163" hidden="1" s="346">
      <c r="A163" s="62" t="n">
        <v>161</v>
      </c>
      <c r="B163" s="132" t="inlineStr">
        <is>
          <t>REKONSILIASI DATA KEUANGAN DALAM RANGKA PENYUSUNAN LAPORAN KEUANGAN</t>
        </is>
      </c>
      <c r="C163" s="197" t="inlineStr">
        <is>
          <t>Layanan Rekonsiliasi Data Keuangan dalam rangka penyusunan laporan keuangan bertujuan untuk memastikan kesesuaian, kelengkapan, dan keakuratan data keuangan antara SKPD dengan Bidang Akuntansi dan Pelaporan Keuangan. Melalui layanan ini dilakukan verifikasi dan klarifikasi data, pemeriksaan dokumen, serta koordinasi antara pihak terkait, sehingga dapat diterbitkan Berita Acara Rekonsiliasi sebagai bukti kesesuaian angka yang disajikan. Dengan demikian, layanan ini berfungsi untuk mendukung tersusunnya laporan keuangan daerah yang akurat, transparan, dapat dipertanggungjawabkan, dan sesuai dengan ketentuan yang berlaku.</t>
        </is>
      </c>
      <c r="D163" s="200" t="n"/>
      <c r="E163" s="132" t="inlineStr">
        <is>
          <t>belum tersedia</t>
        </is>
      </c>
      <c r="F163" s="184" t="inlineStr">
        <is>
          <t>PENINGKATAN KUALITAS PELAYANAN PUBLIK</t>
        </is>
      </c>
      <c r="G163" s="184" t="inlineStr">
        <is>
          <t>Pegawai</t>
        </is>
      </c>
      <c r="H163" s="184" t="inlineStr">
        <is>
          <t>data realisasi</t>
        </is>
      </c>
      <c r="I163" s="178" t="inlineStr">
        <is>
          <t>data rekonsiliasi</t>
        </is>
      </c>
      <c r="J163" s="184" t="inlineStr">
        <is>
          <t>Terbatas</t>
        </is>
      </c>
      <c r="K163" s="184" t="inlineStr">
        <is>
          <t>Tidak terdapat</t>
        </is>
      </c>
      <c r="L163" s="184" t="inlineStr">
        <is>
          <t>Bulanan</t>
        </is>
      </c>
      <c r="M163" s="184" t="inlineStr">
        <is>
          <t>soreang</t>
        </is>
      </c>
      <c r="N163" s="184" t="inlineStr">
        <is>
          <t>Pihak Ke 3</t>
        </is>
      </c>
      <c r="O163" s="184" t="inlineStr">
        <is>
          <t>Kab. Bandung</t>
        </is>
      </c>
      <c r="P163" s="184" t="inlineStr">
        <is>
          <t>Website</t>
        </is>
      </c>
      <c r="Q163" s="70" t="inlineStr">
        <is>
          <t>soreang.dapda.id</t>
        </is>
      </c>
      <c r="R163" s="184" t="inlineStr">
        <is>
          <t>Secara Online</t>
        </is>
      </c>
      <c r="S163" s="184" t="inlineStr">
        <is>
          <t>Informasi</t>
        </is>
      </c>
      <c r="T163" s="178" t="inlineStr">
        <is>
          <t>2024-2025</t>
        </is>
      </c>
      <c r="U163" s="184" t="inlineStr">
        <is>
          <t>Aktif</t>
        </is>
      </c>
      <c r="V163" s="184" t="inlineStr">
        <is>
          <t>Tidak</t>
        </is>
      </c>
      <c r="W163" s="184" t="inlineStr">
        <is>
          <t>Tidak Terintegrasi</t>
        </is>
      </c>
      <c r="X163" s="184" t="inlineStr">
        <is>
          <t>Tidak Terintegrasi</t>
        </is>
      </c>
      <c r="Y163" s="184" t="inlineStr">
        <is>
          <t>Tidak Terintegrasi</t>
        </is>
      </c>
      <c r="Z163" s="184" t="inlineStr">
        <is>
          <t>Perben aklap</t>
        </is>
      </c>
      <c r="AA163" s="184" t="inlineStr">
        <is>
          <t>BKAD</t>
        </is>
      </c>
      <c r="AB163" s="288" t="n"/>
      <c r="AC163" s="288" t="n"/>
      <c r="AD163" s="288" t="n"/>
      <c r="AE163" s="288" t="n"/>
      <c r="AF163" s="288" t="n"/>
      <c r="AG163" s="284" t="n"/>
      <c r="AH163" s="284" t="n"/>
      <c r="AI163" s="284" t="n"/>
      <c r="AJ163" s="284" t="n"/>
      <c r="AK163" s="284" t="n"/>
      <c r="AL163" s="284" t="n"/>
      <c r="AM163" s="284" t="n"/>
      <c r="AN163" s="284" t="n"/>
      <c r="AO163" s="284" t="n"/>
      <c r="AP163" s="284" t="n"/>
      <c r="AQ163" s="284" t="n"/>
      <c r="AR163" s="284" t="n"/>
    </row>
    <row r="164" hidden="1" s="346">
      <c r="A164" s="62" t="n">
        <v>162</v>
      </c>
      <c r="B164" s="132" t="inlineStr">
        <is>
          <t>KONSOLIDASI PENYUSUNAN LAPORAN BARANG MILIK DAERAН</t>
        </is>
      </c>
      <c r="C164" s="132" t="inlineStr">
        <is>
          <t>Merupakan proses menghimpun dan menyusun laporan barang milik daerah 
 dalam rangka penyusunan laporan keuangan pemerintah daerah</t>
        </is>
      </c>
      <c r="D164" s="132" t="inlineStr">
        <is>
          <t>Peremndagri 47 tahun 2021, Perda no 3 tahun 2017, Perbup no 94 tahun 2020, Perbup 178 tahun 2020, Perbup 240 Tahun 2024</t>
        </is>
      </c>
      <c r="E164" s="198" t="inlineStr">
        <is>
          <t>https://drive.google.com/file/d/1YRKKugsMdrXTfIPPP5t9vIuPmcSmeJi-/view?usp=sharing</t>
        </is>
      </c>
      <c r="F164" s="184" t="inlineStr">
        <is>
          <t>AKUNTANSI DAN PELAPORAN KEUANGAN</t>
        </is>
      </c>
      <c r="G164" s="184" t="inlineStr">
        <is>
          <t>Instansi Pemerintah Lainnya</t>
        </is>
      </c>
      <c r="H164" s="184" t="inlineStr">
        <is>
          <t>Data belanja modal</t>
        </is>
      </c>
      <c r="I164" s="178" t="inlineStr">
        <is>
          <t>- Laporan neraca
 - Laporan penyusutan
 - Laporan mutasi tambah/kurang aset
 - Laporan KIB</t>
        </is>
      </c>
      <c r="J164" s="184" t="inlineStr">
        <is>
          <t>Tertutup</t>
        </is>
      </c>
      <c r="K164" s="184" t="inlineStr">
        <is>
          <t>Tidak terdapat</t>
        </is>
      </c>
      <c r="L164" s="184" t="inlineStr">
        <is>
          <t>Tahunan</t>
        </is>
      </c>
      <c r="M164" s="184" t="inlineStr">
        <is>
          <t>DIARVIS BMD</t>
        </is>
      </c>
      <c r="N164" s="184" t="inlineStr">
        <is>
          <t>OPD</t>
        </is>
      </c>
      <c r="O164" s="184" t="inlineStr">
        <is>
          <t>Kab. Bandung</t>
        </is>
      </c>
      <c r="P164" s="184" t="inlineStr">
        <is>
          <t>Website</t>
        </is>
      </c>
      <c r="Q164" s="70" t="inlineStr">
        <is>
          <t>https://penatausahaan-dev-bmd.bandungkab.go.id/login#pembukuan</t>
        </is>
      </c>
      <c r="R164" s="184" t="inlineStr">
        <is>
          <t>Secara Online</t>
        </is>
      </c>
      <c r="S164" s="184" t="inlineStr">
        <is>
          <t>Transaksi</t>
        </is>
      </c>
      <c r="T164" s="98" t="n">
        <v>2024</v>
      </c>
      <c r="U164" s="184" t="inlineStr">
        <is>
          <t>Maintenance</t>
        </is>
      </c>
      <c r="V164" s="184" t="inlineStr">
        <is>
          <t>Tidak</t>
        </is>
      </c>
      <c r="W164" s="184" t="inlineStr">
        <is>
          <t>DIARVIS BMD</t>
        </is>
      </c>
      <c r="X164" s="184" t="inlineStr">
        <is>
          <t>API</t>
        </is>
      </c>
      <c r="Y164" s="184" t="inlineStr">
        <is>
          <t>Realtime</t>
        </is>
      </c>
      <c r="Z164" s="184" t="inlineStr">
        <is>
          <t>Bidang BMD</t>
        </is>
      </c>
      <c r="AA164" s="184" t="inlineStr">
        <is>
          <t>BKAD</t>
        </is>
      </c>
      <c r="AB164" s="178" t="inlineStr">
        <is>
          <t>Yohan Nugroho</t>
        </is>
      </c>
      <c r="AC164" s="178" t="n">
        <v>89526465926</v>
      </c>
      <c r="AD164" s="178" t="inlineStr">
        <is>
          <t>jojonugraha33@gmail.com</t>
        </is>
      </c>
      <c r="AE164" s="288" t="n"/>
      <c r="AF164" s="288" t="n"/>
      <c r="AG164" s="284" t="n"/>
      <c r="AH164" s="284" t="n"/>
      <c r="AI164" s="284" t="n"/>
      <c r="AJ164" s="284" t="n"/>
      <c r="AK164" s="284" t="n"/>
      <c r="AL164" s="284" t="n"/>
      <c r="AM164" s="284" t="n"/>
      <c r="AN164" s="284" t="n"/>
      <c r="AO164" s="284" t="n"/>
      <c r="AP164" s="284" t="n"/>
      <c r="AQ164" s="284" t="n"/>
      <c r="AR164" s="284" t="n"/>
    </row>
    <row r="165" hidden="1" s="346">
      <c r="A165" s="62" t="n">
        <v>163</v>
      </c>
      <c r="B165" s="132" t="inlineStr">
        <is>
          <t>PERENCANAAN KEBUTUHAN BARANG MILIK DAERAH</t>
        </is>
      </c>
      <c r="C165" s="132" t="inlineStr">
        <is>
          <t>Sebagai media untuk menghimpun usulan Rencana Kebutuhan Barang Milik Daerah (RKBMD) dari seluruh Perangkat Daerah di lingkungan Pemerintah Kabupaten Bandung dalam rangka penyusunan Keputusan Sekretaris Daerah tentang RKBMD</t>
        </is>
      </c>
      <c r="D165" s="132" t="inlineStr">
        <is>
          <t>Permendagri 19 Tahun 2016, Permendagri 7 Tahun 2024</t>
        </is>
      </c>
      <c r="E165" s="198" t="inlineStr">
        <is>
          <t>https://docs.google.com/spreadsheets/d/1GrF7yl0eJIiOHTS8n_w_9Sp-PAVtSvEu/edit?usp=drive_link&amp;ouid=100880423975394660255&amp;rtpof=true&amp;sd=true</t>
        </is>
      </c>
      <c r="F165" s="184" t="inlineStr">
        <is>
          <t>PERENCANAAN DAN PENGANGGARAN APBN</t>
        </is>
      </c>
      <c r="G165" s="184" t="inlineStr">
        <is>
          <t>Instansi Pemerintah Lainnya</t>
        </is>
      </c>
      <c r="H165" s="184" t="inlineStr">
        <is>
          <t>Usulan RKBMD</t>
        </is>
      </c>
      <c r="I165" s="178" t="inlineStr">
        <is>
          <t>Keputusan Sekretaris Daerah Kabupaten Bandung Tentang RKBMD</t>
        </is>
      </c>
      <c r="J165" s="184" t="inlineStr">
        <is>
          <t>Terbuka</t>
        </is>
      </c>
      <c r="K165" s="184" t="inlineStr">
        <is>
          <t>Tidak terdapat</t>
        </is>
      </c>
      <c r="L165" s="184" t="inlineStr">
        <is>
          <t>Tahunan</t>
        </is>
      </c>
      <c r="M165" s="184" t="inlineStr">
        <is>
          <t>RKBMD</t>
        </is>
      </c>
      <c r="N165" s="184" t="inlineStr">
        <is>
          <t>OPD</t>
        </is>
      </c>
      <c r="O165" s="184" t="inlineStr">
        <is>
          <t>Kab. Bandung</t>
        </is>
      </c>
      <c r="P165" s="184" t="inlineStr">
        <is>
          <t>Website</t>
        </is>
      </c>
      <c r="Q165" s="70" t="inlineStr">
        <is>
          <t>rkbmd.e-planningbmd.id</t>
        </is>
      </c>
      <c r="R165" s="184" t="inlineStr">
        <is>
          <t>Secara Online</t>
        </is>
      </c>
      <c r="S165" s="184" t="inlineStr">
        <is>
          <t>Transaksi</t>
        </is>
      </c>
      <c r="T165" s="98" t="n">
        <v>2022</v>
      </c>
      <c r="U165" s="184" t="inlineStr">
        <is>
          <t>Aktif</t>
        </is>
      </c>
      <c r="V165" s="184" t="inlineStr">
        <is>
          <t>Tidak</t>
        </is>
      </c>
      <c r="W165" s="184" t="inlineStr">
        <is>
          <t>E-Planning BMD</t>
        </is>
      </c>
      <c r="X165" s="184" t="inlineStr">
        <is>
          <t>API</t>
        </is>
      </c>
      <c r="Y165" s="184" t="inlineStr">
        <is>
          <t>Realtime</t>
        </is>
      </c>
      <c r="Z165" s="184" t="inlineStr">
        <is>
          <t>Bidang BMD</t>
        </is>
      </c>
      <c r="AA165" s="184" t="inlineStr">
        <is>
          <t>BKAD</t>
        </is>
      </c>
      <c r="AB165" s="178" t="inlineStr">
        <is>
          <t>Linda Indirawati</t>
        </is>
      </c>
      <c r="AC165" s="178" t="n">
        <v>82116915820</v>
      </c>
      <c r="AD165" s="178" t="inlineStr">
        <is>
          <t>indirawatilinda@gmail.com</t>
        </is>
      </c>
      <c r="AE165" s="288" t="n"/>
      <c r="AF165" s="288" t="n"/>
      <c r="AG165" s="284" t="n"/>
      <c r="AH165" s="284" t="n"/>
      <c r="AI165" s="284" t="n"/>
      <c r="AJ165" s="284" t="n"/>
      <c r="AK165" s="284" t="n"/>
      <c r="AL165" s="284" t="n"/>
      <c r="AM165" s="284" t="n"/>
      <c r="AN165" s="284" t="n"/>
      <c r="AO165" s="284" t="n"/>
      <c r="AP165" s="284" t="n"/>
      <c r="AQ165" s="284" t="n"/>
      <c r="AR165" s="284" t="n"/>
    </row>
    <row r="166" hidden="1" s="346">
      <c r="A166" s="62" t="n">
        <v>164</v>
      </c>
      <c r="B166" s="132" t="inlineStr">
        <is>
          <t>STANDAR PELAYANAN PENYUSUNAN STANDAR HARGA SATUAN</t>
        </is>
      </c>
      <c r="C166" s="132" t="inlineStr">
        <is>
          <t>SHS menjadi acuan bagi seluruh perangkat daerah dalam menetapkan harga satuan barang dan jasa untuk menyusun rencana kerja dan anggaran (RKA) serta rancangan peraturan daerah tentang APBD</t>
        </is>
      </c>
      <c r="D166" s="132" t="inlineStr">
        <is>
          <t>Perpres 72 Tahun 2025 , Perbup 84 Tahun 2025</t>
        </is>
      </c>
      <c r="E166" s="198" t="inlineStr">
        <is>
          <t>https://drive.google.com/file/d/1pRxS9hpYYxPfeElynApRSPgiKe_xbqQZ/view?usp=drive_link</t>
        </is>
      </c>
      <c r="F166" s="184" t="inlineStr">
        <is>
          <t>PERENCANAAN DAN PENGANGGARAN APBN</t>
        </is>
      </c>
      <c r="G166" s="184" t="inlineStr">
        <is>
          <t>Instansi Pemerintah Lainnya</t>
        </is>
      </c>
      <c r="H166" s="184" t="inlineStr">
        <is>
          <t>Data Usulan SHS meliputi SSH dan SBU</t>
        </is>
      </c>
      <c r="I166" s="178" t="inlineStr">
        <is>
          <t>Data Usulan SHS yang telah diverifikasi oleh Bidang BMD</t>
        </is>
      </c>
      <c r="J166" s="184" t="inlineStr">
        <is>
          <t>Terbuka</t>
        </is>
      </c>
      <c r="K166" s="184" t="inlineStr">
        <is>
          <t>Tidak terdapat</t>
        </is>
      </c>
      <c r="L166" s="184" t="inlineStr">
        <is>
          <t>Tahunan</t>
        </is>
      </c>
      <c r="M166" s="184" t="inlineStr">
        <is>
          <t>KDO</t>
        </is>
      </c>
      <c r="N166" s="184" t="inlineStr">
        <is>
          <t>OPD</t>
        </is>
      </c>
      <c r="O166" s="184" t="inlineStr">
        <is>
          <t>Kab. Bandung</t>
        </is>
      </c>
      <c r="P166" s="184" t="inlineStr">
        <is>
          <t>Website</t>
        </is>
      </c>
      <c r="Q166" s="291" t="inlineStr">
        <is>
          <t>https://kdo.e-planningbmd.id/</t>
        </is>
      </c>
      <c r="R166" s="184" t="inlineStr">
        <is>
          <t>Secara Online</t>
        </is>
      </c>
      <c r="S166" s="184" t="inlineStr">
        <is>
          <t>Transaksi</t>
        </is>
      </c>
      <c r="T166" s="98" t="n">
        <v>2021</v>
      </c>
      <c r="U166" s="184" t="inlineStr">
        <is>
          <t>Aktif</t>
        </is>
      </c>
      <c r="V166" s="184" t="inlineStr">
        <is>
          <t>Ya</t>
        </is>
      </c>
      <c r="W166" s="184" t="inlineStr">
        <is>
          <t>SSHSBU E-Planning</t>
        </is>
      </c>
      <c r="X166" s="184" t="inlineStr">
        <is>
          <t>API</t>
        </is>
      </c>
      <c r="Y166" s="184" t="inlineStr">
        <is>
          <t>Realtime</t>
        </is>
      </c>
      <c r="Z166" s="184" t="inlineStr">
        <is>
          <t>Bidang BMD</t>
        </is>
      </c>
      <c r="AA166" s="184" t="inlineStr">
        <is>
          <t>BKAD</t>
        </is>
      </c>
      <c r="AB166" s="178" t="inlineStr">
        <is>
          <t>Ira</t>
        </is>
      </c>
      <c r="AC166" s="178" t="n">
        <v>87838661789</v>
      </c>
      <c r="AD166" s="178" t="inlineStr">
        <is>
          <t>irair712@gmail.com</t>
        </is>
      </c>
      <c r="AE166" s="288" t="n"/>
      <c r="AF166" s="288" t="n"/>
      <c r="AG166" s="284" t="n"/>
      <c r="AH166" s="284" t="n"/>
      <c r="AI166" s="284" t="n"/>
      <c r="AJ166" s="284" t="n"/>
      <c r="AK166" s="284" t="n"/>
      <c r="AL166" s="284" t="n"/>
      <c r="AM166" s="284" t="n"/>
      <c r="AN166" s="284" t="n"/>
      <c r="AO166" s="284" t="n"/>
      <c r="AP166" s="284" t="n"/>
      <c r="AQ166" s="284" t="n"/>
      <c r="AR166" s="284" t="n"/>
    </row>
    <row r="167" hidden="1" s="346">
      <c r="A167" s="62" t="n">
        <v>165</v>
      </c>
      <c r="B167" s="132" t="inlineStr">
        <is>
          <t>PENGHAPUSAN BARANG MILIK DAERAH (BMD)</t>
        </is>
      </c>
      <c r="C167" s="132" t="inlineStr">
        <is>
          <t>Mengelola Proses penghapusan BMD meliputi tiga alur utama: 
 - Pemindahtanganan melalui lelang
 - Pemindahtanganan melalui hibah
 - Pemusnahan
 Setiap alur memiliki persyaratan, prosedur, dan dokumen yang berbeda-beda. Kompleksitas ini sering menghambat pengusul dan proses penghapusan karena proses yang panjang sehingga memakan waktu lama dan rentan terhadap kesalahan administrasi. maka dibuat digitalisasi untuk memudahkan pemohon dan pengelola penghapusan.</t>
        </is>
      </c>
      <c r="D167" s="132" t="inlineStr">
        <is>
          <t>Permendagri No. 7 Tahun 2024 dan Permendagri sebelumnya sebagai pedoman umum,
 Peraturan Pemerintah No. 27 Tahun 2014,
 Peraturan Daerah yang mengatur tata cara pelaksanaan pemindahtanganan, pemusnahan, dan penghapusan</t>
        </is>
      </c>
      <c r="E167" s="132" t="inlineStr">
        <is>
          <t>Belum tersedia</t>
        </is>
      </c>
      <c r="F167" s="184" t="inlineStr">
        <is>
          <t>AKUNTANSI DAN PELAPORAN KEUANGAN</t>
        </is>
      </c>
      <c r="G167" s="184" t="inlineStr">
        <is>
          <t>Instansi Pemerintah Lainnya</t>
        </is>
      </c>
      <c r="H167" s="184" t="inlineStr">
        <is>
          <t>Data Barang Rusak Berat, Data Usulan Penghapusan, Dokumen Proses Penghapusan</t>
        </is>
      </c>
      <c r="I167" s="178" t="inlineStr">
        <is>
          <t>Format Usulan, Informasi Status Progess Penghapusan, SK Penghapusan</t>
        </is>
      </c>
      <c r="J167" s="184" t="inlineStr">
        <is>
          <t>Terbuka</t>
        </is>
      </c>
      <c r="K167" s="184" t="inlineStr">
        <is>
          <t>Tidak terdapat</t>
        </is>
      </c>
      <c r="L167" s="184" t="inlineStr">
        <is>
          <t>Tahunan</t>
        </is>
      </c>
      <c r="M167" s="68" t="inlineStr">
        <is>
          <t>E-PENGHAPUSAN BMD</t>
        </is>
      </c>
      <c r="N167" s="184" t="inlineStr">
        <is>
          <t>Pihak Ke 3</t>
        </is>
      </c>
      <c r="O167" s="184" t="inlineStr">
        <is>
          <t>Kab. Bandung</t>
        </is>
      </c>
      <c r="P167" s="184" t="inlineStr">
        <is>
          <t>Website</t>
        </is>
      </c>
      <c r="Q167" s="70" t="inlineStr">
        <is>
          <t>https://e-penghapusanbmd.id/</t>
        </is>
      </c>
      <c r="R167" s="184" t="inlineStr">
        <is>
          <t>Secara Online</t>
        </is>
      </c>
      <c r="S167" s="184" t="inlineStr">
        <is>
          <t>Transaksi</t>
        </is>
      </c>
      <c r="T167" s="98" t="n">
        <v>2024</v>
      </c>
      <c r="U167" s="184" t="inlineStr">
        <is>
          <t>Aktif</t>
        </is>
      </c>
      <c r="V167" s="184" t="inlineStr">
        <is>
          <t>Tidak</t>
        </is>
      </c>
      <c r="W167" s="184" t="inlineStr">
        <is>
          <t>diarvis (dalam pengembangan)</t>
        </is>
      </c>
      <c r="X167" s="184" t="inlineStr">
        <is>
          <t>API</t>
        </is>
      </c>
      <c r="Y167" s="184" t="inlineStr">
        <is>
          <t>Lainnya</t>
        </is>
      </c>
      <c r="Z167" s="184" t="inlineStr">
        <is>
          <t>BMD</t>
        </is>
      </c>
      <c r="AA167" s="184" t="inlineStr">
        <is>
          <t>BKAD</t>
        </is>
      </c>
      <c r="AB167" s="178" t="inlineStr">
        <is>
          <t>indra</t>
        </is>
      </c>
      <c r="AC167" s="178" t="n">
        <v>82116608826</v>
      </c>
      <c r="AD167" s="178" t="inlineStr">
        <is>
          <t>indratroya@gmail.com</t>
        </is>
      </c>
      <c r="AE167" s="288" t="n"/>
      <c r="AF167" s="288" t="n"/>
      <c r="AG167" s="284" t="n"/>
      <c r="AH167" s="284" t="n"/>
      <c r="AI167" s="284" t="n"/>
      <c r="AJ167" s="284" t="n"/>
      <c r="AK167" s="284" t="n"/>
      <c r="AL167" s="284" t="n"/>
      <c r="AM167" s="284" t="n"/>
      <c r="AN167" s="284" t="n"/>
      <c r="AO167" s="284" t="n"/>
      <c r="AP167" s="284" t="n"/>
      <c r="AQ167" s="284" t="n"/>
      <c r="AR167" s="284" t="n"/>
    </row>
    <row r="168" hidden="1" s="346">
      <c r="A168" s="62" t="n">
        <v>166</v>
      </c>
      <c r="B168" s="132" t="inlineStr">
        <is>
          <t>DIGITALISASI PENCATATAN PERSEDIAAN BARANG</t>
        </is>
      </c>
      <c r="C168" s="76" t="inlineStr">
        <is>
          <t>Digitalisasi ini bertujuan untuk membantu OPD dalam mengelola persediaan barang secara lebih efektif, terstruktur, akurat dan realtime. Dengan digitalisasi, pencatatan transaksi keluar-masuk barang dapat dilakukan secara otomatis dan terdokumentasi dengan baik sehingga meminimalkan kesalahan manual, mempercepat proses administrasi, serta mendukung pengambilan keputusan berdasarkan data yang valid</t>
        </is>
      </c>
      <c r="D168" s="132" t="inlineStr">
        <is>
          <t>Permendagri 47 Tahun 2021</t>
        </is>
      </c>
      <c r="E168" s="132" t="inlineStr">
        <is>
          <t>Belum tersedia</t>
        </is>
      </c>
      <c r="F168" s="184" t="inlineStr">
        <is>
          <t>AKUNTANSI DAN PELAPORAN KEUANGAN</t>
        </is>
      </c>
      <c r="G168" s="184" t="inlineStr">
        <is>
          <t>Instansi Pemerintah Lainnya</t>
        </is>
      </c>
      <c r="H168" s="184" t="inlineStr">
        <is>
          <t>Data Transaksi Masuk dan keluar barang pakai habis</t>
        </is>
      </c>
      <c r="I168" s="76" t="inlineStr">
        <is>
          <t>- Laporan stockopname
 - Riwayat transaksi
 - Kartu barang persdiaan
 - Laporan Penggunaan barang
 - Laporan barag rusak/usang
 - Rekapitulasi nilai persediaan</t>
        </is>
      </c>
      <c r="J168" s="184" t="inlineStr">
        <is>
          <t>Terbuka</t>
        </is>
      </c>
      <c r="K168" s="184" t="inlineStr">
        <is>
          <t>Tidak terdapat</t>
        </is>
      </c>
      <c r="L168" s="184" t="inlineStr">
        <is>
          <t>Harian</t>
        </is>
      </c>
      <c r="M168" s="184" t="inlineStr">
        <is>
          <t>e-PERSEDIAAN</t>
        </is>
      </c>
      <c r="N168" s="184" t="inlineStr">
        <is>
          <t>OPD</t>
        </is>
      </c>
      <c r="O168" s="184" t="inlineStr">
        <is>
          <t>Kab. Bandung</t>
        </is>
      </c>
      <c r="P168" s="184" t="inlineStr">
        <is>
          <t>Website</t>
        </is>
      </c>
      <c r="Q168" s="70" t="inlineStr">
        <is>
          <t>https://persediaanbmd.bandungkab.go.id/</t>
        </is>
      </c>
      <c r="R168" s="184" t="inlineStr">
        <is>
          <t>Secara Online</t>
        </is>
      </c>
      <c r="S168" s="184" t="inlineStr">
        <is>
          <t>Transaksi</t>
        </is>
      </c>
      <c r="T168" s="98" t="n">
        <v>2023</v>
      </c>
      <c r="U168" s="184" t="inlineStr">
        <is>
          <t>Aktif</t>
        </is>
      </c>
      <c r="V168" s="184" t="inlineStr">
        <is>
          <t>Ya</t>
        </is>
      </c>
      <c r="W168" s="184" t="inlineStr">
        <is>
          <t>e-penghapusan dan diarvis (dalam pengembangan)</t>
        </is>
      </c>
      <c r="X168" s="184" t="inlineStr">
        <is>
          <t>API</t>
        </is>
      </c>
      <c r="Y168" s="184" t="inlineStr">
        <is>
          <t>Lainnya</t>
        </is>
      </c>
      <c r="Z168" s="184" t="inlineStr">
        <is>
          <t>Barang Milik Daerah</t>
        </is>
      </c>
      <c r="AA168" s="184" t="inlineStr">
        <is>
          <t>BKAD</t>
        </is>
      </c>
      <c r="AB168" s="178" t="inlineStr">
        <is>
          <t>Cecep Sutisna</t>
        </is>
      </c>
      <c r="AC168" s="178" t="n">
        <v>83822355705</v>
      </c>
      <c r="AD168" s="178" t="inlineStr">
        <is>
          <t>cecepsutisna488@gmail.com</t>
        </is>
      </c>
      <c r="AE168" s="288" t="n"/>
      <c r="AF168" s="288" t="n"/>
      <c r="AG168" s="284" t="n"/>
      <c r="AH168" s="284" t="n"/>
      <c r="AI168" s="284" t="n"/>
      <c r="AJ168" s="284" t="n"/>
      <c r="AK168" s="284" t="n"/>
      <c r="AL168" s="284" t="n"/>
      <c r="AM168" s="284" t="n"/>
      <c r="AN168" s="284" t="n"/>
      <c r="AO168" s="284" t="n"/>
      <c r="AP168" s="284" t="n"/>
      <c r="AQ168" s="284" t="n"/>
      <c r="AR168" s="284" t="n"/>
    </row>
    <row r="169" hidden="1" s="346">
      <c r="A169" s="62" t="n">
        <v>167</v>
      </c>
      <c r="B169" s="201" t="inlineStr">
        <is>
          <t>Pendaftaran Objek Pajak Baru Pajak Bumi dan Bangunan Perdesaan dan Perkotaan (PBB-P2)</t>
        </is>
      </c>
      <c r="C169" s="201" t="inlineStr">
        <is>
          <t>Layanan yang disediakan oleh Badan Pendapatan Daerah bagi masyarakat untuk pendaftaran objek pajak baru kategori Pajak Bumi dan Bangunan Perdesaan dan Perkotaan (PBB-P2).</t>
        </is>
      </c>
      <c r="D169" s="201" t="inlineStr">
        <is>
          <t>1. Peraturan Daerah Kabupaten Bandung Nomor 10 Tahun 2023 tentang Pajak Daerah dan Retribusi Daerah
 2. Peraturan Bupati Bandung Nomor 289 Tahun 2023 tentang Tata Cara Pemungutan Pajak Daerah</t>
        </is>
      </c>
      <c r="E169" s="70" t="inlineStr">
        <is>
          <t>https://drive.google.com/file/d/1EleK6UBDx7lBx-8YOCfg6TAbMx8HdYBj/view?usp=sharing</t>
        </is>
      </c>
      <c r="F169" s="176" t="inlineStr">
        <is>
          <t>PENINGKATAN KUALITAS PELAYANAN PUBLIK</t>
        </is>
      </c>
      <c r="G169" s="184" t="inlineStr">
        <is>
          <t>Masyarakat &amp; Pelaku Bisnis</t>
        </is>
      </c>
      <c r="H169" s="201" t="inlineStr">
        <is>
          <t>1. KTP
 2. NPWP
 3. Data Objek Pajak yang sesuai dengan bukti kepemilikan
 4. SPOP
 5. LSPOP</t>
        </is>
      </c>
      <c r="I169" s="201" t="inlineStr">
        <is>
          <t>SPPT PBB-P2</t>
        </is>
      </c>
      <c r="J169" s="176" t="inlineStr">
        <is>
          <t>Terbatas</t>
        </is>
      </c>
      <c r="K169" s="176" t="inlineStr">
        <is>
          <t>Terdapat</t>
        </is>
      </c>
      <c r="L169" s="176" t="inlineStr">
        <is>
          <t>Harian</t>
        </is>
      </c>
      <c r="M169" s="184" t="inlineStr">
        <is>
          <t>SISMIOP</t>
        </is>
      </c>
      <c r="N169" s="176" t="inlineStr">
        <is>
          <t>Pihak Ke 3</t>
        </is>
      </c>
      <c r="O169" s="176" t="inlineStr">
        <is>
          <t>Kab. Bandung</t>
        </is>
      </c>
      <c r="P169" s="176" t="inlineStr">
        <is>
          <t>Website</t>
        </is>
      </c>
      <c r="Q169" s="70" t="inlineStr">
        <is>
          <t>pbb-online.bandungkab.go.id</t>
        </is>
      </c>
      <c r="R169" s="176" t="inlineStr">
        <is>
          <t>Secara Online</t>
        </is>
      </c>
      <c r="S169" s="176" t="inlineStr">
        <is>
          <t>Transaksi</t>
        </is>
      </c>
      <c r="T169" s="176" t="n">
        <v>2012</v>
      </c>
      <c r="U169" s="176" t="inlineStr">
        <is>
          <t>Aktif</t>
        </is>
      </c>
      <c r="V169" s="176" t="inlineStr">
        <is>
          <t>Ya</t>
        </is>
      </c>
      <c r="W169" s="201" t="inlineStr">
        <is>
          <t>1. Dashboard Pimpinan
 2. Bank BJB</t>
        </is>
      </c>
      <c r="X169" s="176" t="inlineStr">
        <is>
          <t>API</t>
        </is>
      </c>
      <c r="Y169" s="176" t="inlineStr">
        <is>
          <t>Realtime</t>
        </is>
      </c>
      <c r="Z169" s="201" t="inlineStr">
        <is>
          <t>Bidang Pajak II</t>
        </is>
      </c>
      <c r="AA169" s="176" t="inlineStr">
        <is>
          <t>Bapenda</t>
        </is>
      </c>
      <c r="AB169" s="201" t="inlineStr">
        <is>
          <t>Ipang Maulana Ibrahim</t>
        </is>
      </c>
      <c r="AC169" s="201" t="n">
        <v>81321159892</v>
      </c>
      <c r="AD169" s="176" t="inlineStr">
        <is>
          <t>-</t>
        </is>
      </c>
      <c r="AE169" s="288" t="n"/>
      <c r="AF169" s="288" t="n"/>
      <c r="AG169" s="202" t="n"/>
      <c r="AH169" s="284" t="n"/>
      <c r="AI169" s="284" t="n"/>
      <c r="AJ169" s="284" t="n"/>
      <c r="AK169" s="284" t="n"/>
      <c r="AL169" s="284" t="n"/>
      <c r="AM169" s="284" t="n"/>
      <c r="AN169" s="284" t="n"/>
      <c r="AO169" s="284" t="n"/>
      <c r="AP169" s="284" t="n"/>
      <c r="AQ169" s="284" t="n"/>
      <c r="AR169" s="284" t="n"/>
    </row>
    <row r="170" hidden="1" s="346">
      <c r="A170" s="62" t="n">
        <v>168</v>
      </c>
      <c r="B170" s="201" t="inlineStr">
        <is>
          <t>Penerbitan Salinan Surat Pemberitahuan Pajak Terhutang (SPPT) Pajak Bumi dan Bangunan Perdesaan dan Perkotaan (PBB-P2)</t>
        </is>
      </c>
      <c r="C170" s="201" t="inlineStr">
        <is>
          <t>Layanan yang disediakan oleh Badan Pendapatan Daerah bagi masyarakat untuk penerbitan Salinan Surat Pemberitahuan Pajak Terhutang (SPPT) Pajak Bumi dan Bangunan Perdesaan dan Perkotaan (PBB-P2).</t>
        </is>
      </c>
      <c r="D170" s="201" t="inlineStr">
        <is>
          <t>1. Peraturan Daerah Kabupaten Bandung Nomor 10 Tahun 2023 tentang Pajak Daerah dan Retribusi Daerah
 2. Peraturan Bupati Bandung Nomor 289 Tahun 2023 tentang Tata Cara Pemungutan Pajak Daerah</t>
        </is>
      </c>
      <c r="E170" s="70" t="inlineStr">
        <is>
          <t>https://drive.google.com/file/d/1CloKUh40TI8aJ_npp4ASJNSlnRVawVBn/view?usp=sharing</t>
        </is>
      </c>
      <c r="F170" s="176" t="inlineStr">
        <is>
          <t>PENINGKATAN KUALITAS PELAYANAN PUBLIK</t>
        </is>
      </c>
      <c r="G170" s="184" t="inlineStr">
        <is>
          <t>Masyarakat &amp; Pelaku Bisnis</t>
        </is>
      </c>
      <c r="H170" s="201" t="inlineStr">
        <is>
          <t>1. NOP
 2. Tahun Pajak SPPT PBB-P2</t>
        </is>
      </c>
      <c r="I170" s="201" t="inlineStr">
        <is>
          <t>SPPT PBB-P2</t>
        </is>
      </c>
      <c r="J170" s="176" t="inlineStr">
        <is>
          <t>Terbatas</t>
        </is>
      </c>
      <c r="K170" s="176" t="inlineStr">
        <is>
          <t>Terdapat</t>
        </is>
      </c>
      <c r="L170" s="176" t="inlineStr">
        <is>
          <t>Harian</t>
        </is>
      </c>
      <c r="M170" s="184" t="inlineStr">
        <is>
          <t>Aplikasi Cetak SPPT</t>
        </is>
      </c>
      <c r="N170" s="176" t="inlineStr">
        <is>
          <t>OPD</t>
        </is>
      </c>
      <c r="O170" s="176" t="inlineStr">
        <is>
          <t>Kab. Bandung</t>
        </is>
      </c>
      <c r="P170" s="176" t="inlineStr">
        <is>
          <t>Website</t>
        </is>
      </c>
      <c r="Q170" s="201" t="inlineStr">
        <is>
          <t>192.168.255.225/bandung-cetak/cetak-SPPT</t>
        </is>
      </c>
      <c r="R170" s="176" t="inlineStr">
        <is>
          <t>Secara Online</t>
        </is>
      </c>
      <c r="S170" s="176" t="inlineStr">
        <is>
          <t>Transaksi</t>
        </is>
      </c>
      <c r="T170" s="176" t="n">
        <v>2023</v>
      </c>
      <c r="U170" s="176" t="inlineStr">
        <is>
          <t>Aktif</t>
        </is>
      </c>
      <c r="V170" s="176" t="inlineStr">
        <is>
          <t>Ya</t>
        </is>
      </c>
      <c r="W170" s="201" t="inlineStr">
        <is>
          <t>1. Dashboard Pimpinan
 2. Bank BJB</t>
        </is>
      </c>
      <c r="X170" s="176" t="inlineStr">
        <is>
          <t>API</t>
        </is>
      </c>
      <c r="Y170" s="176" t="inlineStr">
        <is>
          <t>Realtime</t>
        </is>
      </c>
      <c r="Z170" s="201" t="inlineStr">
        <is>
          <t>Bidang Pajak II</t>
        </is>
      </c>
      <c r="AA170" s="176" t="inlineStr">
        <is>
          <t>Bapenda</t>
        </is>
      </c>
      <c r="AB170" s="201" t="inlineStr">
        <is>
          <t>Ipang Maulana Ibrahim</t>
        </is>
      </c>
      <c r="AC170" s="201" t="n">
        <v>81321159892</v>
      </c>
      <c r="AD170" s="176" t="inlineStr">
        <is>
          <t>-</t>
        </is>
      </c>
      <c r="AE170" s="288" t="n"/>
      <c r="AF170" s="288" t="n"/>
      <c r="AG170" s="202" t="n"/>
      <c r="AH170" s="284" t="n"/>
      <c r="AI170" s="284" t="n"/>
      <c r="AJ170" s="284" t="n"/>
      <c r="AK170" s="284" t="n"/>
      <c r="AL170" s="284" t="n"/>
      <c r="AM170" s="284" t="n"/>
      <c r="AN170" s="284" t="n"/>
      <c r="AO170" s="284" t="n"/>
      <c r="AP170" s="284" t="n"/>
      <c r="AQ170" s="284" t="n"/>
      <c r="AR170" s="284" t="n"/>
    </row>
    <row r="171" hidden="1" s="346">
      <c r="A171" s="62" t="n">
        <v>169</v>
      </c>
      <c r="B171" s="201" t="inlineStr">
        <is>
          <t>Validasi Bea Perolehan Hak atas Tanah dan Bangunan (BPHTB)</t>
        </is>
      </c>
      <c r="C171" s="201" t="inlineStr">
        <is>
          <t>Layanan yang disediakan oleh Badan Pendapatan Daerah bagi masyarakat untuk melakukan validasi (pengujian/pengesahan) terhadap Bea Perolehan Hak atas Tanah dan Bangunan (BPHTB) agar sesuai dengan standar dan tujuannya.</t>
        </is>
      </c>
      <c r="D171" s="201" t="inlineStr">
        <is>
          <t>1. Peraturan Daerah Kabupaten Bandung Nomor 10 Tahun 2023 tentang Pajak Daerah dan Retribusi Daerah
 2. Peraturan Bupati Bandung Nomor 289 Tahun 2023 tentang Tata Cara Pemungutan Pajak Daerah</t>
        </is>
      </c>
      <c r="E171" s="70" t="inlineStr">
        <is>
          <t>https://drive.google.com/drive/folders/1psrMJUnyozjImYwLa6s5MSyj6ohEJYQO?usp=sharing</t>
        </is>
      </c>
      <c r="F171" s="176" t="inlineStr">
        <is>
          <t>PENINGKATAN KUALITAS PELAYANAN PUBLIK</t>
        </is>
      </c>
      <c r="G171" s="184" t="inlineStr">
        <is>
          <t>Masyarakat &amp; Pelaku Bisnis</t>
        </is>
      </c>
      <c r="H171" s="201" t="inlineStr">
        <is>
          <t>1. KTP
 2. NPWP
 3. NOP PBB-P2
 4. Bukti Kepemilikan (SHM/Akte Jual Beli)
 5. Kwitansi (untuk harga transaksi)</t>
        </is>
      </c>
      <c r="I171" s="201" t="inlineStr">
        <is>
          <t>SSPD BPHTB</t>
        </is>
      </c>
      <c r="J171" s="176" t="inlineStr">
        <is>
          <t>Terbatas</t>
        </is>
      </c>
      <c r="K171" s="176" t="inlineStr">
        <is>
          <t>Terdapat</t>
        </is>
      </c>
      <c r="L171" s="176" t="inlineStr">
        <is>
          <t>Harian</t>
        </is>
      </c>
      <c r="M171" s="184" t="inlineStr">
        <is>
          <t>e-BPHTB Sibedas Tangguh</t>
        </is>
      </c>
      <c r="N171" s="176" t="inlineStr">
        <is>
          <t>Pihak Ke 3</t>
        </is>
      </c>
      <c r="O171" s="176" t="inlineStr">
        <is>
          <t>Kab. Bandung</t>
        </is>
      </c>
      <c r="P171" s="176" t="inlineStr">
        <is>
          <t>Website</t>
        </is>
      </c>
      <c r="Q171" s="70" t="inlineStr">
        <is>
          <t>https://bphtb2.bandungkab.go.id/</t>
        </is>
      </c>
      <c r="R171" s="176" t="inlineStr">
        <is>
          <t>Secara Online</t>
        </is>
      </c>
      <c r="S171" s="176" t="inlineStr">
        <is>
          <t>Transaksi</t>
        </is>
      </c>
      <c r="T171" s="176" t="n">
        <v>2025</v>
      </c>
      <c r="U171" s="176" t="inlineStr">
        <is>
          <t>Aktif</t>
        </is>
      </c>
      <c r="V171" s="176" t="inlineStr">
        <is>
          <t>Ya</t>
        </is>
      </c>
      <c r="W171" s="201" t="inlineStr">
        <is>
          <t>1. Dashboard Pimpinan
 2. Bank BJB</t>
        </is>
      </c>
      <c r="X171" s="176" t="inlineStr">
        <is>
          <t>API</t>
        </is>
      </c>
      <c r="Y171" s="176" t="inlineStr">
        <is>
          <t>Realtime</t>
        </is>
      </c>
      <c r="Z171" s="201" t="inlineStr">
        <is>
          <t>Bidang Pajak II</t>
        </is>
      </c>
      <c r="AA171" s="176" t="inlineStr">
        <is>
          <t>Bapenda</t>
        </is>
      </c>
      <c r="AB171" s="201" t="inlineStr">
        <is>
          <t>Ipang Maulana Ibrahim</t>
        </is>
      </c>
      <c r="AC171" s="201" t="n">
        <v>81321159892</v>
      </c>
      <c r="AD171" s="176" t="inlineStr">
        <is>
          <t>-</t>
        </is>
      </c>
      <c r="AE171" s="288" t="n"/>
      <c r="AF171" s="288" t="n"/>
      <c r="AG171" s="202" t="n"/>
      <c r="AH171" s="284" t="n"/>
      <c r="AI171" s="284" t="n"/>
      <c r="AJ171" s="284" t="n"/>
      <c r="AK171" s="284" t="n"/>
      <c r="AL171" s="284" t="n"/>
      <c r="AM171" s="284" t="n"/>
      <c r="AN171" s="284" t="n"/>
      <c r="AO171" s="284" t="n"/>
      <c r="AP171" s="284" t="n"/>
      <c r="AQ171" s="284" t="n"/>
      <c r="AR171" s="284" t="n"/>
    </row>
    <row r="172" hidden="1" s="346">
      <c r="A172" s="62" t="n">
        <v>170</v>
      </c>
      <c r="B172" s="201" t="inlineStr">
        <is>
          <t>Penetapan Pajak Daerah:
 PBJT Makanan dan/atau Minuman, PBJT Jasa Perhotelan, PBJT Jasa Parkir, PBJT Jasa Kesenian dan Hiburan, Pajak Reklame, Pajak Mineral Bukan Logam dan Batuan (MBLB) dan Pajak Air Tanah</t>
        </is>
      </c>
      <c r="C172" s="201" t="inlineStr">
        <is>
          <t>Layanan yang disediakan oleh Badan Pendapatan Daerah bagi masyarakat dalam hal menetapkan pajak daerah untuk kategori:
 1. PBJT Makanan dan/atau Minuman
 2. PBJT Jasa Perhotelan
 3. PBJT Jasa Parkir
 4. PBJT Jasa Kesenian dan Hiburan
 5. Pajak Reklame
 6. Pajak Mineral Bukan Logam dan Batuan (MBLB)
 7. Pajak Air Tanah</t>
        </is>
      </c>
      <c r="D172" s="201" t="inlineStr">
        <is>
          <t>1. Peraturan Daerah Kabupaten Bandung Nomor 10 Tahun 2023 tentang Pajak Daerah dan Retribusi Daerah
 2. Peraturan Bupati Bandung Nomor 289 Tahun 2023 tentang Tata Cara Pemungutan Pajak Daerah</t>
        </is>
      </c>
      <c r="E172" s="70" t="inlineStr">
        <is>
          <t>https://drive.google.com/drive/folders/1YBsK-2pdfsgxA-SPqsa5WMZzipvbo0Zl?usp=sharing</t>
        </is>
      </c>
      <c r="F172" s="176" t="inlineStr">
        <is>
          <t>PENINGKATAN KUALITAS PELAYANAN PUBLIK</t>
        </is>
      </c>
      <c r="G172" s="184" t="inlineStr">
        <is>
          <t>Masyarakat &amp; Pelaku Bisnis</t>
        </is>
      </c>
      <c r="H172" s="201" t="inlineStr">
        <is>
          <t>Nilai Pajak SPTPD</t>
        </is>
      </c>
      <c r="I172" s="201" t="inlineStr">
        <is>
          <t>Surat Ketetapan Pajak Daerah (SKPD)</t>
        </is>
      </c>
      <c r="J172" s="176" t="inlineStr">
        <is>
          <t>Terbatas</t>
        </is>
      </c>
      <c r="K172" s="176" t="inlineStr">
        <is>
          <t>Terdapat</t>
        </is>
      </c>
      <c r="L172" s="176" t="inlineStr">
        <is>
          <t>Harian</t>
        </is>
      </c>
      <c r="M172" s="184" t="inlineStr">
        <is>
          <t>SIP-PAD</t>
        </is>
      </c>
      <c r="N172" s="176" t="inlineStr">
        <is>
          <t>Pihak Ke 3</t>
        </is>
      </c>
      <c r="O172" s="176" t="inlineStr">
        <is>
          <t>Kab. Bandung</t>
        </is>
      </c>
      <c r="P172" s="176" t="inlineStr">
        <is>
          <t>Website dan Mobile</t>
        </is>
      </c>
      <c r="Q172" s="70" t="inlineStr">
        <is>
          <t>https://e-pad.bandungkab.go.id/index.php/user/login</t>
        </is>
      </c>
      <c r="R172" s="176" t="inlineStr">
        <is>
          <t>Secara Online</t>
        </is>
      </c>
      <c r="S172" s="176" t="inlineStr">
        <is>
          <t>Transaksi</t>
        </is>
      </c>
      <c r="T172" s="176" t="n">
        <v>2020</v>
      </c>
      <c r="U172" s="176" t="inlineStr">
        <is>
          <t>Aktif</t>
        </is>
      </c>
      <c r="V172" s="176" t="inlineStr">
        <is>
          <t>Ya</t>
        </is>
      </c>
      <c r="W172" s="201" t="inlineStr">
        <is>
          <t>e-SPTPD (Eletronik Surat Pemberitahuan Pajak Daerah)</t>
        </is>
      </c>
      <c r="X172" s="176" t="inlineStr">
        <is>
          <t>API</t>
        </is>
      </c>
      <c r="Y172" s="176" t="inlineStr">
        <is>
          <t>Realtime</t>
        </is>
      </c>
      <c r="Z172" s="201" t="inlineStr">
        <is>
          <t>Bidang Pajak I</t>
        </is>
      </c>
      <c r="AA172" s="176" t="inlineStr">
        <is>
          <t>Bapenda</t>
        </is>
      </c>
      <c r="AB172" s="201" t="inlineStr">
        <is>
          <t>Tri Putra Apriyono</t>
        </is>
      </c>
      <c r="AC172" s="201" t="n">
        <v>82240473904</v>
      </c>
      <c r="AD172" s="176" t="inlineStr">
        <is>
          <t>-</t>
        </is>
      </c>
      <c r="AE172" s="288" t="n"/>
      <c r="AF172" s="288" t="n"/>
      <c r="AG172" s="202" t="n"/>
      <c r="AH172" s="284" t="n"/>
      <c r="AI172" s="284" t="n"/>
      <c r="AJ172" s="284" t="n"/>
      <c r="AK172" s="284" t="n"/>
      <c r="AL172" s="284" t="n"/>
      <c r="AM172" s="284" t="n"/>
      <c r="AN172" s="284" t="n"/>
      <c r="AO172" s="284" t="n"/>
      <c r="AP172" s="284" t="n"/>
      <c r="AQ172" s="284" t="n"/>
      <c r="AR172" s="284" t="n"/>
    </row>
    <row r="173" hidden="1" s="346">
      <c r="A173" s="62" t="n">
        <v>171</v>
      </c>
      <c r="B173" s="204" t="n"/>
      <c r="C173" s="204" t="n"/>
      <c r="D173" s="204" t="n"/>
      <c r="E173" s="204" t="n"/>
      <c r="F173" s="204" t="n"/>
      <c r="G173" s="288" t="n"/>
      <c r="H173" s="204" t="n"/>
      <c r="I173" s="204" t="n"/>
      <c r="J173" s="204" t="n"/>
      <c r="K173" s="204" t="n"/>
      <c r="L173" s="204" t="n"/>
      <c r="M173" s="184" t="inlineStr">
        <is>
          <t>DHE</t>
        </is>
      </c>
      <c r="N173" s="176" t="inlineStr">
        <is>
          <t>Diskominfo</t>
        </is>
      </c>
      <c r="O173" s="176" t="inlineStr">
        <is>
          <t>Kab. Bandung</t>
        </is>
      </c>
      <c r="P173" s="176" t="inlineStr">
        <is>
          <t>Website dan Mobile</t>
        </is>
      </c>
      <c r="Q173" s="70" t="inlineStr">
        <is>
          <t>https://e-absensi.bandungkab.go.id/login</t>
        </is>
      </c>
      <c r="R173" s="176" t="inlineStr">
        <is>
          <t>Secara Online</t>
        </is>
      </c>
      <c r="S173" s="176" t="inlineStr">
        <is>
          <t>Transaksi</t>
        </is>
      </c>
      <c r="T173" s="176" t="inlineStr">
        <is>
          <t>-</t>
        </is>
      </c>
      <c r="U173" s="176" t="inlineStr">
        <is>
          <t>Aktif</t>
        </is>
      </c>
      <c r="V173" s="176" t="inlineStr">
        <is>
          <t>Ya</t>
        </is>
      </c>
      <c r="W173" s="176" t="inlineStr">
        <is>
          <t>SASIKAP EVO</t>
        </is>
      </c>
      <c r="X173" s="176" t="inlineStr">
        <is>
          <t>Database to Database</t>
        </is>
      </c>
      <c r="Y173" s="176" t="inlineStr">
        <is>
          <t>Harian</t>
        </is>
      </c>
      <c r="Z173" s="176" t="inlineStr">
        <is>
          <t>-</t>
        </is>
      </c>
      <c r="AA173" s="176" t="inlineStr">
        <is>
          <t>Diskominfo</t>
        </is>
      </c>
      <c r="AB173" s="204" t="n"/>
      <c r="AC173" s="204" t="n"/>
      <c r="AD173" s="204" t="n"/>
      <c r="AE173" s="288" t="n"/>
      <c r="AF173" s="288" t="n"/>
      <c r="AG173" s="202" t="n"/>
      <c r="AH173" s="284" t="n"/>
      <c r="AI173" s="284" t="n"/>
      <c r="AJ173" s="284" t="n"/>
      <c r="AK173" s="284" t="n"/>
      <c r="AL173" s="284" t="n"/>
      <c r="AM173" s="284" t="n"/>
      <c r="AN173" s="284" t="n"/>
      <c r="AO173" s="284" t="n"/>
      <c r="AP173" s="284" t="n"/>
      <c r="AQ173" s="284" t="n"/>
      <c r="AR173" s="284" t="n"/>
    </row>
    <row r="174" hidden="1" s="346">
      <c r="A174" s="62" t="n">
        <v>172</v>
      </c>
      <c r="B174" s="208" t="inlineStr">
        <is>
          <t>Layanan Pengelolaan Kinerja ASN</t>
        </is>
      </c>
      <c r="C174" s="208" t="inlineStr">
        <is>
          <t>Layanan Pengelolaan Penilaian Kinerja ASN di Lingkungan Pemerintah Kabupaten Bandung untuk mewujudkan suatu layanan kepegawaian yang cepat, efektif, efisien, dan akurat dengan memanfaatkan teknologi komunikasi dan informasi berupa sistem yang terpadu meliputi pendataan, pengolahan, prosedur, sumber daya manusia, dan teknologi informasi.</t>
        </is>
      </c>
      <c r="D174" s="208" t="inlineStr">
        <is>
          <t>Peraturan Bupati Bandung No. 341 Tahun 2022 Tentang Pengelolaan Kinerja ASN dan Perubahan No. 273 Tahun 2023 Tentang Perubahan Atas Peraturan Bupati Bandung No. 341 Tahun 2022 Tentang Pengelolaan Kinerja ASN</t>
        </is>
      </c>
      <c r="E174" s="70" t="inlineStr">
        <is>
          <t>https://drive.google.com/file/d/1-u8BdMLGCu4aICHYLsA_St6eYZj99BZB/view?usp=drive_link</t>
        </is>
      </c>
      <c r="F174" s="208" t="inlineStr">
        <is>
          <t>PENATAAN SUMBER DAYA MANUSIA APARATUR</t>
        </is>
      </c>
      <c r="G174" s="208" t="inlineStr">
        <is>
          <t>Pegawai</t>
        </is>
      </c>
      <c r="H174" s="209" t="inlineStr">
        <is>
          <t>Data Pengguna</t>
        </is>
      </c>
      <c r="I174" s="208" t="inlineStr">
        <is>
          <t>Produk Hasil Penilaian Kinerja ASN, seperti Laporan Kinerja Bulanan dan Sasaran Kinerja Pegawai Tahunan</t>
        </is>
      </c>
      <c r="J174" s="208" t="inlineStr">
        <is>
          <t>Terbatas</t>
        </is>
      </c>
      <c r="K174" s="208" t="inlineStr">
        <is>
          <t>Terdapat</t>
        </is>
      </c>
      <c r="L174" s="208" t="inlineStr">
        <is>
          <t>Harian</t>
        </is>
      </c>
      <c r="M174" s="184" t="inlineStr">
        <is>
          <t>SASIKAP EVO</t>
        </is>
      </c>
      <c r="N174" s="208" t="inlineStr">
        <is>
          <t>Pihak Ke 3</t>
        </is>
      </c>
      <c r="O174" s="208" t="inlineStr">
        <is>
          <t>Kab. Bandung</t>
        </is>
      </c>
      <c r="P174" s="208" t="inlineStr">
        <is>
          <t>Website</t>
        </is>
      </c>
      <c r="Q174" s="75" t="inlineStr">
        <is>
          <t>https://sso.bandungkab.go.id</t>
        </is>
      </c>
      <c r="R174" s="208" t="inlineStr">
        <is>
          <t>Secara Online</t>
        </is>
      </c>
      <c r="S174" s="208" t="inlineStr">
        <is>
          <t>Transaksi</t>
        </is>
      </c>
      <c r="T174" s="209" t="n">
        <v>2017</v>
      </c>
      <c r="U174" s="208" t="inlineStr">
        <is>
          <t>Aktif</t>
        </is>
      </c>
      <c r="V174" s="208" t="inlineStr">
        <is>
          <t>Ya</t>
        </is>
      </c>
      <c r="W174" s="209" t="inlineStr">
        <is>
          <t>DHE ASN</t>
        </is>
      </c>
      <c r="X174" s="208" t="inlineStr">
        <is>
          <t>Database to Database</t>
        </is>
      </c>
      <c r="Y174" s="208" t="inlineStr">
        <is>
          <t>Harian</t>
        </is>
      </c>
      <c r="Z174" s="209" t="inlineStr">
        <is>
          <t>Bidang Penilaian Kinerja dan Pengembangan ASN</t>
        </is>
      </c>
      <c r="AA174" s="208" t="inlineStr">
        <is>
          <t>BKPSDM</t>
        </is>
      </c>
      <c r="AB174" s="208" t="inlineStr">
        <is>
          <t>DEDI RADI, S.Kom M.M.</t>
        </is>
      </c>
      <c r="AC174" s="208" t="n">
        <v>82133111001</v>
      </c>
      <c r="AD174" s="75" t="inlineStr">
        <is>
          <t>dediradi@gmail.com</t>
        </is>
      </c>
      <c r="AE174" s="210" t="n">
        <v>28</v>
      </c>
      <c r="AF174" s="210" t="inlineStr">
        <is>
          <t>Insidentil</t>
        </is>
      </c>
      <c r="AG174" s="211" t="n"/>
      <c r="AH174" s="284" t="n"/>
      <c r="AI174" s="284" t="n"/>
      <c r="AJ174" s="284" t="n"/>
      <c r="AK174" s="284" t="n"/>
      <c r="AL174" s="284" t="n"/>
      <c r="AM174" s="284" t="n"/>
      <c r="AN174" s="284" t="n"/>
      <c r="AO174" s="284" t="n"/>
      <c r="AP174" s="284" t="n"/>
      <c r="AQ174" s="284" t="n"/>
      <c r="AR174" s="284" t="n"/>
    </row>
    <row r="175">
      <c r="A175" s="62" t="n">
        <v>173</v>
      </c>
      <c r="B175" s="184" t="inlineStr">
        <is>
          <t>Layanan Penerbitan Surat Keterangan Penelitian</t>
        </is>
      </c>
      <c r="C175" s="184" t="inlineStr">
        <is>
          <t>Layanan penerbitan Surat Keterangan Penelitian di Badan Kesatuan Bangsa dan Politik memiliki tujuan untuk memberikan kepastian hukum dan legalitas bagi mahasiswa, dosen, peneliti, maupun lembaga riset yang akan melakukan penelitian di wilayah daerah. Selain itu, penerbitan Surat Keterangan Penelitian juga dimaksudkan sebagai dasar administrasi bagi instansi pemerintah maupun masyarakat dalam memberikan izin akses data atau informasi kepada peneliti. Layanan ini juga berfungsi sebagai sarana pencatatan dan dokumentasi kegiatan penelitian yang masuk ke daerah, sehingga pemerintah memiliki basis data yang jelas mengenai bidang-bidang penelitian yang dilakukan.</t>
        </is>
      </c>
      <c r="D175" s="184" t="inlineStr">
        <is>
          <t>Permendagri 7 Tahun 2014</t>
        </is>
      </c>
      <c r="E175" s="131" t="inlineStr">
        <is>
          <t>https://drive.google.com/file/d/1PXizS0lsGfzHef1oqj26L6YEq9Ht-TsF/view?usp=sharing</t>
        </is>
      </c>
      <c r="F175" s="184" t="inlineStr">
        <is>
          <t>PENINGKATAN KUALITAS PELAYANAN PUBLIK</t>
        </is>
      </c>
      <c r="G175" s="184" t="inlineStr">
        <is>
          <t>Masyarakat</t>
        </is>
      </c>
      <c r="H175" s="184" t="inlineStr">
        <is>
          <t>Ktp, Surat Pengantar dari Kampus, Proposal, Surat ijin Lokasi untuk kkn/pkl</t>
        </is>
      </c>
      <c r="I175" s="184" t="inlineStr">
        <is>
          <t>Surat Izin Penelitian, Surat Izin magang/PKL/Magang</t>
        </is>
      </c>
      <c r="J175" s="184" t="inlineStr">
        <is>
          <t>Terbatas</t>
        </is>
      </c>
      <c r="K175" s="184" t="inlineStr">
        <is>
          <t>Terdapat</t>
        </is>
      </c>
      <c r="L175" s="184" t="inlineStr">
        <is>
          <t>Harian</t>
        </is>
      </c>
      <c r="M175" s="184" t="inlineStr">
        <is>
          <t>Microsoft Office</t>
        </is>
      </c>
      <c r="N175" s="184" t="inlineStr">
        <is>
          <t>OPD</t>
        </is>
      </c>
      <c r="O175" s="184" t="inlineStr">
        <is>
          <t>Kab. Bandung</t>
        </is>
      </c>
      <c r="P175" s="184" t="inlineStr">
        <is>
          <t>Desktop</t>
        </is>
      </c>
      <c r="Q175" s="184" t="inlineStr">
        <is>
          <t>Word dan Excel</t>
        </is>
      </c>
      <c r="R175" s="184" t="inlineStr">
        <is>
          <t>Secara Offline</t>
        </is>
      </c>
      <c r="S175" s="184" t="inlineStr">
        <is>
          <t>Informasi</t>
        </is>
      </c>
      <c r="T175" s="184" t="n">
        <v>2009</v>
      </c>
      <c r="U175" s="184" t="inlineStr">
        <is>
          <t>Aktif</t>
        </is>
      </c>
      <c r="V175" s="184" t="inlineStr">
        <is>
          <t>Tidak</t>
        </is>
      </c>
      <c r="W175" s="184" t="inlineStr">
        <is>
          <t>Tidak Terintegrasi</t>
        </is>
      </c>
      <c r="X175" s="184" t="inlineStr">
        <is>
          <t>Manual</t>
        </is>
      </c>
      <c r="Y175" s="184" t="inlineStr">
        <is>
          <t>Tidak Terintegrasi</t>
        </is>
      </c>
      <c r="Z175" s="184" t="inlineStr">
        <is>
          <t>Bidang Ideologi, Wawasan Kebangsaan dan Karakter Bangsa</t>
        </is>
      </c>
      <c r="AA175" s="184" t="inlineStr">
        <is>
          <t>Bakesbangpol</t>
        </is>
      </c>
      <c r="AB175" s="184" t="inlineStr">
        <is>
          <t>Sugiarto, S.Sos</t>
        </is>
      </c>
      <c r="AC175" s="184" t="n">
        <v>82315879914</v>
      </c>
      <c r="AD175" s="184" t="inlineStr">
        <is>
          <t>alexsugiarto005@gmail.com</t>
        </is>
      </c>
      <c r="AE175" s="288" t="n"/>
      <c r="AF175" s="68" t="inlineStr">
        <is>
          <t>Harian</t>
        </is>
      </c>
      <c r="AG175" s="284" t="n"/>
      <c r="AH175" s="284" t="n"/>
      <c r="AI175" s="284" t="n"/>
      <c r="AJ175" s="284" t="n"/>
      <c r="AK175" s="284" t="n"/>
      <c r="AL175" s="284" t="n"/>
      <c r="AM175" s="284" t="n"/>
      <c r="AN175" s="284" t="n"/>
      <c r="AO175" s="284" t="n"/>
      <c r="AP175" s="284" t="n"/>
      <c r="AQ175" s="284" t="n"/>
      <c r="AR175" s="284" t="n"/>
    </row>
    <row r="176">
      <c r="A176" s="62" t="n">
        <v>174</v>
      </c>
      <c r="B176" s="178" t="inlineStr">
        <is>
          <t>Layanan Lapor Ormas</t>
        </is>
      </c>
      <c r="C176" s="133" t="inlineStr">
        <is>
          <t>Layanan Lapor Ormas di Kesbangpol bertujuan untuk mendata dan memantau keberadaan serta aktivitas organisasi kemasyarakatan agar tercipta ketertiban administrasi, akuntabilitas, dan basis data yang valid. Layanan ini berfungsi sebagai sarana pendataan, evaluasi, dan pembinaan ormas, sekaligus memastikan aktivitasnya sesuai aturan hukum serta berkontribusi positif bagi masyarakat dan stabilitas daerah.</t>
        </is>
      </c>
      <c r="D176" s="178" t="inlineStr">
        <is>
          <t>Undang-Undang Nomor 17 Tahun 2013 tentang Organisasi Kemasyarakatan
 Undang-Undang Nomor 16 Tahun 2017 (tentang Penetapan Perppu Nomor 2 Tahun 2017 menjadi Undang-Undang)
 Peraturan Pemerintah Nomor 58 Tahun 2016 tentang Pelaksanaan Undang-Undang Nomor 17 Tahun 2013 tentang Organisasi Kemasyarakatan
 Peraturan Menteri Dalam Negeri Nomor 57 Tahun 2017 tentang Pendaftaran dan Pengelolaan Sistem Informasi Organisasi Kemasyarakatan</t>
        </is>
      </c>
      <c r="E176" s="70" t="inlineStr">
        <is>
          <t>https://drive.google.com/file/d/1Ytr1MO33D981VKk7RIXXUdXU9tmvqtIl/view?usp=sharing</t>
        </is>
      </c>
      <c r="F176" s="184" t="inlineStr">
        <is>
          <t>PENINGKATAN KUALITAS PELAYANAN PUBLIK</t>
        </is>
      </c>
      <c r="G176" s="184" t="inlineStr">
        <is>
          <t>Masyarakat</t>
        </is>
      </c>
      <c r="H176" s="184" t="inlineStr">
        <is>
          <t>Data identitas ormas, legalitas ormas, kepengurusan ormas, keanggotaan dan lampiran pendukung</t>
        </is>
      </c>
      <c r="I176" s="178" t="inlineStr">
        <is>
          <t>Tercatatnya Data Ormas</t>
        </is>
      </c>
      <c r="J176" s="184" t="inlineStr">
        <is>
          <t>Rahasia</t>
        </is>
      </c>
      <c r="K176" s="184" t="inlineStr">
        <is>
          <t>Terdapat</t>
        </is>
      </c>
      <c r="L176" s="184" t="inlineStr">
        <is>
          <t>Bulanan</t>
        </is>
      </c>
      <c r="M176" s="184" t="inlineStr">
        <is>
          <t>Google formulir</t>
        </is>
      </c>
      <c r="N176" s="184" t="inlineStr">
        <is>
          <t>OPD</t>
        </is>
      </c>
      <c r="O176" s="184" t="inlineStr">
        <is>
          <t>Kab. Bandung</t>
        </is>
      </c>
      <c r="P176" s="184" t="inlineStr">
        <is>
          <t>Desktop</t>
        </is>
      </c>
      <c r="Q176" s="70" t="inlineStr">
        <is>
          <t>https://docs.google.com/forms/d/e/1FAIpQLScgtcVM1HIFI6Kb84RdU-NURHvy6qz13ikmHRCejwiPs-g2KQ/viewform?pli=1</t>
        </is>
      </c>
      <c r="R176" s="184" t="inlineStr">
        <is>
          <t>Secara Online</t>
        </is>
      </c>
      <c r="S176" s="184" t="inlineStr">
        <is>
          <t>Informasi</t>
        </is>
      </c>
      <c r="T176" s="98" t="n">
        <v>2024</v>
      </c>
      <c r="U176" s="184" t="inlineStr">
        <is>
          <t>Aktif</t>
        </is>
      </c>
      <c r="V176" s="184" t="inlineStr">
        <is>
          <t>Tidak</t>
        </is>
      </c>
      <c r="W176" s="184" t="inlineStr">
        <is>
          <t>Tidak Terintegrasi</t>
        </is>
      </c>
      <c r="X176" s="184" t="inlineStr">
        <is>
          <t>Manual</t>
        </is>
      </c>
      <c r="Y176" s="184" t="inlineStr">
        <is>
          <t>Lainnya</t>
        </is>
      </c>
      <c r="Z176" s="184" t="inlineStr">
        <is>
          <t>Bidang Politik dalam Negeri</t>
        </is>
      </c>
      <c r="AA176" s="184" t="inlineStr">
        <is>
          <t>Bakesbangpol</t>
        </is>
      </c>
      <c r="AB176" s="178" t="inlineStr">
        <is>
          <t>MUHAMMAD FADLI MUSTHAFA S.M.</t>
        </is>
      </c>
      <c r="AC176" s="184" t="n">
        <v>82219137079</v>
      </c>
      <c r="AD176" s="184" t="inlineStr">
        <is>
          <t>fadlimusthafa15@gmail.com</t>
        </is>
      </c>
      <c r="AE176" s="68" t="n">
        <v>53</v>
      </c>
      <c r="AF176" s="68" t="inlineStr">
        <is>
          <t>Setiap Saat</t>
        </is>
      </c>
      <c r="AG176" s="216" t="n"/>
      <c r="AH176" s="284" t="n"/>
      <c r="AI176" s="284" t="n"/>
      <c r="AJ176" s="284" t="n"/>
      <c r="AK176" s="284" t="n"/>
      <c r="AL176" s="284" t="n"/>
      <c r="AM176" s="284" t="n"/>
      <c r="AN176" s="284" t="n"/>
      <c r="AO176" s="284" t="n"/>
      <c r="AP176" s="284" t="n"/>
      <c r="AQ176" s="284" t="n"/>
      <c r="AR176" s="284" t="n"/>
    </row>
    <row r="177" hidden="1" s="346">
      <c r="A177" s="62" t="n">
        <v>175</v>
      </c>
      <c r="B177" s="178" t="inlineStr">
        <is>
          <t>Layanan Lapor Kejadian Bencana</t>
        </is>
      </c>
      <c r="C177" s="178" t="inlineStr">
        <is>
          <t>Membantu masyarakat untuk melaporkan kejadian bencana kepada pemerintah daerah sehingga tindakan tanggap darurat dapat dilakukan dengan cepat dan tepat.</t>
        </is>
      </c>
      <c r="D177" s="178" t="inlineStr">
        <is>
          <t>Undang - undang Nomor 24 Tahun 2007 tentang Penanggulangan Bencana</t>
        </is>
      </c>
      <c r="E177" s="70" t="inlineStr">
        <is>
          <t>https://drive.google.com/file/d/1OVv4yCmrgdrfLSeSS5ewogAtczV2aIlF/view?usp=sharing</t>
        </is>
      </c>
      <c r="F177" s="184" t="inlineStr">
        <is>
          <t>PENYELENGGARAAN PENANGGULANGAN BENCANA</t>
        </is>
      </c>
      <c r="G177" s="184" t="inlineStr">
        <is>
          <t>Masyarakat</t>
        </is>
      </c>
      <c r="H177" s="217" t="inlineStr">
        <is>
          <t>Data Kejadian Bencana</t>
        </is>
      </c>
      <c r="I177" s="184" t="inlineStr">
        <is>
          <t>Data Kejadian Bencana</t>
        </is>
      </c>
      <c r="J177" s="184" t="inlineStr">
        <is>
          <t>Terbuka</t>
        </is>
      </c>
      <c r="K177" s="184" t="inlineStr">
        <is>
          <t>Tidak terdapat</t>
        </is>
      </c>
      <c r="L177" s="184" t="inlineStr">
        <is>
          <t>Harian</t>
        </is>
      </c>
      <c r="M177" s="184" t="inlineStr">
        <is>
          <t>TITATU</t>
        </is>
      </c>
      <c r="N177" s="184" t="inlineStr">
        <is>
          <t>Diskominfo</t>
        </is>
      </c>
      <c r="O177" s="184" t="inlineStr">
        <is>
          <t>Kab. Bandung</t>
        </is>
      </c>
      <c r="P177" s="184" t="inlineStr">
        <is>
          <t>Mobile</t>
        </is>
      </c>
      <c r="Q177" s="70" t="inlineStr">
        <is>
          <t>https://play.google.com/store/apps/details?id=com.diskominfo.bpbd</t>
        </is>
      </c>
      <c r="R177" s="184" t="inlineStr">
        <is>
          <t>Secara Online</t>
        </is>
      </c>
      <c r="S177" s="184" t="inlineStr">
        <is>
          <t>Informasi</t>
        </is>
      </c>
      <c r="T177" s="98" t="n">
        <v>2022</v>
      </c>
      <c r="U177" s="184" t="inlineStr">
        <is>
          <t>Non Aktif</t>
        </is>
      </c>
      <c r="V177" s="184" t="inlineStr">
        <is>
          <t>Tidak</t>
        </is>
      </c>
      <c r="W177" s="288" t="n"/>
      <c r="X177" s="184" t="inlineStr">
        <is>
          <t>Tidak Terintegrasi</t>
        </is>
      </c>
      <c r="Y177" s="184" t="inlineStr">
        <is>
          <t>Tidak Terintegrasi</t>
        </is>
      </c>
      <c r="Z177" s="218" t="inlineStr">
        <is>
          <t>Bidang Kedaruratan dan Logistik</t>
        </is>
      </c>
      <c r="AA177" s="184" t="inlineStr">
        <is>
          <t>BPBD</t>
        </is>
      </c>
      <c r="AB177" s="288" t="n"/>
      <c r="AC177" s="288" t="n"/>
      <c r="AD177" s="288" t="n"/>
      <c r="AE177" s="200" t="n"/>
      <c r="AF177" s="200" t="n"/>
      <c r="AG177" s="284" t="n"/>
      <c r="AH177" s="284" t="n"/>
      <c r="AI177" s="284" t="n"/>
      <c r="AJ177" s="284" t="n"/>
      <c r="AK177" s="284" t="n"/>
      <c r="AL177" s="284" t="n"/>
      <c r="AM177" s="284" t="n"/>
      <c r="AN177" s="284" t="n"/>
      <c r="AO177" s="284" t="n"/>
      <c r="AP177" s="284" t="n"/>
      <c r="AQ177" s="284" t="n"/>
      <c r="AR177" s="284" t="n"/>
    </row>
    <row r="178" hidden="1" s="346">
      <c r="A178" s="62" t="n">
        <v>176</v>
      </c>
      <c r="B178" s="178" t="inlineStr">
        <is>
          <t>Layanan Pusat Pengendalian Operasi Penanggulangan Bencana</t>
        </is>
      </c>
      <c r="C178" s="178" t="inlineStr">
        <is>
          <t>Menjadi pusat koordinasi dan pengendalian operasi penanggulangan bencana untuk memastikan respon yang efisien dan terkoordinasi dari berbagai instansi terkait.</t>
        </is>
      </c>
      <c r="D178" s="178" t="inlineStr">
        <is>
          <t>Undang - undang Nomor 24 Tahun 2007 tentang Penanggulangan Bencana</t>
        </is>
      </c>
      <c r="E178" s="70" t="inlineStr">
        <is>
          <t>https://drive.google.com/file/d/1OVv4yCmrgdrfLSeSS5ewogAtczV2aIlF/view?usp=sharing</t>
        </is>
      </c>
      <c r="F178" s="184" t="inlineStr">
        <is>
          <t>PENYELENGGARAAN PENANGGULANGAN BENCANA</t>
        </is>
      </c>
      <c r="G178" s="184" t="inlineStr">
        <is>
          <t>Pegawai</t>
        </is>
      </c>
      <c r="H178" s="217" t="inlineStr">
        <is>
          <t>Data Penanggulangan Bencana</t>
        </is>
      </c>
      <c r="I178" s="184" t="inlineStr">
        <is>
          <t>Data Kejadian Bencana</t>
        </is>
      </c>
      <c r="J178" s="184" t="inlineStr">
        <is>
          <t>Terbuka</t>
        </is>
      </c>
      <c r="K178" s="288" t="n"/>
      <c r="L178" s="184" t="inlineStr">
        <is>
          <t>Harian</t>
        </is>
      </c>
      <c r="M178" s="184" t="inlineStr">
        <is>
          <t>DIBI</t>
        </is>
      </c>
      <c r="N178" s="288" t="n"/>
      <c r="O178" s="288" t="n"/>
      <c r="P178" s="184" t="inlineStr">
        <is>
          <t>Website</t>
        </is>
      </c>
      <c r="Q178" s="70" t="inlineStr">
        <is>
          <t>http://dibi.bnpb.go.id/</t>
        </is>
      </c>
      <c r="R178" s="184" t="inlineStr">
        <is>
          <t>Secara Online</t>
        </is>
      </c>
      <c r="S178" s="184" t="inlineStr">
        <is>
          <t>Informasi</t>
        </is>
      </c>
      <c r="T178" s="288" t="n"/>
      <c r="U178" s="184" t="inlineStr">
        <is>
          <t>Aktif</t>
        </is>
      </c>
      <c r="V178" s="288" t="n"/>
      <c r="W178" s="288" t="n"/>
      <c r="X178" s="184" t="inlineStr">
        <is>
          <t>Tidak Terintegrasi</t>
        </is>
      </c>
      <c r="Y178" s="288" t="n"/>
      <c r="Z178" s="184" t="inlineStr">
        <is>
          <t>Bidang Kedaruratan dan Logistik</t>
        </is>
      </c>
      <c r="AA178" s="184" t="inlineStr">
        <is>
          <t>BPBD</t>
        </is>
      </c>
      <c r="AB178" s="288" t="n"/>
      <c r="AC178" s="288" t="n"/>
      <c r="AD178" s="288" t="n"/>
      <c r="AE178" s="200" t="n"/>
      <c r="AF178" s="200" t="n"/>
      <c r="AG178" s="284" t="n"/>
      <c r="AH178" s="284" t="n"/>
      <c r="AI178" s="284" t="n"/>
      <c r="AJ178" s="284" t="n"/>
      <c r="AK178" s="284" t="n"/>
      <c r="AL178" s="284" t="n"/>
      <c r="AM178" s="284" t="n"/>
      <c r="AN178" s="284" t="n"/>
      <c r="AO178" s="284" t="n"/>
      <c r="AP178" s="284" t="n"/>
      <c r="AQ178" s="284" t="n"/>
      <c r="AR178" s="284" t="n"/>
    </row>
    <row r="179" hidden="1" s="346">
      <c r="A179" s="62" t="n">
        <v>177</v>
      </c>
      <c r="B179" s="178" t="inlineStr">
        <is>
          <t>Layanan Sosialiasi Bimbingan Bencana</t>
        </is>
      </c>
      <c r="C179" s="178" t="inlineStr">
        <is>
          <t>Menyediakan informasi dan bimbingan kepada masyarakat tentang cara menghadapi bencana, termasuk tindakan evakuasi, persiapan tanggap darurat, dan pemulihan pasca-bencana.</t>
        </is>
      </c>
      <c r="D179" s="178" t="inlineStr">
        <is>
          <t>Undang - undang Nomor 24 Tahun 2007 tentang Penanggulangan Bencana</t>
        </is>
      </c>
      <c r="E179" s="70" t="inlineStr">
        <is>
          <t>https://docs.google.com/spreadsheets/d/1l5-2zqpZNcqk1vc27yahE2fBaLI9m7gY/edit?usp=sharing&amp;ouid=116583022603845992448&amp;rtpof=true&amp;sd=true</t>
        </is>
      </c>
      <c r="F179" s="184" t="inlineStr">
        <is>
          <t>PENYELENGGARAAN PENANGGULANGAN BENCANA</t>
        </is>
      </c>
      <c r="G179" s="184" t="inlineStr">
        <is>
          <t>Masyarakat</t>
        </is>
      </c>
      <c r="H179" s="184" t="inlineStr">
        <is>
          <t>Data Sosialisasi Bimbingan Bencana</t>
        </is>
      </c>
      <c r="I179" s="184" t="inlineStr">
        <is>
          <t>Data Sosialisasi Bimbingan Bencana</t>
        </is>
      </c>
      <c r="J179" s="184" t="inlineStr">
        <is>
          <t>Terbuka</t>
        </is>
      </c>
      <c r="K179" s="288" t="n"/>
      <c r="L179" s="184" t="inlineStr">
        <is>
          <t>Harian</t>
        </is>
      </c>
      <c r="M179" s="184" t="inlineStr">
        <is>
          <t>ARJUNA</t>
        </is>
      </c>
      <c r="N179" s="184" t="inlineStr">
        <is>
          <t>Pihak Ke 3</t>
        </is>
      </c>
      <c r="O179" s="184" t="inlineStr">
        <is>
          <t>Pihak Ke 3 (Lisensi)</t>
        </is>
      </c>
      <c r="P179" s="184" t="inlineStr">
        <is>
          <t>Mobile</t>
        </is>
      </c>
      <c r="Q179" s="70" t="inlineStr">
        <is>
          <t>https://drive.google.com/drive/folders/1B5BkNR_l7v0dpf1e8Y6cIlWcgjAqRVF5?usp=drive_link</t>
        </is>
      </c>
      <c r="R179" s="184" t="inlineStr">
        <is>
          <t>Secara Online</t>
        </is>
      </c>
      <c r="S179" s="184" t="inlineStr">
        <is>
          <t>Informasi</t>
        </is>
      </c>
      <c r="T179" s="98" t="n">
        <v>2022</v>
      </c>
      <c r="U179" s="184" t="inlineStr">
        <is>
          <t>Aktif</t>
        </is>
      </c>
      <c r="V179" s="184" t="inlineStr">
        <is>
          <t>Tidak</t>
        </is>
      </c>
      <c r="W179" s="288" t="n"/>
      <c r="X179" s="184" t="inlineStr">
        <is>
          <t>Tidak Terintegrasi</t>
        </is>
      </c>
      <c r="Y179" s="288" t="n"/>
      <c r="Z179" s="184" t="inlineStr">
        <is>
          <t>Bidang Pencegahan dan Kesiapsiagaan</t>
        </is>
      </c>
      <c r="AA179" s="184" t="inlineStr">
        <is>
          <t>BPBD</t>
        </is>
      </c>
      <c r="AB179" s="288" t="n"/>
      <c r="AC179" s="288" t="n"/>
      <c r="AD179" s="288" t="n"/>
      <c r="AE179" s="200" t="n"/>
      <c r="AF179" s="200" t="n"/>
      <c r="AG179" s="284" t="n"/>
      <c r="AH179" s="284" t="n"/>
      <c r="AI179" s="284" t="n"/>
      <c r="AJ179" s="284" t="n"/>
      <c r="AK179" s="284" t="n"/>
      <c r="AL179" s="284" t="n"/>
      <c r="AM179" s="284" t="n"/>
      <c r="AN179" s="284" t="n"/>
      <c r="AO179" s="284" t="n"/>
      <c r="AP179" s="284" t="n"/>
      <c r="AQ179" s="284" t="n"/>
      <c r="AR179" s="284" t="n"/>
    </row>
    <row r="180" hidden="1" s="346">
      <c r="A180" s="62" t="n">
        <v>178</v>
      </c>
      <c r="B180" s="184" t="inlineStr">
        <is>
          <t>Layanan Integrasi Ekosistem Digital Rumah Sakit (SIMRS)</t>
        </is>
      </c>
      <c r="C180"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80" s="184" t="inlineStr">
        <is>
          <t>Peraturan Menteri Kesehatan Nomor 82 Tahun 2013 Tentang Sistem Informasi Manajemen Rumah Sakit</t>
        </is>
      </c>
      <c r="E180" s="131" t="inlineStr">
        <is>
          <t>https://drive.google.com/file/d/1T1U4oNUqZS1NcFlgpFY6CJRp0CcQqlBv/view?usp=drive_link</t>
        </is>
      </c>
      <c r="F180" s="184" t="inlineStr">
        <is>
          <t>PENGELOLAAN PELAYANAN KESEHATAN</t>
        </is>
      </c>
      <c r="G180" s="184" t="inlineStr">
        <is>
          <t>Masyarakat</t>
        </is>
      </c>
      <c r="H180" s="184" t="inlineStr">
        <is>
          <t>Data pasien, mulai dari info pribadi hingga catatan medis pasien</t>
        </is>
      </c>
      <c r="I180" s="178" t="inlineStr">
        <is>
          <t>Data rekam medis pasien</t>
        </is>
      </c>
      <c r="J180" s="184" t="inlineStr">
        <is>
          <t>Rahasia</t>
        </is>
      </c>
      <c r="K180" s="184" t="inlineStr">
        <is>
          <t>Terdapat</t>
        </is>
      </c>
      <c r="L180" s="184" t="inlineStr">
        <is>
          <t>Lainnya</t>
        </is>
      </c>
      <c r="M180" s="184" t="inlineStr">
        <is>
          <t>SIMRS Majalaya</t>
        </is>
      </c>
      <c r="N180" s="184" t="inlineStr">
        <is>
          <t>Pihak Ke 3</t>
        </is>
      </c>
      <c r="O180" s="184" t="inlineStr">
        <is>
          <t>Kab. Bandung</t>
        </is>
      </c>
      <c r="P180" s="184" t="inlineStr">
        <is>
          <t>Desktop</t>
        </is>
      </c>
      <c r="Q180" s="184" t="inlineStr">
        <is>
          <t>Internal (Rahasia)</t>
        </is>
      </c>
      <c r="R180" s="184" t="inlineStr">
        <is>
          <t>Secara Offline</t>
        </is>
      </c>
      <c r="S180" s="184" t="inlineStr">
        <is>
          <t>Transaksi</t>
        </is>
      </c>
      <c r="T180" s="184" t="n">
        <v>2023</v>
      </c>
      <c r="U180" s="184" t="inlineStr">
        <is>
          <t>Aktif</t>
        </is>
      </c>
      <c r="V180" s="184" t="inlineStr">
        <is>
          <t>Ya</t>
        </is>
      </c>
      <c r="W180" s="184" t="inlineStr">
        <is>
          <t>VClaim BPJS, Satusehat, Eklaim INACBGs, Siranap</t>
        </is>
      </c>
      <c r="X180" s="184" t="inlineStr">
        <is>
          <t>Web Service</t>
        </is>
      </c>
      <c r="Y180" s="184" t="inlineStr">
        <is>
          <t>Realtime</t>
        </is>
      </c>
      <c r="Z180" s="184" t="inlineStr">
        <is>
          <t>Bidang Penunjang Non Medis</t>
        </is>
      </c>
      <c r="AA180" s="184" t="inlineStr">
        <is>
          <t>Dinkes</t>
        </is>
      </c>
      <c r="AB180" s="184" t="inlineStr">
        <is>
          <t>dr. Yessy Agustina, M.H.</t>
        </is>
      </c>
      <c r="AC180" s="184" t="n">
        <v>8129487531</v>
      </c>
      <c r="AD180" s="184" t="inlineStr">
        <is>
          <t>yessy_agst@yahoo.com</t>
        </is>
      </c>
      <c r="AE180" s="184" t="n">
        <v>8</v>
      </c>
      <c r="AF180" s="184" t="inlineStr">
        <is>
          <t>Setiap Saat</t>
        </is>
      </c>
      <c r="AG180" s="284" t="n"/>
      <c r="AH180" s="284" t="n"/>
      <c r="AI180" s="284" t="n"/>
      <c r="AJ180" s="284" t="n"/>
      <c r="AK180" s="284" t="n"/>
      <c r="AL180" s="284" t="n"/>
      <c r="AM180" s="284" t="n"/>
      <c r="AN180" s="284" t="n"/>
      <c r="AO180" s="284" t="n"/>
      <c r="AP180" s="284" t="n"/>
      <c r="AQ180" s="284" t="n"/>
      <c r="AR180" s="284" t="n"/>
    </row>
    <row r="181" hidden="1" s="346">
      <c r="A181" s="62" t="n">
        <v>179</v>
      </c>
      <c r="B181" s="184" t="inlineStr">
        <is>
          <t>Layanan Pelaporan Kepatuhan Lingkungan Hidup</t>
        </is>
      </c>
      <c r="C181" s="176" t="inlineStr">
        <is>
          <t>Sistem pendukung keputusan yang menghubungkan data pelaporan lingkungan SIMPEL, memberikan insight real-time bagi pemerintah dalam memantau kepatuhan dari kualitas lingkungan</t>
        </is>
      </c>
      <c r="D181" s="184" t="inlineStr">
        <is>
          <t>Permen LHK No. P.87/Menlhk/Setjen/Kum.1/11/2016; UU No. 32 Tahun 2009 tentang Perlindungan dan Pengelolaan Lingkungan Hidup (pasal 68) dan PP No. 22 Tahun 2021</t>
        </is>
      </c>
      <c r="E181" s="131" t="inlineStr">
        <is>
          <t>https://drive.google.com/drive/folders/1vjgfqjMxOGjNMjW_D5TVCMti_1yMqG0T?usp=sharing</t>
        </is>
      </c>
      <c r="F181" s="184" t="inlineStr">
        <is>
          <t>PENGELOLAAN IRIGASI PERTANIAN, KONSERVASI AIR DAN LINGKUNGAN HIDUP</t>
        </is>
      </c>
      <c r="G181" s="184" t="inlineStr">
        <is>
          <t>Pelaku Bisnis</t>
        </is>
      </c>
      <c r="H181" s="184" t="inlineStr">
        <is>
          <t>Hasil Pemantauan Lingkungan RSUD Majalaya</t>
        </is>
      </c>
      <c r="I181" s="184" t="inlineStr">
        <is>
          <t>Hasil Pemantauan Lingkungan RSUD Majalaya</t>
        </is>
      </c>
      <c r="J181" s="184" t="inlineStr">
        <is>
          <t>Terbatas</t>
        </is>
      </c>
      <c r="K181" s="184" t="inlineStr">
        <is>
          <t>Terdapat</t>
        </is>
      </c>
      <c r="L181" s="184" t="inlineStr">
        <is>
          <t>Bulanan</t>
        </is>
      </c>
      <c r="M181" s="184" t="inlineStr">
        <is>
          <t>SIMPEL Kemenlh</t>
        </is>
      </c>
      <c r="N181" s="184" t="inlineStr">
        <is>
          <t>Pusat</t>
        </is>
      </c>
      <c r="O181" s="184" t="inlineStr">
        <is>
          <t>Pusat</t>
        </is>
      </c>
      <c r="P181" s="184" t="inlineStr">
        <is>
          <t>Website</t>
        </is>
      </c>
      <c r="Q181" s="131" t="inlineStr">
        <is>
          <t>simpel.menlhk.go.id</t>
        </is>
      </c>
      <c r="R181" s="184" t="inlineStr">
        <is>
          <t>Secara Online</t>
        </is>
      </c>
      <c r="S181" s="184" t="inlineStr">
        <is>
          <t>Informasi</t>
        </is>
      </c>
      <c r="T181" s="184" t="n">
        <v>2016</v>
      </c>
      <c r="U181" s="184" t="inlineStr">
        <is>
          <t>Aktif</t>
        </is>
      </c>
      <c r="V181" s="184" t="inlineStr">
        <is>
          <t>Ya</t>
        </is>
      </c>
      <c r="W181" s="184" t="inlineStr">
        <is>
          <t>OSS RBA dan AMDAL NET</t>
        </is>
      </c>
      <c r="X181" s="184" t="inlineStr">
        <is>
          <t>Database to Database</t>
        </is>
      </c>
      <c r="Y181" s="184" t="inlineStr">
        <is>
          <t>Realtime</t>
        </is>
      </c>
      <c r="Z181" s="184" t="inlineStr">
        <is>
          <t>Instalasi Kesling dan IPAL</t>
        </is>
      </c>
      <c r="AA181" s="184" t="inlineStr">
        <is>
          <t>DLH</t>
        </is>
      </c>
      <c r="AB181" s="184" t="inlineStr">
        <is>
          <t>Hj. Titin Partini, SKM</t>
        </is>
      </c>
      <c r="AC181" s="184" t="n">
        <v>82121996969</v>
      </c>
      <c r="AD181" s="184" t="inlineStr">
        <is>
          <t>keslingrsudmajalaya@gmail.com</t>
        </is>
      </c>
      <c r="AE181" s="184" t="n">
        <v>41</v>
      </c>
      <c r="AF181" s="184" t="inlineStr">
        <is>
          <t>Harian</t>
        </is>
      </c>
      <c r="AG181" s="284" t="n"/>
      <c r="AH181" s="284" t="n"/>
      <c r="AI181" s="284" t="n"/>
      <c r="AJ181" s="284" t="n"/>
      <c r="AK181" s="284" t="n"/>
      <c r="AL181" s="284" t="n"/>
      <c r="AM181" s="284" t="n"/>
      <c r="AN181" s="284" t="n"/>
      <c r="AO181" s="284" t="n"/>
      <c r="AP181" s="284" t="n"/>
      <c r="AQ181" s="284" t="n"/>
      <c r="AR181" s="284" t="n"/>
    </row>
    <row r="182" hidden="1" s="346">
      <c r="A182" s="62" t="n">
        <v>180</v>
      </c>
      <c r="B182" s="184" t="inlineStr">
        <is>
          <t>Layanan pelaporan limbah rumah sakit</t>
        </is>
      </c>
      <c r="C182" s="184" t="inlineStr">
        <is>
          <t>Rekapitulasi pelaporan kelola limbah medis dan kesling fasyankes</t>
        </is>
      </c>
      <c r="D182" s="288" t="n"/>
      <c r="E182" s="184" t="inlineStr">
        <is>
          <t>-</t>
        </is>
      </c>
      <c r="F182" s="184" t="inlineStr">
        <is>
          <t>PENGELOLAAN LIMBAH BAHAN BERBAHAYA DAN BERACUN</t>
        </is>
      </c>
      <c r="G182" s="184" t="inlineStr">
        <is>
          <t>Pelaku Bisnis</t>
        </is>
      </c>
      <c r="H182" s="184" t="inlineStr">
        <is>
          <t>Timbulan limbah medis</t>
        </is>
      </c>
      <c r="I182" s="184" t="inlineStr">
        <is>
          <t>Timbulan limbah medis</t>
        </is>
      </c>
      <c r="J182" s="184" t="inlineStr">
        <is>
          <t>Terbatas</t>
        </is>
      </c>
      <c r="K182" s="184" t="inlineStr">
        <is>
          <t>Tidak terdapat</t>
        </is>
      </c>
      <c r="L182" s="184" t="inlineStr">
        <is>
          <t>Bulanan</t>
        </is>
      </c>
      <c r="M182" s="184" t="inlineStr">
        <is>
          <t>website Kobotoolbox</t>
        </is>
      </c>
      <c r="N182" s="184" t="inlineStr">
        <is>
          <t>Provinsi</t>
        </is>
      </c>
      <c r="O182" s="184" t="inlineStr">
        <is>
          <t>Provinsi</t>
        </is>
      </c>
      <c r="P182" s="184" t="inlineStr">
        <is>
          <t>Website</t>
        </is>
      </c>
      <c r="Q182" s="131" t="inlineStr">
        <is>
          <t>https://ee.kobotoolbox.org/x/YQp13dFa</t>
        </is>
      </c>
      <c r="R182" s="184" t="inlineStr">
        <is>
          <t>Secara Online</t>
        </is>
      </c>
      <c r="S182" s="184" t="inlineStr">
        <is>
          <t>Informasi</t>
        </is>
      </c>
      <c r="T182" s="184" t="n">
        <v>2024</v>
      </c>
      <c r="U182" s="184" t="inlineStr">
        <is>
          <t>Aktif</t>
        </is>
      </c>
      <c r="V182" s="184" t="inlineStr">
        <is>
          <t>Tidak</t>
        </is>
      </c>
      <c r="W182" s="184" t="inlineStr">
        <is>
          <t>Tidak Terintegrasi</t>
        </is>
      </c>
      <c r="X182" s="184" t="inlineStr">
        <is>
          <t>Tidak Terintegrasi</t>
        </is>
      </c>
      <c r="Y182" s="184" t="inlineStr">
        <is>
          <t>Tidak Terintegrasi</t>
        </is>
      </c>
      <c r="Z182" s="184" t="inlineStr">
        <is>
          <t>Instalasi Kesling dan IPAL</t>
        </is>
      </c>
      <c r="AA182" s="184" t="inlineStr">
        <is>
          <t>Dinkes</t>
        </is>
      </c>
      <c r="AB182" s="184" t="inlineStr">
        <is>
          <t>Hj. Titin Partini, SKM</t>
        </is>
      </c>
      <c r="AC182" s="184" t="n">
        <v>82121996969</v>
      </c>
      <c r="AD182" s="184" t="inlineStr">
        <is>
          <t>keslingrsudmajalaya@gmail.com</t>
        </is>
      </c>
      <c r="AE182" s="288" t="n"/>
      <c r="AF182" s="184" t="inlineStr">
        <is>
          <t>Bulanan</t>
        </is>
      </c>
      <c r="AG182" s="284" t="n"/>
      <c r="AH182" s="284" t="n"/>
      <c r="AI182" s="284" t="n"/>
      <c r="AJ182" s="284" t="n"/>
      <c r="AK182" s="284" t="n"/>
      <c r="AL182" s="284" t="n"/>
      <c r="AM182" s="284" t="n"/>
      <c r="AN182" s="284" t="n"/>
      <c r="AO182" s="284" t="n"/>
      <c r="AP182" s="284" t="n"/>
      <c r="AQ182" s="284" t="n"/>
      <c r="AR182" s="284" t="n"/>
    </row>
    <row r="183" hidden="1" s="346">
      <c r="A183" s="62" t="n">
        <v>181</v>
      </c>
      <c r="B183" s="184" t="inlineStr">
        <is>
          <t>Layanan Informasi Gaji ASN</t>
        </is>
      </c>
      <c r="C183" s="184" t="inlineStr">
        <is>
          <t>Aplikasi Sistem Informasi Gaji (SIMGaji) Taspen untuk memproses data gaji PNS di lingkungan pemerintah daerah.</t>
        </is>
      </c>
      <c r="D183" s="184" t="inlineStr">
        <is>
          <t>Peraturan Pemerintah Nomor 5 Tahun 2024 tentang Perubahan Kesembilan Belas atas Peraturan Pemerintah Nomor 7 Tahun 1977 tentang Peraturan Gaji Pegawai Negeri Sipil</t>
        </is>
      </c>
      <c r="E183" s="288" t="n"/>
      <c r="F183" s="184" t="inlineStr">
        <is>
          <t>PEMBINAAN KEUANGAN DAERAH</t>
        </is>
      </c>
      <c r="G183" s="184" t="inlineStr">
        <is>
          <t>Pegawai</t>
        </is>
      </c>
      <c r="H183" s="184" t="inlineStr">
        <is>
          <t>Data Pegawai, Data Gaji, Data Tunjangan</t>
        </is>
      </c>
      <c r="I183" s="178" t="inlineStr">
        <is>
          <t>Perubahan Data Gaji Pegawai, Ledger Gaji</t>
        </is>
      </c>
      <c r="J183" s="184" t="inlineStr">
        <is>
          <t>Tertutup</t>
        </is>
      </c>
      <c r="K183" s="184" t="inlineStr">
        <is>
          <t>Terdapat</t>
        </is>
      </c>
      <c r="L183" s="184" t="inlineStr">
        <is>
          <t>Harian</t>
        </is>
      </c>
      <c r="M183" s="184" t="inlineStr">
        <is>
          <t>SIMgaji</t>
        </is>
      </c>
      <c r="N183" s="184" t="inlineStr">
        <is>
          <t>Pihak Ke 3</t>
        </is>
      </c>
      <c r="O183" s="184" t="inlineStr">
        <is>
          <t>Pihak Ke 3 (Lisensi)</t>
        </is>
      </c>
      <c r="P183" s="184" t="inlineStr">
        <is>
          <t>Website</t>
        </is>
      </c>
      <c r="Q183" s="131" t="inlineStr">
        <is>
          <t>https://simgajiweb.taspen.co.id/</t>
        </is>
      </c>
      <c r="R183" s="184" t="inlineStr">
        <is>
          <t>Secara Online</t>
        </is>
      </c>
      <c r="S183" s="184" t="inlineStr">
        <is>
          <t>Informasi</t>
        </is>
      </c>
      <c r="T183" s="184" t="n">
        <v>2023</v>
      </c>
      <c r="U183" s="184" t="inlineStr">
        <is>
          <t>Aktif</t>
        </is>
      </c>
      <c r="V183" s="184" t="inlineStr">
        <is>
          <t>Tidak</t>
        </is>
      </c>
      <c r="W183" s="184" t="inlineStr">
        <is>
          <t>Tidak Terintegrasi</t>
        </is>
      </c>
      <c r="X183" s="184" t="inlineStr">
        <is>
          <t>Tidak Terintegrasi</t>
        </is>
      </c>
      <c r="Y183" s="184" t="inlineStr">
        <is>
          <t>Tidak Terintegrasi</t>
        </is>
      </c>
      <c r="Z183" s="184" t="inlineStr">
        <is>
          <t>Bagian Keuangan</t>
        </is>
      </c>
      <c r="AA183" s="184" t="inlineStr">
        <is>
          <t>BKAD</t>
        </is>
      </c>
      <c r="AB183" s="184" t="inlineStr">
        <is>
          <t>Yanti Widiyanti, S.E.</t>
        </is>
      </c>
      <c r="AC183" s="184" t="n">
        <v>8996105849</v>
      </c>
      <c r="AD183" s="184" t="inlineStr">
        <is>
          <t>yantiwidiyanti268@gmail.com</t>
        </is>
      </c>
      <c r="AE183" s="288" t="n"/>
      <c r="AF183" s="184" t="inlineStr">
        <is>
          <t>Bulanan</t>
        </is>
      </c>
      <c r="AG183" s="284" t="n"/>
      <c r="AH183" s="284" t="n"/>
      <c r="AI183" s="284" t="n"/>
      <c r="AJ183" s="284" t="n"/>
      <c r="AK183" s="284" t="n"/>
      <c r="AL183" s="284" t="n"/>
      <c r="AM183" s="284" t="n"/>
      <c r="AN183" s="284" t="n"/>
      <c r="AO183" s="284" t="n"/>
      <c r="AP183" s="284" t="n"/>
      <c r="AQ183" s="284" t="n"/>
      <c r="AR183" s="284" t="n"/>
    </row>
    <row r="184" hidden="1" s="346">
      <c r="A184" s="62" t="n">
        <v>182</v>
      </c>
      <c r="B184" s="184" t="inlineStr">
        <is>
          <t>Layanan pelaporan penerimaan retribusi daerah</t>
        </is>
      </c>
      <c r="C184" s="184" t="inlineStr">
        <is>
          <t>Aplikasi Entry Laporan Penerimaan Retribusi Daerah</t>
        </is>
      </c>
      <c r="D184" s="184" t="inlineStr">
        <is>
          <t>Perda Kabupaten Bandung No 10 Tahun 2023 Tentang Pajak Daerah dan Retribusi Daerah</t>
        </is>
      </c>
      <c r="E184" s="288" t="n"/>
      <c r="F184" s="184" t="inlineStr">
        <is>
          <t>PENGELOLAAN PENERIMAAN DAN PENDAPATAN NEGARA</t>
        </is>
      </c>
      <c r="G184" s="184" t="inlineStr">
        <is>
          <t>Instansi Pemerintah Lainnya</t>
        </is>
      </c>
      <c r="H184" s="184" t="inlineStr">
        <is>
          <t>Data Pendapatan</t>
        </is>
      </c>
      <c r="I184" s="178" t="inlineStr">
        <is>
          <t>Laporan Realisasi Pendapatan</t>
        </is>
      </c>
      <c r="J184" s="184" t="inlineStr">
        <is>
          <t>Rahasia</t>
        </is>
      </c>
      <c r="K184" s="184" t="inlineStr">
        <is>
          <t>Tidak terdapat</t>
        </is>
      </c>
      <c r="L184" s="184" t="inlineStr">
        <is>
          <t>Harian</t>
        </is>
      </c>
      <c r="M184" s="184" t="inlineStr">
        <is>
          <t>e-RETRIBUSI</t>
        </is>
      </c>
      <c r="N184" s="184" t="inlineStr">
        <is>
          <t>OPD</t>
        </is>
      </c>
      <c r="O184" s="184" t="inlineStr">
        <is>
          <t>Kab. Bandung</t>
        </is>
      </c>
      <c r="P184" s="184" t="inlineStr">
        <is>
          <t>Website</t>
        </is>
      </c>
      <c r="Q184" s="131" t="inlineStr">
        <is>
          <t>https://e-retribusi.bandungkab.go.id/</t>
        </is>
      </c>
      <c r="R184" s="184" t="inlineStr">
        <is>
          <t>Secara Online</t>
        </is>
      </c>
      <c r="S184" s="184" t="inlineStr">
        <is>
          <t>Informasi</t>
        </is>
      </c>
      <c r="T184" s="184" t="n">
        <v>2024</v>
      </c>
      <c r="U184" s="184" t="inlineStr">
        <is>
          <t>Aktif</t>
        </is>
      </c>
      <c r="V184" s="184" t="inlineStr">
        <is>
          <t>Tidak</t>
        </is>
      </c>
      <c r="W184" s="184" t="inlineStr">
        <is>
          <t>Tidak Terintegrasi</t>
        </is>
      </c>
      <c r="X184" s="184" t="inlineStr">
        <is>
          <t>Tidak Terintegrasi</t>
        </is>
      </c>
      <c r="Y184" s="184" t="inlineStr">
        <is>
          <t>Tidak Terintegrasi</t>
        </is>
      </c>
      <c r="Z184" s="184" t="inlineStr">
        <is>
          <t>Retribusi Daerah</t>
        </is>
      </c>
      <c r="AA184" s="184" t="inlineStr">
        <is>
          <t>Bapenda</t>
        </is>
      </c>
      <c r="AB184" s="131" t="inlineStr">
        <is>
          <t>Fidriansyah, A.Md</t>
        </is>
      </c>
      <c r="AC184" s="184" t="n">
        <v>89682973688</v>
      </c>
      <c r="AD184" s="184" t="inlineStr">
        <is>
          <t>fidriansyahsena@gmail.com</t>
        </is>
      </c>
      <c r="AE184" s="288" t="n"/>
      <c r="AF184" s="184" t="inlineStr">
        <is>
          <t>Harian</t>
        </is>
      </c>
      <c r="AG184" s="284" t="n"/>
      <c r="AH184" s="284" t="n"/>
      <c r="AI184" s="284" t="n"/>
      <c r="AJ184" s="284" t="n"/>
      <c r="AK184" s="284" t="n"/>
      <c r="AL184" s="284" t="n"/>
      <c r="AM184" s="284" t="n"/>
      <c r="AN184" s="284" t="n"/>
      <c r="AO184" s="284" t="n"/>
      <c r="AP184" s="284" t="n"/>
      <c r="AQ184" s="284" t="n"/>
      <c r="AR184" s="284" t="n"/>
    </row>
    <row r="185" hidden="1" s="346">
      <c r="A185" s="62" t="n">
        <v>183</v>
      </c>
      <c r="B185" s="184" t="inlineStr">
        <is>
          <t>Layanan pengelolaan pengadaan barang dan jasa</t>
        </is>
      </c>
      <c r="C185" s="184" t="inlineStr">
        <is>
          <t>Untuk membantu proses perencanaan pengadaan barang/jasa pemerintah agar lebih transparan, terencana, dan mudah diakses oleh publik maupun penyedia</t>
        </is>
      </c>
      <c r="D185" s="184" t="inlineStr">
        <is>
          <t>1) Peraturan Presiden (Perpres) Nomor 46 Tahun 2025 adalah perubahan kedua atas Perpres 16 Tahun 2018 tentang Pengadaan Barang/Jasa Pemerintah;
 2) Peraturan LKPP Nomor 11 Tahun 2021 tentang Pedoman Perencanaan Pengadaan Barang/Jasa Pemerintah;</t>
        </is>
      </c>
      <c r="E185" s="288" t="n"/>
      <c r="F185" s="184" t="inlineStr">
        <is>
          <t>PERENCANAAN DAN PENGANGGARAN APBN</t>
        </is>
      </c>
      <c r="G185" s="184" t="inlineStr">
        <is>
          <t>Pelaku Bisnis</t>
        </is>
      </c>
      <c r="H185" s="184" t="inlineStr">
        <is>
          <t>Data rencana umum pengadaan</t>
        </is>
      </c>
      <c r="I185" s="178" t="inlineStr">
        <is>
          <t>Informasi rencana paket pengadaan barang/jasa pemerintah</t>
        </is>
      </c>
      <c r="J185" s="184" t="inlineStr">
        <is>
          <t>Terbuka</t>
        </is>
      </c>
      <c r="K185" s="184" t="inlineStr">
        <is>
          <t>Terdapat</t>
        </is>
      </c>
      <c r="L185" s="184" t="inlineStr">
        <is>
          <t>Harian</t>
        </is>
      </c>
      <c r="M185" s="184" t="inlineStr">
        <is>
          <t>SIRUP</t>
        </is>
      </c>
      <c r="N185" s="184" t="inlineStr">
        <is>
          <t>Pusat</t>
        </is>
      </c>
      <c r="O185" s="184" t="inlineStr">
        <is>
          <t>Pusat</t>
        </is>
      </c>
      <c r="P185" s="184" t="inlineStr">
        <is>
          <t>Website</t>
        </is>
      </c>
      <c r="Q185" s="131" t="inlineStr">
        <is>
          <t>https://sirup.inaproc.id/sirup/loginctr/index</t>
        </is>
      </c>
      <c r="R185" s="184" t="inlineStr">
        <is>
          <t>Secara Online</t>
        </is>
      </c>
      <c r="S185" s="184" t="inlineStr">
        <is>
          <t>Informasi</t>
        </is>
      </c>
      <c r="T185" s="184" t="n">
        <v>2010</v>
      </c>
      <c r="U185" s="184" t="inlineStr">
        <is>
          <t>Aktif</t>
        </is>
      </c>
      <c r="V185" s="184" t="inlineStr">
        <is>
          <t>Ya</t>
        </is>
      </c>
      <c r="W185" s="184" t="inlineStr">
        <is>
          <t>SPSE, E-Katalog LKPP</t>
        </is>
      </c>
      <c r="X185" s="184" t="inlineStr">
        <is>
          <t>Database to Database</t>
        </is>
      </c>
      <c r="Y185" s="184" t="inlineStr">
        <is>
          <t>Realtime</t>
        </is>
      </c>
      <c r="Z185" s="184" t="inlineStr">
        <is>
          <t>Bagian Perencanaan dan Kehumasan</t>
        </is>
      </c>
      <c r="AA185" s="184" t="inlineStr">
        <is>
          <t>Setda</t>
        </is>
      </c>
      <c r="AB185" s="184" t="inlineStr">
        <is>
          <t>Anindya Meilasari Dewi, SE</t>
        </is>
      </c>
      <c r="AC185" s="184" t="n">
        <v>85294011791</v>
      </c>
      <c r="AD185" s="184" t="inlineStr">
        <is>
          <t>anindyameilasaridewi@gmail.com</t>
        </is>
      </c>
      <c r="AE185" s="288" t="n"/>
      <c r="AF185" s="184" t="inlineStr">
        <is>
          <t>Harian</t>
        </is>
      </c>
      <c r="AG185" s="284" t="n"/>
      <c r="AH185" s="284" t="n"/>
      <c r="AI185" s="284" t="n"/>
      <c r="AJ185" s="284" t="n"/>
      <c r="AK185" s="284" t="n"/>
      <c r="AL185" s="284" t="n"/>
      <c r="AM185" s="284" t="n"/>
      <c r="AN185" s="284" t="n"/>
      <c r="AO185" s="284" t="n"/>
      <c r="AP185" s="284" t="n"/>
      <c r="AQ185" s="284" t="n"/>
      <c r="AR185" s="284" t="n"/>
    </row>
    <row r="186" hidden="1" s="346">
      <c r="A186" s="62" t="n">
        <v>184</v>
      </c>
      <c r="B186" s="184" t="inlineStr">
        <is>
          <t>Layanan Pengelolaan Gudang Logistik</t>
        </is>
      </c>
      <c r="C186" s="184" t="inlineStr">
        <is>
          <t>Pengelolaan barang-barang penunjang operasional rumah sakit di luar obat dan BMHP, pencatatan barang mulai dari masuk hingga keluar disertai dokumentasi dan laporan transaksi</t>
        </is>
      </c>
      <c r="D186" s="288" t="n"/>
      <c r="E186" s="288" t="n"/>
      <c r="F186" s="184" t="inlineStr">
        <is>
          <t>PENGELOLAAN SUMBER DAYA DAN PERANGKAT INFORMATIKA</t>
        </is>
      </c>
      <c r="G186" s="184" t="inlineStr">
        <is>
          <t>Instansi Pemerintah Lainnya</t>
        </is>
      </c>
      <c r="H186" s="184" t="inlineStr">
        <is>
          <t>Data Barang</t>
        </is>
      </c>
      <c r="I186" s="178" t="inlineStr">
        <is>
          <t>Catatan transaksi keluar masuk barang</t>
        </is>
      </c>
      <c r="J186" s="184" t="inlineStr">
        <is>
          <t>Terbatas</t>
        </is>
      </c>
      <c r="K186" s="184" t="inlineStr">
        <is>
          <t>Tidak terdapat</t>
        </is>
      </c>
      <c r="L186" s="288" t="n"/>
      <c r="M186" s="184" t="inlineStr">
        <is>
          <t>Layanan Pengelolaan Gudang Logistik Majalaya</t>
        </is>
      </c>
      <c r="N186" s="184" t="inlineStr">
        <is>
          <t>OPD</t>
        </is>
      </c>
      <c r="O186" s="184" t="inlineStr">
        <is>
          <t>Kab. Bandung</t>
        </is>
      </c>
      <c r="P186" s="184" t="inlineStr">
        <is>
          <t>Desktop</t>
        </is>
      </c>
      <c r="Q186" s="184" t="inlineStr">
        <is>
          <t>(Internal)</t>
        </is>
      </c>
      <c r="R186" s="184" t="inlineStr">
        <is>
          <t>Secara Offline</t>
        </is>
      </c>
      <c r="S186" s="184" t="inlineStr">
        <is>
          <t>Informasi</t>
        </is>
      </c>
      <c r="T186" s="184" t="n">
        <v>2015</v>
      </c>
      <c r="U186" s="184" t="inlineStr">
        <is>
          <t>Aktif</t>
        </is>
      </c>
      <c r="V186" s="184" t="inlineStr">
        <is>
          <t>Tidak</t>
        </is>
      </c>
      <c r="W186" s="184" t="inlineStr">
        <is>
          <t>Tidak terintegrasi</t>
        </is>
      </c>
      <c r="X186" s="184" t="inlineStr">
        <is>
          <t>Tidak Terintegrasi</t>
        </is>
      </c>
      <c r="Y186" s="184" t="inlineStr">
        <is>
          <t>Tidak Terintegrasi</t>
        </is>
      </c>
      <c r="Z186" s="184" t="inlineStr">
        <is>
          <t>Bagian Umum dan Kepegawaian</t>
        </is>
      </c>
      <c r="AA186" s="184" t="inlineStr">
        <is>
          <t>Dinkes</t>
        </is>
      </c>
      <c r="AB186" s="288" t="n"/>
      <c r="AC186" s="288" t="n"/>
      <c r="AD186" s="288" t="n"/>
      <c r="AE186" s="288" t="n"/>
      <c r="AF186" s="184" t="inlineStr">
        <is>
          <t>Bulanan</t>
        </is>
      </c>
      <c r="AG186" s="284" t="n"/>
      <c r="AH186" s="284" t="n"/>
      <c r="AI186" s="284" t="n"/>
      <c r="AJ186" s="284" t="n"/>
      <c r="AK186" s="284" t="n"/>
      <c r="AL186" s="284" t="n"/>
      <c r="AM186" s="284" t="n"/>
      <c r="AN186" s="284" t="n"/>
      <c r="AO186" s="284" t="n"/>
      <c r="AP186" s="284" t="n"/>
      <c r="AQ186" s="284" t="n"/>
      <c r="AR186" s="284" t="n"/>
    </row>
    <row r="187" hidden="1" s="346">
      <c r="A187" s="62" t="n">
        <v>185</v>
      </c>
      <c r="B187" s="184" t="inlineStr">
        <is>
          <t>Layanan Rujukan</t>
        </is>
      </c>
      <c r="C187"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D187" s="184" t="inlineStr">
        <is>
          <t>Surat Edaran Menteri Kesehatan Nomor HK.02.02/I/1161/2022 tentang Implementasi Penggunaan Aplikasi SISRUTE</t>
        </is>
      </c>
      <c r="E187" s="184" t="inlineStr">
        <is>
          <t>SOP RUJUKAN</t>
        </is>
      </c>
      <c r="F187" s="184" t="inlineStr">
        <is>
          <t>PENGELOLAAN PELAYANAN KESEHATAN</t>
        </is>
      </c>
      <c r="G187" s="184" t="inlineStr">
        <is>
          <t>Masyarakat</t>
        </is>
      </c>
      <c r="H187" s="184" t="inlineStr">
        <is>
          <t>Data Klinis dan Kebutuhan rujukan pasien</t>
        </is>
      </c>
      <c r="I187" s="178" t="inlineStr">
        <is>
          <t>Penerimaan rujukan sesuai kebutuhan pasien</t>
        </is>
      </c>
      <c r="J187" s="184" t="inlineStr">
        <is>
          <t>Terbatas</t>
        </is>
      </c>
      <c r="K187" s="184" t="inlineStr">
        <is>
          <t>Terdapat</t>
        </is>
      </c>
      <c r="L187" s="184" t="inlineStr">
        <is>
          <t>Harian</t>
        </is>
      </c>
      <c r="M187" s="184" t="inlineStr">
        <is>
          <t>SISRUTE</t>
        </is>
      </c>
      <c r="N187" s="184" t="inlineStr">
        <is>
          <t>Pusat</t>
        </is>
      </c>
      <c r="O187" s="184" t="inlineStr">
        <is>
          <t>Pusat</t>
        </is>
      </c>
      <c r="P187" s="184" t="inlineStr">
        <is>
          <t>Website</t>
        </is>
      </c>
      <c r="Q187" s="131" t="inlineStr">
        <is>
          <t>https://sisrute.kemkes.go.id/</t>
        </is>
      </c>
      <c r="R187" s="184" t="inlineStr">
        <is>
          <t>Secara Online</t>
        </is>
      </c>
      <c r="S187" s="184" t="inlineStr">
        <is>
          <t>Informasi</t>
        </is>
      </c>
      <c r="T187" s="184" t="n">
        <v>2016</v>
      </c>
      <c r="U187" s="184" t="inlineStr">
        <is>
          <t>Aktif</t>
        </is>
      </c>
      <c r="V187" s="184" t="inlineStr">
        <is>
          <t>Tidak</t>
        </is>
      </c>
      <c r="W187" s="184" t="inlineStr">
        <is>
          <t>Tidak terintegrasi</t>
        </is>
      </c>
      <c r="X187" s="184" t="inlineStr">
        <is>
          <t>Tidak Terintegrasi</t>
        </is>
      </c>
      <c r="Y187" s="184" t="inlineStr">
        <is>
          <t>Tidak Terintegrasi</t>
        </is>
      </c>
      <c r="Z187" s="184" t="inlineStr">
        <is>
          <t>Bagian Pelayanan Medik</t>
        </is>
      </c>
      <c r="AA187" s="184" t="inlineStr">
        <is>
          <t>Dinkes</t>
        </is>
      </c>
      <c r="AB187" s="288" t="n"/>
      <c r="AC187" s="288" t="n"/>
      <c r="AD187" s="288" t="n"/>
      <c r="AE187" s="288" t="n"/>
      <c r="AF187" s="184" t="inlineStr">
        <is>
          <t>Harian</t>
        </is>
      </c>
      <c r="AG187" s="284" t="n"/>
      <c r="AH187" s="284" t="n"/>
      <c r="AI187" s="284" t="n"/>
      <c r="AJ187" s="284" t="n"/>
      <c r="AK187" s="284" t="n"/>
      <c r="AL187" s="284" t="n"/>
      <c r="AM187" s="284" t="n"/>
      <c r="AN187" s="284" t="n"/>
      <c r="AO187" s="284" t="n"/>
      <c r="AP187" s="284" t="n"/>
      <c r="AQ187" s="284" t="n"/>
      <c r="AR187" s="284" t="n"/>
    </row>
    <row r="188" hidden="1" s="346">
      <c r="A188" s="62" t="n">
        <v>186</v>
      </c>
      <c r="B188" s="184" t="inlineStr">
        <is>
          <t>Layanan Informasi Modul Penerimaan Negara (MPN)</t>
        </is>
      </c>
      <c r="C188" s="184" t="inlineStr">
        <is>
          <t>memodernisasi pengelolaan penerimaan negara, memudahkan wajib pajak/bayar dalam menyetorkan pajak, bea cukai, dan PNBP secara aman, cepat, dan 24/7.</t>
        </is>
      </c>
      <c r="D188" s="184" t="inlineStr">
        <is>
          <t>PMK Nomor 225/PMK.05/2020 tentang Sistem Penerimaan Negara secara Elektronik,</t>
        </is>
      </c>
      <c r="E188" s="288" t="n"/>
      <c r="F188" s="184" t="inlineStr">
        <is>
          <t>AKUNTANSI DAN PELAPORAN KEUANGAN</t>
        </is>
      </c>
      <c r="G188" s="184" t="inlineStr">
        <is>
          <t>Instansi Pemerintah Lainnya</t>
        </is>
      </c>
      <c r="H188" s="184" t="inlineStr">
        <is>
          <t>BPJS 1% dan 4%</t>
        </is>
      </c>
      <c r="I188" s="178" t="inlineStr">
        <is>
          <t>Bukti setor BPJS 1% dan 4%</t>
        </is>
      </c>
      <c r="J188" s="184" t="inlineStr">
        <is>
          <t>Terbatas</t>
        </is>
      </c>
      <c r="K188" s="184" t="inlineStr">
        <is>
          <t>Tidak terdapat</t>
        </is>
      </c>
      <c r="L188" s="184" t="inlineStr">
        <is>
          <t>Bulanan</t>
        </is>
      </c>
      <c r="M188" s="184" t="inlineStr">
        <is>
          <t>MPN Kemenkeu</t>
        </is>
      </c>
      <c r="N188" s="184" t="inlineStr">
        <is>
          <t>Pusat</t>
        </is>
      </c>
      <c r="O188" s="184" t="inlineStr">
        <is>
          <t>Pusat</t>
        </is>
      </c>
      <c r="P188" s="184" t="inlineStr">
        <is>
          <t>Website</t>
        </is>
      </c>
      <c r="Q188" s="131" t="inlineStr">
        <is>
          <t>https://mpn.kemenkeu.go.id</t>
        </is>
      </c>
      <c r="R188" s="184" t="inlineStr">
        <is>
          <t>Secara Online</t>
        </is>
      </c>
      <c r="S188" s="184" t="inlineStr">
        <is>
          <t>Transaksi</t>
        </is>
      </c>
      <c r="T188" s="288" t="n"/>
      <c r="U188" s="184" t="inlineStr">
        <is>
          <t>Aktif</t>
        </is>
      </c>
      <c r="V188" s="184" t="inlineStr">
        <is>
          <t>Ya</t>
        </is>
      </c>
      <c r="W188" s="184" t="inlineStr">
        <is>
          <t>BPJS</t>
        </is>
      </c>
      <c r="X188" s="184" t="inlineStr">
        <is>
          <t>Tidak Terintegrasi</t>
        </is>
      </c>
      <c r="Y188" s="184" t="inlineStr">
        <is>
          <t>Tidak Terintegrasi</t>
        </is>
      </c>
      <c r="Z188" s="184" t="inlineStr">
        <is>
          <t>Bagian Keuangan</t>
        </is>
      </c>
      <c r="AA188" s="184" t="inlineStr">
        <is>
          <t>BKAD</t>
        </is>
      </c>
      <c r="AB188" s="184" t="inlineStr">
        <is>
          <t>Soleh Nurdin,SAB , Mimin Mintarih,S.E dan Shandy Budi Oetama,S.E</t>
        </is>
      </c>
      <c r="AC188" s="184" t="inlineStr">
        <is>
          <t>081222537833 , 081322777660 dan 085720024777</t>
        </is>
      </c>
      <c r="AD188" s="184" t="inlineStr">
        <is>
          <t>mintarsihmimin7990@gmail.comsolehnurdin1969@gmail.com dan shandy.oetama@gmail.com</t>
        </is>
      </c>
      <c r="AE188" s="288" t="n"/>
      <c r="AF188" s="184" t="inlineStr">
        <is>
          <t>Bulanan</t>
        </is>
      </c>
      <c r="AG188" s="284" t="n"/>
      <c r="AH188" s="284" t="n"/>
      <c r="AI188" s="284" t="n"/>
      <c r="AJ188" s="284" t="n"/>
      <c r="AK188" s="284" t="n"/>
      <c r="AL188" s="284" t="n"/>
      <c r="AM188" s="284" t="n"/>
      <c r="AN188" s="284" t="n"/>
      <c r="AO188" s="284" t="n"/>
      <c r="AP188" s="284" t="n"/>
      <c r="AQ188" s="284" t="n"/>
      <c r="AR188" s="284" t="n"/>
    </row>
    <row r="189" hidden="1" s="346">
      <c r="A189" s="62" t="n">
        <v>187</v>
      </c>
      <c r="B189" s="184" t="inlineStr">
        <is>
          <t>Layanan informasi tenaga kesehatan</t>
        </is>
      </c>
      <c r="C189" s="184" t="inlineStr">
        <is>
          <t>database tenaga kesehatan</t>
        </is>
      </c>
      <c r="D189" s="184" t="inlineStr">
        <is>
          <t>Undang-undang np 17 Tahun 2023 ttg kesehatn</t>
        </is>
      </c>
      <c r="E189" s="288" t="n"/>
      <c r="F189" s="184" t="inlineStr">
        <is>
          <t>PENGEMBANGAN DAN PEMBERDAYAAN SUMBER DAYA MANUSIA KESEHATAN</t>
        </is>
      </c>
      <c r="G189" s="184" t="inlineStr">
        <is>
          <t>Pegawai</t>
        </is>
      </c>
      <c r="H189" s="184" t="inlineStr">
        <is>
          <t>database tenaga kesehatan</t>
        </is>
      </c>
      <c r="I189" s="184" t="inlineStr">
        <is>
          <t>database tenaga kesehatan</t>
        </is>
      </c>
      <c r="J189" s="184" t="inlineStr">
        <is>
          <t>Terbatas</t>
        </is>
      </c>
      <c r="K189" s="184" t="inlineStr">
        <is>
          <t>Terdapat</t>
        </is>
      </c>
      <c r="L189" s="184" t="inlineStr">
        <is>
          <t>Harian</t>
        </is>
      </c>
      <c r="M189" s="184" t="inlineStr">
        <is>
          <t>SISDMK</t>
        </is>
      </c>
      <c r="N189" s="184" t="inlineStr">
        <is>
          <t>Pusat</t>
        </is>
      </c>
      <c r="O189" s="184" t="inlineStr">
        <is>
          <t>Pusat</t>
        </is>
      </c>
      <c r="P189" s="184" t="inlineStr">
        <is>
          <t>Website dan Mobile</t>
        </is>
      </c>
      <c r="Q189" s="131" t="inlineStr">
        <is>
          <t>sisdmk.kemkes.go.id</t>
        </is>
      </c>
      <c r="R189" s="184" t="inlineStr">
        <is>
          <t>Secara Online</t>
        </is>
      </c>
      <c r="S189" s="184" t="inlineStr">
        <is>
          <t>Informasi</t>
        </is>
      </c>
      <c r="T189" s="288" t="n"/>
      <c r="U189" s="184" t="inlineStr">
        <is>
          <t>Aktif</t>
        </is>
      </c>
      <c r="V189" s="184" t="inlineStr">
        <is>
          <t>Ya</t>
        </is>
      </c>
      <c r="W189" s="288" t="n"/>
      <c r="X189" s="184" t="inlineStr">
        <is>
          <t>Web Service</t>
        </is>
      </c>
      <c r="Y189" s="184" t="inlineStr">
        <is>
          <t>Realtime</t>
        </is>
      </c>
      <c r="Z189" s="184" t="inlineStr">
        <is>
          <t>semua bidang/bagian</t>
        </is>
      </c>
      <c r="AA189" s="184" t="inlineStr">
        <is>
          <t>Dinkes</t>
        </is>
      </c>
      <c r="AB189" s="184" t="inlineStr">
        <is>
          <t>Dede Sarifudin, Welga Adibayu, Iis Ismawati</t>
        </is>
      </c>
      <c r="AC189" s="184" t="n">
        <v>85222063396</v>
      </c>
      <c r="AD189" s="184" t="inlineStr">
        <is>
          <t>kepegawaian.rsud.majalay@gmail.com</t>
        </is>
      </c>
      <c r="AE189" s="288" t="n"/>
      <c r="AF189" s="184" t="inlineStr">
        <is>
          <t>Setiap Saat</t>
        </is>
      </c>
      <c r="AG189" s="284" t="n"/>
      <c r="AH189" s="284" t="n"/>
      <c r="AI189" s="284" t="n"/>
      <c r="AJ189" s="284" t="n"/>
      <c r="AK189" s="284" t="n"/>
      <c r="AL189" s="284" t="n"/>
      <c r="AM189" s="284" t="n"/>
      <c r="AN189" s="284" t="n"/>
      <c r="AO189" s="284" t="n"/>
      <c r="AP189" s="284" t="n"/>
      <c r="AQ189" s="284" t="n"/>
      <c r="AR189" s="284" t="n"/>
    </row>
    <row r="190" hidden="1" s="346">
      <c r="A190" s="62" t="n">
        <v>188</v>
      </c>
      <c r="B190" s="184" t="inlineStr">
        <is>
          <t>Layanan pelaporan pelayanan kesehatan</t>
        </is>
      </c>
      <c r="C190" s="176" t="inlineStr">
        <is>
          <t>Pelaporan pelayanan kesehatan mencakup Data dasar RS, Profil, Update tempat tidur, Laporan KLB/Pandemi, Kompetensi RS, Rekapitulasi Laporan</t>
        </is>
      </c>
      <c r="D190" s="184" t="inlineStr">
        <is>
          <t>Direktorat Jenderal Kesehatan Lanjutan Kemenkes</t>
        </is>
      </c>
      <c r="E190" s="200" t="n"/>
      <c r="F190" s="184" t="inlineStr">
        <is>
          <t>PENGELOLAAN PELAYANAN KESEHATAN</t>
        </is>
      </c>
      <c r="G190" s="184" t="inlineStr">
        <is>
          <t>Instansi Pemerintah Lainnya</t>
        </is>
      </c>
      <c r="H190" s="184" t="inlineStr">
        <is>
          <t>Data dasar RS, Profil, Update tempat tidur, Laporan KLB/Pandemi, Kompetensi RS, Rekapitulasi Laporan</t>
        </is>
      </c>
      <c r="I190" s="178" t="inlineStr">
        <is>
          <t>Laporan Updating</t>
        </is>
      </c>
      <c r="J190" s="184" t="inlineStr">
        <is>
          <t>Terbatas</t>
        </is>
      </c>
      <c r="K190" s="184" t="inlineStr">
        <is>
          <t>Tidak terdapat</t>
        </is>
      </c>
      <c r="L190" s="184" t="inlineStr">
        <is>
          <t>Harian</t>
        </is>
      </c>
      <c r="M190" s="184" t="inlineStr">
        <is>
          <t>RS Online</t>
        </is>
      </c>
      <c r="N190" s="184" t="inlineStr">
        <is>
          <t>Pusat</t>
        </is>
      </c>
      <c r="O190" s="184" t="inlineStr">
        <is>
          <t>Pusat</t>
        </is>
      </c>
      <c r="P190" s="67" t="inlineStr">
        <is>
          <t>Website</t>
        </is>
      </c>
      <c r="Q190" s="131" t="inlineStr">
        <is>
          <t>sirs.kemkes.go.id</t>
        </is>
      </c>
      <c r="R190" s="184" t="inlineStr">
        <is>
          <t>Secara Online</t>
        </is>
      </c>
      <c r="S190" s="184" t="inlineStr">
        <is>
          <t>Informasi</t>
        </is>
      </c>
      <c r="T190" s="288" t="n"/>
      <c r="U190" s="184" t="inlineStr">
        <is>
          <t>Aktif</t>
        </is>
      </c>
      <c r="V190" s="184" t="inlineStr">
        <is>
          <t>Ya</t>
        </is>
      </c>
      <c r="W190" s="184" t="inlineStr">
        <is>
          <t>tidak Terintegrasi</t>
        </is>
      </c>
      <c r="X190" s="184" t="inlineStr">
        <is>
          <t>Tidak Terintegrasi</t>
        </is>
      </c>
      <c r="Y190" s="184" t="inlineStr">
        <is>
          <t>Realtime</t>
        </is>
      </c>
      <c r="Z190" s="184" t="inlineStr">
        <is>
          <t>Bidang Penunjang Medik dan Pelayanan Medik</t>
        </is>
      </c>
      <c r="AA190" s="184" t="inlineStr">
        <is>
          <t>Dinkes</t>
        </is>
      </c>
      <c r="AB190" s="184" t="inlineStr">
        <is>
          <t>Sonia Dwi Octavianti</t>
        </is>
      </c>
      <c r="AC190" s="184" t="n">
        <v>85721324997</v>
      </c>
      <c r="AD190" s="288" t="n"/>
      <c r="AE190" s="288" t="n"/>
      <c r="AF190" s="184" t="inlineStr">
        <is>
          <t>Harian</t>
        </is>
      </c>
      <c r="AG190" s="284" t="n"/>
      <c r="AH190" s="284" t="n"/>
      <c r="AI190" s="284" t="n"/>
      <c r="AJ190" s="284" t="n"/>
      <c r="AK190" s="284" t="n"/>
      <c r="AL190" s="284" t="n"/>
      <c r="AM190" s="284" t="n"/>
      <c r="AN190" s="284" t="n"/>
      <c r="AO190" s="284" t="n"/>
      <c r="AP190" s="284" t="n"/>
      <c r="AQ190" s="284" t="n"/>
      <c r="AR190" s="284" t="n"/>
    </row>
    <row r="191" hidden="1" s="346">
      <c r="A191" s="62" t="n">
        <v>189</v>
      </c>
      <c r="B191" s="184" t="inlineStr">
        <is>
          <t>Layanan informasi pelayanan publik</t>
        </is>
      </c>
      <c r="C191" s="178" t="inlineStr">
        <is>
          <t>mempermudah masyarakat mengakses informasi layanan publik secara terpadu, transparan, dan akuntabel. Fungsi utamanya adalah mengintegrasikan data standar pelayanan (syarat, prosedur, waktu, biaya) dari berbagai instansi pemerintah</t>
        </is>
      </c>
      <c r="D191" s="184" t="inlineStr">
        <is>
          <t>-Peraturan Pemerintah Nomor 96 Tahun 2012 tentang Pelaksanaan Undang-undang Nomor 25 Tahun 2009 tentang Pelayanan Publik
 -Peraturan Menteri PANRB No. 14 Tahun 2017 tentang Pedoman Penyusunan Survei Kepuasan Masyarakat (SKM)</t>
        </is>
      </c>
      <c r="E191" s="288" t="n"/>
      <c r="F191" s="184" t="inlineStr">
        <is>
          <t>INFORMASI DAN DIPLOMASI PUBLIK</t>
        </is>
      </c>
      <c r="G191" s="184" t="inlineStr">
        <is>
          <t>Instansi Pemerintah Lainnya</t>
        </is>
      </c>
      <c r="H191" s="184" t="inlineStr">
        <is>
          <t>Identitas Instansi, Standar Pelayanan, Informasi Tambahan</t>
        </is>
      </c>
      <c r="I191" s="184" t="inlineStr">
        <is>
          <t>Informasi komprehensif mengenai penyelanggaraan pelayanan publik oleh instansi pemerintah</t>
        </is>
      </c>
      <c r="J191" s="184" t="inlineStr">
        <is>
          <t>Terbuka</t>
        </is>
      </c>
      <c r="K191" s="184" t="inlineStr">
        <is>
          <t>Tidak terdapat</t>
        </is>
      </c>
      <c r="L191" s="184" t="inlineStr">
        <is>
          <t>Lainnya</t>
        </is>
      </c>
      <c r="M191" s="184" t="inlineStr">
        <is>
          <t>SIPPN</t>
        </is>
      </c>
      <c r="N191" s="184" t="inlineStr">
        <is>
          <t>Pusat</t>
        </is>
      </c>
      <c r="O191" s="184" t="inlineStr">
        <is>
          <t>Pusat</t>
        </is>
      </c>
      <c r="P191" s="184" t="inlineStr">
        <is>
          <t>Website</t>
        </is>
      </c>
      <c r="Q191" s="131" t="inlineStr">
        <is>
          <t>https://sippn.menpan.go.id/</t>
        </is>
      </c>
      <c r="R191" s="184" t="inlineStr">
        <is>
          <t>Secara Online</t>
        </is>
      </c>
      <c r="S191" s="184" t="inlineStr">
        <is>
          <t>Informasi</t>
        </is>
      </c>
      <c r="T191" s="288" t="n"/>
      <c r="U191" s="184" t="inlineStr">
        <is>
          <t>Aktif</t>
        </is>
      </c>
      <c r="V191" s="184" t="inlineStr">
        <is>
          <t>Tidak</t>
        </is>
      </c>
      <c r="W191" s="184" t="inlineStr">
        <is>
          <t>Tidak Terintegrasi</t>
        </is>
      </c>
      <c r="X191" s="184" t="inlineStr">
        <is>
          <t>Tidak Terintegrasi</t>
        </is>
      </c>
      <c r="Y191" s="184" t="inlineStr">
        <is>
          <t>Tidak Terintegrasi</t>
        </is>
      </c>
      <c r="Z191" s="184" t="inlineStr">
        <is>
          <t>Bagian Perencanaan dan Kehumasan</t>
        </is>
      </c>
      <c r="AA191" s="184" t="inlineStr">
        <is>
          <t>Dinkes</t>
        </is>
      </c>
      <c r="AB191" s="184" t="inlineStr">
        <is>
          <t>Krisna Aji Putra, S.I.Kom</t>
        </is>
      </c>
      <c r="AC191" s="184" t="n">
        <v>82118454036</v>
      </c>
      <c r="AD191" s="184" t="inlineStr">
        <is>
          <t>humasrsudmajalaya1@gmail.com</t>
        </is>
      </c>
      <c r="AE191" s="288" t="n"/>
      <c r="AF191" s="184" t="inlineStr">
        <is>
          <t>Insidentil</t>
        </is>
      </c>
      <c r="AG191" s="284" t="n"/>
      <c r="AH191" s="284" t="n"/>
      <c r="AI191" s="284" t="n"/>
      <c r="AJ191" s="284" t="n"/>
      <c r="AK191" s="284" t="n"/>
      <c r="AL191" s="284" t="n"/>
      <c r="AM191" s="284" t="n"/>
      <c r="AN191" s="284" t="n"/>
      <c r="AO191" s="284" t="n"/>
      <c r="AP191" s="284" t="n"/>
      <c r="AQ191" s="284" t="n"/>
      <c r="AR191" s="284" t="n"/>
    </row>
    <row r="192" hidden="1" s="346">
      <c r="A192" s="62" t="n">
        <v>190</v>
      </c>
      <c r="B192" s="184" t="inlineStr">
        <is>
          <t>Layanan informasi mutu fasilitas layanan kesehatan</t>
        </is>
      </c>
      <c r="C192" s="178" t="inlineStr">
        <is>
          <t>untuk mengumpulkan dan memantau data kualitas pelayanan kesehatan secara terintegrasi, sehingga dapat digunakan untuk evaluasi, peningkatan mutu, dan pengambilan kebijakan di bidang kesehatan.</t>
        </is>
      </c>
      <c r="D192"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E192" s="288" t="n"/>
      <c r="F192" s="184" t="inlineStr">
        <is>
          <t>PENGELOLAAN PELAYANAN KESEHATAN</t>
        </is>
      </c>
      <c r="G192" s="184" t="inlineStr">
        <is>
          <t>Instansi Pemerintah Lainnya</t>
        </is>
      </c>
      <c r="H192" s="178" t="inlineStr">
        <is>
          <t>1. Indikator Mutu Nasional 
 2. Pelaporan HAIS
 3. Pelaporan Insiden Keselamatan Pasien</t>
        </is>
      </c>
      <c r="I192" s="178" t="inlineStr">
        <is>
          <t>Data Monitoring dan Evaluasi</t>
        </is>
      </c>
      <c r="J192" s="184" t="inlineStr">
        <is>
          <t>Terbatas</t>
        </is>
      </c>
      <c r="K192" s="184" t="inlineStr">
        <is>
          <t>Tidak terdapat</t>
        </is>
      </c>
      <c r="L192" s="184" t="inlineStr">
        <is>
          <t>Bulanan</t>
        </is>
      </c>
      <c r="M192" s="184" t="inlineStr">
        <is>
          <t>MUTU FASYANKES</t>
        </is>
      </c>
      <c r="N192" s="184" t="inlineStr">
        <is>
          <t>Pusat</t>
        </is>
      </c>
      <c r="O192" s="184" t="inlineStr">
        <is>
          <t>Pusat</t>
        </is>
      </c>
      <c r="P192" s="184" t="inlineStr">
        <is>
          <t>Website</t>
        </is>
      </c>
      <c r="Q192" s="223" t="inlineStr">
        <is>
          <t>https://mutufasyankes.kemkes.go.id/</t>
        </is>
      </c>
      <c r="R192" s="184" t="inlineStr">
        <is>
          <t>Secara Online</t>
        </is>
      </c>
      <c r="S192" s="184" t="inlineStr">
        <is>
          <t>Informasi</t>
        </is>
      </c>
      <c r="T192" s="288" t="n"/>
      <c r="U192" s="184" t="inlineStr">
        <is>
          <t>Aktif</t>
        </is>
      </c>
      <c r="V192" s="288" t="n"/>
      <c r="W192" s="288" t="n"/>
      <c r="X192" s="288" t="n"/>
      <c r="Y192" s="288" t="n"/>
      <c r="Z192" s="184" t="inlineStr">
        <is>
          <t>Komite Mutu</t>
        </is>
      </c>
      <c r="AA192" s="184" t="inlineStr">
        <is>
          <t>Dinkes</t>
        </is>
      </c>
      <c r="AB192" s="131" t="inlineStr">
        <is>
          <t>Endah Mawarni, A.Md.Kes</t>
        </is>
      </c>
      <c r="AC192" s="184" t="n">
        <v>8812229285</v>
      </c>
      <c r="AD192" s="184" t="inlineStr">
        <is>
          <t>komite.pmkp.rsudmajalaya@gmail.com</t>
        </is>
      </c>
      <c r="AE192" s="288" t="n"/>
      <c r="AF192" s="184" t="inlineStr">
        <is>
          <t>Bulanan</t>
        </is>
      </c>
      <c r="AG192" s="284" t="n"/>
      <c r="AH192" s="284" t="n"/>
      <c r="AI192" s="284" t="n"/>
      <c r="AJ192" s="284" t="n"/>
      <c r="AK192" s="284" t="n"/>
      <c r="AL192" s="284" t="n"/>
      <c r="AM192" s="284" t="n"/>
      <c r="AN192" s="284" t="n"/>
      <c r="AO192" s="284" t="n"/>
      <c r="AP192" s="284" t="n"/>
      <c r="AQ192" s="284" t="n"/>
      <c r="AR192" s="284" t="n"/>
    </row>
    <row r="193" hidden="1" s="346">
      <c r="A193" s="62" t="n">
        <v>191</v>
      </c>
      <c r="B193" s="178" t="inlineStr">
        <is>
          <t>Layanan manajemen data sarana prasarana alat kesehatan</t>
        </is>
      </c>
      <c r="C193" s="224" t="inlineStr">
        <is>
          <t>sistem informasi berbasis web dari Kementerian Kesehatan untuk menghimpun data sarana, prasarana, dan alat kesehatan (SPA) di fasyankes</t>
        </is>
      </c>
      <c r="D193" s="225" t="inlineStr">
        <is>
          <t>Permenkes No. 31 Tahun 2018: Mengatur kewajiban pengisian, validasi, dan update data ASPAK oleh Fasyankes, Dinas Kesehatan Kabupaten/Kota, dan Dinas Kesehatan Provinsi</t>
        </is>
      </c>
      <c r="E193" s="288" t="n"/>
      <c r="F193" s="67" t="inlineStr">
        <is>
          <t>PENGELOLAAN PELAYANAN KESEHATAN</t>
        </is>
      </c>
      <c r="G193" s="184" t="inlineStr">
        <is>
          <t>Instansi Pemerintah Lainnya</t>
        </is>
      </c>
      <c r="H193" s="184" t="inlineStr">
        <is>
          <t>data sarana, prasarana, dan alat kesehatan (SPA) di fasyankes</t>
        </is>
      </c>
      <c r="I193" s="184" t="inlineStr">
        <is>
          <t>data sarana, prasarana, dan alat kesehatan (SPA) di fasyankes</t>
        </is>
      </c>
      <c r="J193" s="184" t="inlineStr">
        <is>
          <t>Tertutup</t>
        </is>
      </c>
      <c r="K193" s="184" t="inlineStr">
        <is>
          <t>Tidak terdapat</t>
        </is>
      </c>
      <c r="L193" s="184" t="inlineStr">
        <is>
          <t>Harian</t>
        </is>
      </c>
      <c r="M193" s="184" t="inlineStr">
        <is>
          <t>ASPAK</t>
        </is>
      </c>
      <c r="N193" s="184" t="inlineStr">
        <is>
          <t>Pusat</t>
        </is>
      </c>
      <c r="O193" s="184" t="inlineStr">
        <is>
          <t>Pusat</t>
        </is>
      </c>
      <c r="P193" s="184" t="inlineStr">
        <is>
          <t>Website</t>
        </is>
      </c>
      <c r="Q193" s="131" t="inlineStr">
        <is>
          <t>https://aspak.kemkes.go.id/aplikasi/site/index</t>
        </is>
      </c>
      <c r="R193" s="184" t="inlineStr">
        <is>
          <t>Secara Online</t>
        </is>
      </c>
      <c r="S193" s="184" t="inlineStr">
        <is>
          <t>Informasi</t>
        </is>
      </c>
      <c r="T193" s="184" t="n">
        <v>2018</v>
      </c>
      <c r="U193" s="184" t="inlineStr">
        <is>
          <t>Aktif</t>
        </is>
      </c>
      <c r="V193" s="67" t="inlineStr">
        <is>
          <t>Tidak</t>
        </is>
      </c>
      <c r="W193" s="184" t="inlineStr">
        <is>
          <t>tidak terintegrasi'</t>
        </is>
      </c>
      <c r="X193" s="67" t="inlineStr">
        <is>
          <t>Tidak Terintegrasi</t>
        </is>
      </c>
      <c r="Y193" s="184" t="inlineStr">
        <is>
          <t>Tidak Terintegrasi</t>
        </is>
      </c>
      <c r="Z193" s="68" t="inlineStr">
        <is>
          <t>Bidang Pelayanan Medik</t>
        </is>
      </c>
      <c r="AA193" s="184" t="inlineStr">
        <is>
          <t>Dinkes</t>
        </is>
      </c>
      <c r="AB193" s="184" t="inlineStr">
        <is>
          <t>Sonia Dwi Octavianti</t>
        </is>
      </c>
      <c r="AC193" s="184" t="n">
        <v>85721324997</v>
      </c>
      <c r="AD193" s="288" t="n"/>
      <c r="AE193" s="288" t="n"/>
      <c r="AF193" s="68" t="inlineStr">
        <is>
          <t>Insidentil</t>
        </is>
      </c>
      <c r="AG193" s="284" t="n"/>
      <c r="AH193" s="284" t="n"/>
      <c r="AI193" s="284" t="n"/>
      <c r="AJ193" s="284" t="n"/>
      <c r="AK193" s="284" t="n"/>
      <c r="AL193" s="284" t="n"/>
      <c r="AM193" s="284" t="n"/>
      <c r="AN193" s="284" t="n"/>
      <c r="AO193" s="284" t="n"/>
      <c r="AP193" s="284" t="n"/>
      <c r="AQ193" s="284" t="n"/>
      <c r="AR193" s="284" t="n"/>
    </row>
    <row r="194" hidden="1" s="346">
      <c r="A194" s="62" t="n">
        <v>192</v>
      </c>
      <c r="B194" s="184" t="inlineStr">
        <is>
          <t>Layanan Integrasi Ekosistem Digital Rumah Sakit (SIMRS)</t>
        </is>
      </c>
      <c r="C194"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94" s="184" t="inlineStr">
        <is>
          <t>Peraturan Menteri Kesehatan Nomor 82 Tahun 2013 Tentang Sistem Informasi Manajemen Rumah Sakit</t>
        </is>
      </c>
      <c r="E194" s="131" t="inlineStr">
        <is>
          <t>https://drive.google.com/file/d/1T1U4oNUqZS1NcFlgpFY6CJRp0CcQqlBv/view?usp=drive_link</t>
        </is>
      </c>
      <c r="F194" s="184" t="inlineStr">
        <is>
          <t>PENGELOLAAN PELAYANAN KESEHATAN</t>
        </is>
      </c>
      <c r="G194" s="184" t="inlineStr">
        <is>
          <t>Masyarakat</t>
        </is>
      </c>
      <c r="H194" s="184" t="inlineStr">
        <is>
          <t>Data pasien, mulai dari info pribadi hingga catatan medis pasien</t>
        </is>
      </c>
      <c r="I194" s="178" t="inlineStr">
        <is>
          <t>Data rekam medis pasien</t>
        </is>
      </c>
      <c r="J194" s="184" t="inlineStr">
        <is>
          <t>Rahasia</t>
        </is>
      </c>
      <c r="K194" s="184" t="inlineStr">
        <is>
          <t>Terdapat</t>
        </is>
      </c>
      <c r="L194" s="184" t="inlineStr">
        <is>
          <t>Lainnya</t>
        </is>
      </c>
      <c r="M194" s="184" t="inlineStr">
        <is>
          <t>SIMRS OTO ISKANDAR</t>
        </is>
      </c>
      <c r="N194" s="184" t="inlineStr">
        <is>
          <t>Pihak Ke 3</t>
        </is>
      </c>
      <c r="O194" s="184" t="inlineStr">
        <is>
          <t>Kab. Bandung</t>
        </is>
      </c>
      <c r="P194" s="184" t="inlineStr">
        <is>
          <t>Desktop</t>
        </is>
      </c>
      <c r="Q194" s="184" t="inlineStr">
        <is>
          <t>Internal (Rahasia)</t>
        </is>
      </c>
      <c r="R194" s="184" t="inlineStr">
        <is>
          <t>Secara Offline</t>
        </is>
      </c>
      <c r="S194" s="184" t="inlineStr">
        <is>
          <t>Transaksi</t>
        </is>
      </c>
      <c r="T194" s="184" t="n">
        <v>2023</v>
      </c>
      <c r="U194" s="184" t="inlineStr">
        <is>
          <t>Aktif</t>
        </is>
      </c>
      <c r="V194" s="184" t="inlineStr">
        <is>
          <t>Ya</t>
        </is>
      </c>
      <c r="W194" s="184" t="inlineStr">
        <is>
          <t>VClaim BPJS, Satusehat, Eklaim INACBGs, Siranap</t>
        </is>
      </c>
      <c r="X194" s="184" t="inlineStr">
        <is>
          <t>Web Service</t>
        </is>
      </c>
      <c r="Y194" s="184" t="inlineStr">
        <is>
          <t>Realtime</t>
        </is>
      </c>
      <c r="Z194" s="184" t="inlineStr">
        <is>
          <t>Bidang Penunjang Non Medis</t>
        </is>
      </c>
      <c r="AA194" s="184" t="inlineStr">
        <is>
          <t>Dinkes</t>
        </is>
      </c>
      <c r="AB194" s="184" t="inlineStr">
        <is>
          <t>dr. Yessy Agustina, M.H.</t>
        </is>
      </c>
      <c r="AC194" s="184" t="n">
        <v>8129487531</v>
      </c>
      <c r="AD194" s="184" t="inlineStr">
        <is>
          <t>yessy_agst@yahoo.com</t>
        </is>
      </c>
      <c r="AE194" s="184" t="n">
        <v>8</v>
      </c>
      <c r="AF194" s="184" t="inlineStr">
        <is>
          <t>Setiap Saat</t>
        </is>
      </c>
      <c r="AG194" s="284" t="n"/>
      <c r="AH194" s="284" t="n"/>
      <c r="AI194" s="284" t="n"/>
      <c r="AJ194" s="284" t="n"/>
      <c r="AK194" s="284" t="n"/>
      <c r="AL194" s="284" t="n"/>
      <c r="AM194" s="284" t="n"/>
      <c r="AN194" s="284" t="n"/>
      <c r="AO194" s="284" t="n"/>
      <c r="AP194" s="284" t="n"/>
      <c r="AQ194" s="284" t="n"/>
      <c r="AR194" s="284" t="n"/>
    </row>
    <row r="195" hidden="1" s="346">
      <c r="A195" s="62" t="n">
        <v>193</v>
      </c>
      <c r="B195" s="184" t="inlineStr">
        <is>
          <t>Layanan Pengelolaan Gudang Logistik</t>
        </is>
      </c>
      <c r="C195" s="184" t="inlineStr">
        <is>
          <t>Pengelolaan barang-barang penunjang operasional rumah sakit di luar obat dan BMHP, pencatatan barang mulai dari masuk hingga keluar disertai dokumentasi dan laporan transaksi</t>
        </is>
      </c>
      <c r="D195" s="288" t="n"/>
      <c r="E195" s="288" t="n"/>
      <c r="F195" s="184" t="inlineStr">
        <is>
          <t>PENGELOLAAN SUMBER DAYA DAN PERANGKAT INFORMATIKA</t>
        </is>
      </c>
      <c r="G195" s="184" t="inlineStr">
        <is>
          <t>Instansi Pemerintah Lainnya</t>
        </is>
      </c>
      <c r="H195" s="184" t="inlineStr">
        <is>
          <t>Data Barang</t>
        </is>
      </c>
      <c r="I195" s="178" t="inlineStr">
        <is>
          <t>Catatan transaksi keluar masuk barang</t>
        </is>
      </c>
      <c r="J195" s="184" t="inlineStr">
        <is>
          <t>Terbatas</t>
        </is>
      </c>
      <c r="K195" s="184" t="inlineStr">
        <is>
          <t>Tidak terdapat</t>
        </is>
      </c>
      <c r="L195" s="288" t="n"/>
      <c r="M195" s="184" t="inlineStr">
        <is>
          <t>Layanan Pengelolaan Gudang Logistik OTO</t>
        </is>
      </c>
      <c r="N195" s="184" t="inlineStr">
        <is>
          <t>OPD</t>
        </is>
      </c>
      <c r="O195" s="184" t="inlineStr">
        <is>
          <t>Kab. Bandung</t>
        </is>
      </c>
      <c r="P195" s="184" t="inlineStr">
        <is>
          <t>Desktop</t>
        </is>
      </c>
      <c r="Q195" s="184" t="inlineStr">
        <is>
          <t>(Internal)</t>
        </is>
      </c>
      <c r="R195" s="184" t="inlineStr">
        <is>
          <t>Secara Offline</t>
        </is>
      </c>
      <c r="S195" s="184" t="inlineStr">
        <is>
          <t>Informasi</t>
        </is>
      </c>
      <c r="T195" s="184" t="n">
        <v>2015</v>
      </c>
      <c r="U195" s="184" t="inlineStr">
        <is>
          <t>Aktif</t>
        </is>
      </c>
      <c r="V195" s="184" t="inlineStr">
        <is>
          <t>Tidak</t>
        </is>
      </c>
      <c r="W195" s="184" t="inlineStr">
        <is>
          <t>Tidak terintegrasi</t>
        </is>
      </c>
      <c r="X195" s="184" t="inlineStr">
        <is>
          <t>Tidak Terintegrasi</t>
        </is>
      </c>
      <c r="Y195" s="184" t="inlineStr">
        <is>
          <t>Tidak Terintegrasi</t>
        </is>
      </c>
      <c r="Z195" s="184" t="inlineStr">
        <is>
          <t>Bagian Umum dan Kepegawaian</t>
        </is>
      </c>
      <c r="AA195" s="184" t="inlineStr">
        <is>
          <t>Dinkes</t>
        </is>
      </c>
      <c r="AB195" s="288" t="n"/>
      <c r="AC195" s="288" t="n"/>
      <c r="AD195" s="288" t="n"/>
      <c r="AE195" s="288" t="n"/>
      <c r="AF195" s="184" t="inlineStr">
        <is>
          <t>Bulanan</t>
        </is>
      </c>
      <c r="AG195" s="284" t="n"/>
      <c r="AH195" s="284" t="n"/>
      <c r="AI195" s="284" t="n"/>
      <c r="AJ195" s="284" t="n"/>
      <c r="AK195" s="284" t="n"/>
      <c r="AL195" s="284" t="n"/>
      <c r="AM195" s="284" t="n"/>
      <c r="AN195" s="284" t="n"/>
      <c r="AO195" s="284" t="n"/>
      <c r="AP195" s="284" t="n"/>
      <c r="AQ195" s="284" t="n"/>
      <c r="AR195" s="284" t="n"/>
    </row>
    <row r="196" hidden="1" s="346">
      <c r="A196" s="62" t="n">
        <v>194</v>
      </c>
      <c r="B196" s="184" t="inlineStr">
        <is>
          <t>Layanan informasi inovasi perangkat daerah</t>
        </is>
      </c>
      <c r="C196" s="178" t="inlineStr">
        <is>
          <t>mengoptimalkan pengelolaan, pendokumentasian, dan penyebarluasan hasil penelitian serta inovasi daerah secara digital guna mendukung pengambilan kebijakan berbasis data dan berungsi sebagai tempat penyimpanan data dan kelengkapan satuan inovasi yang ditetapkan oleh Kemendagri</t>
        </is>
      </c>
      <c r="D196" s="184" t="inlineStr">
        <is>
          <t>- Peraturan BRIN Nomor 5 Tahun 2023: Mengatur tentang tata kelola data riset dan inovasi, termasuk penggunaan aplikasi untuk monitoring dan evaluasi kelitbangan daerah.
 - Peraturan Presiden (Perpres) Nomor 78 Tahun 2021 tentang BRIN: Menetapkan BRIN sebagai lembaga yang mengintegrasikan penelitian, pengembangan, pengkajian, penerapan, serta invensi dan inovasi</t>
        </is>
      </c>
      <c r="E196" s="288" t="n"/>
      <c r="F196" s="184" t="inlineStr">
        <is>
          <t>INFORMASI DAN DIPLOMASI PUBLIK</t>
        </is>
      </c>
      <c r="G196" s="184" t="inlineStr">
        <is>
          <t>Instansi Pemerintah Lainnya</t>
        </is>
      </c>
      <c r="H196" s="184" t="inlineStr">
        <is>
          <t>Inovasi yang terdaftar di APIK</t>
        </is>
      </c>
      <c r="I196" s="178" t="inlineStr">
        <is>
          <t>Data Inovasi</t>
        </is>
      </c>
      <c r="J196" s="184" t="inlineStr">
        <is>
          <t>Terbuka</t>
        </is>
      </c>
      <c r="K196" s="184" t="inlineStr">
        <is>
          <t>Tidak terdapat</t>
        </is>
      </c>
      <c r="L196" s="184" t="inlineStr">
        <is>
          <t>Lainnya</t>
        </is>
      </c>
      <c r="M196" s="184" t="inlineStr">
        <is>
          <t>APIK</t>
        </is>
      </c>
      <c r="N196" s="184" t="inlineStr">
        <is>
          <t>OPD</t>
        </is>
      </c>
      <c r="O196" s="184" t="inlineStr">
        <is>
          <t>Kab. Bandung</t>
        </is>
      </c>
      <c r="P196" s="184" t="inlineStr">
        <is>
          <t>Website</t>
        </is>
      </c>
      <c r="Q196" s="131" t="inlineStr">
        <is>
          <t>https://apik.bandungkab.go.id/apik/login</t>
        </is>
      </c>
      <c r="R196" s="184" t="inlineStr">
        <is>
          <t>Secara Online</t>
        </is>
      </c>
      <c r="S196" s="184" t="inlineStr">
        <is>
          <t>Informasi</t>
        </is>
      </c>
      <c r="T196" s="288" t="n"/>
      <c r="U196" s="184" t="inlineStr">
        <is>
          <t>Aktif</t>
        </is>
      </c>
      <c r="V196" s="184" t="inlineStr">
        <is>
          <t>Tidak</t>
        </is>
      </c>
      <c r="W196" s="184" t="inlineStr">
        <is>
          <t>Tidak Terintegrasi</t>
        </is>
      </c>
      <c r="X196" s="184" t="inlineStr">
        <is>
          <t>Tidak Terintegrasi</t>
        </is>
      </c>
      <c r="Y196" s="184" t="inlineStr">
        <is>
          <t>Tidak Terintegrasi</t>
        </is>
      </c>
      <c r="Z196" s="184" t="inlineStr">
        <is>
          <t>Bagian Perencanaan dan Kehumasan</t>
        </is>
      </c>
      <c r="AA196" s="184" t="inlineStr">
        <is>
          <t>Bapperida</t>
        </is>
      </c>
      <c r="AB196" s="184" t="inlineStr">
        <is>
          <t>Krisna Aji Putra, S.I.Kom</t>
        </is>
      </c>
      <c r="AC196" s="184" t="n">
        <v>82118454036</v>
      </c>
      <c r="AD196" s="184" t="inlineStr">
        <is>
          <t>humasrsudmajalaya1@gmail.com</t>
        </is>
      </c>
      <c r="AE196" s="288" t="n"/>
      <c r="AF196" s="184" t="inlineStr">
        <is>
          <t>Insidentil</t>
        </is>
      </c>
      <c r="AG196" s="284" t="n"/>
      <c r="AH196" s="284" t="n"/>
      <c r="AI196" s="284" t="n"/>
      <c r="AJ196" s="284" t="n"/>
      <c r="AK196" s="284" t="n"/>
      <c r="AL196" s="284" t="n"/>
      <c r="AM196" s="284" t="n"/>
      <c r="AN196" s="284" t="n"/>
      <c r="AO196" s="284" t="n"/>
      <c r="AP196" s="284" t="n"/>
      <c r="AQ196" s="284" t="n"/>
      <c r="AR196" s="284" t="n"/>
    </row>
    <row r="197" hidden="1" s="346">
      <c r="A197" s="62" t="n">
        <v>195</v>
      </c>
      <c r="B197" s="228" t="inlineStr">
        <is>
          <t>Layanan Integrasi Ekosistem Digital Rumah Sakit (SIMRS)</t>
        </is>
      </c>
      <c r="C197" s="228"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97" s="229" t="inlineStr">
        <is>
          <t>Peraturan Menteri Kesehatan Nomor 82 Tahun 2013 Tentang Sistem Informasi Manajemen Rumah Sakit</t>
        </is>
      </c>
      <c r="E197" s="230" t="inlineStr">
        <is>
          <t>https://drive.google.com/file/d/1T1U4oNUqZS1NcFlgpFY6CJRp0CcQqlBv/view?usp=drive_link</t>
        </is>
      </c>
      <c r="F197" s="229" t="inlineStr">
        <is>
          <t>PENGELOLAAN PELAYANAN KESEHATAN</t>
        </is>
      </c>
      <c r="G197" s="229" t="inlineStr">
        <is>
          <t>Masyarakat</t>
        </is>
      </c>
      <c r="H197" s="229" t="inlineStr">
        <is>
          <t>Data pasien, mulai dari info pribadi hingga catatan medis pasien</t>
        </is>
      </c>
      <c r="I197" s="228" t="inlineStr">
        <is>
          <t>Data rekam medis pasien</t>
        </is>
      </c>
      <c r="J197" s="229" t="inlineStr">
        <is>
          <t>Rahasia</t>
        </is>
      </c>
      <c r="K197" s="229" t="inlineStr">
        <is>
          <t>Terdapat</t>
        </is>
      </c>
      <c r="L197" s="229" t="inlineStr">
        <is>
          <t>Lainnya</t>
        </is>
      </c>
      <c r="M197" s="229" t="inlineStr">
        <is>
          <t>SIMRS CICALENGKA</t>
        </is>
      </c>
      <c r="N197" s="229" t="inlineStr">
        <is>
          <t>Pihak Ke 3</t>
        </is>
      </c>
      <c r="O197" s="229" t="inlineStr">
        <is>
          <t>Kab. Bandung</t>
        </is>
      </c>
      <c r="P197" s="229" t="inlineStr">
        <is>
          <t>Desktop</t>
        </is>
      </c>
      <c r="Q197" s="229" t="inlineStr">
        <is>
          <t>Internal (Rahasia)</t>
        </is>
      </c>
      <c r="R197" s="229" t="inlineStr">
        <is>
          <t>Secara Offline</t>
        </is>
      </c>
      <c r="S197" s="229" t="inlineStr">
        <is>
          <t>Transaksi</t>
        </is>
      </c>
      <c r="T197" s="229" t="n">
        <v>2023</v>
      </c>
      <c r="U197" s="229" t="inlineStr">
        <is>
          <t>Aktif</t>
        </is>
      </c>
      <c r="V197" s="229" t="inlineStr">
        <is>
          <t>Ya</t>
        </is>
      </c>
      <c r="W197" s="229" t="inlineStr">
        <is>
          <t>VClaim BPJS, Satusehat, Eklaim INACBGs, Siranap</t>
        </is>
      </c>
      <c r="X197" s="229" t="inlineStr">
        <is>
          <t>Web Service</t>
        </is>
      </c>
      <c r="Y197" s="229" t="inlineStr">
        <is>
          <t>Realtime</t>
        </is>
      </c>
      <c r="Z197" s="229" t="inlineStr">
        <is>
          <t>Bidang Penunjang Non Medis</t>
        </is>
      </c>
      <c r="AA197" s="229" t="inlineStr">
        <is>
          <t>Dinkes</t>
        </is>
      </c>
      <c r="AB197" s="229" t="inlineStr">
        <is>
          <t>Rizki Bachtiar, S.Kom</t>
        </is>
      </c>
      <c r="AC197" s="229" t="n">
        <v>81910001329</v>
      </c>
      <c r="AD197" s="229" t="inlineStr">
        <is>
          <t>rz1302@gmail.com</t>
        </is>
      </c>
      <c r="AE197" s="229" t="n">
        <v>8</v>
      </c>
      <c r="AF197" s="229" t="inlineStr">
        <is>
          <t>Setiap Saat</t>
        </is>
      </c>
      <c r="AG197" s="284" t="n"/>
      <c r="AH197" s="284" t="n"/>
      <c r="AI197" s="284" t="n"/>
      <c r="AJ197" s="284" t="n"/>
      <c r="AK197" s="284" t="n"/>
      <c r="AL197" s="284" t="n"/>
      <c r="AM197" s="284" t="n"/>
      <c r="AN197" s="284" t="n"/>
      <c r="AO197" s="284" t="n"/>
      <c r="AP197" s="284" t="n"/>
      <c r="AQ197" s="284" t="n"/>
      <c r="AR197" s="284" t="n"/>
    </row>
    <row r="198" hidden="1" s="346">
      <c r="A198" s="62" t="n">
        <v>196</v>
      </c>
      <c r="B198" s="228" t="inlineStr">
        <is>
          <t>Layanan survey kepuasan masyarakat</t>
        </is>
      </c>
      <c r="C198" s="22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D198" s="229" t="inlineStr">
        <is>
          <t>-Peraturan Pemerintah Nomor 96 Tahun 2012 tentang Pelaksanaan Undang-undang Nomor 25 Tahun 2009 tentang Pelayanan Publik
 -Peraturan Menteri PANRB No. 14 Tahun 2017 tentang Pedoman Penyusunan Survei Kepuasan Masyarakat (SKM)</t>
        </is>
      </c>
      <c r="E198" s="288" t="n"/>
      <c r="F198" s="229" t="inlineStr">
        <is>
          <t>INFORMASI DAN DIPLOMASI PUBLIK</t>
        </is>
      </c>
      <c r="G198" s="229" t="inlineStr">
        <is>
          <t>Masyarakat</t>
        </is>
      </c>
      <c r="H198" s="229" t="inlineStr">
        <is>
          <t>Hasil Responden Survey Kepuasan Masyarakat (SKM)</t>
        </is>
      </c>
      <c r="I198" s="228" t="inlineStr">
        <is>
          <t>Laporan dan Hasil rekapan SKM</t>
        </is>
      </c>
      <c r="J198" s="229" t="inlineStr">
        <is>
          <t>Terbuka</t>
        </is>
      </c>
      <c r="K198" s="229" t="inlineStr">
        <is>
          <t>Terdapat</t>
        </is>
      </c>
      <c r="L198" s="229" t="inlineStr">
        <is>
          <t>Bulanan</t>
        </is>
      </c>
      <c r="M198" s="229" t="inlineStr">
        <is>
          <t>ESKM</t>
        </is>
      </c>
      <c r="N198" s="229" t="inlineStr">
        <is>
          <t>OPD</t>
        </is>
      </c>
      <c r="O198" s="229" t="inlineStr">
        <is>
          <t>Kab. Bandung</t>
        </is>
      </c>
      <c r="P198" s="229" t="inlineStr">
        <is>
          <t>Website</t>
        </is>
      </c>
      <c r="Q198" s="233" t="inlineStr">
        <is>
          <t>https://skm.bandungkab.go.id/</t>
        </is>
      </c>
      <c r="R198" s="229" t="inlineStr">
        <is>
          <t>Secara Online</t>
        </is>
      </c>
      <c r="S198" s="229" t="inlineStr">
        <is>
          <t>Informasi</t>
        </is>
      </c>
      <c r="T198" s="288" t="n"/>
      <c r="U198" s="229" t="inlineStr">
        <is>
          <t>Aktif</t>
        </is>
      </c>
      <c r="V198" s="229" t="inlineStr">
        <is>
          <t>Tidak</t>
        </is>
      </c>
      <c r="W198" s="229" t="inlineStr">
        <is>
          <t>Tidak Terintegrasi</t>
        </is>
      </c>
      <c r="X198" s="229" t="inlineStr">
        <is>
          <t>Tidak Terintegrasi</t>
        </is>
      </c>
      <c r="Y198" s="229" t="inlineStr">
        <is>
          <t>Tidak Terintegrasi</t>
        </is>
      </c>
      <c r="Z198" s="229" t="inlineStr">
        <is>
          <t>Bagian Perencanaan dan Kehumasan</t>
        </is>
      </c>
      <c r="AA198" s="229" t="inlineStr">
        <is>
          <t>Setda</t>
        </is>
      </c>
      <c r="AB198" s="288" t="n"/>
      <c r="AC198" s="288" t="n"/>
      <c r="AD198" s="288" t="n"/>
      <c r="AE198" s="288" t="n"/>
      <c r="AF198" s="229" t="inlineStr">
        <is>
          <t>Setiap Saat</t>
        </is>
      </c>
      <c r="AG198" s="284" t="n"/>
      <c r="AH198" s="284" t="n"/>
      <c r="AI198" s="284" t="n"/>
      <c r="AJ198" s="284" t="n"/>
      <c r="AK198" s="284" t="n"/>
      <c r="AL198" s="284" t="n"/>
      <c r="AM198" s="284" t="n"/>
      <c r="AN198" s="284" t="n"/>
      <c r="AO198" s="284" t="n"/>
      <c r="AP198" s="284" t="n"/>
      <c r="AQ198" s="284" t="n"/>
      <c r="AR198" s="284" t="n"/>
    </row>
    <row r="199" hidden="1" s="346">
      <c r="A199" s="62" t="n">
        <v>197</v>
      </c>
      <c r="B199" s="228" t="inlineStr">
        <is>
          <t>Layanan perencanaan penganggaran kebutuhan operasional rumah sakit</t>
        </is>
      </c>
      <c r="C199" s="228" t="inlineStr">
        <is>
          <t>Menghasilkan database usulan kebutuhan setiap unit instalasi di RSUD cicalengka</t>
        </is>
      </c>
      <c r="D199" s="228" t="inlineStr">
        <is>
          <t>Surat Keputusan Direktur RSUD Cicalengka Kabupaten Bandung Nomor 445/SK/Sekr.180.30/RSUDCCLK/VII/2019</t>
        </is>
      </c>
      <c r="E199" s="288" t="n"/>
      <c r="F199" s="288" t="n"/>
      <c r="G199" s="229" t="inlineStr">
        <is>
          <t>Instansi Pemerintah Lainnya</t>
        </is>
      </c>
      <c r="H199" s="229" t="inlineStr">
        <is>
          <t>usulan kebutuhan rumah sakit dari unit ke manajemen</t>
        </is>
      </c>
      <c r="I199" s="228" t="inlineStr">
        <is>
          <t>data kebutuhan rumah sakit</t>
        </is>
      </c>
      <c r="J199" s="229" t="inlineStr">
        <is>
          <t>Terbatas</t>
        </is>
      </c>
      <c r="K199" s="229" t="inlineStr">
        <is>
          <t>Tidak terdapat</t>
        </is>
      </c>
      <c r="L199" s="229" t="inlineStr">
        <is>
          <t>Tahunan</t>
        </is>
      </c>
      <c r="M199" s="229" t="inlineStr">
        <is>
          <t>sikeren</t>
        </is>
      </c>
      <c r="N199" s="229" t="inlineStr">
        <is>
          <t>OPD</t>
        </is>
      </c>
      <c r="O199" s="229" t="inlineStr">
        <is>
          <t>Kab. Bandung</t>
        </is>
      </c>
      <c r="P199" s="229" t="inlineStr">
        <is>
          <t>Mobile</t>
        </is>
      </c>
      <c r="Q199" s="230" t="inlineStr">
        <is>
          <t>http://192.168.40.89/sikeren</t>
        </is>
      </c>
      <c r="R199" s="229" t="inlineStr">
        <is>
          <t>Secara Online</t>
        </is>
      </c>
      <c r="S199" s="229" t="inlineStr">
        <is>
          <t>Informasi</t>
        </is>
      </c>
      <c r="T199" s="288" t="n"/>
      <c r="U199" s="229" t="inlineStr">
        <is>
          <t>Aktif</t>
        </is>
      </c>
      <c r="V199" s="229" t="inlineStr">
        <is>
          <t>Tidak</t>
        </is>
      </c>
      <c r="W199" s="229" t="inlineStr">
        <is>
          <t>Tidak terintegrasi</t>
        </is>
      </c>
      <c r="X199" s="229" t="inlineStr">
        <is>
          <t>Tidak Terintegrasi</t>
        </is>
      </c>
      <c r="Y199" s="288" t="n"/>
      <c r="Z199" s="229" t="inlineStr">
        <is>
          <t>Bidang perencanaan</t>
        </is>
      </c>
      <c r="AA199" s="288" t="n"/>
      <c r="AB199" s="228" t="inlineStr">
        <is>
          <t>Muhamad Yusup</t>
        </is>
      </c>
      <c r="AC199" s="228" t="n">
        <v>87824441163</v>
      </c>
      <c r="AD199" s="228" t="inlineStr">
        <is>
          <t>dochumas.rsdc@gmail.com</t>
        </is>
      </c>
      <c r="AE199" s="288" t="n"/>
      <c r="AF199" s="229" t="inlineStr">
        <is>
          <t>Tahunan</t>
        </is>
      </c>
      <c r="AG199" s="284" t="n"/>
      <c r="AH199" s="284" t="n"/>
      <c r="AI199" s="284" t="n"/>
      <c r="AJ199" s="284" t="n"/>
      <c r="AK199" s="284" t="n"/>
      <c r="AL199" s="284" t="n"/>
      <c r="AM199" s="284" t="n"/>
      <c r="AN199" s="284" t="n"/>
      <c r="AO199" s="284" t="n"/>
      <c r="AP199" s="284" t="n"/>
      <c r="AQ199" s="284" t="n"/>
      <c r="AR199" s="284" t="n"/>
    </row>
    <row r="200" hidden="1" s="346">
      <c r="A200" s="62" t="n">
        <v>198</v>
      </c>
      <c r="B200" s="228" t="inlineStr">
        <is>
          <t>Layanan sistem informasi pelaporan terintegrasi indikator mutu dan keselamatan pasien</t>
        </is>
      </c>
      <c r="C200" s="228" t="inlineStr">
        <is>
          <t>Untuk menjamin kesehatan yang aman, efektif, dan sesuai dengan standar sebagai alat ukur untuk mengevaluasi dan meningkatkan kualitas layanan secara berkesinambungan</t>
        </is>
      </c>
      <c r="D200" s="288" t="n"/>
      <c r="E200" s="288" t="n"/>
      <c r="F200" s="288" t="n"/>
      <c r="G200" s="229" t="inlineStr">
        <is>
          <t>Masyarakat</t>
        </is>
      </c>
      <c r="H200" s="229" t="inlineStr">
        <is>
          <t>Data mutu setiap layanan instalasi RSUD, jenis layanan, indikator, standar</t>
        </is>
      </c>
      <c r="I200" s="228" t="inlineStr">
        <is>
          <t>data SPM</t>
        </is>
      </c>
      <c r="J200" s="229" t="inlineStr">
        <is>
          <t>Terbuka</t>
        </is>
      </c>
      <c r="K200" s="229" t="inlineStr">
        <is>
          <t>Tidak terdapat</t>
        </is>
      </c>
      <c r="L200" s="229" t="inlineStr">
        <is>
          <t>Bulanan</t>
        </is>
      </c>
      <c r="M200" s="229" t="inlineStr">
        <is>
          <t>siimut</t>
        </is>
      </c>
      <c r="N200" s="229" t="inlineStr">
        <is>
          <t>OPD</t>
        </is>
      </c>
      <c r="O200" s="229" t="inlineStr">
        <is>
          <t>Kab. Bandung</t>
        </is>
      </c>
      <c r="P200" s="229" t="inlineStr">
        <is>
          <t>Desktop</t>
        </is>
      </c>
      <c r="Q200" s="288" t="n"/>
      <c r="R200" s="229" t="inlineStr">
        <is>
          <t>Secara Offline</t>
        </is>
      </c>
      <c r="S200" s="229" t="inlineStr">
        <is>
          <t>Informasi</t>
        </is>
      </c>
      <c r="T200" s="288" t="n"/>
      <c r="U200" s="229" t="inlineStr">
        <is>
          <t>Aktif</t>
        </is>
      </c>
      <c r="V200" s="229" t="inlineStr">
        <is>
          <t>Tidak</t>
        </is>
      </c>
      <c r="W200" s="229" t="inlineStr">
        <is>
          <t>Tidak terintegrasi</t>
        </is>
      </c>
      <c r="X200" s="229" t="inlineStr">
        <is>
          <t>Tidak Terintegrasi</t>
        </is>
      </c>
      <c r="Y200" s="288" t="n"/>
      <c r="Z200" s="229" t="inlineStr">
        <is>
          <t>Bidang Pelayanan</t>
        </is>
      </c>
      <c r="AA200" s="288" t="n"/>
      <c r="AB200" s="288" t="n"/>
      <c r="AC200" s="288" t="n"/>
      <c r="AD200" s="288" t="n"/>
      <c r="AE200" s="288" t="n"/>
      <c r="AF200" s="229" t="inlineStr">
        <is>
          <t>Bulanan</t>
        </is>
      </c>
      <c r="AG200" s="284" t="n"/>
      <c r="AH200" s="284" t="n"/>
      <c r="AI200" s="284" t="n"/>
      <c r="AJ200" s="284" t="n"/>
      <c r="AK200" s="284" t="n"/>
      <c r="AL200" s="284" t="n"/>
      <c r="AM200" s="284" t="n"/>
      <c r="AN200" s="284" t="n"/>
      <c r="AO200" s="284" t="n"/>
      <c r="AP200" s="284" t="n"/>
      <c r="AQ200" s="284" t="n"/>
      <c r="AR200" s="284" t="n"/>
    </row>
    <row r="201" hidden="1" s="346">
      <c r="A201" s="62" t="n">
        <v>199</v>
      </c>
      <c r="B201" s="228" t="inlineStr">
        <is>
          <t>Sistem pelayanan antar obat sampai tujuan</t>
        </is>
      </c>
      <c r="C201" s="228" t="inlineStr">
        <is>
          <t>Untuk memfasilitasi pasien khusus lansia, ibu hamil maupun sakit berat untuk mendapatkan layanan pengantaran obat sampai tujuan / rumah pasien</t>
        </is>
      </c>
      <c r="D201" s="288" t="n"/>
      <c r="E201" s="288" t="n"/>
      <c r="F201" s="288" t="n"/>
      <c r="G201" s="229" t="inlineStr">
        <is>
          <t>Masyarakat</t>
        </is>
      </c>
      <c r="H201" s="229" t="inlineStr">
        <is>
          <t>Data pasien dan resep obat</t>
        </is>
      </c>
      <c r="I201" s="228" t="inlineStr">
        <is>
          <t>obat dan bnhp</t>
        </is>
      </c>
      <c r="J201" s="229" t="inlineStr">
        <is>
          <t>Terbuka</t>
        </is>
      </c>
      <c r="K201" s="229" t="inlineStr">
        <is>
          <t>Terdapat</t>
        </is>
      </c>
      <c r="L201" s="229" t="inlineStr">
        <is>
          <t>Harian</t>
        </is>
      </c>
      <c r="M201" s="229" t="inlineStr">
        <is>
          <t>sipantosan</t>
        </is>
      </c>
      <c r="N201" s="229" t="inlineStr">
        <is>
          <t>OPD</t>
        </is>
      </c>
      <c r="O201" s="229" t="inlineStr">
        <is>
          <t>Kab. Bandung</t>
        </is>
      </c>
      <c r="P201" s="229" t="inlineStr">
        <is>
          <t>Desktop</t>
        </is>
      </c>
      <c r="Q201" s="288" t="n"/>
      <c r="R201" s="229" t="inlineStr">
        <is>
          <t>Secara Offline</t>
        </is>
      </c>
      <c r="S201" s="229" t="inlineStr">
        <is>
          <t>Informasi</t>
        </is>
      </c>
      <c r="T201" s="288" t="n"/>
      <c r="U201" s="229" t="inlineStr">
        <is>
          <t>Aktif</t>
        </is>
      </c>
      <c r="V201" s="229" t="inlineStr">
        <is>
          <t>Tidak</t>
        </is>
      </c>
      <c r="W201" s="229" t="inlineStr">
        <is>
          <t>Tidak terintegrasi</t>
        </is>
      </c>
      <c r="X201" s="229" t="inlineStr">
        <is>
          <t>Tidak Terintegrasi</t>
        </is>
      </c>
      <c r="Y201" s="288" t="n"/>
      <c r="Z201" s="229" t="inlineStr">
        <is>
          <t>Instalasi Farmasi</t>
        </is>
      </c>
      <c r="AA201" s="288" t="n"/>
      <c r="AB201" s="288" t="n"/>
      <c r="AC201" s="288" t="n"/>
      <c r="AD201" s="288" t="n"/>
      <c r="AE201" s="288" t="n"/>
      <c r="AF201" s="229" t="inlineStr">
        <is>
          <t>Harian</t>
        </is>
      </c>
      <c r="AG201" s="284" t="n"/>
      <c r="AH201" s="284" t="n"/>
      <c r="AI201" s="284" t="n"/>
      <c r="AJ201" s="284" t="n"/>
      <c r="AK201" s="284" t="n"/>
      <c r="AL201" s="284" t="n"/>
      <c r="AM201" s="284" t="n"/>
      <c r="AN201" s="284" t="n"/>
      <c r="AO201" s="284" t="n"/>
      <c r="AP201" s="284" t="n"/>
      <c r="AQ201" s="284" t="n"/>
      <c r="AR201" s="284" t="n"/>
    </row>
    <row r="202" hidden="1" s="346">
      <c r="A202" s="62" t="n">
        <v>200</v>
      </c>
      <c r="B202" s="228" t="inlineStr">
        <is>
          <t>Layanan Kepegawaian</t>
        </is>
      </c>
      <c r="C202" s="288" t="n"/>
      <c r="D202" s="288" t="n"/>
      <c r="E202" s="288" t="n"/>
      <c r="F202" s="288" t="n"/>
      <c r="G202" s="288" t="n"/>
      <c r="H202" s="288" t="n"/>
      <c r="I202" s="200" t="n"/>
      <c r="J202" s="229" t="inlineStr">
        <is>
          <t>Terbatas</t>
        </is>
      </c>
      <c r="K202" s="229" t="inlineStr">
        <is>
          <t>Tidak terdapat</t>
        </is>
      </c>
      <c r="L202" s="229" t="inlineStr">
        <is>
          <t>Lainnya</t>
        </is>
      </c>
      <c r="M202" s="229" t="inlineStr">
        <is>
          <t>SIKEP</t>
        </is>
      </c>
      <c r="N202" s="229" t="inlineStr">
        <is>
          <t>OPD</t>
        </is>
      </c>
      <c r="O202" s="229" t="inlineStr">
        <is>
          <t>Kab. Bandung</t>
        </is>
      </c>
      <c r="P202" s="229" t="inlineStr">
        <is>
          <t>Desktop</t>
        </is>
      </c>
      <c r="Q202" s="288" t="n"/>
      <c r="R202" s="229" t="inlineStr">
        <is>
          <t>Secara Offline</t>
        </is>
      </c>
      <c r="S202" s="229" t="inlineStr">
        <is>
          <t>Informasi</t>
        </is>
      </c>
      <c r="T202" s="288" t="n"/>
      <c r="U202" s="229" t="inlineStr">
        <is>
          <t>Aktif</t>
        </is>
      </c>
      <c r="V202" s="229" t="inlineStr">
        <is>
          <t>Tidak</t>
        </is>
      </c>
      <c r="W202" s="229" t="inlineStr">
        <is>
          <t>Tidak terintegrasi</t>
        </is>
      </c>
      <c r="X202" s="229" t="inlineStr">
        <is>
          <t>Tidak Terintegrasi</t>
        </is>
      </c>
      <c r="Y202" s="288" t="n"/>
      <c r="Z202" s="229" t="inlineStr">
        <is>
          <t>Bidang Humas</t>
        </is>
      </c>
      <c r="AA202" s="288" t="n"/>
      <c r="AB202" s="288" t="n"/>
      <c r="AC202" s="288" t="n"/>
      <c r="AD202" s="288" t="n"/>
      <c r="AE202" s="288" t="n"/>
      <c r="AF202" s="229" t="inlineStr">
        <is>
          <t>Harian</t>
        </is>
      </c>
      <c r="AG202" s="284" t="n"/>
      <c r="AH202" s="284" t="n"/>
      <c r="AI202" s="284" t="n"/>
      <c r="AJ202" s="284" t="n"/>
      <c r="AK202" s="284" t="n"/>
      <c r="AL202" s="284" t="n"/>
      <c r="AM202" s="284" t="n"/>
      <c r="AN202" s="284" t="n"/>
      <c r="AO202" s="284" t="n"/>
      <c r="AP202" s="284" t="n"/>
      <c r="AQ202" s="284" t="n"/>
      <c r="AR202" s="284" t="n"/>
    </row>
    <row r="203" hidden="1" s="346">
      <c r="A203" s="62" t="n">
        <v>201</v>
      </c>
      <c r="B203" s="228" t="inlineStr">
        <is>
          <t>layanan administrasi kepesertaan BPJS Kesehatan secara online oleh instansi atau badan usaha.</t>
        </is>
      </c>
      <c r="C203" s="76" t="inlineStr">
        <is>
          <t>Aplikasi EDABU (Elektronik Data Badan Usaha) bertujuan untuk mempermudah pengelolaan administrasi kepesertaan Jaminan Kesehatan Nasional (JKN) bagi pegawai di instansi pemerintah maupun badan usaha melalui sistem layanan berbasis elektronik yang disediakan oleh BPJS Kesehatan.</t>
        </is>
      </c>
      <c r="D203" s="228" t="inlineStr">
        <is>
          <t>Dasar Hukum Layanan
 1. Undang-Undang Nomor 40 Tahun 2004 tentang Sistem Jaminan Sosial Nasional (SJSN)
 2. Undang-Undang Nomor 24 Tahun 2011 tentang Badan Penyelenggara Jaminan Sosial
 3. Peraturan Presiden Nomor 82 Tahun 2018 tentang Jaminan Kesehatan
 4. Peraturan Presiden Nomor 64 Tahun 2020 tentang Perubahan Kedua atas Peraturan Presiden Nomor 82 Tahun 2018 tentang Jaminan Kesehatan
 5. Peraturan BPJS Kesehatan Nomor 1 Tahun 2014 tentang Penyelenggaraan Jaminan Kesehatan
 6. Peraturan BPJS Kesehatan tentang Tata Cara Pendaftaran dan Perubahan Data Peserta Pekerja Penerima Upah (PPU)</t>
        </is>
      </c>
      <c r="E203" s="288" t="n"/>
      <c r="F203" s="229" t="inlineStr">
        <is>
          <t>PEMBINAAN PENGAWASAN KETENAGAKERJAAN DAN KESELAMATAN DAN KESEHATAN KERJA</t>
        </is>
      </c>
      <c r="G203" s="229" t="inlineStr">
        <is>
          <t>Pegawai</t>
        </is>
      </c>
      <c r="H203" s="228" t="inlineStr">
        <is>
          <t>Data yang dimasukkan dalam aplikasi EDABU merupakan data kepesertaan Jaminan Kesehatan Nasional (JKN) bagi pegawai dan anggota keluarganya yang dikelola oleh instansi atau badan usaha melalui sistem yang disediakan oleh BPJS Kesehatan.
 Meliputi:
 1. Data Identitas Peserta
 2. Data Kepegawaian
 3. Data Kepesertaan BPJS Kesehatan
 4. Data Anggota Keluarga
 5. Data Fasilitas Kesehatan
 6. Data Penggajian/Iuran
 7. Dokumen Pendukung</t>
        </is>
      </c>
      <c r="I203" s="228" t="inlineStr">
        <is>
          <t>Data Output Aplikasi EDABU
 1. Data Kepesertaan BPJS Kesehatan Pegawai
 2. Data Kepesertaan Anggota Keluarga
 3. Status Kepesertaan Peserta
 4. Rekapitulasi Data Peserta Instansi
 5. Perubahan Data Peserta
 6. Data Fasilitas Kesehatan Peserta
 7. Laporan Monitoring Kepesertaan</t>
        </is>
      </c>
      <c r="J203" s="229" t="inlineStr">
        <is>
          <t>Terbatas</t>
        </is>
      </c>
      <c r="K203" s="229" t="inlineStr">
        <is>
          <t>Terdapat</t>
        </is>
      </c>
      <c r="L203" s="229" t="inlineStr">
        <is>
          <t>Harian</t>
        </is>
      </c>
      <c r="M203" s="68" t="inlineStr">
        <is>
          <t>EDABU BPJS</t>
        </is>
      </c>
      <c r="N203" s="229" t="inlineStr">
        <is>
          <t>Pusat</t>
        </is>
      </c>
      <c r="O203" s="229" t="inlineStr">
        <is>
          <t>Pusat</t>
        </is>
      </c>
      <c r="P203" s="229" t="inlineStr">
        <is>
          <t>Website dan Mobile</t>
        </is>
      </c>
      <c r="Q203" s="230" t="inlineStr">
        <is>
          <t>https://edabu.bpjs-kesehatan.go.id/Edabu/Home/Login?AspxAutoDetectCookieSupport=1</t>
        </is>
      </c>
      <c r="R203" s="229" t="inlineStr">
        <is>
          <t>Secara Online</t>
        </is>
      </c>
      <c r="S203" s="256" t="inlineStr">
        <is>
          <t>Informasi</t>
        </is>
      </c>
      <c r="T203" s="257" t="n">
        <v>2020</v>
      </c>
      <c r="U203" s="229" t="inlineStr">
        <is>
          <t>Aktif</t>
        </is>
      </c>
      <c r="V203" s="256" t="inlineStr">
        <is>
          <t>Ya</t>
        </is>
      </c>
      <c r="W203" s="258" t="inlineStr">
        <is>
          <t>satusehat.kemkes.go.id/sdmk</t>
        </is>
      </c>
      <c r="X203" s="256" t="inlineStr">
        <is>
          <t>Web Service</t>
        </is>
      </c>
      <c r="Y203" s="256" t="inlineStr">
        <is>
          <t>Realtime</t>
        </is>
      </c>
      <c r="Z203" s="256" t="inlineStr">
        <is>
          <t>Bagian Kepegawaian</t>
        </is>
      </c>
      <c r="AA203" s="228" t="inlineStr">
        <is>
          <t>BPJS</t>
        </is>
      </c>
      <c r="AB203" s="259" t="inlineStr">
        <is>
          <t>AYI RAHADIAN, S.Tr.Kom</t>
        </is>
      </c>
      <c r="AC203" s="257" t="n">
        <v>82127317127</v>
      </c>
      <c r="AD203" s="260" t="inlineStr">
        <is>
          <t>rahadianayi@gmail.com</t>
        </is>
      </c>
      <c r="AE203" s="261" t="n"/>
      <c r="AF203" s="256" t="inlineStr">
        <is>
          <t>Setiap Saat</t>
        </is>
      </c>
      <c r="AG203" s="284" t="n"/>
      <c r="AH203" s="284" t="n"/>
      <c r="AI203" s="284" t="n"/>
      <c r="AJ203" s="284" t="n"/>
      <c r="AK203" s="284" t="n"/>
      <c r="AL203" s="284" t="n"/>
      <c r="AM203" s="284" t="n"/>
      <c r="AN203" s="284" t="n"/>
      <c r="AO203" s="284" t="n"/>
      <c r="AP203" s="284" t="n"/>
      <c r="AQ203" s="284" t="n"/>
      <c r="AR203" s="284" t="n"/>
    </row>
    <row r="204" hidden="1" s="346">
      <c r="A204" s="62" t="n">
        <v>202</v>
      </c>
      <c r="B204" s="178" t="inlineStr">
        <is>
          <t>Layanan Integrasi Ekosistem Digital Rumah Sakit (SIMRS)</t>
        </is>
      </c>
      <c r="C204"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204" s="178" t="inlineStr">
        <is>
          <t>Peraturan Menteri Kesehatan Nomor 82 Tahun 2013 Tentang Sistem Informasi Manajemen Rumah Sakit</t>
        </is>
      </c>
      <c r="E204" s="178" t="inlineStr">
        <is>
          <t>Belum Tersedia</t>
        </is>
      </c>
      <c r="F204" s="184" t="inlineStr">
        <is>
          <t>PENGELOLAAN PELAYANAN KESEHATAN</t>
        </is>
      </c>
      <c r="G204" s="184" t="inlineStr">
        <is>
          <t>Masyarakat</t>
        </is>
      </c>
      <c r="H204" s="184" t="inlineStr">
        <is>
          <t>Data pasien, mulai dari info pribadi hingga catatan medis pasien</t>
        </is>
      </c>
      <c r="I204" s="178" t="inlineStr">
        <is>
          <t>Data rekam medis pasien</t>
        </is>
      </c>
      <c r="J204" s="184" t="inlineStr">
        <is>
          <t>Rahasia</t>
        </is>
      </c>
      <c r="K204" s="184" t="inlineStr">
        <is>
          <t>Terdapat</t>
        </is>
      </c>
      <c r="L204" s="184" t="inlineStr">
        <is>
          <t>Lainnya</t>
        </is>
      </c>
      <c r="M204" s="68" t="inlineStr">
        <is>
          <t>simrs cimaung</t>
        </is>
      </c>
      <c r="N204" s="184" t="inlineStr">
        <is>
          <t>Pihak Ke 3</t>
        </is>
      </c>
      <c r="O204" s="184" t="inlineStr">
        <is>
          <t>Kab. Bandung</t>
        </is>
      </c>
      <c r="P204" s="184" t="inlineStr">
        <is>
          <t>Desktop</t>
        </is>
      </c>
      <c r="Q204" s="184" t="inlineStr">
        <is>
          <t>Internal (Rahasia)</t>
        </is>
      </c>
      <c r="R204" s="184" t="inlineStr">
        <is>
          <t>Secara Online</t>
        </is>
      </c>
      <c r="S204" s="184" t="inlineStr">
        <is>
          <t>Transaksi</t>
        </is>
      </c>
      <c r="T204" s="184" t="n">
        <v>2023</v>
      </c>
      <c r="U204" s="184" t="inlineStr">
        <is>
          <t>Aktif</t>
        </is>
      </c>
      <c r="V204" s="184" t="inlineStr">
        <is>
          <t>Ya</t>
        </is>
      </c>
      <c r="W204" s="184" t="inlineStr">
        <is>
          <t>VClaim BPJS, Satusehat, Eklaim INACBGs, Siranap</t>
        </is>
      </c>
      <c r="X204" s="184" t="inlineStr">
        <is>
          <t>Web Service</t>
        </is>
      </c>
      <c r="Y204" s="184" t="inlineStr">
        <is>
          <t>Realtime</t>
        </is>
      </c>
      <c r="Z204" s="184" t="inlineStr">
        <is>
          <t>Kepala Seksi Penunjang</t>
        </is>
      </c>
      <c r="AA204" s="184" t="inlineStr">
        <is>
          <t>Dinkes</t>
        </is>
      </c>
      <c r="AB204" s="178" t="inlineStr">
        <is>
          <t>Irfan</t>
        </is>
      </c>
      <c r="AC204" s="98" t="n">
        <v>85179729699</v>
      </c>
      <c r="AD204" s="288" t="n"/>
      <c r="AE204" s="288" t="n"/>
      <c r="AF204" s="68" t="inlineStr">
        <is>
          <t>Harian</t>
        </is>
      </c>
      <c r="AG204" s="284" t="n"/>
      <c r="AH204" s="284" t="n"/>
      <c r="AI204" s="284" t="n"/>
      <c r="AJ204" s="284" t="n"/>
      <c r="AK204" s="284" t="n"/>
      <c r="AL204" s="284" t="n"/>
      <c r="AM204" s="284" t="n"/>
      <c r="AN204" s="284" t="n"/>
      <c r="AO204" s="284" t="n"/>
      <c r="AP204" s="284" t="n"/>
      <c r="AQ204" s="284" t="n"/>
      <c r="AR204" s="284" t="n"/>
    </row>
    <row r="205" hidden="1" s="346">
      <c r="A205" s="62" t="n">
        <v>203</v>
      </c>
      <c r="B205" s="178" t="inlineStr">
        <is>
          <t>SI IMAN (Sistem Informasi Manajemen Anggaran)</t>
        </is>
      </c>
      <c r="C205" s="178" t="inlineStr">
        <is>
          <t>Meningkatkan efektivitas dan efisiensi dalam pembuatan perencanaan anggaran baik itu perencanaan bulanan ataupun tahunan</t>
        </is>
      </c>
      <c r="D205" s="178" t="inlineStr">
        <is>
          <t>Undang-Undang Nomor 5 Tahun 2014 tentang Aparatur Sipil Negara
 Peraturan Menteri Dalam Negeri Nomor 13 Tahun 2006 tentang Pedoman teknis
 pengelolaan Keuangan Daerah</t>
        </is>
      </c>
      <c r="E205" s="70" t="inlineStr">
        <is>
          <t>https://drive.google.com/file/d/1-OkimWi2XkYVZbq8aStpKFlsMtErBFog/view?usp=drivesdk</t>
        </is>
      </c>
      <c r="F205" s="184" t="inlineStr">
        <is>
          <t>KEUANGAN BADAN USAHA MILIK NEGARA</t>
        </is>
      </c>
      <c r="G205" s="184" t="inlineStr">
        <is>
          <t>Pegawai</t>
        </is>
      </c>
      <c r="H205" s="184" t="inlineStr">
        <is>
          <t>Perencanaan dan Keuangan RSUD Bedas Cimaung</t>
        </is>
      </c>
      <c r="I205" s="178" t="inlineStr">
        <is>
          <t>RBA dan Form Keuangan</t>
        </is>
      </c>
      <c r="J205" s="184" t="inlineStr">
        <is>
          <t>Rahasia</t>
        </is>
      </c>
      <c r="K205" s="184" t="inlineStr">
        <is>
          <t>Terdapat</t>
        </is>
      </c>
      <c r="L205" s="184" t="inlineStr">
        <is>
          <t>Lainnya</t>
        </is>
      </c>
      <c r="M205" s="68" t="inlineStr">
        <is>
          <t>siiman</t>
        </is>
      </c>
      <c r="N205" s="184" t="inlineStr">
        <is>
          <t>Pihak Ke 3</t>
        </is>
      </c>
      <c r="O205" s="184" t="inlineStr">
        <is>
          <t>Kab. Bandung</t>
        </is>
      </c>
      <c r="P205" s="184" t="inlineStr">
        <is>
          <t>Desktop</t>
        </is>
      </c>
      <c r="Q205" s="184" t="inlineStr">
        <is>
          <t>Internal (Rahasia)</t>
        </is>
      </c>
      <c r="R205" s="184" t="inlineStr">
        <is>
          <t>Secara Online</t>
        </is>
      </c>
      <c r="S205" s="184" t="inlineStr">
        <is>
          <t>Transaksi</t>
        </is>
      </c>
      <c r="T205" s="98" t="n">
        <v>2024</v>
      </c>
      <c r="U205" s="184" t="inlineStr">
        <is>
          <t>Aktif</t>
        </is>
      </c>
      <c r="V205" s="184" t="inlineStr">
        <is>
          <t>Tidak</t>
        </is>
      </c>
      <c r="W205" s="184" t="inlineStr">
        <is>
          <t>Tidak Terintegrasi</t>
        </is>
      </c>
      <c r="X205" s="184" t="inlineStr">
        <is>
          <t>Web Service</t>
        </is>
      </c>
      <c r="Y205" s="184" t="inlineStr">
        <is>
          <t>Realtime</t>
        </is>
      </c>
      <c r="Z205" s="184" t="inlineStr">
        <is>
          <t>Kasubag Tata Usaha</t>
        </is>
      </c>
      <c r="AA205" s="184" t="inlineStr">
        <is>
          <t>Dinkes</t>
        </is>
      </c>
      <c r="AB205" s="178" t="inlineStr">
        <is>
          <t>Juang</t>
        </is>
      </c>
      <c r="AC205" s="178" t="n">
        <v>81261858201</v>
      </c>
      <c r="AD205" s="288" t="n"/>
      <c r="AE205" s="288" t="n"/>
      <c r="AF205" s="68" t="inlineStr">
        <is>
          <t>Insidentil</t>
        </is>
      </c>
      <c r="AG205" s="284" t="n"/>
      <c r="AH205" s="284" t="n"/>
      <c r="AI205" s="284" t="n"/>
      <c r="AJ205" s="284" t="n"/>
      <c r="AK205" s="284" t="n"/>
      <c r="AL205" s="284" t="n"/>
      <c r="AM205" s="284" t="n"/>
      <c r="AN205" s="284" t="n"/>
      <c r="AO205" s="284" t="n"/>
      <c r="AP205" s="284" t="n"/>
      <c r="AQ205" s="284" t="n"/>
      <c r="AR205" s="284" t="n"/>
    </row>
    <row r="206" hidden="1" s="346">
      <c r="A206" s="62" t="n">
        <v>204</v>
      </c>
      <c r="B206" s="178" t="inlineStr">
        <is>
          <t>Layanan Integrasi Ekosistem Digital Rumah Sakit (SIMRS)</t>
        </is>
      </c>
      <c r="C206"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206" s="178" t="inlineStr">
        <is>
          <t>Peraturan Menteri Kesehatan Nomor 82 Tahun 2013 Tentang Sistem Informasi Manajemen Rumah Sakit</t>
        </is>
      </c>
      <c r="E206" s="178" t="inlineStr">
        <is>
          <t>Belum Tersedia</t>
        </is>
      </c>
      <c r="F206" s="184" t="inlineStr">
        <is>
          <t>PENGELOLAAN PELAYANAN KESEHATAN</t>
        </is>
      </c>
      <c r="G206" s="184" t="inlineStr">
        <is>
          <t>Masyarakat</t>
        </is>
      </c>
      <c r="H206" s="184" t="inlineStr">
        <is>
          <t>Data pasien, mulai dari info pribadi hingga catatan medis pasien</t>
        </is>
      </c>
      <c r="I206" s="178" t="inlineStr">
        <is>
          <t>Data rekam medis pasien</t>
        </is>
      </c>
      <c r="J206" s="184" t="inlineStr">
        <is>
          <t>Rahasia</t>
        </is>
      </c>
      <c r="K206" s="184" t="inlineStr">
        <is>
          <t>Terdapat</t>
        </is>
      </c>
      <c r="L206" s="184" t="inlineStr">
        <is>
          <t>Lainnya</t>
        </is>
      </c>
      <c r="M206" s="184" t="inlineStr">
        <is>
          <t>bdskts</t>
        </is>
      </c>
      <c r="N206" s="184" t="inlineStr">
        <is>
          <t>Pihak Ke 3</t>
        </is>
      </c>
      <c r="O206" s="184" t="inlineStr">
        <is>
          <t>Kab. Bandung</t>
        </is>
      </c>
      <c r="P206" s="184" t="inlineStr">
        <is>
          <t>Desktop</t>
        </is>
      </c>
      <c r="Q206" s="131" t="inlineStr">
        <is>
          <t>bdskts.id</t>
        </is>
      </c>
      <c r="R206" s="184" t="inlineStr">
        <is>
          <t>Secara Online</t>
        </is>
      </c>
      <c r="S206" s="184" t="inlineStr">
        <is>
          <t>Transaksi</t>
        </is>
      </c>
      <c r="T206" s="184" t="n">
        <v>2023</v>
      </c>
      <c r="U206" s="184" t="inlineStr">
        <is>
          <t>Aktif</t>
        </is>
      </c>
      <c r="V206" s="184" t="inlineStr">
        <is>
          <t>Ya</t>
        </is>
      </c>
      <c r="W206" s="184" t="inlineStr">
        <is>
          <t>VClaim BPJS, Satusehat, Eklaim INACBGs, Siranap</t>
        </is>
      </c>
      <c r="X206" s="184" t="inlineStr">
        <is>
          <t>Web Service</t>
        </is>
      </c>
      <c r="Y206" s="184" t="inlineStr">
        <is>
          <t>Realtime</t>
        </is>
      </c>
      <c r="Z206" s="184" t="inlineStr">
        <is>
          <t>Kepala Seksi Penunjang</t>
        </is>
      </c>
      <c r="AA206" s="184" t="inlineStr">
        <is>
          <t>Dinkes</t>
        </is>
      </c>
      <c r="AB206" s="178" t="inlineStr">
        <is>
          <t>Cepi firmansyah</t>
        </is>
      </c>
      <c r="AC206" s="98" t="n">
        <v>85659119423</v>
      </c>
      <c r="AD206" s="288" t="n"/>
      <c r="AE206" s="288" t="n"/>
      <c r="AF206" s="68" t="inlineStr">
        <is>
          <t>Harian</t>
        </is>
      </c>
      <c r="AG206" s="284" t="n"/>
      <c r="AH206" s="284" t="n"/>
      <c r="AI206" s="284" t="n"/>
      <c r="AJ206" s="284" t="n"/>
      <c r="AK206" s="284" t="n"/>
      <c r="AL206" s="284" t="n"/>
      <c r="AM206" s="284" t="n"/>
      <c r="AN206" s="284" t="n"/>
      <c r="AO206" s="284" t="n"/>
      <c r="AP206" s="284" t="n"/>
      <c r="AQ206" s="284" t="n"/>
      <c r="AR206" s="284" t="n"/>
    </row>
    <row r="207" hidden="1" s="346">
      <c r="A207" s="62" t="n">
        <v>205</v>
      </c>
      <c r="B207" s="178" t="inlineStr">
        <is>
          <t>Sistem Informasi Rawat Inap</t>
        </is>
      </c>
      <c r="C207" s="178" t="inlineStr">
        <is>
          <t>Layanan informasi ketersediaan tempat tidur rawat inap kepada masyarakat</t>
        </is>
      </c>
      <c r="D207" s="265" t="inlineStr">
        <is>
          <t>Permenkes No. 82 Tahun 2013 tentang Sistem Informasi Manajemen Rumah Sakit</t>
        </is>
      </c>
      <c r="E207" s="184" t="inlineStr">
        <is>
          <t>Belum tersedia</t>
        </is>
      </c>
      <c r="F207" s="184" t="inlineStr">
        <is>
          <t>PENINGKATAN KUALITAS PELAYANAN PUBLIK</t>
        </is>
      </c>
      <c r="G207" s="184" t="inlineStr">
        <is>
          <t>Masyarakat</t>
        </is>
      </c>
      <c r="H207" s="184" t="inlineStr">
        <is>
          <t>Data ketersediaan tempat tidur rawat inap</t>
        </is>
      </c>
      <c r="I207" s="184" t="inlineStr">
        <is>
          <t>Data ketersediaan tempat tidur rawat inap di RSUD Bedas Arjasari</t>
        </is>
      </c>
      <c r="J207" s="184" t="inlineStr">
        <is>
          <t>Terbuka</t>
        </is>
      </c>
      <c r="K207" s="184" t="inlineStr">
        <is>
          <t>Tidak terdapat</t>
        </is>
      </c>
      <c r="L207" s="184" t="inlineStr">
        <is>
          <t>Harian</t>
        </is>
      </c>
      <c r="M207" s="184" t="inlineStr">
        <is>
          <t>siranap</t>
        </is>
      </c>
      <c r="N207" s="184" t="inlineStr">
        <is>
          <t>Pusat</t>
        </is>
      </c>
      <c r="O207" s="184" t="inlineStr">
        <is>
          <t>Pusat</t>
        </is>
      </c>
      <c r="P207" s="184" t="inlineStr">
        <is>
          <t>Website</t>
        </is>
      </c>
      <c r="Q207" s="266" t="inlineStr">
        <is>
          <t>SIRANAP</t>
        </is>
      </c>
      <c r="R207" s="184" t="inlineStr">
        <is>
          <t>Secara Online</t>
        </is>
      </c>
      <c r="S207" s="184" t="inlineStr">
        <is>
          <t>Informasi</t>
        </is>
      </c>
      <c r="T207" s="184" t="n">
        <v>2024</v>
      </c>
      <c r="U207" s="184" t="inlineStr">
        <is>
          <t>Aktif</t>
        </is>
      </c>
      <c r="V207" s="184" t="inlineStr">
        <is>
          <t>Tidak</t>
        </is>
      </c>
      <c r="W207" s="184" t="inlineStr">
        <is>
          <t>Tidak terintegrasi</t>
        </is>
      </c>
      <c r="X207" s="184" t="inlineStr">
        <is>
          <t>Tidak Terintegrasi</t>
        </is>
      </c>
      <c r="Y207" s="184" t="inlineStr">
        <is>
          <t>Harian</t>
        </is>
      </c>
      <c r="Z207" s="184" t="inlineStr">
        <is>
          <t>Instalasi Rekam Medis</t>
        </is>
      </c>
      <c r="AA207" s="184" t="inlineStr">
        <is>
          <t>Dinkes</t>
        </is>
      </c>
      <c r="AB207" s="184" t="inlineStr">
        <is>
          <t>Susi Lelawanti</t>
        </is>
      </c>
      <c r="AC207" s="184" t="n">
        <v>87775207258</v>
      </c>
      <c r="AD207" s="184" t="inlineStr">
        <is>
          <t>rsudbedasarjasari@gmail.com</t>
        </is>
      </c>
      <c r="AE207" s="68" t="n">
        <v>8</v>
      </c>
      <c r="AF207" s="68" t="inlineStr">
        <is>
          <t>Harian</t>
        </is>
      </c>
      <c r="AG207" s="284" t="n"/>
      <c r="AH207" s="284" t="n"/>
      <c r="AI207" s="284" t="n"/>
      <c r="AJ207" s="284" t="n"/>
      <c r="AK207" s="284" t="n"/>
      <c r="AL207" s="284" t="n"/>
      <c r="AM207" s="284" t="n"/>
      <c r="AN207" s="284" t="n"/>
      <c r="AO207" s="284" t="n"/>
      <c r="AP207" s="284" t="n"/>
      <c r="AQ207" s="284" t="n"/>
      <c r="AR207" s="284" t="n"/>
    </row>
    <row r="208" hidden="1" s="346">
      <c r="A208" s="62" t="n">
        <v>206</v>
      </c>
      <c r="B208" s="178" t="inlineStr">
        <is>
          <t>MPDN</t>
        </is>
      </c>
      <c r="C208" s="178" t="inlineStr">
        <is>
          <t>laporan kelahiran, kematian ibu dan bayi</t>
        </is>
      </c>
      <c r="D208" s="178" t="inlineStr">
        <is>
          <t>UU No 36 Tahun 2009 tentang Kesehatan dan Peraturan Bersama Menkes dan Mendagri No 15 Tahun 2010/No 162/Menkes/PB/2010 tentang Pelaporan kematian dan penyebab Kematian ibu dan bayi</t>
        </is>
      </c>
      <c r="E208" s="184" t="inlineStr">
        <is>
          <t>Belum tersedia</t>
        </is>
      </c>
      <c r="F208" s="184" t="inlineStr">
        <is>
          <t>PENINGKATAN KUALITAS PELAYANAN PUBLIK</t>
        </is>
      </c>
      <c r="G208" s="184" t="inlineStr">
        <is>
          <t>Masyarakat</t>
        </is>
      </c>
      <c r="H208" s="184" t="inlineStr">
        <is>
          <t>angka kelahiran, angka kematian ibu dan bayi</t>
        </is>
      </c>
      <c r="I208" s="184" t="inlineStr">
        <is>
          <t>angka kelahiran, angka kematian ibu dan bayi</t>
        </is>
      </c>
      <c r="J208" s="184" t="inlineStr">
        <is>
          <t>Terbuka</t>
        </is>
      </c>
      <c r="K208" s="184" t="inlineStr">
        <is>
          <t>Tidak terdapat</t>
        </is>
      </c>
      <c r="L208" s="184" t="inlineStr">
        <is>
          <t>Bulanan</t>
        </is>
      </c>
      <c r="M208" s="184" t="inlineStr">
        <is>
          <t>mpdn</t>
        </is>
      </c>
      <c r="N208" s="184" t="inlineStr">
        <is>
          <t>Pusat</t>
        </is>
      </c>
      <c r="O208" s="184" t="inlineStr">
        <is>
          <t>Pusat</t>
        </is>
      </c>
      <c r="P208" s="184" t="inlineStr">
        <is>
          <t>Website</t>
        </is>
      </c>
      <c r="Q208" s="184" t="inlineStr">
        <is>
          <t>MPDN</t>
        </is>
      </c>
      <c r="R208" s="184" t="inlineStr">
        <is>
          <t>Secara Online</t>
        </is>
      </c>
      <c r="S208" s="184" t="inlineStr">
        <is>
          <t>Informasi</t>
        </is>
      </c>
      <c r="T208" s="184" t="n">
        <v>2024</v>
      </c>
      <c r="U208" s="184" t="inlineStr">
        <is>
          <t>Aktif</t>
        </is>
      </c>
      <c r="V208" s="184" t="inlineStr">
        <is>
          <t>Ya</t>
        </is>
      </c>
      <c r="W208" s="184" t="inlineStr">
        <is>
          <t>Ya</t>
        </is>
      </c>
      <c r="X208" s="184" t="inlineStr">
        <is>
          <t>API</t>
        </is>
      </c>
      <c r="Y208" s="184" t="inlineStr">
        <is>
          <t>Tidak Terintegrasi</t>
        </is>
      </c>
      <c r="Z208" s="184" t="inlineStr">
        <is>
          <t>PONEK,VK,PERINATOLOGI</t>
        </is>
      </c>
      <c r="AA208" s="184" t="inlineStr">
        <is>
          <t>Dinkes</t>
        </is>
      </c>
      <c r="AB208" s="184" t="inlineStr">
        <is>
          <t>Bd. Lastiar dan Yusi</t>
        </is>
      </c>
      <c r="AC208" s="184" t="inlineStr">
        <is>
          <t>081322030083 085315705418</t>
        </is>
      </c>
      <c r="AD208" s="184" t="inlineStr">
        <is>
          <t>rsudbedasarjasari@gmail.com</t>
        </is>
      </c>
      <c r="AE208" s="68" t="n">
        <v>8</v>
      </c>
      <c r="AF208" s="68" t="inlineStr">
        <is>
          <t>Bulanan</t>
        </is>
      </c>
      <c r="AG208" s="284" t="n"/>
      <c r="AH208" s="284" t="n"/>
      <c r="AI208" s="284" t="n"/>
      <c r="AJ208" s="284" t="n"/>
      <c r="AK208" s="284" t="n"/>
      <c r="AL208" s="284" t="n"/>
      <c r="AM208" s="284" t="n"/>
      <c r="AN208" s="284" t="n"/>
      <c r="AO208" s="284" t="n"/>
      <c r="AP208" s="284" t="n"/>
      <c r="AQ208" s="284" t="n"/>
      <c r="AR208" s="284" t="n"/>
    </row>
    <row r="209" hidden="1" s="346">
      <c r="A209" s="62" t="n">
        <v>207</v>
      </c>
      <c r="B209" s="178" t="inlineStr">
        <is>
          <t>RS Online, Registrasi Fasyankes, Sistem Informasi Rumah Sakit, dan KRIS</t>
        </is>
      </c>
      <c r="C209" s="178" t="inlineStr">
        <is>
          <t>Melaporkan data rekapitulasi kegiatan pelayanan dan data kompilasi penyakit/morbiditas. Pasien IGD, rawat inap, dan rawat jalan secara periodik, baik bulanan maupun tahunan;</t>
        </is>
      </c>
      <c r="D209" s="178" t="inlineStr">
        <is>
          <t>Peraturan Menteri Kesehatan Nomor 1171 Tahun 2011 tentang Sistem Informasi Rumah Sakit (SIRS)</t>
        </is>
      </c>
      <c r="E209" s="131" t="inlineStr">
        <is>
          <t>https://drive.google.com/drive/u/1/folders/12dUcuD3FJiM5lhmxZqNrZc05M-qKTqaU</t>
        </is>
      </c>
      <c r="F209" s="184" t="inlineStr">
        <is>
          <t>PENGELOLAAN PELAYANAN KESEHATAN</t>
        </is>
      </c>
      <c r="G209" s="184" t="inlineStr">
        <is>
          <t>Instansi Pemerintah Lainnya</t>
        </is>
      </c>
      <c r="H209" s="184" t="inlineStr">
        <is>
          <t>RL.3-RL.5;
 Kompetensi RS; Update Bed, dll</t>
        </is>
      </c>
      <c r="I209" s="184" t="inlineStr">
        <is>
          <t>Output data pelaporan data Rumah Sakit ke Kemenkes</t>
        </is>
      </c>
      <c r="J209" s="184" t="inlineStr">
        <is>
          <t>Terbatas</t>
        </is>
      </c>
      <c r="K209" s="184" t="inlineStr">
        <is>
          <t>Terdapat</t>
        </is>
      </c>
      <c r="L209" s="184" t="inlineStr">
        <is>
          <t>Bulanan</t>
        </is>
      </c>
      <c r="M209" s="184" t="inlineStr">
        <is>
          <t>yankes</t>
        </is>
      </c>
      <c r="N209" s="184" t="inlineStr">
        <is>
          <t>Pusat</t>
        </is>
      </c>
      <c r="O209" s="184" t="inlineStr">
        <is>
          <t>Pusat</t>
        </is>
      </c>
      <c r="P209" s="184" t="inlineStr">
        <is>
          <t>Website</t>
        </is>
      </c>
      <c r="Q209" s="267" t="inlineStr">
        <is>
          <t>Yankes Single SIGN-ON</t>
        </is>
      </c>
      <c r="R209" s="184" t="inlineStr">
        <is>
          <t>Secara Online</t>
        </is>
      </c>
      <c r="S209" s="184" t="inlineStr">
        <is>
          <t>Informasi</t>
        </is>
      </c>
      <c r="T209" s="184" t="n">
        <v>2024</v>
      </c>
      <c r="U209" s="184" t="inlineStr">
        <is>
          <t>Aktif</t>
        </is>
      </c>
      <c r="V209" s="184" t="inlineStr">
        <is>
          <t>Ya</t>
        </is>
      </c>
      <c r="W209" s="184" t="inlineStr">
        <is>
          <t>ASPAK, SISDMK, SIRANAP, SISRUTE, dll</t>
        </is>
      </c>
      <c r="X209" s="184" t="inlineStr">
        <is>
          <t>API</t>
        </is>
      </c>
      <c r="Y209" s="184" t="inlineStr">
        <is>
          <t>Bulanan</t>
        </is>
      </c>
      <c r="Z209" s="184" t="inlineStr">
        <is>
          <t>Instalasi Rekam Medis</t>
        </is>
      </c>
      <c r="AA209" s="184" t="inlineStr">
        <is>
          <t>Dinkes</t>
        </is>
      </c>
      <c r="AB209" s="184" t="inlineStr">
        <is>
          <t>Gesi Rahman
 Ghina Najla</t>
        </is>
      </c>
      <c r="AC209" s="184" t="inlineStr">
        <is>
          <t>08112199575
 085624585808</t>
        </is>
      </c>
      <c r="AD209" s="184" t="inlineStr">
        <is>
          <t>rsudbedasarjasari@gmail.com</t>
        </is>
      </c>
      <c r="AE209" s="68" t="n">
        <v>8</v>
      </c>
      <c r="AF209" s="68" t="inlineStr">
        <is>
          <t>Harian</t>
        </is>
      </c>
      <c r="AG209" s="284" t="n"/>
      <c r="AH209" s="284" t="n"/>
      <c r="AI209" s="284" t="n"/>
      <c r="AJ209" s="284" t="n"/>
      <c r="AK209" s="284" t="n"/>
      <c r="AL209" s="284" t="n"/>
      <c r="AM209" s="284" t="n"/>
      <c r="AN209" s="284" t="n"/>
      <c r="AO209" s="284" t="n"/>
      <c r="AP209" s="284" t="n"/>
      <c r="AQ209" s="284" t="n"/>
      <c r="AR209" s="284" t="n"/>
    </row>
    <row r="210" hidden="1" s="346">
      <c r="A210" s="62" t="n">
        <v>208</v>
      </c>
      <c r="B210" s="178" t="inlineStr">
        <is>
          <t>UJI PROFISIENSI</t>
        </is>
      </c>
      <c r="C210" s="178" t="inlineStr">
        <is>
          <t>Pendaftaran, penginputan hasil dan sertifikat uji PME</t>
        </is>
      </c>
      <c r="D210" s="178" t="inlineStr">
        <is>
          <t>KEPUTUSAN DIREKTUR JENDERAL PELAYANAN KESEHATAN NOMOR HK.02.02/D/47104/2024 tentang V</t>
        </is>
      </c>
      <c r="E210" s="288" t="n"/>
      <c r="F210" s="184" t="inlineStr">
        <is>
          <t>PENGELOLAAN PELAYANAN KESEHATAN</t>
        </is>
      </c>
      <c r="G210" s="184" t="inlineStr">
        <is>
          <t>Instansi Pemerintah Lainnya</t>
        </is>
      </c>
      <c r="H210" s="184" t="inlineStr">
        <is>
          <t>Hasil Pemeriksaan Laboratorium</t>
        </is>
      </c>
      <c r="I210" s="184" t="inlineStr">
        <is>
          <t>Sertifikat UJI PME</t>
        </is>
      </c>
      <c r="J210" s="184" t="inlineStr">
        <is>
          <t>Terbatas</t>
        </is>
      </c>
      <c r="K210" s="184" t="inlineStr">
        <is>
          <t>Terdapat</t>
        </is>
      </c>
      <c r="L210" s="184" t="inlineStr">
        <is>
          <t>Tahunan</t>
        </is>
      </c>
      <c r="M210" s="68" t="inlineStr">
        <is>
          <t>ujiprof</t>
        </is>
      </c>
      <c r="N210" s="184" t="inlineStr">
        <is>
          <t>Provinsi</t>
        </is>
      </c>
      <c r="O210" s="184" t="inlineStr">
        <is>
          <t>Provinsi</t>
        </is>
      </c>
      <c r="P210" s="184" t="inlineStr">
        <is>
          <t>Website</t>
        </is>
      </c>
      <c r="Q210" s="131" t="inlineStr">
        <is>
          <t>https://ujiprof.labkesjabar.com/</t>
        </is>
      </c>
      <c r="R210" s="184" t="inlineStr">
        <is>
          <t>Secara Online</t>
        </is>
      </c>
      <c r="S210" s="184" t="inlineStr">
        <is>
          <t>Transaksi</t>
        </is>
      </c>
      <c r="T210" s="288" t="n"/>
      <c r="U210" s="184" t="inlineStr">
        <is>
          <t>Aktif</t>
        </is>
      </c>
      <c r="V210" s="184" t="inlineStr">
        <is>
          <t>Tidak</t>
        </is>
      </c>
      <c r="W210" s="288" t="n"/>
      <c r="X210" s="184" t="inlineStr">
        <is>
          <t>Tidak Terintegrasi</t>
        </is>
      </c>
      <c r="Y210" s="184" t="inlineStr">
        <is>
          <t>Tahunan</t>
        </is>
      </c>
      <c r="Z210" s="184" t="inlineStr">
        <is>
          <t>Laboratorium</t>
        </is>
      </c>
      <c r="AA210" s="288" t="n"/>
      <c r="AB210" s="184" t="inlineStr">
        <is>
          <t>Siti Juwita</t>
        </is>
      </c>
      <c r="AC210" s="184" t="n">
        <v>81222672616</v>
      </c>
      <c r="AD210" s="184" t="inlineStr">
        <is>
          <t>laboratoriumbedasarjasari@gmail.com</t>
        </is>
      </c>
      <c r="AE210" s="68" t="n">
        <v>8</v>
      </c>
      <c r="AF210" s="68" t="inlineStr">
        <is>
          <t>Insidentil</t>
        </is>
      </c>
      <c r="AG210" s="284" t="n"/>
      <c r="AH210" s="284" t="n"/>
      <c r="AI210" s="284" t="n"/>
      <c r="AJ210" s="284" t="n"/>
      <c r="AK210" s="284" t="n"/>
      <c r="AL210" s="284" t="n"/>
      <c r="AM210" s="284" t="n"/>
      <c r="AN210" s="284" t="n"/>
      <c r="AO210" s="284" t="n"/>
      <c r="AP210" s="284" t="n"/>
      <c r="AQ210" s="284" t="n"/>
      <c r="AR210" s="284" t="n"/>
    </row>
    <row r="211" hidden="1" s="346">
      <c r="A211" s="62" t="n">
        <v>209</v>
      </c>
      <c r="B211" s="178" t="inlineStr">
        <is>
          <t>Dashboard Pemantauan aliran Data Satu sehat</t>
        </is>
      </c>
      <c r="C211" s="178" t="inlineStr">
        <is>
          <t>Pemantauan aliran data satu sehat</t>
        </is>
      </c>
      <c r="D211" s="269" t="inlineStr">
        <is>
          <t>UU No. 17 Tahun 2023 tentang Kesehatan (pengelolaan data nasional) dan UU No. 27 Tahun 2022 tentang Pelindungan Data Pribadi (dasar pemrosesan data)</t>
        </is>
      </c>
      <c r="E211" s="131" t="inlineStr">
        <is>
          <t>https://drive.google.com/drive/u/1/folders/1BMJeHVe0f6zjx97q_TOFnGkZBTxNZTBd</t>
        </is>
      </c>
      <c r="F211" s="184" t="inlineStr">
        <is>
          <t>PENINGKATAN KUALITAS PELAYANAN PUBLIK</t>
        </is>
      </c>
      <c r="G211" s="184" t="inlineStr">
        <is>
          <t>Instansi Pemerintah Lainnya</t>
        </is>
      </c>
      <c r="H211" s="184" t="inlineStr">
        <is>
          <t>Encounter - Aliran Data Satu Sehat</t>
        </is>
      </c>
      <c r="I211" s="184" t="inlineStr">
        <is>
          <t>Persentase - Aliran Data Satu Sehat</t>
        </is>
      </c>
      <c r="J211" s="184" t="inlineStr">
        <is>
          <t>Terbuka</t>
        </is>
      </c>
      <c r="K211" s="184" t="inlineStr">
        <is>
          <t>Tidak terdapat</t>
        </is>
      </c>
      <c r="L211" s="184" t="inlineStr">
        <is>
          <t>Mingguan</t>
        </is>
      </c>
      <c r="M211" s="184" t="inlineStr">
        <is>
          <t>SIMRS arjasari</t>
        </is>
      </c>
      <c r="N211" s="184" t="inlineStr">
        <is>
          <t>Pusat</t>
        </is>
      </c>
      <c r="O211" s="184" t="inlineStr">
        <is>
          <t>Pusat</t>
        </is>
      </c>
      <c r="P211" s="184" t="inlineStr">
        <is>
          <t>Website</t>
        </is>
      </c>
      <c r="Q211" s="270" t="inlineStr">
        <is>
          <t>Workbook: Dashboard Pemantauan Aliran Data SATUSEHAT</t>
        </is>
      </c>
      <c r="R211" s="184" t="inlineStr">
        <is>
          <t>Secara Online</t>
        </is>
      </c>
      <c r="S211" s="184" t="inlineStr">
        <is>
          <t>Informasi</t>
        </is>
      </c>
      <c r="T211" s="184" t="n">
        <v>2024</v>
      </c>
      <c r="U211" s="184" t="inlineStr">
        <is>
          <t>Aktif</t>
        </is>
      </c>
      <c r="V211" s="184" t="inlineStr">
        <is>
          <t>Ya</t>
        </is>
      </c>
      <c r="W211" s="184" t="inlineStr">
        <is>
          <t>SIMRS</t>
        </is>
      </c>
      <c r="X211" s="184" t="inlineStr">
        <is>
          <t>API</t>
        </is>
      </c>
      <c r="Y211" s="184" t="inlineStr">
        <is>
          <t>Realtime</t>
        </is>
      </c>
      <c r="Z211" s="184" t="inlineStr">
        <is>
          <t>Instalasi Rekam Medis dan Instalasi SIMRS</t>
        </is>
      </c>
      <c r="AA211" s="184" t="inlineStr">
        <is>
          <t>Diskominfo</t>
        </is>
      </c>
      <c r="AB211" s="184" t="inlineStr">
        <is>
          <t>Gesi Rahman
 Anjar Surachman</t>
        </is>
      </c>
      <c r="AC211" s="184" t="inlineStr">
        <is>
          <t>08112199575
 087743579775</t>
        </is>
      </c>
      <c r="AD211" s="184" t="inlineStr">
        <is>
          <t>-</t>
        </is>
      </c>
      <c r="AE211" s="68" t="inlineStr">
        <is>
          <t>-</t>
        </is>
      </c>
      <c r="AF211" s="68" t="inlineStr">
        <is>
          <t>Setiap Saat</t>
        </is>
      </c>
      <c r="AG211" s="284" t="n"/>
      <c r="AH211" s="284" t="n"/>
      <c r="AI211" s="284" t="n"/>
      <c r="AJ211" s="284" t="n"/>
      <c r="AK211" s="284" t="n"/>
      <c r="AL211" s="284" t="n"/>
      <c r="AM211" s="284" t="n"/>
      <c r="AN211" s="284" t="n"/>
      <c r="AO211" s="284" t="n"/>
      <c r="AP211" s="284" t="n"/>
      <c r="AQ211" s="284" t="n"/>
      <c r="AR211" s="284" t="n"/>
    </row>
    <row r="212" hidden="1" s="346">
      <c r="A212" s="62" t="n">
        <v>210</v>
      </c>
      <c r="B212" s="178" t="inlineStr">
        <is>
          <t>DMI</t>
        </is>
      </c>
      <c r="C212" s="178" t="inlineStr">
        <is>
          <t>Digital Maturity Index (DMI) Kemenkes adalah instrumen pengukuran mandiri untuk mengevaluasi tingkat kematangan digital dan kesiapan Rekam Medis Elektronik (RME) di fasilitas kesehatan (rumah sakit, puskesmas, klinik). DMI menilai 7 komponen (infrastruktur, tata kelola, keamanan, dll) dengan skala 0-5 untuk merencanakan transformasi digital yang efektif dan terintegrasi.</t>
        </is>
      </c>
      <c r="D212" s="178" t="inlineStr">
        <is>
          <t>Peraturan Menteri Kesehatan Nomor 24 Tahun 2022 tentang Rekam Medis</t>
        </is>
      </c>
      <c r="E212" s="288" t="n"/>
      <c r="F212" s="184" t="inlineStr">
        <is>
          <t>PENGELOLAAN PELAYANAN KESEHATAN</t>
        </is>
      </c>
      <c r="G212" s="184" t="inlineStr">
        <is>
          <t>Instansi Pemerintah Lainnya</t>
        </is>
      </c>
      <c r="H212" s="222" t="inlineStr">
        <is>
          <t>Sistem Informasi, tata kelola, Infrastruktur TIK, standar interoperabilitas, SDM, Data Analitik, dan kemanan Informasi</t>
        </is>
      </c>
      <c r="I212" s="274" t="inlineStr">
        <is>
          <t>Penilaian menggunakan skala 0 hingga 5 (untuk DMI) dan 0 hingga 7 (khusus RME).</t>
        </is>
      </c>
      <c r="J212" s="184" t="inlineStr">
        <is>
          <t>Tertutup</t>
        </is>
      </c>
      <c r="K212" s="184" t="inlineStr">
        <is>
          <t>Tidak terdapat</t>
        </is>
      </c>
      <c r="L212" s="184" t="inlineStr">
        <is>
          <t>Tahunan</t>
        </is>
      </c>
      <c r="M212" s="184" t="inlineStr">
        <is>
          <t>DMI</t>
        </is>
      </c>
      <c r="N212" s="184" t="inlineStr">
        <is>
          <t>Pusat</t>
        </is>
      </c>
      <c r="O212" s="184" t="inlineStr">
        <is>
          <t>Pusat</t>
        </is>
      </c>
      <c r="P212" s="184" t="inlineStr">
        <is>
          <t>Website</t>
        </is>
      </c>
      <c r="Q212" s="270" t="inlineStr">
        <is>
          <t>https://dmi.kemkes.go.id/dhis-web-commons/security/login.action</t>
        </is>
      </c>
      <c r="R212" s="184" t="inlineStr">
        <is>
          <t>Secara Online</t>
        </is>
      </c>
      <c r="S212" s="184" t="inlineStr">
        <is>
          <t>Informasi</t>
        </is>
      </c>
      <c r="T212" s="288" t="n"/>
      <c r="U212" s="184" t="inlineStr">
        <is>
          <t>Aktif</t>
        </is>
      </c>
      <c r="V212" s="184" t="inlineStr">
        <is>
          <t>Tidak</t>
        </is>
      </c>
      <c r="W212" s="184" t="inlineStr">
        <is>
          <t>Tidak terintegrasi</t>
        </is>
      </c>
      <c r="X212" s="184" t="inlineStr">
        <is>
          <t>Tidak Terintegrasi</t>
        </is>
      </c>
      <c r="Y212" s="184" t="inlineStr">
        <is>
          <t>Tidak Terintegrasi</t>
        </is>
      </c>
      <c r="Z212" s="288" t="n"/>
      <c r="AA212" s="288" t="n"/>
      <c r="AB212" s="184" t="inlineStr">
        <is>
          <t>Anjar Surachman</t>
        </is>
      </c>
      <c r="AC212" s="184" t="n">
        <v>87743579775</v>
      </c>
      <c r="AD212" s="288" t="n"/>
      <c r="AE212" s="288" t="n"/>
      <c r="AF212" s="68" t="inlineStr">
        <is>
          <t>Tahunan</t>
        </is>
      </c>
      <c r="AG212" s="284" t="n"/>
      <c r="AH212" s="284" t="n"/>
      <c r="AI212" s="284" t="n"/>
      <c r="AJ212" s="284" t="n"/>
      <c r="AK212" s="284" t="n"/>
      <c r="AL212" s="284" t="n"/>
      <c r="AM212" s="284" t="n"/>
      <c r="AN212" s="284" t="n"/>
      <c r="AO212" s="284" t="n"/>
      <c r="AP212" s="284" t="n"/>
      <c r="AQ212" s="284" t="n"/>
      <c r="AR212" s="284" t="n"/>
    </row>
    <row r="213" hidden="1" s="346">
      <c r="A213" s="62" t="n">
        <v>211</v>
      </c>
      <c r="B213" s="178" t="inlineStr">
        <is>
          <t>Balis Perijinan / BAPETEN</t>
        </is>
      </c>
      <c r="C213" s="178" t="inlineStr">
        <is>
          <t>Aplikasi untuk mengurus erijinan Alat-alat Radiologi dengan sumber radiasi pengion ke BAPETEN</t>
        </is>
      </c>
      <c r="D213" s="178" t="inlineStr">
        <is>
          <t>Peraturan Badan Pengawas Tenaga Nuklir Nomor 4 Tahun 2024 tentang Izin Bekerja Petugas pada Fasilitas Radiasi dan/atau Kegiatan Pemanfaatan Sumber Radiasi Pengion</t>
        </is>
      </c>
      <c r="E213" s="288" t="n"/>
      <c r="F213" s="184" t="inlineStr">
        <is>
          <t>INFORMASI DAN DIPLOMASI PUBLIK</t>
        </is>
      </c>
      <c r="G213" s="184" t="inlineStr">
        <is>
          <t>Pelaku Bisnis</t>
        </is>
      </c>
      <c r="H213" s="184" t="inlineStr">
        <is>
          <t>Data-data persyaratan perijinan alat dengan sumber radiasi pengion</t>
        </is>
      </c>
      <c r="I213" s="184" t="inlineStr">
        <is>
          <t>Sertifikat ijin alat oleh BAPETEN</t>
        </is>
      </c>
      <c r="J213" s="184" t="inlineStr">
        <is>
          <t>Terbatas</t>
        </is>
      </c>
      <c r="K213" s="184" t="inlineStr">
        <is>
          <t>Terdapat</t>
        </is>
      </c>
      <c r="L213" s="184" t="inlineStr">
        <is>
          <t>Lainnya</t>
        </is>
      </c>
      <c r="M213" s="68" t="inlineStr">
        <is>
          <t>BALIS BAPETEN</t>
        </is>
      </c>
      <c r="N213" s="184" t="inlineStr">
        <is>
          <t>Pusat</t>
        </is>
      </c>
      <c r="O213" s="184" t="inlineStr">
        <is>
          <t>Pusat</t>
        </is>
      </c>
      <c r="P213" s="184" t="inlineStr">
        <is>
          <t>Website</t>
        </is>
      </c>
      <c r="Q213" s="276" t="inlineStr">
        <is>
          <t>https://balis.bapeten.go.id/frontend2/public/panel/dashboard</t>
        </is>
      </c>
      <c r="R213" s="184" t="inlineStr">
        <is>
          <t>Secara Online</t>
        </is>
      </c>
      <c r="S213" s="184" t="inlineStr">
        <is>
          <t>Transaksi</t>
        </is>
      </c>
      <c r="T213" s="184" t="n">
        <v>2025</v>
      </c>
      <c r="U213" s="184" t="inlineStr">
        <is>
          <t>Aktif</t>
        </is>
      </c>
      <c r="V213" s="184" t="inlineStr">
        <is>
          <t>Ya</t>
        </is>
      </c>
      <c r="W213" s="184" t="inlineStr">
        <is>
          <t>OSS</t>
        </is>
      </c>
      <c r="X213" s="184" t="inlineStr">
        <is>
          <t>API</t>
        </is>
      </c>
      <c r="Y213" s="184" t="inlineStr">
        <is>
          <t>Realtime</t>
        </is>
      </c>
      <c r="Z213" s="184" t="inlineStr">
        <is>
          <t>OSS</t>
        </is>
      </c>
      <c r="AA213" s="184" t="inlineStr">
        <is>
          <t>DPMPTSP</t>
        </is>
      </c>
      <c r="AB213" s="184" t="inlineStr">
        <is>
          <t>Ari Nurhayati, AMR</t>
        </is>
      </c>
      <c r="AC213" s="184" t="n">
        <v>81220186484</v>
      </c>
      <c r="AD213" s="184" t="inlineStr">
        <is>
          <t>radiologirsba01@gmail.com</t>
        </is>
      </c>
      <c r="AE213" s="288" t="n"/>
      <c r="AF213" s="68" t="inlineStr">
        <is>
          <t>Insidentil</t>
        </is>
      </c>
      <c r="AG213" s="284" t="n"/>
      <c r="AH213" s="284" t="n"/>
      <c r="AI213" s="284" t="n"/>
      <c r="AJ213" s="284" t="n"/>
      <c r="AK213" s="284" t="n"/>
      <c r="AL213" s="284" t="n"/>
      <c r="AM213" s="284" t="n"/>
      <c r="AN213" s="284" t="n"/>
      <c r="AO213" s="284" t="n"/>
      <c r="AP213" s="284" t="n"/>
      <c r="AQ213" s="284" t="n"/>
      <c r="AR213" s="284" t="n"/>
    </row>
    <row r="214" hidden="1" s="346">
      <c r="A214" s="62" t="n">
        <v>212</v>
      </c>
      <c r="B214" s="178" t="inlineStr">
        <is>
          <t>E MESO</t>
        </is>
      </c>
      <c r="C214" s="277" t="inlineStr">
        <is>
          <t>Layanan e-MESO bertujuan untuk melaporkan dan memantau efek samping obat secara nasional sehingga dapat meningkatkan keamanan penggunaan obat dan keselamatan pasien melalui sistem pelaporan elektronik.</t>
        </is>
      </c>
      <c r="D214" s="292" t="inlineStr">
        <is>
          <t>Undang undang no 17 Tahun 2023 tentang Kesehatan,Peraturan BPOM No. 15 Tahun 2022 tentang Penerapan Farmakovigilans,Keputusan Kepala BPOM Tahun 2024 tentang Pusat Farmakovigilans/MESO Nasional</t>
        </is>
      </c>
      <c r="E214" s="288" t="n"/>
      <c r="F214" s="184" t="inlineStr">
        <is>
          <t>PENGELOLAAN PELAYANAN KESEHATAN</t>
        </is>
      </c>
      <c r="G214" s="184" t="inlineStr">
        <is>
          <t>Masyarakat</t>
        </is>
      </c>
      <c r="H214" s="178" t="inlineStr">
        <is>
          <t>Data Pasien,Data Obat yang diduga menyebabkan efeksamping,Data efek samping obat,Tindakan yang dilakukan ,Data pelapor</t>
        </is>
      </c>
      <c r="I214" s="196" t="inlineStr">
        <is>
          <t>laporan efek samping obat, rekap laporan nasional, serta analisis keamanan obat untuk mendukung kebijakan pengawasan obat.</t>
        </is>
      </c>
      <c r="J214" s="184" t="inlineStr">
        <is>
          <t>Terbatas</t>
        </is>
      </c>
      <c r="K214" s="184" t="inlineStr">
        <is>
          <t>Terdapat</t>
        </is>
      </c>
      <c r="L214" s="184" t="inlineStr">
        <is>
          <t>Lainnya</t>
        </is>
      </c>
      <c r="M214" s="68" t="inlineStr">
        <is>
          <t>E-MESO</t>
        </is>
      </c>
      <c r="N214" s="184" t="inlineStr">
        <is>
          <t>Pusat</t>
        </is>
      </c>
      <c r="O214" s="184" t="inlineStr">
        <is>
          <t>Pusat</t>
        </is>
      </c>
      <c r="P214" s="184" t="inlineStr">
        <is>
          <t>Website</t>
        </is>
      </c>
      <c r="Q214" s="279" t="inlineStr">
        <is>
          <t>https://e-meso.pom.go.id/ADR</t>
        </is>
      </c>
      <c r="R214" s="184" t="inlineStr">
        <is>
          <t>Secara Online</t>
        </is>
      </c>
      <c r="S214" s="288" t="n"/>
      <c r="T214" s="184" t="n">
        <v>2025</v>
      </c>
      <c r="U214" s="184" t="inlineStr">
        <is>
          <t>Aktif</t>
        </is>
      </c>
      <c r="V214" s="184" t="inlineStr">
        <is>
          <t>Tidak</t>
        </is>
      </c>
      <c r="W214" s="288" t="n"/>
      <c r="X214" s="184" t="inlineStr">
        <is>
          <t>Tidak Terintegrasi</t>
        </is>
      </c>
      <c r="Y214" s="184" t="inlineStr">
        <is>
          <t>Lainnya</t>
        </is>
      </c>
      <c r="Z214" s="288" t="n"/>
      <c r="AA214" s="184" t="inlineStr">
        <is>
          <t>Dinkes</t>
        </is>
      </c>
      <c r="AB214" s="184" t="inlineStr">
        <is>
          <t>Komariah S,Si,Apt</t>
        </is>
      </c>
      <c r="AC214" s="184" t="n">
        <v>82117621571</v>
      </c>
      <c r="AD214" s="184" t="inlineStr">
        <is>
          <t>rsudbedasarjasari@gmail.com</t>
        </is>
      </c>
      <c r="AE214" s="68" t="n">
        <v>8</v>
      </c>
      <c r="AF214" s="68" t="inlineStr">
        <is>
          <t>Insidentil</t>
        </is>
      </c>
      <c r="AG214" s="284" t="n"/>
      <c r="AH214" s="284" t="n"/>
      <c r="AI214" s="284" t="n"/>
      <c r="AJ214" s="284" t="n"/>
      <c r="AK214" s="284" t="n"/>
      <c r="AL214" s="284" t="n"/>
      <c r="AM214" s="284" t="n"/>
      <c r="AN214" s="284" t="n"/>
      <c r="AO214" s="284" t="n"/>
      <c r="AP214" s="284" t="n"/>
      <c r="AQ214" s="284" t="n"/>
      <c r="AR214" s="284" t="n"/>
    </row>
    <row r="215" hidden="1" s="346">
      <c r="A215" s="62" t="n">
        <v>213</v>
      </c>
      <c r="B215" s="178" t="inlineStr">
        <is>
          <t>SIMONA</t>
        </is>
      </c>
      <c r="C215" s="67" t="inlineStr">
        <is>
          <t>Layanan SIMONA berfungsi sebagai sistem pemantauan ketersediaan obat secara nasional yang membantu pemerintah dan fasilitas kesehatan dalam mengendalikan stok obat, mencegah kekosongan obat, dan meningkatkan efisiensi pengelolaan obat.</t>
        </is>
      </c>
      <c r="D215" s="76" t="inlineStr">
        <is>
          <t>UU Kesehatan, PP tentang Pekerjaan Kefarmasian, serta Permenkes tentang standar pelayanan kefarmasian, yang mengamanatkan pemantauan dan pengelolaan ketersediaan obat secara sistematis di fasilitas kesehatan</t>
        </is>
      </c>
      <c r="E215" s="288" t="n"/>
      <c r="F215" s="184" t="inlineStr">
        <is>
          <t>PENGELOLAAN PELAYANAN KESEHATAN</t>
        </is>
      </c>
      <c r="G215" s="184" t="inlineStr">
        <is>
          <t>Instansi Pemerintah Lainnya</t>
        </is>
      </c>
      <c r="H215" s="196" t="inlineStr">
        <is>
          <t>Identitas fasilitas kesehatan, data obat, data stok obat (stok awal, penerimaan, penggunaan, rusak, stok akhir), serta periode pelaporan</t>
        </is>
      </c>
      <c r="I215" s="196" t="inlineStr">
        <is>
          <t>laporan ketersediaan obat, laporan kekosongan obat, rekap stok obat, dan analisis monitoring obat secara nasional.</t>
        </is>
      </c>
      <c r="J215" s="184" t="inlineStr">
        <is>
          <t>Terbatas</t>
        </is>
      </c>
      <c r="K215" s="184" t="inlineStr">
        <is>
          <t>Tidak terdapat</t>
        </is>
      </c>
      <c r="L215" s="184" t="inlineStr">
        <is>
          <t>Bulanan</t>
        </is>
      </c>
      <c r="M215" s="68" t="inlineStr">
        <is>
          <t>SIMONA</t>
        </is>
      </c>
      <c r="N215" s="184" t="inlineStr">
        <is>
          <t>Pusat</t>
        </is>
      </c>
      <c r="O215" s="184" t="inlineStr">
        <is>
          <t>Pusat</t>
        </is>
      </c>
      <c r="P215" s="184" t="inlineStr">
        <is>
          <t>Website dan Mobile</t>
        </is>
      </c>
      <c r="Q215" s="280" t="inlineStr">
        <is>
          <t>https://simona.kemkes.go.id.</t>
        </is>
      </c>
      <c r="R215" s="184" t="inlineStr">
        <is>
          <t>Secara Online</t>
        </is>
      </c>
      <c r="S215" s="184" t="inlineStr">
        <is>
          <t>Informasi</t>
        </is>
      </c>
      <c r="T215" s="184" t="n">
        <v>2025</v>
      </c>
      <c r="U215" s="184" t="inlineStr">
        <is>
          <t>Non Aktif</t>
        </is>
      </c>
      <c r="V215" s="184" t="inlineStr">
        <is>
          <t>Tidak</t>
        </is>
      </c>
      <c r="W215" s="288" t="n"/>
      <c r="X215" s="184" t="inlineStr">
        <is>
          <t>Tidak Terintegrasi</t>
        </is>
      </c>
      <c r="Y215" s="184" t="inlineStr">
        <is>
          <t>Tidak Terintegrasi</t>
        </is>
      </c>
      <c r="Z215" s="288" t="n"/>
      <c r="AA215" s="184" t="inlineStr">
        <is>
          <t>Dinkes</t>
        </is>
      </c>
      <c r="AB215" s="131" t="inlineStr">
        <is>
          <t>Komariah S.Si,Apt</t>
        </is>
      </c>
      <c r="AC215" s="184" t="n">
        <v>82117621571</v>
      </c>
      <c r="AD215" s="184" t="inlineStr">
        <is>
          <t>rsudbedasarjasari@gmail.com</t>
        </is>
      </c>
      <c r="AE215" s="68" t="n">
        <v>8</v>
      </c>
      <c r="AF215" s="68" t="inlineStr">
        <is>
          <t>Bulanan</t>
        </is>
      </c>
      <c r="AG215" s="284" t="n"/>
      <c r="AH215" s="284" t="n"/>
      <c r="AI215" s="284" t="n"/>
      <c r="AJ215" s="284" t="n"/>
      <c r="AK215" s="284" t="n"/>
      <c r="AL215" s="284" t="n"/>
      <c r="AM215" s="284" t="n"/>
      <c r="AN215" s="284" t="n"/>
      <c r="AO215" s="284" t="n"/>
      <c r="AP215" s="284" t="n"/>
      <c r="AQ215" s="284" t="n"/>
      <c r="AR215" s="284" t="n"/>
    </row>
    <row r="216" hidden="1" s="346">
      <c r="A216" s="62" t="n">
        <v>214</v>
      </c>
      <c r="B216" s="184" t="inlineStr">
        <is>
          <t>Layanan manajemen data fasilitas kesehatan</t>
        </is>
      </c>
      <c r="C216" s="67" t="inlineStr">
        <is>
          <t>database dan sistem manajemen data fasilitas kesehatan yang bekerja sama dengan BPJS Kesehatan untuk mendukung pelayanan peserta BPJS</t>
        </is>
      </c>
      <c r="D216"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E216" s="288" t="n"/>
      <c r="F216" s="184" t="inlineStr">
        <is>
          <t>PENGELOLAAN PELAYANAN KESEHATAN</t>
        </is>
      </c>
      <c r="G216" s="184" t="inlineStr">
        <is>
          <t>Instansi Pemerintah Lainnya</t>
        </is>
      </c>
      <c r="H216" s="178" t="inlineStr">
        <is>
          <t>1. Data Identitas Fasilitas Kesehatan
 2. Data Perizinan dan Legalitas
 3. Data Tenaga Kesehatan
 4. Data Sarana dan Prasarana
 5. Data Jenis Layanan Kesehatan
 6. Data Kapasitas Pelayanan
 7. Data Kerja Sama dengan BPJS
 8. Dokumen Pendukung</t>
        </is>
      </c>
      <c r="I216" s="178" t="inlineStr">
        <is>
          <t>1. Profil Fasilitas Kesehatan
 2. Data Sebaran Fasilitas Kesehatan
 3. Data Tenaga Kesehatan
 4. Data Sarana dan Prasarana
 5. Data Jenis dan Kapasitas Layanan
 6. Status dan Riwayat Kerja Sama
 7. Laporan dan Monitoring Fasilitas Kesehatan</t>
        </is>
      </c>
      <c r="J216" s="184" t="inlineStr">
        <is>
          <t>Terbatas</t>
        </is>
      </c>
      <c r="K216" s="184" t="inlineStr">
        <is>
          <t>Terdapat</t>
        </is>
      </c>
      <c r="L216" s="184" t="inlineStr">
        <is>
          <t>Lainnya</t>
        </is>
      </c>
      <c r="M216" s="184" t="inlineStr">
        <is>
          <t>HFIS BPJS</t>
        </is>
      </c>
      <c r="N216" s="184" t="inlineStr">
        <is>
          <t>Pusat</t>
        </is>
      </c>
      <c r="O216" s="184" t="inlineStr">
        <is>
          <t>Pusat</t>
        </is>
      </c>
      <c r="P216" s="184" t="inlineStr">
        <is>
          <t>Website</t>
        </is>
      </c>
      <c r="Q216" s="223" t="inlineStr">
        <is>
          <t>:Health Facilities Information System (H.F.I.S):</t>
        </is>
      </c>
      <c r="R216" s="184" t="inlineStr">
        <is>
          <t>Secara Online</t>
        </is>
      </c>
      <c r="S216" s="184" t="inlineStr">
        <is>
          <t>Informasi</t>
        </is>
      </c>
      <c r="T216" s="288" t="n"/>
      <c r="U216" s="184" t="inlineStr">
        <is>
          <t>Aktif</t>
        </is>
      </c>
      <c r="V216" s="184" t="inlineStr">
        <is>
          <t>Ya</t>
        </is>
      </c>
      <c r="W216" s="184" t="inlineStr">
        <is>
          <t>Mobile JKN</t>
        </is>
      </c>
      <c r="X216" s="184" t="inlineStr">
        <is>
          <t>Database to Database</t>
        </is>
      </c>
      <c r="Y216" s="184" t="inlineStr">
        <is>
          <t>Realtime</t>
        </is>
      </c>
      <c r="Z216" s="184" t="inlineStr">
        <is>
          <t>Bidang Pelayanan Medik</t>
        </is>
      </c>
      <c r="AA216" s="184" t="inlineStr">
        <is>
          <t>Dinkes</t>
        </is>
      </c>
      <c r="AB216" s="288" t="n"/>
      <c r="AC216" s="288" t="n"/>
      <c r="AD216" s="288" t="n"/>
      <c r="AE216" s="288" t="n"/>
      <c r="AF216" s="184" t="inlineStr">
        <is>
          <t>Insidentil</t>
        </is>
      </c>
      <c r="AG216" s="284" t="n"/>
      <c r="AH216" s="284" t="n"/>
      <c r="AI216" s="284" t="n"/>
      <c r="AJ216" s="284" t="n"/>
      <c r="AK216" s="284" t="n"/>
      <c r="AL216" s="284" t="n"/>
      <c r="AM216" s="284" t="n"/>
      <c r="AN216" s="284" t="n"/>
      <c r="AO216" s="284" t="n"/>
      <c r="AP216" s="284" t="n"/>
      <c r="AQ216" s="284" t="n"/>
      <c r="AR216" s="284" t="n"/>
    </row>
    <row r="217" hidden="1" s="346">
      <c r="A217" s="62" t="n">
        <v>215</v>
      </c>
      <c r="B217" s="178" t="inlineStr">
        <is>
          <t>Layanan Daftar Hadir elekto</t>
        </is>
      </c>
      <c r="C217" s="67" t="inlineStr">
        <is>
          <t>Untuk memudahkan pencatatan dan pengelolaan kehadiran secara digital sehingga lebih cepat, akurat, serta meningkatkan disiplin dan pengawasan terhadap kehadiran pegawai.</t>
        </is>
      </c>
      <c r="D217" s="67" t="inlineStr">
        <is>
          <t>Peraturan Bupati Bandung Nomor 108 Tahun 2019</t>
        </is>
      </c>
      <c r="E217" s="288" t="n"/>
      <c r="F217" s="184" t="inlineStr">
        <is>
          <t>PENINGKATAN KUALITAS PELAYANAN PUBLIK</t>
        </is>
      </c>
      <c r="G217" s="184" t="inlineStr">
        <is>
          <t>Pegawai</t>
        </is>
      </c>
      <c r="H217" s="184" t="inlineStr">
        <is>
          <t>Kehadiran</t>
        </is>
      </c>
      <c r="I217" s="184" t="inlineStr">
        <is>
          <t>Rekap kehadiran</t>
        </is>
      </c>
      <c r="J217" s="184" t="inlineStr">
        <is>
          <t>Rahasia</t>
        </is>
      </c>
      <c r="K217" s="184" t="inlineStr">
        <is>
          <t>Terdapat</t>
        </is>
      </c>
      <c r="L217" s="184" t="inlineStr">
        <is>
          <t>Bulanan</t>
        </is>
      </c>
      <c r="M217" s="68" t="inlineStr">
        <is>
          <t>DHE PHL</t>
        </is>
      </c>
      <c r="N217" s="184" t="inlineStr">
        <is>
          <t>Diskominfo</t>
        </is>
      </c>
      <c r="O217" s="184" t="inlineStr">
        <is>
          <t>Kab. Bandung</t>
        </is>
      </c>
      <c r="P217" s="184" t="inlineStr">
        <is>
          <t>Website dan Mobile</t>
        </is>
      </c>
      <c r="Q217" s="131" t="inlineStr">
        <is>
          <t>https://dhephl.bandungkab.go.id/</t>
        </is>
      </c>
      <c r="R217" s="184" t="inlineStr">
        <is>
          <t>Secara Online</t>
        </is>
      </c>
      <c r="S217" s="184" t="inlineStr">
        <is>
          <t>Informasi</t>
        </is>
      </c>
      <c r="T217" s="288" t="n"/>
      <c r="U217" s="184" t="inlineStr">
        <is>
          <t>Aktif</t>
        </is>
      </c>
      <c r="V217" s="184" t="inlineStr">
        <is>
          <t>Tidak</t>
        </is>
      </c>
      <c r="W217" s="288" t="n"/>
      <c r="X217" s="184" t="inlineStr">
        <is>
          <t>Tidak Terintegrasi</t>
        </is>
      </c>
      <c r="Y217" s="184" t="inlineStr">
        <is>
          <t>Tidak Terintegrasi</t>
        </is>
      </c>
      <c r="Z217" s="288" t="n"/>
      <c r="AA217" s="184" t="inlineStr">
        <is>
          <t>Diskominfo</t>
        </is>
      </c>
      <c r="AB217" s="288" t="n"/>
      <c r="AC217" s="288" t="n"/>
      <c r="AD217" s="288" t="n"/>
      <c r="AE217" s="288" t="n"/>
      <c r="AF217" s="68" t="inlineStr">
        <is>
          <t>Bulanan</t>
        </is>
      </c>
      <c r="AG217" s="284" t="n"/>
      <c r="AH217" s="284" t="n"/>
      <c r="AI217" s="284" t="n"/>
      <c r="AJ217" s="284" t="n"/>
      <c r="AK217" s="284" t="n"/>
      <c r="AL217" s="284" t="n"/>
      <c r="AM217" s="284" t="n"/>
      <c r="AN217" s="284" t="n"/>
      <c r="AO217" s="284" t="n"/>
      <c r="AP217" s="284" t="n"/>
      <c r="AQ217" s="284" t="n"/>
      <c r="AR217" s="284" t="n"/>
    </row>
    <row r="218" hidden="1" s="346">
      <c r="A218" s="62" t="n">
        <v>216</v>
      </c>
      <c r="B218" s="178" t="inlineStr">
        <is>
          <t>Dashboard Pemantauan aliran Data Satu sehat</t>
        </is>
      </c>
      <c r="C218" s="178" t="inlineStr">
        <is>
          <t>Pemantauan aliran data satu sehat</t>
        </is>
      </c>
      <c r="D218" s="273" t="inlineStr">
        <is>
          <t>UU No. 17 Tahun 2023 tentang Kesehatan (pengelolaan data nasional) dan UU No. 27 Tahun 2022 tentang Pelindungan Data Pribadi (dasar pemrosesan data)</t>
        </is>
      </c>
      <c r="E218" s="131" t="inlineStr">
        <is>
          <t>https://drive.google.com/drive/u/1/folders/1BMJeHVe0f6zjx97q_TOFnGkZBTxNZTBd</t>
        </is>
      </c>
      <c r="F218" s="184" t="inlineStr">
        <is>
          <t>PENINGKATAN KUALITAS PELAYANAN PUBLIK</t>
        </is>
      </c>
      <c r="G218" s="184" t="inlineStr">
        <is>
          <t>Instansi Pemerintah Lainnya</t>
        </is>
      </c>
      <c r="H218" s="184" t="inlineStr">
        <is>
          <t>Encounter - Aliran Data Satu Sehat</t>
        </is>
      </c>
      <c r="I218" s="184" t="inlineStr">
        <is>
          <t>Persentase - Aliran Data Satu Sehat</t>
        </is>
      </c>
      <c r="J218" s="184" t="inlineStr">
        <is>
          <t>Terbuka</t>
        </is>
      </c>
      <c r="K218" s="184" t="inlineStr">
        <is>
          <t>Tidak terdapat</t>
        </is>
      </c>
      <c r="L218" s="184" t="inlineStr">
        <is>
          <t>Mingguan</t>
        </is>
      </c>
      <c r="M218" s="184" t="inlineStr">
        <is>
          <t>SIMRS PACIRA</t>
        </is>
      </c>
      <c r="N218" s="184" t="inlineStr">
        <is>
          <t>Pusat</t>
        </is>
      </c>
      <c r="O218" s="184" t="inlineStr">
        <is>
          <t>Pusat</t>
        </is>
      </c>
      <c r="P218" s="184" t="inlineStr">
        <is>
          <t>Website</t>
        </is>
      </c>
      <c r="Q218" s="75" t="inlineStr">
        <is>
          <t>Workbook: Dashboard Pemantauan Aliran Data SATUSEHAT</t>
        </is>
      </c>
      <c r="R218" s="184" t="inlineStr">
        <is>
          <t>Secara Online</t>
        </is>
      </c>
      <c r="S218" s="184" t="inlineStr">
        <is>
          <t>Informasi</t>
        </is>
      </c>
      <c r="T218" s="184" t="n">
        <v>2024</v>
      </c>
      <c r="U218" s="184" t="inlineStr">
        <is>
          <t>Aktif</t>
        </is>
      </c>
      <c r="V218" s="184" t="inlineStr">
        <is>
          <t>Ya</t>
        </is>
      </c>
      <c r="W218" s="184" t="inlineStr">
        <is>
          <t>SIMRS</t>
        </is>
      </c>
      <c r="X218" s="184" t="inlineStr">
        <is>
          <t>API</t>
        </is>
      </c>
      <c r="Y218" s="184" t="inlineStr">
        <is>
          <t>Realtime</t>
        </is>
      </c>
      <c r="Z218" s="184" t="inlineStr">
        <is>
          <t>Instalasi Rekam Medis dan Instalasi SIMRS</t>
        </is>
      </c>
      <c r="AA218" s="184" t="inlineStr">
        <is>
          <t>Diskominfo</t>
        </is>
      </c>
      <c r="AB218" s="184" t="inlineStr">
        <is>
          <t>Ammar Zhorif, S.Kom</t>
        </is>
      </c>
      <c r="AC218" s="184" t="n">
        <v>82324066724</v>
      </c>
      <c r="AD218" s="184" t="inlineStr">
        <is>
          <t>rsudpacira.official@gmail.com</t>
        </is>
      </c>
      <c r="AE218" s="68" t="inlineStr">
        <is>
          <t>-</t>
        </is>
      </c>
      <c r="AF218" s="68" t="inlineStr">
        <is>
          <t>Setiap Saat</t>
        </is>
      </c>
      <c r="AG218" s="284" t="n"/>
      <c r="AH218" s="284" t="n"/>
      <c r="AI218" s="284" t="n"/>
      <c r="AJ218" s="284" t="n"/>
      <c r="AK218" s="284" t="n"/>
      <c r="AL218" s="284" t="n"/>
      <c r="AM218" s="284" t="n"/>
      <c r="AN218" s="284" t="n"/>
      <c r="AO218" s="284" t="n"/>
      <c r="AP218" s="284" t="n"/>
      <c r="AQ218" s="284" t="n"/>
      <c r="AR218" s="284" t="n"/>
    </row>
  </sheetData>
  <autoFilter ref="$A$1:$AR$218">
    <filterColumn colId="14" hiddenButton="0" showButton="1">
      <filters blank="1">
        <filter val="Pihak Ke 3 (Lisensi)"/>
        <filter val="15"/>
        <filter val="Provinsi"/>
        <filter val="Kab. Bandung"/>
      </filters>
    </filterColumn>
    <filterColumn colId="12" hiddenButton="0" showButton="1">
      <filters>
        <filter val="Microsoft Office"/>
        <filter val="Google formulir"/>
        <filter val="Form manual"/>
        <filter val="Google Formulir"/>
        <filter val="google formulir"/>
        <filter val="Microsoft Excel"/>
      </filters>
    </filterColumn>
  </autoFilter>
  <mergeCells count="4">
    <mergeCell ref="AG45:AI45"/>
    <mergeCell ref="AG127:AH127"/>
    <mergeCell ref="AG34:AR34"/>
    <mergeCell ref="AG83:AH83"/>
  </mergeCells>
  <dataValidations count="16">
    <dataValidation sqref="O3:O218" showDropDown="0" showInputMessage="0" showErrorMessage="1" allowBlank="1" type="list">
      <formula1>Ref!$O$2:$O$5</formula1>
    </dataValidation>
    <dataValidation sqref="R3:R218" showDropDown="0" showInputMessage="0" showErrorMessage="1" allowBlank="1" type="list">
      <formula1>Ref!$R$2:$R$3</formula1>
    </dataValidation>
    <dataValidation sqref="F3:F218" showDropDown="0" showInputMessage="0" showErrorMessage="1" allowBlank="1" type="list">
      <formula1>Ref!$F$2:$F$307</formula1>
    </dataValidation>
    <dataValidation sqref="N3:N218" showDropDown="0" showInputMessage="0" showErrorMessage="1" allowBlank="1" type="list">
      <formula1>Ref!$N$2:$N$6</formula1>
    </dataValidation>
    <dataValidation sqref="AA3:AA218" showDropDown="0" showInputMessage="0" showErrorMessage="1" allowBlank="1" type="list">
      <formula1>Ref!$AA$2:$AA$33</formula1>
    </dataValidation>
    <dataValidation sqref="X3:X218" showDropDown="0" showInputMessage="0" showErrorMessage="1" allowBlank="1" type="list">
      <formula1>Ref!$X$2:$X$6</formula1>
    </dataValidation>
    <dataValidation sqref="Y3:Y218" showDropDown="0" showInputMessage="0" showErrorMessage="1" allowBlank="1" type="list">
      <formula1>Ref!$Y$2:$Y$8</formula1>
    </dataValidation>
    <dataValidation sqref="G3:G218" showDropDown="0" showInputMessage="0" showErrorMessage="1" allowBlank="1" type="list">
      <formula1>Ref!$G$2:$G$5</formula1>
    </dataValidation>
    <dataValidation sqref="K3:K218" showDropDown="0" showInputMessage="0" showErrorMessage="1" allowBlank="1" type="list">
      <formula1>Ref!$K$2:$K$3</formula1>
    </dataValidation>
    <dataValidation sqref="S3:S218" showDropDown="0" showInputMessage="0" showErrorMessage="1" allowBlank="1" type="list">
      <formula1>Ref!$S$2:$S$3</formula1>
    </dataValidation>
    <dataValidation sqref="V3:V218" showDropDown="0" showInputMessage="0" showErrorMessage="1" allowBlank="1" type="list">
      <formula1>Ref!$V$2:$V$3</formula1>
    </dataValidation>
    <dataValidation sqref="P3:P218" showDropDown="0" showInputMessage="0" showErrorMessage="1" allowBlank="1" type="list">
      <formula1>Ref!$P$2:$P$5</formula1>
    </dataValidation>
    <dataValidation sqref="M4:M5" showDropDown="0" showInputMessage="0" showErrorMessage="0" allowBlank="1" type="list">
      <formula1>#REF!</formula1>
    </dataValidation>
    <dataValidation sqref="J3:J218" showDropDown="0" showInputMessage="0" showErrorMessage="1" allowBlank="1" type="list">
      <formula1>Ref!$J$2:$J$5</formula1>
    </dataValidation>
    <dataValidation sqref="U3:U218" showDropDown="0" showInputMessage="0" showErrorMessage="1" allowBlank="1" type="list">
      <formula1>Ref!$U$2:$U$4</formula1>
    </dataValidation>
    <dataValidation sqref="L3:L218" showDropDown="0" showInputMessage="0" showErrorMessage="1" allowBlank="1" type="list">
      <formula1>Ref!$L$2:$L$6</formula1>
    </dataValidation>
  </dataValidations>
  <hyperlinks>
    <hyperlink xmlns:r="http://schemas.openxmlformats.org/officeDocument/2006/relationships" ref="Q3" r:id="rId1"/>
    <hyperlink xmlns:r="http://schemas.openxmlformats.org/officeDocument/2006/relationships" ref="Q5" r:id="rId2"/>
    <hyperlink xmlns:r="http://schemas.openxmlformats.org/officeDocument/2006/relationships" ref="Q6" r:id="rId3"/>
    <hyperlink xmlns:r="http://schemas.openxmlformats.org/officeDocument/2006/relationships" ref="Q7" r:id="rId4"/>
    <hyperlink xmlns:r="http://schemas.openxmlformats.org/officeDocument/2006/relationships" ref="Q8" r:id="rId5"/>
    <hyperlink xmlns:r="http://schemas.openxmlformats.org/officeDocument/2006/relationships" ref="Q9" r:id="rId6"/>
    <hyperlink xmlns:r="http://schemas.openxmlformats.org/officeDocument/2006/relationships" ref="Q10" r:id="rId7"/>
    <hyperlink xmlns:r="http://schemas.openxmlformats.org/officeDocument/2006/relationships" ref="Q11" r:id="rId8"/>
    <hyperlink xmlns:r="http://schemas.openxmlformats.org/officeDocument/2006/relationships" ref="Q12" r:id="rId9"/>
    <hyperlink xmlns:r="http://schemas.openxmlformats.org/officeDocument/2006/relationships" ref="Q14" r:id="rId10"/>
    <hyperlink xmlns:r="http://schemas.openxmlformats.org/officeDocument/2006/relationships" ref="Q15" r:id="rId11"/>
    <hyperlink xmlns:r="http://schemas.openxmlformats.org/officeDocument/2006/relationships" ref="Q16" r:id="rId12"/>
    <hyperlink xmlns:r="http://schemas.openxmlformats.org/officeDocument/2006/relationships" ref="Q17" r:id="rId13"/>
    <hyperlink xmlns:r="http://schemas.openxmlformats.org/officeDocument/2006/relationships" ref="Q18" r:id="rId14"/>
    <hyperlink xmlns:r="http://schemas.openxmlformats.org/officeDocument/2006/relationships" ref="Q19" r:id="rId15"/>
    <hyperlink xmlns:r="http://schemas.openxmlformats.org/officeDocument/2006/relationships" ref="Q20" r:id="rId16"/>
    <hyperlink xmlns:r="http://schemas.openxmlformats.org/officeDocument/2006/relationships" ref="Q22" r:id="rId17"/>
    <hyperlink xmlns:r="http://schemas.openxmlformats.org/officeDocument/2006/relationships" ref="AB22" r:id="rId18"/>
    <hyperlink xmlns:r="http://schemas.openxmlformats.org/officeDocument/2006/relationships" ref="Q23" r:id="rId19"/>
    <hyperlink xmlns:r="http://schemas.openxmlformats.org/officeDocument/2006/relationships" ref="AB23" r:id="rId20"/>
    <hyperlink xmlns:r="http://schemas.openxmlformats.org/officeDocument/2006/relationships" ref="Q24" r:id="rId21"/>
    <hyperlink xmlns:r="http://schemas.openxmlformats.org/officeDocument/2006/relationships" ref="Q25" r:id="rId22"/>
    <hyperlink xmlns:r="http://schemas.openxmlformats.org/officeDocument/2006/relationships" ref="AB25" r:id="rId23"/>
    <hyperlink xmlns:r="http://schemas.openxmlformats.org/officeDocument/2006/relationships" ref="Q26" r:id="rId24"/>
    <hyperlink xmlns:r="http://schemas.openxmlformats.org/officeDocument/2006/relationships" ref="Q28" r:id="rId25"/>
    <hyperlink xmlns:r="http://schemas.openxmlformats.org/officeDocument/2006/relationships" ref="AB28" r:id="rId26"/>
    <hyperlink xmlns:r="http://schemas.openxmlformats.org/officeDocument/2006/relationships" ref="Q29" r:id="rId27"/>
    <hyperlink xmlns:r="http://schemas.openxmlformats.org/officeDocument/2006/relationships" ref="AB29" r:id="rId28"/>
    <hyperlink xmlns:r="http://schemas.openxmlformats.org/officeDocument/2006/relationships" ref="Q30" r:id="rId29"/>
    <hyperlink xmlns:r="http://schemas.openxmlformats.org/officeDocument/2006/relationships" ref="AB30" r:id="rId30"/>
    <hyperlink xmlns:r="http://schemas.openxmlformats.org/officeDocument/2006/relationships" ref="Q31" r:id="rId31"/>
    <hyperlink xmlns:r="http://schemas.openxmlformats.org/officeDocument/2006/relationships" ref="Q32" r:id="rId32"/>
    <hyperlink xmlns:r="http://schemas.openxmlformats.org/officeDocument/2006/relationships" ref="Q33" r:id="rId33"/>
    <hyperlink xmlns:r="http://schemas.openxmlformats.org/officeDocument/2006/relationships" ref="Q34" r:id="rId34"/>
    <hyperlink xmlns:r="http://schemas.openxmlformats.org/officeDocument/2006/relationships" ref="Q35" r:id="rId35"/>
    <hyperlink xmlns:r="http://schemas.openxmlformats.org/officeDocument/2006/relationships" ref="Q36" r:id="rId36"/>
    <hyperlink xmlns:r="http://schemas.openxmlformats.org/officeDocument/2006/relationships" ref="Q37" r:id="rId37"/>
    <hyperlink xmlns:r="http://schemas.openxmlformats.org/officeDocument/2006/relationships" ref="Q38" r:id="rId38"/>
    <hyperlink xmlns:r="http://schemas.openxmlformats.org/officeDocument/2006/relationships" ref="Q39" r:id="rId39"/>
    <hyperlink xmlns:r="http://schemas.openxmlformats.org/officeDocument/2006/relationships" ref="Q40" r:id="rId40"/>
    <hyperlink xmlns:r="http://schemas.openxmlformats.org/officeDocument/2006/relationships" ref="Q41" r:id="rId41"/>
    <hyperlink xmlns:r="http://schemas.openxmlformats.org/officeDocument/2006/relationships" ref="E42" r:id="rId42"/>
    <hyperlink xmlns:r="http://schemas.openxmlformats.org/officeDocument/2006/relationships" ref="Q42" r:id="rId43"/>
    <hyperlink xmlns:r="http://schemas.openxmlformats.org/officeDocument/2006/relationships" ref="Q43" r:id="rId44"/>
    <hyperlink xmlns:r="http://schemas.openxmlformats.org/officeDocument/2006/relationships" ref="E44" r:id="rId45"/>
    <hyperlink xmlns:r="http://schemas.openxmlformats.org/officeDocument/2006/relationships" ref="Q44" r:id="rId46"/>
    <hyperlink xmlns:r="http://schemas.openxmlformats.org/officeDocument/2006/relationships" ref="Q45" r:id="rId47"/>
    <hyperlink xmlns:r="http://schemas.openxmlformats.org/officeDocument/2006/relationships" ref="AB45" r:id="rId48"/>
    <hyperlink xmlns:r="http://schemas.openxmlformats.org/officeDocument/2006/relationships" ref="Q46" location="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 r:id="rId49"/>
    <hyperlink xmlns:r="http://schemas.openxmlformats.org/officeDocument/2006/relationships" ref="AB46" r:id="rId50"/>
    <hyperlink xmlns:r="http://schemas.openxmlformats.org/officeDocument/2006/relationships" ref="E47" r:id="rId51"/>
    <hyperlink xmlns:r="http://schemas.openxmlformats.org/officeDocument/2006/relationships" ref="Q48" r:id="rId52"/>
    <hyperlink xmlns:r="http://schemas.openxmlformats.org/officeDocument/2006/relationships" ref="Q49" r:id="rId53"/>
    <hyperlink xmlns:r="http://schemas.openxmlformats.org/officeDocument/2006/relationships" ref="E50" r:id="rId54"/>
    <hyperlink xmlns:r="http://schemas.openxmlformats.org/officeDocument/2006/relationships" ref="Q50" r:id="rId55"/>
    <hyperlink xmlns:r="http://schemas.openxmlformats.org/officeDocument/2006/relationships" ref="E51" r:id="rId56"/>
    <hyperlink xmlns:r="http://schemas.openxmlformats.org/officeDocument/2006/relationships" ref="M51" r:id="rId57"/>
    <hyperlink xmlns:r="http://schemas.openxmlformats.org/officeDocument/2006/relationships" ref="Q51" r:id="rId58"/>
    <hyperlink xmlns:r="http://schemas.openxmlformats.org/officeDocument/2006/relationships" ref="Q53" r:id="rId59"/>
    <hyperlink xmlns:r="http://schemas.openxmlformats.org/officeDocument/2006/relationships" ref="Q54" r:id="rId60"/>
    <hyperlink xmlns:r="http://schemas.openxmlformats.org/officeDocument/2006/relationships" ref="Q55" r:id="rId61"/>
    <hyperlink xmlns:r="http://schemas.openxmlformats.org/officeDocument/2006/relationships" ref="Q56" r:id="rId62"/>
    <hyperlink xmlns:r="http://schemas.openxmlformats.org/officeDocument/2006/relationships" ref="Q57" r:id="rId63"/>
    <hyperlink xmlns:r="http://schemas.openxmlformats.org/officeDocument/2006/relationships" ref="Q59" r:id="rId64"/>
    <hyperlink xmlns:r="http://schemas.openxmlformats.org/officeDocument/2006/relationships" ref="Q60" r:id="rId65"/>
    <hyperlink xmlns:r="http://schemas.openxmlformats.org/officeDocument/2006/relationships" ref="Q61" r:id="rId66"/>
    <hyperlink xmlns:r="http://schemas.openxmlformats.org/officeDocument/2006/relationships" ref="Q62" r:id="rId67"/>
    <hyperlink xmlns:r="http://schemas.openxmlformats.org/officeDocument/2006/relationships" ref="Q64" r:id="rId68"/>
    <hyperlink xmlns:r="http://schemas.openxmlformats.org/officeDocument/2006/relationships" ref="Q65" r:id="rId69"/>
    <hyperlink xmlns:r="http://schemas.openxmlformats.org/officeDocument/2006/relationships" ref="Q66" r:id="rId70"/>
    <hyperlink xmlns:r="http://schemas.openxmlformats.org/officeDocument/2006/relationships" ref="Q68" r:id="rId71"/>
    <hyperlink xmlns:r="http://schemas.openxmlformats.org/officeDocument/2006/relationships" ref="Q72" r:id="rId72"/>
    <hyperlink xmlns:r="http://schemas.openxmlformats.org/officeDocument/2006/relationships" ref="Q73" r:id="rId73"/>
    <hyperlink xmlns:r="http://schemas.openxmlformats.org/officeDocument/2006/relationships" ref="E74" r:id="rId74"/>
    <hyperlink xmlns:r="http://schemas.openxmlformats.org/officeDocument/2006/relationships" ref="Q74" r:id="rId75"/>
    <hyperlink xmlns:r="http://schemas.openxmlformats.org/officeDocument/2006/relationships" ref="E75" r:id="rId76"/>
    <hyperlink xmlns:r="http://schemas.openxmlformats.org/officeDocument/2006/relationships" ref="Q75" r:id="rId77"/>
    <hyperlink xmlns:r="http://schemas.openxmlformats.org/officeDocument/2006/relationships" ref="Q76" r:id="rId78"/>
    <hyperlink xmlns:r="http://schemas.openxmlformats.org/officeDocument/2006/relationships" ref="E77" r:id="rId79"/>
    <hyperlink xmlns:r="http://schemas.openxmlformats.org/officeDocument/2006/relationships" ref="Q77" r:id="rId80"/>
    <hyperlink xmlns:r="http://schemas.openxmlformats.org/officeDocument/2006/relationships" ref="E78" r:id="rId81"/>
    <hyperlink xmlns:r="http://schemas.openxmlformats.org/officeDocument/2006/relationships" ref="Q78" r:id="rId82"/>
    <hyperlink xmlns:r="http://schemas.openxmlformats.org/officeDocument/2006/relationships" ref="Q79" r:id="rId83"/>
    <hyperlink xmlns:r="http://schemas.openxmlformats.org/officeDocument/2006/relationships" ref="E80" r:id="rId84"/>
    <hyperlink xmlns:r="http://schemas.openxmlformats.org/officeDocument/2006/relationships" ref="Q80" r:id="rId85"/>
    <hyperlink xmlns:r="http://schemas.openxmlformats.org/officeDocument/2006/relationships" ref="E81" r:id="rId86"/>
    <hyperlink xmlns:r="http://schemas.openxmlformats.org/officeDocument/2006/relationships" ref="Q81" r:id="rId87"/>
    <hyperlink xmlns:r="http://schemas.openxmlformats.org/officeDocument/2006/relationships" ref="E82" r:id="rId88"/>
    <hyperlink xmlns:r="http://schemas.openxmlformats.org/officeDocument/2006/relationships" ref="Q82" r:id="rId89"/>
    <hyperlink xmlns:r="http://schemas.openxmlformats.org/officeDocument/2006/relationships" ref="W82" r:id="rId90"/>
    <hyperlink xmlns:r="http://schemas.openxmlformats.org/officeDocument/2006/relationships" ref="Q83" r:id="rId91"/>
    <hyperlink xmlns:r="http://schemas.openxmlformats.org/officeDocument/2006/relationships" ref="W83" r:id="rId92"/>
    <hyperlink xmlns:r="http://schemas.openxmlformats.org/officeDocument/2006/relationships" ref="Q84" r:id="rId93"/>
    <hyperlink xmlns:r="http://schemas.openxmlformats.org/officeDocument/2006/relationships" ref="E85" r:id="rId94"/>
    <hyperlink xmlns:r="http://schemas.openxmlformats.org/officeDocument/2006/relationships" ref="Q85" r:id="rId95"/>
    <hyperlink xmlns:r="http://schemas.openxmlformats.org/officeDocument/2006/relationships" ref="E86" r:id="rId96"/>
    <hyperlink xmlns:r="http://schemas.openxmlformats.org/officeDocument/2006/relationships" ref="Q86" r:id="rId97"/>
    <hyperlink xmlns:r="http://schemas.openxmlformats.org/officeDocument/2006/relationships" ref="Q87" r:id="rId98"/>
    <hyperlink xmlns:r="http://schemas.openxmlformats.org/officeDocument/2006/relationships" ref="E88" r:id="rId99"/>
    <hyperlink xmlns:r="http://schemas.openxmlformats.org/officeDocument/2006/relationships" ref="Q88" r:id="rId100"/>
    <hyperlink xmlns:r="http://schemas.openxmlformats.org/officeDocument/2006/relationships" ref="E89" r:id="rId101"/>
    <hyperlink xmlns:r="http://schemas.openxmlformats.org/officeDocument/2006/relationships" ref="Q89" r:id="rId102"/>
    <hyperlink xmlns:r="http://schemas.openxmlformats.org/officeDocument/2006/relationships" ref="Q90" r:id="rId103"/>
    <hyperlink xmlns:r="http://schemas.openxmlformats.org/officeDocument/2006/relationships" ref="Q91" r:id="rId104"/>
    <hyperlink xmlns:r="http://schemas.openxmlformats.org/officeDocument/2006/relationships" ref="Q92" r:id="rId105"/>
    <hyperlink xmlns:r="http://schemas.openxmlformats.org/officeDocument/2006/relationships" ref="Q93" r:id="rId106"/>
    <hyperlink xmlns:r="http://schemas.openxmlformats.org/officeDocument/2006/relationships" ref="Q94" r:id="rId107"/>
    <hyperlink xmlns:r="http://schemas.openxmlformats.org/officeDocument/2006/relationships" ref="Q95" r:id="rId108"/>
    <hyperlink xmlns:r="http://schemas.openxmlformats.org/officeDocument/2006/relationships" ref="E96" r:id="rId109"/>
    <hyperlink xmlns:r="http://schemas.openxmlformats.org/officeDocument/2006/relationships" ref="Q96" r:id="rId110"/>
    <hyperlink xmlns:r="http://schemas.openxmlformats.org/officeDocument/2006/relationships" ref="Q97" r:id="rId111"/>
    <hyperlink xmlns:r="http://schemas.openxmlformats.org/officeDocument/2006/relationships" ref="E98" r:id="rId112"/>
    <hyperlink xmlns:r="http://schemas.openxmlformats.org/officeDocument/2006/relationships" ref="Q98" r:id="rId113"/>
    <hyperlink xmlns:r="http://schemas.openxmlformats.org/officeDocument/2006/relationships" ref="Q99" location="/" r:id="rId114"/>
    <hyperlink xmlns:r="http://schemas.openxmlformats.org/officeDocument/2006/relationships" ref="Q100" location="/home/login" r:id="rId115"/>
    <hyperlink xmlns:r="http://schemas.openxmlformats.org/officeDocument/2006/relationships" ref="Q101" r:id="rId116"/>
    <hyperlink xmlns:r="http://schemas.openxmlformats.org/officeDocument/2006/relationships" ref="Q102" r:id="rId117"/>
    <hyperlink xmlns:r="http://schemas.openxmlformats.org/officeDocument/2006/relationships" ref="E103" r:id="rId118"/>
    <hyperlink xmlns:r="http://schemas.openxmlformats.org/officeDocument/2006/relationships" ref="Q103" r:id="rId119"/>
    <hyperlink xmlns:r="http://schemas.openxmlformats.org/officeDocument/2006/relationships" ref="E104" r:id="rId120"/>
    <hyperlink xmlns:r="http://schemas.openxmlformats.org/officeDocument/2006/relationships" ref="Q104" r:id="rId121"/>
    <hyperlink xmlns:r="http://schemas.openxmlformats.org/officeDocument/2006/relationships" ref="E105" r:id="rId122"/>
    <hyperlink xmlns:r="http://schemas.openxmlformats.org/officeDocument/2006/relationships" ref="Q105" r:id="rId123"/>
    <hyperlink xmlns:r="http://schemas.openxmlformats.org/officeDocument/2006/relationships" ref="F106" r:id="rId124"/>
    <hyperlink xmlns:r="http://schemas.openxmlformats.org/officeDocument/2006/relationships" ref="Q107" r:id="rId125"/>
    <hyperlink xmlns:r="http://schemas.openxmlformats.org/officeDocument/2006/relationships" ref="Q108" r:id="rId126"/>
    <hyperlink xmlns:r="http://schemas.openxmlformats.org/officeDocument/2006/relationships" ref="Q109" r:id="rId127"/>
    <hyperlink xmlns:r="http://schemas.openxmlformats.org/officeDocument/2006/relationships" ref="Q110" r:id="rId128"/>
    <hyperlink xmlns:r="http://schemas.openxmlformats.org/officeDocument/2006/relationships" ref="Q111" r:id="rId129"/>
    <hyperlink xmlns:r="http://schemas.openxmlformats.org/officeDocument/2006/relationships" ref="Q112" r:id="rId130"/>
    <hyperlink xmlns:r="http://schemas.openxmlformats.org/officeDocument/2006/relationships" ref="Q113" r:id="rId131"/>
    <hyperlink xmlns:r="http://schemas.openxmlformats.org/officeDocument/2006/relationships" ref="Q114" r:id="rId132"/>
    <hyperlink xmlns:r="http://schemas.openxmlformats.org/officeDocument/2006/relationships" ref="Q116" r:id="rId133"/>
    <hyperlink xmlns:r="http://schemas.openxmlformats.org/officeDocument/2006/relationships" ref="E117" r:id="rId134"/>
    <hyperlink xmlns:r="http://schemas.openxmlformats.org/officeDocument/2006/relationships" ref="E118" r:id="rId135"/>
    <hyperlink xmlns:r="http://schemas.openxmlformats.org/officeDocument/2006/relationships" ref="Q118" r:id="rId136"/>
    <hyperlink xmlns:r="http://schemas.openxmlformats.org/officeDocument/2006/relationships" ref="E119" r:id="rId137"/>
    <hyperlink xmlns:r="http://schemas.openxmlformats.org/officeDocument/2006/relationships" ref="Q119" r:id="rId138"/>
    <hyperlink xmlns:r="http://schemas.openxmlformats.org/officeDocument/2006/relationships" ref="E120" r:id="rId139"/>
    <hyperlink xmlns:r="http://schemas.openxmlformats.org/officeDocument/2006/relationships" ref="Q120" r:id="rId140"/>
    <hyperlink xmlns:r="http://schemas.openxmlformats.org/officeDocument/2006/relationships" ref="AB120" r:id="rId141"/>
    <hyperlink xmlns:r="http://schemas.openxmlformats.org/officeDocument/2006/relationships" ref="E121" r:id="rId142"/>
    <hyperlink xmlns:r="http://schemas.openxmlformats.org/officeDocument/2006/relationships" ref="Q121" r:id="rId143"/>
    <hyperlink xmlns:r="http://schemas.openxmlformats.org/officeDocument/2006/relationships" ref="E122" r:id="rId144"/>
    <hyperlink xmlns:r="http://schemas.openxmlformats.org/officeDocument/2006/relationships" ref="M122" r:id="rId145"/>
    <hyperlink xmlns:r="http://schemas.openxmlformats.org/officeDocument/2006/relationships" ref="Q122" r:id="rId146"/>
    <hyperlink xmlns:r="http://schemas.openxmlformats.org/officeDocument/2006/relationships" ref="Q123" r:id="rId147"/>
    <hyperlink xmlns:r="http://schemas.openxmlformats.org/officeDocument/2006/relationships" ref="Q124" r:id="rId148"/>
    <hyperlink xmlns:r="http://schemas.openxmlformats.org/officeDocument/2006/relationships" ref="E125" r:id="rId149"/>
    <hyperlink xmlns:r="http://schemas.openxmlformats.org/officeDocument/2006/relationships" ref="E126" r:id="rId150"/>
    <hyperlink xmlns:r="http://schemas.openxmlformats.org/officeDocument/2006/relationships" ref="Q126" r:id="rId151"/>
    <hyperlink xmlns:r="http://schemas.openxmlformats.org/officeDocument/2006/relationships" ref="E127" r:id="rId152"/>
    <hyperlink xmlns:r="http://schemas.openxmlformats.org/officeDocument/2006/relationships" ref="Q127" r:id="rId153"/>
    <hyperlink xmlns:r="http://schemas.openxmlformats.org/officeDocument/2006/relationships" ref="E128" r:id="rId154"/>
    <hyperlink xmlns:r="http://schemas.openxmlformats.org/officeDocument/2006/relationships" ref="Q128" r:id="rId155"/>
    <hyperlink xmlns:r="http://schemas.openxmlformats.org/officeDocument/2006/relationships" ref="E129" r:id="rId156"/>
    <hyperlink xmlns:r="http://schemas.openxmlformats.org/officeDocument/2006/relationships" ref="Q129" r:id="rId157"/>
    <hyperlink xmlns:r="http://schemas.openxmlformats.org/officeDocument/2006/relationships" ref="Q130" r:id="rId158"/>
    <hyperlink xmlns:r="http://schemas.openxmlformats.org/officeDocument/2006/relationships" ref="E131" r:id="rId159"/>
    <hyperlink xmlns:r="http://schemas.openxmlformats.org/officeDocument/2006/relationships" ref="Q131" r:id="rId160"/>
    <hyperlink xmlns:r="http://schemas.openxmlformats.org/officeDocument/2006/relationships" ref="E132" r:id="rId161"/>
    <hyperlink xmlns:r="http://schemas.openxmlformats.org/officeDocument/2006/relationships" ref="Q132" r:id="rId162"/>
    <hyperlink xmlns:r="http://schemas.openxmlformats.org/officeDocument/2006/relationships" ref="E133" r:id="rId163"/>
    <hyperlink xmlns:r="http://schemas.openxmlformats.org/officeDocument/2006/relationships" ref="Q133" r:id="rId164"/>
    <hyperlink xmlns:r="http://schemas.openxmlformats.org/officeDocument/2006/relationships" ref="E134" r:id="rId165"/>
    <hyperlink xmlns:r="http://schemas.openxmlformats.org/officeDocument/2006/relationships" ref="Q134" r:id="rId166"/>
    <hyperlink xmlns:r="http://schemas.openxmlformats.org/officeDocument/2006/relationships" ref="E135" r:id="rId167"/>
    <hyperlink xmlns:r="http://schemas.openxmlformats.org/officeDocument/2006/relationships" ref="Q135" r:id="rId168"/>
    <hyperlink xmlns:r="http://schemas.openxmlformats.org/officeDocument/2006/relationships" ref="E136" r:id="rId169"/>
    <hyperlink xmlns:r="http://schemas.openxmlformats.org/officeDocument/2006/relationships" ref="Q136" r:id="rId170"/>
    <hyperlink xmlns:r="http://schemas.openxmlformats.org/officeDocument/2006/relationships" ref="Q137" r:id="rId171"/>
    <hyperlink xmlns:r="http://schemas.openxmlformats.org/officeDocument/2006/relationships" ref="Q138" r:id="rId172"/>
    <hyperlink xmlns:r="http://schemas.openxmlformats.org/officeDocument/2006/relationships" ref="AB138" r:id="rId173"/>
    <hyperlink xmlns:r="http://schemas.openxmlformats.org/officeDocument/2006/relationships" ref="Q139" r:id="rId174"/>
    <hyperlink xmlns:r="http://schemas.openxmlformats.org/officeDocument/2006/relationships" ref="Q140" r:id="rId175"/>
    <hyperlink xmlns:r="http://schemas.openxmlformats.org/officeDocument/2006/relationships" ref="AB140" r:id="rId176"/>
    <hyperlink xmlns:r="http://schemas.openxmlformats.org/officeDocument/2006/relationships" ref="E141" r:id="rId177"/>
    <hyperlink xmlns:r="http://schemas.openxmlformats.org/officeDocument/2006/relationships" ref="Q141" r:id="rId178"/>
    <hyperlink xmlns:r="http://schemas.openxmlformats.org/officeDocument/2006/relationships" ref="AB141" r:id="rId179"/>
    <hyperlink xmlns:r="http://schemas.openxmlformats.org/officeDocument/2006/relationships" ref="E142" r:id="rId180"/>
    <hyperlink xmlns:r="http://schemas.openxmlformats.org/officeDocument/2006/relationships" ref="Q142" r:id="rId181"/>
    <hyperlink xmlns:r="http://schemas.openxmlformats.org/officeDocument/2006/relationships" ref="Q143" r:id="rId182"/>
    <hyperlink xmlns:r="http://schemas.openxmlformats.org/officeDocument/2006/relationships" ref="Q144" r:id="rId183"/>
    <hyperlink xmlns:r="http://schemas.openxmlformats.org/officeDocument/2006/relationships" ref="Q145" r:id="rId184"/>
    <hyperlink xmlns:r="http://schemas.openxmlformats.org/officeDocument/2006/relationships" ref="E146" r:id="rId185"/>
    <hyperlink xmlns:r="http://schemas.openxmlformats.org/officeDocument/2006/relationships" ref="Q146" r:id="rId186"/>
    <hyperlink xmlns:r="http://schemas.openxmlformats.org/officeDocument/2006/relationships" ref="E147" r:id="rId187"/>
    <hyperlink xmlns:r="http://schemas.openxmlformats.org/officeDocument/2006/relationships" ref="Q147" r:id="rId188"/>
    <hyperlink xmlns:r="http://schemas.openxmlformats.org/officeDocument/2006/relationships" ref="E148" r:id="rId189"/>
    <hyperlink xmlns:r="http://schemas.openxmlformats.org/officeDocument/2006/relationships" ref="Q148" r:id="rId190"/>
    <hyperlink xmlns:r="http://schemas.openxmlformats.org/officeDocument/2006/relationships" ref="E149" r:id="rId191"/>
    <hyperlink xmlns:r="http://schemas.openxmlformats.org/officeDocument/2006/relationships" ref="E150" r:id="rId192"/>
    <hyperlink xmlns:r="http://schemas.openxmlformats.org/officeDocument/2006/relationships" ref="E151" r:id="rId193"/>
    <hyperlink xmlns:r="http://schemas.openxmlformats.org/officeDocument/2006/relationships" ref="E152" r:id="rId194"/>
    <hyperlink xmlns:r="http://schemas.openxmlformats.org/officeDocument/2006/relationships" ref="E153" r:id="rId195"/>
    <hyperlink xmlns:r="http://schemas.openxmlformats.org/officeDocument/2006/relationships" ref="E155" r:id="rId196"/>
    <hyperlink xmlns:r="http://schemas.openxmlformats.org/officeDocument/2006/relationships" ref="Q155" r:id="rId197"/>
    <hyperlink xmlns:r="http://schemas.openxmlformats.org/officeDocument/2006/relationships" ref="E156" r:id="rId198"/>
    <hyperlink xmlns:r="http://schemas.openxmlformats.org/officeDocument/2006/relationships" ref="Q156" r:id="rId199"/>
    <hyperlink xmlns:r="http://schemas.openxmlformats.org/officeDocument/2006/relationships" ref="E157" r:id="rId200"/>
    <hyperlink xmlns:r="http://schemas.openxmlformats.org/officeDocument/2006/relationships" ref="Q157" r:id="rId201"/>
    <hyperlink xmlns:r="http://schemas.openxmlformats.org/officeDocument/2006/relationships" ref="Q158" r:id="rId202"/>
    <hyperlink xmlns:r="http://schemas.openxmlformats.org/officeDocument/2006/relationships" ref="E159" r:id="rId203"/>
    <hyperlink xmlns:r="http://schemas.openxmlformats.org/officeDocument/2006/relationships" ref="Q159" r:id="rId204"/>
    <hyperlink xmlns:r="http://schemas.openxmlformats.org/officeDocument/2006/relationships" ref="AD159" r:id="rId205"/>
    <hyperlink xmlns:r="http://schemas.openxmlformats.org/officeDocument/2006/relationships" ref="Q160" r:id="rId206"/>
    <hyperlink xmlns:r="http://schemas.openxmlformats.org/officeDocument/2006/relationships" ref="E161" r:id="rId207"/>
    <hyperlink xmlns:r="http://schemas.openxmlformats.org/officeDocument/2006/relationships" ref="Q161" r:id="rId208"/>
    <hyperlink xmlns:r="http://schemas.openxmlformats.org/officeDocument/2006/relationships" ref="Q162" r:id="rId209"/>
    <hyperlink xmlns:r="http://schemas.openxmlformats.org/officeDocument/2006/relationships" ref="Q163" r:id="rId210"/>
    <hyperlink xmlns:r="http://schemas.openxmlformats.org/officeDocument/2006/relationships" ref="E164" r:id="rId211"/>
    <hyperlink xmlns:r="http://schemas.openxmlformats.org/officeDocument/2006/relationships" ref="Q164" location="pembukuan" r:id="rId212"/>
    <hyperlink xmlns:r="http://schemas.openxmlformats.org/officeDocument/2006/relationships" ref="E165" r:id="rId213"/>
    <hyperlink xmlns:r="http://schemas.openxmlformats.org/officeDocument/2006/relationships" ref="Q165" r:id="rId214"/>
    <hyperlink xmlns:r="http://schemas.openxmlformats.org/officeDocument/2006/relationships" ref="E166" r:id="rId215"/>
    <hyperlink xmlns:r="http://schemas.openxmlformats.org/officeDocument/2006/relationships" ref="Q166" r:id="rId216"/>
    <hyperlink xmlns:r="http://schemas.openxmlformats.org/officeDocument/2006/relationships" ref="Q167" r:id="rId217"/>
    <hyperlink xmlns:r="http://schemas.openxmlformats.org/officeDocument/2006/relationships" ref="Q168" r:id="rId218"/>
    <hyperlink xmlns:r="http://schemas.openxmlformats.org/officeDocument/2006/relationships" ref="E169" r:id="rId219"/>
    <hyperlink xmlns:r="http://schemas.openxmlformats.org/officeDocument/2006/relationships" ref="Q169" r:id="rId220"/>
    <hyperlink xmlns:r="http://schemas.openxmlformats.org/officeDocument/2006/relationships" ref="E170" r:id="rId221"/>
    <hyperlink xmlns:r="http://schemas.openxmlformats.org/officeDocument/2006/relationships" ref="E171" r:id="rId222"/>
    <hyperlink xmlns:r="http://schemas.openxmlformats.org/officeDocument/2006/relationships" ref="Q171" r:id="rId223"/>
    <hyperlink xmlns:r="http://schemas.openxmlformats.org/officeDocument/2006/relationships" ref="E172" r:id="rId224"/>
    <hyperlink xmlns:r="http://schemas.openxmlformats.org/officeDocument/2006/relationships" ref="Q172" r:id="rId225"/>
    <hyperlink xmlns:r="http://schemas.openxmlformats.org/officeDocument/2006/relationships" ref="Q173" r:id="rId226"/>
    <hyperlink xmlns:r="http://schemas.openxmlformats.org/officeDocument/2006/relationships" ref="E174" r:id="rId227"/>
    <hyperlink xmlns:r="http://schemas.openxmlformats.org/officeDocument/2006/relationships" ref="Q174" r:id="rId228"/>
    <hyperlink xmlns:r="http://schemas.openxmlformats.org/officeDocument/2006/relationships" ref="AD174" r:id="rId229"/>
    <hyperlink xmlns:r="http://schemas.openxmlformats.org/officeDocument/2006/relationships" ref="E175" r:id="rId230"/>
    <hyperlink xmlns:r="http://schemas.openxmlformats.org/officeDocument/2006/relationships" ref="E176" r:id="rId231"/>
    <hyperlink xmlns:r="http://schemas.openxmlformats.org/officeDocument/2006/relationships" ref="Q176" r:id="rId232"/>
    <hyperlink xmlns:r="http://schemas.openxmlformats.org/officeDocument/2006/relationships" ref="E177" r:id="rId233"/>
    <hyperlink xmlns:r="http://schemas.openxmlformats.org/officeDocument/2006/relationships" ref="Q177" r:id="rId234"/>
    <hyperlink xmlns:r="http://schemas.openxmlformats.org/officeDocument/2006/relationships" ref="E178" r:id="rId235"/>
    <hyperlink xmlns:r="http://schemas.openxmlformats.org/officeDocument/2006/relationships" ref="Q178" r:id="rId236"/>
    <hyperlink xmlns:r="http://schemas.openxmlformats.org/officeDocument/2006/relationships" ref="E179" r:id="rId237"/>
    <hyperlink xmlns:r="http://schemas.openxmlformats.org/officeDocument/2006/relationships" ref="Q179" r:id="rId238"/>
    <hyperlink xmlns:r="http://schemas.openxmlformats.org/officeDocument/2006/relationships" ref="E180" r:id="rId239"/>
    <hyperlink xmlns:r="http://schemas.openxmlformats.org/officeDocument/2006/relationships" ref="E181" r:id="rId240"/>
    <hyperlink xmlns:r="http://schemas.openxmlformats.org/officeDocument/2006/relationships" ref="Q181" r:id="rId241"/>
    <hyperlink xmlns:r="http://schemas.openxmlformats.org/officeDocument/2006/relationships" ref="Q182" r:id="rId242"/>
    <hyperlink xmlns:r="http://schemas.openxmlformats.org/officeDocument/2006/relationships" ref="Q183" r:id="rId243"/>
    <hyperlink xmlns:r="http://schemas.openxmlformats.org/officeDocument/2006/relationships" ref="Q184" r:id="rId244"/>
    <hyperlink xmlns:r="http://schemas.openxmlformats.org/officeDocument/2006/relationships" ref="AB184" r:id="rId245"/>
    <hyperlink xmlns:r="http://schemas.openxmlformats.org/officeDocument/2006/relationships" ref="Q185" r:id="rId246"/>
    <hyperlink xmlns:r="http://schemas.openxmlformats.org/officeDocument/2006/relationships" ref="Q187" r:id="rId247"/>
    <hyperlink xmlns:r="http://schemas.openxmlformats.org/officeDocument/2006/relationships" ref="Q188" r:id="rId248"/>
    <hyperlink xmlns:r="http://schemas.openxmlformats.org/officeDocument/2006/relationships" ref="Q189" r:id="rId249"/>
    <hyperlink xmlns:r="http://schemas.openxmlformats.org/officeDocument/2006/relationships" ref="Q190" r:id="rId250"/>
    <hyperlink xmlns:r="http://schemas.openxmlformats.org/officeDocument/2006/relationships" ref="Q191" r:id="rId251"/>
    <hyperlink xmlns:r="http://schemas.openxmlformats.org/officeDocument/2006/relationships" ref="Q192" r:id="rId252"/>
    <hyperlink xmlns:r="http://schemas.openxmlformats.org/officeDocument/2006/relationships" ref="AB192" r:id="rId253"/>
    <hyperlink xmlns:r="http://schemas.openxmlformats.org/officeDocument/2006/relationships" ref="Q193" r:id="rId254"/>
    <hyperlink xmlns:r="http://schemas.openxmlformats.org/officeDocument/2006/relationships" ref="E194" r:id="rId255"/>
    <hyperlink xmlns:r="http://schemas.openxmlformats.org/officeDocument/2006/relationships" ref="Q196" r:id="rId256"/>
    <hyperlink xmlns:r="http://schemas.openxmlformats.org/officeDocument/2006/relationships" ref="E197" r:id="rId257"/>
    <hyperlink xmlns:r="http://schemas.openxmlformats.org/officeDocument/2006/relationships" ref="Q198" r:id="rId258"/>
    <hyperlink xmlns:r="http://schemas.openxmlformats.org/officeDocument/2006/relationships" ref="Q199" r:id="rId259"/>
    <hyperlink xmlns:r="http://schemas.openxmlformats.org/officeDocument/2006/relationships" ref="Q203" r:id="rId260"/>
    <hyperlink xmlns:r="http://schemas.openxmlformats.org/officeDocument/2006/relationships" ref="W203" r:id="rId261"/>
    <hyperlink xmlns:r="http://schemas.openxmlformats.org/officeDocument/2006/relationships" ref="AB203" r:id="rId262"/>
    <hyperlink xmlns:r="http://schemas.openxmlformats.org/officeDocument/2006/relationships" ref="E205" r:id="rId263"/>
    <hyperlink xmlns:r="http://schemas.openxmlformats.org/officeDocument/2006/relationships" ref="Q206" r:id="rId264"/>
    <hyperlink xmlns:r="http://schemas.openxmlformats.org/officeDocument/2006/relationships" ref="Q207" r:id="rId265"/>
    <hyperlink xmlns:r="http://schemas.openxmlformats.org/officeDocument/2006/relationships" ref="E209" r:id="rId266"/>
    <hyperlink xmlns:r="http://schemas.openxmlformats.org/officeDocument/2006/relationships" ref="Q209" r:id="rId267"/>
    <hyperlink xmlns:r="http://schemas.openxmlformats.org/officeDocument/2006/relationships" ref="Q210" r:id="rId268"/>
    <hyperlink xmlns:r="http://schemas.openxmlformats.org/officeDocument/2006/relationships" ref="D211" r:id="rId269"/>
    <hyperlink xmlns:r="http://schemas.openxmlformats.org/officeDocument/2006/relationships" ref="E211" r:id="rId270"/>
    <hyperlink xmlns:r="http://schemas.openxmlformats.org/officeDocument/2006/relationships" ref="Q211" r:id="rId271"/>
    <hyperlink xmlns:r="http://schemas.openxmlformats.org/officeDocument/2006/relationships" ref="Q212" r:id="rId272"/>
    <hyperlink xmlns:r="http://schemas.openxmlformats.org/officeDocument/2006/relationships" ref="Q213" r:id="rId273"/>
    <hyperlink xmlns:r="http://schemas.openxmlformats.org/officeDocument/2006/relationships" ref="Q214" r:id="rId274"/>
    <hyperlink xmlns:r="http://schemas.openxmlformats.org/officeDocument/2006/relationships" ref="AB215" r:id="rId275"/>
    <hyperlink xmlns:r="http://schemas.openxmlformats.org/officeDocument/2006/relationships" ref="Q216" r:id="rId276"/>
    <hyperlink xmlns:r="http://schemas.openxmlformats.org/officeDocument/2006/relationships" ref="Q217" r:id="rId277"/>
    <hyperlink xmlns:r="http://schemas.openxmlformats.org/officeDocument/2006/relationships" ref="D218" r:id="rId278"/>
    <hyperlink xmlns:r="http://schemas.openxmlformats.org/officeDocument/2006/relationships" ref="E218" r:id="rId279"/>
    <hyperlink xmlns:r="http://schemas.openxmlformats.org/officeDocument/2006/relationships" ref="Q218" r:id="rId280"/>
  </hyperlinks>
  <pageMargins left="0.75" right="0.75" top="1" bottom="1" header="0.5" footer="0.5"/>
</worksheet>
</file>

<file path=xl/worksheets/sheet5.xml><?xml version="1.0" encoding="utf-8"?>
<worksheet xmlns="http://schemas.openxmlformats.org/spreadsheetml/2006/main">
  <sheetPr>
    <tabColor rgb="FFEA9999"/>
    <outlinePr summaryBelow="0" summaryRight="0"/>
    <pageSetUpPr/>
  </sheetPr>
  <dimension ref="A1:AR204"/>
  <sheetViews>
    <sheetView workbookViewId="0">
      <pane ySplit="2" topLeftCell="A3" activePane="bottomLeft" state="frozen"/>
      <selection pane="bottomLeft" activeCell="B4" sqref="B4"/>
    </sheetView>
  </sheetViews>
  <sheetFormatPr baseColWidth="8" defaultColWidth="12.63" defaultRowHeight="15.75" customHeight="1"/>
  <cols>
    <col width="10.13" customWidth="1" style="346" min="1" max="1"/>
    <col width="21.38" customWidth="1" style="346" min="2" max="2"/>
    <col width="59.63" customWidth="1" style="346" min="3" max="3"/>
    <col hidden="1" width="35.5" customWidth="1" style="346" min="4" max="4"/>
    <col hidden="1" width="17" customWidth="1" style="346" min="5" max="5"/>
    <col width="34.13" customWidth="1" style="346" min="6" max="6"/>
    <col width="16.75" customWidth="1" style="346" min="7" max="7"/>
    <col width="12.13" customWidth="1" style="346" min="9" max="9"/>
    <col width="13.13" customWidth="1" style="346" min="10" max="10"/>
    <col width="15" customWidth="1" style="346" min="11" max="11"/>
    <col width="14.25" customWidth="1" style="346" min="12" max="12"/>
    <col width="20.13" customWidth="1" style="346" min="13" max="13"/>
    <col width="18.13" customWidth="1" style="346" min="14" max="14"/>
    <col width="18.38" customWidth="1" style="346" min="15" max="15"/>
    <col width="17" customWidth="1" style="346" min="16" max="16"/>
    <col width="22.5" customWidth="1" style="346" min="17" max="17"/>
    <col width="18.63" customWidth="1" style="346" min="18" max="18"/>
    <col width="17.75" customWidth="1" style="346" min="19" max="19"/>
    <col width="16.88" customWidth="1" style="346" min="20" max="20"/>
    <col width="13.75" customWidth="1" style="346" min="22" max="22"/>
    <col width="15.38" customWidth="1" style="346" min="23" max="23"/>
    <col width="16.75" customWidth="1" style="346" min="24" max="24"/>
    <col width="15.88" customWidth="1" style="346" min="25" max="25"/>
    <col width="15.5" customWidth="1" style="346" min="26" max="26"/>
    <col width="18.13" customWidth="1" style="346" min="27" max="27"/>
    <col width="14.88" customWidth="1" style="346" min="29" max="29"/>
    <col width="15.5" customWidth="1" style="346" min="30" max="30"/>
  </cols>
  <sheetData>
    <row r="1">
      <c r="A1" s="1" t="inlineStr">
        <is>
          <t>No</t>
        </is>
      </c>
      <c r="B1" s="2" t="inlineStr">
        <is>
          <t>Nama Layanan</t>
        </is>
      </c>
      <c r="C1" s="2" t="inlineStr">
        <is>
          <t>Tujuan dan Fungsi Layanan</t>
        </is>
      </c>
      <c r="D1" s="2" t="inlineStr">
        <is>
          <t>Dasar Hukum Layanan</t>
        </is>
      </c>
      <c r="E1" s="2" t="inlineStr">
        <is>
          <t>SOP / Proses Bisnis Layanan</t>
        </is>
      </c>
      <c r="F1" s="2" t="inlineStr">
        <is>
          <t>Referensi Layanan</t>
        </is>
      </c>
      <c r="G1" s="2" t="inlineStr">
        <is>
          <t>Target Layanan</t>
        </is>
      </c>
      <c r="H1" s="3" t="inlineStr">
        <is>
          <t>Data yang dimasukan</t>
        </is>
      </c>
      <c r="I1" s="3" t="inlineStr">
        <is>
          <t>Data yang dihasilkan</t>
        </is>
      </c>
      <c r="J1" s="3" t="inlineStr">
        <is>
          <t>Sifat Data</t>
        </is>
      </c>
      <c r="K1" s="3" t="inlineStr">
        <is>
          <t>Data Pribadi</t>
        </is>
      </c>
      <c r="L1" s="3" t="inlineStr">
        <is>
          <t>Interval update data yang dihasilkan</t>
        </is>
      </c>
      <c r="M1" s="4" t="inlineStr">
        <is>
          <t>Aplikasi Pendukung</t>
        </is>
      </c>
      <c r="N1" s="4" t="inlineStr">
        <is>
          <t>Pengembang</t>
        </is>
      </c>
      <c r="O1" s="4" t="inlineStr">
        <is>
          <t>Pemilik</t>
        </is>
      </c>
      <c r="P1" s="4" t="inlineStr">
        <is>
          <t>Platform</t>
        </is>
      </c>
      <c r="Q1" s="4" t="inlineStr">
        <is>
          <t>Alamat Aplikasi</t>
        </is>
      </c>
      <c r="R1" s="4" t="inlineStr">
        <is>
          <t>Kategori Akses</t>
        </is>
      </c>
      <c r="S1" s="4" t="inlineStr">
        <is>
          <t>Jenis Aplikasi</t>
        </is>
      </c>
      <c r="T1" s="4" t="inlineStr">
        <is>
          <t>Tahun Pembuatan</t>
        </is>
      </c>
      <c r="U1" s="4" t="inlineStr">
        <is>
          <t>Status Aplikasi</t>
        </is>
      </c>
      <c r="V1" s="4" t="inlineStr">
        <is>
          <t>Telah Terintegrasi</t>
        </is>
      </c>
      <c r="W1" s="4" t="inlineStr">
        <is>
          <t>Terintegrasi dengan Aplikasi</t>
        </is>
      </c>
      <c r="X1" s="4" t="inlineStr">
        <is>
          <t>Mekanisme Integrasi</t>
        </is>
      </c>
      <c r="Y1" s="4" t="inlineStr">
        <is>
          <t>Frekuensi Sinkronisasi</t>
        </is>
      </c>
      <c r="Z1" s="5" t="inlineStr">
        <is>
          <t>Bidang / Unit Kerja</t>
        </is>
      </c>
      <c r="AA1" s="5" t="inlineStr">
        <is>
          <t>OPD</t>
        </is>
      </c>
      <c r="AB1" s="5" t="inlineStr">
        <is>
          <t>Nama</t>
        </is>
      </c>
      <c r="AC1" s="5" t="inlineStr">
        <is>
          <t>No. HP</t>
        </is>
      </c>
      <c r="AD1" s="5" t="inlineStr">
        <is>
          <t>Email</t>
        </is>
      </c>
      <c r="AE1" s="31" t="inlineStr">
        <is>
          <t>Keterkaitan 58 Rencana Aksi</t>
        </is>
      </c>
      <c r="AF1" s="31" t="inlineStr">
        <is>
          <t>Frekuensi Penggunaan Aplikasi</t>
        </is>
      </c>
      <c r="AG1" s="31" t="inlineStr">
        <is>
          <t>TA</t>
        </is>
      </c>
      <c r="AH1" s="7" t="n"/>
      <c r="AI1" s="7" t="n"/>
      <c r="AJ1" s="7" t="n"/>
      <c r="AK1" s="7" t="n"/>
      <c r="AL1" s="7" t="n"/>
      <c r="AM1" s="7" t="n"/>
      <c r="AN1" s="7" t="n"/>
      <c r="AO1" s="7" t="n"/>
      <c r="AP1" s="7" t="n"/>
      <c r="AQ1" s="7" t="n"/>
      <c r="AR1" s="7" t="n"/>
    </row>
    <row r="2" hidden="1" s="346">
      <c r="A2" s="8" t="n">
        <v>1</v>
      </c>
      <c r="B2" s="9" t="n">
        <v>2</v>
      </c>
      <c r="C2" s="9" t="n">
        <v>3</v>
      </c>
      <c r="D2" s="9" t="n">
        <v>4</v>
      </c>
      <c r="E2" s="9" t="n">
        <v>5</v>
      </c>
      <c r="F2" s="9" t="n">
        <v>6</v>
      </c>
      <c r="G2" s="9" t="n">
        <v>7</v>
      </c>
      <c r="H2" s="11" t="n">
        <v>8</v>
      </c>
      <c r="I2" s="11" t="n">
        <v>9</v>
      </c>
      <c r="J2" s="11" t="n">
        <v>10</v>
      </c>
      <c r="K2" s="11" t="n">
        <v>11</v>
      </c>
      <c r="L2" s="11" t="n">
        <v>12</v>
      </c>
      <c r="M2" s="14" t="n">
        <v>13</v>
      </c>
      <c r="N2" s="14" t="n">
        <v>14</v>
      </c>
      <c r="O2" s="14" t="n">
        <v>15</v>
      </c>
      <c r="P2" s="14" t="n">
        <v>16</v>
      </c>
      <c r="Q2" s="14" t="n">
        <v>17</v>
      </c>
      <c r="R2" s="14" t="n">
        <v>18</v>
      </c>
      <c r="S2" s="14" t="n">
        <v>19</v>
      </c>
      <c r="T2" s="14" t="n">
        <v>20</v>
      </c>
      <c r="U2" s="14" t="n">
        <v>21</v>
      </c>
      <c r="V2" s="14" t="n">
        <v>22</v>
      </c>
      <c r="W2" s="14" t="n">
        <v>23</v>
      </c>
      <c r="X2" s="14" t="n">
        <v>24</v>
      </c>
      <c r="Y2" s="14" t="n">
        <v>25</v>
      </c>
      <c r="Z2" s="15" t="n">
        <v>26</v>
      </c>
      <c r="AA2" s="15" t="n">
        <v>27</v>
      </c>
      <c r="AB2" s="15" t="n">
        <v>28</v>
      </c>
      <c r="AC2" s="15" t="n">
        <v>29</v>
      </c>
      <c r="AD2" s="15" t="n">
        <v>30</v>
      </c>
      <c r="AE2" s="33" t="n">
        <v>31</v>
      </c>
      <c r="AF2" s="33" t="n">
        <v>32</v>
      </c>
      <c r="AG2" s="33" t="n">
        <v>33</v>
      </c>
      <c r="AH2" s="18" t="n"/>
      <c r="AI2" s="18" t="n"/>
      <c r="AJ2" s="18" t="n"/>
      <c r="AK2" s="18" t="n"/>
      <c r="AL2" s="18" t="n"/>
      <c r="AM2" s="18" t="n"/>
      <c r="AN2" s="18" t="n"/>
      <c r="AO2" s="18" t="n"/>
      <c r="AP2" s="18" t="n"/>
      <c r="AQ2" s="18" t="n"/>
      <c r="AR2" s="18" t="n"/>
    </row>
    <row r="3" hidden="1" s="346">
      <c r="A3" s="8" t="n">
        <v>1</v>
      </c>
      <c r="B3" s="41" t="inlineStr">
        <is>
          <t>Layanan Radio Kandaga</t>
        </is>
      </c>
      <c r="C3" s="41" t="inlineStr">
        <is>
          <t>layanan bagi para pembicara yang telah menyampaiakan informasi melalui Podcast Radio Kandaga</t>
        </is>
      </c>
      <c r="D3" s="41" t="n"/>
      <c r="E3" s="41" t="n"/>
      <c r="F3" s="46" t="inlineStr">
        <is>
          <t>PENYIARAN RADIO PUBLIK</t>
        </is>
      </c>
      <c r="G3" s="46" t="inlineStr">
        <is>
          <t>Masyarakat</t>
        </is>
      </c>
      <c r="H3" s="42" t="inlineStr">
        <is>
          <t>Data Siaran atau Podcast</t>
        </is>
      </c>
      <c r="I3" s="43" t="inlineStr">
        <is>
          <t>Data Siaran atau Podcast</t>
        </is>
      </c>
      <c r="J3" s="46" t="inlineStr">
        <is>
          <t>Terbuka</t>
        </is>
      </c>
      <c r="K3" s="46" t="n"/>
      <c r="L3" s="46" t="inlineStr">
        <is>
          <t>Tahunan</t>
        </is>
      </c>
      <c r="M3" s="44" t="inlineStr">
        <is>
          <t>KANDAGA</t>
        </is>
      </c>
      <c r="N3" s="46" t="n"/>
      <c r="O3" s="46" t="n"/>
      <c r="P3" s="46" t="inlineStr">
        <is>
          <t>Mobile</t>
        </is>
      </c>
      <c r="Q3" s="22" t="inlineStr">
        <is>
          <t>https://play.google.com/store/apps/details?id=com.diskominfo.radiokandagabedas&amp;pcampaignid=web_share</t>
        </is>
      </c>
      <c r="R3" s="46" t="n"/>
      <c r="S3" s="46" t="n"/>
      <c r="T3" s="41" t="n"/>
      <c r="U3" s="46" t="n"/>
      <c r="V3" s="46" t="n"/>
      <c r="W3" s="46" t="n"/>
      <c r="X3" s="46" t="n"/>
      <c r="Y3" s="46" t="n"/>
      <c r="Z3" s="45" t="inlineStr">
        <is>
          <t>Penyelenggaraan Informasi dan Komunikasi Publik</t>
        </is>
      </c>
      <c r="AA3" s="46" t="inlineStr">
        <is>
          <t>Diskominfo</t>
        </is>
      </c>
      <c r="AB3" s="41" t="n"/>
      <c r="AC3" s="41" t="n"/>
      <c r="AD3" s="41" t="n"/>
      <c r="AE3" s="39" t="n"/>
      <c r="AF3" s="39" t="n"/>
      <c r="AG3" s="24" t="n"/>
      <c r="AH3" s="24" t="n"/>
      <c r="AI3" s="24" t="n"/>
      <c r="AJ3" s="24" t="n"/>
      <c r="AK3" s="24" t="n"/>
      <c r="AL3" s="24" t="n"/>
      <c r="AM3" s="24" t="n"/>
      <c r="AN3" s="24" t="n"/>
      <c r="AO3" s="24" t="n"/>
      <c r="AP3" s="24" t="n"/>
      <c r="AQ3" s="24" t="n"/>
      <c r="AR3" s="24" t="n"/>
    </row>
    <row r="4" hidden="1" s="346">
      <c r="A4" s="8" t="n">
        <v>2</v>
      </c>
      <c r="B4" s="41" t="inlineStr">
        <is>
          <t>Layanan Pembinaan dan Fasilitasi KIM</t>
        </is>
      </c>
      <c r="C4" s="41" t="inlineStr">
        <is>
          <t>Layanan Pembinaan dan Fasilitasi KIM: Mendorong pengembangan kawasan industri melalui pembinaan dan fasilitasi.</t>
        </is>
      </c>
      <c r="D4" s="41" t="n"/>
      <c r="E4" s="41" t="n"/>
      <c r="F4" s="46" t="inlineStr">
        <is>
          <t>PEMBERDAYAAN DAN PERAN MASYARAKAT</t>
        </is>
      </c>
      <c r="G4" s="46" t="inlineStr">
        <is>
          <t>Instansi Pemerintah Lainnya</t>
        </is>
      </c>
      <c r="H4" s="50" t="inlineStr">
        <is>
          <t>Data Peserta KIM</t>
        </is>
      </c>
      <c r="I4" s="41" t="inlineStr">
        <is>
          <t>Data Peserta KIM</t>
        </is>
      </c>
      <c r="J4" s="46" t="inlineStr">
        <is>
          <t>Terbatas</t>
        </is>
      </c>
      <c r="K4" s="46" t="n"/>
      <c r="L4" s="46" t="inlineStr">
        <is>
          <t>Tahunan</t>
        </is>
      </c>
      <c r="M4" s="51" t="inlineStr">
        <is>
          <t>KIM</t>
        </is>
      </c>
      <c r="N4" s="46" t="n"/>
      <c r="O4" s="46" t="inlineStr">
        <is>
          <t>Pusat</t>
        </is>
      </c>
      <c r="P4" s="46" t="inlineStr">
        <is>
          <t>Website</t>
        </is>
      </c>
      <c r="Q4" s="52" t="inlineStr">
        <is>
          <t>https://kimonline.bandungkab.go.id/ kim/</t>
        </is>
      </c>
      <c r="R4" s="46" t="n"/>
      <c r="S4" s="46" t="n"/>
      <c r="T4" s="41" t="n"/>
      <c r="U4" s="46" t="n"/>
      <c r="V4" s="46" t="n"/>
      <c r="W4" s="46" t="n"/>
      <c r="X4" s="46" t="n"/>
      <c r="Y4" s="46" t="n"/>
      <c r="Z4" s="46" t="n"/>
      <c r="AA4" s="46" t="inlineStr">
        <is>
          <t>Diskominfo</t>
        </is>
      </c>
      <c r="AB4" s="41" t="n"/>
      <c r="AC4" s="41" t="n"/>
      <c r="AD4" s="41" t="n"/>
      <c r="AE4" s="39" t="n"/>
      <c r="AF4" s="39" t="n"/>
      <c r="AG4" s="24" t="n"/>
      <c r="AH4" s="24" t="n"/>
      <c r="AI4" s="24" t="n"/>
      <c r="AJ4" s="24" t="n"/>
      <c r="AK4" s="24" t="n"/>
      <c r="AL4" s="24" t="n"/>
      <c r="AM4" s="24" t="n"/>
      <c r="AN4" s="24" t="n"/>
      <c r="AO4" s="24" t="n"/>
      <c r="AP4" s="24" t="n"/>
      <c r="AQ4" s="24" t="n"/>
      <c r="AR4" s="24" t="n"/>
    </row>
    <row r="5">
      <c r="A5" s="8" t="n">
        <v>3</v>
      </c>
      <c r="B5" s="41" t="inlineStr">
        <is>
          <t>Layanan Portal Aplikasi</t>
        </is>
      </c>
      <c r="C5" s="41" t="inlineStr">
        <is>
          <t>Layanan Portal Aplikasi: Memberikan akses terpadu ke berbagai aplikasi pemerintah daerah.</t>
        </is>
      </c>
      <c r="D5" s="41" t="n"/>
      <c r="E5" s="41" t="n"/>
      <c r="F5" s="46" t="inlineStr">
        <is>
          <t>PENATAKELOLAAN APLIKASI INFORMATIKA</t>
        </is>
      </c>
      <c r="G5" s="46" t="inlineStr">
        <is>
          <t>Instansi Pemerintah Lainnya</t>
        </is>
      </c>
      <c r="H5" s="54" t="inlineStr">
        <is>
          <t>Data Portal Layanan</t>
        </is>
      </c>
      <c r="I5" s="41" t="inlineStr">
        <is>
          <t>Data Portal Layanan</t>
        </is>
      </c>
      <c r="J5" s="46" t="inlineStr">
        <is>
          <t>Terbuka</t>
        </is>
      </c>
      <c r="K5" s="46" t="n"/>
      <c r="L5" s="46" t="inlineStr">
        <is>
          <t>Tahunan</t>
        </is>
      </c>
      <c r="M5" s="283" t="inlineStr">
        <is>
          <t>PORTAL KAB BANDUNG</t>
        </is>
      </c>
      <c r="N5" s="46" t="inlineStr">
        <is>
          <t>Diskominfo</t>
        </is>
      </c>
      <c r="O5" s="46" t="inlineStr">
        <is>
          <t>Kab. Bandung</t>
        </is>
      </c>
      <c r="P5" s="46" t="inlineStr">
        <is>
          <t>Website</t>
        </is>
      </c>
      <c r="Q5" s="22" t="inlineStr">
        <is>
          <t>https://bandungkab.go.id/</t>
        </is>
      </c>
      <c r="R5" s="46" t="n"/>
      <c r="S5" s="46" t="n"/>
      <c r="T5" s="41" t="n"/>
      <c r="U5" s="46" t="n"/>
      <c r="V5" s="46" t="n"/>
      <c r="W5" s="46" t="n"/>
      <c r="X5" s="46" t="n"/>
      <c r="Y5" s="46" t="n"/>
      <c r="Z5" s="46" t="n"/>
      <c r="AA5" s="46" t="inlineStr">
        <is>
          <t>Diskominfo</t>
        </is>
      </c>
      <c r="AB5" s="41" t="n"/>
      <c r="AC5" s="41" t="n"/>
      <c r="AD5" s="41" t="n"/>
      <c r="AE5" s="39" t="n"/>
      <c r="AF5" s="39" t="n"/>
      <c r="AG5" s="24" t="n"/>
      <c r="AH5" s="24" t="n"/>
      <c r="AI5" s="24" t="n"/>
      <c r="AJ5" s="24" t="n"/>
      <c r="AK5" s="24" t="n"/>
      <c r="AL5" s="24" t="n"/>
      <c r="AM5" s="24" t="n"/>
      <c r="AN5" s="24" t="n"/>
      <c r="AO5" s="24" t="n"/>
      <c r="AP5" s="24" t="n"/>
      <c r="AQ5" s="24" t="n"/>
      <c r="AR5" s="24" t="n"/>
    </row>
    <row r="6" hidden="1" s="346">
      <c r="A6" s="8" t="n">
        <v>4</v>
      </c>
      <c r="B6" s="41" t="inlineStr">
        <is>
          <t>Layanan Smart CIty</t>
        </is>
      </c>
      <c r="C6" s="41" t="inlineStr">
        <is>
          <t>Layanan Smart City: Mengintegrasikan teknologi untuk meningkatkan efisiensi dan kualitas hidup warga dalam konteks perkotaan.</t>
        </is>
      </c>
      <c r="D6" s="41" t="n"/>
      <c r="E6" s="41" t="n"/>
      <c r="F6" s="46" t="inlineStr">
        <is>
          <t>PENINGKATAN KUALITAS PELAYANAN PUBLIK</t>
        </is>
      </c>
      <c r="G6" s="46" t="inlineStr">
        <is>
          <t>Masyarakat</t>
        </is>
      </c>
      <c r="H6" s="48" t="inlineStr">
        <is>
          <t>Data Smart City</t>
        </is>
      </c>
      <c r="I6" s="41" t="inlineStr">
        <is>
          <t>Data Smart City</t>
        </is>
      </c>
      <c r="J6" s="46" t="inlineStr">
        <is>
          <t>Terbuka</t>
        </is>
      </c>
      <c r="K6" s="46" t="n"/>
      <c r="L6" s="46" t="inlineStr">
        <is>
          <t>Tahunan</t>
        </is>
      </c>
      <c r="M6" s="53" t="inlineStr">
        <is>
          <t>SMART CITY</t>
        </is>
      </c>
      <c r="N6" s="46" t="n"/>
      <c r="O6" s="46" t="n"/>
      <c r="P6" s="46" t="inlineStr">
        <is>
          <t>Website</t>
        </is>
      </c>
      <c r="Q6" s="22" t="inlineStr">
        <is>
          <t>https://smartcity.bandungkab.go.id/</t>
        </is>
      </c>
      <c r="R6" s="46" t="n"/>
      <c r="S6" s="46" t="n"/>
      <c r="T6" s="41" t="n"/>
      <c r="U6" s="46" t="n"/>
      <c r="V6" s="46" t="n"/>
      <c r="W6" s="46" t="n"/>
      <c r="X6" s="46" t="n"/>
      <c r="Y6" s="46" t="n"/>
      <c r="Z6" s="46" t="n"/>
      <c r="AA6" s="46" t="inlineStr">
        <is>
          <t>Diskominfo</t>
        </is>
      </c>
      <c r="AB6" s="41" t="n"/>
      <c r="AC6" s="41" t="n"/>
      <c r="AD6" s="41" t="n"/>
      <c r="AE6" s="39" t="n"/>
      <c r="AF6" s="39" t="n"/>
      <c r="AG6" s="24" t="n"/>
      <c r="AH6" s="24" t="n"/>
      <c r="AI6" s="24" t="n"/>
      <c r="AJ6" s="24" t="n"/>
      <c r="AK6" s="24" t="n"/>
      <c r="AL6" s="24" t="n"/>
      <c r="AM6" s="24" t="n"/>
      <c r="AN6" s="24" t="n"/>
      <c r="AO6" s="24" t="n"/>
      <c r="AP6" s="24" t="n"/>
      <c r="AQ6" s="24" t="n"/>
      <c r="AR6" s="24" t="n"/>
    </row>
    <row r="7">
      <c r="A7" s="62" t="n">
        <v>5</v>
      </c>
      <c r="B7" s="63" t="inlineStr">
        <is>
          <t>Layanan Sistem Informasi Tindak Lanjut Hasil Layanan Terpadu</t>
        </is>
      </c>
      <c r="C7" s="63" t="inlineStr">
        <is>
          <t>Layanan Sistem Informasi Tindak Lanjut Hasil Layanan Terpadu mengacu pada sistem informasi berbasis web untuk mengelola dan memantau proses tindak lanjut (TL) hasil rekomendasi pemeriksaan oleh lembaga seperti Badan Pemeriksa Keuangan (BPK), agar prosesnya menjadi lebih efisien, transparan, dan akuntabel melalui digitalisasi data dan komunikasi online secara real-time antara BPK dan entitas yang diperiksa.</t>
        </is>
      </c>
      <c r="D7" s="63" t="inlineStr">
        <is>
          <t>Undang-Undang Nomor 25 Tahun 2009 tentang Pelayanan Publik, Peraturan Pemerintah Nomor 96 Tahun 2012</t>
        </is>
      </c>
      <c r="E7" s="288" t="n"/>
      <c r="F7" s="64" t="inlineStr">
        <is>
          <t>PENINGKATAN KUALITAS PELAYANAN PUBLIK</t>
        </is>
      </c>
      <c r="G7" s="64" t="inlineStr">
        <is>
          <t>Instansi Pemerintah Lainnya</t>
        </is>
      </c>
      <c r="H7" s="64" t="inlineStr">
        <is>
          <t>Data Evidence Tindak Lanjut yang Direkomendasikan</t>
        </is>
      </c>
      <c r="I7" s="64" t="inlineStr">
        <is>
          <t>Data Hasil Tindak Lanjut</t>
        </is>
      </c>
      <c r="J7" s="64" t="inlineStr">
        <is>
          <t>Terbatas</t>
        </is>
      </c>
      <c r="K7" s="64" t="inlineStr">
        <is>
          <t>Tidak terdapat</t>
        </is>
      </c>
      <c r="L7" s="64" t="inlineStr">
        <is>
          <t>Tahunan</t>
        </is>
      </c>
      <c r="M7" s="64" t="inlineStr">
        <is>
          <t>SIMASLAHAT</t>
        </is>
      </c>
      <c r="N7" s="64" t="inlineStr">
        <is>
          <t>Pihak Ke 3</t>
        </is>
      </c>
      <c r="O7" s="64" t="inlineStr">
        <is>
          <t>Kab. Bandung</t>
        </is>
      </c>
      <c r="P7" s="64" t="inlineStr">
        <is>
          <t>Website</t>
        </is>
      </c>
      <c r="Q7" s="66" t="inlineStr">
        <is>
          <t>https://simaslahat.bandungkab.go.id</t>
        </is>
      </c>
      <c r="R7" s="64" t="inlineStr">
        <is>
          <t>Secara Online</t>
        </is>
      </c>
      <c r="S7" s="64" t="inlineStr">
        <is>
          <t>Transaksi</t>
        </is>
      </c>
      <c r="T7" s="64" t="n">
        <v>2022</v>
      </c>
      <c r="U7" s="64" t="inlineStr">
        <is>
          <t>Aktif</t>
        </is>
      </c>
      <c r="V7" s="64" t="inlineStr">
        <is>
          <t>Tidak</t>
        </is>
      </c>
      <c r="W7" s="64" t="inlineStr">
        <is>
          <t>Tidak Terintegrasi</t>
        </is>
      </c>
      <c r="X7" s="64" t="inlineStr">
        <is>
          <t>Tidak Terintegrasi</t>
        </is>
      </c>
      <c r="Y7" s="64" t="inlineStr">
        <is>
          <t>Tidak Terintegrasi</t>
        </is>
      </c>
      <c r="Z7" s="64" t="inlineStr">
        <is>
          <t>Bagian Perencanaan dan Keuangan</t>
        </is>
      </c>
      <c r="AA7" s="65" t="inlineStr">
        <is>
          <t>Setda</t>
        </is>
      </c>
      <c r="AB7" s="63" t="inlineStr">
        <is>
          <t>VERRYNOVYANDI SADIKIN, SE., MM</t>
        </is>
      </c>
      <c r="AC7" s="63" t="n">
        <v>895327038135</v>
      </c>
      <c r="AD7" s="63" t="inlineStr">
        <is>
          <t>setdakab.bdg@gmail.com</t>
        </is>
      </c>
      <c r="AE7" s="67" t="inlineStr">
        <is>
          <t>-</t>
        </is>
      </c>
      <c r="AF7" s="68" t="inlineStr">
        <is>
          <t>Tahunan</t>
        </is>
      </c>
      <c r="AG7" s="284" t="n"/>
      <c r="AH7" s="284" t="n"/>
      <c r="AI7" s="284" t="n"/>
      <c r="AJ7" s="284" t="n"/>
      <c r="AK7" s="284" t="n"/>
      <c r="AL7" s="284" t="n"/>
      <c r="AM7" s="284" t="n"/>
      <c r="AN7" s="284" t="n"/>
      <c r="AO7" s="284" t="n"/>
      <c r="AP7" s="284" t="n"/>
      <c r="AQ7" s="284" t="n"/>
      <c r="AR7" s="284" t="n"/>
    </row>
    <row r="8" hidden="1" s="346">
      <c r="A8" s="62" t="n">
        <v>6</v>
      </c>
      <c r="B8" s="63" t="inlineStr">
        <is>
          <t>Layanan Pengaduan Masyarakat</t>
        </is>
      </c>
      <c r="C8" s="63" t="inlineStr">
        <is>
          <t>Layanan Pengaduan Masyarakat (LPM) adalah wadah atau sistem yang disediakan oleh instansi pemerintah (atau lembaga publik lainnya) bagi masyarakat untuk menyampaikan keluhan, saran, masukan, aspirasi, hingga laporan atas dugaan penyimpangan atau maladministrasi dalam penyelenggaraan pemerintahan dan pelayanan publik.</t>
        </is>
      </c>
      <c r="D8" s="63" t="inlineStr">
        <is>
          <t>Undang-Undang Nomor 25 Tahun 2009 tentang Pelayanan Publik</t>
        </is>
      </c>
      <c r="E8" s="288" t="n"/>
      <c r="F8" s="64" t="inlineStr">
        <is>
          <t>PENINGKATAN KUALITAS PELAYANAN PUBLIK</t>
        </is>
      </c>
      <c r="G8" s="64" t="inlineStr">
        <is>
          <t>Masyarakat</t>
        </is>
      </c>
      <c r="H8" s="64" t="inlineStr">
        <is>
          <t>Data Pengguna, Data Adun</t>
        </is>
      </c>
      <c r="I8" s="64" t="inlineStr">
        <is>
          <t>Data Aduan Masyarakat</t>
        </is>
      </c>
      <c r="J8" s="64" t="inlineStr">
        <is>
          <t>Terbatas</t>
        </is>
      </c>
      <c r="K8" s="64" t="inlineStr">
        <is>
          <t>Terdapat</t>
        </is>
      </c>
      <c r="L8" s="64" t="inlineStr">
        <is>
          <t>Harian</t>
        </is>
      </c>
      <c r="M8" s="64" t="inlineStr">
        <is>
          <t>SP4N Lapor</t>
        </is>
      </c>
      <c r="N8" s="64" t="inlineStr">
        <is>
          <t>Pusat</t>
        </is>
      </c>
      <c r="O8" s="64" t="inlineStr">
        <is>
          <t>Pusat</t>
        </is>
      </c>
      <c r="P8" s="64" t="inlineStr">
        <is>
          <t>Website</t>
        </is>
      </c>
      <c r="Q8" s="66" t="inlineStr">
        <is>
          <t>https://lapor.go.id/</t>
        </is>
      </c>
      <c r="R8" s="64" t="inlineStr">
        <is>
          <t>Secara Online</t>
        </is>
      </c>
      <c r="S8" s="64" t="inlineStr">
        <is>
          <t>Informasi</t>
        </is>
      </c>
      <c r="T8" s="64" t="n">
        <v>2018</v>
      </c>
      <c r="U8" s="64" t="inlineStr">
        <is>
          <t>Aktif</t>
        </is>
      </c>
      <c r="V8" s="64" t="inlineStr">
        <is>
          <t>Tidak</t>
        </is>
      </c>
      <c r="W8" s="64" t="inlineStr">
        <is>
          <t>Tidak Terintegrasi</t>
        </is>
      </c>
      <c r="X8" s="64" t="inlineStr">
        <is>
          <t>Tidak Terintegrasi</t>
        </is>
      </c>
      <c r="Y8" s="64" t="inlineStr">
        <is>
          <t>Tidak Terintegrasi</t>
        </is>
      </c>
      <c r="Z8" s="64" t="inlineStr">
        <is>
          <t>Bidang Informasi Komunikasi Publik</t>
        </is>
      </c>
      <c r="AA8" s="64" t="inlineStr">
        <is>
          <t>Diskominfo</t>
        </is>
      </c>
      <c r="AB8" s="63" t="inlineStr">
        <is>
          <t>ALIPHIO DYAKSHA PUTRA, A.Md.Ak.</t>
        </is>
      </c>
      <c r="AC8" s="63" t="n">
        <v>8988005270</v>
      </c>
      <c r="AD8" s="63" t="inlineStr">
        <is>
          <t>setdakab.bdg@gmail.com</t>
        </is>
      </c>
      <c r="AE8" s="67" t="inlineStr">
        <is>
          <t>-</t>
        </is>
      </c>
      <c r="AF8" s="68" t="inlineStr">
        <is>
          <t>Insidentil</t>
        </is>
      </c>
      <c r="AG8" s="284" t="n"/>
      <c r="AH8" s="284" t="n"/>
      <c r="AI8" s="284" t="n"/>
      <c r="AJ8" s="284" t="n"/>
      <c r="AK8" s="284" t="n"/>
      <c r="AL8" s="284" t="n"/>
      <c r="AM8" s="284" t="n"/>
      <c r="AN8" s="284" t="n"/>
      <c r="AO8" s="284" t="n"/>
      <c r="AP8" s="284" t="n"/>
      <c r="AQ8" s="284" t="n"/>
      <c r="AR8" s="284" t="n"/>
    </row>
    <row r="9">
      <c r="A9" s="62" t="n">
        <v>7</v>
      </c>
      <c r="B9" s="63" t="inlineStr">
        <is>
          <t>Layanan Data Sektoral</t>
        </is>
      </c>
      <c r="C9" s="63" t="inlineStr">
        <is>
          <t>Layanan data sektoral adalah statistik yang dihasilkan oleh instansi pemerintah pusat atau daerah sesuai dengan tugas dan fungsi masing-masing, yang bertujuan untuk memenuhi kebutuhan internal instansi tersebut dalam penyelenggaraan pemerintahan dan pembangunan.</t>
        </is>
      </c>
      <c r="D9" s="63" t="inlineStr">
        <is>
          <t>PERATURAN BADAN PUSAT STATISTIK NOMOR 3 TAHUN 2022 TENTANG EVALUASI PENYELENGGARAAN STATISTIK SEKTORAL</t>
        </is>
      </c>
      <c r="E9" s="288" t="n"/>
      <c r="F9" s="64" t="inlineStr">
        <is>
          <t>PENGELOLAAN DATA STATISTIK</t>
        </is>
      </c>
      <c r="G9" s="64" t="inlineStr">
        <is>
          <t>Instansi Pemerintah Lainnya</t>
        </is>
      </c>
      <c r="H9" s="64" t="inlineStr">
        <is>
          <t>Data Sektoral</t>
        </is>
      </c>
      <c r="I9" s="64" t="inlineStr">
        <is>
          <t>Data Sektoral</t>
        </is>
      </c>
      <c r="J9" s="64" t="inlineStr">
        <is>
          <t>Terbatas</t>
        </is>
      </c>
      <c r="K9" s="64" t="inlineStr">
        <is>
          <t>Tidak terdapat</t>
        </is>
      </c>
      <c r="L9" s="64" t="inlineStr">
        <is>
          <t>Tahunan</t>
        </is>
      </c>
      <c r="M9" s="64" t="inlineStr">
        <is>
          <t>SIMASDA</t>
        </is>
      </c>
      <c r="N9" s="64" t="inlineStr">
        <is>
          <t>Diskominfo</t>
        </is>
      </c>
      <c r="O9" s="64" t="inlineStr">
        <is>
          <t>Kab. Bandung</t>
        </is>
      </c>
      <c r="P9" s="64" t="inlineStr">
        <is>
          <t>Website</t>
        </is>
      </c>
      <c r="Q9" s="66" t="inlineStr">
        <is>
          <t>https://simasda.bandungkab.go.id/</t>
        </is>
      </c>
      <c r="R9" s="64" t="inlineStr">
        <is>
          <t>Secara Online</t>
        </is>
      </c>
      <c r="S9" s="64" t="inlineStr">
        <is>
          <t>Informasi</t>
        </is>
      </c>
      <c r="T9" s="64" t="n">
        <v>2022</v>
      </c>
      <c r="U9" s="64" t="inlineStr">
        <is>
          <t>Aktif</t>
        </is>
      </c>
      <c r="V9" s="64" t="inlineStr">
        <is>
          <t>Ya</t>
        </is>
      </c>
      <c r="W9" s="64" t="inlineStr">
        <is>
          <t>Terintegrasi dengan Bedas, E-Walidata dan Satu Data Kab Bandung</t>
        </is>
      </c>
      <c r="X9" s="64" t="inlineStr">
        <is>
          <t>Database to Database</t>
        </is>
      </c>
      <c r="Y9" s="64" t="inlineStr">
        <is>
          <t>Realtime</t>
        </is>
      </c>
      <c r="Z9" s="64" t="inlineStr">
        <is>
          <t>Bidang Statistik</t>
        </is>
      </c>
      <c r="AA9" s="64" t="inlineStr">
        <is>
          <t>Diskominfo</t>
        </is>
      </c>
      <c r="AB9" s="63" t="inlineStr">
        <is>
          <t>DHANTI AURILIA PRATIWI, M.Stat</t>
        </is>
      </c>
      <c r="AC9" s="63" t="n">
        <v>81904085710</v>
      </c>
      <c r="AD9" s="63" t="inlineStr">
        <is>
          <t>setdakab.bdg@gmail.com</t>
        </is>
      </c>
      <c r="AE9" s="288" t="n"/>
      <c r="AF9" s="288" t="n"/>
      <c r="AG9" s="284" t="n"/>
      <c r="AH9" s="284" t="n"/>
      <c r="AI9" s="284" t="n"/>
      <c r="AJ9" s="284" t="n"/>
      <c r="AK9" s="284" t="n"/>
      <c r="AL9" s="284" t="n"/>
      <c r="AM9" s="284" t="n"/>
      <c r="AN9" s="284" t="n"/>
      <c r="AO9" s="284" t="n"/>
      <c r="AP9" s="284" t="n"/>
      <c r="AQ9" s="284" t="n"/>
      <c r="AR9" s="284" t="n"/>
    </row>
    <row r="10">
      <c r="A10" s="62" t="n">
        <v>8</v>
      </c>
      <c r="B10" s="63" t="inlineStr">
        <is>
          <t>Layanan Rekonsiliasi Pajak Pusat</t>
        </is>
      </c>
      <c r="C10" s="63" t="inlineStr">
        <is>
          <t>Rekonsiliasi pajak pusat atas belanja daerah adalah proses penyesuaian atau pencocokan antara jumlah pajak yang harus dibayarkan oleh pemerintah daerah kepada pemerintah pusat dengan total belanja yang telah dilakukan oleh pemerintah daerah dalam kerangka Anggaran Pendapatan dan Belanja Daerah (APBD)</t>
        </is>
      </c>
      <c r="D10" s="63" t="inlineStr">
        <is>
          <t>PERBUP Nomor 165 Tahun 2021 dan PERBUP Nomor 289 Tahun 2022</t>
        </is>
      </c>
      <c r="E10" s="288" t="n"/>
      <c r="F10" s="64" t="inlineStr">
        <is>
          <t>AKUNTANSI DAN PELAPORAN KEUANGAN</t>
        </is>
      </c>
      <c r="G10" s="64" t="inlineStr">
        <is>
          <t>Instansi Pemerintah Lainnya</t>
        </is>
      </c>
      <c r="H10" s="64" t="inlineStr">
        <is>
          <t>Data Pajak Pusat (ID Billing &amp; NTPN)</t>
        </is>
      </c>
      <c r="I10" s="64" t="inlineStr">
        <is>
          <t>Rekap Data Pajak Pusat</t>
        </is>
      </c>
      <c r="J10" s="64" t="inlineStr">
        <is>
          <t>Tertutup</t>
        </is>
      </c>
      <c r="K10" s="64" t="inlineStr">
        <is>
          <t>Terdapat</t>
        </is>
      </c>
      <c r="L10" s="64" t="inlineStr">
        <is>
          <t>Harian</t>
        </is>
      </c>
      <c r="M10" s="64" t="inlineStr">
        <is>
          <t>SIREKON</t>
        </is>
      </c>
      <c r="N10" s="67" t="inlineStr">
        <is>
          <t>Pihak Ke 3</t>
        </is>
      </c>
      <c r="O10" s="67" t="inlineStr">
        <is>
          <t>Kab. Bandung</t>
        </is>
      </c>
      <c r="P10" s="67" t="inlineStr">
        <is>
          <t>Website</t>
        </is>
      </c>
      <c r="Q10" s="66" t="inlineStr">
        <is>
          <t>https://sirekonpajak.bandungkab.go.id/</t>
        </is>
      </c>
      <c r="R10" s="64" t="inlineStr">
        <is>
          <t>Secara Online</t>
        </is>
      </c>
      <c r="S10" s="64" t="inlineStr">
        <is>
          <t>Informasi</t>
        </is>
      </c>
      <c r="T10" s="64" t="n">
        <v>2020</v>
      </c>
      <c r="U10" s="64" t="inlineStr">
        <is>
          <t>Aktif</t>
        </is>
      </c>
      <c r="V10" s="64" t="inlineStr">
        <is>
          <t>Tidak</t>
        </is>
      </c>
      <c r="W10" s="64" t="inlineStr">
        <is>
          <t>Tidak Terintegrasi</t>
        </is>
      </c>
      <c r="X10" s="64" t="inlineStr">
        <is>
          <t>Tidak Terintegrasi</t>
        </is>
      </c>
      <c r="Y10" s="64" t="inlineStr">
        <is>
          <t>Tidak Terintegrasi</t>
        </is>
      </c>
      <c r="Z10" s="64" t="inlineStr">
        <is>
          <t>Bagian Perencanaan dan Keuangan</t>
        </is>
      </c>
      <c r="AA10" s="65" t="inlineStr">
        <is>
          <t>BKAD</t>
        </is>
      </c>
      <c r="AB10" s="63" t="inlineStr">
        <is>
          <t>VERRYNOVYANDI SADIKIN, SE., MM</t>
        </is>
      </c>
      <c r="AC10" s="63" t="n">
        <v>895327038135</v>
      </c>
      <c r="AD10" s="63" t="inlineStr">
        <is>
          <t>setdakab.bdg@gmail.com</t>
        </is>
      </c>
      <c r="AE10" s="67" t="inlineStr">
        <is>
          <t>-</t>
        </is>
      </c>
      <c r="AF10" s="68" t="inlineStr">
        <is>
          <t>Bulanan</t>
        </is>
      </c>
      <c r="AG10" s="284" t="n"/>
      <c r="AH10" s="284" t="n"/>
      <c r="AI10" s="284" t="n"/>
      <c r="AJ10" s="284" t="n"/>
      <c r="AK10" s="284" t="n"/>
      <c r="AL10" s="284" t="n"/>
      <c r="AM10" s="284" t="n"/>
      <c r="AN10" s="284" t="n"/>
      <c r="AO10" s="284" t="n"/>
      <c r="AP10" s="284" t="n"/>
      <c r="AQ10" s="284" t="n"/>
      <c r="AR10" s="284" t="n"/>
    </row>
    <row r="11" hidden="1" s="346">
      <c r="A11" s="62" t="n">
        <v>9</v>
      </c>
      <c r="B11" s="63" t="inlineStr">
        <is>
          <t>Layanan Pajak</t>
        </is>
      </c>
      <c r="C11" s="63" t="inlineStr">
        <is>
          <t>Fungsi layanan pajak meliputi pengumpulan pajak daerah, pengelolaan data wajib pajak, pengawasan kepatuhan, serta penyediaan kemudahan pembayaran menggunakan aplikasi digital yang mendukung optimalisasi penerimaan pajak dan peningkatan kualitas pelayanan kepada masyarakat.</t>
        </is>
      </c>
      <c r="D11" s="63" t="inlineStr">
        <is>
          <t>UU No. 1 Tahun 2022</t>
        </is>
      </c>
      <c r="E11" s="288" t="n"/>
      <c r="F11" s="64" t="inlineStr">
        <is>
          <t>AKUNTANSI DAN PELAPORAN KEUANGAN</t>
        </is>
      </c>
      <c r="G11" s="64" t="inlineStr">
        <is>
          <t>Instansi Pemerintah Lainnya</t>
        </is>
      </c>
      <c r="H11" s="64" t="inlineStr">
        <is>
          <t>Data Pajak</t>
        </is>
      </c>
      <c r="I11" s="64" t="inlineStr">
        <is>
          <t>ID Billing</t>
        </is>
      </c>
      <c r="J11" s="64" t="inlineStr">
        <is>
          <t>Terbatas</t>
        </is>
      </c>
      <c r="K11" s="64" t="inlineStr">
        <is>
          <t>Terdapat</t>
        </is>
      </c>
      <c r="L11" s="64" t="inlineStr">
        <is>
          <t>Harian</t>
        </is>
      </c>
      <c r="M11" s="64" t="inlineStr">
        <is>
          <t>Coretax</t>
        </is>
      </c>
      <c r="N11" s="67" t="inlineStr">
        <is>
          <t>Pusat</t>
        </is>
      </c>
      <c r="O11" s="67" t="inlineStr">
        <is>
          <t>Pusat</t>
        </is>
      </c>
      <c r="P11" s="64" t="inlineStr">
        <is>
          <t>Website</t>
        </is>
      </c>
      <c r="Q11" s="66" t="inlineStr">
        <is>
          <t>coretaxdjp.pajak.go.id</t>
        </is>
      </c>
      <c r="R11" s="64" t="inlineStr">
        <is>
          <t>Secara Online</t>
        </is>
      </c>
      <c r="S11" s="64" t="inlineStr">
        <is>
          <t>Informasi</t>
        </is>
      </c>
      <c r="T11" s="64" t="n">
        <v>2025</v>
      </c>
      <c r="U11" s="64" t="inlineStr">
        <is>
          <t>Aktif</t>
        </is>
      </c>
      <c r="V11" s="64" t="inlineStr">
        <is>
          <t>Tidak</t>
        </is>
      </c>
      <c r="W11" s="64" t="inlineStr">
        <is>
          <t>Tidak Terintegrasi</t>
        </is>
      </c>
      <c r="X11" s="64" t="inlineStr">
        <is>
          <t>Tidak Terintegrasi</t>
        </is>
      </c>
      <c r="Y11" s="64" t="inlineStr">
        <is>
          <t>Tidak Terintegrasi</t>
        </is>
      </c>
      <c r="Z11" s="64" t="inlineStr">
        <is>
          <t>Bagian Perencanaan dan Keuangan</t>
        </is>
      </c>
      <c r="AA11" s="64" t="inlineStr">
        <is>
          <t>BKAD</t>
        </is>
      </c>
      <c r="AB11" s="63" t="inlineStr">
        <is>
          <t>VERRYNOVYANDI SADIKIN, SE., MM</t>
        </is>
      </c>
      <c r="AC11" s="63" t="n">
        <v>895327038135</v>
      </c>
      <c r="AD11" s="63" t="inlineStr">
        <is>
          <t>setdakab.bdg@gmail.com</t>
        </is>
      </c>
      <c r="AE11" s="67" t="inlineStr">
        <is>
          <t>-</t>
        </is>
      </c>
      <c r="AF11" s="68" t="inlineStr">
        <is>
          <t>Harian</t>
        </is>
      </c>
      <c r="AG11" s="284" t="n"/>
      <c r="AH11" s="284" t="n"/>
      <c r="AI11" s="284" t="n"/>
      <c r="AJ11" s="284" t="n"/>
      <c r="AK11" s="284" t="n"/>
      <c r="AL11" s="284" t="n"/>
      <c r="AM11" s="284" t="n"/>
      <c r="AN11" s="284" t="n"/>
      <c r="AO11" s="284" t="n"/>
      <c r="AP11" s="284" t="n"/>
      <c r="AQ11" s="284" t="n"/>
      <c r="AR11" s="284" t="n"/>
    </row>
    <row r="12">
      <c r="A12" s="62" t="n">
        <v>10</v>
      </c>
      <c r="B12" s="63" t="inlineStr">
        <is>
          <t>Layanan Pajak Daerah</t>
        </is>
      </c>
      <c r="C12" s="63" t="inlineStr">
        <is>
          <t>Pajak daerah yang ada digunakan untuk membiayai semua kepentingan umum. Termasuk untuk membuka lapangan kerja baru, sehingga terjadi pemerataan pendapatan agar kesenjangan ekonomi antara yang kaya dan miskin tidak terlalu menonjol. Pajak daerah diharapkan dapat meningkatkan pemerataan di setiap daerah.</t>
        </is>
      </c>
      <c r="D12" s="63" t="inlineStr">
        <is>
          <t>Undang-Undang Nomor 28 Tahun 2009 tentang Pajak Daerah dan Retribusi Daerah (UU PDRD)</t>
        </is>
      </c>
      <c r="E12" s="288" t="n"/>
      <c r="F12" s="64" t="inlineStr">
        <is>
          <t>AKUNTANSI DAN PELAPORAN KEUANGAN</t>
        </is>
      </c>
      <c r="G12" s="64" t="inlineStr">
        <is>
          <t>Instansi Pemerintah Lainnya</t>
        </is>
      </c>
      <c r="H12" s="64" t="inlineStr">
        <is>
          <t>Data Pajak Daerah</t>
        </is>
      </c>
      <c r="I12" s="64" t="inlineStr">
        <is>
          <t>Data Rekap Pajak Daerah</t>
        </is>
      </c>
      <c r="J12" s="64" t="inlineStr">
        <is>
          <t>Terbatas</t>
        </is>
      </c>
      <c r="K12" s="64" t="inlineStr">
        <is>
          <t>Tidak terdapat</t>
        </is>
      </c>
      <c r="L12" s="64" t="inlineStr">
        <is>
          <t>Harian</t>
        </is>
      </c>
      <c r="M12" s="64" t="inlineStr">
        <is>
          <t>E-SPTPD</t>
        </is>
      </c>
      <c r="N12" s="67" t="inlineStr">
        <is>
          <t>Pihak Ke 3</t>
        </is>
      </c>
      <c r="O12" s="67" t="inlineStr">
        <is>
          <t>Kab. Bandung</t>
        </is>
      </c>
      <c r="P12" s="67" t="inlineStr">
        <is>
          <t>Website dan Mobile</t>
        </is>
      </c>
      <c r="Q12" s="66" t="inlineStr">
        <is>
          <t>https://e-sptpd.bandungkab.go.id/</t>
        </is>
      </c>
      <c r="R12" s="64" t="inlineStr">
        <is>
          <t>Secara Online</t>
        </is>
      </c>
      <c r="S12" s="64" t="inlineStr">
        <is>
          <t>Informasi</t>
        </is>
      </c>
      <c r="T12" s="64" t="n">
        <v>2019</v>
      </c>
      <c r="U12" s="64" t="inlineStr">
        <is>
          <t>Aktif</t>
        </is>
      </c>
      <c r="V12" s="64" t="inlineStr">
        <is>
          <t>Tidak</t>
        </is>
      </c>
      <c r="W12" s="64" t="inlineStr">
        <is>
          <t>Tidak Terintegrasi</t>
        </is>
      </c>
      <c r="X12" s="64" t="inlineStr">
        <is>
          <t>Tidak Terintegrasi</t>
        </is>
      </c>
      <c r="Y12" s="64" t="inlineStr">
        <is>
          <t>Tidak Terintegrasi</t>
        </is>
      </c>
      <c r="Z12" s="64" t="inlineStr">
        <is>
          <t>Bagian Perencanaan dan Keuangan</t>
        </is>
      </c>
      <c r="AA12" s="64" t="inlineStr">
        <is>
          <t>Setda, Bapenda</t>
        </is>
      </c>
      <c r="AB12" s="63" t="inlineStr">
        <is>
          <t>VERRYNOVYANDI SADIKIN, SE., MM</t>
        </is>
      </c>
      <c r="AC12" s="63" t="n">
        <v>895327038135</v>
      </c>
      <c r="AD12" s="63" t="inlineStr">
        <is>
          <t>setdakab.bdg@gmail.com</t>
        </is>
      </c>
      <c r="AE12" s="67" t="inlineStr">
        <is>
          <t>-</t>
        </is>
      </c>
      <c r="AF12" s="68" t="inlineStr">
        <is>
          <t>Harian</t>
        </is>
      </c>
      <c r="AG12" s="284" t="n"/>
      <c r="AH12" s="284" t="n"/>
      <c r="AI12" s="284" t="n"/>
      <c r="AJ12" s="284" t="n"/>
      <c r="AK12" s="284" t="n"/>
      <c r="AL12" s="284" t="n"/>
      <c r="AM12" s="284" t="n"/>
      <c r="AN12" s="284" t="n"/>
      <c r="AO12" s="284" t="n"/>
      <c r="AP12" s="284" t="n"/>
      <c r="AQ12" s="284" t="n"/>
      <c r="AR12" s="284" t="n"/>
    </row>
    <row r="13" hidden="1" s="346">
      <c r="A13" s="62" t="n">
        <v>11</v>
      </c>
      <c r="B13" s="63" t="inlineStr">
        <is>
          <t>Layanan Transaksi</t>
        </is>
      </c>
      <c r="C13" s="63" t="inlineStr">
        <is>
          <t>Fungsi utama layanan transaksi di Kabupaten Bandung adalah untuk memudahkan masyarakat dalam memenuhi kewajiban pembayaran pajak daerah dan mendukung efisiensi pengelolaan pajak oleh pemerintah daerah. Layanan ini meliputi berbagai fasilitas dan sistem, seperti pengesahan STNK, pembayaran PKB, dan pemanfaatan teknologi untuk pelaporan data transaksi usaha secara online.</t>
        </is>
      </c>
      <c r="D13" s="63" t="inlineStr">
        <is>
          <t>Peraturan Bupati (Perbup) Kabupaten Bandung Nomor 22 Tahun 2018 tentang Implementasi Transaksi Non Tunai, yang telah beberapa kali diubah dengan Perbup Nomor 6 Tahun 2020 dan Perbup Nomor 15 Tahun 2020.</t>
        </is>
      </c>
      <c r="E13" s="288" t="n"/>
      <c r="F13" s="64" t="inlineStr">
        <is>
          <t>AKUNTANSI DAN PELAPORAN KEUANGAN</t>
        </is>
      </c>
      <c r="G13" s="64" t="inlineStr">
        <is>
          <t>Instansi Pemerintah Lainnya</t>
        </is>
      </c>
      <c r="H13" s="64" t="inlineStr">
        <is>
          <t>Data Transaksi</t>
        </is>
      </c>
      <c r="I13" s="64" t="inlineStr">
        <is>
          <t>Data Rekening Koran</t>
        </is>
      </c>
      <c r="J13" s="64" t="inlineStr">
        <is>
          <t>Terbatas</t>
        </is>
      </c>
      <c r="K13" s="64" t="inlineStr">
        <is>
          <t>Tidak terdapat</t>
        </is>
      </c>
      <c r="L13" s="64" t="inlineStr">
        <is>
          <t>Lainnya</t>
        </is>
      </c>
      <c r="M13" s="64" t="inlineStr">
        <is>
          <t>IBC (Internet Banking Corporate)</t>
        </is>
      </c>
      <c r="N13" s="64" t="inlineStr">
        <is>
          <t>Pihak Ke 3</t>
        </is>
      </c>
      <c r="O13" s="64" t="inlineStr">
        <is>
          <t>Pihak Ke 3 (Lisensi)</t>
        </is>
      </c>
      <c r="P13" s="64" t="inlineStr">
        <is>
          <t>Desktop</t>
        </is>
      </c>
      <c r="Q13" s="67" t="inlineStr">
        <is>
          <t>Aplikasi dari BJB</t>
        </is>
      </c>
      <c r="R13" s="64" t="inlineStr">
        <is>
          <t>Secara Online</t>
        </is>
      </c>
      <c r="S13" s="64" t="inlineStr">
        <is>
          <t>Transaksi</t>
        </is>
      </c>
      <c r="T13" s="64" t="n">
        <v>2019</v>
      </c>
      <c r="U13" s="64" t="inlineStr">
        <is>
          <t>Aktif</t>
        </is>
      </c>
      <c r="V13" s="64" t="inlineStr">
        <is>
          <t>Tidak</t>
        </is>
      </c>
      <c r="W13" s="64" t="inlineStr">
        <is>
          <t>Tidak Terintegrasi</t>
        </is>
      </c>
      <c r="X13" s="64" t="inlineStr">
        <is>
          <t>Tidak Terintegrasi</t>
        </is>
      </c>
      <c r="Y13" s="64" t="inlineStr">
        <is>
          <t>Tidak Terintegrasi</t>
        </is>
      </c>
      <c r="Z13" s="64" t="inlineStr">
        <is>
          <t>Bagian Perencanaan dan Keuangan</t>
        </is>
      </c>
      <c r="AA13" s="64" t="inlineStr">
        <is>
          <t>Setda</t>
        </is>
      </c>
      <c r="AB13" s="63" t="inlineStr">
        <is>
          <t>VERRYNOVYANDI SADIKIN, SE., MM</t>
        </is>
      </c>
      <c r="AC13" s="63" t="n">
        <v>895327038135</v>
      </c>
      <c r="AD13" s="63" t="inlineStr">
        <is>
          <t>setdakab.bdg@gmail.com</t>
        </is>
      </c>
      <c r="AE13" s="67" t="inlineStr">
        <is>
          <t>-</t>
        </is>
      </c>
      <c r="AF13" s="68" t="inlineStr">
        <is>
          <t>Harian</t>
        </is>
      </c>
      <c r="AG13" s="284" t="n"/>
      <c r="AH13" s="284" t="n"/>
      <c r="AI13" s="284" t="n"/>
      <c r="AJ13" s="284" t="n"/>
      <c r="AK13" s="284" t="n"/>
      <c r="AL13" s="284" t="n"/>
      <c r="AM13" s="284" t="n"/>
      <c r="AN13" s="284" t="n"/>
      <c r="AO13" s="284" t="n"/>
      <c r="AP13" s="284" t="n"/>
      <c r="AQ13" s="284" t="n"/>
      <c r="AR13" s="284" t="n"/>
    </row>
    <row r="14" hidden="1" s="346">
      <c r="A14" s="62" t="n">
        <v>12</v>
      </c>
      <c r="B14" s="63" t="inlineStr">
        <is>
          <t>Layanan Penatausahaan Keuangan</t>
        </is>
      </c>
      <c r="C14" s="63" t="inlineStr">
        <is>
          <t>Fungsi layanan penatausahaan keuangan di Kabupaten Bandung adalah mencatat dan menyimpan semua transaksi penerimaan dan pengeluaran kas daerah secara akurat dan tertib untuk penyusunan laporan keuangan, pengendalian APBD, serta penyediaan data dan informasi keuangan yang dapat dipertanggungjawabkan. Penatausahaan ini mendukung efektivitas pengelolaan keuangan daerah dan memastikan transparansi serta akuntabilitas dalam penggunaan dana publik.</t>
        </is>
      </c>
      <c r="D14" s="63" t="inlineStr">
        <is>
          <t>Peraturan Bupati (Perbup) Kabupaten Bandung Nomor 48 Tahun 2025 tentang Perubahan Atas Peraturan Bupati Nomor 83 Tahun 2024</t>
        </is>
      </c>
      <c r="E14" s="288" t="n"/>
      <c r="F14" s="64" t="inlineStr">
        <is>
          <t>AKUNTANSI DAN PELAPORAN KEUANGAN</t>
        </is>
      </c>
      <c r="G14" s="64" t="inlineStr">
        <is>
          <t>Instansi Pemerintah Lainnya</t>
        </is>
      </c>
      <c r="H14" s="64" t="inlineStr">
        <is>
          <t>Data APBD</t>
        </is>
      </c>
      <c r="I14" s="64" t="inlineStr">
        <is>
          <t>Data APBD</t>
        </is>
      </c>
      <c r="J14" s="64" t="inlineStr">
        <is>
          <t>Tertutup</t>
        </is>
      </c>
      <c r="K14" s="64" t="inlineStr">
        <is>
          <t>Terdapat</t>
        </is>
      </c>
      <c r="L14" s="64" t="inlineStr">
        <is>
          <t>Lainnya</t>
        </is>
      </c>
      <c r="M14" s="64" t="inlineStr">
        <is>
          <t>SIPD</t>
        </is>
      </c>
      <c r="N14" s="64" t="inlineStr">
        <is>
          <t>Pusat</t>
        </is>
      </c>
      <c r="O14" s="64" t="inlineStr">
        <is>
          <t>Pusat</t>
        </is>
      </c>
      <c r="P14" s="64" t="inlineStr">
        <is>
          <t>Website</t>
        </is>
      </c>
      <c r="Q14" s="285" t="inlineStr">
        <is>
          <t>sipd.kemendagri.go.id</t>
        </is>
      </c>
      <c r="R14" s="64" t="inlineStr">
        <is>
          <t>Secara Online</t>
        </is>
      </c>
      <c r="S14" s="64" t="inlineStr">
        <is>
          <t>Transaksi</t>
        </is>
      </c>
      <c r="T14" s="64" t="n">
        <v>2021</v>
      </c>
      <c r="U14" s="64" t="inlineStr">
        <is>
          <t>Aktif</t>
        </is>
      </c>
      <c r="V14" s="64" t="inlineStr">
        <is>
          <t>Tidak</t>
        </is>
      </c>
      <c r="W14" s="64" t="inlineStr">
        <is>
          <t>Tidak Terintegrasi</t>
        </is>
      </c>
      <c r="X14" s="64" t="inlineStr">
        <is>
          <t>Tidak Terintegrasi</t>
        </is>
      </c>
      <c r="Y14" s="64" t="inlineStr">
        <is>
          <t>Tidak Terintegrasi</t>
        </is>
      </c>
      <c r="Z14" s="64" t="inlineStr">
        <is>
          <t>Bagian Perencanaan dan Keuangan</t>
        </is>
      </c>
      <c r="AA14" s="64" t="inlineStr">
        <is>
          <t>Setda</t>
        </is>
      </c>
      <c r="AB14" s="63" t="inlineStr">
        <is>
          <t>VERRYNOVYANDI SADIKIN, SE., MM</t>
        </is>
      </c>
      <c r="AC14" s="63" t="n">
        <v>895327038135</v>
      </c>
      <c r="AD14" s="63" t="inlineStr">
        <is>
          <t>setdakab.bdg@gmail.com</t>
        </is>
      </c>
      <c r="AE14" s="67" t="inlineStr">
        <is>
          <t>-</t>
        </is>
      </c>
      <c r="AF14" s="68" t="inlineStr">
        <is>
          <t>Harian</t>
        </is>
      </c>
      <c r="AG14" s="284" t="n"/>
      <c r="AH14" s="284" t="n"/>
      <c r="AI14" s="284" t="n"/>
      <c r="AJ14" s="284" t="n"/>
      <c r="AK14" s="284" t="n"/>
      <c r="AL14" s="284" t="n"/>
      <c r="AM14" s="284" t="n"/>
      <c r="AN14" s="284" t="n"/>
      <c r="AO14" s="284" t="n"/>
      <c r="AP14" s="284" t="n"/>
      <c r="AQ14" s="284" t="n"/>
      <c r="AR14" s="284" t="n"/>
    </row>
    <row r="15">
      <c r="A15" s="62" t="n">
        <v>13</v>
      </c>
      <c r="B15" s="63" t="inlineStr">
        <is>
          <t>Layanan Tata Naskah Dinas</t>
        </is>
      </c>
      <c r="C15" s="63" t="inlineStr">
        <is>
          <t>Fungsi utama layanan Tata Naskah Dinas (TND) di Kabupaten Bandung adalah untuk menciptakan kelancaran komunikasi tertulis yang efektif dan efisien, memastikan keotentikan, keterpercayaan, kepastian, dan akuntabilitas informasi, serta mendukung terwujudnya tata kelola pemerintahan yang baik (good governance) melalui penerapan penggunaan naskah dinas secara elektronik. TND juga berfungsi sebagai sarana untuk mengatur jenis dan penyusunan naskah dinas, penggunaan lambang negara dan cap dinas, serta penggunaan bahasa Indonesia yang sesuai dalam komunikasi resmi.</t>
        </is>
      </c>
      <c r="D15" s="63" t="inlineStr">
        <is>
          <t>Peraturan Bupati (PERBUP) Nomor 82 Tahun 2024 tentang Pedoman Tata Naskah Dinas di Lingkungan Pemerintah Kabupaten Bandung.</t>
        </is>
      </c>
      <c r="E15" s="288" t="n"/>
      <c r="F15" s="64" t="inlineStr">
        <is>
          <t>PENATAAN SISTEM TATA LAKSANA</t>
        </is>
      </c>
      <c r="G15" s="64" t="inlineStr">
        <is>
          <t>Instansi Pemerintah Lainnya</t>
        </is>
      </c>
      <c r="H15" s="64" t="inlineStr">
        <is>
          <t>Naskah Surat</t>
        </is>
      </c>
      <c r="I15" s="64" t="inlineStr">
        <is>
          <t>Surat yang dilegalisasi</t>
        </is>
      </c>
      <c r="J15" s="64" t="inlineStr">
        <is>
          <t>Terbatas</t>
        </is>
      </c>
      <c r="K15" s="64" t="inlineStr">
        <is>
          <t>Tidak terdapat</t>
        </is>
      </c>
      <c r="L15" s="64" t="inlineStr">
        <is>
          <t>Harian</t>
        </is>
      </c>
      <c r="M15" s="64" t="inlineStr">
        <is>
          <t>SULTAN (e-office)</t>
        </is>
      </c>
      <c r="N15" s="64" t="inlineStr">
        <is>
          <t>Diskominfo</t>
        </is>
      </c>
      <c r="O15" s="64" t="inlineStr">
        <is>
          <t>Kab. Bandung</t>
        </is>
      </c>
      <c r="P15" s="64" t="inlineStr">
        <is>
          <t>Website dan Mobile</t>
        </is>
      </c>
      <c r="Q15" s="66" t="inlineStr">
        <is>
          <t>https://sultan.bandungkab.go.id/</t>
        </is>
      </c>
      <c r="R15" s="64" t="inlineStr">
        <is>
          <t>Secara Online</t>
        </is>
      </c>
      <c r="S15" s="64" t="inlineStr">
        <is>
          <t>Informasi</t>
        </is>
      </c>
      <c r="T15" s="64" t="n">
        <v>2025</v>
      </c>
      <c r="U15" s="64" t="inlineStr">
        <is>
          <t>Aktif</t>
        </is>
      </c>
      <c r="V15" s="64" t="inlineStr">
        <is>
          <t>Ya</t>
        </is>
      </c>
      <c r="W15" s="64" t="inlineStr">
        <is>
          <t>Terintegrasi dengan SIPPHADE, dll</t>
        </is>
      </c>
      <c r="X15" s="64" t="inlineStr">
        <is>
          <t>Web Service</t>
        </is>
      </c>
      <c r="Y15" s="64" t="inlineStr">
        <is>
          <t>Realtime</t>
        </is>
      </c>
      <c r="Z15" s="64" t="inlineStr">
        <is>
          <t>Semua Bagian</t>
        </is>
      </c>
      <c r="AA15" s="65" t="inlineStr">
        <is>
          <t>Setda</t>
        </is>
      </c>
      <c r="AB15" s="63" t="inlineStr">
        <is>
          <t>ALIPHIO DYAKSHA PUTRA, A.Md.Ak.</t>
        </is>
      </c>
      <c r="AC15" s="63" t="n">
        <v>8988005270</v>
      </c>
      <c r="AD15" s="63" t="inlineStr">
        <is>
          <t>setdakab.bdg@gmail.com</t>
        </is>
      </c>
      <c r="AE15" s="67" t="inlineStr">
        <is>
          <t>-</t>
        </is>
      </c>
      <c r="AF15" s="68" t="inlineStr">
        <is>
          <t>Harian</t>
        </is>
      </c>
      <c r="AG15" s="284" t="n"/>
      <c r="AH15" s="284" t="n"/>
      <c r="AI15" s="284" t="n"/>
      <c r="AJ15" s="284" t="n"/>
      <c r="AK15" s="284" t="n"/>
      <c r="AL15" s="284" t="n"/>
      <c r="AM15" s="284" t="n"/>
      <c r="AN15" s="284" t="n"/>
      <c r="AO15" s="284" t="n"/>
      <c r="AP15" s="284" t="n"/>
      <c r="AQ15" s="284" t="n"/>
      <c r="AR15" s="284" t="n"/>
    </row>
    <row r="16">
      <c r="A16" s="62" t="n">
        <v>14</v>
      </c>
      <c r="B16" s="63" t="inlineStr">
        <is>
          <t>Layanan Perencanaan BMD</t>
        </is>
      </c>
      <c r="C16" s="63" t="inlineStr">
        <is>
          <t>Untuk mengidentifikasi kebutuhan aset, merencanakan pengadaan, pemanfaatan, pemeliharaan, dan pengelolaan aset agar sesuai dengan tugas dan fungsi SKPD, mendukung pelayanan publik, dan memastikan pengelolaan yang akuntabel dan transparan sesuai regulasi. Layanan ini bertujuan untuk menciptakan pengelolaan aset yang efisien dan efektif, mencegah pemborosan, serta mengoptimalkan penggunaan aset daerah untuk pembangunan.</t>
        </is>
      </c>
      <c r="D16" s="63" t="inlineStr">
        <is>
          <t>Undang-Undang Nomor 1 Tahun 2004 tentang Perbendaharaan Negara, Peraturan Pemerintah Nomor 27 Tahun 2014 tentang Pengelolaan BMD.</t>
        </is>
      </c>
      <c r="E16" s="288" t="n"/>
      <c r="F16" s="64" t="inlineStr">
        <is>
          <t>PERENCANAAN PEMBANGUNAN</t>
        </is>
      </c>
      <c r="G16" s="64" t="inlineStr">
        <is>
          <t>Instansi Pemerintah Lainnya</t>
        </is>
      </c>
      <c r="H16" s="64" t="inlineStr">
        <is>
          <t>Data Kebutuhan Aset</t>
        </is>
      </c>
      <c r="I16" s="64" t="inlineStr">
        <is>
          <t>Pengadaan Aset</t>
        </is>
      </c>
      <c r="J16" s="64" t="inlineStr">
        <is>
          <t>Terbatas</t>
        </is>
      </c>
      <c r="K16" s="64" t="inlineStr">
        <is>
          <t>Tidak terdapat</t>
        </is>
      </c>
      <c r="L16" s="64" t="inlineStr">
        <is>
          <t>Tahunan</t>
        </is>
      </c>
      <c r="M16" s="64" t="inlineStr">
        <is>
          <t>SSH SBU</t>
        </is>
      </c>
      <c r="N16" s="64" t="inlineStr">
        <is>
          <t>OPD</t>
        </is>
      </c>
      <c r="O16" s="64" t="inlineStr">
        <is>
          <t>Kab. Bandung</t>
        </is>
      </c>
      <c r="P16" s="64" t="inlineStr">
        <is>
          <t>Website</t>
        </is>
      </c>
      <c r="Q16" s="66" t="inlineStr">
        <is>
          <t>sshsbu.e-planningbmd.id</t>
        </is>
      </c>
      <c r="R16" s="64" t="inlineStr">
        <is>
          <t>Secara Online</t>
        </is>
      </c>
      <c r="S16" s="64" t="inlineStr">
        <is>
          <t>Informasi</t>
        </is>
      </c>
      <c r="T16" s="288" t="n"/>
      <c r="U16" s="64" t="inlineStr">
        <is>
          <t>Aktif</t>
        </is>
      </c>
      <c r="V16" s="64" t="inlineStr">
        <is>
          <t>Tidak</t>
        </is>
      </c>
      <c r="W16" s="64" t="inlineStr">
        <is>
          <t>Tidak Terintegrasi</t>
        </is>
      </c>
      <c r="X16" s="64" t="inlineStr">
        <is>
          <t>Tidak Terintegrasi</t>
        </is>
      </c>
      <c r="Y16" s="64" t="inlineStr">
        <is>
          <t>Tidak Terintegrasi</t>
        </is>
      </c>
      <c r="Z16" s="64" t="inlineStr">
        <is>
          <t>Bagian Perencanaan dan Keuangan</t>
        </is>
      </c>
      <c r="AA16" s="64" t="inlineStr">
        <is>
          <t>BKAD</t>
        </is>
      </c>
      <c r="AB16" s="63" t="inlineStr">
        <is>
          <t>YATI KURNIATI, SE., M.K.P.</t>
        </is>
      </c>
      <c r="AC16" s="63" t="n">
        <v>81321814674</v>
      </c>
      <c r="AD16" s="63" t="inlineStr">
        <is>
          <t>bagianprogramsetdakab.bandung@gmail.com</t>
        </is>
      </c>
      <c r="AE16" s="67" t="inlineStr">
        <is>
          <t>-</t>
        </is>
      </c>
      <c r="AF16" s="68" t="inlineStr">
        <is>
          <t>Tahunan</t>
        </is>
      </c>
      <c r="AG16" s="284" t="n"/>
      <c r="AH16" s="284" t="n"/>
      <c r="AI16" s="284" t="n"/>
      <c r="AJ16" s="284" t="n"/>
      <c r="AK16" s="284" t="n"/>
      <c r="AL16" s="284" t="n"/>
      <c r="AM16" s="284" t="n"/>
      <c r="AN16" s="284" t="n"/>
      <c r="AO16" s="284" t="n"/>
      <c r="AP16" s="284" t="n"/>
      <c r="AQ16" s="284" t="n"/>
      <c r="AR16" s="284" t="n"/>
    </row>
    <row r="17" hidden="1" s="346">
      <c r="A17" s="62" t="n">
        <v>15</v>
      </c>
      <c r="B17" s="63" t="inlineStr">
        <is>
          <t>Layanan Statistik</t>
        </is>
      </c>
      <c r="C17" s="63" t="inlineStr">
        <is>
          <t>Indonesia Data Hub merupakan one stop collaboration platform yang bertujuan untuk meningkatkan literasi data dan value of statistics serta mendukung interoperabilitas data dan kolaborasi eksplorasi terhadap data.</t>
        </is>
      </c>
      <c r="D17" s="63" t="inlineStr">
        <is>
          <t>Undang-Undang Nomor 16 Tahun 1997 tentang Statistik sebagai dasar umum, serta Peraturan Presiden Nomor 86 Tahun 2007 dan Peraturan Kepala Badan Pusat Statistik (BPS) Nomor 78 Tahun 2020 yang mengatur pelayanan statistik terpadu di tingkat pusat.</t>
        </is>
      </c>
      <c r="E17" s="288" t="n"/>
      <c r="F17" s="64" t="inlineStr">
        <is>
          <t>PENGELOLAAN DATA STATISTIK</t>
        </is>
      </c>
      <c r="G17" s="64" t="inlineStr">
        <is>
          <t>Instansi Pemerintah Lainnya</t>
        </is>
      </c>
      <c r="H17" s="64" t="inlineStr">
        <is>
          <t>Metadata dan Standar Data Statistik</t>
        </is>
      </c>
      <c r="I17" s="64" t="inlineStr">
        <is>
          <t>Metadata dan Standar Data Statistik</t>
        </is>
      </c>
      <c r="J17" s="64" t="inlineStr">
        <is>
          <t>Terbuka</t>
        </is>
      </c>
      <c r="K17" s="64" t="inlineStr">
        <is>
          <t>Tidak terdapat</t>
        </is>
      </c>
      <c r="L17" s="64" t="inlineStr">
        <is>
          <t>Lainnya</t>
        </is>
      </c>
      <c r="M17" s="64" t="inlineStr">
        <is>
          <t>INDAH</t>
        </is>
      </c>
      <c r="N17" s="64" t="inlineStr">
        <is>
          <t>Pusat</t>
        </is>
      </c>
      <c r="O17" s="64" t="inlineStr">
        <is>
          <t>Pusat</t>
        </is>
      </c>
      <c r="P17" s="64" t="inlineStr">
        <is>
          <t>Website</t>
        </is>
      </c>
      <c r="Q17" s="66" t="inlineStr">
        <is>
          <t>https://indah.bps.go.id/</t>
        </is>
      </c>
      <c r="R17" s="64" t="inlineStr">
        <is>
          <t>Secara Online</t>
        </is>
      </c>
      <c r="S17" s="64" t="inlineStr">
        <is>
          <t>Informasi</t>
        </is>
      </c>
      <c r="T17" s="64" t="n">
        <v>2019</v>
      </c>
      <c r="U17" s="64" t="inlineStr">
        <is>
          <t>Aktif</t>
        </is>
      </c>
      <c r="V17" s="64" t="inlineStr">
        <is>
          <t>Ya</t>
        </is>
      </c>
      <c r="W17" s="64" t="inlineStr">
        <is>
          <t>Terintegrasi dengan Aplikasi Romantik</t>
        </is>
      </c>
      <c r="X17" s="64" t="inlineStr">
        <is>
          <t>Web Service</t>
        </is>
      </c>
      <c r="Y17" s="64" t="inlineStr">
        <is>
          <t>Realtime</t>
        </is>
      </c>
      <c r="Z17" s="64" t="inlineStr">
        <is>
          <t>Bagian Perencanaan dan Keuangan</t>
        </is>
      </c>
      <c r="AA17" s="64" t="inlineStr">
        <is>
          <t>Setda</t>
        </is>
      </c>
      <c r="AB17" s="63" t="inlineStr">
        <is>
          <t>DHANTI AURILIA PRATIWI, M.Stat</t>
        </is>
      </c>
      <c r="AC17" s="63" t="n">
        <v>81904085710</v>
      </c>
      <c r="AD17" s="63" t="inlineStr">
        <is>
          <t>setdakab.bdg@gmail.com</t>
        </is>
      </c>
      <c r="AE17" s="67" t="inlineStr">
        <is>
          <t>-</t>
        </is>
      </c>
      <c r="AF17" s="68" t="inlineStr">
        <is>
          <t>Tahunan</t>
        </is>
      </c>
      <c r="AG17" s="284" t="n"/>
      <c r="AH17" s="284" t="n"/>
      <c r="AI17" s="284" t="n"/>
      <c r="AJ17" s="284" t="n"/>
      <c r="AK17" s="284" t="n"/>
      <c r="AL17" s="284" t="n"/>
      <c r="AM17" s="284" t="n"/>
      <c r="AN17" s="284" t="n"/>
      <c r="AO17" s="284" t="n"/>
      <c r="AP17" s="284" t="n"/>
      <c r="AQ17" s="284" t="n"/>
      <c r="AR17" s="284" t="n"/>
    </row>
    <row r="18">
      <c r="A18" s="62" t="n">
        <v>16</v>
      </c>
      <c r="B18" s="63" t="inlineStr">
        <is>
          <t>Layanan Informasi Pengawasan SAKIP, SPIP, MR</t>
        </is>
      </c>
      <c r="C18" s="63" t="inlineStr">
        <is>
          <t>Fungsinya adalah menyediakan data dan laporan pengawasan yang terintegrasi untuk mendukung perbaikan tata kelola, meningkatkan transparansi, mengurangi potensi penyimpangan, dan memperkuat pengambilan keputusan berbasis bukti dalam rangka mewujudkan pemerintahan yang efektif, efisien, dan akuntabel.</t>
        </is>
      </c>
      <c r="D18" s="63" t="inlineStr">
        <is>
          <t>Nomor 60 Tahun 2008 tentang Sistem Pengendalian Intern Pemerintah (SPIP), Peraturan Presiden (Perpres) Nomor 29 Tahun 2014 tentang Sistem Akuntabilitas Kinerja Instansi Pemerintah (SAKIP).</t>
        </is>
      </c>
      <c r="E18" s="288" t="n"/>
      <c r="F18" s="64" t="inlineStr">
        <is>
          <t>PENINGKATAN KUALITAS PELAYANAN PUBLIK</t>
        </is>
      </c>
      <c r="G18" s="64" t="inlineStr">
        <is>
          <t>Instansi Pemerintah Lainnya</t>
        </is>
      </c>
      <c r="H18" s="64" t="inlineStr">
        <is>
          <t>Data Evidence SAKIP, SPIP, MR</t>
        </is>
      </c>
      <c r="I18" s="64" t="inlineStr">
        <is>
          <t>Nilai SAKIP dan MR</t>
        </is>
      </c>
      <c r="J18" s="64" t="inlineStr">
        <is>
          <t>Terbatas</t>
        </is>
      </c>
      <c r="K18" s="64" t="inlineStr">
        <is>
          <t>Tidak terdapat</t>
        </is>
      </c>
      <c r="L18" s="64" t="inlineStr">
        <is>
          <t>Tahunan</t>
        </is>
      </c>
      <c r="M18" s="64" t="inlineStr">
        <is>
          <t>SIMWAS</t>
        </is>
      </c>
      <c r="N18" s="64" t="inlineStr">
        <is>
          <t>Pihak Ke 3</t>
        </is>
      </c>
      <c r="O18" s="64" t="inlineStr">
        <is>
          <t>Kab. Bandung</t>
        </is>
      </c>
      <c r="P18" s="64" t="inlineStr">
        <is>
          <t>Website</t>
        </is>
      </c>
      <c r="Q18" s="70" t="inlineStr">
        <is>
          <t>simwas.bandungkab.go.id</t>
        </is>
      </c>
      <c r="R18" s="64" t="inlineStr">
        <is>
          <t>Secara Online</t>
        </is>
      </c>
      <c r="S18" s="64" t="inlineStr">
        <is>
          <t>Transaksi</t>
        </is>
      </c>
      <c r="T18" s="64" t="n">
        <v>2022</v>
      </c>
      <c r="U18" s="64" t="inlineStr">
        <is>
          <t>Aktif</t>
        </is>
      </c>
      <c r="V18" s="64" t="inlineStr">
        <is>
          <t>Tidak</t>
        </is>
      </c>
      <c r="W18" s="64" t="inlineStr">
        <is>
          <t>Tidak Terintegrasi</t>
        </is>
      </c>
      <c r="X18" s="64" t="inlineStr">
        <is>
          <t>Tidak Terintegrasi</t>
        </is>
      </c>
      <c r="Y18" s="64" t="inlineStr">
        <is>
          <t>Tidak Terintegrasi</t>
        </is>
      </c>
      <c r="Z18" s="64" t="inlineStr">
        <is>
          <t>Bagian Perencanaan dan Keuangan</t>
        </is>
      </c>
      <c r="AA18" s="64" t="inlineStr">
        <is>
          <t>Setda, Inspektorat</t>
        </is>
      </c>
      <c r="AB18" s="63" t="inlineStr">
        <is>
          <t>DEBI RIANA S.STP., M.Si.</t>
        </is>
      </c>
      <c r="AC18" s="63" t="n">
        <v>8127392553</v>
      </c>
      <c r="AD18" s="63" t="inlineStr">
        <is>
          <t>setdakab.bdg@gmail.com</t>
        </is>
      </c>
      <c r="AE18" s="67" t="inlineStr">
        <is>
          <t>mungkin berkaitan dengan 27</t>
        </is>
      </c>
      <c r="AF18" s="68" t="inlineStr">
        <is>
          <t>Tahunan</t>
        </is>
      </c>
      <c r="AG18" s="284" t="n"/>
      <c r="AH18" s="284" t="n"/>
      <c r="AI18" s="284" t="n"/>
      <c r="AJ18" s="284" t="n"/>
      <c r="AK18" s="284" t="n"/>
      <c r="AL18" s="284" t="n"/>
      <c r="AM18" s="284" t="n"/>
      <c r="AN18" s="284" t="n"/>
      <c r="AO18" s="284" t="n"/>
      <c r="AP18" s="284" t="n"/>
      <c r="AQ18" s="284" t="n"/>
      <c r="AR18" s="284" t="n"/>
    </row>
    <row r="19">
      <c r="A19" s="62" t="n">
        <v>17</v>
      </c>
      <c r="B19" s="63" t="inlineStr">
        <is>
          <t>Layanan Informasi Data, Pengendalian, Evaluasi, dan Pelaporan</t>
        </is>
      </c>
      <c r="C19" s="63" t="inlineStr">
        <is>
          <t>Mencakup penyediaan dan pengelolaan data dan informasi pembangunan, pemantauan dan pengendalian pelaksanaan program/kegiatan, serta penyusunan laporan hasil evaluasi untuk mendukung perumusan kebijakan dan pengambilan keputusan. Layanan ini bertugas menganalisis data, mengoordinasikan evaluasi, dan menyusun pelaporan program pembangunan daerah.</t>
        </is>
      </c>
      <c r="D19" s="63" t="inlineStr">
        <is>
          <t>Undang-Undang Nomor 14 Tahun 2008 tentang Keterbukaan Informasi Publik, Undang-Undang Nomor 25 Tahun 2009 tentang Pelayanan Publik.</t>
        </is>
      </c>
      <c r="E19" s="288" t="n"/>
      <c r="F19" s="64" t="inlineStr">
        <is>
          <t>PENINGKATAN KUALITAS REFORMASI BIROKRASI, PENGAWASAN, DAN AKUNTABILITAS KINERJA</t>
        </is>
      </c>
      <c r="G19" s="64" t="inlineStr">
        <is>
          <t>Instansi Pemerintah Lainnya</t>
        </is>
      </c>
      <c r="H19" s="64" t="inlineStr">
        <is>
          <t>Data Kinerja dan Realisasi Anggaran</t>
        </is>
      </c>
      <c r="I19" s="64" t="inlineStr">
        <is>
          <t>Data Capaian Kinerja dan Realisasi Anggaran</t>
        </is>
      </c>
      <c r="J19" s="64" t="inlineStr">
        <is>
          <t>Terbatas</t>
        </is>
      </c>
      <c r="K19" s="64" t="inlineStr">
        <is>
          <t>Tidak terdapat</t>
        </is>
      </c>
      <c r="L19" s="64" t="inlineStr">
        <is>
          <t>Lainnya</t>
        </is>
      </c>
      <c r="M19" s="64" t="inlineStr">
        <is>
          <t>SIDALMONEP</t>
        </is>
      </c>
      <c r="N19" s="64" t="inlineStr">
        <is>
          <t>OPD</t>
        </is>
      </c>
      <c r="O19" s="64" t="inlineStr">
        <is>
          <t>Kab. Bandung</t>
        </is>
      </c>
      <c r="P19" s="64" t="inlineStr">
        <is>
          <t>Website</t>
        </is>
      </c>
      <c r="Q19" s="66" t="inlineStr">
        <is>
          <t>sidalmonep.bandungkab.go.id/</t>
        </is>
      </c>
      <c r="R19" s="64" t="inlineStr">
        <is>
          <t>Secara Online</t>
        </is>
      </c>
      <c r="S19" s="64" t="inlineStr">
        <is>
          <t>Informasi</t>
        </is>
      </c>
      <c r="T19" s="64" t="n">
        <v>2021</v>
      </c>
      <c r="U19" s="64" t="inlineStr">
        <is>
          <t>Aktif</t>
        </is>
      </c>
      <c r="V19" s="67" t="inlineStr">
        <is>
          <t>Tidak</t>
        </is>
      </c>
      <c r="W19" s="64" t="inlineStr">
        <is>
          <t>SIPD</t>
        </is>
      </c>
      <c r="X19" s="64" t="inlineStr">
        <is>
          <t>API</t>
        </is>
      </c>
      <c r="Y19" s="64" t="inlineStr">
        <is>
          <t>Realtime</t>
        </is>
      </c>
      <c r="Z19" s="64" t="inlineStr">
        <is>
          <t>Bagian Perencanaan dan Keuangan</t>
        </is>
      </c>
      <c r="AA19" s="64" t="inlineStr">
        <is>
          <t>Setda, Bapperida</t>
        </is>
      </c>
      <c r="AB19" s="63" t="inlineStr">
        <is>
          <t>YATI KURNIATI, SE., M.K.P.</t>
        </is>
      </c>
      <c r="AC19" s="63" t="n">
        <v>81321814674</v>
      </c>
      <c r="AD19" s="63" t="inlineStr">
        <is>
          <t>bagianprogramsetdakab.bandung@gmail.com</t>
        </is>
      </c>
      <c r="AE19" s="67" t="inlineStr">
        <is>
          <t>-</t>
        </is>
      </c>
      <c r="AF19" s="68" t="inlineStr">
        <is>
          <t>Tahunan</t>
        </is>
      </c>
      <c r="AG19" s="284" t="n"/>
      <c r="AH19" s="284" t="n"/>
      <c r="AI19" s="284" t="n"/>
      <c r="AJ19" s="284" t="n"/>
      <c r="AK19" s="284" t="n"/>
      <c r="AL19" s="284" t="n"/>
      <c r="AM19" s="284" t="n"/>
      <c r="AN19" s="284" t="n"/>
      <c r="AO19" s="284" t="n"/>
      <c r="AP19" s="284" t="n"/>
      <c r="AQ19" s="284" t="n"/>
      <c r="AR19" s="284" t="n"/>
    </row>
    <row r="20">
      <c r="A20" s="62" t="n">
        <v>18</v>
      </c>
      <c r="B20" s="63" t="inlineStr">
        <is>
          <t>Layanan Pengelolaan Administrasi Kepegawaian</t>
        </is>
      </c>
      <c r="C20" s="67" t="inlineStr">
        <is>
          <t>mengelola administrasi, pengembangan, dan pelayanan pegawai secara efektif untuk mendukung kinerja Sekretariat Daerah. Fungsinya meliputi penyiapan bahan kebijakan, manajemen mutasi, kenaikan pangkat, pensiun, disiplin, hingga pengembangan kompetensi pegawai</t>
        </is>
      </c>
      <c r="D20" s="67" t="inlineStr">
        <is>
          <t>Undang-Undang Nomor 20 Tahun 2023 tentang Aparatur Sipil Negara</t>
        </is>
      </c>
      <c r="E20" s="288" t="n"/>
      <c r="F20" s="67" t="inlineStr">
        <is>
          <t>PENATAAN SUMBER DAYA MANUSIA APARATUR</t>
        </is>
      </c>
      <c r="G20" s="67" t="inlineStr">
        <is>
          <t>Pegawai</t>
        </is>
      </c>
      <c r="H20" s="67" t="inlineStr">
        <is>
          <t>Data Kepegawaian</t>
        </is>
      </c>
      <c r="I20" s="67" t="inlineStr">
        <is>
          <t>Data Kepegawaian</t>
        </is>
      </c>
      <c r="J20" s="67" t="inlineStr">
        <is>
          <t>Terbatas</t>
        </is>
      </c>
      <c r="K20" s="67" t="inlineStr">
        <is>
          <t>Terdapat</t>
        </is>
      </c>
      <c r="L20" s="67" t="inlineStr">
        <is>
          <t>Harian</t>
        </is>
      </c>
      <c r="M20" s="68" t="inlineStr">
        <is>
          <t>SIMPEL BKPSDM</t>
        </is>
      </c>
      <c r="N20" s="67" t="inlineStr">
        <is>
          <t>Diskominfo</t>
        </is>
      </c>
      <c r="O20" s="67" t="inlineStr">
        <is>
          <t>Kab. Bandung</t>
        </is>
      </c>
      <c r="P20" s="67" t="inlineStr">
        <is>
          <t>Website</t>
        </is>
      </c>
      <c r="Q20" s="75" t="inlineStr">
        <is>
          <t>https://simpelbkpsdm.bandungkab.go.id/</t>
        </is>
      </c>
      <c r="R20" s="67" t="inlineStr">
        <is>
          <t>Secara Online</t>
        </is>
      </c>
      <c r="S20" s="67" t="inlineStr">
        <is>
          <t>Informasi</t>
        </is>
      </c>
      <c r="T20" s="288" t="n"/>
      <c r="U20" s="67" t="inlineStr">
        <is>
          <t>Aktif</t>
        </is>
      </c>
      <c r="V20" s="67" t="inlineStr">
        <is>
          <t>Ya</t>
        </is>
      </c>
      <c r="W20" s="67" t="inlineStr">
        <is>
          <t>Terintegrasi</t>
        </is>
      </c>
      <c r="X20" s="67" t="inlineStr">
        <is>
          <t>Database to Database</t>
        </is>
      </c>
      <c r="Y20" s="67" t="inlineStr">
        <is>
          <t>Realtime</t>
        </is>
      </c>
      <c r="Z20" s="67" t="inlineStr">
        <is>
          <t>Bagian Umum</t>
        </is>
      </c>
      <c r="AA20" s="67" t="inlineStr">
        <is>
          <t>BKPSDM</t>
        </is>
      </c>
      <c r="AB20" s="67" t="inlineStr">
        <is>
          <t>Iman Herman Sudrajat, S.IP.</t>
        </is>
      </c>
      <c r="AC20" s="288" t="n"/>
      <c r="AD20" s="67" t="inlineStr">
        <is>
          <t>bag_umum@bandungkab.go.id</t>
        </is>
      </c>
      <c r="AE20" s="68" t="n">
        <v>28</v>
      </c>
      <c r="AF20" s="68" t="inlineStr">
        <is>
          <t>Harian</t>
        </is>
      </c>
      <c r="AG20" s="284" t="n"/>
      <c r="AH20" s="284" t="n"/>
      <c r="AI20" s="284" t="n"/>
      <c r="AJ20" s="284" t="n"/>
      <c r="AK20" s="284" t="n"/>
      <c r="AL20" s="284" t="n"/>
      <c r="AM20" s="284" t="n"/>
      <c r="AN20" s="284" t="n"/>
      <c r="AO20" s="284" t="n"/>
      <c r="AP20" s="284" t="n"/>
      <c r="AQ20" s="284" t="n"/>
      <c r="AR20" s="284" t="n"/>
    </row>
    <row r="21">
      <c r="A21" s="62" t="n">
        <v>19</v>
      </c>
      <c r="B21" s="63" t="inlineStr">
        <is>
          <t>Layanan Informasi Akuntabilitas Kinerja</t>
        </is>
      </c>
      <c r="C21" s="63" t="inlineStr">
        <is>
          <t>Layanan Sistem Informasi Akuntabilitas Kinerja adalah sebuah sistem elektronik yang digunakan oleh instansi pemerintah untuk mengelola, mengukur, dan melaporkan kinerja secara terukur dan transparan. Sistem ini bertujuan untuk mewujudkan pemerintahan yang akuntabel, efektif, dan efisien, serta memberikan pertanggungjawaban atas penggunaan anggaran dan pencapaian tujuan organisasi kepada masyarakat.</t>
        </is>
      </c>
      <c r="D21" s="63" t="inlineStr">
        <is>
          <t>Peraturan Presiden Nomor 29 Tahun 2014 tentang Sistem Akuntabilitas Kinerja Instansi Pemerintah, serta peraturan pelaksanaannya seperti Peraturan Menteri Pendayagunaan Aparatur Negara dan Reformasi Birokrasi Nomor 88 Tahun 2021 tentang Evaluasi Akuntabilitas Kinerja Instansi Pemerintah</t>
        </is>
      </c>
      <c r="E21" s="288" t="n"/>
      <c r="F21" s="64" t="inlineStr">
        <is>
          <t>PENINGKATAN KUALITAS REFORMASI BIROKRASI, PENGAWASAN, DAN AKUNTABILITAS KINERJA</t>
        </is>
      </c>
      <c r="G21" s="64" t="inlineStr">
        <is>
          <t>Instansi Pemerintah Lainnya</t>
        </is>
      </c>
      <c r="H21" s="64" t="inlineStr">
        <is>
          <t>Data Akuntabilitas Kinerja</t>
        </is>
      </c>
      <c r="I21" s="64" t="inlineStr">
        <is>
          <t>Data Akuntabilitas Kinerja</t>
        </is>
      </c>
      <c r="J21" s="64" t="inlineStr">
        <is>
          <t>Terbatas</t>
        </is>
      </c>
      <c r="K21" s="64" t="inlineStr">
        <is>
          <t>Tidak terdapat</t>
        </is>
      </c>
      <c r="L21" s="64" t="inlineStr">
        <is>
          <t>Tahunan</t>
        </is>
      </c>
      <c r="M21" s="64" t="inlineStr">
        <is>
          <t>SIAKANG</t>
        </is>
      </c>
      <c r="N21" s="64" t="inlineStr">
        <is>
          <t>OPD</t>
        </is>
      </c>
      <c r="O21" s="64" t="inlineStr">
        <is>
          <t>Kab. Bandung</t>
        </is>
      </c>
      <c r="P21" s="64" t="inlineStr">
        <is>
          <t>Website dan Mobile</t>
        </is>
      </c>
      <c r="Q21" s="66" t="inlineStr">
        <is>
          <t>siakang.bandungkab.go.id</t>
        </is>
      </c>
      <c r="R21" s="64" t="inlineStr">
        <is>
          <t>Secara Online</t>
        </is>
      </c>
      <c r="S21" s="64" t="inlineStr">
        <is>
          <t>Informasi</t>
        </is>
      </c>
      <c r="T21" s="64" t="n">
        <v>2023</v>
      </c>
      <c r="U21" s="64" t="inlineStr">
        <is>
          <t>Aktif</t>
        </is>
      </c>
      <c r="V21" s="64" t="inlineStr">
        <is>
          <t>Tidak</t>
        </is>
      </c>
      <c r="W21" s="64" t="inlineStr">
        <is>
          <t>Tidak Terintegrasi</t>
        </is>
      </c>
      <c r="X21" s="64" t="inlineStr">
        <is>
          <t>Tidak Terintegrasi</t>
        </is>
      </c>
      <c r="Y21" s="64" t="inlineStr">
        <is>
          <t>Tidak Terintegrasi</t>
        </is>
      </c>
      <c r="Z21" s="64" t="inlineStr">
        <is>
          <t>Bagian Organisasi</t>
        </is>
      </c>
      <c r="AA21" s="64" t="inlineStr">
        <is>
          <t>Setda</t>
        </is>
      </c>
      <c r="AB21" s="66" t="inlineStr">
        <is>
          <t>IRMA PURNAMA, S.STP, M.Tr.A.P</t>
        </is>
      </c>
      <c r="AC21" s="63" t="n">
        <v>85218888714</v>
      </c>
      <c r="AD21" s="63" t="inlineStr">
        <is>
          <t>setdakab.bdg@gmail.com</t>
        </is>
      </c>
      <c r="AE21" s="288" t="n"/>
      <c r="AF21" s="288" t="n"/>
      <c r="AG21" s="284" t="n"/>
      <c r="AH21" s="284" t="n"/>
      <c r="AI21" s="284" t="n"/>
      <c r="AJ21" s="284" t="n"/>
      <c r="AK21" s="284" t="n"/>
      <c r="AL21" s="284" t="n"/>
      <c r="AM21" s="284" t="n"/>
      <c r="AN21" s="284" t="n"/>
      <c r="AO21" s="284" t="n"/>
      <c r="AP21" s="284" t="n"/>
      <c r="AQ21" s="284" t="n"/>
      <c r="AR21" s="284" t="n"/>
    </row>
    <row r="22" hidden="1" s="346">
      <c r="A22" s="62" t="n">
        <v>20</v>
      </c>
      <c r="B22" s="63" t="inlineStr">
        <is>
          <t>Layanan Reformasi Birokrasi</t>
        </is>
      </c>
      <c r="C22" s="63" t="inlineStr">
        <is>
          <t>Fungsi utama layanan Reformasi Birokrasi (RB) di Kabupaten Bandung adalah meningkatkan birokrasi yang bersih dan akuntabel, pelayanan publik yang prima, serta efektivitas kelembagaan agar menjadi organisasi yang adaptif, inovatif, dan berintegritas tinggi dalam melayani masyarakat. Tujuannya adalah menciptakan aparatur negara yang profesional, profesional, dan sejahtera, yang bekerja dengan integritas tinggi untuk memberikan pelayanan terbaik kepada masyarakat.</t>
        </is>
      </c>
      <c r="D22" s="63" t="inlineStr">
        <is>
          <t>Perpres No. 81 Tahun 2010 tentang Grand Design RB, Perbup No. 286 Tahun 2022 tentang Roadmap Reformasi Birokrasi Kabupaten Bandung.</t>
        </is>
      </c>
      <c r="E22" s="288" t="n"/>
      <c r="F22" s="64" t="inlineStr">
        <is>
          <t>PROTOKOL DAN KONSULER</t>
        </is>
      </c>
      <c r="G22" s="64" t="inlineStr">
        <is>
          <t>Instansi Pemerintah Lainnya</t>
        </is>
      </c>
      <c r="H22" s="64" t="inlineStr">
        <is>
          <t>Data Capaian dan Evidence setiap Indikator RB</t>
        </is>
      </c>
      <c r="I22" s="64" t="inlineStr">
        <is>
          <t>Indeks Reformasi Birokrasi (IRB)</t>
        </is>
      </c>
      <c r="J22" s="64" t="inlineStr">
        <is>
          <t>Terbatas</t>
        </is>
      </c>
      <c r="K22" s="64" t="inlineStr">
        <is>
          <t>Tidak terdapat</t>
        </is>
      </c>
      <c r="L22" s="64" t="inlineStr">
        <is>
          <t>Tahunan</t>
        </is>
      </c>
      <c r="M22" s="64" t="inlineStr">
        <is>
          <t>SURABI</t>
        </is>
      </c>
      <c r="N22" s="64" t="inlineStr">
        <is>
          <t>Provinsi</t>
        </is>
      </c>
      <c r="O22" s="64" t="inlineStr">
        <is>
          <t>Provinsi</t>
        </is>
      </c>
      <c r="P22" s="64" t="inlineStr">
        <is>
          <t>Website dan Mobile</t>
        </is>
      </c>
      <c r="Q22" s="66" t="inlineStr">
        <is>
          <t>https://surabi.jabarprov.go.id/</t>
        </is>
      </c>
      <c r="R22" s="64" t="inlineStr">
        <is>
          <t>Secara Online</t>
        </is>
      </c>
      <c r="S22" s="64" t="inlineStr">
        <is>
          <t>Informasi</t>
        </is>
      </c>
      <c r="T22" s="64" t="n">
        <v>2023</v>
      </c>
      <c r="U22" s="64" t="inlineStr">
        <is>
          <t>Aktif</t>
        </is>
      </c>
      <c r="V22" s="64" t="inlineStr">
        <is>
          <t>Tidak</t>
        </is>
      </c>
      <c r="W22" s="64" t="inlineStr">
        <is>
          <t>Tidak Terintegrasi</t>
        </is>
      </c>
      <c r="X22" s="64" t="inlineStr">
        <is>
          <t>Tidak Terintegrasi</t>
        </is>
      </c>
      <c r="Y22" s="64" t="inlineStr">
        <is>
          <t>Tidak Terintegrasi</t>
        </is>
      </c>
      <c r="Z22" s="64" t="inlineStr">
        <is>
          <t>Bagian Organisasi</t>
        </is>
      </c>
      <c r="AA22" s="64" t="inlineStr">
        <is>
          <t>Setda</t>
        </is>
      </c>
      <c r="AB22" s="66" t="inlineStr">
        <is>
          <t>IRMA PURNAMA, S.STP, M.Tr.A.P</t>
        </is>
      </c>
      <c r="AC22" s="63" t="n">
        <v>85218888714</v>
      </c>
      <c r="AD22" s="63" t="inlineStr">
        <is>
          <t>setdakab.bdg@gmail.com</t>
        </is>
      </c>
      <c r="AE22" s="288" t="n"/>
      <c r="AF22" s="288" t="n"/>
      <c r="AG22" s="284" t="n"/>
      <c r="AH22" s="284" t="n"/>
      <c r="AI22" s="284" t="n"/>
      <c r="AJ22" s="284" t="n"/>
      <c r="AK22" s="284" t="n"/>
      <c r="AL22" s="284" t="n"/>
      <c r="AM22" s="284" t="n"/>
      <c r="AN22" s="284" t="n"/>
      <c r="AO22" s="284" t="n"/>
      <c r="AP22" s="284" t="n"/>
      <c r="AQ22" s="284" t="n"/>
      <c r="AR22" s="284" t="n"/>
    </row>
    <row r="23">
      <c r="A23" s="62" t="n">
        <v>21</v>
      </c>
      <c r="B23" s="63" t="inlineStr">
        <is>
          <t>Layanan Survey Kepuasan Masyarakat</t>
        </is>
      </c>
      <c r="C23" s="63" t="inlineStr">
        <is>
          <t>Fungsi utama layanan Survey Kepuasan Masyarakat (SKM) di Kabupaten Bandung adalah mengukur tingkat kepuasan masyarakat terhadap kualitas layanan publik yang diberikan oleh instansi pemerintah daerah, guna mengidentifikasi kelemahan dan kekurangan untuk selanjutnya menetapkan kebijakan dan tindakan perbaikan yang bertujuan meningkatkan kualitas pelayanan di masa mendatang.</t>
        </is>
      </c>
      <c r="D23" s="63" t="inlineStr">
        <is>
          <t>Undang-Undang Nomor 25 Tahun 2009 tentang Pelayanan Publik dan Peraturan Menteri Pendayagunaan Aparatur Negara dan Reformasi Birokrasi (PermenPAN-RB) Nomor 14 Tahun 2017 tentang Pedoman Penyusunan Survei Kepuasan Masyarakat Unit Penyelenggara Pelayanan Publik.</t>
        </is>
      </c>
      <c r="E23" s="288" t="n"/>
      <c r="F23" s="64" t="inlineStr">
        <is>
          <t>PENINGKATAN KUALITAS PELAYANAN PUBLIK</t>
        </is>
      </c>
      <c r="G23" s="64" t="inlineStr">
        <is>
          <t>Masyarakat</t>
        </is>
      </c>
      <c r="H23" s="64" t="inlineStr">
        <is>
          <t>Hasil Survei Kepuasan Masyarakat</t>
        </is>
      </c>
      <c r="I23" s="64" t="inlineStr">
        <is>
          <t>Nilai Survei Kepuasan Masyarakat</t>
        </is>
      </c>
      <c r="J23" s="64" t="inlineStr">
        <is>
          <t>Terbatas</t>
        </is>
      </c>
      <c r="K23" s="64" t="inlineStr">
        <is>
          <t>Terdapat</t>
        </is>
      </c>
      <c r="L23" s="64" t="inlineStr">
        <is>
          <t>Lainnya</t>
        </is>
      </c>
      <c r="M23" s="64" t="inlineStr">
        <is>
          <t>E-SKM</t>
        </is>
      </c>
      <c r="N23" s="64" t="inlineStr">
        <is>
          <t>Diskominfo</t>
        </is>
      </c>
      <c r="O23" s="64" t="inlineStr">
        <is>
          <t>Kab. Bandung</t>
        </is>
      </c>
      <c r="P23" s="64" t="inlineStr">
        <is>
          <t>Website dan Mobile</t>
        </is>
      </c>
      <c r="Q23" s="66" t="inlineStr">
        <is>
          <t>https://skm.bandungkab.go.id/</t>
        </is>
      </c>
      <c r="R23" s="64" t="inlineStr">
        <is>
          <t>Secara Online</t>
        </is>
      </c>
      <c r="S23" s="64" t="inlineStr">
        <is>
          <t>Informasi</t>
        </is>
      </c>
      <c r="T23" s="64" t="n">
        <v>2021</v>
      </c>
      <c r="U23" s="64" t="inlineStr">
        <is>
          <t>Aktif</t>
        </is>
      </c>
      <c r="V23" s="64" t="inlineStr">
        <is>
          <t>Tidak</t>
        </is>
      </c>
      <c r="W23" s="64" t="inlineStr">
        <is>
          <t>Tidak Terintegrasi</t>
        </is>
      </c>
      <c r="X23" s="64" t="inlineStr">
        <is>
          <t>Tidak Terintegrasi</t>
        </is>
      </c>
      <c r="Y23" s="64" t="inlineStr">
        <is>
          <t>Tidak Terintegrasi</t>
        </is>
      </c>
      <c r="Z23" s="64" t="inlineStr">
        <is>
          <t>Bagian Organisasi</t>
        </is>
      </c>
      <c r="AA23" s="64" t="inlineStr">
        <is>
          <t>Setda</t>
        </is>
      </c>
      <c r="AB23" s="63" t="inlineStr">
        <is>
          <t>RAFSANJANI M. AMIN, S.STP</t>
        </is>
      </c>
      <c r="AC23" s="63" t="n">
        <v>82190093518</v>
      </c>
      <c r="AD23" s="63" t="inlineStr">
        <is>
          <t>setdakab.bdg@gmail.com</t>
        </is>
      </c>
      <c r="AE23" s="288" t="n"/>
      <c r="AF23" s="288" t="n"/>
      <c r="AG23" s="284" t="n"/>
      <c r="AH23" s="284" t="n"/>
      <c r="AI23" s="284" t="n"/>
      <c r="AJ23" s="284" t="n"/>
      <c r="AK23" s="284" t="n"/>
      <c r="AL23" s="284" t="n"/>
      <c r="AM23" s="284" t="n"/>
      <c r="AN23" s="284" t="n"/>
      <c r="AO23" s="284" t="n"/>
      <c r="AP23" s="284" t="n"/>
      <c r="AQ23" s="284" t="n"/>
      <c r="AR23" s="284" t="n"/>
    </row>
    <row r="24">
      <c r="A24" s="62" t="n">
        <v>22</v>
      </c>
      <c r="B24" s="63" t="inlineStr">
        <is>
          <t>Layanan Tambahan Penghasilan ASN</t>
        </is>
      </c>
      <c r="C24" s="63" t="inlineStr">
        <is>
          <t>Tujuannya untuk menyusun Kepbup besaran TPP-ASN dan Memberi kemudahan dalam penyusunan TPP-ASN dan mengontrol realisasi TPP setiap Perangkat Daerah</t>
        </is>
      </c>
      <c r="D24" s="63" t="inlineStr">
        <is>
          <t>Pasal 58-PP 12/2019 Tentang PENGELOLAAN KEUANGAN DAERAH,
 Permendagri 14/2025 Tentang PEDOMAN PENYUSUNAN ANGGARAN PENDAPATAN DAN BELANJA DAERAH TAHUN ANGGARAN 2026
 Kepmendagri 900.1.3.2-1287 Tahun 2024 Tentang Tata Cara Persetujuan Menteri Dalam Negeri Terhadap Pemberian Tambahan Penghasilan Pegawai Aparatur Sipil Negara di Pemerintah Daerah</t>
        </is>
      </c>
      <c r="E24" s="288" t="n"/>
      <c r="F24" s="64" t="inlineStr">
        <is>
          <t>PENINGKATAN KUALITAS REFORMASI BIROKRASI, PENGAWASAN, DAN AKUNTABILITAS KINERJA</t>
        </is>
      </c>
      <c r="G24" s="64" t="inlineStr">
        <is>
          <t>Pegawai</t>
        </is>
      </c>
      <c r="H24" s="64" t="inlineStr">
        <is>
          <t>Data Jabatan, Jumlah Pegawai dan Pagu Anggaran</t>
        </is>
      </c>
      <c r="I24" s="64" t="inlineStr">
        <is>
          <t>Keputusan Bupati Tentang Besaran TPP-ASN</t>
        </is>
      </c>
      <c r="J24" s="64" t="inlineStr">
        <is>
          <t>Terbatas</t>
        </is>
      </c>
      <c r="K24" s="64" t="inlineStr">
        <is>
          <t>Terdapat</t>
        </is>
      </c>
      <c r="L24" s="64" t="inlineStr">
        <is>
          <t>Bulanan</t>
        </is>
      </c>
      <c r="M24" s="64" t="inlineStr">
        <is>
          <t>SITAMPAN</t>
        </is>
      </c>
      <c r="N24" s="64" t="inlineStr">
        <is>
          <t>Pihak Ke 3</t>
        </is>
      </c>
      <c r="O24" s="64" t="inlineStr">
        <is>
          <t>Kab. Bandung</t>
        </is>
      </c>
      <c r="P24" s="64" t="inlineStr">
        <is>
          <t>Website dan Mobile</t>
        </is>
      </c>
      <c r="Q24" s="66" t="inlineStr">
        <is>
          <t>https://sitampan-insaba.web.app/</t>
        </is>
      </c>
      <c r="R24" s="64" t="inlineStr">
        <is>
          <t>Secara Online</t>
        </is>
      </c>
      <c r="S24" s="64" t="inlineStr">
        <is>
          <t>Transaksi</t>
        </is>
      </c>
      <c r="T24" s="64" t="n">
        <v>2025</v>
      </c>
      <c r="U24" s="64" t="inlineStr">
        <is>
          <t>Aktif</t>
        </is>
      </c>
      <c r="V24" s="64" t="inlineStr">
        <is>
          <t>Tidak</t>
        </is>
      </c>
      <c r="W24" s="64" t="inlineStr">
        <is>
          <t>Belum Terintegrasi</t>
        </is>
      </c>
      <c r="X24" s="64" t="inlineStr">
        <is>
          <t>Tidak Terintegrasi</t>
        </is>
      </c>
      <c r="Y24" s="64" t="inlineStr">
        <is>
          <t>Realtime</t>
        </is>
      </c>
      <c r="Z24" s="64" t="inlineStr">
        <is>
          <t>Bagian Organisasi</t>
        </is>
      </c>
      <c r="AA24" s="64" t="inlineStr">
        <is>
          <t>Setda</t>
        </is>
      </c>
      <c r="AB24" s="66" t="inlineStr">
        <is>
          <t>IRMA PURNAMA, S.STP, M.Tr.A.P</t>
        </is>
      </c>
      <c r="AC24" s="63" t="n">
        <v>85218888714</v>
      </c>
      <c r="AD24" s="63" t="inlineStr">
        <is>
          <t>setdakab.bdg@gmail.com</t>
        </is>
      </c>
      <c r="AE24" s="288" t="n"/>
      <c r="AF24" s="288" t="n"/>
      <c r="AG24" s="284" t="n"/>
      <c r="AH24" s="284" t="n"/>
      <c r="AI24" s="284" t="n"/>
      <c r="AJ24" s="284" t="n"/>
      <c r="AK24" s="284" t="n"/>
      <c r="AL24" s="284" t="n"/>
      <c r="AM24" s="284" t="n"/>
      <c r="AN24" s="284" t="n"/>
      <c r="AO24" s="284" t="n"/>
      <c r="AP24" s="284" t="n"/>
      <c r="AQ24" s="284" t="n"/>
      <c r="AR24" s="284" t="n"/>
    </row>
    <row r="25">
      <c r="A25" s="62" t="n">
        <v>23</v>
      </c>
      <c r="B25" s="63" t="inlineStr">
        <is>
          <t>Layanan Informasi Agenda Pimpinan</t>
        </is>
      </c>
      <c r="C25" s="63" t="inlineStr">
        <is>
          <t>Fungsi Utama layanan agenda pimpinan adalah agar PD dan ASN di pemerintah kabupaten bandung dapat dengan mudah melihat detail jadwal Bapak Bupati dan mengajukan permohonan untuk mengundang Bapak Bupati</t>
        </is>
      </c>
      <c r="D25" s="288" t="n"/>
      <c r="E25" s="288" t="n"/>
      <c r="F25" s="64" t="inlineStr">
        <is>
          <t>PENINGKATAN KUALITAS PELAYANAN PUBLIK</t>
        </is>
      </c>
      <c r="G25" s="64" t="inlineStr">
        <is>
          <t>Pegawai</t>
        </is>
      </c>
      <c r="H25" s="64" t="inlineStr">
        <is>
          <t>Data Pengajuan Agenda</t>
        </is>
      </c>
      <c r="I25" s="64" t="inlineStr">
        <is>
          <t>Data Agenda Pimpinan</t>
        </is>
      </c>
      <c r="J25" s="64" t="inlineStr">
        <is>
          <t>Terbatas</t>
        </is>
      </c>
      <c r="K25" s="64" t="inlineStr">
        <is>
          <t>Tidak terdapat</t>
        </is>
      </c>
      <c r="L25" s="64" t="inlineStr">
        <is>
          <t>Harian</t>
        </is>
      </c>
      <c r="M25" s="64" t="inlineStr">
        <is>
          <t>SIAGAN BEDAS</t>
        </is>
      </c>
      <c r="N25" s="64" t="inlineStr">
        <is>
          <t>Diskominfo</t>
        </is>
      </c>
      <c r="O25" s="64" t="inlineStr">
        <is>
          <t>Kab. Bandung</t>
        </is>
      </c>
      <c r="P25" s="64" t="inlineStr">
        <is>
          <t>Website dan Mobile</t>
        </is>
      </c>
      <c r="Q25" s="66" t="inlineStr">
        <is>
          <t>https://play.google.com/store/apps/details?id=com.diskominfo.siagan_bedas&amp;hl=id</t>
        </is>
      </c>
      <c r="R25" s="64" t="inlineStr">
        <is>
          <t>Secara Online</t>
        </is>
      </c>
      <c r="S25" s="64" t="inlineStr">
        <is>
          <t>Informasi</t>
        </is>
      </c>
      <c r="T25" s="77" t="n">
        <v>2023</v>
      </c>
      <c r="U25" s="64" t="inlineStr">
        <is>
          <t>Aktif</t>
        </is>
      </c>
      <c r="V25" s="64" t="inlineStr">
        <is>
          <t>Tidak</t>
        </is>
      </c>
      <c r="W25" s="64" t="inlineStr">
        <is>
          <t>Tidak Terintegrasi</t>
        </is>
      </c>
      <c r="X25" s="64" t="inlineStr">
        <is>
          <t>Tidak Terintegrasi</t>
        </is>
      </c>
      <c r="Y25" s="64" t="inlineStr">
        <is>
          <t>Tidak Terintegrasi</t>
        </is>
      </c>
      <c r="Z25" s="64" t="inlineStr">
        <is>
          <t>Bagian Prokopim</t>
        </is>
      </c>
      <c r="AA25" s="64" t="inlineStr">
        <is>
          <t>Setda</t>
        </is>
      </c>
      <c r="AB25" s="67" t="inlineStr">
        <is>
          <t>Ira</t>
        </is>
      </c>
      <c r="AC25" s="77" t="n">
        <v>85294019899</v>
      </c>
      <c r="AD25" s="67" t="inlineStr">
        <is>
          <t>-</t>
        </is>
      </c>
      <c r="AE25" s="67" t="inlineStr">
        <is>
          <t>-</t>
        </is>
      </c>
      <c r="AF25" s="68" t="inlineStr">
        <is>
          <t>Harian</t>
        </is>
      </c>
      <c r="AG25" s="284" t="n"/>
      <c r="AH25" s="284" t="n"/>
      <c r="AI25" s="284" t="n"/>
      <c r="AJ25" s="284" t="n"/>
      <c r="AK25" s="284" t="n"/>
      <c r="AL25" s="284" t="n"/>
      <c r="AM25" s="284" t="n"/>
      <c r="AN25" s="284" t="n"/>
      <c r="AO25" s="284" t="n"/>
      <c r="AP25" s="284" t="n"/>
      <c r="AQ25" s="284" t="n"/>
      <c r="AR25" s="284" t="n"/>
    </row>
    <row r="26" hidden="1" s="346">
      <c r="A26" s="62" t="n">
        <v>24</v>
      </c>
      <c r="B26" s="63" t="inlineStr">
        <is>
          <t>Analisi Media Monitoring</t>
        </is>
      </c>
      <c r="C26" s="288" t="n"/>
      <c r="D26" s="288" t="n"/>
      <c r="E26" s="288" t="n"/>
      <c r="F26" s="64" t="inlineStr">
        <is>
          <t>INFORMASI DAN DIPLOMASI PUBLIK</t>
        </is>
      </c>
      <c r="G26" s="64" t="inlineStr">
        <is>
          <t>Pelaku Bisnis</t>
        </is>
      </c>
      <c r="H26" s="64" t="inlineStr">
        <is>
          <t>Data berita dan sosial media</t>
        </is>
      </c>
      <c r="I26" s="64" t="inlineStr">
        <is>
          <t>Statistik Data berita &amp; sosial medi</t>
        </is>
      </c>
      <c r="J26" s="64" t="inlineStr">
        <is>
          <t>Rahasia</t>
        </is>
      </c>
      <c r="K26" s="64" t="inlineStr">
        <is>
          <t>Tidak terdapat</t>
        </is>
      </c>
      <c r="L26" s="64" t="inlineStr">
        <is>
          <t>Harian</t>
        </is>
      </c>
      <c r="M26" s="64" t="inlineStr">
        <is>
          <t>SIMANIS</t>
        </is>
      </c>
      <c r="N26" s="64" t="inlineStr">
        <is>
          <t>Diskominfo</t>
        </is>
      </c>
      <c r="O26" s="64" t="inlineStr">
        <is>
          <t>Kab. Bandung</t>
        </is>
      </c>
      <c r="P26" s="64" t="inlineStr">
        <is>
          <t>Website</t>
        </is>
      </c>
      <c r="Q26" s="78" t="inlineStr">
        <is>
          <t>{{need url}}</t>
        </is>
      </c>
      <c r="R26" s="64" t="inlineStr">
        <is>
          <t>Secara Online</t>
        </is>
      </c>
      <c r="S26" s="64" t="inlineStr">
        <is>
          <t>Informasi</t>
        </is>
      </c>
      <c r="T26" s="77" t="n">
        <v>2024</v>
      </c>
      <c r="U26" s="64" t="inlineStr">
        <is>
          <t>Non Aktif</t>
        </is>
      </c>
      <c r="V26" s="64" t="inlineStr">
        <is>
          <t>Ya</t>
        </is>
      </c>
      <c r="W26" s="64" t="inlineStr">
        <is>
          <t>Web Prokopim</t>
        </is>
      </c>
      <c r="X26" s="64" t="inlineStr">
        <is>
          <t>API</t>
        </is>
      </c>
      <c r="Y26" s="64" t="inlineStr">
        <is>
          <t>Realtime</t>
        </is>
      </c>
      <c r="Z26" s="64" t="inlineStr">
        <is>
          <t>Bagian Prokopim</t>
        </is>
      </c>
      <c r="AA26" s="64" t="inlineStr">
        <is>
          <t>Setda</t>
        </is>
      </c>
      <c r="AB26" s="67" t="inlineStr">
        <is>
          <t>Vita</t>
        </is>
      </c>
      <c r="AC26" s="67" t="inlineStr">
        <is>
          <t>62 813-1222-9386</t>
        </is>
      </c>
      <c r="AD26" s="288" t="n"/>
      <c r="AE26" s="67" t="inlineStr">
        <is>
          <t>Semua</t>
        </is>
      </c>
      <c r="AF26" s="68" t="inlineStr">
        <is>
          <t>Harian</t>
        </is>
      </c>
      <c r="AG26" s="284" t="n"/>
      <c r="AH26" s="284" t="n"/>
      <c r="AI26" s="284" t="n"/>
      <c r="AJ26" s="284" t="n"/>
      <c r="AK26" s="284" t="n"/>
      <c r="AL26" s="284" t="n"/>
      <c r="AM26" s="284" t="n"/>
      <c r="AN26" s="284" t="n"/>
      <c r="AO26" s="284" t="n"/>
      <c r="AP26" s="284" t="n"/>
      <c r="AQ26" s="284" t="n"/>
      <c r="AR26" s="284" t="n"/>
    </row>
    <row r="27" hidden="1" s="346">
      <c r="A27" s="62" t="n">
        <v>25</v>
      </c>
      <c r="B27" s="63" t="inlineStr">
        <is>
          <t>Layanan Informasi Nama Rupabumi</t>
        </is>
      </c>
      <c r="C27" s="63" t="inlineStr">
        <is>
          <t>Fungsi utama layanan aplikasi adalah melaksanakan Penyelenggaraan Nama Rupabumi pada tahapan pendataan Nama Rupabumi dan penelaaahan Nama Rupabumi dengan output berupa Nama Rupabumi baku beserta atributnya sebagai dasar penyusunan Gazeter RI</t>
        </is>
      </c>
      <c r="D27" s="63" t="inlineStr">
        <is>
          <t>PP Nomor 2 Tahun 2021 tentang Penyelenggaraan Nama Rupabumi</t>
        </is>
      </c>
      <c r="E27" s="288" t="n"/>
      <c r="F27" s="64" t="inlineStr">
        <is>
          <t>PEMBINAAN ADMINISTRASI KEWILAYAHAN</t>
        </is>
      </c>
      <c r="G27" s="64" t="inlineStr">
        <is>
          <t>Instansi Pemerintah Lainnya</t>
        </is>
      </c>
      <c r="H27" s="64" t="inlineStr">
        <is>
          <t>Objek Rupabumi buatan dan alami</t>
        </is>
      </c>
      <c r="I27" s="64" t="inlineStr">
        <is>
          <t>Nama Rupabumi Baku</t>
        </is>
      </c>
      <c r="J27" s="64" t="inlineStr">
        <is>
          <t>Terbuka</t>
        </is>
      </c>
      <c r="K27" s="64" t="inlineStr">
        <is>
          <t>Tidak terdapat</t>
        </is>
      </c>
      <c r="L27" s="64" t="inlineStr">
        <is>
          <t>Harian</t>
        </is>
      </c>
      <c r="M27" s="64" t="inlineStr">
        <is>
          <t>SINAR</t>
        </is>
      </c>
      <c r="N27" s="64" t="inlineStr">
        <is>
          <t>Pusat</t>
        </is>
      </c>
      <c r="O27" s="64" t="inlineStr">
        <is>
          <t>Pusat</t>
        </is>
      </c>
      <c r="P27" s="64" t="inlineStr">
        <is>
          <t>Website dan Mobile</t>
        </is>
      </c>
      <c r="Q27" s="66" t="inlineStr">
        <is>
          <t>Sinar.big.go.id</t>
        </is>
      </c>
      <c r="R27" s="64" t="inlineStr">
        <is>
          <t>Secara Online</t>
        </is>
      </c>
      <c r="S27" s="64" t="inlineStr">
        <is>
          <t>Informasi</t>
        </is>
      </c>
      <c r="T27" s="64" t="n">
        <v>2021</v>
      </c>
      <c r="U27" s="64" t="inlineStr">
        <is>
          <t>Aktif</t>
        </is>
      </c>
      <c r="V27" s="64" t="inlineStr">
        <is>
          <t>Tidak</t>
        </is>
      </c>
      <c r="W27" s="64" t="inlineStr">
        <is>
          <t>Tidak Terintegrasi</t>
        </is>
      </c>
      <c r="X27" s="64" t="inlineStr">
        <is>
          <t>Tidak Terintegrasi</t>
        </is>
      </c>
      <c r="Y27" s="64" t="inlineStr">
        <is>
          <t>Tidak Terintegrasi</t>
        </is>
      </c>
      <c r="Z27" s="64" t="inlineStr">
        <is>
          <t>Tim Pembakuan Nama Rupabumi Kab. Bandung (Sekretariat: Bagian Tata Pemerintahan)</t>
        </is>
      </c>
      <c r="AA27" s="64" t="inlineStr">
        <is>
          <t>Setda</t>
        </is>
      </c>
      <c r="AB27" s="66" t="inlineStr">
        <is>
          <t>Gugum Gumilar, S.STP., M.Si</t>
        </is>
      </c>
      <c r="AC27" s="63" t="inlineStr">
        <is>
          <t>0819-1001-1980</t>
        </is>
      </c>
      <c r="AD27" s="63" t="inlineStr">
        <is>
          <t>admkewilayah@gmail.com</t>
        </is>
      </c>
      <c r="AE27" s="288" t="n"/>
      <c r="AF27" s="288" t="n"/>
      <c r="AG27" s="284" t="n"/>
      <c r="AH27" s="284" t="n"/>
      <c r="AI27" s="284" t="n"/>
      <c r="AJ27" s="284" t="n"/>
      <c r="AK27" s="284" t="n"/>
      <c r="AL27" s="284" t="n"/>
      <c r="AM27" s="284" t="n"/>
      <c r="AN27" s="284" t="n"/>
      <c r="AO27" s="284" t="n"/>
      <c r="AP27" s="284" t="n"/>
      <c r="AQ27" s="284" t="n"/>
      <c r="AR27" s="284" t="n"/>
    </row>
    <row r="28" hidden="1" s="346">
      <c r="A28" s="62" t="n">
        <v>26</v>
      </c>
      <c r="B28" s="63" t="inlineStr">
        <is>
          <t>Layanan Laporan Penyelenggaraan Pemerintahan Daerah</t>
        </is>
      </c>
      <c r="C28" s="63" t="inlineStr">
        <is>
          <t>Sebagai sistem aplikasi terpusat yang mempermudah Pemerintah Daerah (Provinsi, Kabupaten, Kota) untuk menyampaikan Laporan Penyelenggaraan Pemerintahan Daerah (LPPD) dan melakukan evaluasi secara online dan real-time, sehingga menghasilkan satu data yang akurat, mengurangi redundansi data, dan mempercepat penyebaran informasi pelaporan</t>
        </is>
      </c>
      <c r="D28" s="63" t="inlineStr">
        <is>
          <t>Peraturan Menteri Dalam Negeri Nomor 19 Tahun 2024 tentang Peraturan Pelaksana Peraturan Pemerintah Nomor 13 Tahun 2019 tentang Laporan dan Evaluasi Penyelenggaraan Pemerintahan Daerah;</t>
        </is>
      </c>
      <c r="E28" s="288" t="n"/>
      <c r="F28" s="64" t="inlineStr">
        <is>
          <t>OTONOMI DAERAH</t>
        </is>
      </c>
      <c r="G28" s="64" t="inlineStr">
        <is>
          <t>Instansi Pemerintah Lainnya</t>
        </is>
      </c>
      <c r="H28" s="288" t="n"/>
      <c r="I28" s="64" t="inlineStr">
        <is>
          <t>Laporan Penyelenggaraan Pemerintahan Daerah (LPPD)</t>
        </is>
      </c>
      <c r="J28" s="64" t="inlineStr">
        <is>
          <t>Terbuka</t>
        </is>
      </c>
      <c r="K28" s="64" t="inlineStr">
        <is>
          <t>Tidak terdapat</t>
        </is>
      </c>
      <c r="L28" s="64" t="inlineStr">
        <is>
          <t>Tahunan</t>
        </is>
      </c>
      <c r="M28" s="64" t="inlineStr">
        <is>
          <t>SILPPD</t>
        </is>
      </c>
      <c r="N28" s="64" t="inlineStr">
        <is>
          <t>Pusat</t>
        </is>
      </c>
      <c r="O28" s="64" t="inlineStr">
        <is>
          <t>Pusat</t>
        </is>
      </c>
      <c r="P28" s="64" t="inlineStr">
        <is>
          <t>Website dan Mobile</t>
        </is>
      </c>
      <c r="Q28" s="66" t="inlineStr">
        <is>
          <t>https://elppd.kemendagri.go.id/</t>
        </is>
      </c>
      <c r="R28" s="64" t="inlineStr">
        <is>
          <t>Secara Online</t>
        </is>
      </c>
      <c r="S28" s="64" t="inlineStr">
        <is>
          <t>Informasi</t>
        </is>
      </c>
      <c r="T28" s="64" t="n">
        <v>2021</v>
      </c>
      <c r="U28" s="64" t="inlineStr">
        <is>
          <t>Aktif</t>
        </is>
      </c>
      <c r="V28" s="64" t="inlineStr">
        <is>
          <t>Tidak</t>
        </is>
      </c>
      <c r="W28" s="64" t="inlineStr">
        <is>
          <t>Tidak Terintegrasi</t>
        </is>
      </c>
      <c r="X28" s="64" t="inlineStr">
        <is>
          <t>Tidak Terintegrasi</t>
        </is>
      </c>
      <c r="Y28" s="64" t="inlineStr">
        <is>
          <t>Tidak Terintegrasi</t>
        </is>
      </c>
      <c r="Z28" s="64" t="inlineStr">
        <is>
          <t>Bagian Tata Pemerintahan</t>
        </is>
      </c>
      <c r="AA28" s="64" t="inlineStr">
        <is>
          <t>Setda, Disdik, Dinkes, DPUTR, Disperkimtan, Dinsos, Disdamkar, Satpol PP, BPBD, Inspektorat, Disnaker, DP2KBP3A, DLH, Disdukcapil, DPMD, Dishub, Diskominfo, DPMPTSP, Dispora, Disperdagin, Distan, Dispakan, Disbud, DISKOP-UKM, Dispusip, Disparekraf, BKAD, BKPSDM</t>
        </is>
      </c>
      <c r="AB28" s="66" t="inlineStr">
        <is>
          <t>Gugum Gumilar, S.STP., M.Si</t>
        </is>
      </c>
      <c r="AC28" s="63" t="inlineStr">
        <is>
          <t>0819-1001-1980</t>
        </is>
      </c>
      <c r="AD28" s="63" t="inlineStr">
        <is>
          <t>admkewilayah@gmail.com</t>
        </is>
      </c>
      <c r="AE28" s="288" t="n"/>
      <c r="AF28" s="288" t="n"/>
      <c r="AG28" s="284" t="n"/>
      <c r="AH28" s="284" t="n"/>
      <c r="AI28" s="284" t="n"/>
      <c r="AJ28" s="284" t="n"/>
      <c r="AK28" s="284" t="n"/>
      <c r="AL28" s="284" t="n"/>
      <c r="AM28" s="284" t="n"/>
      <c r="AN28" s="284" t="n"/>
      <c r="AO28" s="284" t="n"/>
      <c r="AP28" s="284" t="n"/>
      <c r="AQ28" s="284" t="n"/>
      <c r="AR28" s="284" t="n"/>
    </row>
    <row r="29" hidden="1" s="346">
      <c r="A29" s="62" t="n">
        <v>27</v>
      </c>
      <c r="B29" s="63" t="inlineStr">
        <is>
          <t>Layanan Pelaporan Standar Pelayanan Minimal (SPM) Ditjen Bina Pembangunan Daerah Kementerian Dalam Negeri</t>
        </is>
      </c>
      <c r="C29" s="63" t="inlineStr">
        <is>
          <t>Sebagai dasar untuk melakukan monitoring dan evaluasi terpadu, mengelola data dan menganalisis capaian penerapan SPM di daerah, serta menjadi alat untuk mengkoordinasikan implementasi SPM antara pemerintah pusat dan daerah agar pelayanan dasar yang diberikan kepada masyarakat sesuai dengan ketentuan yang berlaku</t>
        </is>
      </c>
      <c r="D29" s="63" t="inlineStr">
        <is>
          <t>Peraturan Menteri Dalam Negeri Nomor 59 Tahun 2021 Tentang Penerapan Standar Pelayanan Minimal</t>
        </is>
      </c>
      <c r="E29" s="288" t="n"/>
      <c r="F29" s="64" t="inlineStr">
        <is>
          <t>OTONOMI DAERAH</t>
        </is>
      </c>
      <c r="G29" s="64" t="inlineStr">
        <is>
          <t>Instansi Pemerintah Lainnya</t>
        </is>
      </c>
      <c r="H29" s="288" t="n"/>
      <c r="I29" s="64" t="inlineStr">
        <is>
          <t>Laporan Penerapan Standar Pelayanan Minimal (SPM)</t>
        </is>
      </c>
      <c r="J29" s="64" t="inlineStr">
        <is>
          <t>Terbuka</t>
        </is>
      </c>
      <c r="K29" s="64" t="inlineStr">
        <is>
          <t>Tidak terdapat</t>
        </is>
      </c>
      <c r="L29" s="64" t="inlineStr">
        <is>
          <t>Lainnya</t>
        </is>
      </c>
      <c r="M29" s="64" t="inlineStr">
        <is>
          <t>e-SPM</t>
        </is>
      </c>
      <c r="N29" s="64" t="inlineStr">
        <is>
          <t>Pusat</t>
        </is>
      </c>
      <c r="O29" s="64" t="inlineStr">
        <is>
          <t>Pusat</t>
        </is>
      </c>
      <c r="P29" s="64" t="inlineStr">
        <is>
          <t>Website dan Mobile</t>
        </is>
      </c>
      <c r="Q29" s="66" t="inlineStr">
        <is>
          <t>https://spm.bangda.kemendagri.go.id/</t>
        </is>
      </c>
      <c r="R29" s="64" t="inlineStr">
        <is>
          <t>Secara Online</t>
        </is>
      </c>
      <c r="S29" s="64" t="inlineStr">
        <is>
          <t>Informasi</t>
        </is>
      </c>
      <c r="T29" s="64" t="n">
        <v>2021</v>
      </c>
      <c r="U29" s="64" t="inlineStr">
        <is>
          <t>Aktif</t>
        </is>
      </c>
      <c r="V29" s="64" t="inlineStr">
        <is>
          <t>Tidak</t>
        </is>
      </c>
      <c r="W29" s="64" t="inlineStr">
        <is>
          <t>Tidak Terintegrasi</t>
        </is>
      </c>
      <c r="X29" s="64" t="inlineStr">
        <is>
          <t>Tidak Terintegrasi</t>
        </is>
      </c>
      <c r="Y29" s="64" t="inlineStr">
        <is>
          <t>Tidak Terintegrasi</t>
        </is>
      </c>
      <c r="Z29" s="64" t="inlineStr">
        <is>
          <t>Bagian Tata Pemerintahan</t>
        </is>
      </c>
      <c r="AA29" s="64" t="inlineStr">
        <is>
          <t>Setda, Disdik, Dinkes, DPUTR, Disperkimtan, BPBD, Disdamkar, Satpol PP</t>
        </is>
      </c>
      <c r="AB29" s="66" t="inlineStr">
        <is>
          <t>Gugum Gumilar, S.STP., M.Si</t>
        </is>
      </c>
      <c r="AC29" s="63" t="inlineStr">
        <is>
          <t>0819-1001-1980</t>
        </is>
      </c>
      <c r="AD29" s="63" t="inlineStr">
        <is>
          <t>admkewilayah@gmail.com</t>
        </is>
      </c>
      <c r="AE29" s="288" t="n"/>
      <c r="AF29" s="288" t="n"/>
      <c r="AG29" s="284" t="n"/>
      <c r="AH29" s="284" t="n"/>
      <c r="AI29" s="284" t="n"/>
      <c r="AJ29" s="284" t="n"/>
      <c r="AK29" s="284" t="n"/>
      <c r="AL29" s="284" t="n"/>
      <c r="AM29" s="284" t="n"/>
      <c r="AN29" s="284" t="n"/>
      <c r="AO29" s="284" t="n"/>
      <c r="AP29" s="284" t="n"/>
      <c r="AQ29" s="284" t="n"/>
      <c r="AR29" s="284" t="n"/>
    </row>
    <row r="30">
      <c r="A30" s="62" t="n">
        <v>28</v>
      </c>
      <c r="B30" s="63" t="inlineStr">
        <is>
          <t>Layanan informasi publik</t>
        </is>
      </c>
      <c r="C30" s="64" t="inlineStr">
        <is>
          <t>Keterbukaan informasi publik merupakan sarana dalam mengoptimalkan pengawasan publik terhadap penyelenggaraan negara dan Badan Publik lainnya dan segala sesuatu yang berakibat pada kepentingan publik sebagaimana yang diamanatkan dalam Undang-Undang Nomor 14 Tahun 2008</t>
        </is>
      </c>
      <c r="D30" s="67" t="inlineStr">
        <is>
          <t>Undang-Undang Nomor 14 Tahun 2008</t>
        </is>
      </c>
      <c r="E30" s="288" t="n"/>
      <c r="F30" s="67" t="inlineStr">
        <is>
          <t>PENGELOLAAN INFORMASI PUBLIK</t>
        </is>
      </c>
      <c r="G30" s="67" t="inlineStr">
        <is>
          <t>Pelaku Bisnis</t>
        </is>
      </c>
      <c r="H30" s="68" t="inlineStr">
        <is>
          <t>Data Informasi Publik</t>
        </is>
      </c>
      <c r="I30" s="68" t="inlineStr">
        <is>
          <t>Data Informasi Publik</t>
        </is>
      </c>
      <c r="J30" s="67" t="inlineStr">
        <is>
          <t>Terbatas</t>
        </is>
      </c>
      <c r="K30" s="67" t="inlineStr">
        <is>
          <t>Tidak terdapat</t>
        </is>
      </c>
      <c r="L30" s="67" t="inlineStr">
        <is>
          <t>Lainnya</t>
        </is>
      </c>
      <c r="M30" s="64" t="inlineStr">
        <is>
          <t>PPID</t>
        </is>
      </c>
      <c r="N30" s="67" t="inlineStr">
        <is>
          <t>Diskominfo</t>
        </is>
      </c>
      <c r="O30" s="67" t="inlineStr">
        <is>
          <t>Kab. Bandung</t>
        </is>
      </c>
      <c r="P30" s="67" t="inlineStr">
        <is>
          <t>Website dan Mobile</t>
        </is>
      </c>
      <c r="Q30" s="75" t="inlineStr">
        <is>
          <t>https://ppid.bandungkab.go.id/</t>
        </is>
      </c>
      <c r="R30" s="67" t="inlineStr">
        <is>
          <t>Secara Online</t>
        </is>
      </c>
      <c r="S30" s="67" t="inlineStr">
        <is>
          <t>Informasi</t>
        </is>
      </c>
      <c r="T30" s="288" t="n"/>
      <c r="U30" s="67" t="inlineStr">
        <is>
          <t>Aktif</t>
        </is>
      </c>
      <c r="V30" s="67" t="inlineStr">
        <is>
          <t>Ya</t>
        </is>
      </c>
      <c r="W30" s="184" t="inlineStr">
        <is>
          <t>Tidak Terintegrasi</t>
        </is>
      </c>
      <c r="X30" s="184" t="inlineStr">
        <is>
          <t>Tidak Terintegrasi</t>
        </is>
      </c>
      <c r="Y30" s="184" t="inlineStr">
        <is>
          <t>Tidak Terintegrasi</t>
        </is>
      </c>
      <c r="Z30" s="68" t="inlineStr">
        <is>
          <t>Bagian Kesra</t>
        </is>
      </c>
      <c r="AA30" s="68" t="inlineStr">
        <is>
          <t>Diskominfo</t>
        </is>
      </c>
      <c r="AB30" s="288" t="n"/>
      <c r="AC30" s="288" t="n"/>
      <c r="AD30" s="288" t="n"/>
      <c r="AE30" s="288" t="n"/>
      <c r="AF30" s="288" t="n"/>
      <c r="AG30" s="284" t="n"/>
      <c r="AH30" s="284" t="n"/>
      <c r="AI30" s="284" t="n"/>
      <c r="AJ30" s="284" t="n"/>
      <c r="AK30" s="284" t="n"/>
      <c r="AL30" s="284" t="n"/>
      <c r="AM30" s="284" t="n"/>
      <c r="AN30" s="284" t="n"/>
      <c r="AO30" s="284" t="n"/>
      <c r="AP30" s="284" t="n"/>
      <c r="AQ30" s="284" t="n"/>
      <c r="AR30" s="284" t="n"/>
    </row>
    <row r="31">
      <c r="A31" s="62" t="n">
        <v>29</v>
      </c>
      <c r="B31" s="63" t="inlineStr">
        <is>
          <t>Layanan Pengajuan Produk Hukum</t>
        </is>
      </c>
      <c r="C31" s="63" t="inlineStr">
        <is>
          <t>Sipphade, yang juga disebut BEDAS Sipphade (akronim dari “Sistem Informasi Penyusunan Produk Hukum Daerah”), adalah sebuah aplikasi digital yang diluncurkan oleh Pemerintah Kabupaten Bandung. Aplikasi ini dirancang untuk:Mempermudah proses pengajuan produk hukum daerah oleh perangkat daerah.</t>
        </is>
      </c>
      <c r="D31" s="63" t="inlineStr">
        <is>
          <t>Undang-Undang Nomor 12 Tahun 2011 tentang Pembentukan Peraturan Perundang-Undangan sebagaimana telah diubah dengan Undang-Undang Nomor 13 Tahun 2022 tentang Perubahan Kedua atas Undang-Undang Nomor 12 Tahun 2011 tentang Pembentukan Peraturan Perundang-Undangan</t>
        </is>
      </c>
      <c r="E31" s="63" t="inlineStr">
        <is>
          <t>-</t>
        </is>
      </c>
      <c r="F31" s="64" t="inlineStr">
        <is>
          <t>PENYELENGGARAAN PERATURAN PERUNDANG-UNDANGAN</t>
        </is>
      </c>
      <c r="G31" s="64" t="inlineStr">
        <is>
          <t>Instansi Pemerintah Lainnya</t>
        </is>
      </c>
      <c r="H31" s="64" t="inlineStr">
        <is>
          <t>Identitas Perangkat Daerah Pengusul</t>
        </is>
      </c>
      <c r="I31" s="64" t="inlineStr">
        <is>
          <t>surat keputusan</t>
        </is>
      </c>
      <c r="J31" s="64" t="inlineStr">
        <is>
          <t>Terbatas</t>
        </is>
      </c>
      <c r="K31" s="64" t="inlineStr">
        <is>
          <t>Tidak terdapat</t>
        </is>
      </c>
      <c r="L31" s="64" t="inlineStr">
        <is>
          <t>Bulanan</t>
        </is>
      </c>
      <c r="M31" s="64" t="inlineStr">
        <is>
          <t>SIPPHADE</t>
        </is>
      </c>
      <c r="N31" s="64" t="inlineStr">
        <is>
          <t>Diskominfo</t>
        </is>
      </c>
      <c r="O31" s="64" t="inlineStr">
        <is>
          <t>Kab. Bandung</t>
        </is>
      </c>
      <c r="P31" s="64" t="inlineStr">
        <is>
          <t>Website</t>
        </is>
      </c>
      <c r="Q31" s="66" t="inlineStr">
        <is>
          <t>https://sipphade.bandungkab.go.id/</t>
        </is>
      </c>
      <c r="R31" s="64" t="inlineStr">
        <is>
          <t>Secara Online</t>
        </is>
      </c>
      <c r="S31" s="64" t="inlineStr">
        <is>
          <t>Informasi</t>
        </is>
      </c>
      <c r="T31" s="64" t="n">
        <v>2024</v>
      </c>
      <c r="U31" s="64" t="inlineStr">
        <is>
          <t>Aktif</t>
        </is>
      </c>
      <c r="V31" s="64" t="inlineStr">
        <is>
          <t>Ya</t>
        </is>
      </c>
      <c r="W31" s="64" t="inlineStr">
        <is>
          <t>TERINTERGRASI DENGAN E OFFICE DAN BSRE</t>
        </is>
      </c>
      <c r="X31" s="64" t="inlineStr">
        <is>
          <t>Database to Database</t>
        </is>
      </c>
      <c r="Y31" s="64" t="inlineStr">
        <is>
          <t>Realtime</t>
        </is>
      </c>
      <c r="Z31" s="81" t="inlineStr">
        <is>
          <t>Bagian Hukum Sekretariat Daerah Kabupaten Bandung</t>
        </is>
      </c>
      <c r="AA31" s="64" t="inlineStr">
        <is>
          <t>Setda</t>
        </is>
      </c>
      <c r="AB31" s="82" t="inlineStr">
        <is>
          <t>DADAN SUNANDAR, SH</t>
        </is>
      </c>
      <c r="AC31" s="63" t="n">
        <v>85721347799</v>
      </c>
      <c r="AD31" s="63" t="inlineStr">
        <is>
          <t>baghukum17@gmail.com</t>
        </is>
      </c>
      <c r="AE31" s="288" t="n"/>
      <c r="AF31" s="288" t="n"/>
      <c r="AG31" s="284" t="n"/>
      <c r="AH31" s="284" t="n"/>
      <c r="AI31" s="284" t="n"/>
      <c r="AJ31" s="284" t="n"/>
      <c r="AK31" s="284" t="n"/>
      <c r="AL31" s="284" t="n"/>
      <c r="AM31" s="284" t="n"/>
      <c r="AN31" s="284" t="n"/>
      <c r="AO31" s="284" t="n"/>
      <c r="AP31" s="284" t="n"/>
      <c r="AQ31" s="284" t="n"/>
      <c r="AR31" s="284" t="n"/>
    </row>
    <row r="32">
      <c r="A32" s="62" t="n">
        <v>30</v>
      </c>
      <c r="B32" s="63" t="inlineStr">
        <is>
          <t>Layanan Penanganan litigasi Hukum bedas</t>
        </is>
      </c>
      <c r="C32" s="83" t="inlineStr">
        <is>
          <t>Sistem Penanganan litigasi Hukum bedas</t>
        </is>
      </c>
      <c r="D32" s="63" t="inlineStr">
        <is>
          <t>-</t>
        </is>
      </c>
      <c r="E32" s="63" t="inlineStr">
        <is>
          <t>-</t>
        </is>
      </c>
      <c r="F32" s="64" t="inlineStr">
        <is>
          <t>ADMINISTRASI HUKUM UMUM</t>
        </is>
      </c>
      <c r="G32" s="64" t="inlineStr">
        <is>
          <t>Masyarakat</t>
        </is>
      </c>
      <c r="H32" s="64" t="inlineStr">
        <is>
          <t>para pihak yang berperkara</t>
        </is>
      </c>
      <c r="I32" s="64" t="inlineStr">
        <is>
          <t>panggilan sidang</t>
        </is>
      </c>
      <c r="J32" s="64" t="inlineStr">
        <is>
          <t>Terbuka</t>
        </is>
      </c>
      <c r="K32" s="64" t="inlineStr">
        <is>
          <t>Terdapat</t>
        </is>
      </c>
      <c r="L32" s="64" t="inlineStr">
        <is>
          <t>Bulanan</t>
        </is>
      </c>
      <c r="M32" s="64" t="inlineStr">
        <is>
          <t>SIPATUHBEDAS</t>
        </is>
      </c>
      <c r="N32" s="64" t="inlineStr">
        <is>
          <t>Diskominfo</t>
        </is>
      </c>
      <c r="O32" s="64" t="inlineStr">
        <is>
          <t>Kab. Bandung</t>
        </is>
      </c>
      <c r="P32" s="64" t="inlineStr">
        <is>
          <t>Website</t>
        </is>
      </c>
      <c r="Q32" s="66" t="inlineStr">
        <is>
          <t>https://sipatuhbedas.bandungkab.go.id/</t>
        </is>
      </c>
      <c r="R32" s="64" t="inlineStr">
        <is>
          <t>Secara Online</t>
        </is>
      </c>
      <c r="S32" s="64" t="inlineStr">
        <is>
          <t>Informasi</t>
        </is>
      </c>
      <c r="T32" s="64" t="n">
        <v>2023</v>
      </c>
      <c r="U32" s="64" t="inlineStr">
        <is>
          <t>Aktif</t>
        </is>
      </c>
      <c r="V32" s="64" t="inlineStr">
        <is>
          <t>Ya</t>
        </is>
      </c>
      <c r="W32" s="64" t="inlineStr">
        <is>
          <t>-</t>
        </is>
      </c>
      <c r="X32" s="64" t="inlineStr">
        <is>
          <t>Database to Database</t>
        </is>
      </c>
      <c r="Y32" s="64" t="inlineStr">
        <is>
          <t>Bulanan</t>
        </is>
      </c>
      <c r="Z32" s="64" t="inlineStr">
        <is>
          <t>bagian Hukum Sekretariat Daerah Kabupaten Bandung</t>
        </is>
      </c>
      <c r="AA32" s="64" t="inlineStr">
        <is>
          <t>Setda</t>
        </is>
      </c>
      <c r="AB32" s="83" t="inlineStr">
        <is>
          <t>ZAENAL MUTTAQIN,SH</t>
        </is>
      </c>
      <c r="AC32" s="63" t="n">
        <v>8127585399</v>
      </c>
      <c r="AD32" s="63" t="inlineStr">
        <is>
          <t>zaenal1972.zm@gmail.com</t>
        </is>
      </c>
      <c r="AE32" s="288" t="n"/>
      <c r="AF32" s="288" t="n"/>
      <c r="AG32" s="284" t="n"/>
      <c r="AH32" s="284" t="n"/>
      <c r="AI32" s="284" t="n"/>
      <c r="AJ32" s="284" t="n"/>
      <c r="AK32" s="284" t="n"/>
      <c r="AL32" s="284" t="n"/>
      <c r="AM32" s="284" t="n"/>
      <c r="AN32" s="284" t="n"/>
      <c r="AO32" s="284" t="n"/>
      <c r="AP32" s="284" t="n"/>
      <c r="AQ32" s="284" t="n"/>
      <c r="AR32" s="284" t="n"/>
    </row>
    <row r="33">
      <c r="A33" s="62" t="n">
        <v>31</v>
      </c>
      <c r="B33" s="63" t="inlineStr">
        <is>
          <t>Layanan Fasilitasi Kerja Sama Daerah</t>
        </is>
      </c>
      <c r="C33" s="63" t="inlineStr">
        <is>
          <t>Mempercepat transformasi digital dalam tata kelola pemerintahan dan penyusunan peraturan perundang-undangan.</t>
        </is>
      </c>
      <c r="D33" s="63" t="inlineStr">
        <is>
          <t>PP No 28 Tahun 2018 tentang Kerja Sama Daerah. Permendagri No 22 Tahun 2020 tentang Tata Cara Kerja Sama Daerah dengan Daerah Lain dan Kerja Sama Daerah dengan Pihak Ketiga, Permendagri No 25 Tahun 2020 tentang Tata Cara Kerja Sama Daerah dengan Pemerintah Daerah di Luar Negeri dan Kerja Sama Daerah dengan Lembaga di Luar Negeri</t>
        </is>
      </c>
      <c r="E33" s="63" t="inlineStr">
        <is>
          <t>Ada sesuai Keputusan Sekretaris Dearah No.415.4/KEP.25-KSM/2023 tentang Penetapan Standar Operasional Prosedur Kerja Sama Daerah di Lingkungan Pemerintah Kabupaten Bandung</t>
        </is>
      </c>
      <c r="F33" s="64" t="inlineStr">
        <is>
          <t>PENINGKATAN KUALITAS PELAYANAN PUBLIK</t>
        </is>
      </c>
      <c r="G33" s="64" t="inlineStr">
        <is>
          <t>Pelaku Bisnis, Masyarakat, Pegawai, Instansi Pemerintah Lainnya</t>
        </is>
      </c>
      <c r="H33" s="64" t="inlineStr">
        <is>
          <t>Data Pengguna, data persyaratan permohonan kerja sama, laporan dan perencanaan</t>
        </is>
      </c>
      <c r="I33" s="64" t="inlineStr">
        <is>
          <t>Data kerja sama, data permohonan, data perencanaan dan data laporan</t>
        </is>
      </c>
      <c r="J33" s="64" t="inlineStr">
        <is>
          <t>Terbatas</t>
        </is>
      </c>
      <c r="K33" s="64" t="inlineStr">
        <is>
          <t>Terdapat</t>
        </is>
      </c>
      <c r="L33" s="64" t="inlineStr">
        <is>
          <t>Lainnya</t>
        </is>
      </c>
      <c r="M33" s="64" t="inlineStr">
        <is>
          <t>SiBERKAH</t>
        </is>
      </c>
      <c r="N33" s="64" t="inlineStr">
        <is>
          <t>Diskominfo</t>
        </is>
      </c>
      <c r="O33" s="64" t="inlineStr">
        <is>
          <t>Kab. Bandung</t>
        </is>
      </c>
      <c r="P33" s="64" t="inlineStr">
        <is>
          <t>Website dan Mobile</t>
        </is>
      </c>
      <c r="Q33" s="66" t="inlineStr">
        <is>
          <t>kerjasama.bandungkab.go.id</t>
        </is>
      </c>
      <c r="R33" s="64" t="inlineStr">
        <is>
          <t>Secara Online</t>
        </is>
      </c>
      <c r="S33" s="64" t="inlineStr">
        <is>
          <t>Informasi</t>
        </is>
      </c>
      <c r="T33" s="64" t="n">
        <v>2022</v>
      </c>
      <c r="U33" s="64" t="inlineStr">
        <is>
          <t>Aktif</t>
        </is>
      </c>
      <c r="V33" s="64" t="inlineStr">
        <is>
          <t>Ya</t>
        </is>
      </c>
      <c r="W33" s="64" t="inlineStr">
        <is>
          <t>BDS</t>
        </is>
      </c>
      <c r="X33" s="64" t="inlineStr">
        <is>
          <t>Web Service</t>
        </is>
      </c>
      <c r="Y33" s="64" t="inlineStr">
        <is>
          <t>Realtime</t>
        </is>
      </c>
      <c r="Z33" s="64" t="inlineStr">
        <is>
          <t>Bagian Kerja Sama SETDA</t>
        </is>
      </c>
      <c r="AA33" s="64" t="inlineStr">
        <is>
          <t>Setda</t>
        </is>
      </c>
      <c r="AB33" s="63" t="inlineStr">
        <is>
          <t>Ir. Elis Kusmawati,MM</t>
        </is>
      </c>
      <c r="AC33" s="63" t="n">
        <v>85322543009</v>
      </c>
      <c r="AD33" s="63" t="inlineStr">
        <is>
          <t>kerjasamabandungkab@gmail.com</t>
        </is>
      </c>
      <c r="AE33" s="288" t="n"/>
      <c r="AF33" s="67" t="inlineStr">
        <is>
          <t>harian</t>
        </is>
      </c>
      <c r="AG33" s="216" t="inlineStr">
        <is>
          <t>data kerjasama daerah dengan daerah atau daerah dengan pihak ketiga perangkat daerah sudah punya admin sendiri pengguna mitra kerja dan perangkat daerah, kabupaten lain Mitra kerja itu perangkat daerah lain dan oerguruan tinggi</t>
        </is>
      </c>
    </row>
    <row r="34" hidden="1" s="346">
      <c r="A34" s="62" t="n">
        <v>32</v>
      </c>
      <c r="B34" s="63" t="inlineStr">
        <is>
          <t>Layanan informasi data terkait penyerapan KUR untuk UMKM Kabupaten Bandung</t>
        </is>
      </c>
      <c r="C34" s="63" t="inlineStr">
        <is>
          <t>Meningkatkan kapasitas SDM (sumber daya manusia) yang merancang produk hukum.</t>
        </is>
      </c>
      <c r="D34" s="63" t="inlineStr">
        <is>
          <t>keputusan bupati bandung nomor 500/KEP..671-Perek/2017 tentang pembentukan tim inflasi darah kabupaten bandung</t>
        </is>
      </c>
      <c r="E34" s="288" t="n"/>
      <c r="F34" s="64" t="inlineStr">
        <is>
          <t>USAHA KECIL DAN MENENGAH</t>
        </is>
      </c>
      <c r="G34" s="64" t="inlineStr">
        <is>
          <t>Instansi Pemerintah Lainnya</t>
        </is>
      </c>
      <c r="H34" s="64" t="inlineStr">
        <is>
          <t>dataUMKM yang membutuhkan KUR</t>
        </is>
      </c>
      <c r="I34" s="64" t="inlineStr">
        <is>
          <t>data UMKM yang telah menerima KUR</t>
        </is>
      </c>
      <c r="J34" s="64" t="inlineStr">
        <is>
          <t>Terbuka</t>
        </is>
      </c>
      <c r="K34" s="64" t="inlineStr">
        <is>
          <t>Terdapat</t>
        </is>
      </c>
      <c r="L34" s="64" t="inlineStr">
        <is>
          <t>Harian</t>
        </is>
      </c>
      <c r="M34" s="68" t="inlineStr">
        <is>
          <t>SIKP</t>
        </is>
      </c>
      <c r="N34" s="64" t="inlineStr">
        <is>
          <t>Pusat</t>
        </is>
      </c>
      <c r="O34" s="64" t="inlineStr">
        <is>
          <t>Pusat</t>
        </is>
      </c>
      <c r="P34" s="64" t="inlineStr">
        <is>
          <t>Website</t>
        </is>
      </c>
      <c r="Q34" s="66" t="inlineStr">
        <is>
          <t>https://sikp.kemenkeu.go.id/login</t>
        </is>
      </c>
      <c r="R34" s="64" t="inlineStr">
        <is>
          <t>Secara Online</t>
        </is>
      </c>
      <c r="S34" s="64" t="inlineStr">
        <is>
          <t>Informasi</t>
        </is>
      </c>
      <c r="T34" s="64" t="n">
        <v>2017</v>
      </c>
      <c r="U34" s="64" t="inlineStr">
        <is>
          <t>Aktif</t>
        </is>
      </c>
      <c r="V34" s="64" t="inlineStr">
        <is>
          <t>Tidak</t>
        </is>
      </c>
      <c r="W34" s="64" t="inlineStr">
        <is>
          <t>Tidak Terintegrasi</t>
        </is>
      </c>
      <c r="X34" s="288" t="n"/>
      <c r="Y34" s="64" t="inlineStr">
        <is>
          <t>Mingguan</t>
        </is>
      </c>
      <c r="Z34" s="64" t="inlineStr">
        <is>
          <t>bagian perekonomian</t>
        </is>
      </c>
      <c r="AA34" s="288" t="n"/>
      <c r="AB34" s="63" t="inlineStr">
        <is>
          <t>herrier mustari</t>
        </is>
      </c>
      <c r="AC34" s="288" t="n"/>
      <c r="AD34" s="63" t="inlineStr">
        <is>
          <t>usmankaryana1961@gmail.com</t>
        </is>
      </c>
      <c r="AE34" s="288" t="n"/>
      <c r="AF34" s="288" t="n"/>
      <c r="AG34" s="284" t="n"/>
      <c r="AH34" s="284" t="n"/>
      <c r="AI34" s="284" t="n"/>
      <c r="AJ34" s="284" t="n"/>
      <c r="AK34" s="284" t="n"/>
      <c r="AL34" s="284" t="n"/>
      <c r="AM34" s="284" t="n"/>
      <c r="AN34" s="284" t="n"/>
      <c r="AO34" s="284" t="n"/>
      <c r="AP34" s="284" t="n"/>
      <c r="AQ34" s="284" t="n"/>
      <c r="AR34" s="284" t="n"/>
    </row>
    <row r="35" hidden="1" s="346">
      <c r="A35" s="62" t="n">
        <v>33</v>
      </c>
      <c r="B35" s="82" t="inlineStr">
        <is>
          <t>Layanan informasi dan penginputan realisasi terkait program percepatan keuangan daerah</t>
        </is>
      </c>
      <c r="C35" s="288" t="n"/>
      <c r="D35" s="63" t="inlineStr">
        <is>
          <t>keputusan bupati bandung nomor 539/Kep.481-Perek/2021 tentang pembentukan tim percepatan akses keuangan daerah kabupaten bandung</t>
        </is>
      </c>
      <c r="E35" s="288" t="n"/>
      <c r="F35" s="64" t="inlineStr">
        <is>
          <t>PEMBINAAN KEUANGAN DAERAH</t>
        </is>
      </c>
      <c r="G35" s="64" t="inlineStr">
        <is>
          <t>Instansi Pemerintah Lainnya</t>
        </is>
      </c>
      <c r="H35" s="64" t="inlineStr">
        <is>
          <t>target dan realisasi program percepatan akses keuangan daerah</t>
        </is>
      </c>
      <c r="I35" s="64" t="inlineStr">
        <is>
          <t>realisasi program percepatan akses keuangan daerah</t>
        </is>
      </c>
      <c r="J35" s="64" t="inlineStr">
        <is>
          <t>Terbuka</t>
        </is>
      </c>
      <c r="K35" s="64" t="inlineStr">
        <is>
          <t>Tidak terdapat</t>
        </is>
      </c>
      <c r="L35" s="64" t="inlineStr">
        <is>
          <t>Bulanan</t>
        </is>
      </c>
      <c r="M35" s="64" t="inlineStr">
        <is>
          <t>SITPAKD</t>
        </is>
      </c>
      <c r="N35" s="64" t="inlineStr">
        <is>
          <t>Pusat</t>
        </is>
      </c>
      <c r="O35" s="64" t="inlineStr">
        <is>
          <t>Pusat</t>
        </is>
      </c>
      <c r="P35" s="64" t="inlineStr">
        <is>
          <t>Website</t>
        </is>
      </c>
      <c r="Q35" s="66" t="inlineStr">
        <is>
          <t>https://sitpakd.ojk.go.id/Account/Login</t>
        </is>
      </c>
      <c r="R35" s="64" t="inlineStr">
        <is>
          <t>Secara Online</t>
        </is>
      </c>
      <c r="S35" s="64" t="inlineStr">
        <is>
          <t>Informasi</t>
        </is>
      </c>
      <c r="T35" s="64" t="n">
        <v>2021</v>
      </c>
      <c r="U35" s="64" t="inlineStr">
        <is>
          <t>Aktif</t>
        </is>
      </c>
      <c r="V35" s="64" t="inlineStr">
        <is>
          <t>Tidak</t>
        </is>
      </c>
      <c r="W35" s="64" t="inlineStr">
        <is>
          <t>Tidak Terintegrasi</t>
        </is>
      </c>
      <c r="X35" s="288" t="n"/>
      <c r="Y35" s="64" t="inlineStr">
        <is>
          <t>Mingguan</t>
        </is>
      </c>
      <c r="Z35" s="64" t="inlineStr">
        <is>
          <t>bagian perekonomian</t>
        </is>
      </c>
      <c r="AA35" s="64" t="inlineStr">
        <is>
          <t>Setda</t>
        </is>
      </c>
      <c r="AB35" s="63" t="inlineStr">
        <is>
          <t>herrier mustari</t>
        </is>
      </c>
      <c r="AC35" s="288" t="n"/>
      <c r="AD35" s="63" t="inlineStr">
        <is>
          <t>usmankaryana1961@gmail.com</t>
        </is>
      </c>
      <c r="AE35" s="288" t="n"/>
      <c r="AF35" s="288" t="n"/>
      <c r="AG35" s="284" t="n"/>
      <c r="AH35" s="284" t="n"/>
      <c r="AI35" s="284" t="n"/>
      <c r="AJ35" s="284" t="n"/>
      <c r="AK35" s="284" t="n"/>
      <c r="AL35" s="284" t="n"/>
      <c r="AM35" s="284" t="n"/>
      <c r="AN35" s="284" t="n"/>
      <c r="AO35" s="284" t="n"/>
      <c r="AP35" s="284" t="n"/>
      <c r="AQ35" s="284" t="n"/>
      <c r="AR35" s="284" t="n"/>
    </row>
    <row r="36" hidden="1" s="346">
      <c r="A36" s="62" t="n">
        <v>34</v>
      </c>
      <c r="B36" s="63" t="inlineStr">
        <is>
          <t>Layanan penginputan rencana kerja anggaran, laporan hasil kegiatan dan realisasi DBHCHT</t>
        </is>
      </c>
      <c r="C36" s="63" t="inlineStr">
        <is>
          <t>1. Meningkatkan Efektivitas dan Efisiensi kerja Pimpinan.
 2. Mempermudah koordinasi eksternal.
 3. Transparansi dan akuntabilitas.
 4. Dokumentasi dan arsip digital.
 5. Mendukung pengambilan keputusan.
 6. Memudahkan akses dan mobilitas.</t>
        </is>
      </c>
      <c r="D36" s="67" t="inlineStr">
        <is>
          <t>KEPUTUSAN BUPATI BANDUNG NOMOR : 900.1.14.3/KEP.746-PEREK/2024 Penetapan Pagu Alokasi Dana Bagi Hasil Cukai Hasil Tembakau Bagian Pemerintah Daerah Kabupaten Bandung Tahun Anggaran 2025 dan KEPUTUSAN BUPATI BANDUNG NOMOR : 000.8.1.1/KEP.738-PEREK/202 TIM KOORDINASI PENGELOLAAN DANA BAGI HASIL CUKAI HASIL TEMBAKAU
 DAERAH KABUPATEN BANDUNG TAHUN 2025</t>
        </is>
      </c>
      <c r="E36" s="288" t="n"/>
      <c r="F36" s="64" t="inlineStr">
        <is>
          <t>PENINGKATAN KUALITAS REFORMASI BIROKRASI, PENGAWASAN, DAN AKUNTABILITAS KINERJA</t>
        </is>
      </c>
      <c r="G36" s="64" t="inlineStr">
        <is>
          <t>Instansi Pemerintah Lainnya</t>
        </is>
      </c>
      <c r="H36" s="64" t="inlineStr">
        <is>
          <t>realisasi dan laporan hasil kegiatan DBHCHT</t>
        </is>
      </c>
      <c r="I36" s="64" t="inlineStr">
        <is>
          <t>realisasi dan laporan hasil kegiatan DBHCHT</t>
        </is>
      </c>
      <c r="J36" s="64" t="inlineStr">
        <is>
          <t>Terbuka</t>
        </is>
      </c>
      <c r="K36" s="64" t="inlineStr">
        <is>
          <t>Tidak terdapat</t>
        </is>
      </c>
      <c r="L36" s="64" t="inlineStr">
        <is>
          <t>Bulanan</t>
        </is>
      </c>
      <c r="M36" s="64" t="inlineStr">
        <is>
          <t>SIKD</t>
        </is>
      </c>
      <c r="N36" s="64" t="inlineStr">
        <is>
          <t>Pusat</t>
        </is>
      </c>
      <c r="O36" s="64" t="inlineStr">
        <is>
          <t>Pusat</t>
        </is>
      </c>
      <c r="P36" s="64" t="inlineStr">
        <is>
          <t>Website</t>
        </is>
      </c>
      <c r="Q36" s="66" t="inlineStr">
        <is>
          <t>https://sikd.djpk.kemenkeu.go.id/lapordbh/</t>
        </is>
      </c>
      <c r="R36" s="64" t="inlineStr">
        <is>
          <t>Secara Online</t>
        </is>
      </c>
      <c r="S36" s="64" t="inlineStr">
        <is>
          <t>Informasi</t>
        </is>
      </c>
      <c r="T36" s="288" t="n"/>
      <c r="U36" s="64" t="inlineStr">
        <is>
          <t>Aktif</t>
        </is>
      </c>
      <c r="V36" s="64" t="inlineStr">
        <is>
          <t>Tidak</t>
        </is>
      </c>
      <c r="W36" s="64" t="inlineStr">
        <is>
          <t>Tidak Terintegrasi</t>
        </is>
      </c>
      <c r="X36" s="288" t="n"/>
      <c r="Y36" s="64" t="inlineStr">
        <is>
          <t>Realtime</t>
        </is>
      </c>
      <c r="Z36" s="64" t="inlineStr">
        <is>
          <t>bagian perekonomian</t>
        </is>
      </c>
      <c r="AA36" s="64" t="inlineStr">
        <is>
          <t>Setda</t>
        </is>
      </c>
      <c r="AB36" s="63" t="inlineStr">
        <is>
          <t>selly rossela</t>
        </is>
      </c>
      <c r="AC36" s="288" t="n"/>
      <c r="AD36" s="288" t="n"/>
      <c r="AE36" s="288" t="n"/>
      <c r="AF36" s="288" t="n"/>
      <c r="AG36" s="284" t="n"/>
      <c r="AH36" s="284" t="n"/>
      <c r="AI36" s="284" t="n"/>
      <c r="AJ36" s="284" t="n"/>
      <c r="AK36" s="284" t="n"/>
      <c r="AL36" s="284" t="n"/>
      <c r="AM36" s="284" t="n"/>
      <c r="AN36" s="284" t="n"/>
      <c r="AO36" s="284" t="n"/>
      <c r="AP36" s="284" t="n"/>
      <c r="AQ36" s="284" t="n"/>
      <c r="AR36" s="284" t="n"/>
    </row>
    <row r="37" hidden="1" s="346">
      <c r="A37" s="62" t="n">
        <v>35</v>
      </c>
      <c r="B37" s="63" t="inlineStr">
        <is>
          <t>Layanan realisasi pengendalian inflasi per triwulan</t>
        </is>
      </c>
      <c r="C37" s="63" t="inlineStr">
        <is>
          <t>1. Meningkatkan Efektivitas dan Efisiensi kerja Pimpinan.
 2. Mempermudah koordinasi eksternal.
 3. Transparansi dan akuntabilitas.
 4. Dokumentasi dan arsip digital.
 5. Mendukung pengambilan keputusan.
 6. Memudahkan akses dan mobilitas.</t>
        </is>
      </c>
      <c r="D37" s="63" t="inlineStr">
        <is>
          <t>keputusan bupati bandung nomor 500/KEP.671-Perek/2017 tentang pembentukan tim inflasi Daerah</t>
        </is>
      </c>
      <c r="E37" s="288" t="n"/>
      <c r="F37" s="64" t="inlineStr">
        <is>
          <t>PENINGKATAN KUALITAS REFORMASI BIROKRASI, PENGAWASAN, DAN AKUNTABILITAS KINERJA</t>
        </is>
      </c>
      <c r="G37" s="64" t="inlineStr">
        <is>
          <t>Instansi Pemerintah Lainnya</t>
        </is>
      </c>
      <c r="H37" s="64" t="inlineStr">
        <is>
          <t>laporan pertriwulan pengendalian inflasi daerah</t>
        </is>
      </c>
      <c r="I37" s="64" t="inlineStr">
        <is>
          <t>laporan pertriwulan pengendalian inflasi daerah</t>
        </is>
      </c>
      <c r="J37" s="64" t="inlineStr">
        <is>
          <t>Terbuka</t>
        </is>
      </c>
      <c r="K37" s="64" t="inlineStr">
        <is>
          <t>Tidak terdapat</t>
        </is>
      </c>
      <c r="L37" s="64" t="inlineStr">
        <is>
          <t>Bulanan</t>
        </is>
      </c>
      <c r="M37" s="64" t="inlineStr">
        <is>
          <t>TPIN</t>
        </is>
      </c>
      <c r="N37" s="64" t="inlineStr">
        <is>
          <t>Pusat</t>
        </is>
      </c>
      <c r="O37" s="64" t="inlineStr">
        <is>
          <t>Pusat</t>
        </is>
      </c>
      <c r="P37" s="64" t="inlineStr">
        <is>
          <t>Website</t>
        </is>
      </c>
      <c r="Q37" s="66" t="inlineStr">
        <is>
          <t>https://tpin.id/login</t>
        </is>
      </c>
      <c r="R37" s="288" t="n"/>
      <c r="S37" s="288" t="n"/>
      <c r="T37" s="288" t="n"/>
      <c r="U37" s="288" t="n"/>
      <c r="V37" s="288" t="n"/>
      <c r="W37" s="64" t="inlineStr">
        <is>
          <t>Tidak Terintegrasi</t>
        </is>
      </c>
      <c r="X37" s="288" t="n"/>
      <c r="Y37" s="288" t="n"/>
      <c r="Z37" s="64" t="inlineStr">
        <is>
          <t>bagian perekonomian</t>
        </is>
      </c>
      <c r="AA37" s="64" t="inlineStr">
        <is>
          <t>Setda</t>
        </is>
      </c>
      <c r="AB37" s="63" t="inlineStr">
        <is>
          <t>MUHAMAD IFAN HERMANTO, S.E</t>
        </is>
      </c>
      <c r="AC37" s="288" t="n"/>
      <c r="AD37" s="288" t="n"/>
      <c r="AE37" s="288" t="n"/>
      <c r="AF37" s="288" t="n"/>
      <c r="AG37" s="284" t="n"/>
      <c r="AH37" s="284" t="n"/>
      <c r="AI37" s="284" t="n"/>
      <c r="AJ37" s="284" t="n"/>
      <c r="AK37" s="284" t="n"/>
      <c r="AL37" s="284" t="n"/>
      <c r="AM37" s="284" t="n"/>
      <c r="AN37" s="284" t="n"/>
      <c r="AO37" s="284" t="n"/>
      <c r="AP37" s="284" t="n"/>
      <c r="AQ37" s="284" t="n"/>
      <c r="AR37" s="284" t="n"/>
    </row>
    <row r="38" hidden="1" s="346">
      <c r="A38" s="62" t="n">
        <v>36</v>
      </c>
      <c r="B38" s="63" t="inlineStr">
        <is>
          <t>Layanan laporan realisasi proram reformasi birokrasi di tiap bagian</t>
        </is>
      </c>
      <c r="C38" s="63" t="inlineStr">
        <is>
          <t>1. Meningkatkan Efektivitas dan Efisiensi kerja Pimpinan.
 2. Mempermudah koordinasi eksternal.
 3. Transparansi dan akuntabilitas.
 4. Dokumentasi dan arsip digital.
 5. Mendukung pengambilan keputusan.
 6. Memudahkan akses dan mobilitas.</t>
        </is>
      </c>
      <c r="D38" s="288" t="n"/>
      <c r="E38" s="288" t="n"/>
      <c r="F38" s="64" t="inlineStr">
        <is>
          <t>PENINGKATAN KUALITAS REFORMASI BIROKRASI, PENGAWASAN, DAN AKUNTABILITAS KINERJA</t>
        </is>
      </c>
      <c r="G38" s="64" t="inlineStr">
        <is>
          <t>Instansi Pemerintah Lainnya</t>
        </is>
      </c>
      <c r="H38" s="288" t="n"/>
      <c r="I38" s="288" t="n"/>
      <c r="J38" s="64" t="inlineStr">
        <is>
          <t>Terbuka</t>
        </is>
      </c>
      <c r="K38" s="64" t="inlineStr">
        <is>
          <t>Tidak terdapat</t>
        </is>
      </c>
      <c r="L38" s="64" t="inlineStr">
        <is>
          <t>Lainnya</t>
        </is>
      </c>
      <c r="M38" s="64" t="inlineStr">
        <is>
          <t>PORTALRB</t>
        </is>
      </c>
      <c r="N38" s="64" t="inlineStr">
        <is>
          <t>Pusat</t>
        </is>
      </c>
      <c r="O38" s="64" t="inlineStr">
        <is>
          <t>Pusat</t>
        </is>
      </c>
      <c r="P38" s="64" t="inlineStr">
        <is>
          <t>Website</t>
        </is>
      </c>
      <c r="Q38" s="66" t="inlineStr">
        <is>
          <t>https://www.portalrb.id/</t>
        </is>
      </c>
      <c r="R38" s="64" t="inlineStr">
        <is>
          <t>Secara Online</t>
        </is>
      </c>
      <c r="S38" s="64" t="inlineStr">
        <is>
          <t>Informasi</t>
        </is>
      </c>
      <c r="T38" s="288" t="n"/>
      <c r="U38" s="64" t="inlineStr">
        <is>
          <t>Aktif</t>
        </is>
      </c>
      <c r="V38" s="288" t="n"/>
      <c r="W38" s="64" t="inlineStr">
        <is>
          <t>Tidak Terintegrasi</t>
        </is>
      </c>
      <c r="X38" s="288" t="n"/>
      <c r="Y38" s="64" t="inlineStr">
        <is>
          <t>Realtime</t>
        </is>
      </c>
      <c r="Z38" s="64" t="inlineStr">
        <is>
          <t>bagian perekonomian</t>
        </is>
      </c>
      <c r="AA38" s="64" t="inlineStr">
        <is>
          <t>Setda</t>
        </is>
      </c>
      <c r="AB38" s="63" t="inlineStr">
        <is>
          <t>MUHAMAD IFAN HERMANTO, S.E</t>
        </is>
      </c>
      <c r="AC38" s="288" t="n"/>
      <c r="AD38" s="288" t="n"/>
      <c r="AE38" s="288" t="n"/>
      <c r="AF38" s="288" t="n"/>
      <c r="AG38" s="284" t="n"/>
      <c r="AH38" s="284" t="n"/>
      <c r="AI38" s="284" t="n"/>
      <c r="AJ38" s="284" t="n"/>
      <c r="AK38" s="284" t="n"/>
      <c r="AL38" s="284" t="n"/>
      <c r="AM38" s="284" t="n"/>
      <c r="AN38" s="284" t="n"/>
      <c r="AO38" s="284" t="n"/>
      <c r="AP38" s="284" t="n"/>
      <c r="AQ38" s="284" t="n"/>
      <c r="AR38" s="284" t="n"/>
    </row>
    <row r="39">
      <c r="A39" s="62" t="n">
        <v>37</v>
      </c>
      <c r="B39" s="63" t="inlineStr">
        <is>
          <t>Layanan analisis kebutuhan jabatan dan analisis beban kerja</t>
        </is>
      </c>
      <c r="C39" s="63" t="inlineStr">
        <is>
          <t>1. Meningkatkan Efektivitas dan Efisiensi kerja Pimpinan.
 2. Mempermudah koordinasi eksternal.
 3. Transparansi dan akuntabilitas.
 4. Dokumentasi dan arsip digital.
 5. Mendukung pengambilan keputusan.
 6. Memudahkan akses dan mobilitas.</t>
        </is>
      </c>
      <c r="D39" s="63" t="inlineStr">
        <is>
          <t>keputusan sekretaris daerah nomor 800/Kep.29-Umum/2022 tentang pembentukan tim penyusunan analisis jabatan (ANJAB)analisis beban kerja (ABK) evaluasi jabatan (EVJAB) dan standar kompetensi jabatan ASN pada sekretariat daerah kabupaten bandung</t>
        </is>
      </c>
      <c r="E39" s="288" t="n"/>
      <c r="F39" s="64" t="inlineStr">
        <is>
          <t>PENINGKATAN KUALITAS REFORMASI BIROKRASI, PENGAWASAN, DAN AKUNTABILITAS KINERJA</t>
        </is>
      </c>
      <c r="G39" s="64" t="inlineStr">
        <is>
          <t>Pegawai</t>
        </is>
      </c>
      <c r="H39" s="64" t="inlineStr">
        <is>
          <t>hasil analisis jabatan, beban kinerja dan evaluasi jabatan</t>
        </is>
      </c>
      <c r="I39" s="64" t="inlineStr">
        <is>
          <t>hasil analisis jabatan, beban kinerja dan evaluasi jabatan</t>
        </is>
      </c>
      <c r="J39" s="64" t="inlineStr">
        <is>
          <t>Terbuka</t>
        </is>
      </c>
      <c r="K39" s="64" t="inlineStr">
        <is>
          <t>Tidak terdapat</t>
        </is>
      </c>
      <c r="L39" s="64" t="inlineStr">
        <is>
          <t>Lainnya</t>
        </is>
      </c>
      <c r="M39" s="64" t="inlineStr">
        <is>
          <t>BISAKERJA</t>
        </is>
      </c>
      <c r="N39" s="64" t="inlineStr">
        <is>
          <t>OPD</t>
        </is>
      </c>
      <c r="O39" s="64" t="inlineStr">
        <is>
          <t>Kab. Bandung</t>
        </is>
      </c>
      <c r="P39" s="64" t="inlineStr">
        <is>
          <t>Website</t>
        </is>
      </c>
      <c r="Q39" s="66" t="inlineStr">
        <is>
          <t>https://bisakerja.bandungkab.go.id/login</t>
        </is>
      </c>
      <c r="R39" s="64" t="inlineStr">
        <is>
          <t>Secara Online</t>
        </is>
      </c>
      <c r="S39" s="64" t="inlineStr">
        <is>
          <t>Informasi</t>
        </is>
      </c>
      <c r="T39" s="288" t="n"/>
      <c r="U39" s="64" t="inlineStr">
        <is>
          <t>Aktif</t>
        </is>
      </c>
      <c r="V39" s="288" t="n"/>
      <c r="W39" s="64" t="inlineStr">
        <is>
          <t>Tidak Terintegrasi</t>
        </is>
      </c>
      <c r="X39" s="288" t="n"/>
      <c r="Y39" s="64" t="inlineStr">
        <is>
          <t>Realtime</t>
        </is>
      </c>
      <c r="Z39" s="64" t="inlineStr">
        <is>
          <t>bagian perekonomian</t>
        </is>
      </c>
      <c r="AA39" s="64" t="inlineStr">
        <is>
          <t>Setda</t>
        </is>
      </c>
      <c r="AB39" s="63" t="inlineStr">
        <is>
          <t>LIES BETTY HIDAYANTI, SE</t>
        </is>
      </c>
      <c r="AC39" s="288" t="n"/>
      <c r="AD39" s="288" t="n"/>
      <c r="AE39" s="288" t="n"/>
      <c r="AF39" s="288" t="n"/>
      <c r="AG39" s="284" t="n"/>
      <c r="AH39" s="284" t="n"/>
      <c r="AI39" s="284" t="n"/>
      <c r="AJ39" s="284" t="n"/>
      <c r="AK39" s="284" t="n"/>
      <c r="AL39" s="284" t="n"/>
      <c r="AM39" s="284" t="n"/>
      <c r="AN39" s="284" t="n"/>
      <c r="AO39" s="284" t="n"/>
      <c r="AP39" s="284" t="n"/>
      <c r="AQ39" s="284" t="n"/>
      <c r="AR39" s="284" t="n"/>
    </row>
    <row r="40" hidden="1" s="346">
      <c r="A40" s="62" t="n">
        <v>38</v>
      </c>
      <c r="B40" s="63" t="inlineStr">
        <is>
          <t>Layanan Laporan Keuangan BUMD</t>
        </is>
      </c>
      <c r="C40" s="63" t="inlineStr">
        <is>
          <t>1. Meningkatkan Efektivitas dan Efisiensi kerja Pimpinan.
 2. Mempermudah koordinasi eksternal.
 3. Transparansi dan akuntabilitas.
 4. Dokumentasi dan arsip digital.
 5. Mendukung pengambilan keputusan.
 6. Memudahkan akses dan mobilitas.</t>
        </is>
      </c>
      <c r="D40" s="89" t="inlineStr">
        <is>
          <t>Peraturan Pemerintah Nomor 54 Tahun 2017 tentang Badan Usaha Milik Daerah (BUMD)</t>
        </is>
      </c>
      <c r="E40" s="288" t="n"/>
      <c r="F40" s="64" t="inlineStr">
        <is>
          <t>PENINGKATAN KUALITAS REFORMASI BIROKRASI, PENGAWASAN, DAN AKUNTABILITAS KINERJA</t>
        </is>
      </c>
      <c r="G40" s="64" t="inlineStr">
        <is>
          <t>Instansi Pemerintah Lainnya</t>
        </is>
      </c>
      <c r="H40" s="64" t="inlineStr">
        <is>
          <t>Laporan Keuangan BUMD</t>
        </is>
      </c>
      <c r="I40" s="64" t="inlineStr">
        <is>
          <t>Laporan Keuangan BUMD</t>
        </is>
      </c>
      <c r="J40" s="64" t="inlineStr">
        <is>
          <t>Terbatas</t>
        </is>
      </c>
      <c r="K40" s="64" t="inlineStr">
        <is>
          <t>Tidak terdapat</t>
        </is>
      </c>
      <c r="L40" s="64" t="inlineStr">
        <is>
          <t>Bulanan</t>
        </is>
      </c>
      <c r="M40" s="64" t="inlineStr">
        <is>
          <t>e-BUMD</t>
        </is>
      </c>
      <c r="N40" s="64" t="inlineStr">
        <is>
          <t>Pusat</t>
        </is>
      </c>
      <c r="O40" s="64" t="inlineStr">
        <is>
          <t>Pusat</t>
        </is>
      </c>
      <c r="P40" s="64" t="inlineStr">
        <is>
          <t>Website</t>
        </is>
      </c>
      <c r="Q40" s="66" t="inlineStr">
        <is>
          <t>http://e-bumd.com//dashboard</t>
        </is>
      </c>
      <c r="R40" s="64" t="inlineStr">
        <is>
          <t>Secara Online</t>
        </is>
      </c>
      <c r="S40" s="64" t="inlineStr">
        <is>
          <t>Informasi</t>
        </is>
      </c>
      <c r="T40" s="288" t="n"/>
      <c r="U40" s="64" t="inlineStr">
        <is>
          <t>Aktif</t>
        </is>
      </c>
      <c r="V40" s="64" t="inlineStr">
        <is>
          <t>Tidak</t>
        </is>
      </c>
      <c r="W40" s="64" t="inlineStr">
        <is>
          <t>Tidak Terintegrasi</t>
        </is>
      </c>
      <c r="X40" s="288" t="n"/>
      <c r="Y40" s="64" t="inlineStr">
        <is>
          <t>Bulanan</t>
        </is>
      </c>
      <c r="Z40" s="64" t="inlineStr">
        <is>
          <t>bagian perekonomian</t>
        </is>
      </c>
      <c r="AA40" s="64" t="inlineStr">
        <is>
          <t>Setda</t>
        </is>
      </c>
      <c r="AB40" s="63" t="inlineStr">
        <is>
          <t>ROBBY IRAWAN, S.Sos</t>
        </is>
      </c>
      <c r="AC40" s="288" t="n"/>
      <c r="AD40" s="288" t="n"/>
      <c r="AE40" s="288" t="n"/>
      <c r="AF40" s="288" t="n"/>
      <c r="AG40" s="284" t="n"/>
      <c r="AH40" s="284" t="n"/>
      <c r="AI40" s="284" t="n"/>
      <c r="AJ40" s="284" t="n"/>
      <c r="AK40" s="284" t="n"/>
      <c r="AL40" s="284" t="n"/>
      <c r="AM40" s="284" t="n"/>
      <c r="AN40" s="284" t="n"/>
      <c r="AO40" s="284" t="n"/>
      <c r="AP40" s="284" t="n"/>
      <c r="AQ40" s="284" t="n"/>
      <c r="AR40" s="284" t="n"/>
    </row>
    <row r="41">
      <c r="A41" s="62" t="n">
        <v>39</v>
      </c>
      <c r="B41" s="63" t="inlineStr">
        <is>
          <t>Layanan Administrasi Pembangunan</t>
        </is>
      </c>
      <c r="C41" s="63" t="inlineStr">
        <is>
          <t>Membantu memfasilitasi perangkat daerah dalam informasi yang berkaitan dengan kegiatan pembangunan fisik/non fisik di lingkup Pemerintah Daerah Kabupaten Bandung yang bertujuan untuk mendorong terciptanya mekanisme informasi pembangunan yang berkualitas dan tertib administrasi</t>
        </is>
      </c>
      <c r="D41" s="63" t="inlineStr">
        <is>
          <t>PP No. 26 Tahun 2006 Tentang Tata Cara Pengendalian dan Evaluasi Pelaksanaan Rencana Pembangunan; PP No. 38 Tahun 2019 Tantang Inovasi Daerah; Perpres No. 95 Tahun 2018 Tentang Sistem Pemerintahan Berbasis Elektronik; Peraturan Bupati No 281 Tahun 2023 Tentang Penerapan Inovasi Berupa Pelaksanaan Monitoring Kegiatan Pembangunan Daerah Melalui Sistem Informasi Manajemen Administrasi Pembangunan; Peraturan Bupati No. 281 Tahun 2023 Tentang Penerapan Inovasi Berupa Pelaksanaan Monitoring Kegiatan Pembangunan Daerah Melalui Sistem Informasi Manajemen Administrasi Pembangunan; Keputusan Bupati Bandung No. 500.12/KEP.754-ADBANG/2024 Tentang Penetapan Pengelola Sistem Informasi Manajemen Administrasi Pembangunan Kabupaten Bandung.</t>
        </is>
      </c>
      <c r="E41" s="66" t="inlineStr">
        <is>
          <t>SOP Simbangun: https://drive.google.com/drive/folders/1uT9c4NGjI41uZyGgKpyquckLoM2rSaQa?usp=sharing</t>
        </is>
      </c>
      <c r="F41" s="64" t="inlineStr">
        <is>
          <t>PENINGKATAN KUALITAS PELAYANAN PUBLIK</t>
        </is>
      </c>
      <c r="G41" s="64" t="inlineStr">
        <is>
          <t>Instansi Pemerintah Lainnya</t>
        </is>
      </c>
      <c r="H41" s="64" t="inlineStr">
        <is>
          <t>Data Tenaga Ahli, Data Tenaga Terampil, Data Badan Usaha, Data Quarry, Data Lab. Uji Konstruksi, Data Sewa Alat, Data Paket Pekerjaan, Data Progres Paket Pekerjaan, BPJS</t>
        </is>
      </c>
      <c r="I41" s="64" t="inlineStr">
        <is>
          <t>Kurva-S, Diagram Rekap Data, Tagging Kordinat Lokasi dan Dokumentasi</t>
        </is>
      </c>
      <c r="J41" s="64" t="inlineStr">
        <is>
          <t>Terbatas</t>
        </is>
      </c>
      <c r="K41" s="64" t="inlineStr">
        <is>
          <t>Tidak terdapat</t>
        </is>
      </c>
      <c r="L41" s="64" t="inlineStr">
        <is>
          <t>Lainnya</t>
        </is>
      </c>
      <c r="M41" s="64" t="inlineStr">
        <is>
          <t>SIMBANGUN</t>
        </is>
      </c>
      <c r="N41" s="64" t="inlineStr">
        <is>
          <t>Pihak Ke 3</t>
        </is>
      </c>
      <c r="O41" s="64" t="inlineStr">
        <is>
          <t>Kab. Bandung</t>
        </is>
      </c>
      <c r="P41" s="64" t="inlineStr">
        <is>
          <t>Website</t>
        </is>
      </c>
      <c r="Q41" s="66" t="inlineStr">
        <is>
          <t>https://simbangun.bandungkab.go.id</t>
        </is>
      </c>
      <c r="R41" s="64" t="inlineStr">
        <is>
          <t>Secara Online</t>
        </is>
      </c>
      <c r="S41" s="64" t="inlineStr">
        <is>
          <t>Informasi</t>
        </is>
      </c>
      <c r="T41" s="64" t="n">
        <v>2022</v>
      </c>
      <c r="U41" s="64" t="inlineStr">
        <is>
          <t>Aktif</t>
        </is>
      </c>
      <c r="V41" s="64" t="inlineStr">
        <is>
          <t>Tidak</t>
        </is>
      </c>
      <c r="W41" s="64" t="inlineStr">
        <is>
          <t>Link ke Amel, sireka</t>
        </is>
      </c>
      <c r="X41" s="64" t="inlineStr">
        <is>
          <t>Tidak Terintegrasi</t>
        </is>
      </c>
      <c r="Y41" s="64" t="inlineStr">
        <is>
          <t>Realtime</t>
        </is>
      </c>
      <c r="Z41" s="64" t="inlineStr">
        <is>
          <t>Bagian Administrasi Pembangunan</t>
        </is>
      </c>
      <c r="AA41" s="64" t="inlineStr">
        <is>
          <t>Setda</t>
        </is>
      </c>
      <c r="AB41" s="63" t="inlineStr">
        <is>
          <t>Wawan Purwanto, ST.</t>
        </is>
      </c>
      <c r="AC41" s="63" t="n">
        <v>8122233244</v>
      </c>
      <c r="AD41" s="63" t="inlineStr">
        <is>
          <t>wawan.purwanto3@gmail.com</t>
        </is>
      </c>
      <c r="AE41" s="67" t="inlineStr">
        <is>
          <t>-</t>
        </is>
      </c>
      <c r="AF41" s="68" t="inlineStr">
        <is>
          <t>Harian</t>
        </is>
      </c>
      <c r="AG41" s="91" t="inlineStr">
        <is>
          <t>OPD, Kecamatan</t>
        </is>
      </c>
      <c r="AH41" s="92" t="n"/>
      <c r="AI41" s="92" t="n"/>
      <c r="AJ41" s="92" t="n"/>
      <c r="AK41" s="92" t="n"/>
      <c r="AL41" s="92" t="n"/>
      <c r="AM41" s="92" t="n"/>
      <c r="AN41" s="92" t="n"/>
      <c r="AO41" s="92" t="n"/>
      <c r="AP41" s="92" t="n"/>
      <c r="AQ41" s="92" t="n"/>
      <c r="AR41" s="284" t="n"/>
    </row>
    <row r="42" hidden="1" s="346">
      <c r="A42" s="62" t="n">
        <v>40</v>
      </c>
      <c r="B42" s="67" t="inlineStr">
        <is>
          <t>Layanan Evaluasi Pelaporan Program Pembangunan</t>
        </is>
      </c>
      <c r="C42" s="67" t="inlineStr">
        <is>
          <t>Untuk mengevaluasi pencapaian hasil dari program pembangunan yang telah dilaksanakan. Ini melibatkan analisis terhadap kinerja program, dampak terhadap masyarakat, efisiensi penggunaan sumber daya, dan ketaatan terhadap peraturan.</t>
        </is>
      </c>
      <c r="D42" s="63" t="inlineStr">
        <is>
          <t>Peraturan Pemerintah Nomor 13
 Tahun 2019 dan Peraturan Menteri Dalam Negeri No. 18 Tahun 2020</t>
        </is>
      </c>
      <c r="E42" s="288" t="n"/>
      <c r="F42" s="67" t="inlineStr">
        <is>
          <t>PENINGKATAN KUALITAS PELAYANAN PUBLIK</t>
        </is>
      </c>
      <c r="G42" s="67" t="inlineStr">
        <is>
          <t>Instansi Pemerintah Lainnya</t>
        </is>
      </c>
      <c r="H42" s="67" t="inlineStr">
        <is>
          <t>Data Evaluasi Program Pembangunan</t>
        </is>
      </c>
      <c r="I42" s="67" t="inlineStr">
        <is>
          <t>LKPJ, Tugas Perbantuan, DAK</t>
        </is>
      </c>
      <c r="J42" s="67" t="inlineStr">
        <is>
          <t>Terbatas</t>
        </is>
      </c>
      <c r="K42" s="67" t="inlineStr">
        <is>
          <t>Tidak terdapat</t>
        </is>
      </c>
      <c r="L42" s="67" t="inlineStr">
        <is>
          <t>Tahunan</t>
        </is>
      </c>
      <c r="M42" s="68" t="inlineStr">
        <is>
          <t>e-LKPJ</t>
        </is>
      </c>
      <c r="N42" s="67" t="inlineStr">
        <is>
          <t>Pihak Ke 3</t>
        </is>
      </c>
      <c r="O42" s="67" t="inlineStr">
        <is>
          <t>Pihak Ke 3 (Lisensi)</t>
        </is>
      </c>
      <c r="P42" s="67" t="inlineStr">
        <is>
          <t>Website</t>
        </is>
      </c>
      <c r="Q42" s="75" t="inlineStr">
        <is>
          <t>https://e-lkpj.id/login</t>
        </is>
      </c>
      <c r="R42" s="67" t="inlineStr">
        <is>
          <t>Secara Online</t>
        </is>
      </c>
      <c r="S42" s="67" t="inlineStr">
        <is>
          <t>Informasi</t>
        </is>
      </c>
      <c r="T42" s="68" t="n">
        <v>2020</v>
      </c>
      <c r="U42" s="67" t="inlineStr">
        <is>
          <t>Aktif</t>
        </is>
      </c>
      <c r="V42" s="67" t="inlineStr">
        <is>
          <t>Tidak</t>
        </is>
      </c>
      <c r="W42" s="184" t="inlineStr">
        <is>
          <t>Tidak Terintegrasi</t>
        </is>
      </c>
      <c r="X42" s="67" t="inlineStr">
        <is>
          <t>Tidak Terintegrasi</t>
        </is>
      </c>
      <c r="Y42" s="67" t="inlineStr">
        <is>
          <t>Tidak Terintegrasi</t>
        </is>
      </c>
      <c r="Z42" s="64" t="inlineStr">
        <is>
          <t>Bagian Administrasi Pembangunan</t>
        </is>
      </c>
      <c r="AA42" s="68" t="inlineStr">
        <is>
          <t>Setda</t>
        </is>
      </c>
      <c r="AB42" s="63" t="inlineStr">
        <is>
          <t>Wawan Purwanto, ST.</t>
        </is>
      </c>
      <c r="AC42" s="63" t="n">
        <v>8122233244</v>
      </c>
      <c r="AD42" s="63" t="inlineStr">
        <is>
          <t>wawan.purwanto3@gmail.com</t>
        </is>
      </c>
      <c r="AE42" s="67" t="inlineStr">
        <is>
          <t>-</t>
        </is>
      </c>
      <c r="AF42" s="68" t="inlineStr">
        <is>
          <t>Tahunan</t>
        </is>
      </c>
      <c r="AG42" s="91" t="inlineStr">
        <is>
          <t>OPD</t>
        </is>
      </c>
      <c r="AH42" s="92" t="n"/>
      <c r="AI42" s="92" t="n"/>
      <c r="AJ42" s="92" t="n"/>
      <c r="AK42" s="92" t="n"/>
      <c r="AL42" s="92" t="n"/>
      <c r="AM42" s="92" t="n"/>
      <c r="AN42" s="92" t="n"/>
      <c r="AO42" s="92" t="n"/>
      <c r="AP42" s="92" t="n"/>
      <c r="AQ42" s="92" t="n"/>
      <c r="AR42" s="284" t="n"/>
    </row>
    <row r="43" hidden="1" s="346">
      <c r="A43" s="62" t="n">
        <v>41</v>
      </c>
      <c r="B43" s="63" t="inlineStr">
        <is>
          <t>Layanan Pengadaaan Barang dan Jasa</t>
        </is>
      </c>
      <c r="C43" s="63" t="inlineStr">
        <is>
          <t>meningkatkan kualitas layanan,
 kapasitas dan keamanan informasi dalam
 penyelenggaraan layanan pengadaan Barang/Jasa
 secara elektronik dan memfasilitasi pelaksanaan Pengadaan Barang/Jasa secara elektronik</t>
        </is>
      </c>
      <c r="D43" s="63" t="inlineStr">
        <is>
          <t>Perpres Nomor 46 Tahun 2025 tentang Perubahan Kedua atas Peraturan Presiden Nomor 16 Tahun 2018 tentang Pengadaan Barang/Jasa Pemerintah</t>
        </is>
      </c>
      <c r="E43" s="66" t="inlineStr">
        <is>
          <t>https://drive.google.com/file/d/1bfEasna0yACDkjKfdw6Q1Zy2Ku88gtKx/view?usp=sharing</t>
        </is>
      </c>
      <c r="F43" s="64" t="inlineStr">
        <is>
          <t>PENINGKATAN KUALITAS PELAYANAN PUBLIK</t>
        </is>
      </c>
      <c r="G43" s="64" t="inlineStr">
        <is>
          <t>Pelaku Bisnis</t>
        </is>
      </c>
      <c r="H43" s="64" t="inlineStr">
        <is>
          <t>Proses Pengadaan Barang/Jasa Tender dan Non Tender, Akun PA/KPA, PPK dan Penyedia</t>
        </is>
      </c>
      <c r="I43" s="64" t="inlineStr">
        <is>
          <t>Data Pengadaan Barang/Jasa yang dilaksakan secara Tender dan Non Tender</t>
        </is>
      </c>
      <c r="J43" s="64" t="inlineStr">
        <is>
          <t>Terbuka</t>
        </is>
      </c>
      <c r="K43" s="64" t="inlineStr">
        <is>
          <t>Tidak terdapat</t>
        </is>
      </c>
      <c r="L43" s="64" t="inlineStr">
        <is>
          <t>Lainnya</t>
        </is>
      </c>
      <c r="M43" s="64" t="inlineStr">
        <is>
          <t>SPSE</t>
        </is>
      </c>
      <c r="N43" s="64" t="inlineStr">
        <is>
          <t>Pusat</t>
        </is>
      </c>
      <c r="O43" s="64" t="inlineStr">
        <is>
          <t>Pusat</t>
        </is>
      </c>
      <c r="P43" s="64" t="inlineStr">
        <is>
          <t>Website</t>
        </is>
      </c>
      <c r="Q43" s="66" t="inlineStr">
        <is>
          <t>https://spse.inaproc.id/bandungkab</t>
        </is>
      </c>
      <c r="R43" s="64" t="inlineStr">
        <is>
          <t>Secara Online</t>
        </is>
      </c>
      <c r="S43" s="64" t="inlineStr">
        <is>
          <t>Informasi</t>
        </is>
      </c>
      <c r="T43" s="64" t="n">
        <v>2013</v>
      </c>
      <c r="U43" s="64" t="inlineStr">
        <is>
          <t>Aktif</t>
        </is>
      </c>
      <c r="V43" s="64" t="inlineStr">
        <is>
          <t>Tidak</t>
        </is>
      </c>
      <c r="W43" s="64" t="inlineStr">
        <is>
          <t>Tidak Terintegrasi</t>
        </is>
      </c>
      <c r="X43" s="64" t="inlineStr">
        <is>
          <t>Tidak Terintegrasi</t>
        </is>
      </c>
      <c r="Y43" s="64" t="inlineStr">
        <is>
          <t>Tidak Terintegrasi</t>
        </is>
      </c>
      <c r="Z43" s="64" t="inlineStr">
        <is>
          <t>Bagian Pengadaan Barang/Jasa</t>
        </is>
      </c>
      <c r="AA43" s="64" t="inlineStr">
        <is>
          <t>Setda</t>
        </is>
      </c>
      <c r="AB43" s="63" t="inlineStr">
        <is>
          <t>Ana Suryana, ST., MM.</t>
        </is>
      </c>
      <c r="AC43" s="63" t="n">
        <v>85220648981</v>
      </c>
      <c r="AD43" s="63" t="inlineStr">
        <is>
          <t>helpdesk.bandung.kab@gmail.com</t>
        </is>
      </c>
      <c r="AE43" s="200" t="n"/>
      <c r="AF43" s="68" t="inlineStr">
        <is>
          <t>Tahunan</t>
        </is>
      </c>
      <c r="AG43" s="284" t="n"/>
      <c r="AH43" s="284" t="n"/>
      <c r="AI43" s="284" t="n"/>
      <c r="AJ43" s="284" t="n"/>
      <c r="AK43" s="284" t="n"/>
      <c r="AL43" s="284" t="n"/>
      <c r="AM43" s="284" t="n"/>
      <c r="AN43" s="284" t="n"/>
      <c r="AO43" s="284" t="n"/>
      <c r="AP43" s="284" t="n"/>
      <c r="AQ43" s="284" t="n"/>
      <c r="AR43" s="284" t="n"/>
    </row>
    <row r="44">
      <c r="A44" s="62" t="n">
        <v>42</v>
      </c>
      <c r="B44" s="63" t="inlineStr">
        <is>
          <t>Layanan Satgas Percepatan Penyelenggaraan MBG Kabupaten Bandung</t>
        </is>
      </c>
      <c r="C44" s="63" t="inlineStr">
        <is>
          <t>1. Mengatur, mendokumentasikan, dan menyimpan seluruh dokumen 
 administrasi yang berkaitan dengan pelaksanaan program, seperti 
 notulen rapat, surat-menyurat, laporan, dan arsip lainnya;
 2. Memfasilitasi komunikasi dan koordinasi antar anggota Satuan 
 Tugas serta dengan pihak-pihak terkait lainnya agar informasi 
 tersampaikan dengan baik dan tepat waktu;
 3. Menyusun dan mengatur jadwal rapat, kunjungan lapangan, dan 
 kegiatan Satuan Tugas lainnya, serta memastikan pelaksanaan 
 kegiatan sesuai dengan jadwal yang ditetapkan;
 4. Membantu dalam penyusunan laporan pelaksanaan program, yang 
 akan disampaikan kepada pembina atau pengarah;
 5. Menyiapkan agenda rapat, mengundang peserta rapat, menyiapkan 
 bahan rapat, dan mencatat hasil rapat sebagai bahan tindak lanjut;
 6. Menjaga dan mengelola arsip data program makan siang bergizi 
 gratis untuk memudahkan akses informasi dan dokumentasi yang 
 dibutuhkan Satuan Tugas; dan
 7. Membantu dalam pengumpulan dan pendataan kebutuhan, 
 capaian, dan kendala pelaksanaan program makan siang bergizi 
 gratis.</t>
        </is>
      </c>
      <c r="D44" s="67" t="inlineStr">
        <is>
          <t>KEPUTUSAN BUPATI BANDUNG NOMOR : 000.8.1.1/KEP.465-HUK/2025 PEMBENTUKAN SATUAN TUGAS PERCEPATAN PENYELENGGARAAN 
 PROGRAM MAKAN SIANG BERGIZI GRATIS KABUPATEN BANDUNG</t>
        </is>
      </c>
      <c r="E44" s="288" t="n"/>
      <c r="F44" s="64" t="inlineStr">
        <is>
          <t>PENGENDALIAN PROGRAM PRIORITAS NASIONAL</t>
        </is>
      </c>
      <c r="G44" s="64" t="inlineStr">
        <is>
          <t>Instansi Pemerintah Lainnya</t>
        </is>
      </c>
      <c r="H44" s="64" t="inlineStr">
        <is>
          <t>Data Koordinasi dan Fasilitasi Pelaksanaan Program Pemerintah Daerah</t>
        </is>
      </c>
      <c r="I44" s="63" t="inlineStr">
        <is>
          <t>SK Pembentukan Satgas MBG Kabupaten BandungDokumen rencana kerja / rencana aksi percepatan penyelenggaraan MBG, Notulen atau berita acara rapat koordinasi Satgas MBG, Laporan pelaksanaan kegiatan Satgas, Laporan monitoring dan evaluasi pelaksanaan MBG, Rekomendasi kebijakan atau tindak lanjut percepatan MBG dan Data progres pelaksanaan program MBG di Kabupaten Bandung</t>
        </is>
      </c>
      <c r="J44" s="64" t="inlineStr">
        <is>
          <t>Terbuka</t>
        </is>
      </c>
      <c r="K44" s="64" t="inlineStr">
        <is>
          <t>Tidak terdapat</t>
        </is>
      </c>
      <c r="L44" s="64" t="inlineStr">
        <is>
          <t>Mingguan</t>
        </is>
      </c>
      <c r="M44" s="64" t="inlineStr">
        <is>
          <t>Dashboard Satgas MBG</t>
        </is>
      </c>
      <c r="N44" s="64" t="inlineStr">
        <is>
          <t>Diskominfo</t>
        </is>
      </c>
      <c r="O44" s="64" t="inlineStr">
        <is>
          <t>Kab. Bandung</t>
        </is>
      </c>
      <c r="P44" s="64" t="inlineStr">
        <is>
          <t>Website dan Mobile</t>
        </is>
      </c>
      <c r="Q44" s="66" t="inlineStr">
        <is>
          <t>https://aplikasi.bandungkab.go.id/publik/dashboard-pendataan-profil-sppg-aktif-untuk-satgas-mbg</t>
        </is>
      </c>
      <c r="R44" s="64" t="inlineStr">
        <is>
          <t>Secara Online</t>
        </is>
      </c>
      <c r="S44" s="64" t="inlineStr">
        <is>
          <t>Informasi</t>
        </is>
      </c>
      <c r="T44" s="77" t="n">
        <v>2025</v>
      </c>
      <c r="U44" s="64" t="inlineStr">
        <is>
          <t>Aktif</t>
        </is>
      </c>
      <c r="V44" s="64" t="inlineStr">
        <is>
          <t>Tidak</t>
        </is>
      </c>
      <c r="W44" s="64" t="inlineStr">
        <is>
          <t>Terintegrasi (Dashboard Pimpinan)</t>
        </is>
      </c>
      <c r="X44" s="67" t="inlineStr">
        <is>
          <t>Database to Database</t>
        </is>
      </c>
      <c r="Y44" s="64" t="inlineStr">
        <is>
          <t>Realtime</t>
        </is>
      </c>
      <c r="Z44" s="64" t="inlineStr">
        <is>
          <t>bagian SDA</t>
        </is>
      </c>
      <c r="AA44" s="64" t="inlineStr">
        <is>
          <t>Setda, Inspektorat, Disdik, Dinkes, DPUTR</t>
        </is>
      </c>
      <c r="AB44" s="66" t="inlineStr">
        <is>
          <t>RUSLI BAIJURI,AP.M.KP</t>
        </is>
      </c>
      <c r="AC44" s="288" t="n"/>
      <c r="AD44" s="67" t="inlineStr">
        <is>
          <t>bagsdasetdakabbandung@gmail.com</t>
        </is>
      </c>
      <c r="AE44" s="76" t="inlineStr">
        <is>
          <t>Prioritas Nasional</t>
        </is>
      </c>
      <c r="AF44" s="68" t="inlineStr">
        <is>
          <t>Harian</t>
        </is>
      </c>
      <c r="AG44" s="216" t="inlineStr">
        <is>
          <t>Desa, Kecamatan &amp; Kabupaten</t>
        </is>
      </c>
      <c r="AJ44" s="92" t="n"/>
      <c r="AK44" s="92" t="n"/>
      <c r="AL44" s="92" t="n"/>
      <c r="AM44" s="92" t="n"/>
      <c r="AN44" s="92" t="n"/>
      <c r="AO44" s="92" t="n"/>
      <c r="AP44" s="92" t="n"/>
      <c r="AQ44" s="92" t="n"/>
      <c r="AR44" s="284" t="n"/>
    </row>
    <row r="45" hidden="1" s="346">
      <c r="A45" s="62" t="n">
        <v>43</v>
      </c>
      <c r="B45" s="63" t="inlineStr">
        <is>
          <t>Layanan penginputan rencana kerja anggaran, laporan hasil kegiatan dan realisasi DBHCHT</t>
        </is>
      </c>
      <c r="C45" s="63" t="inlineStr">
        <is>
          <t>Meningkatkan kualitas produk hukum agar sesuai tujuan seperti kepastian hukum, manfaat, dan keadilan bagi pemangku kepentingan</t>
        </is>
      </c>
      <c r="D45" s="67" t="inlineStr">
        <is>
          <t>KEPUTUSAN BUPATI BANDUNG NOMOR : 900.1.14.3/KEP.657-PEREK/2025 PENETAPAN PAGU ALOKASI DANA BAGI HASIL CUKAI HASIL TEMBAKAU
 BAGIAN PEMERINTAH KABUPATEN BANDUNG TAHUN ANGGARAN 2026</t>
        </is>
      </c>
      <c r="E45" s="288" t="n"/>
      <c r="F45" s="64" t="inlineStr">
        <is>
          <t>PENINGKATAN KUALITAS REFORMASI BIROKRASI, PENGAWASAN, DAN AKUNTABILITAS KINERJA</t>
        </is>
      </c>
      <c r="G45" s="64" t="inlineStr">
        <is>
          <t>Instansi Pemerintah Lainnya</t>
        </is>
      </c>
      <c r="H45" s="64" t="inlineStr">
        <is>
          <t>realisasi dan laporan hasil kegiatan DBHCHT</t>
        </is>
      </c>
      <c r="I45" s="64" t="inlineStr">
        <is>
          <t>realisasi dan laporan hasil kegiatan DBHCHT</t>
        </is>
      </c>
      <c r="J45" s="64" t="inlineStr">
        <is>
          <t>Terbuka</t>
        </is>
      </c>
      <c r="K45" s="64" t="inlineStr">
        <is>
          <t>Tidak terdapat</t>
        </is>
      </c>
      <c r="L45" s="64" t="inlineStr">
        <is>
          <t>Bulanan</t>
        </is>
      </c>
      <c r="M45" s="64" t="inlineStr">
        <is>
          <t>e-DBHCHT</t>
        </is>
      </c>
      <c r="N45" s="64" t="inlineStr">
        <is>
          <t>Provinsi</t>
        </is>
      </c>
      <c r="O45" s="64" t="inlineStr">
        <is>
          <t>Provinsi</t>
        </is>
      </c>
      <c r="P45" s="64" t="inlineStr">
        <is>
          <t>Website</t>
        </is>
      </c>
      <c r="Q45" s="66" t="inlineStr">
        <is>
          <t>https://www.appsheet.com/Account/Login?appName=DBHCHT%20App&amp;FullScope=False&amp;provider=google&amp;returnUrl=https%3A%2F%2Fwww.appsheet.com%2Fstart%2F93891b63-df85-4aa1-a7bf-d007dfa96cf8%3Fplatform%3Ddesktop#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t>
        </is>
      </c>
      <c r="R45" s="64" t="inlineStr">
        <is>
          <t>Secara Online</t>
        </is>
      </c>
      <c r="S45" s="64" t="inlineStr">
        <is>
          <t>Informasi</t>
        </is>
      </c>
      <c r="T45" s="67" t="inlineStr">
        <is>
          <t>-</t>
        </is>
      </c>
      <c r="U45" s="64" t="inlineStr">
        <is>
          <t>Aktif</t>
        </is>
      </c>
      <c r="V45" s="64" t="inlineStr">
        <is>
          <t>Tidak</t>
        </is>
      </c>
      <c r="W45" s="64" t="inlineStr">
        <is>
          <t>Tidak Terintegrasi</t>
        </is>
      </c>
      <c r="X45" s="67" t="inlineStr">
        <is>
          <t>Manual</t>
        </is>
      </c>
      <c r="Y45" s="64" t="inlineStr">
        <is>
          <t>Realtime</t>
        </is>
      </c>
      <c r="Z45" s="64" t="inlineStr">
        <is>
          <t>bagian SDA</t>
        </is>
      </c>
      <c r="AA45" s="64" t="inlineStr">
        <is>
          <t>Setda, Dinkes, Disnaker, Dinsos, Disperdagin, Distan, Satpol PP</t>
        </is>
      </c>
      <c r="AB45" s="66" t="inlineStr">
        <is>
          <t>RUSLI BAIJURI,AP.M.KP</t>
        </is>
      </c>
      <c r="AC45" s="288" t="n"/>
      <c r="AD45" s="67" t="inlineStr">
        <is>
          <t>bagsdasetdakabbandung@gmail.com</t>
        </is>
      </c>
      <c r="AE45" s="288" t="n"/>
      <c r="AF45" s="288" t="n"/>
      <c r="AG45" s="284" t="n"/>
      <c r="AH45" s="284" t="n"/>
      <c r="AI45" s="284" t="n"/>
      <c r="AJ45" s="284" t="n"/>
      <c r="AK45" s="284" t="n"/>
      <c r="AL45" s="284" t="n"/>
      <c r="AM45" s="284" t="n"/>
      <c r="AN45" s="284" t="n"/>
      <c r="AO45" s="284" t="n"/>
      <c r="AP45" s="284" t="n"/>
      <c r="AQ45" s="284" t="n"/>
      <c r="AR45" s="284" t="n"/>
    </row>
    <row r="46">
      <c r="A46" s="62" t="n">
        <v>44</v>
      </c>
      <c r="B46" s="178" t="inlineStr">
        <is>
          <t>Layanan Penyerapan Asiparasi Masyarakat Kepada DPRD</t>
        </is>
      </c>
      <c r="C46" s="178" t="inlineStr">
        <is>
          <t>Layanan Penyerapan Aspirasi Masyarakat kepada DPRD memungkinkan warga Kabupaten Bandung untuk mengungkapkan aspirasi, usulan, dan kekhawatiran mereka kepada DPRD. Warga Kabupaten Bandung dapat dengan mudah menulis pesan atau mengirimkan keluhan terkait isu-isu seperti infrastruktur, pendidikan,kesehatan, lingkungan, dan lainnya.</t>
        </is>
      </c>
      <c r="D46" s="178" t="inlineStr">
        <is>
          <t>Peraturan Bupati Bandung Nomor 245 Tahun 2023 Tentang Layanan Aspirasi Masyarakat Secara Elektronik Melalui DPRD Bedas Mendengar Rakyat Bandung (D'Benderang)</t>
        </is>
      </c>
      <c r="E46" s="70" t="inlineStr">
        <is>
          <t>https://drive.google.com/file/d/1Xev2F7vScZDTlBaqHqPh8lzFUMNB_y8a/view?usp=sharing</t>
        </is>
      </c>
      <c r="F46" s="184" t="inlineStr">
        <is>
          <t>PENINGKATAN KUALITAS PELAYANAN PUBLIK</t>
        </is>
      </c>
      <c r="G46" s="184" t="inlineStr">
        <is>
          <t>Masyarakat</t>
        </is>
      </c>
      <c r="H46" s="184" t="inlineStr">
        <is>
          <t>Data Pengaduan dan Aspirasi Masyarakat</t>
        </is>
      </c>
      <c r="I46" s="178" t="inlineStr">
        <is>
          <t>Data Pengaduan dan Aspirasi Masyarakat</t>
        </is>
      </c>
      <c r="J46" s="184" t="inlineStr">
        <is>
          <t>Terbuka</t>
        </is>
      </c>
      <c r="K46" s="184" t="inlineStr">
        <is>
          <t>Terdapat</t>
        </is>
      </c>
      <c r="L46" s="184" t="inlineStr">
        <is>
          <t>Harian</t>
        </is>
      </c>
      <c r="M46" s="184" t="inlineStr">
        <is>
          <t>D'benderang</t>
        </is>
      </c>
      <c r="N46" s="184" t="inlineStr">
        <is>
          <t>Diskominfo</t>
        </is>
      </c>
      <c r="O46" s="184" t="inlineStr">
        <is>
          <t>Kab. Bandung</t>
        </is>
      </c>
      <c r="P46" s="184" t="inlineStr">
        <is>
          <t>Website</t>
        </is>
      </c>
      <c r="Q46" s="288" t="n"/>
      <c r="R46" s="184" t="inlineStr">
        <is>
          <t>Secara Online</t>
        </is>
      </c>
      <c r="S46" s="184" t="inlineStr">
        <is>
          <t>Transaksi</t>
        </is>
      </c>
      <c r="T46" s="98" t="n">
        <v>2022</v>
      </c>
      <c r="U46" s="184" t="inlineStr">
        <is>
          <t>Maintenance</t>
        </is>
      </c>
      <c r="V46" s="184" t="inlineStr">
        <is>
          <t>Tidak</t>
        </is>
      </c>
      <c r="W46" s="288" t="n"/>
      <c r="X46" s="288" t="n"/>
      <c r="Y46" s="184" t="inlineStr">
        <is>
          <t>Lainnya</t>
        </is>
      </c>
      <c r="Z46" s="184" t="inlineStr">
        <is>
          <t>Bagian Umum</t>
        </is>
      </c>
      <c r="AA46" s="184" t="inlineStr">
        <is>
          <t>Setwan</t>
        </is>
      </c>
      <c r="AB46" s="178" t="inlineStr">
        <is>
          <t>Hilmy Farhan</t>
        </is>
      </c>
      <c r="AC46" s="178" t="n">
        <v>816379600</v>
      </c>
      <c r="AD46" s="288" t="n"/>
      <c r="AE46" s="288" t="n"/>
      <c r="AF46" s="67" t="inlineStr">
        <is>
          <t>Harian</t>
        </is>
      </c>
      <c r="AG46" s="284" t="n"/>
      <c r="AH46" s="284" t="n"/>
      <c r="AI46" s="284" t="n"/>
      <c r="AJ46" s="284" t="n"/>
      <c r="AK46" s="284" t="n"/>
      <c r="AL46" s="284" t="n"/>
      <c r="AM46" s="284" t="n"/>
      <c r="AN46" s="284" t="n"/>
      <c r="AO46" s="284" t="n"/>
      <c r="AP46" s="284" t="n"/>
      <c r="AQ46" s="284" t="n"/>
      <c r="AR46" s="284" t="n"/>
    </row>
    <row r="47">
      <c r="A47" s="62" t="n">
        <v>45</v>
      </c>
      <c r="B47" s="178" t="inlineStr">
        <is>
          <t>Layanan Sistem Informasi Hukum DPRD</t>
        </is>
      </c>
      <c r="C47" s="178" t="inlineStr">
        <is>
          <t>Layanan Sistem Informasi Hukum DPRD merupakan layanan yang berada di Sekretariat DPRD yang memiliki manfaat agar seluruh masyarakat di kabupaten Bandung maupun Indonesia dapat mengakses seluruh produk hukum Peraturan Daerah (Perda), Peraturan DPRD, Surat Keputusan Pimpinan DPRD dan Surat Keputusan Sekretaris DPRD yang telah ditetapkan.</t>
        </is>
      </c>
      <c r="D47" s="178" t="inlineStr">
        <is>
          <t>Peraturan Presiden Nomor 33 Tahun 2012 tentang Jaringan Dokumentasi dan Informasi Hukum Nasional</t>
        </is>
      </c>
      <c r="E47" s="288" t="n"/>
      <c r="F47" s="184" t="inlineStr">
        <is>
          <t>HUKUM DAN PERJANJIAN INTERNASIONAL</t>
        </is>
      </c>
      <c r="G47" s="184" t="inlineStr">
        <is>
          <t>Masyarakat</t>
        </is>
      </c>
      <c r="H47" s="184" t="inlineStr">
        <is>
          <t>Data Keputusan dan Peraturan DPRD</t>
        </is>
      </c>
      <c r="I47" s="184" t="inlineStr">
        <is>
          <t>Data Keputusan dan Peraturan DPRD</t>
        </is>
      </c>
      <c r="J47" s="184" t="inlineStr">
        <is>
          <t>Terbuka</t>
        </is>
      </c>
      <c r="K47" s="184" t="inlineStr">
        <is>
          <t>Tidak terdapat</t>
        </is>
      </c>
      <c r="L47" s="184" t="inlineStr">
        <is>
          <t>Harian</t>
        </is>
      </c>
      <c r="M47" s="184" t="inlineStr">
        <is>
          <t>Bersih DPRD</t>
        </is>
      </c>
      <c r="N47" s="184" t="inlineStr">
        <is>
          <t>Diskominfo</t>
        </is>
      </c>
      <c r="O47" s="184" t="inlineStr">
        <is>
          <t>Kab. Bandung</t>
        </is>
      </c>
      <c r="P47" s="184" t="inlineStr">
        <is>
          <t>Website</t>
        </is>
      </c>
      <c r="Q47" s="70" t="inlineStr">
        <is>
          <t>https://jdihdprd.bandungkab.go.id/</t>
        </is>
      </c>
      <c r="R47" s="184" t="inlineStr">
        <is>
          <t>Secara Online</t>
        </is>
      </c>
      <c r="S47" s="184" t="inlineStr">
        <is>
          <t>Informasi</t>
        </is>
      </c>
      <c r="T47" s="98" t="n">
        <v>2022</v>
      </c>
      <c r="U47" s="184" t="inlineStr">
        <is>
          <t>Aktif</t>
        </is>
      </c>
      <c r="V47" s="184" t="inlineStr">
        <is>
          <t>Ya</t>
        </is>
      </c>
      <c r="W47" s="184" t="inlineStr">
        <is>
          <t>JDIH</t>
        </is>
      </c>
      <c r="X47" s="184" t="inlineStr">
        <is>
          <t>API</t>
        </is>
      </c>
      <c r="Y47" s="184" t="inlineStr">
        <is>
          <t>Harian</t>
        </is>
      </c>
      <c r="Z47" s="184" t="inlineStr">
        <is>
          <t>Bagian Persidangan dan Perundang-undangan</t>
        </is>
      </c>
      <c r="AA47" s="184" t="inlineStr">
        <is>
          <t>Setwan</t>
        </is>
      </c>
      <c r="AB47" s="178" t="inlineStr">
        <is>
          <t>HAIFA NUR GHAIDA, S.I.Kom</t>
        </is>
      </c>
      <c r="AC47" s="178" t="n">
        <v>81313077230</v>
      </c>
      <c r="AD47" s="288" t="n"/>
      <c r="AE47" s="288" t="n"/>
      <c r="AF47" s="67" t="inlineStr">
        <is>
          <t>Harian</t>
        </is>
      </c>
      <c r="AG47" s="284" t="n"/>
      <c r="AH47" s="284" t="n"/>
      <c r="AI47" s="284" t="n"/>
      <c r="AJ47" s="284" t="n"/>
      <c r="AK47" s="284" t="n"/>
      <c r="AL47" s="284" t="n"/>
      <c r="AM47" s="284" t="n"/>
      <c r="AN47" s="284" t="n"/>
      <c r="AO47" s="284" t="n"/>
      <c r="AP47" s="284" t="n"/>
      <c r="AQ47" s="284" t="n"/>
      <c r="AR47" s="284" t="n"/>
    </row>
    <row r="48">
      <c r="A48" s="62" t="n">
        <v>46</v>
      </c>
      <c r="B48" s="100" t="inlineStr">
        <is>
          <t>Layanan Penerimaan Tamu DPRD</t>
        </is>
      </c>
      <c r="C48" s="100" t="inlineStr">
        <is>
          <t>Layanan Penerimaan Tamu DPRD merupakan Layanan penerimaan kunjungan Tamu baik DPRD maupun Sekretariat DPRD ke Kantor Sekretariat DPRD Kabupaten Bandung dalam rangka kunjungan kerja dan studi komparasi.</t>
        </is>
      </c>
      <c r="D48" s="100" t="inlineStr">
        <is>
          <t>Peraturan Bupati Bandung Nomor 49 Tahun 2016 Tentang Pengelolaan Tamu Dinas di Lingkungan Pemerintah Kabupaten Bandung</t>
        </is>
      </c>
      <c r="E48" s="286" t="n"/>
      <c r="F48" s="102" t="inlineStr">
        <is>
          <t>INFORMASI DAN DIPLOMASI PUBLIK</t>
        </is>
      </c>
      <c r="G48" s="102" t="inlineStr">
        <is>
          <t>Instansi Pemerintah Lainnya</t>
        </is>
      </c>
      <c r="H48" s="102" t="inlineStr">
        <is>
          <t>Data Kunjungan Tamu DPRD</t>
        </is>
      </c>
      <c r="I48" s="102" t="inlineStr">
        <is>
          <t>Data Kunjungan Tamu DPRD</t>
        </is>
      </c>
      <c r="J48" s="102" t="inlineStr">
        <is>
          <t>Terbuka</t>
        </is>
      </c>
      <c r="K48" s="286" t="n"/>
      <c r="L48" s="286" t="n"/>
      <c r="M48" s="135" t="inlineStr">
        <is>
          <t>Dashboard kunjungan dprd kab bandung</t>
        </is>
      </c>
      <c r="N48" s="102" t="inlineStr">
        <is>
          <t>Diskominfo</t>
        </is>
      </c>
      <c r="O48" s="102" t="inlineStr">
        <is>
          <t>Kab. Bandung</t>
        </is>
      </c>
      <c r="P48" s="286" t="inlineStr">
        <is>
          <t>Website</t>
        </is>
      </c>
      <c r="Q48" s="70" t="inlineStr">
        <is>
          <t>https://aplikasi.bandungkab.go.id/publik/dashboard-kunjungan-dprd-kab-bandung</t>
        </is>
      </c>
      <c r="R48" s="102" t="inlineStr">
        <is>
          <t>Secara Online</t>
        </is>
      </c>
      <c r="S48" s="102" t="inlineStr">
        <is>
          <t>Transaksi</t>
        </is>
      </c>
      <c r="T48" s="104" t="n">
        <v>2025</v>
      </c>
      <c r="U48" s="102" t="inlineStr">
        <is>
          <t>Aktif</t>
        </is>
      </c>
      <c r="V48" s="102" t="inlineStr">
        <is>
          <t>Ya</t>
        </is>
      </c>
      <c r="W48" s="102" t="inlineStr">
        <is>
          <t>Dashboard Kabupaten Bandung</t>
        </is>
      </c>
      <c r="X48" s="102" t="inlineStr">
        <is>
          <t>API</t>
        </is>
      </c>
      <c r="Y48" s="102" t="inlineStr">
        <is>
          <t>Harian</t>
        </is>
      </c>
      <c r="Z48" s="184" t="inlineStr">
        <is>
          <t>Bagian Umum</t>
        </is>
      </c>
      <c r="AA48" s="102" t="inlineStr">
        <is>
          <t>Setwan</t>
        </is>
      </c>
      <c r="AB48" s="178" t="inlineStr">
        <is>
          <t>NOOR DINA CAMELIA, S.I.Kom</t>
        </is>
      </c>
      <c r="AC48" s="178" t="n">
        <v>895385108021</v>
      </c>
      <c r="AD48" s="288" t="n"/>
      <c r="AE48" s="288" t="n"/>
      <c r="AF48" s="67" t="inlineStr">
        <is>
          <t>Harian</t>
        </is>
      </c>
      <c r="AG48" s="284" t="n"/>
      <c r="AH48" s="284" t="n"/>
      <c r="AI48" s="284" t="n"/>
      <c r="AJ48" s="284" t="n"/>
      <c r="AK48" s="284" t="n"/>
      <c r="AL48" s="284" t="n"/>
      <c r="AM48" s="284" t="n"/>
      <c r="AN48" s="284" t="n"/>
      <c r="AO48" s="284" t="n"/>
      <c r="AP48" s="284" t="n"/>
      <c r="AQ48" s="284" t="n"/>
      <c r="AR48" s="284" t="n"/>
    </row>
    <row r="49">
      <c r="A49" s="62" t="n">
        <v>47</v>
      </c>
      <c r="B49" s="178" t="inlineStr">
        <is>
          <t>Pengawasan real-time perkembangan proyek pembangunan fisik</t>
        </is>
      </c>
      <c r="C49" s="178" t="inlineStr">
        <is>
          <t>Pengawasan real-time perkembangan proyek pembangunan fisik, mulai dari perencanaan hingga serah terima. Aplikasi ini juga mendukung Bupati dalam memantau proyek secara langsung serta berfungsi sebagai alat pelaksanaan probity audit oleh APIP.</t>
        </is>
      </c>
      <c r="D49" s="178" t="inlineStr">
        <is>
          <t>Peraturan Pemerintah Nomor 12 Tahun 2017 tentang
 Pembinaan dan Pengawasan Penyelenggaraan
 Pemerintahan Daerah</t>
        </is>
      </c>
      <c r="E49" s="70" t="inlineStr">
        <is>
          <t>https://drive.google.com/file/d/1YdxVCrqCKB2IhPmEjmI3enR0CnpLLtYZ/view?usp=sharing</t>
        </is>
      </c>
      <c r="F49" s="184" t="inlineStr">
        <is>
          <t>PENINGKATAN KUALITAS REFORMASI BIROKRASI, PENGAWASAN, DAN AKUNTABILITAS KINERJA</t>
        </is>
      </c>
      <c r="G49" s="184" t="inlineStr">
        <is>
          <t>Instansi Pemerintah Lainnya</t>
        </is>
      </c>
      <c r="H49" s="184" t="inlineStr">
        <is>
          <t>Database Objek Pemeriksaan, Data Inputan Laporan Hasil Pemeriksaan</t>
        </is>
      </c>
      <c r="I49" s="178" t="inlineStr">
        <is>
          <t>Laporan perkembangan proyek strategis secara real-time dan Dasbor monitoring</t>
        </is>
      </c>
      <c r="J49" s="184" t="inlineStr">
        <is>
          <t>Terbatas</t>
        </is>
      </c>
      <c r="K49" s="184" t="inlineStr">
        <is>
          <t>Tidak terdapat</t>
        </is>
      </c>
      <c r="L49" s="184" t="inlineStr">
        <is>
          <t>Bulanan</t>
        </is>
      </c>
      <c r="M49" s="184" t="inlineStr">
        <is>
          <t>SIMPRODAS</t>
        </is>
      </c>
      <c r="N49" s="184" t="inlineStr">
        <is>
          <t>Diskominfo</t>
        </is>
      </c>
      <c r="O49" s="184" t="inlineStr">
        <is>
          <t>Kab. Bandung</t>
        </is>
      </c>
      <c r="P49" s="184" t="inlineStr">
        <is>
          <t>Website dan Mobile</t>
        </is>
      </c>
      <c r="Q49" s="70" t="inlineStr">
        <is>
          <t>https://simprodas.bandungkab.go.id/</t>
        </is>
      </c>
      <c r="R49" s="184" t="inlineStr">
        <is>
          <t>Secara Online</t>
        </is>
      </c>
      <c r="S49" s="184" t="inlineStr">
        <is>
          <t>Transaksi</t>
        </is>
      </c>
      <c r="T49" s="98" t="n">
        <v>2024</v>
      </c>
      <c r="U49" s="184" t="inlineStr">
        <is>
          <t>Aktif</t>
        </is>
      </c>
      <c r="V49" s="184" t="inlineStr">
        <is>
          <t>Tidak</t>
        </is>
      </c>
      <c r="W49" s="184" t="inlineStr">
        <is>
          <t>tidak terintegrasi</t>
        </is>
      </c>
      <c r="X49" s="184" t="inlineStr">
        <is>
          <t>Tidak Terintegrasi</t>
        </is>
      </c>
      <c r="Y49" s="184" t="inlineStr">
        <is>
          <t>Tidak Terintegrasi</t>
        </is>
      </c>
      <c r="Z49" s="184" t="inlineStr">
        <is>
          <t>Inspektur Pembantu IV</t>
        </is>
      </c>
      <c r="AA49" s="184" t="inlineStr">
        <is>
          <t>Inspektorat</t>
        </is>
      </c>
      <c r="AB49" s="178" t="inlineStr">
        <is>
          <t>Naufal Rifki Pratama</t>
        </is>
      </c>
      <c r="AC49" s="98" t="n">
        <v>81776601960</v>
      </c>
      <c r="AD49" s="178" t="inlineStr">
        <is>
          <t>-</t>
        </is>
      </c>
      <c r="AE49" s="77" t="n">
        <v>37</v>
      </c>
      <c r="AF49" s="68" t="inlineStr">
        <is>
          <t>Bulanan</t>
        </is>
      </c>
      <c r="AG49" s="284" t="n"/>
      <c r="AH49" s="284" t="n"/>
      <c r="AI49" s="284" t="n"/>
      <c r="AJ49" s="284" t="n"/>
      <c r="AK49" s="284" t="n"/>
      <c r="AL49" s="284" t="n"/>
      <c r="AM49" s="284" t="n"/>
      <c r="AN49" s="284" t="n"/>
      <c r="AO49" s="284" t="n"/>
      <c r="AP49" s="284" t="n"/>
      <c r="AQ49" s="284" t="n"/>
      <c r="AR49" s="284" t="n"/>
    </row>
    <row r="50" hidden="1" s="346">
      <c r="A50" s="62" t="n">
        <v>48</v>
      </c>
      <c r="B50" s="178" t="inlineStr">
        <is>
          <t>Pelayanan konsultasi pada APIP</t>
        </is>
      </c>
      <c r="C50" s="178" t="inlineStr">
        <is>
          <t>Untuk membuat dan mengatur janji temu (sebagai layanan konsultasi)</t>
        </is>
      </c>
      <c r="D50" s="288" t="n"/>
      <c r="E50" s="70" t="inlineStr">
        <is>
          <t>https://drive.google.com/file/d/1hfZl5u33jLRHizH-t5QZsOhlwNoiUSfh/view?usp=sharing</t>
        </is>
      </c>
      <c r="F50" s="184" t="inlineStr">
        <is>
          <t>PENINGKATAN KUALITAS PELAYANAN PUBLIK</t>
        </is>
      </c>
      <c r="G50" s="184" t="inlineStr">
        <is>
          <t>Instansi Pemerintah Lainnya</t>
        </is>
      </c>
      <c r="H50" s="184" t="inlineStr">
        <is>
          <t>Data Konsultasi Permasalahan</t>
        </is>
      </c>
      <c r="I50" s="184" t="inlineStr">
        <is>
          <t>Data Solusi Permasalahan</t>
        </is>
      </c>
      <c r="J50" s="184" t="inlineStr">
        <is>
          <t>Tertutup</t>
        </is>
      </c>
      <c r="K50" s="184" t="inlineStr">
        <is>
          <t>Tidak terdapat</t>
        </is>
      </c>
      <c r="L50" s="184" t="inlineStr">
        <is>
          <t>Mingguan</t>
        </is>
      </c>
      <c r="M50" s="287" t="inlineStr">
        <is>
          <t>SANTAI</t>
        </is>
      </c>
      <c r="N50" s="184" t="inlineStr">
        <is>
          <t>OPD</t>
        </is>
      </c>
      <c r="O50" s="184" t="inlineStr">
        <is>
          <t>Pihak Ke 3 (Lisensi)</t>
        </is>
      </c>
      <c r="P50" s="184" t="inlineStr">
        <is>
          <t>Website</t>
        </is>
      </c>
      <c r="Q50" s="70" t="inlineStr">
        <is>
          <t>https://calendly.com/inspekkabbdg/santai-saranatanyaapipinteraktif</t>
        </is>
      </c>
      <c r="R50" s="184" t="inlineStr">
        <is>
          <t>Secara Online</t>
        </is>
      </c>
      <c r="S50" s="184" t="inlineStr">
        <is>
          <t>Transaksi</t>
        </is>
      </c>
      <c r="T50" s="98" t="n">
        <v>2025</v>
      </c>
      <c r="U50" s="184" t="inlineStr">
        <is>
          <t>Aktif</t>
        </is>
      </c>
      <c r="V50" s="184" t="inlineStr">
        <is>
          <t>Tidak</t>
        </is>
      </c>
      <c r="W50" s="184" t="inlineStr">
        <is>
          <t>tidak terintegrasi</t>
        </is>
      </c>
      <c r="X50" s="184" t="inlineStr">
        <is>
          <t>Tidak Terintegrasi</t>
        </is>
      </c>
      <c r="Y50" s="184" t="inlineStr">
        <is>
          <t>Tidak Terintegrasi</t>
        </is>
      </c>
      <c r="Z50" s="184" t="inlineStr">
        <is>
          <t>Sekertariat Inspektorat Daerah</t>
        </is>
      </c>
      <c r="AA50" s="184" t="inlineStr">
        <is>
          <t>Inspektorat</t>
        </is>
      </c>
      <c r="AB50" s="178" t="inlineStr">
        <is>
          <t>Yuda Maulid</t>
        </is>
      </c>
      <c r="AC50" s="98" t="n">
        <v>82117986701</v>
      </c>
      <c r="AD50" s="178" t="inlineStr">
        <is>
          <t>-</t>
        </is>
      </c>
      <c r="AE50" s="67" t="inlineStr">
        <is>
          <t>mungkin berkaitan dengan 27</t>
        </is>
      </c>
      <c r="AF50" s="68" t="inlineStr">
        <is>
          <t>Harian</t>
        </is>
      </c>
      <c r="AG50" s="284" t="n"/>
      <c r="AH50" s="284" t="n"/>
      <c r="AI50" s="284" t="n"/>
      <c r="AJ50" s="284" t="n"/>
      <c r="AK50" s="284" t="n"/>
      <c r="AL50" s="284" t="n"/>
      <c r="AM50" s="284" t="n"/>
      <c r="AN50" s="284" t="n"/>
      <c r="AO50" s="284" t="n"/>
      <c r="AP50" s="284" t="n"/>
      <c r="AQ50" s="284" t="n"/>
      <c r="AR50" s="284" t="n"/>
    </row>
    <row r="51" hidden="1" s="346">
      <c r="A51" s="62" t="n">
        <v>49</v>
      </c>
      <c r="B51" s="178" t="inlineStr">
        <is>
          <t>ZI</t>
        </is>
      </c>
      <c r="C51" s="178" t="inlineStr">
        <is>
          <t>Meningkatkan kualitas substansi dan pemahaman SDM TPI (Tim Penilai Internal) dalam pembangunan Zona Integritas (ZI) agar hasil evaluasi internal lebih baik dan sesuai kriteria WBK/WBBM. Melaksanakan monitoring, evaluasi, serta penyusunan dokumen</t>
        </is>
      </c>
      <c r="D51" s="178" t="inlineStr">
        <is>
          <t>PermenPANRB 90/2021 tentang Pembangunan dan Evaluasi ZI Menuju WBK/WBBM.</t>
        </is>
      </c>
      <c r="E51" s="288" t="n"/>
      <c r="F51" s="184" t="inlineStr">
        <is>
          <t>PENINGKATAN KUALITAS REFORMASI BIROKRASI, PENGAWASAN, DAN AKUNTABILITAS KINERJA</t>
        </is>
      </c>
      <c r="G51" s="184" t="inlineStr">
        <is>
          <t>Instansi Pemerintah Lainnya</t>
        </is>
      </c>
      <c r="H51" s="184" t="inlineStr">
        <is>
          <t>LHE (Laporan Hasil Evaluasi)</t>
        </is>
      </c>
      <c r="I51" s="178" t="inlineStr">
        <is>
          <t>Nilai Zona Integritas 2025</t>
        </is>
      </c>
      <c r="J51" s="184" t="inlineStr">
        <is>
          <t>Tertutup</t>
        </is>
      </c>
      <c r="K51" s="184" t="inlineStr">
        <is>
          <t>Terdapat</t>
        </is>
      </c>
      <c r="L51" s="184" t="inlineStr">
        <is>
          <t>Lainnya</t>
        </is>
      </c>
      <c r="M51" s="184" t="inlineStr">
        <is>
          <t>BERSIH</t>
        </is>
      </c>
      <c r="N51" s="184" t="inlineStr">
        <is>
          <t>Pihak Ke 3</t>
        </is>
      </c>
      <c r="O51" s="184" t="inlineStr">
        <is>
          <t>Kab. Bandung</t>
        </is>
      </c>
      <c r="P51" s="184" t="inlineStr">
        <is>
          <t>Website</t>
        </is>
      </c>
      <c r="Q51" s="178" t="inlineStr">
        <is>
          <t>Belum Launching</t>
        </is>
      </c>
      <c r="R51" s="184" t="inlineStr">
        <is>
          <t>Secara Online</t>
        </is>
      </c>
      <c r="S51" s="184" t="inlineStr">
        <is>
          <t>Transaksi</t>
        </is>
      </c>
      <c r="T51" s="178" t="inlineStr">
        <is>
          <t>Belum Launching</t>
        </is>
      </c>
      <c r="U51" s="184" t="inlineStr">
        <is>
          <t>Non Aktif</t>
        </is>
      </c>
      <c r="V51" s="184" t="inlineStr">
        <is>
          <t>Tidak</t>
        </is>
      </c>
      <c r="W51" s="184" t="inlineStr">
        <is>
          <t>tidak terintegrasi</t>
        </is>
      </c>
      <c r="X51" s="184" t="inlineStr">
        <is>
          <t>Tidak Terintegrasi</t>
        </is>
      </c>
      <c r="Y51" s="184" t="inlineStr">
        <is>
          <t>Tidak Terintegrasi</t>
        </is>
      </c>
      <c r="Z51" s="184" t="inlineStr">
        <is>
          <t>Inspektur Pembantu III</t>
        </is>
      </c>
      <c r="AA51" s="184" t="inlineStr">
        <is>
          <t>Inspektorat</t>
        </is>
      </c>
      <c r="AB51" s="178" t="inlineStr">
        <is>
          <t>Wiwin</t>
        </is>
      </c>
      <c r="AC51" s="98" t="n">
        <v>82130540674</v>
      </c>
      <c r="AD51" s="178" t="inlineStr">
        <is>
          <t>-</t>
        </is>
      </c>
      <c r="AE51" s="76" t="inlineStr">
        <is>
          <t>-</t>
        </is>
      </c>
      <c r="AF51" s="68" t="inlineStr">
        <is>
          <t>Tahunan</t>
        </is>
      </c>
      <c r="AG51" s="284" t="n"/>
      <c r="AH51" s="284" t="n"/>
      <c r="AI51" s="284" t="n"/>
      <c r="AJ51" s="284" t="n"/>
      <c r="AK51" s="284" t="n"/>
      <c r="AL51" s="284" t="n"/>
      <c r="AM51" s="284" t="n"/>
      <c r="AN51" s="284" t="n"/>
      <c r="AO51" s="284" t="n"/>
      <c r="AP51" s="284" t="n"/>
      <c r="AQ51" s="284" t="n"/>
      <c r="AR51" s="284" t="n"/>
    </row>
    <row r="52">
      <c r="A52" s="62" t="n">
        <v>50</v>
      </c>
      <c r="B52" s="178" t="inlineStr">
        <is>
          <t>Standar Pelayanan Penerbitan Suket Pengganti Ijazah/STTB</t>
        </is>
      </c>
      <c r="C52" s="178" t="inlineStr">
        <is>
          <t>Layanan masyarakat untuk mendapatkan surat keterangan pengganti ijazah/STTB apabila dokumen tersebut hilang, terdapat kesalahan penulisan, atau rusak.</t>
        </is>
      </c>
      <c r="D52" s="184" t="inlineStr">
        <is>
          <t>Undang-Undang Nomor 25 Tahun 2009 tentang Pelayanan Publik</t>
        </is>
      </c>
      <c r="E52" s="178" t="inlineStr">
        <is>
          <t>LAMPIRAN KEPUTUSAN KEPALA DINAS PENDIDIKAN : 9. Standar Pelayanan Penerbitan Suket Pengganti Ijazah/STTB</t>
        </is>
      </c>
      <c r="F52" s="184" t="inlineStr">
        <is>
          <t>PENINGKATAN KUALITAS PELAYANAN PUBLIK</t>
        </is>
      </c>
      <c r="G52" s="184" t="inlineStr">
        <is>
          <t>Masyarakat</t>
        </is>
      </c>
      <c r="H52" s="184" t="inlineStr">
        <is>
          <t>Dokumen yang diperlukan</t>
        </is>
      </c>
      <c r="I52" s="178" t="inlineStr">
        <is>
          <t>Surat Keterangan Pengganti</t>
        </is>
      </c>
      <c r="J52" s="184" t="inlineStr">
        <is>
          <t>Tertutup</t>
        </is>
      </c>
      <c r="K52" s="184" t="inlineStr">
        <is>
          <t>Terdapat</t>
        </is>
      </c>
      <c r="L52" s="184" t="inlineStr">
        <is>
          <t>Lainnya</t>
        </is>
      </c>
      <c r="M52" s="184" t="inlineStr">
        <is>
          <t>Sukizah</t>
        </is>
      </c>
      <c r="N52" s="184" t="inlineStr">
        <is>
          <t>Diskominfo</t>
        </is>
      </c>
      <c r="O52" s="184" t="inlineStr">
        <is>
          <t>Kab. Bandung</t>
        </is>
      </c>
      <c r="P52" s="184" t="inlineStr">
        <is>
          <t>Website dan Mobile</t>
        </is>
      </c>
      <c r="Q52" s="70" t="inlineStr">
        <is>
          <t>simpeldisdik.bandungkab.go.id/Sukizah</t>
        </is>
      </c>
      <c r="R52" s="184" t="inlineStr">
        <is>
          <t>Secara Online</t>
        </is>
      </c>
      <c r="S52" s="184" t="inlineStr">
        <is>
          <t>Transaksi</t>
        </is>
      </c>
      <c r="T52" s="98" t="n">
        <v>2024</v>
      </c>
      <c r="U52" s="184" t="inlineStr">
        <is>
          <t>Aktif</t>
        </is>
      </c>
      <c r="V52" s="184" t="inlineStr">
        <is>
          <t>Ya</t>
        </is>
      </c>
      <c r="W52" s="184" t="inlineStr">
        <is>
          <t>Simpel BKPSDM</t>
        </is>
      </c>
      <c r="X52" s="184" t="inlineStr">
        <is>
          <t>Database to Database</t>
        </is>
      </c>
      <c r="Y52" s="184" t="inlineStr">
        <is>
          <t>Lainnya</t>
        </is>
      </c>
      <c r="Z52" s="184" t="inlineStr">
        <is>
          <t>Sekretariat</t>
        </is>
      </c>
      <c r="AA52" s="184" t="inlineStr">
        <is>
          <t>Disdik</t>
        </is>
      </c>
      <c r="AB52" s="178" t="inlineStr">
        <is>
          <t>Faturochman Nuroni</t>
        </is>
      </c>
      <c r="AC52" s="178" t="n">
        <v>85117111582</v>
      </c>
      <c r="AD52" s="178" t="inlineStr">
        <is>
          <t>-</t>
        </is>
      </c>
      <c r="AE52" s="288" t="n"/>
      <c r="AF52" s="68" t="inlineStr">
        <is>
          <t>Insidentil</t>
        </is>
      </c>
      <c r="AG52" s="284" t="n"/>
      <c r="AH52" s="284" t="n"/>
      <c r="AI52" s="284" t="n"/>
      <c r="AJ52" s="284" t="n"/>
      <c r="AK52" s="284" t="n"/>
      <c r="AL52" s="284" t="n"/>
      <c r="AM52" s="284" t="n"/>
      <c r="AN52" s="284" t="n"/>
      <c r="AO52" s="284" t="n"/>
      <c r="AP52" s="284" t="n"/>
      <c r="AQ52" s="284" t="n"/>
      <c r="AR52" s="284" t="n"/>
    </row>
    <row r="53" hidden="1" s="346">
      <c r="A53" s="62" t="n">
        <v>51</v>
      </c>
      <c r="B53" s="178" t="inlineStr">
        <is>
          <t>Standar Pelayanan Fasilitasi Data Pokok Pendidikan (Dapodik)</t>
        </is>
      </c>
      <c r="C53" s="178" t="inlineStr">
        <is>
          <t>Layanan masyarakat terkait status verifikasi di Dapodik seperti Penugasan Pendidik dan Tenaga Kependidikan, Peserta Didik, Kondisi Bangunan, Mutasi PTK, Manajemen Dapodik Sekolah, Validasi Akun Dapodik Sekolah, Sinkronisasi Data Dapodik, dll.</t>
        </is>
      </c>
      <c r="D53" s="184" t="inlineStr">
        <is>
          <t>Undang-Undang Nomor 25 Tahun 2009 tentang Pelayanan Publik</t>
        </is>
      </c>
      <c r="E53" s="178" t="inlineStr">
        <is>
          <t>LAMPIRAN KEPUTUSAN KEPALA DINAS PENDIDIKAN : 13. Standar Pelayanan Fasilitasi Data Pokok Pendidikan (Dapodik)</t>
        </is>
      </c>
      <c r="F53" s="184" t="inlineStr">
        <is>
          <t>PENINGKATAN KUALITAS PELAYANAN PUBLIK</t>
        </is>
      </c>
      <c r="G53" s="184" t="inlineStr">
        <is>
          <t>Masyarakat</t>
        </is>
      </c>
      <c r="H53" s="184" t="inlineStr">
        <is>
          <t>Surat pengantar/tugas</t>
        </is>
      </c>
      <c r="I53" s="178" t="inlineStr">
        <is>
          <t>Sinkronisasi atau verifikasi data</t>
        </is>
      </c>
      <c r="J53" s="184" t="inlineStr">
        <is>
          <t>Tertutup</t>
        </is>
      </c>
      <c r="K53" s="184" t="inlineStr">
        <is>
          <t>Tidak terdapat</t>
        </is>
      </c>
      <c r="L53" s="184" t="inlineStr">
        <is>
          <t>Bulanan</t>
        </is>
      </c>
      <c r="M53" s="184" t="inlineStr">
        <is>
          <t>Dapodik</t>
        </is>
      </c>
      <c r="N53" s="184" t="inlineStr">
        <is>
          <t>Pusat</t>
        </is>
      </c>
      <c r="O53" s="184" t="inlineStr">
        <is>
          <t>Pusat</t>
        </is>
      </c>
      <c r="P53" s="184" t="inlineStr">
        <is>
          <t>Website</t>
        </is>
      </c>
      <c r="Q53" s="70" t="inlineStr">
        <is>
          <t>https://dapo.kemendikdasmen.go.id/</t>
        </is>
      </c>
      <c r="R53" s="184" t="inlineStr">
        <is>
          <t>Secara Online</t>
        </is>
      </c>
      <c r="S53" s="184" t="inlineStr">
        <is>
          <t>Informasi</t>
        </is>
      </c>
      <c r="T53" s="178" t="inlineStr">
        <is>
          <t>[Belum tahu]</t>
        </is>
      </c>
      <c r="U53" s="184" t="inlineStr">
        <is>
          <t>Aktif</t>
        </is>
      </c>
      <c r="V53" s="288" t="n"/>
      <c r="W53" s="184" t="inlineStr">
        <is>
          <t>-</t>
        </is>
      </c>
      <c r="X53" s="288" t="n"/>
      <c r="Y53" s="184" t="inlineStr">
        <is>
          <t>Bulanan</t>
        </is>
      </c>
      <c r="Z53" s="184" t="inlineStr">
        <is>
          <t>SD, SMP</t>
        </is>
      </c>
      <c r="AA53" s="184" t="inlineStr">
        <is>
          <t>Disdik</t>
        </is>
      </c>
      <c r="AB53" s="178" t="inlineStr">
        <is>
          <t>SD : Erik Sugiarto
 SMP : Lina Sarlina</t>
        </is>
      </c>
      <c r="AC53" s="178" t="n">
        <v>85117111582</v>
      </c>
      <c r="AD53" s="178" t="inlineStr">
        <is>
          <t>-</t>
        </is>
      </c>
      <c r="AE53" s="288" t="n"/>
      <c r="AF53" s="68" t="inlineStr">
        <is>
          <t>Insidentil</t>
        </is>
      </c>
      <c r="AG53" s="284" t="n"/>
      <c r="AH53" s="284" t="n"/>
      <c r="AI53" s="284" t="n"/>
      <c r="AJ53" s="284" t="n"/>
      <c r="AK53" s="284" t="n"/>
      <c r="AL53" s="284" t="n"/>
      <c r="AM53" s="284" t="n"/>
      <c r="AN53" s="284" t="n"/>
      <c r="AO53" s="284" t="n"/>
      <c r="AP53" s="284" t="n"/>
      <c r="AQ53" s="284" t="n"/>
      <c r="AR53" s="284" t="n"/>
    </row>
    <row r="54">
      <c r="A54" s="62" t="n">
        <v>52</v>
      </c>
      <c r="B54" s="178" t="inlineStr">
        <is>
          <t>Penyediaan Website Untuk Sekolah-sekolah di kabupaten Bandung</t>
        </is>
      </c>
      <c r="C54" s="178" t="inlineStr">
        <is>
          <t>Layanan bagi lembaga/yayasan PAUD, SD, SMP dan PNF yang ingin melakukan pembuatan website sebagai media Informasi dan Branding</t>
        </is>
      </c>
      <c r="D54" s="184" t="inlineStr">
        <is>
          <t>Undang-Undang Nomor 25 Tahun 2009 tentang Pelayanan Publik</t>
        </is>
      </c>
      <c r="E54" s="288" t="n"/>
      <c r="F54" s="184" t="inlineStr">
        <is>
          <t>PENINGKATAN KUALITAS PELAYANAN PUBLIK</t>
        </is>
      </c>
      <c r="G54" s="184" t="inlineStr">
        <is>
          <t>Instansi Pemerintah Lainnya</t>
        </is>
      </c>
      <c r="H54" s="184" t="inlineStr">
        <is>
          <t>Data Sekolah</t>
        </is>
      </c>
      <c r="I54" s="178" t="inlineStr">
        <is>
          <t>Informasi Tampilan Data Sekolah</t>
        </is>
      </c>
      <c r="J54" s="184" t="inlineStr">
        <is>
          <t>Tertutup</t>
        </is>
      </c>
      <c r="K54" s="184" t="inlineStr">
        <is>
          <t>Tidak terdapat</t>
        </is>
      </c>
      <c r="L54" s="184" t="inlineStr">
        <is>
          <t>Lainnya</t>
        </is>
      </c>
      <c r="M54" s="184" t="inlineStr">
        <is>
          <t>Multisite Edu</t>
        </is>
      </c>
      <c r="N54" s="184" t="inlineStr">
        <is>
          <t>Diskominfo</t>
        </is>
      </c>
      <c r="O54" s="184" t="inlineStr">
        <is>
          <t>Kab. Bandung</t>
        </is>
      </c>
      <c r="P54" s="184" t="inlineStr">
        <is>
          <t>Desktop</t>
        </is>
      </c>
      <c r="Q54" s="70" t="inlineStr">
        <is>
          <t>simpeldisdik.bandungkab.go.id/MultisiteEdu</t>
        </is>
      </c>
      <c r="R54" s="184" t="inlineStr">
        <is>
          <t>Secara Online</t>
        </is>
      </c>
      <c r="S54" s="184" t="inlineStr">
        <is>
          <t>Informasi</t>
        </is>
      </c>
      <c r="T54" s="184" t="n">
        <v>2024</v>
      </c>
      <c r="U54" s="184" t="inlineStr">
        <is>
          <t>Aktif</t>
        </is>
      </c>
      <c r="V54" s="184" t="inlineStr">
        <is>
          <t>Tidak</t>
        </is>
      </c>
      <c r="W54" s="184" t="inlineStr">
        <is>
          <t>-</t>
        </is>
      </c>
      <c r="X54" s="184" t="inlineStr">
        <is>
          <t>Tidak Terintegrasi</t>
        </is>
      </c>
      <c r="Y54" s="184" t="inlineStr">
        <is>
          <t>Tidak Terintegrasi</t>
        </is>
      </c>
      <c r="Z54" s="184" t="inlineStr">
        <is>
          <t>Sekretariat</t>
        </is>
      </c>
      <c r="AA54" s="184" t="inlineStr">
        <is>
          <t>Disdik</t>
        </is>
      </c>
      <c r="AB54" s="178" t="inlineStr">
        <is>
          <t>Raza Candra Anwar S.T</t>
        </is>
      </c>
      <c r="AC54" s="178" t="n">
        <v>85768637781</v>
      </c>
      <c r="AD54" s="178" t="inlineStr">
        <is>
          <t>razacandraanwar@gmail.com</t>
        </is>
      </c>
      <c r="AE54" s="288" t="n"/>
      <c r="AF54" s="68" t="inlineStr">
        <is>
          <t>Insidentil</t>
        </is>
      </c>
      <c r="AG54" s="284" t="n"/>
      <c r="AH54" s="284" t="n"/>
      <c r="AI54" s="284" t="n"/>
      <c r="AJ54" s="284" t="n"/>
      <c r="AK54" s="284" t="n"/>
      <c r="AL54" s="284" t="n"/>
      <c r="AM54" s="284" t="n"/>
      <c r="AN54" s="284" t="n"/>
      <c r="AO54" s="284" t="n"/>
      <c r="AP54" s="284" t="n"/>
      <c r="AQ54" s="284" t="n"/>
      <c r="AR54" s="284" t="n"/>
    </row>
    <row r="55">
      <c r="A55" s="62" t="n">
        <v>53</v>
      </c>
      <c r="B55" s="178" t="inlineStr">
        <is>
          <t>Layanan SPMBE</t>
        </is>
      </c>
      <c r="C55" s="178" t="inlineStr">
        <is>
          <t>Sistem Penerimaan Murid Baru. Layanan terhadap masyarakat dalam rangka penerima siswa baru untuk jenjang pendidikan dasar dan menengah.</t>
        </is>
      </c>
      <c r="D55" s="178" t="inlineStr">
        <is>
          <t>Peraturan Menteri Pendidikan Dasar dan Menengah Nomor 3 Tahun 2025 tentang Sistem Penerimaan Murid Baru (Permendikdasmen No. 3 Tahun 2025)</t>
        </is>
      </c>
      <c r="E55" s="288" t="n"/>
      <c r="F55" s="184" t="inlineStr">
        <is>
          <t>PENDIDIKAN FORMAL PADA PENDIDIKAN ANAK USIA DINI, PENDIDIKAN DASAR, DAN PENDIDIKAN MENENGAH</t>
        </is>
      </c>
      <c r="G55" s="184" t="inlineStr">
        <is>
          <t>Masyarakat</t>
        </is>
      </c>
      <c r="H55" s="184" t="inlineStr">
        <is>
          <t>Data calon siswa</t>
        </is>
      </c>
      <c r="I55" s="178" t="inlineStr">
        <is>
          <t>Data Siswa baru</t>
        </is>
      </c>
      <c r="J55" s="184" t="inlineStr">
        <is>
          <t>Tertutup</t>
        </is>
      </c>
      <c r="K55" s="184" t="inlineStr">
        <is>
          <t>Terdapat</t>
        </is>
      </c>
      <c r="L55" s="184" t="inlineStr">
        <is>
          <t>Lainnya</t>
        </is>
      </c>
      <c r="M55" s="184" t="inlineStr">
        <is>
          <t>SPMBE</t>
        </is>
      </c>
      <c r="N55" s="184" t="inlineStr">
        <is>
          <t>Diskominfo</t>
        </is>
      </c>
      <c r="O55" s="184" t="inlineStr">
        <is>
          <t>Kab. Bandung</t>
        </is>
      </c>
      <c r="P55" s="184" t="inlineStr">
        <is>
          <t>Website</t>
        </is>
      </c>
      <c r="Q55" s="70" t="inlineStr">
        <is>
          <t>https://spmb.bandungkab.go.id/</t>
        </is>
      </c>
      <c r="R55" s="184" t="inlineStr">
        <is>
          <t>Secara Online</t>
        </is>
      </c>
      <c r="S55" s="184" t="inlineStr">
        <is>
          <t>Informasi</t>
        </is>
      </c>
      <c r="T55" s="98" t="n">
        <v>2025</v>
      </c>
      <c r="U55" s="184" t="inlineStr">
        <is>
          <t>Aktif</t>
        </is>
      </c>
      <c r="V55" s="184" t="inlineStr">
        <is>
          <t>Tidak</t>
        </is>
      </c>
      <c r="W55" s="184" t="inlineStr">
        <is>
          <t>-</t>
        </is>
      </c>
      <c r="X55" s="288" t="n"/>
      <c r="Y55" s="288" t="n"/>
      <c r="Z55" s="184" t="inlineStr">
        <is>
          <t>SD, SMP</t>
        </is>
      </c>
      <c r="AA55" s="184" t="inlineStr">
        <is>
          <t>Disdik</t>
        </is>
      </c>
      <c r="AB55" s="178" t="inlineStr">
        <is>
          <t>SD : 
 SMP :</t>
        </is>
      </c>
      <c r="AC55" s="178" t="n">
        <v>87869520475</v>
      </c>
      <c r="AD55" s="184" t="inlineStr">
        <is>
          <t>-</t>
        </is>
      </c>
      <c r="AE55" s="288" t="n"/>
      <c r="AF55" s="68" t="inlineStr">
        <is>
          <t>Insidentil</t>
        </is>
      </c>
      <c r="AG55" s="284" t="n"/>
      <c r="AH55" s="284" t="n"/>
      <c r="AI55" s="284" t="n"/>
      <c r="AJ55" s="284" t="n"/>
      <c r="AK55" s="284" t="n"/>
      <c r="AL55" s="284" t="n"/>
      <c r="AM55" s="284" t="n"/>
      <c r="AN55" s="284" t="n"/>
      <c r="AO55" s="284" t="n"/>
      <c r="AP55" s="284" t="n"/>
      <c r="AQ55" s="284" t="n"/>
      <c r="AR55" s="284" t="n"/>
    </row>
    <row r="56" hidden="1" s="346">
      <c r="A56" s="62" t="n">
        <v>54</v>
      </c>
      <c r="B56" s="178" t="inlineStr">
        <is>
          <t>Layanan PSC 119 (Public Safety Center)</t>
        </is>
      </c>
      <c r="C56" s="178" t="inlineStr">
        <is>
          <t>Untuk menangani kegawatdaruratan dan rujukan medis</t>
        </is>
      </c>
      <c r="D56" s="288" t="n"/>
      <c r="E56" s="288" t="n"/>
      <c r="F56" s="184" t="inlineStr">
        <is>
          <t>PENGELOLAAN PELAYANAN KESEHATAN</t>
        </is>
      </c>
      <c r="G56" s="184" t="inlineStr">
        <is>
          <t>Masyarakat</t>
        </is>
      </c>
      <c r="H56" s="184" t="inlineStr">
        <is>
          <t>Rujukan Kasus Gawat Darurat</t>
        </is>
      </c>
      <c r="I56" s="178" t="inlineStr">
        <is>
          <t>Data Kasus Gawat Darurat Pra Hospital</t>
        </is>
      </c>
      <c r="J56" s="184" t="inlineStr">
        <is>
          <t>Tertutup</t>
        </is>
      </c>
      <c r="K56" s="184" t="inlineStr">
        <is>
          <t>Terdapat</t>
        </is>
      </c>
      <c r="L56" s="184" t="inlineStr">
        <is>
          <t>Harian</t>
        </is>
      </c>
      <c r="M56" s="184" t="inlineStr">
        <is>
          <t>PSC Kemenkes</t>
        </is>
      </c>
      <c r="N56" s="184" t="inlineStr">
        <is>
          <t>Pusat</t>
        </is>
      </c>
      <c r="O56" s="184" t="inlineStr">
        <is>
          <t>Pusat</t>
        </is>
      </c>
      <c r="P56" s="184" t="inlineStr">
        <is>
          <t>Website</t>
        </is>
      </c>
      <c r="Q56" s="122" t="inlineStr">
        <is>
          <t>psc.kemkes.go.id</t>
        </is>
      </c>
      <c r="R56" s="184" t="inlineStr">
        <is>
          <t>Secara Online</t>
        </is>
      </c>
      <c r="S56" s="184" t="inlineStr">
        <is>
          <t>Informasi</t>
        </is>
      </c>
      <c r="T56" s="98" t="n">
        <v>2026</v>
      </c>
      <c r="U56" s="184" t="inlineStr">
        <is>
          <t>Aktif</t>
        </is>
      </c>
      <c r="V56" s="184" t="inlineStr">
        <is>
          <t>Tidak</t>
        </is>
      </c>
      <c r="W56" s="288" t="n"/>
      <c r="X56" s="184" t="inlineStr">
        <is>
          <t>Manual</t>
        </is>
      </c>
      <c r="Y56" s="184" t="inlineStr">
        <is>
          <t>Harian</t>
        </is>
      </c>
      <c r="Z56" s="184" t="inlineStr">
        <is>
          <t>Bidang Pelayanan Kesehatan</t>
        </is>
      </c>
      <c r="AA56" s="184" t="inlineStr">
        <is>
          <t>Dinkes</t>
        </is>
      </c>
      <c r="AB56" s="178" t="inlineStr">
        <is>
          <t>Ekawati Triyani</t>
        </is>
      </c>
      <c r="AC56" s="178" t="n">
        <v>811976661</v>
      </c>
      <c r="AD56" s="178" t="inlineStr">
        <is>
          <t>psc119bandungkab@gmail.com</t>
        </is>
      </c>
      <c r="AE56" s="288" t="n"/>
      <c r="AF56" s="288" t="n"/>
      <c r="AG56" s="284" t="n"/>
      <c r="AH56" s="284" t="n"/>
      <c r="AI56" s="284" t="n"/>
      <c r="AJ56" s="284" t="n"/>
      <c r="AK56" s="284" t="n"/>
      <c r="AL56" s="284" t="n"/>
      <c r="AM56" s="284" t="n"/>
      <c r="AN56" s="284" t="n"/>
      <c r="AO56" s="284" t="n"/>
      <c r="AP56" s="284" t="n"/>
      <c r="AQ56" s="284" t="n"/>
      <c r="AR56" s="284" t="n"/>
    </row>
    <row r="57" hidden="1" s="346">
      <c r="A57" s="62" t="n">
        <v>55</v>
      </c>
      <c r="B57" s="178" t="inlineStr">
        <is>
          <t>Layanan Pendaftaran Pemeriksaan Laboratorium Kesehatan</t>
        </is>
      </c>
      <c r="C57" s="178" t="inlineStr">
        <is>
          <t>Untuk mengambil sampel dan pemeriksaan laboratorium klinis</t>
        </is>
      </c>
      <c r="D57" s="288" t="n"/>
      <c r="E57" s="288" t="n"/>
      <c r="F57" s="288" t="n"/>
      <c r="G57" s="288" t="n"/>
      <c r="H57" s="288" t="n"/>
      <c r="I57" s="178" t="inlineStr">
        <is>
          <t>Data Riwayat Pasien</t>
        </is>
      </c>
      <c r="J57" s="288" t="n"/>
      <c r="K57" s="288" t="n"/>
      <c r="L57" s="288" t="n"/>
      <c r="M57" s="184" t="inlineStr">
        <is>
          <t>SILABKES</t>
        </is>
      </c>
      <c r="N57" s="184" t="inlineStr">
        <is>
          <t>Pihak Ke 3</t>
        </is>
      </c>
      <c r="O57" s="288" t="n"/>
      <c r="P57" s="184" t="inlineStr">
        <is>
          <t>Desktop</t>
        </is>
      </c>
      <c r="Q57" s="288" t="n"/>
      <c r="R57" s="288" t="n"/>
      <c r="S57" s="288" t="n"/>
      <c r="T57" s="288" t="n"/>
      <c r="U57" s="288" t="n"/>
      <c r="V57" s="288" t="n"/>
      <c r="W57" s="288" t="n"/>
      <c r="X57" s="288" t="n"/>
      <c r="Y57" s="288" t="n"/>
      <c r="Z57" s="288" t="n"/>
      <c r="AA57" s="288" t="n"/>
      <c r="AB57" s="288" t="n"/>
      <c r="AC57" s="288" t="n"/>
      <c r="AD57" s="288" t="n"/>
      <c r="AE57" s="288" t="n"/>
      <c r="AF57" s="288" t="n"/>
      <c r="AG57" s="284" t="n"/>
      <c r="AH57" s="284" t="n"/>
      <c r="AI57" s="284" t="n"/>
      <c r="AJ57" s="284" t="n"/>
      <c r="AK57" s="284" t="n"/>
      <c r="AL57" s="284" t="n"/>
      <c r="AM57" s="284" t="n"/>
      <c r="AN57" s="284" t="n"/>
      <c r="AO57" s="284" t="n"/>
      <c r="AP57" s="284" t="n"/>
      <c r="AQ57" s="284" t="n"/>
      <c r="AR57" s="284" t="n"/>
    </row>
    <row r="58" hidden="1" s="346">
      <c r="A58" s="62" t="n">
        <v>56</v>
      </c>
      <c r="B58" s="178" t="inlineStr">
        <is>
          <t>Layanan Surveilans Puskesmas dan Dinkes</t>
        </is>
      </c>
      <c r="C58" s="178" t="inlineStr">
        <is>
          <t>Untuk mendeteksi secara dini kejadian luar biasa dan wabah di suatu wilayah</t>
        </is>
      </c>
      <c r="D58" s="288" t="n"/>
      <c r="E58" s="288" t="n"/>
      <c r="F58" s="184" t="inlineStr">
        <is>
          <t>PENCEGAHAN DAN PENGENDALIAN PENYAKIT</t>
        </is>
      </c>
      <c r="G58" s="184" t="inlineStr">
        <is>
          <t>Masyarakat</t>
        </is>
      </c>
      <c r="H58" s="288" t="n"/>
      <c r="I58" s="178" t="inlineStr">
        <is>
          <t>Data Peringatan Potensi KLB dan Wabah</t>
        </is>
      </c>
      <c r="J58" s="184" t="inlineStr">
        <is>
          <t>Tertutup</t>
        </is>
      </c>
      <c r="K58" s="184" t="inlineStr">
        <is>
          <t>Terdapat</t>
        </is>
      </c>
      <c r="L58" s="184" t="inlineStr">
        <is>
          <t>Mingguan</t>
        </is>
      </c>
      <c r="M58" s="184" t="inlineStr">
        <is>
          <t>APLIKASI Sistem Kewaspadaan Dini dan Respon</t>
        </is>
      </c>
      <c r="N58" s="184" t="inlineStr">
        <is>
          <t>Pusat</t>
        </is>
      </c>
      <c r="O58" s="184" t="inlineStr">
        <is>
          <t>Pusat</t>
        </is>
      </c>
      <c r="P58" s="184" t="inlineStr">
        <is>
          <t>Website</t>
        </is>
      </c>
      <c r="Q58" s="70" t="inlineStr">
        <is>
          <t>skdr.kemkes.go.id</t>
        </is>
      </c>
      <c r="R58" s="184" t="inlineStr">
        <is>
          <t>Secara Online</t>
        </is>
      </c>
      <c r="S58" s="184" t="inlineStr">
        <is>
          <t>Informasi</t>
        </is>
      </c>
      <c r="T58" s="98" t="n">
        <v>2015</v>
      </c>
      <c r="U58" s="184" t="inlineStr">
        <is>
          <t>Aktif</t>
        </is>
      </c>
      <c r="V58" s="184" t="inlineStr">
        <is>
          <t>Ya</t>
        </is>
      </c>
      <c r="W58" s="288" t="n"/>
      <c r="X58" s="184" t="inlineStr">
        <is>
          <t>API</t>
        </is>
      </c>
      <c r="Y58" s="184" t="inlineStr">
        <is>
          <t>Realtime</t>
        </is>
      </c>
      <c r="Z58" s="184" t="inlineStr">
        <is>
          <t>Bidang Pengendalian dan Pencegahan Penyakit</t>
        </is>
      </c>
      <c r="AA58" s="184" t="inlineStr">
        <is>
          <t>Dinkes</t>
        </is>
      </c>
      <c r="AB58" s="178" t="inlineStr">
        <is>
          <t>Stella Wirasto Dwiputra</t>
        </is>
      </c>
      <c r="AC58" s="178" t="n">
        <v>87822419136</v>
      </c>
      <c r="AD58" s="178" t="inlineStr">
        <is>
          <t>survimkabbandung@gmail.com</t>
        </is>
      </c>
      <c r="AE58" s="288" t="n"/>
      <c r="AF58" s="288" t="n"/>
      <c r="AG58" s="284" t="n"/>
      <c r="AH58" s="284" t="n"/>
      <c r="AI58" s="284" t="n"/>
      <c r="AJ58" s="284" t="n"/>
      <c r="AK58" s="284" t="n"/>
      <c r="AL58" s="284" t="n"/>
      <c r="AM58" s="284" t="n"/>
      <c r="AN58" s="284" t="n"/>
      <c r="AO58" s="284" t="n"/>
      <c r="AP58" s="284" t="n"/>
      <c r="AQ58" s="284" t="n"/>
      <c r="AR58" s="284" t="n"/>
    </row>
    <row r="59" hidden="1" s="346">
      <c r="A59" s="62" t="n">
        <v>57</v>
      </c>
      <c r="B59" s="178" t="inlineStr">
        <is>
          <t>Layanan Pelaporan Skrining Faktor Resiko Penyakit Tidak Menular</t>
        </is>
      </c>
      <c r="C59" s="178" t="inlineStr">
        <is>
          <t>Untuk melaporkan kegiatan skrining faktor resiko</t>
        </is>
      </c>
      <c r="D59" s="288" t="n"/>
      <c r="E59" s="288" t="n"/>
      <c r="F59" s="288" t="n"/>
      <c r="G59" s="288" t="n"/>
      <c r="H59" s="288" t="n"/>
      <c r="I59" s="178" t="inlineStr">
        <is>
          <t>Data Pelaporan Kegiatan PTM</t>
        </is>
      </c>
      <c r="J59" s="288" t="n"/>
      <c r="K59" s="288" t="n"/>
      <c r="L59" s="288" t="n"/>
      <c r="M59" s="184" t="inlineStr">
        <is>
          <t>SIPTM</t>
        </is>
      </c>
      <c r="N59" s="184" t="inlineStr">
        <is>
          <t>Pusat</t>
        </is>
      </c>
      <c r="O59" s="184" t="inlineStr">
        <is>
          <t>Pusat</t>
        </is>
      </c>
      <c r="P59" s="184" t="inlineStr">
        <is>
          <t>Website</t>
        </is>
      </c>
      <c r="Q59" s="70" t="inlineStr">
        <is>
          <t>https://surveilans-pptm.kemkes.go.id/</t>
        </is>
      </c>
      <c r="R59" s="288" t="n"/>
      <c r="S59" s="288" t="n"/>
      <c r="T59" s="288" t="n"/>
      <c r="U59" s="184" t="inlineStr">
        <is>
          <t>Non Aktif</t>
        </is>
      </c>
      <c r="V59" s="288" t="n"/>
      <c r="W59" s="288" t="n"/>
      <c r="X59" s="288" t="n"/>
      <c r="Y59" s="288" t="n"/>
      <c r="Z59" s="288" t="n"/>
      <c r="AA59" s="288" t="n"/>
      <c r="AB59" s="288" t="n"/>
      <c r="AC59" s="288" t="n"/>
      <c r="AD59" s="288" t="n"/>
      <c r="AE59" s="288" t="n"/>
      <c r="AF59" s="288" t="n"/>
      <c r="AG59" s="284" t="n"/>
      <c r="AH59" s="284" t="n"/>
      <c r="AI59" s="284" t="n"/>
      <c r="AJ59" s="284" t="n"/>
      <c r="AK59" s="284" t="n"/>
      <c r="AL59" s="284" t="n"/>
      <c r="AM59" s="284" t="n"/>
      <c r="AN59" s="284" t="n"/>
      <c r="AO59" s="284" t="n"/>
      <c r="AP59" s="284" t="n"/>
      <c r="AQ59" s="284" t="n"/>
      <c r="AR59" s="284" t="n"/>
    </row>
    <row r="60" hidden="1" s="346">
      <c r="A60" s="62" t="n">
        <v>58</v>
      </c>
      <c r="B60" s="178" t="inlineStr">
        <is>
          <t>Layanan Program Imunisasi</t>
        </is>
      </c>
      <c r="C60" s="178" t="inlineStr">
        <is>
          <t>Untuk memberikan pelayanan imunisasi pada bayi, balita dan wanita usia subur</t>
        </is>
      </c>
      <c r="D60" s="178" t="inlineStr">
        <is>
          <t>Surat Edaran Kementerian Kesehatan nomor : HK.02.02/C/5961/2022 tentang Penggunaan Aplikasi Sehat Indonesiaku (ASIK) untuk Imunisasi rutin</t>
        </is>
      </c>
      <c r="E60" s="288" t="n"/>
      <c r="F60" s="184" t="inlineStr">
        <is>
          <t>PENCEGAHAN DAN PENGENDALIAN PENYAKIT</t>
        </is>
      </c>
      <c r="G60" s="184" t="inlineStr">
        <is>
          <t>Masyarakat</t>
        </is>
      </c>
      <c r="H60" s="288" t="n"/>
      <c r="I60" s="178" t="inlineStr">
        <is>
          <t>Data Imunisasi</t>
        </is>
      </c>
      <c r="J60" s="184" t="inlineStr">
        <is>
          <t>Tertutup</t>
        </is>
      </c>
      <c r="K60" s="184" t="inlineStr">
        <is>
          <t>Terdapat</t>
        </is>
      </c>
      <c r="L60" s="184" t="inlineStr">
        <is>
          <t>Harian</t>
        </is>
      </c>
      <c r="M60" s="184" t="inlineStr">
        <is>
          <t>SEHAT INDONESIAKU</t>
        </is>
      </c>
      <c r="N60" s="184" t="inlineStr">
        <is>
          <t>Pusat</t>
        </is>
      </c>
      <c r="O60" s="184" t="inlineStr">
        <is>
          <t>Pusat</t>
        </is>
      </c>
      <c r="P60" s="184" t="inlineStr">
        <is>
          <t>Website</t>
        </is>
      </c>
      <c r="Q60" s="122" t="inlineStr">
        <is>
          <t>https://sehatindonesiaku.kemkes.go.id</t>
        </is>
      </c>
      <c r="R60" s="184" t="inlineStr">
        <is>
          <t>Secara Online</t>
        </is>
      </c>
      <c r="S60" s="184" t="inlineStr">
        <is>
          <t>Informasi</t>
        </is>
      </c>
      <c r="T60" s="98" t="n">
        <v>2023</v>
      </c>
      <c r="U60" s="184" t="inlineStr">
        <is>
          <t>Aktif</t>
        </is>
      </c>
      <c r="V60" s="184" t="inlineStr">
        <is>
          <t>Ya</t>
        </is>
      </c>
      <c r="W60" s="288" t="n"/>
      <c r="X60" s="184" t="inlineStr">
        <is>
          <t>API</t>
        </is>
      </c>
      <c r="Y60" s="184" t="inlineStr">
        <is>
          <t>Harian</t>
        </is>
      </c>
      <c r="Z60" s="184" t="inlineStr">
        <is>
          <t>Bidang Pengendalian dan Pencegahan Penyakit</t>
        </is>
      </c>
      <c r="AA60" s="184" t="inlineStr">
        <is>
          <t>Dinkes</t>
        </is>
      </c>
      <c r="AB60" s="178" t="inlineStr">
        <is>
          <t>Endang Sunandar</t>
        </is>
      </c>
      <c r="AC60" s="178" t="n">
        <v>81313125931</v>
      </c>
      <c r="AD60" s="178" t="inlineStr">
        <is>
          <t>survimkabbandung@gmail.com</t>
        </is>
      </c>
      <c r="AE60" s="288" t="n"/>
      <c r="AF60" s="288" t="n"/>
      <c r="AG60" s="284" t="n"/>
      <c r="AH60" s="284" t="n"/>
      <c r="AI60" s="284" t="n"/>
      <c r="AJ60" s="284" t="n"/>
      <c r="AK60" s="284" t="n"/>
      <c r="AL60" s="284" t="n"/>
      <c r="AM60" s="284" t="n"/>
      <c r="AN60" s="284" t="n"/>
      <c r="AO60" s="284" t="n"/>
      <c r="AP60" s="284" t="n"/>
      <c r="AQ60" s="284" t="n"/>
      <c r="AR60" s="284" t="n"/>
    </row>
    <row r="61" hidden="1" s="346">
      <c r="A61" s="62" t="n">
        <v>59</v>
      </c>
      <c r="B61" s="178" t="inlineStr">
        <is>
          <t>Layanan Pelaporan Penggunaan Sediaan Narkotika dan Psikotropika</t>
        </is>
      </c>
      <c r="C61" s="178" t="inlineStr">
        <is>
          <t>Untuk melaporkan penggunaan sediaan narkotika dan psikotropika dari seluruh unit pelayanan (apotek, klinik dan rumah sakit) instalasi farmasi kabupatek/kota, dinas kesehatan kabupaten/ kota dan dinas kesehatan provinsi seluruh indonesia</t>
        </is>
      </c>
      <c r="D61" s="288" t="n"/>
      <c r="E61" s="288" t="n"/>
      <c r="F61" s="288" t="n"/>
      <c r="G61" s="288" t="n"/>
      <c r="H61" s="288" t="n"/>
      <c r="I61" s="178" t="inlineStr">
        <is>
          <t>Data Laporan Penggunaan Sediaan NAPSA Nasional</t>
        </is>
      </c>
      <c r="J61" s="288" t="n"/>
      <c r="K61" s="288" t="n"/>
      <c r="L61" s="288" t="n"/>
      <c r="M61" s="184" t="inlineStr">
        <is>
          <t>SIPNAP</t>
        </is>
      </c>
      <c r="N61" s="184" t="inlineStr">
        <is>
          <t>Pusat</t>
        </is>
      </c>
      <c r="O61" s="184" t="inlineStr">
        <is>
          <t>Pusat</t>
        </is>
      </c>
      <c r="P61" s="184" t="inlineStr">
        <is>
          <t>Website</t>
        </is>
      </c>
      <c r="Q61" s="70" t="inlineStr">
        <is>
          <t>sipnap.kemkes.go.id</t>
        </is>
      </c>
      <c r="R61" s="288" t="inlineStr">
        <is>
          <t>Secara Online</t>
        </is>
      </c>
      <c r="S61" s="288" t="n"/>
      <c r="T61" s="288" t="n"/>
      <c r="U61" s="288" t="inlineStr">
        <is>
          <t>Aktif</t>
        </is>
      </c>
      <c r="V61" s="288" t="n"/>
      <c r="W61" s="288" t="n"/>
      <c r="X61" s="288" t="n"/>
      <c r="Y61" s="288" t="n"/>
      <c r="Z61" s="288" t="n"/>
      <c r="AA61" s="288" t="inlineStr">
        <is>
          <t>Dinkes</t>
        </is>
      </c>
      <c r="AB61" s="288" t="n"/>
      <c r="AC61" s="288" t="n"/>
      <c r="AD61" s="288" t="n"/>
      <c r="AE61" s="288" t="n"/>
      <c r="AF61" s="288" t="n"/>
      <c r="AG61" s="284" t="n"/>
      <c r="AH61" s="284" t="n"/>
      <c r="AI61" s="284" t="n"/>
      <c r="AJ61" s="284" t="n"/>
      <c r="AK61" s="284" t="n"/>
      <c r="AL61" s="284" t="n"/>
      <c r="AM61" s="284" t="n"/>
      <c r="AN61" s="284" t="n"/>
      <c r="AO61" s="284" t="n"/>
      <c r="AP61" s="284" t="n"/>
      <c r="AQ61" s="284" t="n"/>
      <c r="AR61" s="284" t="n"/>
    </row>
    <row r="62" hidden="1" s="346">
      <c r="A62" s="62" t="n">
        <v>60</v>
      </c>
      <c r="B62" s="178" t="inlineStr">
        <is>
          <t>Layanan Perekaman Data RM Pasien Elektronik</t>
        </is>
      </c>
      <c r="C62" s="178" t="inlineStr">
        <is>
          <t>Untuk mencatat data rekam medis pasien yang berkunjung ke puskesmas</t>
        </is>
      </c>
      <c r="D62" s="288" t="n"/>
      <c r="E62" s="288" t="n"/>
      <c r="F62" s="288" t="n"/>
      <c r="G62" s="288" t="n"/>
      <c r="H62" s="288" t="n"/>
      <c r="I62" s="178" t="inlineStr">
        <is>
          <t>Data Rekam Medis</t>
        </is>
      </c>
      <c r="J62" s="288" t="n"/>
      <c r="K62" s="288" t="n"/>
      <c r="L62" s="288" t="n"/>
      <c r="M62" s="184" t="inlineStr">
        <is>
          <t>SIMPUS</t>
        </is>
      </c>
      <c r="N62" s="288" t="n"/>
      <c r="O62" s="288" t="n"/>
      <c r="P62" s="288" t="n"/>
      <c r="Q62" s="288" t="n"/>
      <c r="R62" s="288" t="n"/>
      <c r="S62" s="288" t="n"/>
      <c r="T62" s="288" t="n"/>
      <c r="U62" s="288" t="n"/>
      <c r="V62" s="288" t="n"/>
      <c r="W62" s="288" t="n"/>
      <c r="X62" s="288" t="n"/>
      <c r="Y62" s="288" t="n"/>
      <c r="Z62" s="288" t="n"/>
      <c r="AA62" s="288" t="n"/>
      <c r="AB62" s="288" t="n"/>
      <c r="AC62" s="288" t="n"/>
      <c r="AD62" s="288" t="n"/>
      <c r="AE62" s="288" t="n"/>
      <c r="AF62" s="288" t="n"/>
      <c r="AG62" s="284" t="n"/>
      <c r="AH62" s="284" t="n"/>
      <c r="AI62" s="284" t="n"/>
      <c r="AJ62" s="284" t="n"/>
      <c r="AK62" s="284" t="n"/>
      <c r="AL62" s="284" t="n"/>
      <c r="AM62" s="284" t="n"/>
      <c r="AN62" s="284" t="n"/>
      <c r="AO62" s="284" t="n"/>
      <c r="AP62" s="284" t="n"/>
      <c r="AQ62" s="284" t="n"/>
      <c r="AR62" s="284" t="n"/>
    </row>
    <row r="63" hidden="1" s="346">
      <c r="A63" s="62" t="n">
        <v>61</v>
      </c>
      <c r="B63" s="178" t="inlineStr">
        <is>
          <t>Layanan Pendataan Tuberkulosis</t>
        </is>
      </c>
      <c r="C63" s="178" t="inlineStr">
        <is>
          <t>Untuk memantau keadaan pasien TBC</t>
        </is>
      </c>
      <c r="D63" s="288" t="n"/>
      <c r="E63" s="288" t="n"/>
      <c r="F63" s="184" t="inlineStr">
        <is>
          <t>PENCEGAHAN DAN PENGENDALIAN PENYAKIT</t>
        </is>
      </c>
      <c r="G63" s="184" t="inlineStr">
        <is>
          <t>Masyarakat</t>
        </is>
      </c>
      <c r="H63" s="288" t="n"/>
      <c r="I63" s="178" t="inlineStr">
        <is>
          <t>Data Pasien TBC</t>
        </is>
      </c>
      <c r="J63" s="184" t="inlineStr">
        <is>
          <t>Terbatas</t>
        </is>
      </c>
      <c r="K63" s="184" t="inlineStr">
        <is>
          <t>Terdapat</t>
        </is>
      </c>
      <c r="L63" s="184" t="inlineStr">
        <is>
          <t>Harian</t>
        </is>
      </c>
      <c r="M63" s="184" t="inlineStr">
        <is>
          <t>Sistem Informasi Tuberkulosis (SITB)</t>
        </is>
      </c>
      <c r="N63" s="184" t="inlineStr">
        <is>
          <t>Pusat</t>
        </is>
      </c>
      <c r="O63" s="184" t="inlineStr">
        <is>
          <t>Pusat</t>
        </is>
      </c>
      <c r="P63" s="184" t="inlineStr">
        <is>
          <t>Website</t>
        </is>
      </c>
      <c r="Q63" s="70" t="inlineStr">
        <is>
          <t>https://sitb.kemkes.go.id/</t>
        </is>
      </c>
      <c r="R63" s="184" t="inlineStr">
        <is>
          <t>Secara Online</t>
        </is>
      </c>
      <c r="S63" s="184" t="inlineStr">
        <is>
          <t>Informasi</t>
        </is>
      </c>
      <c r="T63" s="288" t="n"/>
      <c r="U63" s="184" t="inlineStr">
        <is>
          <t>Aktif</t>
        </is>
      </c>
      <c r="V63" s="184" t="inlineStr">
        <is>
          <t>Ya</t>
        </is>
      </c>
      <c r="W63" s="288" t="n"/>
      <c r="X63" s="184" t="inlineStr">
        <is>
          <t>Manual</t>
        </is>
      </c>
      <c r="Y63" s="184" t="inlineStr">
        <is>
          <t>Realtime</t>
        </is>
      </c>
      <c r="Z63" s="184" t="inlineStr">
        <is>
          <t>Bidang Pengendalian dan Pencegahan Penyakit</t>
        </is>
      </c>
      <c r="AA63" s="184" t="inlineStr">
        <is>
          <t>Dinkes</t>
        </is>
      </c>
      <c r="AB63" s="178" t="inlineStr">
        <is>
          <t>dr.Lucy</t>
        </is>
      </c>
      <c r="AC63" s="178" t="n">
        <v>81322836363</v>
      </c>
      <c r="AD63" s="178" t="inlineStr">
        <is>
          <t>seksipmptmkabupatenbandung@gmail.com</t>
        </is>
      </c>
      <c r="AE63" s="288" t="n"/>
      <c r="AF63" s="288" t="n"/>
      <c r="AG63" s="284" t="n"/>
      <c r="AH63" s="284" t="n"/>
      <c r="AI63" s="284" t="n"/>
      <c r="AJ63" s="284" t="n"/>
      <c r="AK63" s="284" t="n"/>
      <c r="AL63" s="284" t="n"/>
      <c r="AM63" s="284" t="n"/>
      <c r="AN63" s="284" t="n"/>
      <c r="AO63" s="284" t="n"/>
      <c r="AP63" s="284" t="n"/>
      <c r="AQ63" s="284" t="n"/>
      <c r="AR63" s="284" t="n"/>
    </row>
    <row r="64" hidden="1" s="346">
      <c r="A64" s="62" t="n">
        <v>62</v>
      </c>
      <c r="B64" s="178" t="inlineStr">
        <is>
          <t>Layanan Penanggulangan Penderita Malaria</t>
        </is>
      </c>
      <c r="C64" s="178" t="inlineStr">
        <is>
          <t>Untuk melaporkan penderita malaria</t>
        </is>
      </c>
      <c r="D64" s="288" t="n"/>
      <c r="E64" s="288" t="n"/>
      <c r="F64" s="184" t="inlineStr">
        <is>
          <t>PENCEGAHAN DAN PENGENDALIAN PENYAKIT</t>
        </is>
      </c>
      <c r="G64" s="184" t="inlineStr">
        <is>
          <t>Masyarakat</t>
        </is>
      </c>
      <c r="H64" s="288" t="n"/>
      <c r="I64" s="178" t="inlineStr">
        <is>
          <t>Data Pasien Penderita Malaria</t>
        </is>
      </c>
      <c r="J64" s="184" t="inlineStr">
        <is>
          <t>Terbatas</t>
        </is>
      </c>
      <c r="K64" s="184" t="inlineStr">
        <is>
          <t>Terdapat</t>
        </is>
      </c>
      <c r="L64" s="184" t="inlineStr">
        <is>
          <t>Harian</t>
        </is>
      </c>
      <c r="M64" s="184" t="inlineStr">
        <is>
          <t>ESISMAL</t>
        </is>
      </c>
      <c r="N64" s="184" t="inlineStr">
        <is>
          <t>Pusat</t>
        </is>
      </c>
      <c r="O64" s="184" t="inlineStr">
        <is>
          <t>Pusat</t>
        </is>
      </c>
      <c r="P64" s="184" t="inlineStr">
        <is>
          <t>Website</t>
        </is>
      </c>
      <c r="Q64" s="70" t="inlineStr">
        <is>
          <t>sismal.kemkes.go.id</t>
        </is>
      </c>
      <c r="R64" s="184" t="inlineStr">
        <is>
          <t>Secara Online</t>
        </is>
      </c>
      <c r="S64" s="184" t="inlineStr">
        <is>
          <t>Informasi</t>
        </is>
      </c>
      <c r="T64" s="288" t="n"/>
      <c r="U64" s="184" t="inlineStr">
        <is>
          <t>Aktif</t>
        </is>
      </c>
      <c r="V64" s="184" t="inlineStr">
        <is>
          <t>Ya</t>
        </is>
      </c>
      <c r="W64" s="288" t="n"/>
      <c r="X64" s="184" t="inlineStr">
        <is>
          <t>Manual</t>
        </is>
      </c>
      <c r="Y64" s="184" t="inlineStr">
        <is>
          <t>Realtime</t>
        </is>
      </c>
      <c r="Z64" s="184" t="inlineStr">
        <is>
          <t>Bidang Pengendalian dan Pencegahan Penyakit</t>
        </is>
      </c>
      <c r="AA64" s="184" t="inlineStr">
        <is>
          <t>Dinkes</t>
        </is>
      </c>
      <c r="AB64" s="178" t="inlineStr">
        <is>
          <t>Ratna Wulan Sari</t>
        </is>
      </c>
      <c r="AC64" s="178" t="n">
        <v>81223266494</v>
      </c>
      <c r="AD64" s="178" t="inlineStr">
        <is>
          <t>seksipmptmkabupatenbandung@gmail.com</t>
        </is>
      </c>
      <c r="AE64" s="288" t="n"/>
      <c r="AF64" s="288" t="n"/>
      <c r="AG64" s="284" t="n"/>
      <c r="AH64" s="284" t="n"/>
      <c r="AI64" s="284" t="n"/>
      <c r="AJ64" s="284" t="n"/>
      <c r="AK64" s="284" t="n"/>
      <c r="AL64" s="284" t="n"/>
      <c r="AM64" s="284" t="n"/>
      <c r="AN64" s="284" t="n"/>
      <c r="AO64" s="284" t="n"/>
      <c r="AP64" s="284" t="n"/>
      <c r="AQ64" s="284" t="n"/>
      <c r="AR64" s="284" t="n"/>
    </row>
    <row r="65" hidden="1" s="346">
      <c r="A65" s="62" t="n">
        <v>63</v>
      </c>
      <c r="B65" s="178" t="inlineStr">
        <is>
          <t>Layanan Penyakit Tular Vektor, Zoonotik dan DBD</t>
        </is>
      </c>
      <c r="C65" s="178" t="inlineStr">
        <is>
          <t>Untuk mempersiapkan kewaspadaan dini terhadap penyakit tulat vektor dan zoonotik</t>
        </is>
      </c>
      <c r="D65" s="288" t="n"/>
      <c r="E65" s="288" t="n"/>
      <c r="F65" s="184" t="inlineStr">
        <is>
          <t>PENCEGAHAN DAN PENGENDALIAN PENYAKIT</t>
        </is>
      </c>
      <c r="G65" s="184" t="inlineStr">
        <is>
          <t>Masyarakat</t>
        </is>
      </c>
      <c r="H65" s="288" t="n"/>
      <c r="I65" s="178" t="inlineStr">
        <is>
          <t>Data Penyakit Tular Vektor dan Zoonotik</t>
        </is>
      </c>
      <c r="J65" s="184" t="inlineStr">
        <is>
          <t>Terbatas</t>
        </is>
      </c>
      <c r="K65" s="184" t="inlineStr">
        <is>
          <t>Terdapat</t>
        </is>
      </c>
      <c r="L65" s="184" t="inlineStr">
        <is>
          <t>Harian</t>
        </is>
      </c>
      <c r="M65" s="184" t="inlineStr">
        <is>
          <t>SILANTOR</t>
        </is>
      </c>
      <c r="N65" s="184" t="inlineStr">
        <is>
          <t>Pusat</t>
        </is>
      </c>
      <c r="O65" s="184" t="inlineStr">
        <is>
          <t>Pusat</t>
        </is>
      </c>
      <c r="P65" s="184" t="inlineStr">
        <is>
          <t>Website</t>
        </is>
      </c>
      <c r="Q65" s="70" t="inlineStr">
        <is>
          <t>silantor.kemkes.go.id</t>
        </is>
      </c>
      <c r="R65" s="184" t="inlineStr">
        <is>
          <t>Secara Online</t>
        </is>
      </c>
      <c r="S65" s="184" t="inlineStr">
        <is>
          <t>Informasi</t>
        </is>
      </c>
      <c r="T65" s="288" t="n"/>
      <c r="U65" s="184" t="inlineStr">
        <is>
          <t>Aktif</t>
        </is>
      </c>
      <c r="V65" s="184" t="inlineStr">
        <is>
          <t>Ya</t>
        </is>
      </c>
      <c r="W65" s="288" t="n"/>
      <c r="X65" s="184" t="inlineStr">
        <is>
          <t>Manual</t>
        </is>
      </c>
      <c r="Y65" s="184" t="inlineStr">
        <is>
          <t>Realtime</t>
        </is>
      </c>
      <c r="Z65" s="184" t="inlineStr">
        <is>
          <t>Bidang Pengendalian dan Pencegahan Penyakit</t>
        </is>
      </c>
      <c r="AA65" s="184" t="inlineStr">
        <is>
          <t>Dinkes</t>
        </is>
      </c>
      <c r="AB65" s="178" t="inlineStr">
        <is>
          <t>Ratna Wulan Sari</t>
        </is>
      </c>
      <c r="AC65" s="178" t="n">
        <v>81223266494</v>
      </c>
      <c r="AD65" s="178" t="inlineStr">
        <is>
          <t>seksipmptmkabupatenbandung@gmail.com</t>
        </is>
      </c>
      <c r="AE65" s="288" t="n"/>
      <c r="AF65" s="288" t="n"/>
      <c r="AG65" s="284" t="n"/>
      <c r="AH65" s="284" t="n"/>
      <c r="AI65" s="284" t="n"/>
      <c r="AJ65" s="284" t="n"/>
      <c r="AK65" s="284" t="n"/>
      <c r="AL65" s="284" t="n"/>
      <c r="AM65" s="284" t="n"/>
      <c r="AN65" s="284" t="n"/>
      <c r="AO65" s="284" t="n"/>
      <c r="AP65" s="284" t="n"/>
      <c r="AQ65" s="284" t="n"/>
      <c r="AR65" s="284" t="n"/>
    </row>
    <row r="66" hidden="1" s="346">
      <c r="A66" s="62" t="n">
        <v>64</v>
      </c>
      <c r="B66" s="178" t="inlineStr">
        <is>
          <t>Layanan Perencanaan Kebutuhan Tenaga Fasyankes Kabupaten Bandung</t>
        </is>
      </c>
      <c r="C66" s="178" t="inlineStr">
        <is>
          <t>Untuk merencanakan jumlah kebutuhan tenaga kesehatan di fasyankes pemerintah kabupaten bandung</t>
        </is>
      </c>
      <c r="D66" s="288" t="n"/>
      <c r="E66" s="288" t="n"/>
      <c r="F66" s="288" t="n"/>
      <c r="G66" s="288" t="n"/>
      <c r="H66" s="288" t="n"/>
      <c r="I66" s="178" t="inlineStr">
        <is>
          <t>Data Formasi Nakes Fayankes</t>
        </is>
      </c>
      <c r="J66" s="288" t="n"/>
      <c r="K66" s="288" t="n"/>
      <c r="L66" s="288" t="n"/>
      <c r="M66" s="184" t="inlineStr">
        <is>
          <t>RENBUT</t>
        </is>
      </c>
      <c r="N66" s="288" t="n"/>
      <c r="O66" s="288" t="n"/>
      <c r="P66" s="288" t="n"/>
      <c r="Q66" s="288" t="n"/>
      <c r="R66" s="288" t="n"/>
      <c r="S66" s="288" t="n"/>
      <c r="T66" s="288" t="n"/>
      <c r="U66" s="288" t="n"/>
      <c r="V66" s="288" t="n"/>
      <c r="W66" s="288" t="n"/>
      <c r="X66" s="288" t="n"/>
      <c r="Y66" s="288" t="n"/>
      <c r="Z66" s="288" t="n"/>
      <c r="AA66" s="288" t="n"/>
      <c r="AB66" s="178" t="inlineStr">
        <is>
          <t>Sari</t>
        </is>
      </c>
      <c r="AC66" s="288" t="n"/>
      <c r="AD66" s="288" t="n"/>
      <c r="AE66" s="288" t="n"/>
      <c r="AF66" s="288" t="n"/>
      <c r="AG66" s="284" t="n"/>
      <c r="AH66" s="284" t="n"/>
      <c r="AI66" s="284" t="n"/>
      <c r="AJ66" s="284" t="n"/>
      <c r="AK66" s="284" t="n"/>
      <c r="AL66" s="284" t="n"/>
      <c r="AM66" s="284" t="n"/>
      <c r="AN66" s="284" t="n"/>
      <c r="AO66" s="284" t="n"/>
      <c r="AP66" s="284" t="n"/>
      <c r="AQ66" s="284" t="n"/>
      <c r="AR66" s="284" t="n"/>
    </row>
    <row r="67" hidden="1" s="346">
      <c r="A67" s="62" t="n">
        <v>65</v>
      </c>
      <c r="B67" s="178" t="inlineStr">
        <is>
          <t>Layanan Pencegahan dan Pengendalian HIV AIDS</t>
        </is>
      </c>
      <c r="C67" s="178" t="inlineStr">
        <is>
          <t>Untuk melaksanakan upaya-upaya pencegahan dan pengendalian penyakit HIV</t>
        </is>
      </c>
      <c r="D67" s="288" t="n"/>
      <c r="E67" s="288" t="n"/>
      <c r="F67" s="184" t="inlineStr">
        <is>
          <t>PENCEGAHAN DAN PENGENDALIAN PENYAKIT</t>
        </is>
      </c>
      <c r="G67" s="184" t="inlineStr">
        <is>
          <t>Masyarakat</t>
        </is>
      </c>
      <c r="H67" s="288" t="n"/>
      <c r="I67" s="178" t="inlineStr">
        <is>
          <t>Data Penderita Penyakit HIV AIDS</t>
        </is>
      </c>
      <c r="J67" s="184" t="inlineStr">
        <is>
          <t>Terbatas</t>
        </is>
      </c>
      <c r="K67" s="184" t="inlineStr">
        <is>
          <t>Terdapat</t>
        </is>
      </c>
      <c r="L67" s="184" t="inlineStr">
        <is>
          <t>Harian</t>
        </is>
      </c>
      <c r="M67" s="184" t="inlineStr">
        <is>
          <t>SIHA</t>
        </is>
      </c>
      <c r="N67" s="184" t="inlineStr">
        <is>
          <t>Pusat</t>
        </is>
      </c>
      <c r="O67" s="184" t="inlineStr">
        <is>
          <t>Pusat</t>
        </is>
      </c>
      <c r="P67" s="184" t="inlineStr">
        <is>
          <t>Website</t>
        </is>
      </c>
      <c r="Q67" s="70" t="inlineStr">
        <is>
          <t>https://sihapims2.kemkes.go.id</t>
        </is>
      </c>
      <c r="R67" s="184" t="inlineStr">
        <is>
          <t>Secara Online</t>
        </is>
      </c>
      <c r="S67" s="184" t="inlineStr">
        <is>
          <t>Informasi</t>
        </is>
      </c>
      <c r="T67" s="288" t="n"/>
      <c r="U67" s="184" t="inlineStr">
        <is>
          <t>Aktif</t>
        </is>
      </c>
      <c r="V67" s="184" t="inlineStr">
        <is>
          <t>Ya</t>
        </is>
      </c>
      <c r="W67" s="288" t="n"/>
      <c r="X67" s="184" t="inlineStr">
        <is>
          <t>Manual</t>
        </is>
      </c>
      <c r="Y67" s="184" t="inlineStr">
        <is>
          <t>Realtime</t>
        </is>
      </c>
      <c r="Z67" s="184" t="inlineStr">
        <is>
          <t>Bidang Pengendalian dan Pencegahan Penyakit</t>
        </is>
      </c>
      <c r="AA67" s="184" t="inlineStr">
        <is>
          <t>Dinkes</t>
        </is>
      </c>
      <c r="AB67" s="178" t="inlineStr">
        <is>
          <t>Ratna Wulan Sari</t>
        </is>
      </c>
      <c r="AC67" s="178" t="n">
        <v>81223266494</v>
      </c>
      <c r="AD67" s="178" t="inlineStr">
        <is>
          <t>seksipmptmkabupatenbandung@gmail.com</t>
        </is>
      </c>
      <c r="AE67" s="288" t="n"/>
      <c r="AF67" s="288" t="n"/>
      <c r="AG67" s="284" t="n"/>
      <c r="AH67" s="284" t="n"/>
      <c r="AI67" s="284" t="n"/>
      <c r="AJ67" s="284" t="n"/>
      <c r="AK67" s="284" t="n"/>
      <c r="AL67" s="284" t="n"/>
      <c r="AM67" s="284" t="n"/>
      <c r="AN67" s="284" t="n"/>
      <c r="AO67" s="284" t="n"/>
      <c r="AP67" s="284" t="n"/>
      <c r="AQ67" s="284" t="n"/>
      <c r="AR67" s="284" t="n"/>
    </row>
    <row r="68" hidden="1" s="346">
      <c r="A68" s="62" t="n">
        <v>66</v>
      </c>
      <c r="B68" s="178" t="inlineStr">
        <is>
          <t>Layanan Komdat dan Microsite</t>
        </is>
      </c>
      <c r="C68" s="178" t="inlineStr">
        <is>
          <t>Untuk mengetahui data kegiatan Germas dan posyandu aktif</t>
        </is>
      </c>
      <c r="D68" s="288" t="n"/>
      <c r="E68" s="288" t="n"/>
      <c r="F68" s="288" t="n"/>
      <c r="G68" s="288" t="n"/>
      <c r="H68" s="288" t="n"/>
      <c r="I68" s="178" t="inlineStr">
        <is>
          <t>Data Posyandu Aktif &amp; Kegiatan Germas</t>
        </is>
      </c>
      <c r="J68" s="288" t="n"/>
      <c r="K68" s="288" t="n"/>
      <c r="L68" s="288" t="n"/>
      <c r="M68" s="184" t="inlineStr">
        <is>
          <t>KOMDAT &amp; MICROSITE</t>
        </is>
      </c>
      <c r="N68" s="288" t="n"/>
      <c r="O68" s="288" t="n"/>
      <c r="P68" s="288" t="n"/>
      <c r="Q68" s="288" t="n"/>
      <c r="R68" s="288" t="n"/>
      <c r="S68" s="288" t="n"/>
      <c r="T68" s="288" t="n"/>
      <c r="U68" s="288" t="n"/>
      <c r="V68" s="288" t="n"/>
      <c r="W68" s="288" t="n"/>
      <c r="X68" s="288" t="n"/>
      <c r="Y68" s="288" t="n"/>
      <c r="Z68" s="288" t="n"/>
      <c r="AA68" s="288" t="n"/>
      <c r="AB68" s="288" t="n"/>
      <c r="AC68" s="288" t="n"/>
      <c r="AD68" s="288" t="n"/>
      <c r="AE68" s="288" t="n"/>
      <c r="AF68" s="288" t="n"/>
      <c r="AG68" s="284" t="n"/>
      <c r="AH68" s="284" t="n"/>
      <c r="AI68" s="284" t="n"/>
      <c r="AJ68" s="284" t="n"/>
      <c r="AK68" s="284" t="n"/>
      <c r="AL68" s="284" t="n"/>
      <c r="AM68" s="284" t="n"/>
      <c r="AN68" s="284" t="n"/>
      <c r="AO68" s="284" t="n"/>
      <c r="AP68" s="284" t="n"/>
      <c r="AQ68" s="284" t="n"/>
      <c r="AR68" s="284" t="n"/>
    </row>
    <row r="69" hidden="1" s="346">
      <c r="A69" s="62" t="n">
        <v>67</v>
      </c>
      <c r="B69" s="178" t="inlineStr">
        <is>
          <t>Pelaporan data realisasi hasil pemantauan pelaksanaan Renja _K/L</t>
        </is>
      </c>
      <c r="C69" s="178" t="inlineStr">
        <is>
          <t>untuk Pelaporan data realisasi hasil pemantauan pelaksanaan Renja _K/L</t>
        </is>
      </c>
      <c r="D69" s="288" t="n"/>
      <c r="E69" s="288" t="n"/>
      <c r="F69" s="288" t="n"/>
      <c r="G69" s="288" t="n"/>
      <c r="H69" s="288" t="n"/>
      <c r="I69" s="178" t="inlineStr">
        <is>
          <t>Data TFU ( Tempat Fasilitas Umum )</t>
        </is>
      </c>
      <c r="J69" s="288" t="n"/>
      <c r="K69" s="288" t="n"/>
      <c r="L69" s="288" t="n"/>
      <c r="M69" s="184" t="inlineStr">
        <is>
          <t>E-MONEV TFU</t>
        </is>
      </c>
      <c r="N69" s="288" t="n"/>
      <c r="O69" s="288" t="n"/>
      <c r="P69" s="288" t="n"/>
      <c r="Q69" s="288" t="n"/>
      <c r="R69" s="288" t="n"/>
      <c r="S69" s="288" t="n"/>
      <c r="T69" s="288" t="n"/>
      <c r="U69" s="288" t="n"/>
      <c r="V69" s="288" t="n"/>
      <c r="W69" s="288" t="n"/>
      <c r="X69" s="288" t="n"/>
      <c r="Y69" s="288" t="n"/>
      <c r="Z69" s="288" t="n"/>
      <c r="AA69" s="288" t="n"/>
      <c r="AB69" s="288" t="n"/>
      <c r="AC69" s="288" t="n"/>
      <c r="AD69" s="288" t="n"/>
      <c r="AE69" s="288" t="n"/>
      <c r="AF69" s="288" t="n"/>
      <c r="AG69" s="284" t="n"/>
      <c r="AH69" s="284" t="n"/>
      <c r="AI69" s="284" t="n"/>
      <c r="AJ69" s="284" t="n"/>
      <c r="AK69" s="284" t="n"/>
      <c r="AL69" s="284" t="n"/>
      <c r="AM69" s="284" t="n"/>
      <c r="AN69" s="284" t="n"/>
      <c r="AO69" s="284" t="n"/>
      <c r="AP69" s="284" t="n"/>
      <c r="AQ69" s="284" t="n"/>
      <c r="AR69" s="284" t="n"/>
    </row>
    <row r="70" hidden="1" s="346">
      <c r="A70" s="62" t="n">
        <v>68</v>
      </c>
      <c r="B70" s="178" t="inlineStr">
        <is>
          <t>Pencatatan dan pelaporan status gizi</t>
        </is>
      </c>
      <c r="C70" s="178" t="inlineStr">
        <is>
          <t>untuk memperoleh informasi status gizi individu dan kinerja program gizi secara cepat, akurat, teratur dan berkelanjutan untuk penyusunan perencanaan dan perumusan kebijakan gizi</t>
        </is>
      </c>
      <c r="D70" s="288" t="n"/>
      <c r="E70" s="288" t="n"/>
      <c r="F70" s="288" t="n"/>
      <c r="G70" s="288" t="n"/>
      <c r="H70" s="288" t="n"/>
      <c r="I70" s="178" t="inlineStr">
        <is>
          <t>Data Gizi</t>
        </is>
      </c>
      <c r="J70" s="288" t="n"/>
      <c r="K70" s="288" t="n"/>
      <c r="L70" s="288" t="n"/>
      <c r="M70" s="184" t="inlineStr">
        <is>
          <t>Sigizi Terpadu</t>
        </is>
      </c>
      <c r="N70" s="288" t="n"/>
      <c r="O70" s="288" t="n"/>
      <c r="P70" s="288" t="n"/>
      <c r="Q70" s="288" t="n"/>
      <c r="R70" s="288" t="n"/>
      <c r="S70" s="288" t="n"/>
      <c r="T70" s="288" t="n"/>
      <c r="U70" s="288" t="n"/>
      <c r="V70" s="288" t="n"/>
      <c r="W70" s="288" t="n"/>
      <c r="X70" s="288" t="n"/>
      <c r="Y70" s="288" t="n"/>
      <c r="Z70" s="288" t="n"/>
      <c r="AA70" s="288" t="n"/>
      <c r="AB70" s="288" t="n"/>
      <c r="AC70" s="288" t="n"/>
      <c r="AD70" s="288" t="n"/>
      <c r="AE70" s="288" t="n"/>
      <c r="AF70" s="288" t="n"/>
      <c r="AG70" s="284" t="n"/>
      <c r="AH70" s="284" t="n"/>
      <c r="AI70" s="284" t="n"/>
      <c r="AJ70" s="284" t="n"/>
      <c r="AK70" s="284" t="n"/>
      <c r="AL70" s="284" t="n"/>
      <c r="AM70" s="284" t="n"/>
      <c r="AN70" s="284" t="n"/>
      <c r="AO70" s="284" t="n"/>
      <c r="AP70" s="284" t="n"/>
      <c r="AQ70" s="284" t="n"/>
      <c r="AR70" s="284" t="n"/>
    </row>
    <row r="71" hidden="1" s="346">
      <c r="A71" s="62" t="n">
        <v>69</v>
      </c>
      <c r="B71" s="178" t="inlineStr">
        <is>
          <t>Sistem Monitoring Inventaris Logistik Kesehatan Secara Elektronik</t>
        </is>
      </c>
      <c r="C71" s="178" t="inlineStr">
        <is>
          <t>membantu dalam mencatat dan memantau pemesanan, distribusi, dan logistik vaksin, obat dan alat kesehatan secara real-time</t>
        </is>
      </c>
      <c r="D71" s="288" t="n"/>
      <c r="E71" s="288" t="n"/>
      <c r="F71" s="288" t="n"/>
      <c r="G71" s="184" t="inlineStr">
        <is>
          <t>Instansi Pemerintah Lainnya</t>
        </is>
      </c>
      <c r="H71" s="288" t="n"/>
      <c r="I71" s="288" t="n"/>
      <c r="J71" s="288" t="n"/>
      <c r="K71" s="288" t="n"/>
      <c r="L71" s="184" t="inlineStr">
        <is>
          <t>Harian</t>
        </is>
      </c>
      <c r="M71" s="184" t="inlineStr">
        <is>
          <t>SMILE HEALTH</t>
        </is>
      </c>
      <c r="N71" s="184" t="inlineStr">
        <is>
          <t>Pusat</t>
        </is>
      </c>
      <c r="O71" s="184" t="inlineStr">
        <is>
          <t>Pusat</t>
        </is>
      </c>
      <c r="P71" s="184" t="inlineStr">
        <is>
          <t>Website dan Mobile</t>
        </is>
      </c>
      <c r="Q71" s="70" t="inlineStr">
        <is>
          <t>https://smile.kemkes.go.id/</t>
        </is>
      </c>
      <c r="R71" s="184" t="inlineStr">
        <is>
          <t>Secara Online</t>
        </is>
      </c>
      <c r="S71" s="288" t="n"/>
      <c r="T71" s="288" t="n"/>
      <c r="U71" s="184" t="inlineStr">
        <is>
          <t>Aktif</t>
        </is>
      </c>
      <c r="V71" s="184" t="inlineStr">
        <is>
          <t>Ya</t>
        </is>
      </c>
      <c r="W71" s="184" t="inlineStr">
        <is>
          <t>SITB, SIHA</t>
        </is>
      </c>
      <c r="X71" s="288" t="n"/>
      <c r="Y71" s="184" t="inlineStr">
        <is>
          <t>Realtime</t>
        </is>
      </c>
      <c r="Z71" s="184" t="inlineStr">
        <is>
          <t>Farmasi</t>
        </is>
      </c>
      <c r="AA71" s="288" t="inlineStr">
        <is>
          <t>Dinkes</t>
        </is>
      </c>
      <c r="AB71" s="288" t="n"/>
      <c r="AC71" s="288" t="n"/>
      <c r="AD71" s="288" t="n"/>
      <c r="AE71" s="288" t="n"/>
      <c r="AF71" s="288" t="n"/>
      <c r="AG71" s="284" t="n"/>
      <c r="AH71" s="284" t="n"/>
      <c r="AI71" s="284" t="n"/>
      <c r="AJ71" s="284" t="n"/>
      <c r="AK71" s="284" t="n"/>
      <c r="AL71" s="284" t="n"/>
      <c r="AM71" s="284" t="n"/>
      <c r="AN71" s="284" t="n"/>
      <c r="AO71" s="284" t="n"/>
      <c r="AP71" s="284" t="n"/>
      <c r="AQ71" s="284" t="n"/>
      <c r="AR71" s="284" t="n"/>
    </row>
    <row r="72">
      <c r="A72" s="62" t="n">
        <v>70</v>
      </c>
      <c r="B72" s="178" t="inlineStr">
        <is>
          <t>SIJALAK (Sistem Informasi Jalan dan Jembatan Kabupaten Bandung)</t>
        </is>
      </c>
      <c r="C72" s="178" t="inlineStr">
        <is>
          <t>Si Jalak merupakan sebuah platform digital inovatif yang bertujuan
 untuk mempermudah masyarakat dalam melaporkan kondisi kerusakan
 infrastruktur publik, seperti jalan raya, jembatan, saluran air, dan tembok penahan.</t>
        </is>
      </c>
      <c r="D72" s="178" t="inlineStr">
        <is>
          <t>Peraturan Daerah Nomor 23 Tahun 2016 tentang Penyelenggaraan Jalan</t>
        </is>
      </c>
      <c r="E72" s="184" t="inlineStr">
        <is>
          <t>Belum Tersedia</t>
        </is>
      </c>
      <c r="F72" s="184" t="inlineStr">
        <is>
          <t>PENGELOLAAN PEMBANGUNAN INFRASTRUKTUR BIDANG PUPR</t>
        </is>
      </c>
      <c r="G72" s="184" t="inlineStr">
        <is>
          <t>Masyarakat</t>
        </is>
      </c>
      <c r="H72" s="178" t="inlineStr">
        <is>
          <t>Data Pelapor dan Aduan Lokasi Kerusakan Jalan, Jembatan, Saluran Tepi Jalan dan Tembok Penahan Tanah</t>
        </is>
      </c>
      <c r="I72" s="178" t="inlineStr">
        <is>
          <t>Data Hasil Pelaporan dan Aduan Masyarakat Terkait Kerusakan Jalan, Jembatan, Saluran Tepi Jalan dan Tembok Penahan Tanah</t>
        </is>
      </c>
      <c r="J72" s="184" t="inlineStr">
        <is>
          <t>Terbuka</t>
        </is>
      </c>
      <c r="K72" s="184" t="inlineStr">
        <is>
          <t>Terdapat</t>
        </is>
      </c>
      <c r="L72" s="184" t="inlineStr">
        <is>
          <t>Harian</t>
        </is>
      </c>
      <c r="M72" s="184" t="inlineStr">
        <is>
          <t>SI PUTRA (sijalak)</t>
        </is>
      </c>
      <c r="N72" s="184" t="inlineStr">
        <is>
          <t>Pihak Ke 3</t>
        </is>
      </c>
      <c r="O72" s="184" t="inlineStr">
        <is>
          <t>Kab. Bandung</t>
        </is>
      </c>
      <c r="P72" s="184" t="inlineStr">
        <is>
          <t>Website dan Mobile</t>
        </is>
      </c>
      <c r="Q72" s="70" t="inlineStr">
        <is>
          <t>https://sijalak-kab-bandung.com/</t>
        </is>
      </c>
      <c r="R72" s="184" t="inlineStr">
        <is>
          <t>Secara Online</t>
        </is>
      </c>
      <c r="S72" s="184" t="inlineStr">
        <is>
          <t>Transaksi</t>
        </is>
      </c>
      <c r="T72" s="184" t="n">
        <v>2024</v>
      </c>
      <c r="U72" s="184" t="inlineStr">
        <is>
          <t>Aktif</t>
        </is>
      </c>
      <c r="V72" s="184" t="inlineStr">
        <is>
          <t>Tidak</t>
        </is>
      </c>
      <c r="W72" s="184" t="inlineStr">
        <is>
          <t>Tidak Terintegrasi</t>
        </is>
      </c>
      <c r="X72" s="184" t="inlineStr">
        <is>
          <t>Tidak Terintegrasi</t>
        </is>
      </c>
      <c r="Y72" s="184" t="inlineStr">
        <is>
          <t>Tidak Terintegrasi</t>
        </is>
      </c>
      <c r="Z72" s="184" t="inlineStr">
        <is>
          <t>Bidang Jalan</t>
        </is>
      </c>
      <c r="AA72" s="184" t="inlineStr">
        <is>
          <t>DPUTR</t>
        </is>
      </c>
      <c r="AB72" s="178" t="inlineStr">
        <is>
          <t>Luthfi Jauhari, S.T</t>
        </is>
      </c>
      <c r="AC72" s="184" t="n">
        <v>81290730949</v>
      </c>
      <c r="AD72" s="288" t="n"/>
      <c r="AE72" s="68" t="n">
        <v>39</v>
      </c>
      <c r="AF72" s="68" t="inlineStr">
        <is>
          <t>Harian</t>
        </is>
      </c>
      <c r="AG72" s="284" t="n"/>
      <c r="AH72" s="284" t="n"/>
      <c r="AI72" s="284" t="n"/>
      <c r="AJ72" s="284" t="n"/>
      <c r="AK72" s="284" t="n"/>
      <c r="AL72" s="284" t="n"/>
      <c r="AM72" s="284" t="n"/>
      <c r="AN72" s="284" t="n"/>
      <c r="AO72" s="284" t="n"/>
      <c r="AP72" s="284" t="n"/>
      <c r="AQ72" s="284" t="n"/>
      <c r="AR72" s="284" t="n"/>
    </row>
    <row r="73">
      <c r="A73" s="62" t="n">
        <v>71</v>
      </c>
      <c r="B73" s="178" t="inlineStr">
        <is>
          <t>SIBEDAS PBG</t>
        </is>
      </c>
      <c r="C73" s="178" t="inlineStr">
        <is>
          <t>SIBEDAS PBG merupakan dashboard untuk memonitoring berkas permohonan Persetujuan Bangunan Gedung (PBG). Pada Dashboard juga terdapat fitur yang digunakan untuk mempermudah melihat pemetaan persebaran karena tersajikan dalam bentuk peta. SIBEDAS PBG bertujuan untuk memonitoring setiap berkas PBG berdasarkan satus permohonan seperti belum diverifikasi, perbaikan ulang, verifikasi ulang dan selesai verifikasi. Selain itu SIBEDAS PBG untuk mempermudah melihat pemetaan persebaran karena tersajikan dalam bentuk peta serta untuk mempermudah merekap data.</t>
        </is>
      </c>
      <c r="D73" s="178" t="inlineStr">
        <is>
          <t>Permen PUPR Nomor 22 Tahun 2021 tentang Pedoman Teknis Pendataan Bangunan Gedung</t>
        </is>
      </c>
      <c r="E73" s="131" t="inlineStr">
        <is>
          <t>https://drive.google.com/drive/folders/187_7CPT7sxhjamsZJOlN2T4qhrxFpoWq?hl=id</t>
        </is>
      </c>
      <c r="F73" s="184" t="inlineStr">
        <is>
          <t>PENATAAN BANGUNAN GEDUNG</t>
        </is>
      </c>
      <c r="G73" s="184" t="inlineStr">
        <is>
          <t>Masyarakat</t>
        </is>
      </c>
      <c r="H73" s="184" t="inlineStr">
        <is>
          <t>Data Pemohon dan Kelengkapan Berkas PBG</t>
        </is>
      </c>
      <c r="I73" s="184" t="inlineStr">
        <is>
          <t>Data Tahapan Progres Permohonan PBG</t>
        </is>
      </c>
      <c r="J73" s="184" t="inlineStr">
        <is>
          <t>Terbatas</t>
        </is>
      </c>
      <c r="K73" s="184" t="inlineStr">
        <is>
          <t>Terdapat</t>
        </is>
      </c>
      <c r="L73" s="184" t="inlineStr">
        <is>
          <t>Harian</t>
        </is>
      </c>
      <c r="M73" s="184" t="inlineStr">
        <is>
          <t>SI PUTRA (sibedaspbg)</t>
        </is>
      </c>
      <c r="N73" s="184" t="inlineStr">
        <is>
          <t>Pihak Ke 3</t>
        </is>
      </c>
      <c r="O73" s="184" t="inlineStr">
        <is>
          <t>Kab. Bandung</t>
        </is>
      </c>
      <c r="P73" s="184" t="inlineStr">
        <is>
          <t>Website dan Mobile</t>
        </is>
      </c>
      <c r="Q73" s="70" t="inlineStr">
        <is>
          <t>https://sibedaspbg.bandungkab.go.id/</t>
        </is>
      </c>
      <c r="R73" s="184" t="inlineStr">
        <is>
          <t>Secara Online</t>
        </is>
      </c>
      <c r="S73" s="184" t="inlineStr">
        <is>
          <t>Informasi</t>
        </is>
      </c>
      <c r="T73" s="184" t="n">
        <v>2022</v>
      </c>
      <c r="U73" s="184" t="inlineStr">
        <is>
          <t>Aktif</t>
        </is>
      </c>
      <c r="V73" s="184" t="inlineStr">
        <is>
          <t>Ya</t>
        </is>
      </c>
      <c r="W73" s="184" t="inlineStr">
        <is>
          <t>Dashboard Pimpinan</t>
        </is>
      </c>
      <c r="X73" s="184" t="inlineStr">
        <is>
          <t>Database to Database</t>
        </is>
      </c>
      <c r="Y73" s="184" t="inlineStr">
        <is>
          <t>Harian</t>
        </is>
      </c>
      <c r="Z73" s="184" t="inlineStr">
        <is>
          <t>Bidang Bangunan Gedung dan Pengembangan Permukiman</t>
        </is>
      </c>
      <c r="AA73" s="184" t="inlineStr">
        <is>
          <t>DPUTR</t>
        </is>
      </c>
      <c r="AB73" s="178" t="inlineStr">
        <is>
          <t>Dirgantara Putra Mappaono, ST</t>
        </is>
      </c>
      <c r="AC73" s="184" t="n">
        <v>81318911897</v>
      </c>
      <c r="AD73" s="178" t="inlineStr">
        <is>
          <t>dirgantaraaapm@gmail.com</t>
        </is>
      </c>
      <c r="AE73" s="64" t="inlineStr">
        <is>
          <t>34,37, dan 42</t>
        </is>
      </c>
      <c r="AF73" s="64" t="inlineStr">
        <is>
          <t>Harian</t>
        </is>
      </c>
      <c r="AG73" s="284" t="n"/>
      <c r="AH73" s="284" t="n"/>
      <c r="AI73" s="284" t="n"/>
      <c r="AJ73" s="284" t="n"/>
      <c r="AK73" s="284" t="n"/>
      <c r="AL73" s="284" t="n"/>
      <c r="AM73" s="284" t="n"/>
      <c r="AN73" s="284" t="n"/>
      <c r="AO73" s="284" t="n"/>
      <c r="AP73" s="284" t="n"/>
      <c r="AQ73" s="284" t="n"/>
      <c r="AR73" s="284" t="n"/>
    </row>
    <row r="74">
      <c r="A74" s="62" t="n">
        <v>72</v>
      </c>
      <c r="B74" s="178" t="inlineStr">
        <is>
          <t>LINKTREE PENGADUAN DPUTR KAB. BANDUNG</t>
        </is>
      </c>
      <c r="C74" s="178" t="inlineStr">
        <is>
          <t>LINKTREE menjadi wadah yang dapat memonitoring sekaligus memberikan informasi penyelesaian pengaduan untuk kepentingan dinas. LINKTREE Pengaduan DPUTR bertujuan untuk memonitoring setiap pengaduan secara elektronik sehingga memudahkan masyarakat dan untuk mempermudah setiap bidang dalam proses penyelesaian pengaduan serta untuk mempermudah merekap data.</t>
        </is>
      </c>
      <c r="D74" s="178" t="inlineStr">
        <is>
          <t>Undang-Undang Nomor 25 Tahun 2009 tentang Pelayanan Publik</t>
        </is>
      </c>
      <c r="E74" s="131" t="inlineStr">
        <is>
          <t>https://drive.google.com/drive/folders/1zpVBSJQx0K3N4_wyw8qZeOJVWGrdlDAe?hl=ID</t>
        </is>
      </c>
      <c r="F74" s="184" t="inlineStr">
        <is>
          <t>PENINGKATAN KUALITAS PELAYANAN PUBLIK</t>
        </is>
      </c>
      <c r="G74" s="184" t="inlineStr">
        <is>
          <t>Masyarakat</t>
        </is>
      </c>
      <c r="H74" s="184" t="inlineStr">
        <is>
          <t>Data Pengguna, Data Aduan</t>
        </is>
      </c>
      <c r="I74" s="184" t="inlineStr">
        <is>
          <t>Data Aduan Masyarakat</t>
        </is>
      </c>
      <c r="J74" s="184" t="inlineStr">
        <is>
          <t>Terbuka</t>
        </is>
      </c>
      <c r="K74" s="184" t="inlineStr">
        <is>
          <t>Terdapat</t>
        </is>
      </c>
      <c r="L74" s="184" t="inlineStr">
        <is>
          <t>Harian</t>
        </is>
      </c>
      <c r="M74" s="184" t="inlineStr">
        <is>
          <t>SI PUTRA (pengaduan)</t>
        </is>
      </c>
      <c r="N74" s="184" t="inlineStr">
        <is>
          <t>Pihak Ke 3</t>
        </is>
      </c>
      <c r="O74" s="184" t="inlineStr">
        <is>
          <t>Kab. Bandung</t>
        </is>
      </c>
      <c r="P74" s="184" t="inlineStr">
        <is>
          <t>Website dan Mobile</t>
        </is>
      </c>
      <c r="Q74" s="70" t="inlineStr">
        <is>
          <t>linktr.ee/PENGADUAN_DPUTR_KABBDG</t>
        </is>
      </c>
      <c r="R74" s="184" t="inlineStr">
        <is>
          <t>Secara Online</t>
        </is>
      </c>
      <c r="S74" s="184" t="inlineStr">
        <is>
          <t>Transaksi</t>
        </is>
      </c>
      <c r="T74" s="184" t="n">
        <v>2022</v>
      </c>
      <c r="U74" s="184" t="inlineStr">
        <is>
          <t>Aktif</t>
        </is>
      </c>
      <c r="V74" s="184" t="inlineStr">
        <is>
          <t>Tidak</t>
        </is>
      </c>
      <c r="W74" s="184" t="inlineStr">
        <is>
          <t>Tidak Terintegrasi</t>
        </is>
      </c>
      <c r="X74" s="184" t="inlineStr">
        <is>
          <t>Tidak Terintegrasi</t>
        </is>
      </c>
      <c r="Y74" s="184" t="inlineStr">
        <is>
          <t>Tidak Terintegrasi</t>
        </is>
      </c>
      <c r="Z74" s="184" t="inlineStr">
        <is>
          <t>Bidang dan UPTD</t>
        </is>
      </c>
      <c r="AA74" s="184" t="inlineStr">
        <is>
          <t>DPUTR</t>
        </is>
      </c>
      <c r="AB74" s="178" t="inlineStr">
        <is>
          <t>Operator Bidang dan UPTD</t>
        </is>
      </c>
      <c r="AC74" s="288" t="n"/>
      <c r="AD74" s="288" t="n"/>
      <c r="AE74" s="288" t="n"/>
      <c r="AF74" s="64" t="inlineStr">
        <is>
          <t>Harian</t>
        </is>
      </c>
      <c r="AG74" s="284" t="n"/>
      <c r="AH74" s="284" t="n"/>
      <c r="AI74" s="284" t="n"/>
      <c r="AJ74" s="284" t="n"/>
      <c r="AK74" s="284" t="n"/>
      <c r="AL74" s="284" t="n"/>
      <c r="AM74" s="284" t="n"/>
      <c r="AN74" s="284" t="n"/>
      <c r="AO74" s="284" t="n"/>
      <c r="AP74" s="284" t="n"/>
      <c r="AQ74" s="284" t="n"/>
      <c r="AR74" s="284" t="n"/>
    </row>
    <row r="75">
      <c r="A75" s="62" t="n">
        <v>73</v>
      </c>
      <c r="B75" s="178" t="inlineStr">
        <is>
          <t>SIPEDAS (Sistem Informasi Pemetaan Drainase)</t>
        </is>
      </c>
      <c r="C75" s="178" t="inlineStr">
        <is>
          <t>SIPEDAS merupakan sistem informasi elektronik untuk menyediakan data pemetaan dan memantau pembangunan saluran drainase, sanitasi dan persampahan.</t>
        </is>
      </c>
      <c r="D75" s="132" t="inlineStr">
        <is>
          <t>Permen PUPR Nomor 12 Tahun 2014 tentang Penyelenggaraan Sistem Drainase Perkotaan</t>
        </is>
      </c>
      <c r="E75" s="184" t="inlineStr">
        <is>
          <t>Belum Tersedia</t>
        </is>
      </c>
      <c r="F75" s="184" t="inlineStr">
        <is>
          <t>PENGELOLAAN PEMBANGUNAN INFRASTRUKTUR BIDANG PUPR</t>
        </is>
      </c>
      <c r="G75" s="184" t="inlineStr">
        <is>
          <t>Instansi Pemerintah Lainnya</t>
        </is>
      </c>
      <c r="H75" s="184" t="inlineStr">
        <is>
          <t>Data Perencanaan Pembangunan dan Pemeliharaan Saluran Drainase</t>
        </is>
      </c>
      <c r="I75" s="184" t="inlineStr">
        <is>
          <t>Capaian dan Kondisi Saluran Drainase</t>
        </is>
      </c>
      <c r="J75" s="184" t="inlineStr">
        <is>
          <t>Terbatas</t>
        </is>
      </c>
      <c r="K75" s="184" t="inlineStr">
        <is>
          <t>Terdapat</t>
        </is>
      </c>
      <c r="L75" s="184" t="inlineStr">
        <is>
          <t>Bulanan</t>
        </is>
      </c>
      <c r="M75" s="184" t="inlineStr">
        <is>
          <t>SI PUTRA (sipedas)</t>
        </is>
      </c>
      <c r="N75" s="184" t="inlineStr">
        <is>
          <t>Pihak Ke 3</t>
        </is>
      </c>
      <c r="O75" s="184" t="inlineStr">
        <is>
          <t>Kab. Bandung</t>
        </is>
      </c>
      <c r="P75" s="184" t="inlineStr">
        <is>
          <t>Website dan Mobile</t>
        </is>
      </c>
      <c r="Q75" s="70" t="inlineStr">
        <is>
          <t>https://sites.google.com/view/aplikasi-sipedas-drainase/home</t>
        </is>
      </c>
      <c r="R75" s="184" t="inlineStr">
        <is>
          <t>Secara Online</t>
        </is>
      </c>
      <c r="S75" s="184" t="inlineStr">
        <is>
          <t>Informasi</t>
        </is>
      </c>
      <c r="T75" s="184" t="n">
        <v>2024</v>
      </c>
      <c r="U75" s="184" t="inlineStr">
        <is>
          <t>Aktif</t>
        </is>
      </c>
      <c r="V75" s="184" t="inlineStr">
        <is>
          <t>Tidak</t>
        </is>
      </c>
      <c r="W75" s="184" t="inlineStr">
        <is>
          <t>Tidak Terintegrasi</t>
        </is>
      </c>
      <c r="X75" s="184" t="inlineStr">
        <is>
          <t>Tidak Terintegrasi</t>
        </is>
      </c>
      <c r="Y75" s="184" t="inlineStr">
        <is>
          <t>Tidak Terintegrasi</t>
        </is>
      </c>
      <c r="Z75" s="184" t="inlineStr">
        <is>
          <t>Bidang Drainase dan Penyedia Infrastruktur Persampahan</t>
        </is>
      </c>
      <c r="AA75" s="184" t="inlineStr">
        <is>
          <t>DPUTR</t>
        </is>
      </c>
      <c r="AB75" s="178" t="inlineStr">
        <is>
          <t>Roni Romansa</t>
        </is>
      </c>
      <c r="AC75" s="184" t="n">
        <v>85860661778</v>
      </c>
      <c r="AD75" s="178" t="inlineStr">
        <is>
          <t>roni.romansa78@gmail.com</t>
        </is>
      </c>
      <c r="AE75" s="68" t="n">
        <v>47</v>
      </c>
      <c r="AF75" s="64" t="inlineStr">
        <is>
          <t>Bulanan</t>
        </is>
      </c>
      <c r="AG75" s="284" t="n"/>
      <c r="AH75" s="284" t="n"/>
      <c r="AI75" s="284" t="n"/>
      <c r="AJ75" s="284" t="n"/>
      <c r="AK75" s="284" t="n"/>
      <c r="AL75" s="284" t="n"/>
      <c r="AM75" s="284" t="n"/>
      <c r="AN75" s="284" t="n"/>
      <c r="AO75" s="284" t="n"/>
      <c r="AP75" s="284" t="n"/>
      <c r="AQ75" s="284" t="n"/>
      <c r="AR75" s="284" t="n"/>
    </row>
    <row r="76">
      <c r="A76" s="62" t="n">
        <v>74</v>
      </c>
      <c r="B76" s="178" t="inlineStr">
        <is>
          <t>SIJAGA (Sistem Informasi Jaringan Irigasi)</t>
        </is>
      </c>
      <c r="C76" s="178" t="inlineStr">
        <is>
          <t>Si Jaga merupakan aplikasi yang menyediakan data pengelolaan jaringan irigasi di Kabupaten Bandung. Aplikasi ini memanfaatkan teknologi GIS (Geographic Information System) untuk memberikan tampilan peta jaringan irigasi dan informasi terkait aset-aset irigasi seperti bendungan, saluran, pintu air, dan sebagainya.</t>
        </is>
      </c>
      <c r="D76" s="178" t="inlineStr">
        <is>
          <t>Permen PUPR Nomor 12 Tahun 2015 tentang Eksploitasi dan Pemeliharaan Jaringan Irigasi</t>
        </is>
      </c>
      <c r="E76" s="70" t="inlineStr">
        <is>
          <t>https://drive.google.com/drive/folders/1foPXyzm-sQ7KaSp-qTysnVqAWt_Dif53?hl=id</t>
        </is>
      </c>
      <c r="F76" s="184" t="inlineStr">
        <is>
          <t>PENGELOLAAN IRIGASI PERTANIAN, KONSERVASI AIR DAN LINGKUNGAN HIDUP</t>
        </is>
      </c>
      <c r="G76" s="184" t="inlineStr">
        <is>
          <t>Masyarakat</t>
        </is>
      </c>
      <c r="H76" s="184" t="inlineStr">
        <is>
          <t>Data Aduan/
 Pelaporan Jaringan Irigasi</t>
        </is>
      </c>
      <c r="I76" s="184" t="inlineStr">
        <is>
          <t>Data Hasil Aduan/
 Pelaporan Masyarakat</t>
        </is>
      </c>
      <c r="J76" s="184" t="inlineStr">
        <is>
          <t>Terbuka</t>
        </is>
      </c>
      <c r="K76" s="184" t="inlineStr">
        <is>
          <t>Terdapat</t>
        </is>
      </c>
      <c r="L76" s="184" t="inlineStr">
        <is>
          <t>Harian</t>
        </is>
      </c>
      <c r="M76" s="184" t="inlineStr">
        <is>
          <t>SI PUTRA (sijaga)</t>
        </is>
      </c>
      <c r="N76" s="184" t="inlineStr">
        <is>
          <t>Pihak Ke 3</t>
        </is>
      </c>
      <c r="O76" s="184" t="inlineStr">
        <is>
          <t>Kab. Bandung</t>
        </is>
      </c>
      <c r="P76" s="184" t="inlineStr">
        <is>
          <t>Website dan Mobile</t>
        </is>
      </c>
      <c r="Q76" s="70" t="inlineStr">
        <is>
          <t>https://sijaga.kabbdg.com/</t>
        </is>
      </c>
      <c r="R76" s="184" t="inlineStr">
        <is>
          <t>Secara Online</t>
        </is>
      </c>
      <c r="S76" s="184" t="inlineStr">
        <is>
          <t>Transaksi</t>
        </is>
      </c>
      <c r="T76" s="184" t="n">
        <v>2024</v>
      </c>
      <c r="U76" s="184" t="inlineStr">
        <is>
          <t>Maintenance</t>
        </is>
      </c>
      <c r="V76" s="184" t="inlineStr">
        <is>
          <t>Tidak</t>
        </is>
      </c>
      <c r="W76" s="184" t="inlineStr">
        <is>
          <t>Tidak Terintegrasi</t>
        </is>
      </c>
      <c r="X76" s="184" t="inlineStr">
        <is>
          <t>Tidak Terintegrasi</t>
        </is>
      </c>
      <c r="Y76" s="184" t="inlineStr">
        <is>
          <t>Tidak Terintegrasi</t>
        </is>
      </c>
      <c r="Z76" s="184" t="inlineStr">
        <is>
          <t>Bidang Pengelolaan Sumber Daya Air dan Penyediaan Air Minum</t>
        </is>
      </c>
      <c r="AA76" s="184" t="inlineStr">
        <is>
          <t>DPUTR</t>
        </is>
      </c>
      <c r="AB76" s="178" t="inlineStr">
        <is>
          <t>Dian Noorcahya Permana, S.T.</t>
        </is>
      </c>
      <c r="AC76" s="184" t="n">
        <v>89681575101</v>
      </c>
      <c r="AD76" s="178" t="inlineStr">
        <is>
          <t>dian.noorcahya1221@gmail.com</t>
        </is>
      </c>
      <c r="AE76" s="68" t="n">
        <v>47</v>
      </c>
      <c r="AF76" s="64" t="inlineStr">
        <is>
          <t>Harian</t>
        </is>
      </c>
      <c r="AG76" s="284" t="n"/>
      <c r="AH76" s="284" t="n"/>
      <c r="AI76" s="284" t="n"/>
      <c r="AJ76" s="284" t="n"/>
      <c r="AK76" s="284" t="n"/>
      <c r="AL76" s="284" t="n"/>
      <c r="AM76" s="284" t="n"/>
      <c r="AN76" s="284" t="n"/>
      <c r="AO76" s="284" t="n"/>
      <c r="AP76" s="284" t="n"/>
      <c r="AQ76" s="284" t="n"/>
      <c r="AR76" s="284" t="n"/>
    </row>
    <row r="77">
      <c r="A77" s="62" t="n">
        <v>75</v>
      </c>
      <c r="B77" s="178" t="inlineStr">
        <is>
          <t>SIBEDAS JAKON</t>
        </is>
      </c>
      <c r="C77" s="178" t="inlineStr">
        <is>
          <t>SIBEDAS JAKON merupakan aplikasi yang memberikan informasi mengenai paket pekerjaan, penyedia jasa konstruksi, tenaga terampil bersertifikat, dan lain sebagainya.</t>
        </is>
      </c>
      <c r="D77" s="178" t="inlineStr">
        <is>
          <t>Permen PUPR Nomor 22 Tahun 2018 tentang Pembangunan Gedung Negara</t>
        </is>
      </c>
      <c r="E77" s="131" t="inlineStr">
        <is>
          <t>https://drive.google.com/drive/folders/1sHKD9PH8GG_yqtIurnieYvG1qyHCbekF?hl=id</t>
        </is>
      </c>
      <c r="F77" s="184" t="inlineStr">
        <is>
          <t>PENINGKATAN KUALITAS PELAYANAN PUBLIK</t>
        </is>
      </c>
      <c r="G77" s="184" t="inlineStr">
        <is>
          <t>Masyarakat</t>
        </is>
      </c>
      <c r="H77" s="184" t="inlineStr">
        <is>
          <t>Data Peserta Bimtek Tenaga Terampil Konstruksi</t>
        </is>
      </c>
      <c r="I77" s="184" t="inlineStr">
        <is>
          <t>Data Tenaga Terampil Konstruksi yang Bersertifikat</t>
        </is>
      </c>
      <c r="J77" s="184" t="inlineStr">
        <is>
          <t>Terbatas</t>
        </is>
      </c>
      <c r="K77" s="184" t="inlineStr">
        <is>
          <t>Terdapat</t>
        </is>
      </c>
      <c r="L77" s="184" t="inlineStr">
        <is>
          <t>Bulanan</t>
        </is>
      </c>
      <c r="M77" s="184" t="inlineStr">
        <is>
          <t>SI PUTRA (sibedas jakon)</t>
        </is>
      </c>
      <c r="N77" s="184" t="inlineStr">
        <is>
          <t>Pihak Ke 3</t>
        </is>
      </c>
      <c r="O77" s="184" t="inlineStr">
        <is>
          <t>Kab. Bandung</t>
        </is>
      </c>
      <c r="P77" s="184" t="inlineStr">
        <is>
          <t>Website dan Mobile</t>
        </is>
      </c>
      <c r="Q77" s="70" t="inlineStr">
        <is>
          <t>https://sibedasjakon.bandungkab.go.id/</t>
        </is>
      </c>
      <c r="R77" s="184" t="inlineStr">
        <is>
          <t>Secara Online</t>
        </is>
      </c>
      <c r="S77" s="184" t="inlineStr">
        <is>
          <t>Informasi</t>
        </is>
      </c>
      <c r="T77" s="184" t="n">
        <v>2022</v>
      </c>
      <c r="U77" s="184" t="inlineStr">
        <is>
          <t>Aktif</t>
        </is>
      </c>
      <c r="V77" s="184" t="inlineStr">
        <is>
          <t>Tidak</t>
        </is>
      </c>
      <c r="W77" s="184" t="inlineStr">
        <is>
          <t>Tidak Terintegrasi</t>
        </is>
      </c>
      <c r="X77" s="184" t="inlineStr">
        <is>
          <t>Tidak Terintegrasi</t>
        </is>
      </c>
      <c r="Y77" s="184" t="inlineStr">
        <is>
          <t>Tidak Terintegrasi</t>
        </is>
      </c>
      <c r="Z77" s="184" t="inlineStr">
        <is>
          <t>Bidang Pengembangan Jasa Konstruksi</t>
        </is>
      </c>
      <c r="AA77" s="184" t="inlineStr">
        <is>
          <t>DPUTR</t>
        </is>
      </c>
      <c r="AB77" s="178" t="inlineStr">
        <is>
          <t>Fuat Ardi Jaya, S.T.</t>
        </is>
      </c>
      <c r="AC77" s="133" t="n">
        <v>89649072891</v>
      </c>
      <c r="AD77" s="178" t="inlineStr">
        <is>
          <t>fuatardi222@gmail.com</t>
        </is>
      </c>
      <c r="AE77" s="68" t="n">
        <v>13</v>
      </c>
      <c r="AF77" s="64" t="inlineStr">
        <is>
          <t>Bulanan</t>
        </is>
      </c>
      <c r="AG77" s="284" t="n"/>
      <c r="AH77" s="284" t="n"/>
      <c r="AI77" s="284" t="n"/>
      <c r="AJ77" s="284" t="n"/>
      <c r="AK77" s="284" t="n"/>
      <c r="AL77" s="284" t="n"/>
      <c r="AM77" s="284" t="n"/>
      <c r="AN77" s="284" t="n"/>
      <c r="AO77" s="284" t="n"/>
      <c r="AP77" s="284" t="n"/>
      <c r="AQ77" s="284" t="n"/>
      <c r="AR77" s="284" t="n"/>
    </row>
    <row r="78">
      <c r="A78" s="62" t="n">
        <v>76</v>
      </c>
      <c r="B78" s="178" t="inlineStr">
        <is>
          <t>Dashboard Persampahan</t>
        </is>
      </c>
      <c r="C78" s="178" t="inlineStr">
        <is>
          <t>Dashboard Persampahan bertujuan untuk menyediakan platform efisien dan terpadu dalam mengumpulkan, merekam, dan memantau data pemilahan, penanganan dan volume sampah sebelum masuk ke Tempat Pembuangan Akhir (TPA)</t>
        </is>
      </c>
      <c r="D78" s="178" t="inlineStr">
        <is>
          <t>Peraturan Bupati Bandung Nomor 25 Tahun 2010 tentang Pengelolaan Sampah</t>
        </is>
      </c>
      <c r="E78" s="184" t="inlineStr">
        <is>
          <t>Belum Tersedia</t>
        </is>
      </c>
      <c r="F78" s="184" t="inlineStr">
        <is>
          <t>PENGELOLAAN SAMPAH</t>
        </is>
      </c>
      <c r="G78" s="184" t="inlineStr">
        <is>
          <t>Masyarakat</t>
        </is>
      </c>
      <c r="H78" s="184" t="inlineStr">
        <is>
          <t>Data Jenis dan Volume Sampah dari Masyarakat</t>
        </is>
      </c>
      <c r="I78" s="184" t="inlineStr">
        <is>
          <t>Data Hasil Pemilahan dan Banyaknya Sampah yang Terkumpul dari Masyarakat</t>
        </is>
      </c>
      <c r="J78" s="184" t="inlineStr">
        <is>
          <t>Terbuka</t>
        </is>
      </c>
      <c r="K78" s="184" t="inlineStr">
        <is>
          <t>Tidak terdapat</t>
        </is>
      </c>
      <c r="L78" s="184" t="inlineStr">
        <is>
          <t>Mingguan</t>
        </is>
      </c>
      <c r="M78" s="184" t="inlineStr">
        <is>
          <t>SI PUTRA (sibedasok)</t>
        </is>
      </c>
      <c r="N78" s="184" t="inlineStr">
        <is>
          <t>Pihak Ke 3</t>
        </is>
      </c>
      <c r="O78" s="184" t="inlineStr">
        <is>
          <t>Kab. Bandung</t>
        </is>
      </c>
      <c r="P78" s="184" t="inlineStr">
        <is>
          <t>Website dan Mobile</t>
        </is>
      </c>
      <c r="Q78" s="70" t="inlineStr">
        <is>
          <t>https://linktr.ee/SIBEDASOK</t>
        </is>
      </c>
      <c r="R78" s="184" t="inlineStr">
        <is>
          <t>Secara Online</t>
        </is>
      </c>
      <c r="S78" s="184" t="inlineStr">
        <is>
          <t>Informasi</t>
        </is>
      </c>
      <c r="T78" s="184" t="n">
        <v>2024</v>
      </c>
      <c r="U78" s="184" t="inlineStr">
        <is>
          <t>Aktif</t>
        </is>
      </c>
      <c r="V78" s="184" t="inlineStr">
        <is>
          <t>Tidak</t>
        </is>
      </c>
      <c r="W78" s="184" t="inlineStr">
        <is>
          <t>Tidak Terintegrasi</t>
        </is>
      </c>
      <c r="X78" s="184" t="inlineStr">
        <is>
          <t>Tidak Terintegrasi</t>
        </is>
      </c>
      <c r="Y78" s="184" t="inlineStr">
        <is>
          <t>Tidak Terintegrasi</t>
        </is>
      </c>
      <c r="Z78" s="184" t="inlineStr">
        <is>
          <t>Bidang Drainase dan Penyedia Infrastruktur Persampahan</t>
        </is>
      </c>
      <c r="AA78" s="184" t="inlineStr">
        <is>
          <t>DPUTR</t>
        </is>
      </c>
      <c r="AB78" s="178" t="inlineStr">
        <is>
          <t>H. Imam Yudha Pratama, S.T., M.T., M.M.</t>
        </is>
      </c>
      <c r="AC78" s="184" t="n">
        <v>81221971903</v>
      </c>
      <c r="AD78" s="178" t="inlineStr">
        <is>
          <t>imamprogdbm@gmail.com</t>
        </is>
      </c>
      <c r="AE78" s="68" t="inlineStr">
        <is>
          <t>41 dan 46</t>
        </is>
      </c>
      <c r="AF78" s="64" t="inlineStr">
        <is>
          <t>Bulanan</t>
        </is>
      </c>
      <c r="AG78" s="284" t="n"/>
      <c r="AH78" s="284" t="n"/>
      <c r="AI78" s="284" t="n"/>
      <c r="AJ78" s="284" t="n"/>
      <c r="AK78" s="284" t="n"/>
      <c r="AL78" s="284" t="n"/>
      <c r="AM78" s="284" t="n"/>
      <c r="AN78" s="284" t="n"/>
      <c r="AO78" s="284" t="n"/>
      <c r="AP78" s="284" t="n"/>
      <c r="AQ78" s="284" t="n"/>
      <c r="AR78" s="284" t="n"/>
    </row>
    <row r="79">
      <c r="A79" s="62" t="n">
        <v>77</v>
      </c>
      <c r="B79" s="178" t="inlineStr">
        <is>
          <t>Layanan Informasi Perumahan</t>
        </is>
      </c>
      <c r="C79" s="178" t="inlineStr">
        <is>
          <t>memberikan layanan informasi perumahan yang sudah dan akan melaksanakan serah terima PSU perumahan Kabupaten Bandung</t>
        </is>
      </c>
      <c r="D79" s="178" t="inlineStr">
        <is>
          <t>1. Undang - Undang Nomor 1 Tahun 2011 tentang Perumahan dan Kawasan Permukiman
 2. Peraturan Pemerintah Nomor 12 Tahun 2021 tentang Perumahan Atas Peraturan Pemerintah Nomor 14 Tahun 2016 tentang Penyelenggaraan Perumahan dan Kawasan Permukiman
 3. Peraturan Menteri Dalam Negeri Nomor 9 Tahun 2009 Tentang Pedoman Penyerahan Prasarana, Sarana, dan Utilitas Perumahan dan Permukiman di Daerah
 4. Peraturan Daerah Kabupaten Bandung Nomor 5 Tahun 2020 dan Peraturan Bupati Nomor 5 TahunTentang Penyediaan, Penyerahan dan Pengelolaan Prasarana, Sarana dan Utilitas Umum Perumahan dan Permukiman
 5. Peraturan Bupati Bandung Nomor 4 Tahun 2021 tentang Peratura Pelaksanaan Peraturan Daerah Nomor 5 Tahun 2020 tentang Penyediaan, Penyerahan, dan Pengelolaan Prasarana, Sarana, dan Utilitas Umum Perumahan dan Permukiman</t>
        </is>
      </c>
      <c r="E79" s="70" t="inlineStr">
        <is>
          <t>https://drive.google.com/file/d/1kvVSSjFHbdSKP4vPWzb0wDWs5x8kMCbU/view?usp=sharing</t>
        </is>
      </c>
      <c r="F79" s="184" t="inlineStr">
        <is>
          <t>PENYELENGGARAAN PERUMAHAN</t>
        </is>
      </c>
      <c r="G79" s="184" t="inlineStr">
        <is>
          <t>Masyarakat</t>
        </is>
      </c>
      <c r="H79" s="68" t="inlineStr">
        <is>
          <t>Data Pelapor dan Kejadian</t>
        </is>
      </c>
      <c r="I79" s="178" t="inlineStr">
        <is>
          <t>Data Perumahan
 Data Fasos Fasum</t>
        </is>
      </c>
      <c r="J79" s="184" t="inlineStr">
        <is>
          <t>Terbatas</t>
        </is>
      </c>
      <c r="K79" s="184" t="inlineStr">
        <is>
          <t>Terdapat</t>
        </is>
      </c>
      <c r="L79" s="184" t="inlineStr">
        <is>
          <t>Tahunan</t>
        </is>
      </c>
      <c r="M79" s="184" t="inlineStr">
        <is>
          <t>SIPIKAT</t>
        </is>
      </c>
      <c r="N79" s="184" t="inlineStr">
        <is>
          <t>Diskominfo</t>
        </is>
      </c>
      <c r="O79" s="184" t="inlineStr">
        <is>
          <t>Kab. Bandung</t>
        </is>
      </c>
      <c r="P79" s="184" t="inlineStr">
        <is>
          <t>Website</t>
        </is>
      </c>
      <c r="Q79" s="70" t="inlineStr">
        <is>
          <t>https://aplikasi.bandungkab.com/publik/landing-page-aplikasi-sipikat</t>
        </is>
      </c>
      <c r="R79" s="184" t="inlineStr">
        <is>
          <t>Secara Online</t>
        </is>
      </c>
      <c r="S79" s="184" t="inlineStr">
        <is>
          <t>Informasi</t>
        </is>
      </c>
      <c r="T79" s="184" t="n">
        <v>2025</v>
      </c>
      <c r="U79" s="184" t="inlineStr">
        <is>
          <t>Aktif</t>
        </is>
      </c>
      <c r="V79" s="288" t="n"/>
      <c r="W79" s="288" t="n"/>
      <c r="X79" s="288" t="n"/>
      <c r="Y79" s="288" t="n"/>
      <c r="Z79" s="184" t="inlineStr">
        <is>
          <t>Bidang PSU</t>
        </is>
      </c>
      <c r="AA79" s="184" t="inlineStr">
        <is>
          <t>Disperkimtan</t>
        </is>
      </c>
      <c r="AB79" s="288" t="n"/>
      <c r="AC79" s="288" t="n"/>
      <c r="AD79" s="288" t="n"/>
      <c r="AE79" s="288" t="n"/>
      <c r="AF79" s="288" t="n"/>
      <c r="AG79" s="284" t="n"/>
      <c r="AH79" s="284" t="n"/>
      <c r="AI79" s="284" t="n"/>
      <c r="AJ79" s="284" t="n"/>
      <c r="AK79" s="284" t="n"/>
      <c r="AL79" s="284" t="n"/>
      <c r="AM79" s="284" t="n"/>
      <c r="AN79" s="284" t="n"/>
      <c r="AO79" s="284" t="n"/>
      <c r="AP79" s="284" t="n"/>
      <c r="AQ79" s="284" t="n"/>
      <c r="AR79" s="284" t="n"/>
    </row>
    <row r="80">
      <c r="A80" s="62" t="n">
        <v>78</v>
      </c>
      <c r="B80" s="178" t="inlineStr">
        <is>
          <t>Surat Keterangan Tidak Mampu (SKTM) Online</t>
        </is>
      </c>
      <c r="C80" s="178" t="inlineStr">
        <is>
          <t>Surat Keterangan Tidak Mampu (SKTM) adalah surat resmi yang dikeluarkan oleh pemerintah desa/kelurahan Dinas Sosial yang menerangkan bahwa seseorang atau keluarga berada dalam kondisi ekonomi kurang mampu. SKTM biasanya digunakan sebagai syarat untuk mendapatkan keringanan biaya, bantuan sosial, atau akses layanan tertentu dari pemerintah maupun lembaga lain.</t>
        </is>
      </c>
      <c r="D80" s="178" t="inlineStr">
        <is>
          <t>- Peraturan Bupati Bandung Nomor 318 Tahun 2022 tentang Pusat Kesejahteraan Sosial Penanganan Kemiskinan
 - Peraturan Bupati Bandung No 50 Tahun 2018 Tentang Surat Keterangan Tidak Mampu (SKTM)</t>
        </is>
      </c>
      <c r="E80" s="70" t="inlineStr">
        <is>
          <t>https://drive.google.com/file/d/1Ramy4vxff2nlZwmQYryTo4j9HIjXgRt2/view?usp=sharing</t>
        </is>
      </c>
      <c r="F80" s="184" t="inlineStr">
        <is>
          <t>PENYELENGGARAAN PERLINDUNGAN SOSIAL</t>
        </is>
      </c>
      <c r="G80" s="184" t="inlineStr">
        <is>
          <t>Masyarakat</t>
        </is>
      </c>
      <c r="H80" s="184" t="inlineStr">
        <is>
          <t>Berkas
 persyaratan
 pengajuan
 rekomendasi
 SKTM</t>
        </is>
      </c>
      <c r="I80" s="178" t="inlineStr">
        <is>
          <t>Berkas
 rekomendasi
 SKTM</t>
        </is>
      </c>
      <c r="J80" s="184" t="inlineStr">
        <is>
          <t>Tertutup</t>
        </is>
      </c>
      <c r="K80" s="184" t="inlineStr">
        <is>
          <t>Terdapat</t>
        </is>
      </c>
      <c r="L80" s="184" t="inlineStr">
        <is>
          <t>Bulanan</t>
        </is>
      </c>
      <c r="M80" s="184" t="inlineStr">
        <is>
          <t>DIBEDASKEN</t>
        </is>
      </c>
      <c r="N80" s="184" t="inlineStr">
        <is>
          <t>OPD</t>
        </is>
      </c>
      <c r="O80" s="184" t="inlineStr">
        <is>
          <t>Kab. Bandung</t>
        </is>
      </c>
      <c r="P80" s="184" t="inlineStr">
        <is>
          <t>Website dan Mobile</t>
        </is>
      </c>
      <c r="Q80" s="70" t="inlineStr">
        <is>
          <t>https://dibedasken.bandungkab.go.id/</t>
        </is>
      </c>
      <c r="R80" s="184" t="inlineStr">
        <is>
          <t>Secara Online</t>
        </is>
      </c>
      <c r="S80" s="184" t="inlineStr">
        <is>
          <t>Transaksi</t>
        </is>
      </c>
      <c r="T80" s="184" t="n">
        <v>2021</v>
      </c>
      <c r="U80" s="184" t="inlineStr">
        <is>
          <t>Aktif</t>
        </is>
      </c>
      <c r="V80" s="184" t="inlineStr">
        <is>
          <t>Tidak</t>
        </is>
      </c>
      <c r="W80" s="184" t="inlineStr">
        <is>
          <t>Tidak Terintegrasi</t>
        </is>
      </c>
      <c r="X80" s="184" t="inlineStr">
        <is>
          <t>Tidak Terintegrasi</t>
        </is>
      </c>
      <c r="Y80" s="184" t="inlineStr">
        <is>
          <t>Tidak Terintegrasi</t>
        </is>
      </c>
      <c r="Z80" s="184" t="inlineStr">
        <is>
          <t>Bidang Perlindungan dan Jaminan Sosial</t>
        </is>
      </c>
      <c r="AA80" s="184" t="inlineStr">
        <is>
          <t>Dinsos</t>
        </is>
      </c>
      <c r="AB80" s="178" t="inlineStr">
        <is>
          <t>M. Fitrian Ramadan, S.Psi., MM</t>
        </is>
      </c>
      <c r="AC80" s="178" t="n">
        <v>8994413332</v>
      </c>
      <c r="AD80" s="178" t="inlineStr">
        <is>
          <t>programdinsoskabbdg@gmail.com</t>
        </is>
      </c>
      <c r="AE80" s="77" t="n">
        <v>10</v>
      </c>
      <c r="AF80" s="68" t="inlineStr">
        <is>
          <t>Setiap Saat</t>
        </is>
      </c>
      <c r="AG80" s="284" t="n"/>
      <c r="AH80" s="284" t="n"/>
      <c r="AI80" s="284" t="n"/>
      <c r="AJ80" s="284" t="n"/>
      <c r="AK80" s="284" t="n"/>
      <c r="AL80" s="284" t="n"/>
      <c r="AM80" s="284" t="n"/>
      <c r="AN80" s="284" t="n"/>
      <c r="AO80" s="284" t="n"/>
      <c r="AP80" s="284" t="n"/>
      <c r="AQ80" s="284" t="n"/>
      <c r="AR80" s="284" t="n"/>
    </row>
    <row r="81" hidden="1" s="346">
      <c r="A81" s="62" t="n">
        <v>79</v>
      </c>
      <c r="B81" s="178" t="inlineStr">
        <is>
          <t>Layanan AK1</t>
        </is>
      </c>
      <c r="C81" s="178" t="inlineStr">
        <is>
          <t>Layanan AK1: Meningkatkan akses dan pelayanan terkait Ketenagakerjaan untuk mendukung keberlanjutan karir pekerja.</t>
        </is>
      </c>
      <c r="D81" s="178" t="inlineStr">
        <is>
          <t>Permenaker 18 Tahun 2024 tentang Penempatan Tenaga Kerja Dalam Negeri</t>
        </is>
      </c>
      <c r="E81" s="70" t="inlineStr">
        <is>
          <t>https://drive.google.com/drive/folders/1Uinu-ZgkI_8xZeYLw7yaEW1HRhG7prDv?usp=drive_link</t>
        </is>
      </c>
      <c r="F81" s="184" t="inlineStr">
        <is>
          <t>PENINGKATAN KUALITAS PELAYANAN PUBLIK</t>
        </is>
      </c>
      <c r="G81" s="184" t="inlineStr">
        <is>
          <t>Masyarakat</t>
        </is>
      </c>
      <c r="H81" s="184" t="inlineStr">
        <is>
          <t>Data Pencari Kerja</t>
        </is>
      </c>
      <c r="I81" s="178" t="inlineStr">
        <is>
          <t>Kartu AK 1</t>
        </is>
      </c>
      <c r="J81" s="184" t="inlineStr">
        <is>
          <t>Terbuka</t>
        </is>
      </c>
      <c r="K81" s="184" t="inlineStr">
        <is>
          <t>Terdapat</t>
        </is>
      </c>
      <c r="L81" s="184" t="inlineStr">
        <is>
          <t>Harian</t>
        </is>
      </c>
      <c r="M81" s="184" t="inlineStr">
        <is>
          <t>SIAP KERJA</t>
        </is>
      </c>
      <c r="N81" s="184" t="inlineStr">
        <is>
          <t>Pusat</t>
        </is>
      </c>
      <c r="O81" s="184" t="inlineStr">
        <is>
          <t>Pusat</t>
        </is>
      </c>
      <c r="P81" s="184" t="inlineStr">
        <is>
          <t>Website dan Mobile</t>
        </is>
      </c>
      <c r="Q81" s="70" t="inlineStr">
        <is>
          <t>siapkerja.kemnaker.go.id</t>
        </is>
      </c>
      <c r="R81" s="184" t="inlineStr">
        <is>
          <t>Secara Online</t>
        </is>
      </c>
      <c r="S81" s="184" t="inlineStr">
        <is>
          <t>Transaksi</t>
        </is>
      </c>
      <c r="T81" s="184" t="n">
        <v>2023</v>
      </c>
      <c r="U81" s="184" t="inlineStr">
        <is>
          <t>Aktif</t>
        </is>
      </c>
      <c r="V81" s="184" t="inlineStr">
        <is>
          <t>Tidak</t>
        </is>
      </c>
      <c r="W81" s="131" t="inlineStr">
        <is>
          <t>https://dashnaker.bandungkab.go.id/login</t>
        </is>
      </c>
      <c r="X81" s="184" t="inlineStr">
        <is>
          <t>Database to Database</t>
        </is>
      </c>
      <c r="Y81" s="184" t="inlineStr">
        <is>
          <t>Harian</t>
        </is>
      </c>
      <c r="Z81" s="184" t="inlineStr">
        <is>
          <t>Bidang Penempatan Tenaga Kerja</t>
        </is>
      </c>
      <c r="AA81" s="184" t="inlineStr">
        <is>
          <t>Disnaker</t>
        </is>
      </c>
      <c r="AB81" s="178" t="inlineStr">
        <is>
          <t>Panji Subakti</t>
        </is>
      </c>
      <c r="AC81" s="178" t="n">
        <v>85759713013</v>
      </c>
      <c r="AD81" s="178" t="inlineStr">
        <is>
          <t>bidangpenempatan04@gmail.com</t>
        </is>
      </c>
      <c r="AE81" s="68" t="n">
        <v>28</v>
      </c>
      <c r="AF81" s="68" t="inlineStr">
        <is>
          <t>Harian</t>
        </is>
      </c>
      <c r="AG81" s="216" t="inlineStr">
        <is>
          <t>masyarakat</t>
        </is>
      </c>
      <c r="AH81" s="92" t="n"/>
      <c r="AI81" s="92" t="n"/>
      <c r="AJ81" s="92" t="n"/>
      <c r="AK81" s="92" t="n"/>
      <c r="AL81" s="92" t="n"/>
      <c r="AM81" s="92" t="n"/>
      <c r="AN81" s="92" t="n"/>
      <c r="AO81" s="92" t="n"/>
      <c r="AP81" s="92" t="n"/>
      <c r="AQ81" s="92" t="n"/>
      <c r="AR81" s="284" t="n"/>
    </row>
    <row r="82">
      <c r="A82" s="62" t="n">
        <v>80</v>
      </c>
      <c r="B82" s="178" t="inlineStr">
        <is>
          <t>Layanan Informasi Lowongan Pekerjaan</t>
        </is>
      </c>
      <c r="C82" s="178" t="inlineStr">
        <is>
          <t>Layanan Informasi Lowongan Pekerjaan: Memberikan informasi terkini mengenai peluang pekerjaan untuk membantu pengangguran atau pencari kerja.</t>
        </is>
      </c>
      <c r="D82" s="178" t="inlineStr">
        <is>
          <t>Undang-Undang Nomor 13 Tahun 2003 tentang Ketenagakerjaan Pasal 31 s.d. 34 Pemerintah bertanggung jawab menyediakan informasi pasar kerja serta bursa kerja untuk masyarakat, Undang-Undang Nomor 25 Tahun 2009 tentang Pelayanan Publik, Mengatur kewajiban instansi pemerintah dalam memberikan pelayanan publik yang cepat, tepat, transparan, dan akuntabel, termasuk layanan informasi lowongan kerja</t>
        </is>
      </c>
      <c r="E82" s="178" t="inlineStr">
        <is>
          <t>Belum tersedia</t>
        </is>
      </c>
      <c r="F82" s="184" t="inlineStr">
        <is>
          <t>PENINGKATAN KUALITAS PELAYANAN PUBLIK</t>
        </is>
      </c>
      <c r="G82" s="184" t="inlineStr">
        <is>
          <t>Pelaku Bisnis, Masyarakat</t>
        </is>
      </c>
      <c r="H82" s="184" t="inlineStr">
        <is>
          <t>Data Informasi Lowongan Kerja</t>
        </is>
      </c>
      <c r="I82" s="178" t="inlineStr">
        <is>
          <t>Data Lowongan Kerja, Data penempatan</t>
        </is>
      </c>
      <c r="J82" s="184" t="inlineStr">
        <is>
          <t>Terbuka</t>
        </is>
      </c>
      <c r="K82" s="184" t="inlineStr">
        <is>
          <t>Terdapat</t>
        </is>
      </c>
      <c r="L82" s="184" t="inlineStr">
        <is>
          <t>Harian</t>
        </is>
      </c>
      <c r="M82" s="184" t="inlineStr">
        <is>
          <t>Dashnaker Plus</t>
        </is>
      </c>
      <c r="N82" s="184" t="inlineStr">
        <is>
          <t>Diskominfo</t>
        </is>
      </c>
      <c r="O82" s="184" t="inlineStr">
        <is>
          <t>Kab. Bandung</t>
        </is>
      </c>
      <c r="P82" s="184" t="inlineStr">
        <is>
          <t>Website</t>
        </is>
      </c>
      <c r="Q82" s="70" t="inlineStr">
        <is>
          <t>https://dashnaker.bandungkab.go.id/login</t>
        </is>
      </c>
      <c r="R82" s="184" t="inlineStr">
        <is>
          <t>Secara Online</t>
        </is>
      </c>
      <c r="S82" s="184" t="inlineStr">
        <is>
          <t>Informasi</t>
        </is>
      </c>
      <c r="T82" s="184" t="n">
        <v>2021</v>
      </c>
      <c r="U82" s="184" t="inlineStr">
        <is>
          <t>Aktif</t>
        </is>
      </c>
      <c r="V82" s="184" t="inlineStr">
        <is>
          <t>Ya</t>
        </is>
      </c>
      <c r="W82" s="131" t="inlineStr">
        <is>
          <t>http://siapkerja.kemnaker.go.id/</t>
        </is>
      </c>
      <c r="X82" s="184" t="inlineStr">
        <is>
          <t>Database to Database</t>
        </is>
      </c>
      <c r="Y82" s="184" t="inlineStr">
        <is>
          <t>Harian</t>
        </is>
      </c>
      <c r="Z82" s="184" t="inlineStr">
        <is>
          <t>Bidang Perencanaan Tenaga Kerja dan Informasi Pasar Kerja</t>
        </is>
      </c>
      <c r="AA82" s="184" t="inlineStr">
        <is>
          <t>Disnaker</t>
        </is>
      </c>
      <c r="AB82" s="178" t="inlineStr">
        <is>
          <t>Yogie Noor Hidayat, S.I.Kom</t>
        </is>
      </c>
      <c r="AC82" s="178" t="n">
        <v>81809627007</v>
      </c>
      <c r="AD82" s="178" t="inlineStr">
        <is>
          <t>bidjamsosdisnaker@gmail.com</t>
        </is>
      </c>
      <c r="AE82" s="68" t="n">
        <v>28</v>
      </c>
      <c r="AF82" s="68" t="inlineStr">
        <is>
          <t>Harian</t>
        </is>
      </c>
      <c r="AG82" s="216" t="inlineStr">
        <is>
          <t>masyarakat dan perushaan</t>
        </is>
      </c>
      <c r="AI82" s="92" t="n"/>
      <c r="AJ82" s="92" t="n"/>
      <c r="AK82" s="92" t="n"/>
      <c r="AL82" s="92" t="n"/>
      <c r="AM82" s="92" t="n"/>
      <c r="AN82" s="92" t="n"/>
      <c r="AO82" s="92" t="n"/>
      <c r="AP82" s="92" t="n"/>
      <c r="AQ82" s="92" t="n"/>
      <c r="AR82" s="284" t="n"/>
    </row>
    <row r="83" hidden="1" s="346">
      <c r="A83" s="62" t="n">
        <v>81</v>
      </c>
      <c r="B83" s="178" t="inlineStr">
        <is>
          <t>Layanan Pengajuan dan Registrasi Transmigrasi</t>
        </is>
      </c>
      <c r="C83" s="178" t="inlineStr">
        <is>
          <t>Layanan Pengajuan dan Registrasi Transmigrasi: Memfasilitasi proses pendaftaran dan registrasi bagi individu yang ingin mengikuti program transmigrasi.</t>
        </is>
      </c>
      <c r="D83" s="178" t="inlineStr">
        <is>
          <t>Undang-Undang Nomor 29 Tahun 2009 tentang Perubahan atas UU No. 15 Tahun 1997 tentang Ketransmigrasian.
 Peraturan Pemerintah Nomor 3 Tahun 2014 tentang Pelaksanaan UU No. 15 Tahun 1997 tentang Ketransmigrasian.
 Peraturan Menteri Tenaga Kerja dan Transmigrasi Nomor 25 Tahun 2009 tentang Tingkat Perkembangan Permukiman Transmigrasi dan Kesejahteraan Transmigran.
 Peraturan Menteri Tenaga Kerja dan Transmigrasi Nomor 9 Tahun 2012 tentang Pedoman Pengelolaan Data dan Informasi Ketransmigrasian.</t>
        </is>
      </c>
      <c r="E83" s="178" t="inlineStr">
        <is>
          <t>Belum tersedia</t>
        </is>
      </c>
      <c r="F83" s="184" t="inlineStr">
        <is>
          <t>PENINGKATAN KUALITAS PELAYANAN PUBLIK</t>
        </is>
      </c>
      <c r="G83" s="184" t="inlineStr">
        <is>
          <t>Masyarakat</t>
        </is>
      </c>
      <c r="H83" s="184" t="inlineStr">
        <is>
          <t>Data Pemohon</t>
        </is>
      </c>
      <c r="I83" s="178" t="inlineStr">
        <is>
          <t>Data Animo</t>
        </is>
      </c>
      <c r="J83" s="184" t="inlineStr">
        <is>
          <t>Terbuka</t>
        </is>
      </c>
      <c r="K83" s="184" t="inlineStr">
        <is>
          <t>Terdapat</t>
        </is>
      </c>
      <c r="L83" s="184" t="inlineStr">
        <is>
          <t>Harian</t>
        </is>
      </c>
      <c r="M83" s="184" t="inlineStr">
        <is>
          <t>SIBARDUKTRANS</t>
        </is>
      </c>
      <c r="N83" s="184" t="inlineStr">
        <is>
          <t>Pusat</t>
        </is>
      </c>
      <c r="O83" s="184" t="inlineStr">
        <is>
          <t>Pusat</t>
        </is>
      </c>
      <c r="P83" s="184" t="inlineStr">
        <is>
          <t>Website</t>
        </is>
      </c>
      <c r="Q83" s="70" t="inlineStr">
        <is>
          <t>sibarduktrans.transmigrasi.go.id</t>
        </is>
      </c>
      <c r="R83" s="184" t="inlineStr">
        <is>
          <t>Secara Online</t>
        </is>
      </c>
      <c r="S83" s="184" t="inlineStr">
        <is>
          <t>Informasi</t>
        </is>
      </c>
      <c r="T83" s="184" t="n">
        <v>2024</v>
      </c>
      <c r="U83" s="184" t="inlineStr">
        <is>
          <t>Aktif</t>
        </is>
      </c>
      <c r="V83" s="184" t="inlineStr">
        <is>
          <t>Tidak</t>
        </is>
      </c>
      <c r="W83" s="184" t="inlineStr">
        <is>
          <t>Tidak Terintegrasi</t>
        </is>
      </c>
      <c r="X83" s="184" t="inlineStr">
        <is>
          <t>Tidak Terintegrasi</t>
        </is>
      </c>
      <c r="Y83" s="184" t="inlineStr">
        <is>
          <t>Tidak Terintegrasi</t>
        </is>
      </c>
      <c r="Z83" s="184" t="inlineStr">
        <is>
          <t>Bidang Penempatan Tenagga Kerja</t>
        </is>
      </c>
      <c r="AA83" s="184" t="inlineStr">
        <is>
          <t>Disnaker</t>
        </is>
      </c>
      <c r="AB83" s="178" t="inlineStr">
        <is>
          <t>Jana Silniodi</t>
        </is>
      </c>
      <c r="AC83" s="178" t="n">
        <v>8122423955</v>
      </c>
      <c r="AD83" s="178" t="inlineStr">
        <is>
          <t>bidangpenempatan04@gmail.com</t>
        </is>
      </c>
      <c r="AE83" s="68" t="n">
        <v>28</v>
      </c>
      <c r="AF83" s="68" t="inlineStr">
        <is>
          <t>Harian</t>
        </is>
      </c>
      <c r="AG83" s="284" t="n"/>
      <c r="AH83" s="284" t="n"/>
      <c r="AI83" s="284" t="n"/>
      <c r="AJ83" s="284" t="n"/>
      <c r="AK83" s="284" t="n"/>
      <c r="AL83" s="284" t="n"/>
      <c r="AM83" s="284" t="n"/>
      <c r="AN83" s="284" t="n"/>
      <c r="AO83" s="284" t="n"/>
      <c r="AP83" s="284" t="n"/>
      <c r="AQ83" s="284" t="n"/>
      <c r="AR83" s="284" t="n"/>
    </row>
    <row r="84">
      <c r="A84" s="62" t="n">
        <v>82</v>
      </c>
      <c r="B84" s="178" t="inlineStr">
        <is>
          <t>Layanan Sistem informasi Pelaporan Tindak Kekerasan Perempuan Dan Anak</t>
        </is>
      </c>
      <c r="C84" s="178" t="inlineStr">
        <is>
          <t>Memberikan Layanan Data Korban kekerasan Terhadap Perempuan dan Anak</t>
        </is>
      </c>
      <c r="D84" s="178" t="inlineStr">
        <is>
          <t>- Undang-Undang Nomor 23 Tahun 2004 Tentang Penghapusan KDRT
 - Peraturan Daerah Kabupaten Bandung Nomor 20 Tahun 2016 Tentang Perlindungan Hak Anak Di Daerah Kabupaten Bandung</t>
        </is>
      </c>
      <c r="E84" s="70" t="inlineStr">
        <is>
          <t>https://drive.google.com/file/d/13kiJLOSVRFOj2CqIpMMxJSxRVwkT4VuN/view?usp=drive_link</t>
        </is>
      </c>
      <c r="F84" s="184" t="inlineStr">
        <is>
          <t>PENINGKATAN KUALITAS PELAYANAN PUBLIK</t>
        </is>
      </c>
      <c r="G84" s="184" t="inlineStr">
        <is>
          <t>Masyarakat</t>
        </is>
      </c>
      <c r="H84" s="184" t="inlineStr">
        <is>
          <t>Data Korban,Progres Pendampingan</t>
        </is>
      </c>
      <c r="I84" s="178" t="inlineStr">
        <is>
          <t>Progres Pendampingan</t>
        </is>
      </c>
      <c r="J84" s="184" t="inlineStr">
        <is>
          <t>Rahasia</t>
        </is>
      </c>
      <c r="K84" s="184" t="inlineStr">
        <is>
          <t>Terdapat</t>
        </is>
      </c>
      <c r="L84" s="184" t="inlineStr">
        <is>
          <t>Harian</t>
        </is>
      </c>
      <c r="M84" s="184" t="inlineStr">
        <is>
          <t>SIPETIK</t>
        </is>
      </c>
      <c r="N84" s="184" t="inlineStr">
        <is>
          <t>Diskominfo</t>
        </is>
      </c>
      <c r="O84" s="184" t="inlineStr">
        <is>
          <t>Kab. Bandung</t>
        </is>
      </c>
      <c r="P84" s="184" t="inlineStr">
        <is>
          <t>Website</t>
        </is>
      </c>
      <c r="Q84" s="70" t="inlineStr">
        <is>
          <t>https://dp2kbp3a.bandungkab.go.id/ppa/</t>
        </is>
      </c>
      <c r="R84" s="184" t="inlineStr">
        <is>
          <t>Secara Online</t>
        </is>
      </c>
      <c r="S84" s="184" t="inlineStr">
        <is>
          <t>Transaksi</t>
        </is>
      </c>
      <c r="T84" s="98" t="n">
        <v>2023</v>
      </c>
      <c r="U84" s="184" t="inlineStr">
        <is>
          <t>Aktif</t>
        </is>
      </c>
      <c r="V84" s="184" t="inlineStr">
        <is>
          <t>Tidak</t>
        </is>
      </c>
      <c r="W84" s="184" t="inlineStr">
        <is>
          <t>Tidak Terintegrasi</t>
        </is>
      </c>
      <c r="X84" s="184" t="inlineStr">
        <is>
          <t>Tidak Terintegrasi</t>
        </is>
      </c>
      <c r="Y84" s="184" t="inlineStr">
        <is>
          <t>Tidak Terintegrasi</t>
        </is>
      </c>
      <c r="Z84" s="184" t="inlineStr">
        <is>
          <t>Bidang pemberdayaan Perempuan</t>
        </is>
      </c>
      <c r="AA84" s="184" t="inlineStr">
        <is>
          <t>DP2KBP3A</t>
        </is>
      </c>
      <c r="AB84" s="142" t="inlineStr">
        <is>
          <t>Deti Rosdiani</t>
        </is>
      </c>
      <c r="AC84" s="178" t="n">
        <v>85722205379</v>
      </c>
      <c r="AD84" s="288" t="n"/>
      <c r="AE84" s="77" t="n">
        <v>11</v>
      </c>
      <c r="AF84" s="68" t="inlineStr">
        <is>
          <t>Harian</t>
        </is>
      </c>
      <c r="AG84" s="284" t="n"/>
      <c r="AH84" s="284" t="n"/>
      <c r="AI84" s="284" t="n"/>
      <c r="AJ84" s="284" t="n"/>
      <c r="AK84" s="284" t="n"/>
      <c r="AL84" s="284" t="n"/>
      <c r="AM84" s="284" t="n"/>
      <c r="AN84" s="284" t="n"/>
      <c r="AO84" s="284" t="n"/>
      <c r="AP84" s="284" t="n"/>
      <c r="AQ84" s="284" t="n"/>
      <c r="AR84" s="284" t="n"/>
    </row>
    <row r="85">
      <c r="A85" s="62" t="n">
        <v>83</v>
      </c>
      <c r="B85" s="178" t="inlineStr">
        <is>
          <t>Penyusunan Penganggaran Perencanaan Responsif Gender BErsinergi Dalam Anggaran PengaruStamaan - Gender</t>
        </is>
      </c>
      <c r="C85" s="178" t="inlineStr">
        <is>
          <t>Untuk Mempermudah Instansi Lainya Untuk Mengkases Gender Analysis Pathway dan Gender Budget Statement</t>
        </is>
      </c>
      <c r="D85" s="178" t="inlineStr">
        <is>
          <t>Peraturan Bupati Nomor 24 tahun 2016 Tentang Pedoman Umum Pelaksanaan Pengarustamaan Gender dalam Pembangunan Daerah di Kabupaten bandung</t>
        </is>
      </c>
      <c r="E85" s="70" t="inlineStr">
        <is>
          <t>https://drive.google.com/file/d/1qhJbKAh0RXizTZVD-lHLPJTl4ZBGbOzZ/view?usp=sharing</t>
        </is>
      </c>
      <c r="F85" s="184" t="inlineStr">
        <is>
          <t>KESETARAAN GENDER</t>
        </is>
      </c>
      <c r="G85" s="184" t="inlineStr">
        <is>
          <t>Instansi Pemerintah Lainnya</t>
        </is>
      </c>
      <c r="H85" s="184" t="inlineStr">
        <is>
          <t>Perencanaan Dan Penganggaran Renfonsif Gender</t>
        </is>
      </c>
      <c r="I85" s="178" t="inlineStr">
        <is>
          <t>Data Gender Analisis Patway,Data Gender Budget Statmen</t>
        </is>
      </c>
      <c r="J85" s="184" t="inlineStr">
        <is>
          <t>Terbatas</t>
        </is>
      </c>
      <c r="K85" s="184" t="inlineStr">
        <is>
          <t>Tidak terdapat</t>
        </is>
      </c>
      <c r="L85" s="184" t="inlineStr">
        <is>
          <t>Tahunan</t>
        </is>
      </c>
      <c r="M85" s="184" t="inlineStr">
        <is>
          <t>PPRG BEDAS-G</t>
        </is>
      </c>
      <c r="N85" s="184" t="inlineStr">
        <is>
          <t>Diskominfo</t>
        </is>
      </c>
      <c r="O85" s="184" t="inlineStr">
        <is>
          <t>Kab. Bandung</t>
        </is>
      </c>
      <c r="P85" s="184" t="inlineStr">
        <is>
          <t>Website</t>
        </is>
      </c>
      <c r="Q85" s="70" t="inlineStr">
        <is>
          <t>https://dp2kbp3a.bandungkab.go.id/pprg/</t>
        </is>
      </c>
      <c r="R85" s="184" t="inlineStr">
        <is>
          <t>Secara Online</t>
        </is>
      </c>
      <c r="S85" s="184" t="inlineStr">
        <is>
          <t>Transaksi</t>
        </is>
      </c>
      <c r="T85" s="98" t="n">
        <v>2022</v>
      </c>
      <c r="U85" s="184" t="inlineStr">
        <is>
          <t>Aktif</t>
        </is>
      </c>
      <c r="V85" s="184" t="inlineStr">
        <is>
          <t>Ya</t>
        </is>
      </c>
      <c r="W85" s="184" t="inlineStr">
        <is>
          <t>Terintegrasi dengan aplikasi SIPD</t>
        </is>
      </c>
      <c r="X85" s="184" t="inlineStr">
        <is>
          <t>Manual</t>
        </is>
      </c>
      <c r="Y85" s="184" t="inlineStr">
        <is>
          <t>Tahunan</t>
        </is>
      </c>
      <c r="Z85" s="184" t="inlineStr">
        <is>
          <t>Bidang pemberdayaan Perempuan</t>
        </is>
      </c>
      <c r="AA85" s="184" t="inlineStr">
        <is>
          <t>DP2KBP3A</t>
        </is>
      </c>
      <c r="AB85" s="178" t="inlineStr">
        <is>
          <t>Raihan Ilhamudin, S. Kep</t>
        </is>
      </c>
      <c r="AC85" s="178" t="n">
        <v>82317985659</v>
      </c>
      <c r="AD85" s="178" t="inlineStr">
        <is>
          <t>raihanilham6@gmail.com</t>
        </is>
      </c>
      <c r="AE85" s="77" t="n">
        <v>11</v>
      </c>
      <c r="AF85" s="68" t="inlineStr">
        <is>
          <t>Tahunan</t>
        </is>
      </c>
      <c r="AG85" s="284" t="n"/>
      <c r="AH85" s="284" t="n"/>
      <c r="AI85" s="284" t="n"/>
      <c r="AJ85" s="284" t="n"/>
      <c r="AK85" s="284" t="n"/>
      <c r="AL85" s="284" t="n"/>
      <c r="AM85" s="284" t="n"/>
      <c r="AN85" s="284" t="n"/>
      <c r="AO85" s="284" t="n"/>
      <c r="AP85" s="284" t="n"/>
      <c r="AQ85" s="284" t="n"/>
      <c r="AR85" s="284" t="n"/>
    </row>
    <row r="86" hidden="1" s="346">
      <c r="A86" s="62" t="n">
        <v>84</v>
      </c>
      <c r="B86" s="178" t="inlineStr">
        <is>
          <t>Sistem Informasi Keluarga</t>
        </is>
      </c>
      <c r="C86" s="178" t="inlineStr">
        <is>
          <t>mengumpulkan, mengelola, dan menyajikan data serta informasi yang akurat dan terkini mengenai kependudukan dan keluarga berencana untuk mendukung perencanaan dan intervensi program-program BKKBN, seperti Program Bangga Kencana dan penurunan stunting.</t>
        </is>
      </c>
      <c r="D86" s="178" t="inlineStr">
        <is>
          <t>Undang-Undang Nomor 52 Tahun 2009 tentang Perkembangan
 Kependudukan dan Pembangunan Keluarga, Badan Kependudukan dan Keluarga
 Berencana Nasional memiliki tugas untuk melaksanakan Program Pembangunan
 Keluarga, Kependudukan dan Keluarga Berencana (Bangga Kencana)</t>
        </is>
      </c>
      <c r="E86" s="288" t="n"/>
      <c r="F86" s="184" t="inlineStr">
        <is>
          <t>PENDATAAN KELUARGA</t>
        </is>
      </c>
      <c r="G86" s="184" t="inlineStr">
        <is>
          <t>Masyarakat</t>
        </is>
      </c>
      <c r="H86" s="184" t="inlineStr">
        <is>
          <t>Data Keluarga</t>
        </is>
      </c>
      <c r="I86" s="178" t="inlineStr">
        <is>
          <t>,Data Hasil Pelayanan KB,Data Pendataan Keluarga</t>
        </is>
      </c>
      <c r="J86" s="184" t="inlineStr">
        <is>
          <t>Tertutup</t>
        </is>
      </c>
      <c r="K86" s="184" t="inlineStr">
        <is>
          <t>Terdapat</t>
        </is>
      </c>
      <c r="L86" s="184" t="inlineStr">
        <is>
          <t>Bulanan</t>
        </is>
      </c>
      <c r="M86" s="184" t="inlineStr">
        <is>
          <t>SIGA</t>
        </is>
      </c>
      <c r="N86" s="184" t="inlineStr">
        <is>
          <t>Pusat</t>
        </is>
      </c>
      <c r="O86" s="184" t="inlineStr">
        <is>
          <t>Pusat</t>
        </is>
      </c>
      <c r="P86" s="184" t="inlineStr">
        <is>
          <t>Website dan Mobile</t>
        </is>
      </c>
      <c r="Q86" s="70" t="inlineStr">
        <is>
          <t>https://siga.bkkbn.go.id/</t>
        </is>
      </c>
      <c r="R86" s="184" t="inlineStr">
        <is>
          <t>Secara Online</t>
        </is>
      </c>
      <c r="S86" s="184" t="inlineStr">
        <is>
          <t>Transaksi</t>
        </is>
      </c>
      <c r="T86" s="98" t="n">
        <v>2023</v>
      </c>
      <c r="U86" s="184" t="inlineStr">
        <is>
          <t>Aktif</t>
        </is>
      </c>
      <c r="V86" s="184" t="inlineStr">
        <is>
          <t>Ya</t>
        </is>
      </c>
      <c r="W86" s="184" t="inlineStr">
        <is>
          <t>SIPERINDU</t>
        </is>
      </c>
      <c r="X86" s="184" t="inlineStr">
        <is>
          <t>API</t>
        </is>
      </c>
      <c r="Y86" s="184" t="inlineStr">
        <is>
          <t>Realtime</t>
        </is>
      </c>
      <c r="Z86" s="184" t="inlineStr">
        <is>
          <t>Bidang Pengendalian Penduduk</t>
        </is>
      </c>
      <c r="AA86" s="184" t="inlineStr">
        <is>
          <t>DP2KBP3A</t>
        </is>
      </c>
      <c r="AB86" s="178" t="inlineStr">
        <is>
          <t>Sangki Sopyan, S. Pd. OR</t>
        </is>
      </c>
      <c r="AC86" s="178" t="n">
        <v>85729245486</v>
      </c>
      <c r="AD86" s="288" t="n"/>
      <c r="AE86" s="77" t="n">
        <v>9</v>
      </c>
      <c r="AF86" s="68" t="inlineStr">
        <is>
          <t>Tahunan</t>
        </is>
      </c>
      <c r="AG86" s="284" t="n"/>
      <c r="AH86" s="284" t="n"/>
      <c r="AI86" s="284" t="n"/>
      <c r="AJ86" s="284" t="n"/>
      <c r="AK86" s="284" t="n"/>
      <c r="AL86" s="284" t="n"/>
      <c r="AM86" s="284" t="n"/>
      <c r="AN86" s="284" t="n"/>
      <c r="AO86" s="284" t="n"/>
      <c r="AP86" s="284" t="n"/>
      <c r="AQ86" s="284" t="n"/>
      <c r="AR86" s="284" t="n"/>
    </row>
    <row r="87">
      <c r="A87" s="62" t="n">
        <v>85</v>
      </c>
      <c r="B87" s="178" t="inlineStr">
        <is>
          <t>Satgas Perlindungan Perempuan dan Anak</t>
        </is>
      </c>
      <c r="C87" s="178" t="inlineStr">
        <is>
          <t>Menciptakan Lingkungan yang Aman Bagi Perempuan dan Anak di Kecamatan dan Desa/Kelurahan dan Memastikan Mendapatkan Hak-Hak untuk Hidup Tumbuh,Berkembang Dan berpartisipasi secara Optimal sesuai harkat dan Martabat Kemanusiaan serta terlindungi dari kekerasan dan diskriminasi</t>
        </is>
      </c>
      <c r="D87" s="178" t="inlineStr">
        <is>
          <t>- Peraturan Daerah Nomor 20 Tahun 2016 Tentang Perlindungan dan Hak Anak
 - Peraturan Daerah Nomor 21 Tahun 2016 Tenang Perlindungan Perempuan</t>
        </is>
      </c>
      <c r="E87" s="70" t="inlineStr">
        <is>
          <t>https://drive.google.com/file/d/16ULKF-_fc7--75zz-4n8WtETaChfDzBD/view?usp=sharing</t>
        </is>
      </c>
      <c r="F87" s="184" t="inlineStr">
        <is>
          <t>PENINGKATAN KUALITAS PELAYANAN PUBLIK</t>
        </is>
      </c>
      <c r="G87" s="184" t="inlineStr">
        <is>
          <t>Masyarakat</t>
        </is>
      </c>
      <c r="H87" s="184" t="inlineStr">
        <is>
          <t>Data Perempuan Kepala Keluarga</t>
        </is>
      </c>
      <c r="I87" s="178" t="inlineStr">
        <is>
          <t>Data Perempuan Kepala Keluarga</t>
        </is>
      </c>
      <c r="J87" s="184" t="inlineStr">
        <is>
          <t>Tertutup</t>
        </is>
      </c>
      <c r="K87" s="184" t="inlineStr">
        <is>
          <t>Terdapat</t>
        </is>
      </c>
      <c r="L87" s="184" t="inlineStr">
        <is>
          <t>Bulanan</t>
        </is>
      </c>
      <c r="M87" s="184" t="inlineStr">
        <is>
          <t>SAPPANA</t>
        </is>
      </c>
      <c r="N87" s="184" t="inlineStr">
        <is>
          <t>Diskominfo</t>
        </is>
      </c>
      <c r="O87" s="184" t="inlineStr">
        <is>
          <t>Kab. Bandung</t>
        </is>
      </c>
      <c r="P87" s="184" t="inlineStr">
        <is>
          <t>Website</t>
        </is>
      </c>
      <c r="Q87" s="70" t="inlineStr">
        <is>
          <t>https://dp2kbp3a.bandungkab.go.id/sappana/</t>
        </is>
      </c>
      <c r="R87" s="184" t="inlineStr">
        <is>
          <t>Secara Online</t>
        </is>
      </c>
      <c r="S87" s="184" t="inlineStr">
        <is>
          <t>Transaksi</t>
        </is>
      </c>
      <c r="T87" s="98" t="n">
        <v>2024</v>
      </c>
      <c r="U87" s="184" t="inlineStr">
        <is>
          <t>Aktif</t>
        </is>
      </c>
      <c r="V87" s="184" t="inlineStr">
        <is>
          <t>Ya</t>
        </is>
      </c>
      <c r="W87" s="184" t="inlineStr">
        <is>
          <t>Terintegrasi dengan SIPETIK</t>
        </is>
      </c>
      <c r="X87" s="184" t="inlineStr">
        <is>
          <t>Tidak Terintegrasi</t>
        </is>
      </c>
      <c r="Y87" s="184" t="inlineStr">
        <is>
          <t>Tahunan</t>
        </is>
      </c>
      <c r="Z87" s="184" t="inlineStr">
        <is>
          <t>Bidang pemberdayaan Perempuan</t>
        </is>
      </c>
      <c r="AA87" s="184" t="inlineStr">
        <is>
          <t>DP2KBP3A</t>
        </is>
      </c>
      <c r="AB87" s="178" t="inlineStr">
        <is>
          <t>Riki Kardina, S. Ag</t>
        </is>
      </c>
      <c r="AC87" s="178" t="n">
        <v>882001405143</v>
      </c>
      <c r="AD87" s="288" t="n"/>
      <c r="AE87" s="77" t="n">
        <v>11</v>
      </c>
      <c r="AF87" s="68" t="inlineStr">
        <is>
          <t>Bulanan</t>
        </is>
      </c>
      <c r="AG87" s="284" t="n"/>
      <c r="AH87" s="284" t="n"/>
      <c r="AI87" s="284" t="n"/>
      <c r="AJ87" s="284" t="n"/>
      <c r="AK87" s="284" t="n"/>
      <c r="AL87" s="284" t="n"/>
      <c r="AM87" s="284" t="n"/>
      <c r="AN87" s="284" t="n"/>
      <c r="AO87" s="284" t="n"/>
      <c r="AP87" s="284" t="n"/>
      <c r="AQ87" s="284" t="n"/>
      <c r="AR87" s="284" t="n"/>
    </row>
    <row r="88" hidden="1" s="346">
      <c r="A88" s="62" t="n">
        <v>86</v>
      </c>
      <c r="B88" s="178" t="inlineStr">
        <is>
          <t>Sistem Informasi Online Perlindungan Perempuan dan Anak</t>
        </is>
      </c>
      <c r="C88" s="178" t="inlineStr">
        <is>
          <t>Pencatatan dan pelaporan kekerasan terhadap perempuan dan anak yang terjadi di wilayah Indonesia, baik untuk warga negara indonesia maupun warga negara asing. SIMFONI PPA bekerja sama dengan instansi pemerintahan di setiap provinsi / kabupaten / kota sehingga aplikasi dapat diakses oleh semua unit layanan penanganan korban kekerasan perempuan dan anak dibawah pada tingkat nasional meliputi provinsi / kabupaten / kota secara up to date.</t>
        </is>
      </c>
      <c r="D88" s="178" t="inlineStr">
        <is>
          <t>Undang-Undang Nomor 23 Tahun 2004 Tentang Penghapusan KDRT</t>
        </is>
      </c>
      <c r="E88" s="70" t="inlineStr">
        <is>
          <t>https://docs.google.com/spreadsheets/d/1f2FpxtXLWyTMlao3H1cM7ZWvZY62FNOP/edit?usp=drivesdk&amp;ouid=101319060553117315214&amp;rtpof=true&amp;sd=true</t>
        </is>
      </c>
      <c r="F88" s="184" t="inlineStr">
        <is>
          <t>PENYEDIA LAYANAN BAGI ANAK YANG MEMERLUKAN PERLINDUNGAN KHUSUS DAN PEREMPUAN KORBAN KEKERASAN YANG MEMERLUKAN KOORDINASI LINTAS PROVINSI, TINGKAT NASIONAL, DAN INTERNASIONAL</t>
        </is>
      </c>
      <c r="G88" s="184" t="inlineStr">
        <is>
          <t>Pegawai</t>
        </is>
      </c>
      <c r="H88" s="184" t="inlineStr">
        <is>
          <t>Data Korban,Progres Pendampingan</t>
        </is>
      </c>
      <c r="I88" s="178" t="inlineStr">
        <is>
          <t>Data Korban Kekerasan Perempuan dan Anak, Progres penanganan Kasus</t>
        </is>
      </c>
      <c r="J88" s="184" t="inlineStr">
        <is>
          <t>Rahasia</t>
        </is>
      </c>
      <c r="K88" s="184" t="inlineStr">
        <is>
          <t>Terdapat</t>
        </is>
      </c>
      <c r="L88" s="184" t="inlineStr">
        <is>
          <t>Lainnya</t>
        </is>
      </c>
      <c r="M88" s="184" t="inlineStr">
        <is>
          <t>Simfoni PPA</t>
        </is>
      </c>
      <c r="N88" s="184" t="inlineStr">
        <is>
          <t>Pusat</t>
        </is>
      </c>
      <c r="O88" s="184" t="inlineStr">
        <is>
          <t>Pusat</t>
        </is>
      </c>
      <c r="P88" s="184" t="inlineStr">
        <is>
          <t>Website</t>
        </is>
      </c>
      <c r="Q88" s="70" t="inlineStr">
        <is>
          <t>https://simfonippa.kemenpppa.go.id/</t>
        </is>
      </c>
      <c r="R88" s="184" t="inlineStr">
        <is>
          <t>Secara Online</t>
        </is>
      </c>
      <c r="S88" s="184" t="inlineStr">
        <is>
          <t>Transaksi</t>
        </is>
      </c>
      <c r="T88" s="98" t="n">
        <v>2019</v>
      </c>
      <c r="U88" s="184" t="inlineStr">
        <is>
          <t>Aktif</t>
        </is>
      </c>
      <c r="V88" s="184" t="inlineStr">
        <is>
          <t>Tidak</t>
        </is>
      </c>
      <c r="W88" s="184" t="inlineStr">
        <is>
          <t>Tidak Terintegrasi</t>
        </is>
      </c>
      <c r="X88" s="184" t="inlineStr">
        <is>
          <t>Tidak Terintegrasi</t>
        </is>
      </c>
      <c r="Y88" s="184" t="inlineStr">
        <is>
          <t>Tidak Terintegrasi</t>
        </is>
      </c>
      <c r="Z88" s="184" t="inlineStr">
        <is>
          <t>Unit Pelaksana Teknis Daerah Perindungan Perempuan dan Anak</t>
        </is>
      </c>
      <c r="AA88" s="184" t="inlineStr">
        <is>
          <t>DP2KBP3A</t>
        </is>
      </c>
      <c r="AB88" s="178" t="inlineStr">
        <is>
          <t>Dinda Nurul</t>
        </is>
      </c>
      <c r="AC88" s="178" t="n">
        <v>81320344426</v>
      </c>
      <c r="AD88" s="178" t="inlineStr">
        <is>
          <t>dindanurul150@gmail.com</t>
        </is>
      </c>
      <c r="AE88" s="77" t="n">
        <v>11</v>
      </c>
      <c r="AF88" s="68" t="inlineStr">
        <is>
          <t>Insidentil</t>
        </is>
      </c>
      <c r="AG88" s="284" t="n"/>
      <c r="AH88" s="284" t="n"/>
      <c r="AI88" s="284" t="n"/>
      <c r="AJ88" s="284" t="n"/>
      <c r="AK88" s="284" t="n"/>
      <c r="AL88" s="284" t="n"/>
      <c r="AM88" s="284" t="n"/>
      <c r="AN88" s="284" t="n"/>
      <c r="AO88" s="284" t="n"/>
      <c r="AP88" s="284" t="n"/>
      <c r="AQ88" s="284" t="n"/>
      <c r="AR88" s="284" t="n"/>
    </row>
    <row r="89">
      <c r="A89" s="62" t="n">
        <v>87</v>
      </c>
      <c r="B89" s="178" t="inlineStr">
        <is>
          <t>Layanan Bersama Lindungi Anak</t>
        </is>
      </c>
      <c r="C89" s="178" t="inlineStr">
        <is>
          <t>pengumpulan data tekait KLA untuk mengumpulkan bukti dukung program pemenuhan hak anak di kabupaten bandung</t>
        </is>
      </c>
      <c r="D89" s="178" t="inlineStr">
        <is>
          <t>Permen PPA no 4 Tahun 2024 tentang penyelneggaraaan layanan pemenuhan hak anak</t>
        </is>
      </c>
      <c r="E89" s="288" t="n"/>
      <c r="F89" s="184" t="inlineStr">
        <is>
          <t>PEMENUHAN HAK ANAK</t>
        </is>
      </c>
      <c r="G89" s="184" t="inlineStr">
        <is>
          <t>Masyarakat</t>
        </is>
      </c>
      <c r="H89" s="184" t="inlineStr">
        <is>
          <t>eviden pelaksanaan kegiatan</t>
        </is>
      </c>
      <c r="I89" s="178" t="inlineStr">
        <is>
          <t>pemenuhan penilaian KLA</t>
        </is>
      </c>
      <c r="J89" s="184" t="inlineStr">
        <is>
          <t>Terbatas</t>
        </is>
      </c>
      <c r="K89" s="184" t="inlineStr">
        <is>
          <t>Terdapat</t>
        </is>
      </c>
      <c r="L89" s="184" t="inlineStr">
        <is>
          <t>Tahunan</t>
        </is>
      </c>
      <c r="M89" s="184" t="inlineStr">
        <is>
          <t>aplikasi evaluasi KLA</t>
        </is>
      </c>
      <c r="N89" s="184" t="inlineStr">
        <is>
          <t>Diskominfo</t>
        </is>
      </c>
      <c r="O89" s="184" t="inlineStr">
        <is>
          <t>Kab. Bandung</t>
        </is>
      </c>
      <c r="P89" s="184" t="inlineStr">
        <is>
          <t>Website dan Mobile</t>
        </is>
      </c>
      <c r="Q89" s="70" t="inlineStr">
        <is>
          <t>https://dp2kbp3a.bandungkab.go.id/apps/perlindungan-anak/</t>
        </is>
      </c>
      <c r="R89" s="184" t="inlineStr">
        <is>
          <t>Secara Online</t>
        </is>
      </c>
      <c r="S89" s="184" t="inlineStr">
        <is>
          <t>Informasi</t>
        </is>
      </c>
      <c r="T89" s="98" t="n">
        <v>2020</v>
      </c>
      <c r="U89" s="184" t="inlineStr">
        <is>
          <t>Aktif</t>
        </is>
      </c>
      <c r="V89" s="184" t="inlineStr">
        <is>
          <t>Tidak</t>
        </is>
      </c>
      <c r="W89" s="288" t="n"/>
      <c r="X89" s="288" t="n"/>
      <c r="Y89" s="288" t="n"/>
      <c r="Z89" s="184" t="inlineStr">
        <is>
          <t>Bidang Perlinudngan anak</t>
        </is>
      </c>
      <c r="AA89" s="184" t="inlineStr">
        <is>
          <t>DP2KBP3A</t>
        </is>
      </c>
      <c r="AB89" s="178" t="inlineStr">
        <is>
          <t>Wina Sri Utami</t>
        </is>
      </c>
      <c r="AC89" s="98" t="n">
        <v>8993829204</v>
      </c>
      <c r="AD89" s="178" t="inlineStr">
        <is>
          <t>awinwina4@gmail.com</t>
        </is>
      </c>
      <c r="AE89" s="288" t="n"/>
      <c r="AF89" s="288" t="n"/>
      <c r="AG89" s="284" t="n"/>
      <c r="AH89" s="284" t="n"/>
      <c r="AI89" s="284" t="n"/>
      <c r="AJ89" s="284" t="n"/>
      <c r="AK89" s="284" t="n"/>
      <c r="AL89" s="284" t="n"/>
      <c r="AM89" s="284" t="n"/>
      <c r="AN89" s="284" t="n"/>
      <c r="AO89" s="284" t="n"/>
      <c r="AP89" s="284" t="n"/>
      <c r="AQ89" s="284" t="n"/>
      <c r="AR89" s="284" t="n"/>
    </row>
    <row r="90" hidden="1" s="346">
      <c r="A90" s="62" t="n">
        <v>88</v>
      </c>
      <c r="B90" s="178" t="inlineStr">
        <is>
          <t>Layanan Surat Pengelolaan dan Pamantauan Lingkungan Hidup</t>
        </is>
      </c>
      <c r="C90" s="178" t="inlineStr">
        <is>
          <t>Untuk menghasilkan Surat Keterangan SPPL, Berita Acara Konsultasi Rencana Teknis
 dan Notulensi Rapat</t>
        </is>
      </c>
      <c r="D90" s="178" t="inlineStr">
        <is>
          <t>Berdasarkan Peraturan Pemerintah Nomor 22 Tahun 2021 tentang Penyelenggaraan Perlindungan dan Pengelolaan Lingkungan Hidup</t>
        </is>
      </c>
      <c r="E90" s="178" t="inlineStr">
        <is>
          <t>STANDAR PELAYANAN PADA DINAS LINGKUNGAN HIDUP.pdf</t>
        </is>
      </c>
      <c r="F90" s="184" t="inlineStr">
        <is>
          <t>PENATAAN LINGKUNGAN HIDUP SECARA BERKELANJUTAN</t>
        </is>
      </c>
      <c r="G90" s="184" t="inlineStr">
        <is>
          <t>Pelaku Bisnis</t>
        </is>
      </c>
      <c r="H90" s="184" t="inlineStr">
        <is>
          <t>Data Pemrakarsa, Dokumen Lingkungan</t>
        </is>
      </c>
      <c r="I90" s="178" t="inlineStr">
        <is>
          <t>Data Pengelolaan Dan Pamantauan Lingkungan Hidup</t>
        </is>
      </c>
      <c r="J90" s="184" t="inlineStr">
        <is>
          <t>Terbatas</t>
        </is>
      </c>
      <c r="K90" s="184" t="inlineStr">
        <is>
          <t>Terdapat</t>
        </is>
      </c>
      <c r="L90" s="184" t="inlineStr">
        <is>
          <t>Lainnya</t>
        </is>
      </c>
      <c r="M90" s="184" t="inlineStr">
        <is>
          <t>Amdalnet</t>
        </is>
      </c>
      <c r="N90" s="184" t="inlineStr">
        <is>
          <t>Pusat</t>
        </is>
      </c>
      <c r="O90" s="184" t="inlineStr">
        <is>
          <t>Pusat</t>
        </is>
      </c>
      <c r="P90" s="184" t="inlineStr">
        <is>
          <t>Website</t>
        </is>
      </c>
      <c r="Q90" s="70" t="inlineStr">
        <is>
          <t>amdalnet.kemenlh.go.id</t>
        </is>
      </c>
      <c r="R90" s="184" t="inlineStr">
        <is>
          <t>Secara Online</t>
        </is>
      </c>
      <c r="S90" s="184" t="inlineStr">
        <is>
          <t>Transaksi</t>
        </is>
      </c>
      <c r="T90" s="288" t="n"/>
      <c r="U90" s="184" t="inlineStr">
        <is>
          <t>Aktif</t>
        </is>
      </c>
      <c r="V90" s="184" t="inlineStr">
        <is>
          <t>Tidak</t>
        </is>
      </c>
      <c r="W90" s="184" t="inlineStr">
        <is>
          <t>tidak terintegrasi</t>
        </is>
      </c>
      <c r="X90" s="184" t="inlineStr">
        <is>
          <t>Tidak Terintegrasi</t>
        </is>
      </c>
      <c r="Y90" s="184" t="inlineStr">
        <is>
          <t>Tidak Terintegrasi</t>
        </is>
      </c>
      <c r="Z90" s="184" t="inlineStr">
        <is>
          <t>Bidang Tata Lingkungan</t>
        </is>
      </c>
      <c r="AA90" s="184" t="inlineStr">
        <is>
          <t>DLH</t>
        </is>
      </c>
      <c r="AB90" s="178" t="inlineStr">
        <is>
          <t>Iqsan Okiyanto / Andri Taufik</t>
        </is>
      </c>
      <c r="AC90" s="178" t="inlineStr">
        <is>
          <t>085225996451 / 081322181254</t>
        </is>
      </c>
      <c r="AD90" s="178" t="inlineStr">
        <is>
          <t>dlh@bandungkab.go.id</t>
        </is>
      </c>
      <c r="AE90" s="288" t="n"/>
      <c r="AF90" s="288" t="n"/>
      <c r="AG90" s="284" t="n"/>
      <c r="AH90" s="284" t="n"/>
      <c r="AI90" s="284" t="n"/>
      <c r="AJ90" s="284" t="n"/>
      <c r="AK90" s="284" t="n"/>
      <c r="AL90" s="284" t="n"/>
      <c r="AM90" s="284" t="n"/>
      <c r="AN90" s="284" t="n"/>
      <c r="AO90" s="284" t="n"/>
      <c r="AP90" s="284" t="n"/>
      <c r="AQ90" s="284" t="n"/>
      <c r="AR90" s="284" t="n"/>
    </row>
    <row r="91" hidden="1" s="346">
      <c r="A91" s="62" t="n">
        <v>89</v>
      </c>
      <c r="B91" s="178" t="inlineStr">
        <is>
          <t>Layanan Pengangkutan Sampah Wilayah Kabupaten Bandung</t>
        </is>
      </c>
      <c r="C91" s="178" t="inlineStr">
        <is>
          <t>Menyediakan layanan pengangkutan sampah secara teratur dan efisien di wilayah Kabupaten Bandung guna menjaga kebersihan lingkungan, mencegah pencemaran, dan memastikan pengelolaan sampah yang ramah lingkungan serta sesuai dengan peraturan yang berlaku.</t>
        </is>
      </c>
      <c r="D91" s="178" t="inlineStr">
        <is>
          <t>Berdasarkan Peraturan Daerah Kabupaten Bandung Nomor 1 Tahun 2022 Tentang Pengelolaan Sampah</t>
        </is>
      </c>
      <c r="E91" s="178" t="inlineStr">
        <is>
          <t>STANDAR PELAYANAN PADA DINAS LINGKUNGAN HIDUP.pdf</t>
        </is>
      </c>
      <c r="F91" s="184" t="inlineStr">
        <is>
          <t>PENGELOLAAN SAMPAH</t>
        </is>
      </c>
      <c r="G91" s="184" t="inlineStr">
        <is>
          <t>Masyarakat</t>
        </is>
      </c>
      <c r="H91" s="184" t="inlineStr">
        <is>
          <t>Data Sampah yang diangkut</t>
        </is>
      </c>
      <c r="I91" s="178" t="inlineStr">
        <is>
          <t>Data Pelayanan Pengangkutan Sampah Wilayah Rancaekek
 Data Pelayanan Pengangkutan Sampah Wilayah Soreang
 Data Pelayanan Pengangkutan Sampah Wilayah Ciparay
 Data Pelayanan Pengangkutan Sampah Wilayah Baleendah</t>
        </is>
      </c>
      <c r="J91" s="184" t="inlineStr">
        <is>
          <t>Terbuka</t>
        </is>
      </c>
      <c r="K91" s="184" t="inlineStr">
        <is>
          <t>Tidak terdapat</t>
        </is>
      </c>
      <c r="L91" s="184" t="inlineStr">
        <is>
          <t>Harian</t>
        </is>
      </c>
      <c r="M91" s="184" t="inlineStr">
        <is>
          <t>Sampahkita</t>
        </is>
      </c>
      <c r="N91" s="184" t="inlineStr">
        <is>
          <t>Provinsi</t>
        </is>
      </c>
      <c r="O91" s="184" t="inlineStr">
        <is>
          <t>Provinsi</t>
        </is>
      </c>
      <c r="P91" s="184" t="inlineStr">
        <is>
          <t>Website</t>
        </is>
      </c>
      <c r="Q91" s="70" t="inlineStr">
        <is>
          <t>https://sampahkita.jabarprov.go.id/</t>
        </is>
      </c>
      <c r="R91" s="184" t="inlineStr">
        <is>
          <t>Secara Online</t>
        </is>
      </c>
      <c r="S91" s="184" t="inlineStr">
        <is>
          <t>Informasi</t>
        </is>
      </c>
      <c r="T91" s="288" t="n"/>
      <c r="U91" s="184" t="inlineStr">
        <is>
          <t>Aktif</t>
        </is>
      </c>
      <c r="V91" s="184" t="inlineStr">
        <is>
          <t>Tidak</t>
        </is>
      </c>
      <c r="W91" s="184" t="inlineStr">
        <is>
          <t>tidak terintegrasi</t>
        </is>
      </c>
      <c r="X91" s="184" t="inlineStr">
        <is>
          <t>Tidak Terintegrasi</t>
        </is>
      </c>
      <c r="Y91" s="184" t="inlineStr">
        <is>
          <t>Tidak Terintegrasi</t>
        </is>
      </c>
      <c r="Z91" s="184" t="inlineStr">
        <is>
          <t>Bidang Pengelolaan Sampah</t>
        </is>
      </c>
      <c r="AA91" s="184" t="inlineStr">
        <is>
          <t>DLH</t>
        </is>
      </c>
      <c r="AB91" s="178" t="inlineStr">
        <is>
          <t>Iqsan Okiyanto / Andri Taufik</t>
        </is>
      </c>
      <c r="AC91" s="178" t="inlineStr">
        <is>
          <t>085225996451 / 081322181254</t>
        </is>
      </c>
      <c r="AD91" s="178" t="inlineStr">
        <is>
          <t>dlh@bandungkab.go.id</t>
        </is>
      </c>
      <c r="AE91" s="68" t="n">
        <v>46</v>
      </c>
      <c r="AF91" s="68" t="inlineStr">
        <is>
          <t>Harian</t>
        </is>
      </c>
      <c r="AG91" s="284" t="n"/>
      <c r="AH91" s="284" t="n"/>
      <c r="AI91" s="284" t="n"/>
      <c r="AJ91" s="284" t="n"/>
      <c r="AK91" s="284" t="n"/>
      <c r="AL91" s="284" t="n"/>
      <c r="AM91" s="284" t="n"/>
      <c r="AN91" s="284" t="n"/>
      <c r="AO91" s="284" t="n"/>
      <c r="AP91" s="284" t="n"/>
      <c r="AQ91" s="284" t="n"/>
      <c r="AR91" s="284" t="n"/>
    </row>
    <row r="92" hidden="1" s="346">
      <c r="A92" s="62" t="n">
        <v>90</v>
      </c>
      <c r="B92" s="178" t="inlineStr">
        <is>
          <t>Layanan Pengelolaan dan Pemanfaatan Sampah</t>
        </is>
      </c>
      <c r="C92" s="178" t="inlineStr">
        <is>
          <t>Untuk menghasilkan materi penyuluhan atau pelatihan, sarana dan prasarana pelatihan, bibit BSF, pembinaan secara berkala dan surat registrasi pengelola sampah/bank sampah
 tematik/TPS3R</t>
        </is>
      </c>
      <c r="D92" s="178" t="inlineStr">
        <is>
          <t>Berdasarkan Peraturan Daerah Kabupaten Bandung Nomor 1 Tahun 2022 Tentang Pengelolaan Sampah</t>
        </is>
      </c>
      <c r="E92" s="178" t="inlineStr">
        <is>
          <t>STANDAR PELAYANAN PADA DINAS LINGKUNGAN HIDUP.pdf</t>
        </is>
      </c>
      <c r="F92" s="184" t="inlineStr">
        <is>
          <t>PENGELOLAAN SAMPAH</t>
        </is>
      </c>
      <c r="G92" s="184" t="inlineStr">
        <is>
          <t>Masyarakat</t>
        </is>
      </c>
      <c r="H92" s="76" t="inlineStr">
        <is>
          <t>Data sampah yang dilakukan pengelolaan</t>
        </is>
      </c>
      <c r="I92" s="178" t="inlineStr">
        <is>
          <t>Data Pelayanan Pengelolaan Dan Pemanfaatan Sampah</t>
        </is>
      </c>
      <c r="J92" s="184" t="inlineStr">
        <is>
          <t>Terbuka</t>
        </is>
      </c>
      <c r="K92" s="184" t="inlineStr">
        <is>
          <t>Tidak terdapat</t>
        </is>
      </c>
      <c r="L92" s="184" t="inlineStr">
        <is>
          <t>Tahunan</t>
        </is>
      </c>
      <c r="M92" s="184" t="inlineStr">
        <is>
          <t>SIPSN</t>
        </is>
      </c>
      <c r="N92" s="184" t="inlineStr">
        <is>
          <t>Pusat</t>
        </is>
      </c>
      <c r="O92" s="184" t="inlineStr">
        <is>
          <t>Pusat</t>
        </is>
      </c>
      <c r="P92" s="184" t="inlineStr">
        <is>
          <t>Website</t>
        </is>
      </c>
      <c r="Q92" s="131" t="inlineStr">
        <is>
          <t>https://sipsn.kemenlh.go.id/sipsn/</t>
        </is>
      </c>
      <c r="R92" s="184" t="inlineStr">
        <is>
          <t>Secara Online</t>
        </is>
      </c>
      <c r="S92" s="184" t="inlineStr">
        <is>
          <t>Informasi</t>
        </is>
      </c>
      <c r="T92" s="288" t="n"/>
      <c r="U92" s="184" t="inlineStr">
        <is>
          <t>Aktif</t>
        </is>
      </c>
      <c r="V92" s="184" t="inlineStr">
        <is>
          <t>Tidak</t>
        </is>
      </c>
      <c r="W92" s="184" t="inlineStr">
        <is>
          <t>tidak terintegrasi</t>
        </is>
      </c>
      <c r="X92" s="184" t="inlineStr">
        <is>
          <t>Tidak Terintegrasi</t>
        </is>
      </c>
      <c r="Y92" s="184" t="inlineStr">
        <is>
          <t>Tidak Terintegrasi</t>
        </is>
      </c>
      <c r="Z92" s="184" t="inlineStr">
        <is>
          <t>Bidang Pengelolaan Sampah</t>
        </is>
      </c>
      <c r="AA92" s="184" t="inlineStr">
        <is>
          <t>DLH</t>
        </is>
      </c>
      <c r="AB92" s="178" t="inlineStr">
        <is>
          <t>Iqsan Okiyanto / Andri Taufik</t>
        </is>
      </c>
      <c r="AC92" s="178" t="inlineStr">
        <is>
          <t>085225996451 / 081322181254</t>
        </is>
      </c>
      <c r="AD92" s="178" t="inlineStr">
        <is>
          <t>dlh@bandungkab.go.id</t>
        </is>
      </c>
      <c r="AE92" s="68" t="n">
        <v>46</v>
      </c>
      <c r="AF92" s="68" t="inlineStr">
        <is>
          <t>Tahunan</t>
        </is>
      </c>
      <c r="AG92" s="284" t="n"/>
      <c r="AH92" s="284" t="n"/>
      <c r="AI92" s="284" t="n"/>
      <c r="AJ92" s="284" t="n"/>
      <c r="AK92" s="284" t="n"/>
      <c r="AL92" s="284" t="n"/>
      <c r="AM92" s="284" t="n"/>
      <c r="AN92" s="284" t="n"/>
      <c r="AO92" s="284" t="n"/>
      <c r="AP92" s="284" t="n"/>
      <c r="AQ92" s="284" t="n"/>
      <c r="AR92" s="284" t="n"/>
    </row>
    <row r="93">
      <c r="A93" s="62" t="n">
        <v>91</v>
      </c>
      <c r="B93" s="178" t="inlineStr">
        <is>
          <t>Layanan Gep4k Sayang</t>
        </is>
      </c>
      <c r="C93" s="178" t="inlineStr">
        <is>
          <t>Untuk melayani Gerakan Peduli Penanaman dan Pemeliharaan Pohon Kesayangan (Gep4k Sayang) yang dimana mewajibkan setiap warga Kabupaten Bandung menanam, memiliki, dan memelihara minimal 2 pohon kesayangan seumur hidupnya</t>
        </is>
      </c>
      <c r="D93" s="178" t="inlineStr">
        <is>
          <t>Peraturan Menteri Lingkungan Hidup Dan Kehutanan Republik Indonesia Nomor 23 Tahun 2021 Tentang Pelaksanaan Rehabilitasi Hutan Dan Lahan</t>
        </is>
      </c>
      <c r="E93" s="178" t="inlineStr">
        <is>
          <t>STANDAR PELAYANAN PADA DINAS LINGKUNGAN HIDUP.pdf</t>
        </is>
      </c>
      <c r="F93" s="184" t="inlineStr">
        <is>
          <t>PELESTARIAN LINGKUNGAN HIDUP</t>
        </is>
      </c>
      <c r="G93" s="184" t="inlineStr">
        <is>
          <t>Masyarakat</t>
        </is>
      </c>
      <c r="H93" s="178" t="inlineStr">
        <is>
          <t>Data penanaman pohon</t>
        </is>
      </c>
      <c r="I93" s="178" t="inlineStr">
        <is>
          <t>Data Gerakan Penanaman dan Pemeliharaan Pohon Kesayangan</t>
        </is>
      </c>
      <c r="J93" s="184" t="inlineStr">
        <is>
          <t>Terbuka</t>
        </is>
      </c>
      <c r="K93" s="184" t="inlineStr">
        <is>
          <t>Tidak terdapat</t>
        </is>
      </c>
      <c r="L93" s="184" t="inlineStr">
        <is>
          <t>Bulanan</t>
        </is>
      </c>
      <c r="M93" s="184" t="inlineStr">
        <is>
          <t>GeP4K Sayang</t>
        </is>
      </c>
      <c r="N93" s="184" t="inlineStr">
        <is>
          <t>Diskominfo</t>
        </is>
      </c>
      <c r="O93" s="184" t="inlineStr">
        <is>
          <t>Kab. Bandung</t>
        </is>
      </c>
      <c r="P93" s="184" t="inlineStr">
        <is>
          <t>Website</t>
        </is>
      </c>
      <c r="Q93" s="70" t="inlineStr">
        <is>
          <t>https://gepak.bandungkab.go.id/</t>
        </is>
      </c>
      <c r="R93" s="184" t="inlineStr">
        <is>
          <t>Secara Online</t>
        </is>
      </c>
      <c r="S93" s="184" t="inlineStr">
        <is>
          <t>Informasi</t>
        </is>
      </c>
      <c r="T93" s="98" t="n">
        <v>2025</v>
      </c>
      <c r="U93" s="184" t="inlineStr">
        <is>
          <t>Aktif</t>
        </is>
      </c>
      <c r="V93" s="184" t="inlineStr">
        <is>
          <t>Tidak</t>
        </is>
      </c>
      <c r="W93" s="184" t="inlineStr">
        <is>
          <t>tidak terintegrasi</t>
        </is>
      </c>
      <c r="X93" s="184" t="inlineStr">
        <is>
          <t>Tidak Terintegrasi</t>
        </is>
      </c>
      <c r="Y93" s="184" t="inlineStr">
        <is>
          <t>Tidak Terintegrasi</t>
        </is>
      </c>
      <c r="Z93" s="184" t="inlineStr">
        <is>
          <t>Bidang Konservasi dan Pengendalian Kerusakan Lingkungan</t>
        </is>
      </c>
      <c r="AA93" s="184" t="inlineStr">
        <is>
          <t>DLH</t>
        </is>
      </c>
      <c r="AB93" s="178" t="inlineStr">
        <is>
          <t>Iqsan Okiyanto / Andri Taufik</t>
        </is>
      </c>
      <c r="AC93" s="178" t="inlineStr">
        <is>
          <t>085225996451 / 081322181254</t>
        </is>
      </c>
      <c r="AD93" s="178" t="inlineStr">
        <is>
          <t>dlh@bandungkab.go.id</t>
        </is>
      </c>
      <c r="AE93" s="68" t="n">
        <v>41</v>
      </c>
      <c r="AF93" s="68" t="inlineStr">
        <is>
          <t>Bulanan</t>
        </is>
      </c>
      <c r="AG93" s="284" t="n"/>
      <c r="AH93" s="284" t="n"/>
      <c r="AI93" s="284" t="n"/>
      <c r="AJ93" s="284" t="n"/>
      <c r="AK93" s="284" t="n"/>
      <c r="AL93" s="284" t="n"/>
      <c r="AM93" s="284" t="n"/>
      <c r="AN93" s="284" t="n"/>
      <c r="AO93" s="284" t="n"/>
      <c r="AP93" s="284" t="n"/>
      <c r="AQ93" s="284" t="n"/>
      <c r="AR93" s="284" t="n"/>
    </row>
    <row r="94">
      <c r="A94" s="62" t="n">
        <v>92</v>
      </c>
      <c r="B94" s="178" t="inlineStr">
        <is>
          <t>Layanan Taman Kehati</t>
        </is>
      </c>
      <c r="C94" s="178" t="inlineStr">
        <is>
          <t>Untuk mengelola Taman Keanekaragaman Hayati (Taman Kehati) dan mengelola kawasan pencadangan sumber daya alam hayati lokal di luar kawasan hutan yang mempunyai fungsi konservasi insitu dan/atau exsitu</t>
        </is>
      </c>
      <c r="D94" s="178" t="inlineStr">
        <is>
          <t>Peraturan Menteri Lingkungan Hidup Dan Kehutanan Republik Indonesia Nomor 16 Tahun 2024 Tentang Resor Pada Unit Pelaksana Teknis Direktorat Jenderal Konservasi Sumber Daya Alam Dan Ekosistem</t>
        </is>
      </c>
      <c r="E94" s="178" t="inlineStr">
        <is>
          <t>STANDAR PELAYANAN PADA DINAS LINGKUNGAN HIDUP.pdf</t>
        </is>
      </c>
      <c r="F94" s="184" t="inlineStr">
        <is>
          <t>PELESTARIAN LINGKUNGAN HIDUP</t>
        </is>
      </c>
      <c r="G94" s="184" t="inlineStr">
        <is>
          <t>Masyarakat</t>
        </is>
      </c>
      <c r="H94" s="178" t="inlineStr">
        <is>
          <t>Data Taman Kehati</t>
        </is>
      </c>
      <c r="I94" s="178" t="inlineStr">
        <is>
          <t>Data Taman Kehati</t>
        </is>
      </c>
      <c r="J94" s="184" t="inlineStr">
        <is>
          <t>Terbuka</t>
        </is>
      </c>
      <c r="K94" s="184" t="inlineStr">
        <is>
          <t>Tidak terdapat</t>
        </is>
      </c>
      <c r="L94" s="184" t="inlineStr">
        <is>
          <t>Bulanan</t>
        </is>
      </c>
      <c r="M94" s="184" t="inlineStr">
        <is>
          <t>Taman Kehati</t>
        </is>
      </c>
      <c r="N94" s="184" t="inlineStr">
        <is>
          <t>Diskominfo</t>
        </is>
      </c>
      <c r="O94" s="184" t="inlineStr">
        <is>
          <t>Kab. Bandung</t>
        </is>
      </c>
      <c r="P94" s="184" t="inlineStr">
        <is>
          <t>Website</t>
        </is>
      </c>
      <c r="Q94" s="70" t="inlineStr">
        <is>
          <t>Kehati.bandungkab.go.id</t>
        </is>
      </c>
      <c r="R94" s="184" t="inlineStr">
        <is>
          <t>Secara Online</t>
        </is>
      </c>
      <c r="S94" s="184" t="inlineStr">
        <is>
          <t>Informasi</t>
        </is>
      </c>
      <c r="T94" s="98" t="n">
        <v>2021</v>
      </c>
      <c r="U94" s="184" t="inlineStr">
        <is>
          <t>Aktif</t>
        </is>
      </c>
      <c r="V94" s="184" t="inlineStr">
        <is>
          <t>Tidak</t>
        </is>
      </c>
      <c r="W94" s="184" t="inlineStr">
        <is>
          <t>tidak terintegrasi</t>
        </is>
      </c>
      <c r="X94" s="184" t="inlineStr">
        <is>
          <t>Tidak Terintegrasi</t>
        </is>
      </c>
      <c r="Y94" s="184" t="inlineStr">
        <is>
          <t>Tidak Terintegrasi</t>
        </is>
      </c>
      <c r="Z94" s="184" t="inlineStr">
        <is>
          <t>Bidang Konservasi dan Pengendalian Kerusakan Lingkungan</t>
        </is>
      </c>
      <c r="AA94" s="184" t="inlineStr">
        <is>
          <t>DLH</t>
        </is>
      </c>
      <c r="AB94" s="178" t="inlineStr">
        <is>
          <t>Iqsan Okiyanto / Andri Taufik</t>
        </is>
      </c>
      <c r="AC94" s="178" t="inlineStr">
        <is>
          <t>085225996451 / 081322181254</t>
        </is>
      </c>
      <c r="AD94" s="178" t="inlineStr">
        <is>
          <t>dlh@bandungkab.go.id</t>
        </is>
      </c>
      <c r="AE94" s="68" t="n">
        <v>41</v>
      </c>
      <c r="AF94" s="68" t="inlineStr">
        <is>
          <t>Bulanan</t>
        </is>
      </c>
      <c r="AG94" s="284" t="n"/>
      <c r="AH94" s="284" t="n"/>
      <c r="AI94" s="284" t="n"/>
      <c r="AJ94" s="284" t="n"/>
      <c r="AK94" s="284" t="n"/>
      <c r="AL94" s="284" t="n"/>
      <c r="AM94" s="284" t="n"/>
      <c r="AN94" s="284" t="n"/>
      <c r="AO94" s="284" t="n"/>
      <c r="AP94" s="284" t="n"/>
      <c r="AQ94" s="284" t="n"/>
      <c r="AR94" s="284" t="n"/>
    </row>
    <row r="95">
      <c r="A95" s="62" t="n">
        <v>93</v>
      </c>
      <c r="B95" s="146" t="inlineStr">
        <is>
          <t>Pencatatan Biodata</t>
        </is>
      </c>
      <c r="C95" s="147" t="inlineStr">
        <is>
          <t>Menjamin ketersediaan data pribadi penduduk yang valid dan terintegrasi dalam database kependudukan nasional.</t>
        </is>
      </c>
      <c r="D95"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E95" s="148" t="inlineStr">
        <is>
          <t>SOP Layanan 2025</t>
        </is>
      </c>
      <c r="F95" s="160" t="inlineStr">
        <is>
          <t>PENINGKATAN KUALITAS PELAYANAN PUBLIK</t>
        </is>
      </c>
      <c r="G95" s="160" t="inlineStr">
        <is>
          <t>Masyarakat</t>
        </is>
      </c>
      <c r="H95" s="160" t="inlineStr">
        <is>
          <t>Data Pelapor</t>
        </is>
      </c>
      <c r="I95" s="160" t="inlineStr">
        <is>
          <t>Data Pelapor</t>
        </is>
      </c>
      <c r="J95" s="160" t="inlineStr">
        <is>
          <t>Tertutup</t>
        </is>
      </c>
      <c r="K95" s="160" t="inlineStr">
        <is>
          <t>Terdapat</t>
        </is>
      </c>
      <c r="L95" s="160" t="inlineStr">
        <is>
          <t>Lainnya</t>
        </is>
      </c>
      <c r="M95" s="160" t="inlineStr">
        <is>
          <t>BDS</t>
        </is>
      </c>
      <c r="N95" s="160" t="inlineStr">
        <is>
          <t>Diskominfo</t>
        </is>
      </c>
      <c r="O95" s="160" t="inlineStr">
        <is>
          <t>Kab. Bandung</t>
        </is>
      </c>
      <c r="P95" s="160" t="inlineStr">
        <is>
          <t>Website dan Mobile</t>
        </is>
      </c>
      <c r="Q95" s="289" t="inlineStr">
        <is>
          <t>https://bds.bandungkab.go.id/</t>
        </is>
      </c>
      <c r="R95" s="160" t="inlineStr">
        <is>
          <t>Secara Online</t>
        </is>
      </c>
      <c r="S95" s="160" t="inlineStr">
        <is>
          <t>Transaksi</t>
        </is>
      </c>
      <c r="T95" s="160" t="n">
        <v>2022</v>
      </c>
      <c r="U95" s="160" t="inlineStr">
        <is>
          <t>Aktif</t>
        </is>
      </c>
      <c r="V95" s="160" t="inlineStr">
        <is>
          <t>Tidak</t>
        </is>
      </c>
      <c r="W95" s="160" t="inlineStr">
        <is>
          <t>Tidak Terintegrasi</t>
        </is>
      </c>
      <c r="X95" s="160" t="inlineStr">
        <is>
          <t>Tidak Terintegrasi</t>
        </is>
      </c>
      <c r="Y95" s="160" t="inlineStr">
        <is>
          <t>Tidak Terintegrasi</t>
        </is>
      </c>
      <c r="Z95" s="160" t="inlineStr">
        <is>
          <t>Bidang Pendaftaran Penduduk</t>
        </is>
      </c>
      <c r="AA95" s="160" t="inlineStr">
        <is>
          <t>Disdukcapil</t>
        </is>
      </c>
      <c r="AB95" s="161" t="inlineStr">
        <is>
          <t>Riana Aji Iskandar S.T., M.Kom.</t>
        </is>
      </c>
      <c r="AC95" s="147" t="n">
        <v>8994450222</v>
      </c>
      <c r="AD95" s="146" t="inlineStr">
        <is>
          <t>rianaajiiskandar@gmail.com</t>
        </is>
      </c>
      <c r="AE95" s="147" t="inlineStr">
        <is>
          <t>32. Peningkatan Layanan Kependudukan yang Responsif dan Cepat</t>
        </is>
      </c>
      <c r="AF95" s="163" t="inlineStr">
        <is>
          <t>Harian</t>
        </is>
      </c>
      <c r="AG95" s="154" t="inlineStr">
        <is>
          <t>1. SIAK TERPUSAT : Disdukcapil dan 57 OPD yang sudah melakukan Perjanjian Kerjasama Pemanfaatan Data Kependudukan Tahun 2025 dengan 5 Perangkat Daerah baru yaitu Bagian Kesejahteraan Rakyat Sekretariat Daerah, DPMD, Dishub, Baperida dan Kec. Arjasari, disamping Perjanjian Kerjasama yang masih aktif yakni DPMPTSP, Dinsos, Disdik, Diskominfo, Disnaker, Dispora, Dinkes, Distan, Diskop UKM, DP2KBP3A, Dispakan, Disperdagin, Dispusip, Disperkimtan, Disdamkar, Dinas LH, BPBD, BAPENDA, BKPSDM, Kesbangpol, Satpol PP, Sekretariat DPRD, Kec. Baleendah. Kec. Bojongsoang, Kec. Cicalengka, Kec. Dayeuhkolot, Kec. Katapang, Kec. Kutawaringin, Kec. Nagreg, Kec. Cimenyan, Kec. Cimaung, Kec. Rancaekek, Kec. Pasirjambu, Kec. Margaasih, Kec. Ciparay, Kec. Pacet, Kec. Cileunyi, Kec. Pangalengan, Kec. Rancabali, Kec. Cikancung, Kec. Pameungpeuk, Kec. Margahayu, Kec. Majalaya, Kec. Soreang, Kec. Solokan Jeruk, Kec. Ibun, Kec. Cangkuang, Kec. Ciwidey, Kec. Kertasari, Kec. Paseh, Kec. Banjaran, sehingga sampai dengan akhir Tahun 2025 jumlah Perangkat Daerah yang telah melakukan Perjanjian Kerja Sama Pemanfaatan Data Kependudukan sebanyak 57 PD termasuk Disdukcapil sebagai Leading Sector.
 2. Aplikasi BDS : Seluruh Masyarakat</t>
        </is>
      </c>
      <c r="AH95" s="155" t="n"/>
      <c r="AI95" s="155" t="n"/>
      <c r="AJ95" s="155" t="n"/>
      <c r="AK95" s="155" t="n"/>
      <c r="AL95" s="155" t="n"/>
      <c r="AM95" s="155" t="n"/>
      <c r="AN95" s="155" t="n"/>
      <c r="AO95" s="155" t="n"/>
      <c r="AP95" s="155" t="n"/>
      <c r="AQ95" s="155" t="n"/>
      <c r="AR95" s="284" t="n"/>
    </row>
    <row r="96" hidden="1" s="346">
      <c r="A96" s="62" t="n">
        <v>94</v>
      </c>
      <c r="B96" s="158" t="n"/>
      <c r="C96" s="162" t="n"/>
      <c r="D96" s="158" t="n"/>
      <c r="E96" s="159" t="n"/>
      <c r="F96" s="160" t="n"/>
      <c r="G96" s="160" t="n"/>
      <c r="H96" s="160" t="n"/>
      <c r="I96" s="160" t="n"/>
      <c r="J96" s="160" t="n"/>
      <c r="K96" s="160" t="n"/>
      <c r="L96" s="160" t="n"/>
      <c r="M96" s="160" t="inlineStr">
        <is>
          <t>SIAK TERPUSAT</t>
        </is>
      </c>
      <c r="N96" s="160" t="inlineStr">
        <is>
          <t>Pusat</t>
        </is>
      </c>
      <c r="O96" s="160" t="inlineStr">
        <is>
          <t>Pusat</t>
        </is>
      </c>
      <c r="P96" s="160" t="inlineStr">
        <is>
          <t>Website dan Mobile</t>
        </is>
      </c>
      <c r="Q96" s="289" t="inlineStr">
        <is>
          <t>Tidak tersedia secara publik. Paket update hanya dapat diunduh via SVN Client internal.</t>
        </is>
      </c>
      <c r="R96" s="160" t="inlineStr">
        <is>
          <t>Secara Online</t>
        </is>
      </c>
      <c r="S96" s="160" t="inlineStr">
        <is>
          <t>Transaksi</t>
        </is>
      </c>
      <c r="T96" s="160" t="n">
        <v>2022</v>
      </c>
      <c r="U96" s="160" t="inlineStr">
        <is>
          <t>Aktif</t>
        </is>
      </c>
      <c r="V96" s="160" t="inlineStr">
        <is>
          <t>Tidak</t>
        </is>
      </c>
      <c r="W96" s="160" t="inlineStr">
        <is>
          <t>Tidak Terintegrasi</t>
        </is>
      </c>
      <c r="X96" s="160" t="inlineStr">
        <is>
          <t>Tidak Terintegrasi</t>
        </is>
      </c>
      <c r="Y96" s="160" t="inlineStr">
        <is>
          <t>Tidak Terintegrasi</t>
        </is>
      </c>
      <c r="Z96" s="160" t="n"/>
      <c r="AA96" s="160" t="n"/>
      <c r="AB96" s="161" t="n"/>
      <c r="AC96" s="162" t="n"/>
      <c r="AD96" s="158" t="n"/>
      <c r="AE96" s="162" t="n"/>
      <c r="AF96" s="163" t="n"/>
      <c r="AG96" s="155" t="n"/>
      <c r="AH96" s="155" t="n"/>
      <c r="AI96" s="155" t="n"/>
      <c r="AJ96" s="155" t="n"/>
      <c r="AK96" s="155" t="n"/>
      <c r="AL96" s="155" t="n"/>
      <c r="AM96" s="155" t="n"/>
      <c r="AN96" s="155" t="n"/>
      <c r="AO96" s="155" t="n"/>
      <c r="AP96" s="155" t="n"/>
      <c r="AQ96" s="155" t="n"/>
      <c r="AR96" s="284" t="n"/>
    </row>
    <row r="97" hidden="1" s="346">
      <c r="A97" s="62" t="n">
        <v>95</v>
      </c>
      <c r="B97" s="164" t="inlineStr">
        <is>
          <t>LAMPID</t>
        </is>
      </c>
      <c r="C97" s="147" t="inlineStr">
        <is>
          <t>Menjamin pencatatan empat peristiwa penting (lahir, mati, pindah, datang) secara cepat dan terintegrasi.</t>
        </is>
      </c>
      <c r="D97" s="146" t="inlineStr">
        <is>
          <t>1. Undang-Undang Nomor 23 Tahun 2006 tentang Administrasi Kependudukan sebagaimana telah diubah dengan Undang-Undang Nomor 24 Tahun 2013 tentang Perubahan atas Undang-Undang Nomor 23 Tahun 2006 tentang Administrasi Kependudukan;
  2. Peraturan Pemerintah Nomor 40 Tahun 2019 tentang Pelaksanaan Undang-Undang Nomor 23 Tahun 2006 tentang Administrasi Kependudukan sebagaimana telah diubah dengan Undang-Undang Nomor 24 Tahun 2013 tentang Perubahan atas Undang-Undang Nomor 23 Tahun 2006 tentang Administrasi Kependudukan;
  3. Peraturan Presiden Nomor 96 Tahun 2018 Tentang persyaratan dan Tata Cara Pendaftaran Penduduk dan Pencatatan Sipil;
  4. Permendagri Nomor 119 Tahun 2017 Tentang pengangkatan dan pemberhentian serta tugas pokok pejabat pencatatan sipil dan petugas registrasi;
  5. Permendagri Nomor 7 Tahun 2019 Tentang Pelayanan Administras! Kependudukan Secara Daring Juncto Permendagri Nomor 2 Tahun 2023 Tentang Perubahan Atas Permendagri Nomor 7 Tahun 2019 Tentang Pelayanan Administrasi Kependudukan secara daring;
  6. Permendagri Nomor 108 Tahun 2019 tentang Peraturan Pelaksanaan Peraturan Presiden Nomor 96 Tahun 2018 tentang Persyaratan dan tatacara Pendaftaran Pcnduduk dan Pencatatan Sipil;
  7. Permendagri Nomor 109 Tahun 2019 tentang Formulir dan buku yang digunakan dalam Administrasi Kependudukan;
  8. Peraturan Daerah Kabu paten Bandung Nomor 1 Tahun 2010 Tentang Penyelenggaraan Administrasi Kependudukan di Kabupaten Bandung sebagaimana telah diubah dengan Peraturan Daerah Kabupaten Bandung Nomor 12 Tahun 2014 tentang perubahan atas Peraturan Daerah Kabupaten Bandung Nomor 1 Tahun 2010 tentang Penyelenggaraan Administrasi Kependudukan di Kabupaten Bandung;
  9. Peraturan Bupati Bandung Nomor 75 Tahun 2017 Tentang Pedoman Pengangkatan Dan Pemberhentian Petugas Registrasi Pelayanan Administrasi Kependudukan Desa/Kelurahan di Kabupaten Bandung;
  10. Peraturan Bupati Bandung Nomor 2 Tahun 2019 tentang Persyaratan dan Tatacara Pendaftaran Penduduk dan Pencatatan Sipil di Kabupaten Bandung;
  11. Peraturan Bupati Bandung Nomor 342 Tahun 2022 Tentang Pedoman Tata Cara Pelayanan Administrasi Kependudukan Secara Daring melalui Anjungan Dukcapil Mandiri (ADM) di Kabupaten Bandung.</t>
        </is>
      </c>
      <c r="E97" s="148" t="inlineStr">
        <is>
          <t>SOP Layanan 2025</t>
        </is>
      </c>
      <c r="F97" s="160" t="inlineStr">
        <is>
          <t>PENINGKATAN KUALITAS PELAYANAN PUBLIK</t>
        </is>
      </c>
      <c r="G97" s="160" t="inlineStr">
        <is>
          <t>Masyarakat</t>
        </is>
      </c>
      <c r="H97" s="160" t="inlineStr">
        <is>
          <t>Data Pelapor</t>
        </is>
      </c>
      <c r="I97" s="160" t="inlineStr">
        <is>
          <t>Data Pelapor</t>
        </is>
      </c>
      <c r="J97" s="160" t="inlineStr">
        <is>
          <t>Tertutup</t>
        </is>
      </c>
      <c r="K97" s="160" t="inlineStr">
        <is>
          <t>Terdapat</t>
        </is>
      </c>
      <c r="L97" s="160" t="inlineStr">
        <is>
          <t>Lainnya</t>
        </is>
      </c>
      <c r="M97" s="160" t="inlineStr">
        <is>
          <t>lampid</t>
        </is>
      </c>
      <c r="N97" s="160" t="inlineStr">
        <is>
          <t>OPD</t>
        </is>
      </c>
      <c r="O97" s="160" t="inlineStr">
        <is>
          <t>Kab. Bandung</t>
        </is>
      </c>
      <c r="P97" s="160" t="inlineStr">
        <is>
          <t>Website</t>
        </is>
      </c>
      <c r="Q97" s="151" t="inlineStr">
        <is>
          <t>http://lampid.bandungkab.go.id/</t>
        </is>
      </c>
      <c r="R97" s="160" t="inlineStr">
        <is>
          <t>Secara Online</t>
        </is>
      </c>
      <c r="S97" s="160" t="inlineStr">
        <is>
          <t>Transaksi</t>
        </is>
      </c>
      <c r="T97" s="160" t="n">
        <v>2022</v>
      </c>
      <c r="U97" s="160" t="inlineStr">
        <is>
          <t>Non Aktif</t>
        </is>
      </c>
      <c r="V97" s="160" t="inlineStr">
        <is>
          <t>Tidak</t>
        </is>
      </c>
      <c r="W97" s="160" t="inlineStr">
        <is>
          <t>Tidak Terintegrasi</t>
        </is>
      </c>
      <c r="X97" s="160" t="inlineStr">
        <is>
          <t>Tidak Terintegrasi</t>
        </is>
      </c>
      <c r="Y97" s="160" t="inlineStr">
        <is>
          <t>Tidak Terintegrasi</t>
        </is>
      </c>
      <c r="Z97" s="160" t="inlineStr">
        <is>
          <t>Bidang Pencatatan Sipil</t>
        </is>
      </c>
      <c r="AA97" s="160" t="inlineStr">
        <is>
          <t>Disdukcapil</t>
        </is>
      </c>
      <c r="AB97" s="161" t="inlineStr">
        <is>
          <t>Riana Aji Iskandar S.T., M.Kom.</t>
        </is>
      </c>
      <c r="AC97" s="147" t="n">
        <v>8994450222</v>
      </c>
      <c r="AD97" s="146" t="inlineStr">
        <is>
          <t>rianaajiiskandar@gmail.com</t>
        </is>
      </c>
      <c r="AE97" s="147" t="inlineStr">
        <is>
          <t>32. Peningkatan Layanan Kependudukan yang Responsif dan Cepat</t>
        </is>
      </c>
      <c r="AF97" s="163" t="inlineStr">
        <is>
          <t>Harian</t>
        </is>
      </c>
      <c r="AG97" s="154" t="inlineStr">
        <is>
          <t>Aplikasi LAMPID : Disdukcapil dan Desa/Kecamatan</t>
        </is>
      </c>
      <c r="AH97" s="155" t="n"/>
      <c r="AI97" s="155" t="n"/>
      <c r="AJ97" s="155" t="n"/>
      <c r="AK97" s="155" t="n"/>
      <c r="AL97" s="155" t="n"/>
      <c r="AM97" s="155" t="n"/>
      <c r="AN97" s="155" t="n"/>
      <c r="AO97" s="155" t="n"/>
      <c r="AP97" s="155" t="n"/>
      <c r="AQ97" s="155" t="n"/>
      <c r="AR97" s="284" t="n"/>
    </row>
    <row r="98" hidden="1" s="346">
      <c r="A98" s="62" t="n">
        <v>96</v>
      </c>
      <c r="B98" s="171" t="inlineStr">
        <is>
          <t>Layanan Pengelolaan Keuangan Desa</t>
        </is>
      </c>
      <c r="C98" s="171" t="inlineStr">
        <is>
          <t>Meningkatkan transparansi, akuntabilitas, dan efisiensi dalam pengelolaan keuangan di tingkat desa untuk memastikan dana desa digunakan secara efektif dan sesuai peruntukannya.</t>
        </is>
      </c>
      <c r="D98" s="171" t="inlineStr">
        <is>
          <t>- Undang-Undang Nomor 6 Tahun 2014 tentang Desa
 - Permendagri Nomor 20 Tahun 2018 tentang Pengelolaan Keuangan Desa</t>
        </is>
      </c>
      <c r="E98" s="171" t="inlineStr">
        <is>
          <t>Tidak ada</t>
        </is>
      </c>
      <c r="F98" s="167" t="inlineStr">
        <is>
          <t>PENINGKATAN KUALITAS PELAYANAN PUBLIK</t>
        </is>
      </c>
      <c r="G98" s="167" t="inlineStr">
        <is>
          <t>Masyarakat</t>
        </is>
      </c>
      <c r="H98" s="171" t="inlineStr">
        <is>
          <t>Data Keuangan Desa</t>
        </is>
      </c>
      <c r="I98" s="171" t="inlineStr">
        <is>
          <t>Data Keuangan Desa</t>
        </is>
      </c>
      <c r="J98" s="167" t="inlineStr">
        <is>
          <t>Terbatas</t>
        </is>
      </c>
      <c r="K98" s="167" t="inlineStr">
        <is>
          <t>Terdapat</t>
        </is>
      </c>
      <c r="L98" s="167" t="inlineStr">
        <is>
          <t>Bulanan</t>
        </is>
      </c>
      <c r="M98" s="167" t="inlineStr">
        <is>
          <t>SISKEUDES</t>
        </is>
      </c>
      <c r="N98" s="167" t="inlineStr">
        <is>
          <t>Pusat</t>
        </is>
      </c>
      <c r="O98" s="167" t="inlineStr">
        <is>
          <t>Pusat</t>
        </is>
      </c>
      <c r="P98" s="167" t="inlineStr">
        <is>
          <t>Desktop</t>
        </is>
      </c>
      <c r="Q98" s="169" t="inlineStr">
        <is>
          <t>http://siskeudes.bandungkab.go.id:8080/guacamole/#/</t>
        </is>
      </c>
      <c r="R98" s="167" t="inlineStr">
        <is>
          <t>Secara Online</t>
        </is>
      </c>
      <c r="S98" s="167" t="inlineStr">
        <is>
          <t>Transaksi</t>
        </is>
      </c>
      <c r="T98" s="170" t="n">
        <v>2015</v>
      </c>
      <c r="U98" s="167" t="inlineStr">
        <is>
          <t>Aktif</t>
        </is>
      </c>
      <c r="V98" s="167" t="inlineStr">
        <is>
          <t>Ya</t>
        </is>
      </c>
      <c r="W98" s="167" t="inlineStr">
        <is>
          <t>website konsolidasi Kemendagri</t>
        </is>
      </c>
      <c r="X98" s="167" t="inlineStr">
        <is>
          <t>Database to Database</t>
        </is>
      </c>
      <c r="Y98" s="167" t="inlineStr">
        <is>
          <t>Lainnya</t>
        </is>
      </c>
      <c r="Z98" s="167" t="inlineStr">
        <is>
          <t>Bidang Administrasi Pemerintahan Desa</t>
        </is>
      </c>
      <c r="AA98" s="167" t="inlineStr">
        <is>
          <t>DPMD</t>
        </is>
      </c>
      <c r="AB98" s="171" t="inlineStr">
        <is>
          <t>Fauzan Pujarahmani</t>
        </is>
      </c>
      <c r="AC98" s="171">
        <f>+62 852-2443-7788</f>
        <v/>
      </c>
      <c r="AD98" s="288" t="n"/>
      <c r="AE98" s="67" t="inlineStr">
        <is>
          <t>Mewujudkan pembangunan berbasis Desa</t>
        </is>
      </c>
      <c r="AF98" s="68" t="inlineStr">
        <is>
          <t>Harian</t>
        </is>
      </c>
      <c r="AG98" s="172" t="inlineStr">
        <is>
          <t>Desa</t>
        </is>
      </c>
      <c r="AH98" s="173" t="n"/>
      <c r="AI98" s="173" t="n"/>
      <c r="AJ98" s="173" t="n"/>
      <c r="AK98" s="173" t="n"/>
      <c r="AL98" s="173" t="n"/>
      <c r="AM98" s="173" t="n"/>
      <c r="AN98" s="173" t="n"/>
      <c r="AO98" s="173" t="n"/>
      <c r="AP98" s="173" t="n"/>
      <c r="AQ98" s="173" t="n"/>
      <c r="AR98" s="284" t="n"/>
    </row>
    <row r="99" hidden="1" s="346">
      <c r="A99" s="62" t="n">
        <v>97</v>
      </c>
      <c r="B99" s="171" t="inlineStr">
        <is>
          <t>Layanan Pengelolaan Keuangan Desa</t>
        </is>
      </c>
      <c r="C99" s="171" t="inlineStr">
        <is>
          <t>Meningkatkan transparansi, akuntabilitas, dan efisiensi dalam pengelolaan keuangan di tingkat desa untuk memastikan dana desa digunakan secara efektif dan sesuai peruntukannya.</t>
        </is>
      </c>
      <c r="D99" s="171" t="inlineStr">
        <is>
          <t>UU Nomor 1 Tahun 2004 tentang Perbendaharaan Negara</t>
        </is>
      </c>
      <c r="E99" s="171" t="inlineStr">
        <is>
          <t>Tidak ada</t>
        </is>
      </c>
      <c r="F99" s="167" t="inlineStr">
        <is>
          <t>PENINGKATAN KUALITAS PELAYANAN PUBLIK</t>
        </is>
      </c>
      <c r="G99" s="167" t="inlineStr">
        <is>
          <t>Masyarakat</t>
        </is>
      </c>
      <c r="H99" s="171" t="inlineStr">
        <is>
          <t>Data Keuangan Desa</t>
        </is>
      </c>
      <c r="I99" s="171" t="inlineStr">
        <is>
          <t>Data Keuangan Desa</t>
        </is>
      </c>
      <c r="J99" s="167" t="inlineStr">
        <is>
          <t>Terbatas</t>
        </is>
      </c>
      <c r="K99" s="167" t="inlineStr">
        <is>
          <t>Terdapat</t>
        </is>
      </c>
      <c r="L99" s="167" t="inlineStr">
        <is>
          <t>Bulanan</t>
        </is>
      </c>
      <c r="M99" s="167" t="inlineStr">
        <is>
          <t>OM-SPAN</t>
        </is>
      </c>
      <c r="N99" s="167" t="inlineStr">
        <is>
          <t>Pusat</t>
        </is>
      </c>
      <c r="O99" s="167" t="inlineStr">
        <is>
          <t>Pusat</t>
        </is>
      </c>
      <c r="P99" s="167" t="inlineStr">
        <is>
          <t>Website</t>
        </is>
      </c>
      <c r="Q99" s="169" t="inlineStr">
        <is>
          <t>https://spanint.kemenkeu.go.id/tkd/#/home/login</t>
        </is>
      </c>
      <c r="R99" s="167" t="inlineStr">
        <is>
          <t>Secara Online</t>
        </is>
      </c>
      <c r="S99" s="167" t="inlineStr">
        <is>
          <t>Transaksi</t>
        </is>
      </c>
      <c r="T99" s="170" t="n">
        <v>2016</v>
      </c>
      <c r="U99" s="167" t="inlineStr">
        <is>
          <t>Aktif</t>
        </is>
      </c>
      <c r="V99" s="167" t="inlineStr">
        <is>
          <t>Ya</t>
        </is>
      </c>
      <c r="W99" s="167" t="inlineStr">
        <is>
          <t>Terintegrasi dengan SISKEUDES</t>
        </is>
      </c>
      <c r="X99" s="167" t="inlineStr">
        <is>
          <t>Database to Database</t>
        </is>
      </c>
      <c r="Y99" s="167" t="inlineStr">
        <is>
          <t>Lainnya</t>
        </is>
      </c>
      <c r="Z99" s="167" t="inlineStr">
        <is>
          <t>Bidang Administrasi Pemerintahan Desa</t>
        </is>
      </c>
      <c r="AA99" s="167" t="inlineStr">
        <is>
          <t>DPMD</t>
        </is>
      </c>
      <c r="AB99" s="171" t="inlineStr">
        <is>
          <t>Tsalits Nur F</t>
        </is>
      </c>
      <c r="AC99" s="171">
        <f>+62 877-4168-8587</f>
        <v/>
      </c>
      <c r="AD99" s="171" t="inlineStr">
        <is>
          <t>apd.dpmd.bdgkab@gmail.com</t>
        </is>
      </c>
      <c r="AE99" s="67" t="inlineStr">
        <is>
          <t>Mewujudkan pembangunan berbasis Desa</t>
        </is>
      </c>
      <c r="AF99" s="68" t="inlineStr">
        <is>
          <t>Harian</t>
        </is>
      </c>
      <c r="AG99" s="172" t="inlineStr">
        <is>
          <t>Desa</t>
        </is>
      </c>
      <c r="AH99" s="173" t="n"/>
      <c r="AI99" s="173" t="n"/>
      <c r="AJ99" s="173" t="n"/>
      <c r="AK99" s="173" t="n"/>
      <c r="AL99" s="173" t="n"/>
      <c r="AM99" s="173" t="n"/>
      <c r="AN99" s="173" t="n"/>
      <c r="AO99" s="173" t="n"/>
      <c r="AP99" s="173" t="n"/>
      <c r="AQ99" s="173" t="n"/>
      <c r="AR99" s="284" t="n"/>
    </row>
    <row r="100" hidden="1" s="346">
      <c r="A100" s="62" t="n">
        <v>98</v>
      </c>
      <c r="B100" s="171" t="inlineStr">
        <is>
          <t>Layanan Informasi Profil Desa dan Kelurahan</t>
        </is>
      </c>
      <c r="C100" s="171" t="inlineStr">
        <is>
          <t>Memberikan informasi terkait profil, potensi, dan perkembangan desa atau kelurahan kepada masyarakat serta pihak terkait untuk mendukung pengambilan keputusan dan perencanaan pembangunan.</t>
        </is>
      </c>
      <c r="D100" s="171" t="inlineStr">
        <is>
          <t>-Undang-Undang Nomor 6 Tahun 2014 tentang Desa
 - Peraturan Menteri Dalam Negeri Nomor 12 Tahun 2007 tentang Pedoman Penyusunan dan Pendayagunaan Data Profil Desa dan Kelurahan
 - Permendagri Nomor 81 Tahun 2015 tentang Evaluasi Perkembangan Desa dan Kelurahan</t>
        </is>
      </c>
      <c r="E100" s="171" t="inlineStr">
        <is>
          <t>Tidak ada</t>
        </is>
      </c>
      <c r="F100" s="167" t="inlineStr">
        <is>
          <t>PENINGKATAN KUALITAS PELAYANAN PUBLIK</t>
        </is>
      </c>
      <c r="G100" s="167" t="inlineStr">
        <is>
          <t>Masyarakat</t>
        </is>
      </c>
      <c r="H100" s="167" t="inlineStr">
        <is>
          <t>Data Profil Desa dan Kelurahan Desa</t>
        </is>
      </c>
      <c r="I100" s="171" t="inlineStr">
        <is>
          <t>Data Profil Desa dan Kelurahan</t>
        </is>
      </c>
      <c r="J100" s="167" t="inlineStr">
        <is>
          <t>Terbatas</t>
        </is>
      </c>
      <c r="K100" s="167" t="inlineStr">
        <is>
          <t>Tidak terdapat</t>
        </is>
      </c>
      <c r="L100" s="167" t="inlineStr">
        <is>
          <t>Harian</t>
        </is>
      </c>
      <c r="M100" s="167" t="inlineStr">
        <is>
          <t>PRODESKEL</t>
        </is>
      </c>
      <c r="N100" s="167" t="inlineStr">
        <is>
          <t>Pusat</t>
        </is>
      </c>
      <c r="O100" s="167" t="inlineStr">
        <is>
          <t>Pusat</t>
        </is>
      </c>
      <c r="P100" s="167" t="inlineStr">
        <is>
          <t>Website</t>
        </is>
      </c>
      <c r="Q100" s="169" t="inlineStr">
        <is>
          <t>https://prodeskel.binapemdes.kemendagri.go.id/mpublik/</t>
        </is>
      </c>
      <c r="R100" s="167" t="inlineStr">
        <is>
          <t>Secara Online</t>
        </is>
      </c>
      <c r="S100" s="167" t="inlineStr">
        <is>
          <t>Informasi</t>
        </is>
      </c>
      <c r="T100" s="170" t="n">
        <v>2011</v>
      </c>
      <c r="U100" s="167" t="inlineStr">
        <is>
          <t>Aktif</t>
        </is>
      </c>
      <c r="V100" s="167" t="inlineStr">
        <is>
          <t>Tidak</t>
        </is>
      </c>
      <c r="W100" s="167" t="inlineStr">
        <is>
          <t>Tidak Terintegrasi</t>
        </is>
      </c>
      <c r="X100" s="167" t="inlineStr">
        <is>
          <t>Tidak Terintegrasi</t>
        </is>
      </c>
      <c r="Y100" s="167" t="inlineStr">
        <is>
          <t>Tidak Terintegrasi</t>
        </is>
      </c>
      <c r="Z100" s="167" t="inlineStr">
        <is>
          <t>Bidang Administrasi Pemerintahan Desa</t>
        </is>
      </c>
      <c r="AA100" s="167" t="inlineStr">
        <is>
          <t>DPMD</t>
        </is>
      </c>
      <c r="AB100" s="171" t="inlineStr">
        <is>
          <t>Oktavianti</t>
        </is>
      </c>
      <c r="AC100" s="171">
        <f>+62 819-1521-7805</f>
        <v/>
      </c>
      <c r="AD100" s="288" t="n"/>
      <c r="AE100" s="288" t="n"/>
      <c r="AF100" s="68" t="inlineStr">
        <is>
          <t>Harian</t>
        </is>
      </c>
      <c r="AG100" s="172" t="inlineStr">
        <is>
          <t>Desa</t>
        </is>
      </c>
      <c r="AH100" s="173" t="n"/>
      <c r="AI100" s="173" t="n"/>
      <c r="AJ100" s="173" t="n"/>
      <c r="AK100" s="173" t="n"/>
      <c r="AL100" s="173" t="n"/>
      <c r="AM100" s="173" t="n"/>
      <c r="AN100" s="173" t="n"/>
      <c r="AO100" s="173" t="n"/>
      <c r="AP100" s="173" t="n"/>
      <c r="AQ100" s="173" t="n"/>
      <c r="AR100" s="284" t="n"/>
    </row>
    <row r="101" hidden="1" s="346">
      <c r="A101" s="62" t="n">
        <v>99</v>
      </c>
      <c r="B101" s="171" t="inlineStr">
        <is>
          <t>Layanan Informasi Profil Desa dan Kelurahan</t>
        </is>
      </c>
      <c r="C101" s="171" t="inlineStr">
        <is>
          <t>Memberikan informasi terkait profil, potensi, dan perkembangan desa atau kelurahan kepada masyarakat serta pihak terkait untuk mendukung pengambilan keputusan dan perencanaan pembangunan.</t>
        </is>
      </c>
      <c r="D101" s="171" t="inlineStr">
        <is>
          <t>-Undang-Undang Nomor 6 Tahun 2014 tentang Desa
 - Permendagri Nomor 81 Tahun 2015 tentang Evaluasi Perkembangan Desa dan Kelurahan
 - Permendagri Nomor 86 Tahun 2017 tentang Tata Cara Perencanaan, Pengendalian, dan Evaluasi Pembangunan Daerah</t>
        </is>
      </c>
      <c r="E101" s="171" t="inlineStr">
        <is>
          <t>Tidak ada</t>
        </is>
      </c>
      <c r="F101" s="167" t="inlineStr">
        <is>
          <t>PENINGKATAN KUALITAS PELAYANAN PUBLIK</t>
        </is>
      </c>
      <c r="G101" s="167" t="inlineStr">
        <is>
          <t>Instansi Pemerintah Lainnya</t>
        </is>
      </c>
      <c r="H101" s="167" t="inlineStr">
        <is>
          <t>Data tingkat perkembangan desa</t>
        </is>
      </c>
      <c r="I101" s="171" t="inlineStr">
        <is>
          <t>Status desa</t>
        </is>
      </c>
      <c r="J101" s="167" t="inlineStr">
        <is>
          <t>Terbatas</t>
        </is>
      </c>
      <c r="K101" s="167" t="inlineStr">
        <is>
          <t>Tidak terdapat</t>
        </is>
      </c>
      <c r="L101" s="167" t="inlineStr">
        <is>
          <t>Tahunan</t>
        </is>
      </c>
      <c r="M101" s="167" t="inlineStr">
        <is>
          <t>EPDESKEL</t>
        </is>
      </c>
      <c r="N101" s="167" t="inlineStr">
        <is>
          <t>Pusat</t>
        </is>
      </c>
      <c r="O101" s="167" t="inlineStr">
        <is>
          <t>Pusat</t>
        </is>
      </c>
      <c r="P101" s="167" t="inlineStr">
        <is>
          <t>Website</t>
        </is>
      </c>
      <c r="Q101" s="169" t="inlineStr">
        <is>
          <t>https://epdeskel.binapemdes.kemendagri.go.id/app_Login/</t>
        </is>
      </c>
      <c r="R101" s="167" t="inlineStr">
        <is>
          <t>Secara Online</t>
        </is>
      </c>
      <c r="S101" s="167" t="inlineStr">
        <is>
          <t>Informasi</t>
        </is>
      </c>
      <c r="T101" s="170" t="n">
        <v>2016</v>
      </c>
      <c r="U101" s="167" t="inlineStr">
        <is>
          <t>Aktif</t>
        </is>
      </c>
      <c r="V101" s="167" t="inlineStr">
        <is>
          <t>Tidak</t>
        </is>
      </c>
      <c r="W101" s="167" t="inlineStr">
        <is>
          <t>Tidak Terintegrasi</t>
        </is>
      </c>
      <c r="X101" s="167" t="inlineStr">
        <is>
          <t>Tidak Terintegrasi</t>
        </is>
      </c>
      <c r="Y101" s="167" t="inlineStr">
        <is>
          <t>Tidak Terintegrasi</t>
        </is>
      </c>
      <c r="Z101" s="167" t="inlineStr">
        <is>
          <t>Bidang Administrasi Pemerintahan Desa</t>
        </is>
      </c>
      <c r="AA101" s="167" t="inlineStr">
        <is>
          <t>DPMD</t>
        </is>
      </c>
      <c r="AB101" s="171" t="inlineStr">
        <is>
          <t>Melia H</t>
        </is>
      </c>
      <c r="AC101" s="171">
        <f>+62 852-2242-7635</f>
        <v/>
      </c>
      <c r="AD101" s="288" t="n"/>
      <c r="AE101" s="288" t="n"/>
      <c r="AF101" s="68" t="inlineStr">
        <is>
          <t>Harian</t>
        </is>
      </c>
      <c r="AG101" s="172" t="inlineStr">
        <is>
          <t>Desa</t>
        </is>
      </c>
      <c r="AH101" s="173" t="n"/>
      <c r="AI101" s="173" t="n"/>
      <c r="AJ101" s="173" t="n"/>
      <c r="AK101" s="173" t="n"/>
      <c r="AL101" s="173" t="n"/>
      <c r="AM101" s="173" t="n"/>
      <c r="AN101" s="173" t="n"/>
      <c r="AO101" s="173" t="n"/>
      <c r="AP101" s="173" t="n"/>
      <c r="AQ101" s="173" t="n"/>
      <c r="AR101" s="284" t="n"/>
    </row>
    <row r="102" hidden="1" s="346">
      <c r="A102" s="62" t="n">
        <v>100</v>
      </c>
      <c r="B102" s="171" t="inlineStr">
        <is>
          <t>Layanan Aset Desa (Pengelolaan, Pengadaan dan Penghapusan)</t>
        </is>
      </c>
      <c r="C102" s="171" t="inlineStr">
        <is>
          <t>Mengelola aset desa dengan baik, termasuk dalam proses pengadaan, pengelolaan, dan penghapusan aset agar dapat memberikan manfaat maksimal bagi masyarakat desa.</t>
        </is>
      </c>
      <c r="D102" s="171" t="inlineStr">
        <is>
          <t>-Undang-Undang Nomor 6 Tahun 2014 tentang Desa
 - Permendagri Nomor 1 Tahun 2016 tentang Pengelolaan Aset Desa</t>
        </is>
      </c>
      <c r="E102" s="169" t="inlineStr">
        <is>
          <t>https://drive.google.com/file/d/1CvHE6emS2UxjsAt6IC87kgxEb19CuE3k/view?usp=sharing</t>
        </is>
      </c>
      <c r="F102" s="167" t="inlineStr">
        <is>
          <t>PENINGKATAN KUALITAS PELAYANAN PUBLIK</t>
        </is>
      </c>
      <c r="G102" s="167" t="inlineStr">
        <is>
          <t>Instansi Pemerintah Lainnya</t>
        </is>
      </c>
      <c r="H102" s="167" t="inlineStr">
        <is>
          <t>Aset desa</t>
        </is>
      </c>
      <c r="I102" s="171" t="inlineStr">
        <is>
          <t>Data Aset Desa</t>
        </is>
      </c>
      <c r="J102" s="167" t="inlineStr">
        <is>
          <t>Terbatas</t>
        </is>
      </c>
      <c r="K102" s="167" t="inlineStr">
        <is>
          <t>Tidak terdapat</t>
        </is>
      </c>
      <c r="L102" s="167" t="inlineStr">
        <is>
          <t>Harian</t>
        </is>
      </c>
      <c r="M102" s="167" t="inlineStr">
        <is>
          <t>SIPADES</t>
        </is>
      </c>
      <c r="N102" s="167" t="inlineStr">
        <is>
          <t>Pusat</t>
        </is>
      </c>
      <c r="O102" s="167" t="inlineStr">
        <is>
          <t>Pusat</t>
        </is>
      </c>
      <c r="P102" s="167" t="inlineStr">
        <is>
          <t>Website</t>
        </is>
      </c>
      <c r="Q102" s="169" t="inlineStr">
        <is>
          <t>http://sipades.id/</t>
        </is>
      </c>
      <c r="R102" s="167" t="inlineStr">
        <is>
          <t>Secara Online</t>
        </is>
      </c>
      <c r="S102" s="167" t="inlineStr">
        <is>
          <t>Informasi</t>
        </is>
      </c>
      <c r="T102" s="170" t="n">
        <v>2017</v>
      </c>
      <c r="U102" s="167" t="inlineStr">
        <is>
          <t>Maintenance</t>
        </is>
      </c>
      <c r="V102" s="167" t="inlineStr">
        <is>
          <t>Ya</t>
        </is>
      </c>
      <c r="W102" s="167" t="inlineStr">
        <is>
          <t>SIPD</t>
        </is>
      </c>
      <c r="X102" s="167" t="inlineStr">
        <is>
          <t>Database to Database</t>
        </is>
      </c>
      <c r="Y102" s="167" t="inlineStr">
        <is>
          <t>Realtime</t>
        </is>
      </c>
      <c r="Z102" s="167" t="inlineStr">
        <is>
          <t>Bidang Administrasi Pemerintahan Desa</t>
        </is>
      </c>
      <c r="AA102" s="167" t="inlineStr">
        <is>
          <t>DPMD</t>
        </is>
      </c>
      <c r="AB102" s="171" t="inlineStr">
        <is>
          <t>Bilal Rizky</t>
        </is>
      </c>
      <c r="AC102" s="171">
        <f>+62 813-1367-9948</f>
        <v/>
      </c>
      <c r="AD102" s="171" t="inlineStr">
        <is>
          <t>bilalramadhan30@gmail.com</t>
        </is>
      </c>
      <c r="AE102" s="288" t="n"/>
      <c r="AF102" s="68" t="inlineStr">
        <is>
          <t>Harian</t>
        </is>
      </c>
      <c r="AG102" s="172" t="inlineStr">
        <is>
          <t>Desa</t>
        </is>
      </c>
      <c r="AH102" s="173" t="n"/>
      <c r="AI102" s="173" t="n"/>
      <c r="AJ102" s="173" t="n"/>
      <c r="AK102" s="173" t="n"/>
      <c r="AL102" s="173" t="n"/>
      <c r="AM102" s="173" t="n"/>
      <c r="AN102" s="173" t="n"/>
      <c r="AO102" s="173" t="n"/>
      <c r="AP102" s="173" t="n"/>
      <c r="AQ102" s="173" t="n"/>
      <c r="AR102" s="284" t="n"/>
    </row>
    <row r="103">
      <c r="A103" s="62" t="n">
        <v>101</v>
      </c>
      <c r="B103" s="171" t="inlineStr">
        <is>
          <t>Layanan Pembinaan Lembaga Kemasyarakatan Desa</t>
        </is>
      </c>
      <c r="C103" s="171" t="inlineStr">
        <is>
          <t>Memberikan pembinaan dan dukungan kepada lembaga kemasyarakatan desa seperti karang taruna, PKK, dan lainnya untuk meningkatkan peran dan kontribusi mereka dalam pembangunan desa.</t>
        </is>
      </c>
      <c r="D103" s="171" t="inlineStr">
        <is>
          <t>Permendagri 13 tahun 2024 tentang Pos Pelayanan Terpadu</t>
        </is>
      </c>
      <c r="E103" s="169" t="inlineStr">
        <is>
          <t>https://drive.google.com/file/d/1YdbXWdCS28ppql72phZoI1RvIMqiXeuL/view?usp=sharing</t>
        </is>
      </c>
      <c r="F103" s="167" t="inlineStr">
        <is>
          <t>PENINGKATAN KUALITAS PELAYANAN PUBLIK</t>
        </is>
      </c>
      <c r="G103" s="167" t="inlineStr">
        <is>
          <t>Masyarakat</t>
        </is>
      </c>
      <c r="H103" s="167" t="inlineStr">
        <is>
          <t>Laporan/aduan masyarakat berdasarkan Posyandu 6 SPM (Kesehatan, Pendidikan, PU, PR, Trantibum Linmas, Sosial)</t>
        </is>
      </c>
      <c r="I103" s="167" t="inlineStr">
        <is>
          <t>Laporan/aduan masyarakat berdasarkan Posyandu 6 SPM (Kesehatan, Pendidikan, PU, PR, Trantibum Linmas, Sosial)</t>
        </is>
      </c>
      <c r="J103" s="167" t="inlineStr">
        <is>
          <t>Terbatas</t>
        </is>
      </c>
      <c r="K103" s="167" t="inlineStr">
        <is>
          <t>Terdapat</t>
        </is>
      </c>
      <c r="L103" s="167" t="inlineStr">
        <is>
          <t>Harian</t>
        </is>
      </c>
      <c r="M103" s="167" t="inlineStr">
        <is>
          <t>SIPANDU BEDAS</t>
        </is>
      </c>
      <c r="N103" s="167" t="inlineStr">
        <is>
          <t>Pihak Ke 3</t>
        </is>
      </c>
      <c r="O103" s="167" t="inlineStr">
        <is>
          <t>Kab. Bandung</t>
        </is>
      </c>
      <c r="P103" s="167" t="inlineStr">
        <is>
          <t>Mobile</t>
        </is>
      </c>
      <c r="Q103" s="169" t="inlineStr">
        <is>
          <t>http://s.id/sipandubedas</t>
        </is>
      </c>
      <c r="R103" s="167" t="inlineStr">
        <is>
          <t>Secara Online</t>
        </is>
      </c>
      <c r="S103" s="167" t="inlineStr">
        <is>
          <t>Transaksi</t>
        </is>
      </c>
      <c r="T103" s="170" t="n">
        <v>2025</v>
      </c>
      <c r="U103" s="167" t="inlineStr">
        <is>
          <t>Maintenance</t>
        </is>
      </c>
      <c r="V103" s="167" t="inlineStr">
        <is>
          <t>Tidak</t>
        </is>
      </c>
      <c r="W103" s="167" t="inlineStr">
        <is>
          <t>Tidak Terintegrasi</t>
        </is>
      </c>
      <c r="X103" s="167" t="inlineStr">
        <is>
          <t>Tidak Terintegrasi</t>
        </is>
      </c>
      <c r="Y103" s="167" t="inlineStr">
        <is>
          <t>Tidak Terintegrasi</t>
        </is>
      </c>
      <c r="Z103" s="167" t="inlineStr">
        <is>
          <t>Kelembagaan dan Peningkatan Partisipasi Masyarakat</t>
        </is>
      </c>
      <c r="AA103" s="167" t="inlineStr">
        <is>
          <t>DPMD</t>
        </is>
      </c>
      <c r="AB103" s="171" t="inlineStr">
        <is>
          <t>Ilham Juliana;
 Mariska Ardilla Faza</t>
        </is>
      </c>
      <c r="AC103" s="171">
        <f>+62 814-6098-3680
 +62 813-2079-8875</f>
        <v/>
      </c>
      <c r="AD103" s="288" t="n"/>
      <c r="AE103" s="288" t="n"/>
      <c r="AF103" s="68" t="inlineStr">
        <is>
          <t>Harian</t>
        </is>
      </c>
      <c r="AG103" s="172" t="inlineStr">
        <is>
          <t>Desa</t>
        </is>
      </c>
      <c r="AH103" s="173" t="n"/>
      <c r="AI103" s="173" t="n"/>
      <c r="AJ103" s="173" t="n"/>
      <c r="AK103" s="173" t="n"/>
      <c r="AL103" s="173" t="n"/>
      <c r="AM103" s="173" t="n"/>
      <c r="AN103" s="173" t="n"/>
      <c r="AO103" s="173" t="n"/>
      <c r="AP103" s="173" t="n"/>
      <c r="AQ103" s="173" t="n"/>
      <c r="AR103" s="284" t="n"/>
    </row>
    <row r="104">
      <c r="A104" s="62" t="n">
        <v>102</v>
      </c>
      <c r="B104" s="178" t="inlineStr">
        <is>
          <t>Layanan Pengelolaan Keuangan Desa</t>
        </is>
      </c>
      <c r="C104" s="178" t="inlineStr">
        <is>
          <t>Meningkatkan transparansi, akuntabilitas, dan efisiensi dalam pengelolaan keuangan di tingkat desa untuk memastikan setiap pengajuan bankeu digunakan secara efektif dan sesuai peruntukannya.</t>
        </is>
      </c>
      <c r="D104" s="178" t="inlineStr">
        <is>
          <t>Peraturan Bupati Bandung Nomor 328 Tahun 2025 tentang Pengelolaan Keuangan Desa</t>
        </is>
      </c>
      <c r="E104" s="70" t="inlineStr">
        <is>
          <t>https://drive.google.com/file/d/15CRvlXeoq6lRDTUnunhCxVgWmxrUKQsz/view?usp=drive_link</t>
        </is>
      </c>
      <c r="F104" s="184" t="inlineStr">
        <is>
          <t>PENINGKATAN KUALITAS PELAYANAN PUBLIK</t>
        </is>
      </c>
      <c r="G104" s="184" t="inlineStr">
        <is>
          <t>Instansi Pemerintah Lainnya</t>
        </is>
      </c>
      <c r="H104" s="184" t="inlineStr">
        <is>
          <t>Data Keuangan Desa, Informasi Desa</t>
        </is>
      </c>
      <c r="I104" s="178" t="inlineStr">
        <is>
          <t>Surat Rekomendasi Pencairan Bankeu, Surat Pengantar</t>
        </is>
      </c>
      <c r="J104" s="184" t="inlineStr">
        <is>
          <t>Terbatas</t>
        </is>
      </c>
      <c r="K104" s="184" t="inlineStr">
        <is>
          <t>Terdapat</t>
        </is>
      </c>
      <c r="L104" s="184" t="inlineStr">
        <is>
          <t>Harian</t>
        </is>
      </c>
      <c r="M104" s="184" t="inlineStr">
        <is>
          <t>SiPAKADES</t>
        </is>
      </c>
      <c r="N104" s="184" t="inlineStr">
        <is>
          <t>Pihak Ke 3</t>
        </is>
      </c>
      <c r="O104" s="184" t="inlineStr">
        <is>
          <t>Kab. Bandung</t>
        </is>
      </c>
      <c r="P104" s="184" t="inlineStr">
        <is>
          <t>Website</t>
        </is>
      </c>
      <c r="Q104" s="70" t="inlineStr">
        <is>
          <t>https://sipakades.bandungkab.go.id/</t>
        </is>
      </c>
      <c r="R104" s="184" t="inlineStr">
        <is>
          <t>Secara Online</t>
        </is>
      </c>
      <c r="S104" s="184" t="inlineStr">
        <is>
          <t>Transaksi</t>
        </is>
      </c>
      <c r="T104" s="98" t="n">
        <v>2025</v>
      </c>
      <c r="U104" s="184" t="inlineStr">
        <is>
          <t>Aktif</t>
        </is>
      </c>
      <c r="V104" s="184" t="inlineStr">
        <is>
          <t>Ya</t>
        </is>
      </c>
      <c r="W104" s="184" t="inlineStr">
        <is>
          <t>SIAP BKAD</t>
        </is>
      </c>
      <c r="X104" s="184" t="inlineStr">
        <is>
          <t>API</t>
        </is>
      </c>
      <c r="Y104" s="184" t="inlineStr">
        <is>
          <t>Harian</t>
        </is>
      </c>
      <c r="Z104" s="184" t="inlineStr">
        <is>
          <t>PEMDES</t>
        </is>
      </c>
      <c r="AA104" s="184" t="inlineStr">
        <is>
          <t>DPMD</t>
        </is>
      </c>
      <c r="AB104" s="178" t="inlineStr">
        <is>
          <t>Taopik; Fauzan</t>
        </is>
      </c>
      <c r="AC104" s="178">
        <f>+62 858-1117-3233
 +62 852-2443-7788</f>
        <v/>
      </c>
      <c r="AD104" s="288" t="n"/>
      <c r="AE104" s="67" t="inlineStr">
        <is>
          <t>Mewujudkan pembangunan berbasis Desa</t>
        </is>
      </c>
      <c r="AF104" s="68" t="inlineStr">
        <is>
          <t>Harian</t>
        </is>
      </c>
      <c r="AG104" s="172" t="inlineStr">
        <is>
          <t>Desa</t>
        </is>
      </c>
      <c r="AH104" s="173" t="n"/>
      <c r="AI104" s="173" t="n"/>
      <c r="AJ104" s="173" t="n"/>
      <c r="AK104" s="173" t="n"/>
      <c r="AL104" s="173" t="n"/>
      <c r="AM104" s="173" t="n"/>
      <c r="AN104" s="173" t="n"/>
      <c r="AO104" s="173" t="n"/>
      <c r="AP104" s="173" t="n"/>
      <c r="AQ104" s="173" t="n"/>
      <c r="AR104" s="284" t="n"/>
    </row>
    <row r="105" hidden="1" s="346">
      <c r="A105" s="62" t="n">
        <v>103</v>
      </c>
      <c r="B105" s="178" t="inlineStr">
        <is>
          <t>Layanan Informasi dan Pengajuan Uji KIR Kendaraan</t>
        </is>
      </c>
      <c r="C105" s="178" t="inlineStr">
        <is>
          <t>Memastikan kendaraan bermotor dan trayek angkutan umum aman dan layak operasi sesuai standar.</t>
        </is>
      </c>
      <c r="D105" s="176" t="inlineStr">
        <is>
          <t>UPTD Pengujian Kendaraan Bermotor</t>
        </is>
      </c>
      <c r="E105" s="178" t="inlineStr">
        <is>
          <t>-Undang - Undang No 22 tahun 2009 Lalu Lintas dan Angkutan Jalan
 - Peraturan Pemerintah Nomor 55 Tahun 2012 tentang kendaraan
 - Peraturan Menteri No 19 TAHUN2021 tentang Pengujian kendaraan Bermotor
 - Peraturan Menteri 156 Tahun 2016 tentang Kompetensi Penguji kendaraan Bermotor
 - KP.4404 AJ.502 DRJD 2020 TTG AKREDITASI UNIT PELAKSANA UJI BERKALA KB 
 - KEP DITJENHUBDAT BLUE NOMOR KP-DRJD 3291 TAHUN 2021 TENTANG PEDOMAN TEKNIS BUKTI LULUS UJI BERKALA KENDARAAN BERMOTOR</t>
        </is>
      </c>
      <c r="F105" s="70" t="inlineStr">
        <is>
          <t>https://drive.google.com/file/d/1r3y4yoWaoByjuAovOlwVhpYcdVHWYZlA/view?usp=drive_link</t>
        </is>
      </c>
      <c r="G105" s="184" t="inlineStr">
        <is>
          <t>PENINGKATAN KUALITAS PELAYANAN PUBLIK</t>
        </is>
      </c>
      <c r="H105" s="184" t="inlineStr">
        <is>
          <t>Masyarakat</t>
        </is>
      </c>
      <c r="I105" s="184" t="inlineStr">
        <is>
          <t>Data Pengujian Kendaraan Bermotor</t>
        </is>
      </c>
      <c r="J105" s="178" t="inlineStr">
        <is>
          <t>Data Hasil Pengujian Kendaraan Bermotor</t>
        </is>
      </c>
      <c r="K105" s="184" t="inlineStr">
        <is>
          <t>Terbatas</t>
        </is>
      </c>
      <c r="L105" s="184" t="inlineStr">
        <is>
          <t>Terdapat</t>
        </is>
      </c>
      <c r="M105" s="184" t="inlineStr">
        <is>
          <t>SIKUMIS BOKIR</t>
        </is>
      </c>
      <c r="N105" s="183" t="n"/>
      <c r="O105" s="184" t="inlineStr">
        <is>
          <t>Pihak Ke 3 (Lisensi)</t>
        </is>
      </c>
      <c r="P105" s="184" t="inlineStr">
        <is>
          <t>Kab. Bandung</t>
        </is>
      </c>
      <c r="Q105" s="184" t="inlineStr">
        <is>
          <t>Desktop</t>
        </is>
      </c>
      <c r="R105" s="288" t="n"/>
      <c r="S105" s="184" t="inlineStr">
        <is>
          <t>Secara Online</t>
        </is>
      </c>
      <c r="T105" s="184" t="inlineStr">
        <is>
          <t>Informasi</t>
        </is>
      </c>
      <c r="U105" s="184" t="n">
        <v>2018</v>
      </c>
      <c r="V105" s="184" t="inlineStr">
        <is>
          <t>Aktif</t>
        </is>
      </c>
      <c r="W105" s="184" t="inlineStr">
        <is>
          <t>Ya</t>
        </is>
      </c>
      <c r="X105" s="184" t="inlineStr">
        <is>
          <t>- Aplikasi Pencetakan BLUe Bukti Lulus Uji Elektronik Kementrian Perhubungan
 - Aplikasi MItra Darat Kementrian Perhubungan.</t>
        </is>
      </c>
      <c r="Y105" s="184" t="inlineStr">
        <is>
          <t>Database to Database</t>
        </is>
      </c>
      <c r="Z105" s="184" t="inlineStr">
        <is>
          <t>Realtime</t>
        </is>
      </c>
      <c r="AA105" s="184" t="inlineStr">
        <is>
          <t>UPTD Pengujian Kendaraan Bermotor</t>
        </is>
      </c>
      <c r="AB105" s="184" t="inlineStr">
        <is>
          <t>Dishub</t>
        </is>
      </c>
      <c r="AC105" s="178" t="inlineStr">
        <is>
          <t>- Pratiwi Aprianti Malinda , S.ST
 - Suryana</t>
        </is>
      </c>
      <c r="AD105" s="178" t="inlineStr">
        <is>
          <t>- 085883571918
 - 085758638608</t>
        </is>
      </c>
      <c r="AE105" s="178" t="inlineStr">
        <is>
          <t>uptdpkb383@gmail.com</t>
        </is>
      </c>
      <c r="AF105" s="288" t="n"/>
      <c r="AG105" s="90" t="n"/>
      <c r="AH105" s="284" t="n"/>
      <c r="AI105" s="284" t="n"/>
      <c r="AJ105" s="284" t="n"/>
      <c r="AK105" s="284" t="n"/>
      <c r="AL105" s="284" t="n"/>
      <c r="AM105" s="284" t="n"/>
      <c r="AN105" s="284" t="n"/>
      <c r="AO105" s="284" t="n"/>
      <c r="AP105" s="284" t="n"/>
      <c r="AQ105" s="284" t="n"/>
      <c r="AR105" s="284" t="n"/>
    </row>
    <row r="106" hidden="1" s="346">
      <c r="A106" s="62" t="n">
        <v>104</v>
      </c>
      <c r="B106" s="178" t="inlineStr">
        <is>
          <t>Layanan Perizinan Berusaha Berbasis Risiko (OSS)</t>
        </is>
      </c>
      <c r="C106" s="178" t="inlineStr">
        <is>
          <t>Untuk mempermudah proses penerbitan Nomor Induk Berusaha (NIB) bagi pelaku usaha dengan pendekatan berbasis risiko, sehingga memberikan kepastian dan kemudahan dalam menunjang perizinan usaha.</t>
        </is>
      </c>
      <c r="D106" s="178" t="inlineStr">
        <is>
          <t>1. Peraturan Pemerintah Nomor 5 Tahun 2021
 2. Peaturan Menteri BKPM Nomor 3 TAHUN 2021
 3. Peraturan Daerah Kabupaten Bandung Nomor 16 Tahun 2022</t>
        </is>
      </c>
      <c r="E106" s="178" t="inlineStr">
        <is>
          <t>Tersedia</t>
        </is>
      </c>
      <c r="F106" s="184" t="inlineStr">
        <is>
          <t>PENINGKATAN KUALITAS PELAYANAN PUBLIK</t>
        </is>
      </c>
      <c r="G106" s="184" t="inlineStr">
        <is>
          <t>Masyarakat</t>
        </is>
      </c>
      <c r="H106" s="184" t="inlineStr">
        <is>
          <t>Data Perizinan Berusaha</t>
        </is>
      </c>
      <c r="I106" s="178" t="inlineStr">
        <is>
          <t>Data Perizinan Berusaha</t>
        </is>
      </c>
      <c r="J106" s="184" t="inlineStr">
        <is>
          <t>Terbatas</t>
        </is>
      </c>
      <c r="K106" s="184" t="inlineStr">
        <is>
          <t>Terdapat</t>
        </is>
      </c>
      <c r="L106" s="184" t="inlineStr">
        <is>
          <t>Harian</t>
        </is>
      </c>
      <c r="M106" s="184" t="inlineStr">
        <is>
          <t>OSS</t>
        </is>
      </c>
      <c r="N106" s="184" t="inlineStr">
        <is>
          <t>Pusat</t>
        </is>
      </c>
      <c r="O106" s="184" t="inlineStr">
        <is>
          <t>Pusat</t>
        </is>
      </c>
      <c r="P106" s="184" t="inlineStr">
        <is>
          <t>Website dan Mobile</t>
        </is>
      </c>
      <c r="Q106" s="70" t="inlineStr">
        <is>
          <t>https://oss.go.id/</t>
        </is>
      </c>
      <c r="R106" s="184" t="inlineStr">
        <is>
          <t>Secara Online</t>
        </is>
      </c>
      <c r="S106" s="184" t="inlineStr">
        <is>
          <t>Transaksi</t>
        </is>
      </c>
      <c r="T106" s="98" t="n">
        <v>2019</v>
      </c>
      <c r="U106" s="184" t="inlineStr">
        <is>
          <t>Aktif</t>
        </is>
      </c>
      <c r="V106" s="184" t="inlineStr">
        <is>
          <t>Ya</t>
        </is>
      </c>
      <c r="W106" s="184" t="inlineStr">
        <is>
          <t>Terintegrasi dengan KSWP milik Kementerian Keuangan, terintegrasi dengan Kemendagri perihal data KTP, terintegrasi perihal Data Akta Hukum milik DITJEN AHU</t>
        </is>
      </c>
      <c r="X106" s="184" t="inlineStr">
        <is>
          <t>API</t>
        </is>
      </c>
      <c r="Y106" s="184" t="inlineStr">
        <is>
          <t>Realtime</t>
        </is>
      </c>
      <c r="Z106" s="184" t="inlineStr">
        <is>
          <t>Bidang Pelayanan Perizinan</t>
        </is>
      </c>
      <c r="AA106" s="184" t="inlineStr">
        <is>
          <t>DPMPTSP</t>
        </is>
      </c>
      <c r="AB106" s="288" t="n"/>
      <c r="AC106" s="288" t="n"/>
      <c r="AD106" s="178" t="inlineStr">
        <is>
          <t>dpmptsp@bandungkab.go.id</t>
        </is>
      </c>
      <c r="AE106" s="179" t="inlineStr">
        <is>
          <t>Peningkatan kualitas pelayanan perizinan</t>
        </is>
      </c>
      <c r="AF106" s="68" t="inlineStr">
        <is>
          <t>Harian</t>
        </is>
      </c>
      <c r="AG106" s="180" t="inlineStr">
        <is>
          <t>DPMPTSP dan Dinas Teknis sesuai layanan perizinan</t>
        </is>
      </c>
      <c r="AH106" s="284" t="n"/>
      <c r="AI106" s="284" t="n"/>
      <c r="AJ106" s="284" t="n"/>
      <c r="AK106" s="284" t="n"/>
      <c r="AL106" s="284" t="n"/>
      <c r="AM106" s="284" t="n"/>
      <c r="AN106" s="284" t="n"/>
      <c r="AO106" s="284" t="n"/>
      <c r="AP106" s="284" t="n"/>
      <c r="AQ106" s="284" t="n"/>
      <c r="AR106" s="284" t="n"/>
    </row>
    <row r="107">
      <c r="A107" s="62" t="n">
        <v>105</v>
      </c>
      <c r="B107" s="178" t="inlineStr">
        <is>
          <t>Layanan Perizinan Non Berusaha (Non OSS)</t>
        </is>
      </c>
      <c r="C107" s="178" t="inlineStr">
        <is>
          <t>Untuk memberikan layanan perizinan untuk kegiatan yang tidak terkait dengan usaha seperti Penerbitan Izin Pendidikan, Penerbitan Izin Sosial dan Penerbitan Izin Tata Ruang.</t>
        </is>
      </c>
      <c r="D107" s="178" t="inlineStr">
        <is>
          <t>1. Peraturan Bupati Bandung Nomor 239 Tahun 2025
 2. Keputusan Kepala Dinas DPMPTSP Kabupaten Bandung Nomor 100.3.3/033-KEP/DPMPTSP</t>
        </is>
      </c>
      <c r="E107" s="178" t="inlineStr">
        <is>
          <t>Tersedia</t>
        </is>
      </c>
      <c r="F107" s="184" t="inlineStr">
        <is>
          <t>PENINGKATAN KUALITAS PELAYANAN PUBLIK</t>
        </is>
      </c>
      <c r="G107" s="184" t="inlineStr">
        <is>
          <t>Masyarakat</t>
        </is>
      </c>
      <c r="H107" s="184" t="inlineStr">
        <is>
          <t>Data Perizinan Berusaha</t>
        </is>
      </c>
      <c r="I107" s="178" t="inlineStr">
        <is>
          <t>Data Perizinan Non Berusaha</t>
        </is>
      </c>
      <c r="J107" s="184" t="inlineStr">
        <is>
          <t>Terbatas</t>
        </is>
      </c>
      <c r="K107" s="184" t="inlineStr">
        <is>
          <t>Terdapat</t>
        </is>
      </c>
      <c r="L107" s="184" t="inlineStr">
        <is>
          <t>Harian</t>
        </is>
      </c>
      <c r="M107" s="184" t="inlineStr">
        <is>
          <t>SAMIRINDU SILONCER</t>
        </is>
      </c>
      <c r="N107" s="184" t="inlineStr">
        <is>
          <t>OPD</t>
        </is>
      </c>
      <c r="O107" s="184" t="inlineStr">
        <is>
          <t>Kab. Bandung</t>
        </is>
      </c>
      <c r="P107" s="184" t="inlineStr">
        <is>
          <t>Website</t>
        </is>
      </c>
      <c r="Q107" s="70" t="inlineStr">
        <is>
          <t>https://dpmptsp.bandungkab.go.id/</t>
        </is>
      </c>
      <c r="R107" s="184" t="inlineStr">
        <is>
          <t>Secara Online</t>
        </is>
      </c>
      <c r="S107" s="184" t="inlineStr">
        <is>
          <t>Transaksi</t>
        </is>
      </c>
      <c r="T107" s="98" t="n">
        <v>2018</v>
      </c>
      <c r="U107" s="184" t="inlineStr">
        <is>
          <t>Aktif</t>
        </is>
      </c>
      <c r="V107" s="184" t="inlineStr">
        <is>
          <t>Ya</t>
        </is>
      </c>
      <c r="W107" s="184" t="inlineStr">
        <is>
          <t>Terintegrasi dengan Dukcapil Kab. Bandung dan terintegrasi dengan KSWP Kementerian Keuangan</t>
        </is>
      </c>
      <c r="X107" s="184" t="inlineStr">
        <is>
          <t>API</t>
        </is>
      </c>
      <c r="Y107" s="184" t="inlineStr">
        <is>
          <t>Realtime</t>
        </is>
      </c>
      <c r="Z107" s="184" t="inlineStr">
        <is>
          <t>Bidang Pelayanan Perizinan</t>
        </is>
      </c>
      <c r="AA107" s="184" t="inlineStr">
        <is>
          <t>DPMPTSP</t>
        </is>
      </c>
      <c r="AB107" s="288" t="n"/>
      <c r="AC107" s="288" t="n"/>
      <c r="AD107" s="178" t="inlineStr">
        <is>
          <t>dpmptsp@bandungkab.go.id</t>
        </is>
      </c>
      <c r="AE107" s="179" t="inlineStr">
        <is>
          <t>Peningkatan kualitas pelayanan perizinan</t>
        </is>
      </c>
      <c r="AF107" s="68" t="inlineStr">
        <is>
          <t>Harian</t>
        </is>
      </c>
      <c r="AG107" s="180" t="inlineStr">
        <is>
          <t>DPMPTSP dan Dinas Teknis sesuai layanan perizinan</t>
        </is>
      </c>
      <c r="AH107" s="284" t="n"/>
      <c r="AI107" s="284" t="n"/>
      <c r="AJ107" s="284" t="n"/>
      <c r="AK107" s="284" t="n"/>
      <c r="AL107" s="284" t="n"/>
      <c r="AM107" s="284" t="n"/>
      <c r="AN107" s="284" t="n"/>
      <c r="AO107" s="284" t="n"/>
      <c r="AP107" s="284" t="n"/>
      <c r="AQ107" s="284" t="n"/>
      <c r="AR107" s="284" t="n"/>
    </row>
    <row r="108" hidden="1" s="346">
      <c r="A108" s="62" t="n">
        <v>106</v>
      </c>
      <c r="B108" s="178" t="inlineStr">
        <is>
          <t>Layanan Persetujuan Bangunan Gedung</t>
        </is>
      </c>
      <c r="C108" s="178" t="inlineStr">
        <is>
          <t>Untuk memfasilitasi proses perizinan dan menerbitkan Surat Persetujuan Bangunan Gedung atau pembangunan gedung agar sesuai dengan peraturan dan standar yang berlaku.</t>
        </is>
      </c>
      <c r="D108" s="178" t="inlineStr">
        <is>
          <t>1. Peraturan Pemerintah Nomor 16 Tahun 2021</t>
        </is>
      </c>
      <c r="E108" s="178" t="inlineStr">
        <is>
          <t>Tersedia</t>
        </is>
      </c>
      <c r="F108" s="184" t="inlineStr">
        <is>
          <t>PENINGKATAN KUALITAS PELAYANAN PUBLIK</t>
        </is>
      </c>
      <c r="G108" s="184" t="inlineStr">
        <is>
          <t>Masyarakat</t>
        </is>
      </c>
      <c r="H108" s="184" t="inlineStr">
        <is>
          <t>Data Persetujuan Bangunan Gedung</t>
        </is>
      </c>
      <c r="I108" s="178" t="inlineStr">
        <is>
          <t>Data Persetujuan Bangunan Gedung</t>
        </is>
      </c>
      <c r="J108" s="184" t="inlineStr">
        <is>
          <t>Terbatas</t>
        </is>
      </c>
      <c r="K108" s="184" t="inlineStr">
        <is>
          <t>Terdapat</t>
        </is>
      </c>
      <c r="L108" s="184" t="inlineStr">
        <is>
          <t>Harian</t>
        </is>
      </c>
      <c r="M108" s="184" t="inlineStr">
        <is>
          <t>SIMBG</t>
        </is>
      </c>
      <c r="N108" s="184" t="inlineStr">
        <is>
          <t>Pusat</t>
        </is>
      </c>
      <c r="O108" s="184" t="inlineStr">
        <is>
          <t>Pusat</t>
        </is>
      </c>
      <c r="P108" s="184" t="inlineStr">
        <is>
          <t>Website</t>
        </is>
      </c>
      <c r="Q108" s="70" t="inlineStr">
        <is>
          <t>https://simbg.pu.go.id/</t>
        </is>
      </c>
      <c r="R108" s="184" t="inlineStr">
        <is>
          <t>Secara Online</t>
        </is>
      </c>
      <c r="S108" s="184" t="inlineStr">
        <is>
          <t>Transaksi</t>
        </is>
      </c>
      <c r="T108" s="98" t="n">
        <v>2021</v>
      </c>
      <c r="U108" s="184" t="inlineStr">
        <is>
          <t>Aktif</t>
        </is>
      </c>
      <c r="V108" s="184" t="inlineStr">
        <is>
          <t>Tidak</t>
        </is>
      </c>
      <c r="W108" s="184" t="inlineStr">
        <is>
          <t>-</t>
        </is>
      </c>
      <c r="X108" s="184" t="inlineStr">
        <is>
          <t>API</t>
        </is>
      </c>
      <c r="Y108" s="184" t="inlineStr">
        <is>
          <t>Realtime</t>
        </is>
      </c>
      <c r="Z108" s="184" t="inlineStr">
        <is>
          <t>Bidang Pelayanan Perizinan</t>
        </is>
      </c>
      <c r="AA108" s="184" t="inlineStr">
        <is>
          <t>DPMPTSP</t>
        </is>
      </c>
      <c r="AB108" s="288" t="n"/>
      <c r="AC108" s="288" t="n"/>
      <c r="AD108" s="178" t="inlineStr">
        <is>
          <t>dpmptsp@bandungkab.go.id</t>
        </is>
      </c>
      <c r="AE108" s="179" t="inlineStr">
        <is>
          <t>Peningkatan kualitas pelayanan perizinan</t>
        </is>
      </c>
      <c r="AF108" s="68" t="inlineStr">
        <is>
          <t>Harian</t>
        </is>
      </c>
      <c r="AG108" s="180" t="inlineStr">
        <is>
          <t>DPMPTSP dan DPUTR</t>
        </is>
      </c>
      <c r="AH108" s="284" t="n"/>
      <c r="AI108" s="284" t="n"/>
      <c r="AJ108" s="284" t="n"/>
      <c r="AK108" s="284" t="n"/>
      <c r="AL108" s="284" t="n"/>
      <c r="AM108" s="284" t="n"/>
      <c r="AN108" s="284" t="n"/>
      <c r="AO108" s="284" t="n"/>
      <c r="AP108" s="284" t="n"/>
      <c r="AQ108" s="284" t="n"/>
      <c r="AR108" s="284" t="n"/>
    </row>
    <row r="109" hidden="1" s="346">
      <c r="A109" s="62" t="n">
        <v>107</v>
      </c>
      <c r="B109" s="178" t="inlineStr">
        <is>
          <t>Layanan MPP DIGITAL</t>
        </is>
      </c>
      <c r="C109" s="178" t="inlineStr">
        <is>
          <t>Untuk memberikan layanan perizinan untuk sementara kegiatan yang terkait dengan layanan kesehatan seperti Penerbitan Perizinan untuk Tenaga Kesehatan (SIP)</t>
        </is>
      </c>
      <c r="D109" s="178" t="inlineStr">
        <is>
          <t>1. Peraturan Presiden Nomor 89 Tahun 2021
 2. Peraturan Menteri PAN RB Nomor 92 Tahun 2021
 3. Keputusan Menteri PAN RB Nomor 660 Tahun 2024</t>
        </is>
      </c>
      <c r="E109" s="178" t="inlineStr">
        <is>
          <t>Tersedia</t>
        </is>
      </c>
      <c r="F109" s="184" t="inlineStr">
        <is>
          <t>PENINGKATAN KUALITAS PELAYANAN PUBLIK</t>
        </is>
      </c>
      <c r="G109" s="184" t="inlineStr">
        <is>
          <t>Masyarakat</t>
        </is>
      </c>
      <c r="H109" s="184" t="inlineStr">
        <is>
          <t>Data Perizinan Layanan Kesehatan</t>
        </is>
      </c>
      <c r="I109" s="178" t="inlineStr">
        <is>
          <t>Surat Izin Praktik untuk Petugas Layanan Kesehatan</t>
        </is>
      </c>
      <c r="J109" s="184" t="inlineStr">
        <is>
          <t>Terbatas</t>
        </is>
      </c>
      <c r="K109" s="184" t="inlineStr">
        <is>
          <t>Terdapat</t>
        </is>
      </c>
      <c r="L109" s="184" t="inlineStr">
        <is>
          <t>Harian</t>
        </is>
      </c>
      <c r="M109" s="184" t="inlineStr">
        <is>
          <t>MPP DIGITAL</t>
        </is>
      </c>
      <c r="N109" s="184" t="inlineStr">
        <is>
          <t>Pusat</t>
        </is>
      </c>
      <c r="O109" s="184" t="inlineStr">
        <is>
          <t>Pusat</t>
        </is>
      </c>
      <c r="P109" s="184" t="inlineStr">
        <is>
          <t>Website dan Mobile</t>
        </is>
      </c>
      <c r="Q109" s="70" t="inlineStr">
        <is>
          <t>https://next-gen.mppdigital.go.id/</t>
        </is>
      </c>
      <c r="R109" s="184" t="inlineStr">
        <is>
          <t>Secara Online</t>
        </is>
      </c>
      <c r="S109" s="184" t="inlineStr">
        <is>
          <t>Transaksi</t>
        </is>
      </c>
      <c r="T109" s="98" t="n">
        <v>2024</v>
      </c>
      <c r="U109" s="184" t="inlineStr">
        <is>
          <t>Aktif</t>
        </is>
      </c>
      <c r="V109" s="184" t="inlineStr">
        <is>
          <t>Ya</t>
        </is>
      </c>
      <c r="W109" s="184" t="inlineStr">
        <is>
          <t>Terintegrasi dengan Satu Sehat milik Kementerian Kesehatan</t>
        </is>
      </c>
      <c r="X109" s="184" t="inlineStr">
        <is>
          <t>API</t>
        </is>
      </c>
      <c r="Y109" s="184" t="inlineStr">
        <is>
          <t>Realtime</t>
        </is>
      </c>
      <c r="Z109" s="184" t="inlineStr">
        <is>
          <t>Bidang Pelayanan Perizinan</t>
        </is>
      </c>
      <c r="AA109" s="184" t="inlineStr">
        <is>
          <t>DPMPTSP</t>
        </is>
      </c>
      <c r="AB109" s="288" t="n"/>
      <c r="AC109" s="288" t="n"/>
      <c r="AD109" s="178" t="inlineStr">
        <is>
          <t>dpmptsp@bandungkab.go.id</t>
        </is>
      </c>
      <c r="AE109" s="288" t="n"/>
      <c r="AF109" s="68" t="inlineStr">
        <is>
          <t>Harian</t>
        </is>
      </c>
      <c r="AG109" s="180" t="inlineStr">
        <is>
          <t>DPMPTSP dan DINKES</t>
        </is>
      </c>
      <c r="AH109" s="284" t="n"/>
      <c r="AI109" s="284" t="n"/>
      <c r="AJ109" s="284" t="n"/>
      <c r="AK109" s="284" t="n"/>
      <c r="AL109" s="284" t="n"/>
      <c r="AM109" s="284" t="n"/>
      <c r="AN109" s="284" t="n"/>
      <c r="AO109" s="284" t="n"/>
      <c r="AP109" s="284" t="n"/>
      <c r="AQ109" s="284" t="n"/>
      <c r="AR109" s="284" t="n"/>
    </row>
    <row r="110">
      <c r="A110" s="62" t="n">
        <v>108</v>
      </c>
      <c r="B110" s="178" t="inlineStr">
        <is>
          <t>Layanan Legalisir PBG</t>
        </is>
      </c>
      <c r="C110" s="178" t="inlineStr">
        <is>
          <t>1. Meningkatkan efisiensi proses; dengan e-legalisir, proses legalisir dokumen menjadi lebih cepat dan erisjen karena menghapus langkah-langkah konvensional (proses tanda tangan manual) yang memakan waktu.
 2. Menjaga efektifitas kinerja pemerintah; dengan e-legalisir, durasi kerja pemegang otoritas/ mandat legalisir dokumen dapat digunakan secara lebih efektif.
 3. Meningkatkan keamanan dan jaminan keaslian legalisir; dengan menggunakan teknologi digital seperti tanda tangan elektronik dan kode QR, eJegalisir sulit untuk dipalsukan, karena merekam data dokumen yang dilegalisir serta identitas penandatangan legalisir.
 4. Transparansi dan akuntabilitas; dengan +.legalisir tercipta sistem yang lebih transparan dan akuntabel, karena setiap tahapan proses dapat dipantau dan direkam secara digital.
 5. Pemenuhan target SPBE dalam indikator reformasi birokrasi; eJegalisir sebagai salah satu wujud komitmen digitalisasi layanan publik, meningkatkan kinerja pelayanan kepada masyarakat, serta mengikuti perkembangan teknologi.
 6. Potensi replika sistem verifikasi dokumen dalam sektor lainnya; eJegalisir ini memungkinkan proses replika pada penyelenggaraan urusan pemerintahan bidang lainnya (di luar bidang penanaman modal, pelayanan perizinan, PTSP), serta memungkinkan proses integrasi dengan sistem lain, seperti bidang pendidikan, kependudukan dan catatan sipil.</t>
        </is>
      </c>
      <c r="D110" s="178" t="inlineStr">
        <is>
          <t>1. Peraturan Daerah Kabupaten Bandung Nomor 2 Tahun 2024</t>
        </is>
      </c>
      <c r="E110" s="178" t="inlineStr">
        <is>
          <t>Tersedia</t>
        </is>
      </c>
      <c r="F110" s="184" t="inlineStr">
        <is>
          <t>PENINGKATAN KUALITAS PELAYANAN PUBLIK</t>
        </is>
      </c>
      <c r="G110" s="184" t="inlineStr">
        <is>
          <t>Masyarakat</t>
        </is>
      </c>
      <c r="H110" s="184" t="inlineStr">
        <is>
          <t>Data PBG</t>
        </is>
      </c>
      <c r="I110" s="178" t="inlineStr">
        <is>
          <t>TTE Qr Code</t>
        </is>
      </c>
      <c r="J110" s="184" t="inlineStr">
        <is>
          <t>Terbatas</t>
        </is>
      </c>
      <c r="K110" s="184" t="inlineStr">
        <is>
          <t>Terdapat</t>
        </is>
      </c>
      <c r="L110" s="184" t="inlineStr">
        <is>
          <t>Harian</t>
        </is>
      </c>
      <c r="M110" s="184" t="inlineStr">
        <is>
          <t>SIRSAK</t>
        </is>
      </c>
      <c r="N110" s="184" t="inlineStr">
        <is>
          <t>OPD</t>
        </is>
      </c>
      <c r="O110" s="184" t="inlineStr">
        <is>
          <t>Kab. Bandung</t>
        </is>
      </c>
      <c r="P110" s="184" t="inlineStr">
        <is>
          <t>Website</t>
        </is>
      </c>
      <c r="Q110" s="70" t="inlineStr">
        <is>
          <t>https://perizinan.bandungkab.go.id/sirsak</t>
        </is>
      </c>
      <c r="R110" s="184" t="inlineStr">
        <is>
          <t>Secara Online</t>
        </is>
      </c>
      <c r="S110" s="184" t="inlineStr">
        <is>
          <t>Informasi</t>
        </is>
      </c>
      <c r="T110" s="98" t="n">
        <v>2024</v>
      </c>
      <c r="U110" s="184" t="inlineStr">
        <is>
          <t>Aktif</t>
        </is>
      </c>
      <c r="V110" s="184" t="inlineStr">
        <is>
          <t>Tidak</t>
        </is>
      </c>
      <c r="W110" s="288" t="n"/>
      <c r="X110" s="184" t="inlineStr">
        <is>
          <t>Web Service</t>
        </is>
      </c>
      <c r="Y110" s="184" t="inlineStr">
        <is>
          <t>Realtime</t>
        </is>
      </c>
      <c r="Z110" s="184" t="inlineStr">
        <is>
          <t>Sekretariat DPMPTSP Kab. Bandung</t>
        </is>
      </c>
      <c r="AA110" s="184" t="inlineStr">
        <is>
          <t>DPMPTSP</t>
        </is>
      </c>
      <c r="AB110" s="288" t="n"/>
      <c r="AC110" s="288" t="n"/>
      <c r="AD110" s="178" t="inlineStr">
        <is>
          <t>dpmptsp@bandungkab.go.id</t>
        </is>
      </c>
      <c r="AE110" s="179" t="inlineStr">
        <is>
          <t>Peningkatan kualitas pelayanan perizinan</t>
        </is>
      </c>
      <c r="AF110" s="68" t="inlineStr">
        <is>
          <t>Harian</t>
        </is>
      </c>
      <c r="AG110" s="182" t="inlineStr">
        <is>
          <t>DPMPTSP</t>
        </is>
      </c>
      <c r="AH110" s="284" t="n"/>
      <c r="AI110" s="284" t="n"/>
      <c r="AJ110" s="284" t="n"/>
      <c r="AK110" s="284" t="n"/>
      <c r="AL110" s="284" t="n"/>
      <c r="AM110" s="284" t="n"/>
      <c r="AN110" s="284" t="n"/>
      <c r="AO110" s="284" t="n"/>
      <c r="AP110" s="284" t="n"/>
      <c r="AQ110" s="284" t="n"/>
      <c r="AR110" s="284" t="n"/>
    </row>
    <row r="111">
      <c r="A111" s="62" t="n">
        <v>109</v>
      </c>
      <c r="B111" s="178" t="inlineStr">
        <is>
          <t>Booking Antrian Imgirasi</t>
        </is>
      </c>
      <c r="C111" s="178" t="inlineStr">
        <is>
          <t>Tujuan Layanan
 1. Memberikan kemudahan kepada masyarakat dalam melakukan pemesanan antrian pelayanan keimigrasian secara terjadwal.
 2. Mengurangi waktu tunggu masyarakat dalam memperoleh pelayanan di kantor imigrasi.
 3. Menghindari penumpukan atau kerumunan pemohon layanan di lokasi pelayanan.
 4. Meningkatkan ketertiban, efisiensi, dan kualitas pelayanan kepada masyarakat.
 5. Mengatur jumlah pemohon layanan sesuai kuota yang telah ditetapkan yaitu 25 orang per hari, yang dibuka setiap hari Selasa dan Jumat.
 Fungsi Layanan
 1. Sebagai sistem pendaftaran antrian pelayanan keimigrasian secara online.
 2. Membantu masyarakat dalam memilih jadwal pelayanan yang tersedia.
 3. Membantu petugas dalam mengatur dan mengontrol jumlah pemohon yang dilayani setiap hari.
 4. Menciptakan proses pelayanan yang lebih tertib, terorganisir, dan transparan.
 5.Memastikan pelayanan berjalan sesuai dengan jadwal dan kuota yang telah ditentukan.</t>
        </is>
      </c>
      <c r="D111" s="178" t="inlineStr">
        <is>
          <t>Peraturan Daerah Kabupaten Bandung Nomor 16 Tahun 2022</t>
        </is>
      </c>
      <c r="E111" s="178" t="inlineStr">
        <is>
          <t>Belum Tersedia</t>
        </is>
      </c>
      <c r="F111" s="184" t="inlineStr">
        <is>
          <t>PENINGKATAN KUALITAS PELAYANAN PUBLIK</t>
        </is>
      </c>
      <c r="G111" s="184" t="inlineStr">
        <is>
          <t>Masyarakat</t>
        </is>
      </c>
      <c r="H111" s="184" t="inlineStr">
        <is>
          <t>Data KTP</t>
        </is>
      </c>
      <c r="I111" s="178" t="inlineStr">
        <is>
          <t>Dokumen Booking</t>
        </is>
      </c>
      <c r="J111" s="184" t="inlineStr">
        <is>
          <t>Terbatas</t>
        </is>
      </c>
      <c r="K111" s="184" t="inlineStr">
        <is>
          <t>Terdapat</t>
        </is>
      </c>
      <c r="L111" s="184" t="inlineStr">
        <is>
          <t>Mingguan</t>
        </is>
      </c>
      <c r="M111" s="184" t="inlineStr">
        <is>
          <t>Booking Antrian Imigrasi</t>
        </is>
      </c>
      <c r="N111" s="184" t="inlineStr">
        <is>
          <t>OPD</t>
        </is>
      </c>
      <c r="O111" s="184" t="inlineStr">
        <is>
          <t>Kab. Bandung</t>
        </is>
      </c>
      <c r="P111" s="184" t="inlineStr">
        <is>
          <t>Website</t>
        </is>
      </c>
      <c r="Q111" s="70" t="inlineStr">
        <is>
          <t>https://perizinan.bandungkab.go.id/layanan-kami/booking-antrian-imigrasi</t>
        </is>
      </c>
      <c r="R111" s="184" t="inlineStr">
        <is>
          <t>Secara Online</t>
        </is>
      </c>
      <c r="S111" s="184" t="inlineStr">
        <is>
          <t>Informasi</t>
        </is>
      </c>
      <c r="T111" s="98" t="n">
        <v>2024</v>
      </c>
      <c r="U111" s="184" t="inlineStr">
        <is>
          <t>Aktif</t>
        </is>
      </c>
      <c r="V111" s="184" t="inlineStr">
        <is>
          <t>Tidak</t>
        </is>
      </c>
      <c r="W111" s="288" t="n"/>
      <c r="X111" s="184" t="inlineStr">
        <is>
          <t>Web Service</t>
        </is>
      </c>
      <c r="Y111" s="184" t="inlineStr">
        <is>
          <t>Realtime</t>
        </is>
      </c>
      <c r="Z111" s="184" t="inlineStr">
        <is>
          <t>Sekretariat DPMPTSP Kab. Bandung</t>
        </is>
      </c>
      <c r="AA111" s="184" t="inlineStr">
        <is>
          <t>DPMPTSP</t>
        </is>
      </c>
      <c r="AB111" s="288" t="n"/>
      <c r="AC111" s="288" t="n"/>
      <c r="AD111" s="178" t="inlineStr">
        <is>
          <t>dpmptsp@bandungkab.go.id</t>
        </is>
      </c>
      <c r="AE111" s="179" t="inlineStr">
        <is>
          <t>Peningkatan kualitas pelayanan perizinan</t>
        </is>
      </c>
      <c r="AF111" s="68" t="inlineStr">
        <is>
          <t>Harian</t>
        </is>
      </c>
      <c r="AG111" s="182" t="inlineStr">
        <is>
          <t>DPMPTSP</t>
        </is>
      </c>
      <c r="AH111" s="284" t="n"/>
      <c r="AI111" s="284" t="n"/>
      <c r="AJ111" s="284" t="n"/>
      <c r="AK111" s="284" t="n"/>
      <c r="AL111" s="284" t="n"/>
      <c r="AM111" s="284" t="n"/>
      <c r="AN111" s="284" t="n"/>
      <c r="AO111" s="284" t="n"/>
      <c r="AP111" s="284" t="n"/>
      <c r="AQ111" s="284" t="n"/>
      <c r="AR111" s="284" t="n"/>
    </row>
    <row r="112" hidden="1" s="346">
      <c r="A112" s="62" t="n">
        <v>110</v>
      </c>
      <c r="B112" s="178" t="inlineStr">
        <is>
          <t>Layanan Pendataan Atlet Berprestasi</t>
        </is>
      </c>
      <c r="C112" s="178" t="inlineStr">
        <is>
          <t>Sistem Data Keolahragaan (SIDORA) adalah sistem yang disediakan oleh Dinas Pemuda dan Olahraga bagi internal dan masyarakat untuk mengetahui potensi SDM Keolahragaan dan mengetahui serta menginventarisir Sarana Prasarana olahraga yang berada di Kabupaten Bandung</t>
        </is>
      </c>
      <c r="D112"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E112" s="178" t="inlineStr">
        <is>
          <t>Belum Tersedia</t>
        </is>
      </c>
      <c r="F112" s="184" t="inlineStr">
        <is>
          <t>PENINGKATAN PRESTASI OLAHRAGA</t>
        </is>
      </c>
      <c r="G112" s="184" t="inlineStr">
        <is>
          <t>Masyarakat</t>
        </is>
      </c>
      <c r="H112" s="184" t="inlineStr">
        <is>
          <t>Nama, Jenis Kelamin, Alamat, Foto ID, Cabang Olahraga, Jenis Prestasi, Kategori, Tempat Tanggal Lahir, Jenis Organisasi, Peraihan Medali, Tahun peraihan prestasi</t>
        </is>
      </c>
      <c r="I112" s="178" t="inlineStr">
        <is>
          <t>Data Atlet Berprestasi di ajang Provinsi, Nasional dan internasional</t>
        </is>
      </c>
      <c r="J112" s="184" t="inlineStr">
        <is>
          <t>Terbatas</t>
        </is>
      </c>
      <c r="K112" s="184" t="inlineStr">
        <is>
          <t>Terdapat</t>
        </is>
      </c>
      <c r="L112" s="184" t="inlineStr">
        <is>
          <t>Bulanan</t>
        </is>
      </c>
      <c r="M112" s="184" t="inlineStr">
        <is>
          <t>SIDORA</t>
        </is>
      </c>
      <c r="N112" s="184" t="inlineStr">
        <is>
          <t>Pihak Ke 3</t>
        </is>
      </c>
      <c r="O112" s="184" t="inlineStr">
        <is>
          <t>Pihak Ke 3 (Lisensi)</t>
        </is>
      </c>
      <c r="P112" s="184" t="inlineStr">
        <is>
          <t>Website</t>
        </is>
      </c>
      <c r="Q112" s="70" t="inlineStr">
        <is>
          <t>https://sidora.bandungkab.go.id/</t>
        </is>
      </c>
      <c r="R112" s="184" t="inlineStr">
        <is>
          <t>Secara Online</t>
        </is>
      </c>
      <c r="S112" s="184" t="inlineStr">
        <is>
          <t>Informasi</t>
        </is>
      </c>
      <c r="T112" s="98" t="n">
        <v>2022</v>
      </c>
      <c r="U112" s="184" t="inlineStr">
        <is>
          <t>Aktif</t>
        </is>
      </c>
      <c r="V112" s="184" t="inlineStr">
        <is>
          <t>Ya</t>
        </is>
      </c>
      <c r="W112" s="184" t="inlineStr">
        <is>
          <t>Sudah terintegrasi Diskominfo</t>
        </is>
      </c>
      <c r="X112" s="184" t="inlineStr">
        <is>
          <t>API</t>
        </is>
      </c>
      <c r="Y112" s="184" t="inlineStr">
        <is>
          <t>Bulanan</t>
        </is>
      </c>
      <c r="Z112" s="184" t="inlineStr">
        <is>
          <t>Bidang Pengembangan Organisasi Keolahragaan Prestasi</t>
        </is>
      </c>
      <c r="AA112" s="184" t="inlineStr">
        <is>
          <t>Dispora</t>
        </is>
      </c>
      <c r="AB112" s="178" t="inlineStr">
        <is>
          <t>Deden Mulyana</t>
        </is>
      </c>
      <c r="AC112" s="184" t="n">
        <v>81912125222</v>
      </c>
      <c r="AD112" s="184" t="inlineStr">
        <is>
          <t>bidorpresdispora@gmail.com</t>
        </is>
      </c>
      <c r="AE112" s="68" t="n">
        <v>14</v>
      </c>
      <c r="AF112" s="68" t="inlineStr">
        <is>
          <t>Bulanan</t>
        </is>
      </c>
      <c r="AG112" s="284" t="n"/>
      <c r="AH112" s="284" t="n"/>
      <c r="AI112" s="284" t="n"/>
      <c r="AJ112" s="284" t="n"/>
      <c r="AK112" s="284" t="n"/>
      <c r="AL112" s="284" t="n"/>
      <c r="AM112" s="284" t="n"/>
      <c r="AN112" s="284" t="n"/>
      <c r="AO112" s="284" t="n"/>
      <c r="AP112" s="284" t="n"/>
      <c r="AQ112" s="284" t="n"/>
      <c r="AR112" s="284" t="n"/>
    </row>
    <row r="113" hidden="1" s="346">
      <c r="A113" s="62" t="n">
        <v>111</v>
      </c>
      <c r="B113" s="178" t="inlineStr">
        <is>
          <t>Layanan Pendataan Pemuda dan Minat Pemuda</t>
        </is>
      </c>
      <c r="C113" s="178" t="inlineStr">
        <is>
          <t>Sistem Data Kepemudaan (SIDOPA) adalah sistem yang disediakan oleh Dinas Pemuda dan Olahraga khusus untuk pemuda Kabupaten Bandung berusia 16-30 tahun agar dapat belajar, berkarya, dan menjadi agen perubahan.</t>
        </is>
      </c>
      <c r="D113" s="178" t="inlineStr">
        <is>
          <t>1. Undang-Undang Nomor 40 tahun 2009 Tentang Kepemudaan
 2. PP Nomor 41 Tahun 2011 Tentang Pengembangan Kewirausahaan pemuda dan kepeloporanpemuda serta penyediaan sarana prasarana pemuda
 3. Peraturan Menteri Pemuda dan Olahraga RI No. 1 Tahun 2023 tentang peeningkatan daya saing kewirausahaan pemuda di daerah
 4. Peraturan Daera (PERDA) Provinsi Jawa Barat No. 8 Tahun 2016 tentang pedoman pelayanan kepemudaan
 5. Peraturan Bupati Bandung no 148 Tahun 2021 tentang Petunjuk Pelaksanaan PERDA nomor 30 tahun 2012 tentang pembanagunan kepemudaan</t>
        </is>
      </c>
      <c r="E113" s="178" t="inlineStr">
        <is>
          <t>Belum Tersedia</t>
        </is>
      </c>
      <c r="F113" s="184" t="inlineStr">
        <is>
          <t>PEMBERDAYAAN PEMUDA</t>
        </is>
      </c>
      <c r="G113" s="184" t="inlineStr">
        <is>
          <t>Masyarakat</t>
        </is>
      </c>
      <c r="H113" s="184" t="inlineStr">
        <is>
          <t>Nama, Jenis Kelamin, Alamat, Tempat Tanggal Lahir, NIK, Agama, Pendidikan terakhir, Profesi, Hobi, Data Komunitas, Data Organisasi, Kemampuan, Jumlah Pendapatan, Golongan Darah, Pelatihan yang diminati, status perwkawinan, izin usaha yang sudah dimiliki</t>
        </is>
      </c>
      <c r="I113" s="178" t="inlineStr">
        <is>
          <t>Data Pemuda di Kabupaten Bandung</t>
        </is>
      </c>
      <c r="J113" s="184" t="inlineStr">
        <is>
          <t>Terbatas</t>
        </is>
      </c>
      <c r="K113" s="184" t="inlineStr">
        <is>
          <t>Terdapat</t>
        </is>
      </c>
      <c r="L113" s="184" t="inlineStr">
        <is>
          <t>Harian</t>
        </is>
      </c>
      <c r="M113" s="184" t="inlineStr">
        <is>
          <t>SIDOPA</t>
        </is>
      </c>
      <c r="N113" s="184" t="inlineStr">
        <is>
          <t>Pihak Ke 3</t>
        </is>
      </c>
      <c r="O113" s="184" t="inlineStr">
        <is>
          <t>Pihak Ke 3 (Lisensi)</t>
        </is>
      </c>
      <c r="P113" s="184" t="inlineStr">
        <is>
          <t>Website</t>
        </is>
      </c>
      <c r="Q113" s="70" t="inlineStr">
        <is>
          <t>https://sidopabandungkab.com</t>
        </is>
      </c>
      <c r="R113" s="184" t="inlineStr">
        <is>
          <t>Secara Online</t>
        </is>
      </c>
      <c r="S113" s="184" t="inlineStr">
        <is>
          <t>Informasi</t>
        </is>
      </c>
      <c r="T113" s="98" t="n">
        <v>2025</v>
      </c>
      <c r="U113" s="184" t="inlineStr">
        <is>
          <t>Aktif</t>
        </is>
      </c>
      <c r="V113" s="184" t="inlineStr">
        <is>
          <t>Tidak</t>
        </is>
      </c>
      <c r="W113" s="181" t="inlineStr">
        <is>
          <t>belum terintegrasi</t>
        </is>
      </c>
      <c r="X113" s="184" t="inlineStr">
        <is>
          <t>Tidak Terintegrasi</t>
        </is>
      </c>
      <c r="Y113" s="184" t="inlineStr">
        <is>
          <t>Tidak Terintegrasi</t>
        </is>
      </c>
      <c r="Z113" s="184" t="inlineStr">
        <is>
          <t>Bidang Pemberdayaan Kepemudaan</t>
        </is>
      </c>
      <c r="AA113" s="184" t="inlineStr">
        <is>
          <t>Dispora</t>
        </is>
      </c>
      <c r="AB113" s="178" t="inlineStr">
        <is>
          <t>Obikha Rezeki</t>
        </is>
      </c>
      <c r="AC113" s="178" t="n">
        <v>81320998488</v>
      </c>
      <c r="AD113" s="178" t="inlineStr">
        <is>
          <t>pemberdayaan.kab.bandung@gmail.com</t>
        </is>
      </c>
      <c r="AE113" s="68" t="n">
        <v>17</v>
      </c>
      <c r="AF113" s="68" t="inlineStr">
        <is>
          <t>Harian</t>
        </is>
      </c>
      <c r="AG113" s="284" t="n"/>
      <c r="AH113" s="284" t="n"/>
      <c r="AI113" s="284" t="n"/>
      <c r="AJ113" s="284" t="n"/>
      <c r="AK113" s="284" t="n"/>
      <c r="AL113" s="284" t="n"/>
      <c r="AM113" s="284" t="n"/>
      <c r="AN113" s="284" t="n"/>
      <c r="AO113" s="284" t="n"/>
      <c r="AP113" s="284" t="n"/>
      <c r="AQ113" s="284" t="n"/>
      <c r="AR113" s="284" t="n"/>
    </row>
    <row r="114">
      <c r="A114" s="62" t="n">
        <v>112</v>
      </c>
      <c r="B114" s="178" t="inlineStr">
        <is>
          <t>Layanan Pendataan Aset Barang Milik Daerah</t>
        </is>
      </c>
      <c r="C114" s="178" t="inlineStr">
        <is>
          <t>Sistem Informasi Manajemen Daerah (SIMDA) adalah wadah atau sistem yang disediakan untuk mengolah data terkait informasi barang milik daerah secara terstruktur dan terorganisir dan membantu pemerintah dalam melakukan pencatatan pelaporan dan analisis data BMD.</t>
        </is>
      </c>
      <c r="D114" s="178" t="inlineStr">
        <is>
          <t>1. UU Nomor 17 Tahun 2023 Tentang Keuangan Negara
 2. UU Nomor 15 Tahun 2024 Tentang Pembendaharaan Negara
 3. UU Nomor 1 Tahun 2024 Tentang Pertanggungjawaban Keuangan Negara</t>
        </is>
      </c>
      <c r="E114" s="178" t="inlineStr">
        <is>
          <t>Belum Tersedia</t>
        </is>
      </c>
      <c r="F114" s="184" t="inlineStr">
        <is>
          <t>PENGADAAN BARANG/JASA PEMERINTAH</t>
        </is>
      </c>
      <c r="G114" s="184" t="inlineStr">
        <is>
          <t>Instansi Pemerintah Lainnya</t>
        </is>
      </c>
      <c r="H114" s="184" t="inlineStr">
        <is>
          <t>Aset (Data Tanah, peralatan dan mesin, bangunan dan gedung, jaringan irigasi dan drainase, aset tetap lainnya), Luas, Jumlah, Harga, Kode barang, Kode Lokasi, Kode regis, Keterangan</t>
        </is>
      </c>
      <c r="I114" s="178" t="inlineStr">
        <is>
          <t>Laporan Aset</t>
        </is>
      </c>
      <c r="J114" s="184" t="inlineStr">
        <is>
          <t>Tertutup</t>
        </is>
      </c>
      <c r="K114" s="184" t="inlineStr">
        <is>
          <t>Tidak terdapat</t>
        </is>
      </c>
      <c r="L114" s="184" t="inlineStr">
        <is>
          <t>Lainnya</t>
        </is>
      </c>
      <c r="M114" s="184" t="inlineStr">
        <is>
          <t>SIMDA</t>
        </is>
      </c>
      <c r="N114" s="184" t="inlineStr">
        <is>
          <t>OPD</t>
        </is>
      </c>
      <c r="O114" s="184" t="inlineStr">
        <is>
          <t>Kab. Bandung</t>
        </is>
      </c>
      <c r="P114" s="184" t="inlineStr">
        <is>
          <t>Mobile</t>
        </is>
      </c>
      <c r="Q114" s="178" t="inlineStr">
        <is>
          <t>SIMDA BMD</t>
        </is>
      </c>
      <c r="R114" s="184" t="inlineStr">
        <is>
          <t>Secara Online</t>
        </is>
      </c>
      <c r="S114" s="184" t="inlineStr">
        <is>
          <t>Informasi</t>
        </is>
      </c>
      <c r="T114" s="98" t="n">
        <v>2016</v>
      </c>
      <c r="U114" s="184" t="inlineStr">
        <is>
          <t>Aktif</t>
        </is>
      </c>
      <c r="V114" s="184" t="inlineStr">
        <is>
          <t>Ya</t>
        </is>
      </c>
      <c r="W114" s="184" t="inlineStr">
        <is>
          <t>Simda Kabupaten Bandung</t>
        </is>
      </c>
      <c r="X114" s="184" t="inlineStr">
        <is>
          <t>API</t>
        </is>
      </c>
      <c r="Y114" s="184" t="inlineStr">
        <is>
          <t>Realtime</t>
        </is>
      </c>
      <c r="Z114" s="184" t="inlineStr">
        <is>
          <t>Kesekretariatan (Barang Milik Daerah)</t>
        </is>
      </c>
      <c r="AA114" s="130" t="inlineStr">
        <is>
          <t>Dispora</t>
        </is>
      </c>
      <c r="AB114" s="178" t="inlineStr">
        <is>
          <t>Zidan Fernando</t>
        </is>
      </c>
      <c r="AC114" s="178" t="n">
        <v>87806010625</v>
      </c>
      <c r="AD114" s="178" t="inlineStr">
        <is>
          <t>disporabmd@gmail.com</t>
        </is>
      </c>
      <c r="AE114" s="68" t="n">
        <v>17</v>
      </c>
      <c r="AF114" s="68" t="inlineStr">
        <is>
          <t>Harian</t>
        </is>
      </c>
      <c r="AG114" s="284" t="n"/>
      <c r="AH114" s="284" t="n"/>
      <c r="AI114" s="284" t="n"/>
      <c r="AJ114" s="284" t="n"/>
      <c r="AK114" s="284" t="n"/>
      <c r="AL114" s="284" t="n"/>
      <c r="AM114" s="284" t="n"/>
      <c r="AN114" s="284" t="n"/>
      <c r="AO114" s="284" t="n"/>
      <c r="AP114" s="284" t="n"/>
      <c r="AQ114" s="284" t="n"/>
      <c r="AR114" s="284" t="n"/>
    </row>
    <row r="115" hidden="1" s="346">
      <c r="A115" s="62" t="n">
        <v>113</v>
      </c>
      <c r="B115" s="178" t="inlineStr">
        <is>
          <t>Layanan Informasi mengenai tata kelola atau informasi</t>
        </is>
      </c>
      <c r="C115" s="178" t="inlineStr">
        <is>
          <t>SIJALAK adalah sistem informasi mengenai tata layanan dan operasi di kawasan SOR Jalak Harupat</t>
        </is>
      </c>
      <c r="D115" s="178" t="inlineStr">
        <is>
          <t>1. Undang – Undang Nomor 3 Tahun 2005 Tentang Sistem Keolahragaan 
 Nasional 
 2. Peraturan Pemerintah Nomor 18 Tahun 2007 Tentang Pendanaan 
 Keolahragaan 
 3. Peraturan Presiden Nomor 95 Tahun 2017 Tentang Peningkatan Prestasi 
 Olahraga Nasional 
 4. Peraturan Menteri Pemuda Dan Olah Raga Nomor 10 Tahun 2015 Tentang 
 Pembinaan dan Pengembangan Industri Olahraga Nasional 
 5. Peraturan Daerah Kabupaten Bandung Nomor 12 Tahun 2013 tentang 
 Partisipasi dan Keterbukaan Informasi Publik Dalam Penyelenggaraan 
 Pemerintahan di Kabupaten Bandung (Lembaran Daerah Kabupaten 
 Bandung Tahun 2013 Nomor 12) 
 6. Peraturan Daerah Kabupaten Bandung Nomor 16 Tahun 2013 Tentang 
 Penyelenggaraan Keolahragaan Daerah 
 7. Peraturan Daerah Kabupaten Bandung Nomor 12 Tahun 2016 Tentang 
 Pembentukan dan Susunan Perangkat Daerah Kabupaten Bandung 
 (Lembaran Daerah Kabupaten Bandung Tahun 2016 Nomor12) 
 8. Peraturan Bupati Nomor 60 Tahun 2020 tentang Tugas Fungsi dan Tata 
 Kerja Dinas Pemuda dan Olahraga</t>
        </is>
      </c>
      <c r="E115" s="178" t="inlineStr">
        <is>
          <t>tidak tersedia</t>
        </is>
      </c>
      <c r="F115" s="184" t="inlineStr">
        <is>
          <t>PEMBUDAYAAN OLAHRAGA</t>
        </is>
      </c>
      <c r="G115" s="184" t="inlineStr">
        <is>
          <t>Masyarakat</t>
        </is>
      </c>
      <c r="H115" s="184" t="inlineStr">
        <is>
          <t>Informasi layanan, pengaduan, lokasi venue</t>
        </is>
      </c>
      <c r="I115" s="178" t="inlineStr">
        <is>
          <t>Informasi fasilitas</t>
        </is>
      </c>
      <c r="J115" s="184" t="inlineStr">
        <is>
          <t>Terbuka</t>
        </is>
      </c>
      <c r="K115" s="184" t="inlineStr">
        <is>
          <t>Tidak terdapat</t>
        </is>
      </c>
      <c r="L115" s="184" t="inlineStr">
        <is>
          <t>Harian</t>
        </is>
      </c>
      <c r="M115" s="184" t="inlineStr">
        <is>
          <t>SIJALAK</t>
        </is>
      </c>
      <c r="N115" s="184" t="inlineStr">
        <is>
          <t>Diskominfo</t>
        </is>
      </c>
      <c r="O115" s="184" t="inlineStr">
        <is>
          <t>Kab. Bandung</t>
        </is>
      </c>
      <c r="P115" s="184" t="inlineStr">
        <is>
          <t>Website</t>
        </is>
      </c>
      <c r="Q115" s="70" t="inlineStr">
        <is>
          <t>rencana membuat sub domain dari disporabandungkab.go.id</t>
        </is>
      </c>
      <c r="R115" s="184" t="inlineStr">
        <is>
          <t>Secara Online</t>
        </is>
      </c>
      <c r="S115" s="184" t="inlineStr">
        <is>
          <t>Informasi</t>
        </is>
      </c>
      <c r="T115" s="98" t="n">
        <v>2022</v>
      </c>
      <c r="U115" s="184" t="inlineStr">
        <is>
          <t>Non Aktif</t>
        </is>
      </c>
      <c r="V115" s="184" t="inlineStr">
        <is>
          <t>Tidak</t>
        </is>
      </c>
      <c r="W115" s="184" t="inlineStr">
        <is>
          <t>-</t>
        </is>
      </c>
      <c r="X115" s="184" t="inlineStr">
        <is>
          <t>Tidak Terintegrasi</t>
        </is>
      </c>
      <c r="Y115" s="184" t="inlineStr">
        <is>
          <t>Tidak Terintegrasi</t>
        </is>
      </c>
      <c r="Z115" s="184" t="inlineStr">
        <is>
          <t>Kesekretariatan</t>
        </is>
      </c>
      <c r="AA115" s="184" t="inlineStr">
        <is>
          <t>Dispora</t>
        </is>
      </c>
      <c r="AB115" s="178" t="inlineStr">
        <is>
          <t>Imam Budiana, S.E</t>
        </is>
      </c>
      <c r="AC115" s="178" t="n">
        <v>82120532304</v>
      </c>
      <c r="AD115" s="178" t="inlineStr">
        <is>
          <t>program.dispora.kabbdg@gmail.com</t>
        </is>
      </c>
      <c r="AE115" s="68" t="n">
        <v>17</v>
      </c>
      <c r="AF115" s="68" t="inlineStr">
        <is>
          <t>Bulanan</t>
        </is>
      </c>
      <c r="AG115" s="284" t="n"/>
      <c r="AH115" s="284" t="n"/>
      <c r="AI115" s="284" t="n"/>
      <c r="AJ115" s="284" t="n"/>
      <c r="AK115" s="284" t="n"/>
      <c r="AL115" s="284" t="n"/>
      <c r="AM115" s="284" t="n"/>
      <c r="AN115" s="284" t="n"/>
      <c r="AO115" s="284" t="n"/>
      <c r="AP115" s="284" t="n"/>
      <c r="AQ115" s="284" t="n"/>
      <c r="AR115" s="284" t="n"/>
    </row>
    <row r="116">
      <c r="A116" s="62" t="n">
        <v>114</v>
      </c>
      <c r="B116" s="178" t="inlineStr">
        <is>
          <t>Layanan Peminjaman Area/Venue Olahraga</t>
        </is>
      </c>
      <c r="C116" s="178" t="inlineStr">
        <is>
          <t>Layanan ini bertujuan untuk mengelola peminjaman sarana di kawasan SOR Jalak Harupat sekaligus transaksi untuk penyewaan agar lebih terorganisir. (SIPELOR-SISTEM INFORMASI PENYEWAAN LAPANGAN OLAHRAGA)</t>
        </is>
      </c>
      <c r="D116" s="178" t="inlineStr">
        <is>
          <t>1. UU 23 Tahun 2014 tentang Pemerintahan Daerah
 2. Peraturan Pemerintah Nomor 12 Tahun 2019 tentang Pengelolaan Keuangan Daerah 
 3. Undang-Undang Nomor 17 Tahun 2003 tentang Keuangan Negara
 4. Undang-Undang Nomor 1 Tahun 2004 tentang Perbendaharaan Negara
 5. Peraturan menteri dalam negeri (permendagri) nomor 77 tahun 2020 tentang Pedoman Teknis Pengelolaan Keuangan Daerah 
 6. Undang-Undang Nomor 15 Tahun 2004 tentang Pemeriksaan Pengelolaan dan Tanggung jawab Keuangan Negara 
 7. Undang-undang Nomor 30 Tahun 2014 tentang Administrasi Pemerintahan</t>
        </is>
      </c>
      <c r="E116" s="70" t="inlineStr">
        <is>
          <t>https://drive.google.com/file/d/1CK9sB-VkjtVcnm48SmIytt7EAWrjRZba/view?usp=sharing</t>
        </is>
      </c>
      <c r="F116" s="184" t="inlineStr">
        <is>
          <t>PEMBUDAYAAN OLAHRAGA</t>
        </is>
      </c>
      <c r="G116" s="184" t="inlineStr">
        <is>
          <t>Masyarakat</t>
        </is>
      </c>
      <c r="H116" s="184" t="inlineStr">
        <is>
          <t>Nama, No. HP, Venue yang disewa, Lama Waktu penyewaan (Jam/Hari), Harga</t>
        </is>
      </c>
      <c r="I116" s="178" t="inlineStr">
        <is>
          <t>Data Sewa Venue Olahraga</t>
        </is>
      </c>
      <c r="J116" s="184" t="inlineStr">
        <is>
          <t>Terbuka</t>
        </is>
      </c>
      <c r="K116" s="184" t="inlineStr">
        <is>
          <t>Terdapat</t>
        </is>
      </c>
      <c r="L116" s="184" t="inlineStr">
        <is>
          <t>Harian</t>
        </is>
      </c>
      <c r="M116" s="184" t="inlineStr">
        <is>
          <t>SIPELOR</t>
        </is>
      </c>
      <c r="N116" s="184" t="inlineStr">
        <is>
          <t>OPD</t>
        </is>
      </c>
      <c r="O116" s="184" t="inlineStr">
        <is>
          <t>Kab. Bandung</t>
        </is>
      </c>
      <c r="P116" s="184" t="inlineStr">
        <is>
          <t>Website dan Mobile</t>
        </is>
      </c>
      <c r="Q116" s="178" t="inlineStr">
        <is>
          <t>Data Administrasi</t>
        </is>
      </c>
      <c r="R116" s="184" t="inlineStr">
        <is>
          <t>Secara Online</t>
        </is>
      </c>
      <c r="S116" s="184" t="inlineStr">
        <is>
          <t>Transaksi</t>
        </is>
      </c>
      <c r="T116" s="178" t="inlineStr">
        <is>
          <t>-Rencana dan launching 2026</t>
        </is>
      </c>
      <c r="U116" s="184" t="inlineStr">
        <is>
          <t>Aktif</t>
        </is>
      </c>
      <c r="V116" s="184" t="inlineStr">
        <is>
          <t>Ya</t>
        </is>
      </c>
      <c r="W116" s="184" t="inlineStr">
        <is>
          <t>Terintegrasi</t>
        </is>
      </c>
      <c r="X116" s="184" t="inlineStr">
        <is>
          <t>API</t>
        </is>
      </c>
      <c r="Y116" s="184" t="inlineStr">
        <is>
          <t>Realtime</t>
        </is>
      </c>
      <c r="Z116" s="184" t="inlineStr">
        <is>
          <t>Kesekretariatan</t>
        </is>
      </c>
      <c r="AA116" s="184" t="inlineStr">
        <is>
          <t>Dispora</t>
        </is>
      </c>
      <c r="AB116" s="178" t="inlineStr">
        <is>
          <t>Bambang Triadi/ Rama</t>
        </is>
      </c>
      <c r="AC116" s="178" t="inlineStr">
        <is>
          <t>082121790185 / 085150692618</t>
        </is>
      </c>
      <c r="AD116" s="178" t="inlineStr">
        <is>
          <t>abanktriadi@gmail.com / program.dispora.kabbdg@gmail.com</t>
        </is>
      </c>
      <c r="AE116" s="68" t="n">
        <v>17</v>
      </c>
      <c r="AF116" s="68" t="inlineStr">
        <is>
          <t>Harian</t>
        </is>
      </c>
      <c r="AG116" s="284" t="n"/>
      <c r="AH116" s="284" t="n"/>
      <c r="AI116" s="284" t="n"/>
      <c r="AJ116" s="284" t="n"/>
      <c r="AK116" s="284" t="n"/>
      <c r="AL116" s="284" t="n"/>
      <c r="AM116" s="284" t="n"/>
      <c r="AN116" s="284" t="n"/>
      <c r="AO116" s="284" t="n"/>
      <c r="AP116" s="284" t="n"/>
      <c r="AQ116" s="284" t="n"/>
      <c r="AR116" s="284" t="n"/>
    </row>
    <row r="117" hidden="1" s="346">
      <c r="A117" s="62" t="n">
        <v>115</v>
      </c>
      <c r="B117" s="178" t="inlineStr">
        <is>
          <t>Sistem informasi Bahan Pokok dan Penting</t>
        </is>
      </c>
      <c r="C117" s="178" t="inlineStr">
        <is>
          <t>Tujuan dari SIBAPOKTING adalah menyediakan acuan bagi pemerintah Kabupaten Bandung dalam perencanaan, pelaksanaan, dan evaluasi kebijakan, dengan memuat data perkembangan harga kebutuhan pokok dan barang penting. Database ini juga mendukung penyusunan laporan harga yang lebih efisien dan dapat diakses oleh masyarakat luas. Fungsinya sebagai sarana penyimpanan dan penyajian data BAPOKTING secara terintegrasi, memberikan informasi akurat untuk pengambilan keputusan, serta sebagai alat monitoring perkembangan harga BAPOKTING guna meningkatkan transparansi, efisiensi, dan efektivitas.</t>
        </is>
      </c>
      <c r="D117" s="178" t="inlineStr">
        <is>
          <t>Undang - Undang Nomor 7 Tahun 2014 Tentang Perdagangan dan Permendag Nomor 22 Tahun 2021 Tentang Tata Cara Pelaporan Barang Kebutuhan
 Pokok dan Barang Penting</t>
        </is>
      </c>
      <c r="E117" s="70" t="inlineStr">
        <is>
          <t>SOP SIBAPOKTING 2025 Ttd.pdf</t>
        </is>
      </c>
      <c r="F117" s="184" t="inlineStr">
        <is>
          <t>STABILITAS PASOKAN DAN HARGA PANGAN</t>
        </is>
      </c>
      <c r="G117" s="184" t="inlineStr">
        <is>
          <t>Pelaku Bisnis</t>
        </is>
      </c>
      <c r="H117" s="184" t="inlineStr">
        <is>
          <t>Data Harga Bahan Pokok dan Barang Penting dari Pasar Pantauan Kabupaten Bandung</t>
        </is>
      </c>
      <c r="I117" s="178" t="inlineStr">
        <is>
          <t>Data Harga Bapokting</t>
        </is>
      </c>
      <c r="J117" s="184" t="inlineStr">
        <is>
          <t>Terbuka</t>
        </is>
      </c>
      <c r="K117" s="184" t="inlineStr">
        <is>
          <t>Terdapat</t>
        </is>
      </c>
      <c r="L117" s="184" t="inlineStr">
        <is>
          <t>Harian</t>
        </is>
      </c>
      <c r="M117" s="184" t="inlineStr">
        <is>
          <t>SIBAPOKTING</t>
        </is>
      </c>
      <c r="N117" s="184" t="inlineStr">
        <is>
          <t>Pihak Ke 3</t>
        </is>
      </c>
      <c r="O117" s="184" t="inlineStr">
        <is>
          <t>Pihak Ke 3 (Lisensi)</t>
        </is>
      </c>
      <c r="P117" s="184" t="inlineStr">
        <is>
          <t>Website dan Mobile</t>
        </is>
      </c>
      <c r="Q117" s="70" t="inlineStr">
        <is>
          <t>https://sibapokting.bandungkab.go.id/</t>
        </is>
      </c>
      <c r="R117" s="184" t="inlineStr">
        <is>
          <t>Secara Online</t>
        </is>
      </c>
      <c r="S117" s="184" t="inlineStr">
        <is>
          <t>Informasi</t>
        </is>
      </c>
      <c r="T117" s="98" t="n">
        <v>2021</v>
      </c>
      <c r="U117" s="184" t="inlineStr">
        <is>
          <t>Aktif</t>
        </is>
      </c>
      <c r="V117" s="184" t="inlineStr">
        <is>
          <t>Ya</t>
        </is>
      </c>
      <c r="W117" s="184" t="inlineStr">
        <is>
          <t>Integrasi dengan Silinda Jabar dan BDS Bandungkab</t>
        </is>
      </c>
      <c r="X117" s="184" t="inlineStr">
        <is>
          <t>Web Service</t>
        </is>
      </c>
      <c r="Y117" s="184" t="inlineStr">
        <is>
          <t>Harian</t>
        </is>
      </c>
      <c r="Z117" s="184" t="inlineStr">
        <is>
          <t>Bidang P3BP (Pengembangan Perdagangan dan Pengendalian Barang Pokok dan penting)</t>
        </is>
      </c>
      <c r="AA117" s="184" t="inlineStr">
        <is>
          <t>Disperdagin</t>
        </is>
      </c>
      <c r="AB117" s="178" t="inlineStr">
        <is>
          <t>Elisa Yuniangsih</t>
        </is>
      </c>
      <c r="AC117" s="178" t="n">
        <v>82318055276</v>
      </c>
      <c r="AD117" s="178" t="inlineStr">
        <is>
          <t>eliasyuniangsih076@gmail.com</t>
        </is>
      </c>
      <c r="AE117" s="288" t="n"/>
      <c r="AF117" s="288" t="n"/>
      <c r="AG117" s="284" t="n"/>
      <c r="AH117" s="284" t="n"/>
      <c r="AI117" s="284" t="n"/>
      <c r="AJ117" s="284" t="n"/>
      <c r="AK117" s="284" t="n"/>
      <c r="AL117" s="284" t="n"/>
      <c r="AM117" s="284" t="n"/>
      <c r="AN117" s="284" t="n"/>
      <c r="AO117" s="284" t="n"/>
      <c r="AP117" s="284" t="n"/>
      <c r="AQ117" s="284" t="n"/>
      <c r="AR117" s="284" t="n"/>
    </row>
    <row r="118" hidden="1" s="346">
      <c r="A118" s="62" t="n">
        <v>116</v>
      </c>
      <c r="B118" s="178" t="inlineStr">
        <is>
          <t>eSKA (Elektronik Surat Keterangan Asal)</t>
        </is>
      </c>
      <c r="C118" s="178" t="inlineStr">
        <is>
          <t>Layanan eSKA adalah merupakan sertifikasi asal barang, dimana dinyatakan dalam sertifikat tersebut bahwa barang/ komoditas yang diekspor adalah berasal dari daerah/negara pengekspor. Mendasari hal ini adalah kesepakatan Bilateral, Regional, Multilateral, Unilateral, atau Karena Ketentuan sepihak dari suatu negara pengimpor/ tujuan, yang mewajibkan SKA ini disertakan pada barang ekspor Indonesia. SKA ini yang membuktikan bahwa barang tersebut berasal, dihasilkan dan atau diolah di Indonesia.</t>
        </is>
      </c>
      <c r="D118" s="178" t="inlineStr">
        <is>
          <t>Keppermendag RI No. 1495 Tahun 2024 Tentang Penetapan Instansi Penerbit SKA. Permendag RI No. 39 Tahun 2020 Tentang Perubahan Ketiga atas Permendag No.24 Tahun 2018 Tentang Ketentuan dan Tata Cara Penerbitan SKA untuk Barang Asal Indonsia</t>
        </is>
      </c>
      <c r="E118" s="70" t="inlineStr">
        <is>
          <t>SOP SKA.pdf</t>
        </is>
      </c>
      <c r="F118" s="184" t="inlineStr">
        <is>
          <t>PENGUATAN PERDAGANGAN LUAR NEGERI</t>
        </is>
      </c>
      <c r="G118" s="184" t="inlineStr">
        <is>
          <t>Pelaku Bisnis</t>
        </is>
      </c>
      <c r="H118" s="184" t="inlineStr">
        <is>
          <t>Data Invoice, Packing List, PEB, NPE, dan BL atau AWB</t>
        </is>
      </c>
      <c r="I118" s="178" t="inlineStr">
        <is>
          <t>Data Ekspor</t>
        </is>
      </c>
      <c r="J118" s="184" t="inlineStr">
        <is>
          <t>Terbatas</t>
        </is>
      </c>
      <c r="K118" s="184" t="inlineStr">
        <is>
          <t>Terdapat</t>
        </is>
      </c>
      <c r="L118" s="184" t="inlineStr">
        <is>
          <t>Harian</t>
        </is>
      </c>
      <c r="M118" s="184" t="inlineStr">
        <is>
          <t>eSKA</t>
        </is>
      </c>
      <c r="N118" s="184" t="inlineStr">
        <is>
          <t>Pusat</t>
        </is>
      </c>
      <c r="O118" s="184" t="inlineStr">
        <is>
          <t>Pusat</t>
        </is>
      </c>
      <c r="P118" s="184" t="inlineStr">
        <is>
          <t>Website dan Mobile</t>
        </is>
      </c>
      <c r="Q118" s="70" t="inlineStr">
        <is>
          <t>ska.kemendag.go.id</t>
        </is>
      </c>
      <c r="R118" s="184" t="inlineStr">
        <is>
          <t>Secara Online</t>
        </is>
      </c>
      <c r="S118" s="184" t="inlineStr">
        <is>
          <t>Informasi</t>
        </is>
      </c>
      <c r="T118" s="98" t="n">
        <v>2012</v>
      </c>
      <c r="U118" s="184" t="inlineStr">
        <is>
          <t>Aktif</t>
        </is>
      </c>
      <c r="V118" s="184" t="inlineStr">
        <is>
          <t>Ya</t>
        </is>
      </c>
      <c r="W118" s="184" t="inlineStr">
        <is>
          <t>OSS, BI, Kemendag, Kantor IPSKA, Bea Cukai, Perusahaan, Buyer, dan Custom Luar Negeri</t>
        </is>
      </c>
      <c r="X118" s="184" t="inlineStr">
        <is>
          <t>Database to Database</t>
        </is>
      </c>
      <c r="Y118" s="184" t="inlineStr">
        <is>
          <t>Harian</t>
        </is>
      </c>
      <c r="Z118" s="184" t="inlineStr">
        <is>
          <t>Bidang P3BP (Pengembangan Perdagangan dan Pengendalian Barang Pokok dan penting)</t>
        </is>
      </c>
      <c r="AA118" s="184" t="inlineStr">
        <is>
          <t>Disperdagin</t>
        </is>
      </c>
      <c r="AB118" s="178" t="inlineStr">
        <is>
          <t>Didi Kusdiaman, S.E</t>
        </is>
      </c>
      <c r="AC118" s="178" t="n">
        <v>8122495695</v>
      </c>
      <c r="AD118" s="178" t="inlineStr">
        <is>
          <t>soreang.daglu@gmail.com</t>
        </is>
      </c>
      <c r="AE118" s="288" t="n"/>
      <c r="AF118" s="288" t="n"/>
      <c r="AG118" s="284" t="n"/>
      <c r="AH118" s="284" t="n"/>
      <c r="AI118" s="284" t="n"/>
      <c r="AJ118" s="284" t="n"/>
      <c r="AK118" s="284" t="n"/>
      <c r="AL118" s="284" t="n"/>
      <c r="AM118" s="284" t="n"/>
      <c r="AN118" s="284" t="n"/>
      <c r="AO118" s="284" t="n"/>
      <c r="AP118" s="284" t="n"/>
      <c r="AQ118" s="284" t="n"/>
      <c r="AR118" s="284" t="n"/>
    </row>
    <row r="119" hidden="1" s="346">
      <c r="A119" s="62" t="n">
        <v>117</v>
      </c>
      <c r="B119" s="178" t="inlineStr">
        <is>
          <t>Sistem Informasi Industri Nasional</t>
        </is>
      </c>
      <c r="C119" s="178" t="inlineStr">
        <is>
          <t>platform digital untuk mengumpulkan, mengelola, dan menyediakan data serta informasi tentang industri nasional</t>
        </is>
      </c>
      <c r="D119" s="178" t="inlineStr">
        <is>
          <t>Undang-Undang Nomor 3 Tahun 2014 tentang Perindustrian</t>
        </is>
      </c>
      <c r="E119" s="70" t="inlineStr">
        <is>
          <t>alur pelaporan siinas.pdf</t>
        </is>
      </c>
      <c r="F119" s="184" t="inlineStr">
        <is>
          <t>PENINGKATAN DAYA SAING DAN KEMANDIRIAN INDUSTRI</t>
        </is>
      </c>
      <c r="G119" s="184" t="inlineStr">
        <is>
          <t>Pelaku Bisnis</t>
        </is>
      </c>
      <c r="H119" s="184" t="inlineStr">
        <is>
          <t>Data perusahaan
 Laporan tahap pembangunan industri
 Laporan tahap produks</t>
        </is>
      </c>
      <c r="I119" s="178" t="inlineStr">
        <is>
          <t>Data industri</t>
        </is>
      </c>
      <c r="J119" s="184" t="inlineStr">
        <is>
          <t>Tertutup</t>
        </is>
      </c>
      <c r="K119" s="184" t="inlineStr">
        <is>
          <t>Terdapat</t>
        </is>
      </c>
      <c r="L119" s="184" t="inlineStr">
        <is>
          <t>Harian</t>
        </is>
      </c>
      <c r="M119" s="184" t="inlineStr">
        <is>
          <t>SIINas</t>
        </is>
      </c>
      <c r="N119" s="184" t="inlineStr">
        <is>
          <t>Pusat</t>
        </is>
      </c>
      <c r="O119" s="184" t="inlineStr">
        <is>
          <t>Pusat</t>
        </is>
      </c>
      <c r="P119" s="184" t="inlineStr">
        <is>
          <t>Website</t>
        </is>
      </c>
      <c r="Q119" s="70" t="inlineStr">
        <is>
          <t>https://siinas.kemenperin.go.id</t>
        </is>
      </c>
      <c r="R119" s="184" t="inlineStr">
        <is>
          <t>Secara Online</t>
        </is>
      </c>
      <c r="S119" s="184" t="inlineStr">
        <is>
          <t>Transaksi</t>
        </is>
      </c>
      <c r="T119" s="98" t="n">
        <v>2018</v>
      </c>
      <c r="U119" s="184" t="inlineStr">
        <is>
          <t>Aktif</t>
        </is>
      </c>
      <c r="V119" s="184" t="inlineStr">
        <is>
          <t>Tidak</t>
        </is>
      </c>
      <c r="W119" s="184" t="inlineStr">
        <is>
          <t>-</t>
        </is>
      </c>
      <c r="X119" s="184" t="inlineStr">
        <is>
          <t>Tidak Terintegrasi</t>
        </is>
      </c>
      <c r="Y119" s="184" t="inlineStr">
        <is>
          <t>Tidak Terintegrasi</t>
        </is>
      </c>
      <c r="Z119" s="184" t="inlineStr">
        <is>
          <t>Bidang Pengawasan dan Kerjasama Industri</t>
        </is>
      </c>
      <c r="AA119" s="184" t="inlineStr">
        <is>
          <t>Disperdagin</t>
        </is>
      </c>
      <c r="AB119" s="178" t="inlineStr">
        <is>
          <t>Dadang P Permana, SE</t>
        </is>
      </c>
      <c r="AC119" s="178" t="inlineStr">
        <is>
          <t>0823-1226-2303</t>
        </is>
      </c>
      <c r="AD119" s="178" t="inlineStr">
        <is>
          <t>Pdkiindagkabbdg@gmail.com</t>
        </is>
      </c>
      <c r="AE119" s="288" t="n"/>
      <c r="AF119" s="288" t="n"/>
      <c r="AG119" s="284" t="n"/>
      <c r="AH119" s="284" t="n"/>
      <c r="AI119" s="284" t="n"/>
      <c r="AJ119" s="284" t="n"/>
      <c r="AK119" s="284" t="n"/>
      <c r="AL119" s="284" t="n"/>
      <c r="AM119" s="284" t="n"/>
      <c r="AN119" s="284" t="n"/>
      <c r="AO119" s="284" t="n"/>
      <c r="AP119" s="284" t="n"/>
      <c r="AQ119" s="284" t="n"/>
      <c r="AR119" s="284" t="n"/>
    </row>
    <row r="120">
      <c r="A120" s="62" t="n">
        <v>118</v>
      </c>
      <c r="B120" s="178" t="inlineStr">
        <is>
          <t>Si Pintar Online (Sistem Penarikan Retribusi Pasar Secara Online)</t>
        </is>
      </c>
      <c r="C120" s="178" t="inlineStr">
        <is>
          <t>inovasi SI PINTAR ONLINE menciptakan sistem penarikan retribusi pasar yang terintegrasi, transparan, dan berbasis digital guna meningkatkan efisiensi pelayanan publik serta optimalisasi PAD Kabupaten Bandung. Melalui digitalisasi berbasis Mobile Point of Sale (MPOS) dan kanal pembayaran non tunai (QRIS, e-wallet, tapbrizi, virtual account), sistem ini memungkinkan transaksi real-time, akurat dan terdokumentasi otomatis.</t>
        </is>
      </c>
      <c r="D120" s="178" t="inlineStr">
        <is>
          <t>• Perda No. 10 Tahun 2023 tentang Pajak dan Retribusi Daerah,
 • Perda No. 10 Tahun 2022 tentang Penyelenggaraan Perdagangan dan Perindustrian
 • Perbup No. 97 Tahun 2024 tentang Pelaksanaan Perda Perdagangan,
 • Dukungan dalam RPJMD Kabupaten Bandung 2021–2026 dan Renstra Dokumen
 • SK Bupati Bandung tahun 2023 dan 2024 nomor : 050/Kep.955-Bapperida/2023 tentang penetapan Inovasi Perangkat Daerah Kabupaten Bandung 
 • SK Kepala Disperdagin Kab. Bandung Nomor : 511.2/Kep.065-SPD/2023 Tim Fasilitator Inovasi Daerah Sipintar Online</t>
        </is>
      </c>
      <c r="E120" s="70" t="inlineStr">
        <is>
          <t>SOP Eretribusi</t>
        </is>
      </c>
      <c r="F120" s="184" t="inlineStr">
        <is>
          <t>PENINGKATAN KUALITAS PELAYANAN PUBLIK</t>
        </is>
      </c>
      <c r="G120" s="184" t="inlineStr">
        <is>
          <t>Pelaku Bisnis</t>
        </is>
      </c>
      <c r="H120" s="184" t="inlineStr">
        <is>
          <t>Data Wajib Retribusi</t>
        </is>
      </c>
      <c r="I120" s="178" t="inlineStr">
        <is>
          <t>Laporan Penerimaan Pendapatan Asli Daerah (PAD)</t>
        </is>
      </c>
      <c r="J120" s="184" t="inlineStr">
        <is>
          <t>Tertutup</t>
        </is>
      </c>
      <c r="K120" s="184" t="inlineStr">
        <is>
          <t>Terdapat</t>
        </is>
      </c>
      <c r="L120" s="184" t="inlineStr">
        <is>
          <t>Harian</t>
        </is>
      </c>
      <c r="M120" s="131" t="inlineStr">
        <is>
          <t>sipintar online</t>
        </is>
      </c>
      <c r="N120" s="184" t="inlineStr">
        <is>
          <t>Diskominfo</t>
        </is>
      </c>
      <c r="O120" s="184" t="inlineStr">
        <is>
          <t>Kab. Bandung</t>
        </is>
      </c>
      <c r="P120" s="184" t="inlineStr">
        <is>
          <t>Website dan Mobile</t>
        </is>
      </c>
      <c r="Q120" s="70" t="inlineStr">
        <is>
          <t>https://sipintaronline.bandungkab.go.id/login</t>
        </is>
      </c>
      <c r="R120" s="184" t="inlineStr">
        <is>
          <t>Secara Online</t>
        </is>
      </c>
      <c r="S120" s="184" t="inlineStr">
        <is>
          <t>Transaksi</t>
        </is>
      </c>
      <c r="T120" s="184" t="n">
        <v>2022</v>
      </c>
      <c r="U120" s="184" t="inlineStr">
        <is>
          <t>Aktif</t>
        </is>
      </c>
      <c r="V120" s="184" t="inlineStr">
        <is>
          <t>Tidak</t>
        </is>
      </c>
      <c r="W120" s="184" t="inlineStr">
        <is>
          <t>Tidak Terintegrasi</t>
        </is>
      </c>
      <c r="X120" s="184" t="inlineStr">
        <is>
          <t>Tidak Terintegrasi</t>
        </is>
      </c>
      <c r="Y120" s="184" t="inlineStr">
        <is>
          <t>Tidak Terintegrasi</t>
        </is>
      </c>
      <c r="Z120" s="184" t="inlineStr">
        <is>
          <t>Bidang Sarana dan Pelaku Distribusi</t>
        </is>
      </c>
      <c r="AA120" s="184" t="inlineStr">
        <is>
          <t>Disperdagin</t>
        </is>
      </c>
      <c r="AB120" s="178" t="inlineStr">
        <is>
          <t>Cepi Hendi Sonjaya, SE., MM</t>
        </is>
      </c>
      <c r="AC120" s="178" t="n">
        <v>82117525952</v>
      </c>
      <c r="AD120" s="178" t="inlineStr">
        <is>
          <t>cepimeker@gmail.com</t>
        </is>
      </c>
      <c r="AE120" s="184" t="inlineStr">
        <is>
          <t>1. Penguatan Tata Kelola Pemerintahan yang Transparan dan Akuntabel, 
 2. Optimalisasi peningkatan Pendapatan Asli Daerah (PAD), dan 
 3. Digitalisasi pelayanan publik berbasis elektronik</t>
        </is>
      </c>
      <c r="AF120" s="68" t="inlineStr">
        <is>
          <t>Harian</t>
        </is>
      </c>
      <c r="AG120" s="284" t="n"/>
      <c r="AH120" s="284" t="n"/>
      <c r="AI120" s="284" t="n"/>
      <c r="AJ120" s="284" t="n"/>
      <c r="AK120" s="284" t="n"/>
      <c r="AL120" s="284" t="n"/>
      <c r="AM120" s="284" t="n"/>
      <c r="AN120" s="284" t="n"/>
      <c r="AO120" s="284" t="n"/>
      <c r="AP120" s="284" t="n"/>
      <c r="AQ120" s="284" t="n"/>
      <c r="AR120" s="284" t="n"/>
    </row>
    <row r="121" hidden="1" s="346">
      <c r="A121" s="62" t="n">
        <v>119</v>
      </c>
      <c r="B121" s="183" t="n"/>
      <c r="C121" s="183" t="n"/>
      <c r="D121" s="200" t="n"/>
      <c r="E121" s="183" t="n"/>
      <c r="F121" s="184" t="n"/>
      <c r="G121" s="184" t="n"/>
      <c r="H121" s="184" t="n"/>
      <c r="I121" s="183" t="n"/>
      <c r="J121" s="184" t="n"/>
      <c r="K121" s="184" t="n"/>
      <c r="L121" s="184" t="n"/>
      <c r="M121" s="184" t="inlineStr">
        <is>
          <t>SPP-IRT-Badan POM</t>
        </is>
      </c>
      <c r="N121" s="184" t="inlineStr">
        <is>
          <t>Pusat</t>
        </is>
      </c>
      <c r="O121" s="184" t="inlineStr">
        <is>
          <t>Pusat</t>
        </is>
      </c>
      <c r="P121" s="184" t="inlineStr">
        <is>
          <t>Website</t>
        </is>
      </c>
      <c r="Q121" s="70" t="inlineStr">
        <is>
          <t>https://sppirt.pom.go.id/</t>
        </is>
      </c>
      <c r="R121" s="184" t="inlineStr">
        <is>
          <t>Secara Online</t>
        </is>
      </c>
      <c r="S121" s="184" t="inlineStr">
        <is>
          <t>Informasi</t>
        </is>
      </c>
      <c r="T121" s="184" t="inlineStr">
        <is>
          <t>OSS : 2018
 SPP-IPR - Badan POM : 2021
 DGIP : 2019</t>
        </is>
      </c>
      <c r="U121" s="184" t="inlineStr">
        <is>
          <t>Aktif</t>
        </is>
      </c>
      <c r="V121" s="184" t="inlineStr">
        <is>
          <t>Tidak</t>
        </is>
      </c>
      <c r="W121" s="184" t="inlineStr">
        <is>
          <t>Tidak Terintegrasi</t>
        </is>
      </c>
      <c r="X121" s="184" t="inlineStr">
        <is>
          <t>Tidak Terintegrasi</t>
        </is>
      </c>
      <c r="Y121" s="184" t="inlineStr">
        <is>
          <t>Tidak Terintegrasi</t>
        </is>
      </c>
      <c r="Z121" s="184" t="n"/>
      <c r="AA121" s="184" t="n"/>
      <c r="AB121" s="184" t="n"/>
      <c r="AC121" s="184" t="n"/>
      <c r="AD121" s="184" t="n"/>
      <c r="AE121" s="288" t="n"/>
      <c r="AF121" s="288" t="n"/>
      <c r="AG121" s="284" t="n"/>
      <c r="AH121" s="284" t="n"/>
      <c r="AI121" s="284" t="n"/>
      <c r="AJ121" s="284" t="n"/>
      <c r="AK121" s="284" t="n"/>
      <c r="AL121" s="284" t="n"/>
      <c r="AM121" s="284" t="n"/>
      <c r="AN121" s="284" t="n"/>
      <c r="AO121" s="284" t="n"/>
      <c r="AP121" s="284" t="n"/>
      <c r="AQ121" s="284" t="n"/>
      <c r="AR121" s="284" t="n"/>
    </row>
    <row r="122" hidden="1" s="346">
      <c r="A122" s="62" t="n">
        <v>120</v>
      </c>
      <c r="B122" s="183" t="n"/>
      <c r="C122" s="183" t="n"/>
      <c r="D122" s="200" t="n"/>
      <c r="E122" s="183" t="n"/>
      <c r="F122" s="184" t="n"/>
      <c r="G122" s="184" t="n"/>
      <c r="H122" s="184" t="n"/>
      <c r="I122" s="183" t="n"/>
      <c r="J122" s="184" t="n"/>
      <c r="K122" s="184" t="n"/>
      <c r="L122" s="184" t="n"/>
      <c r="M122" s="184" t="inlineStr">
        <is>
          <t>DGIP</t>
        </is>
      </c>
      <c r="N122" s="184" t="inlineStr">
        <is>
          <t>Pusat</t>
        </is>
      </c>
      <c r="O122" s="184" t="inlineStr">
        <is>
          <t>Pusat</t>
        </is>
      </c>
      <c r="P122" s="184" t="inlineStr">
        <is>
          <t>Website</t>
        </is>
      </c>
      <c r="Q122" s="70" t="inlineStr">
        <is>
          <t>https://www.dgip.go.id/</t>
        </is>
      </c>
      <c r="R122" s="184" t="inlineStr">
        <is>
          <t>Secara Online</t>
        </is>
      </c>
      <c r="S122" s="184" t="inlineStr">
        <is>
          <t>Informasi</t>
        </is>
      </c>
      <c r="T122" s="184" t="inlineStr">
        <is>
          <t>OSS : 2018
 SPP-IPR - Badan POM : 2021
 DGIP : 2019</t>
        </is>
      </c>
      <c r="U122" s="184" t="inlineStr">
        <is>
          <t>Aktif</t>
        </is>
      </c>
      <c r="V122" s="184" t="inlineStr">
        <is>
          <t>Tidak</t>
        </is>
      </c>
      <c r="W122" s="184" t="inlineStr">
        <is>
          <t>Tidak Terintegrasi</t>
        </is>
      </c>
      <c r="X122" s="184" t="inlineStr">
        <is>
          <t>Tidak Terintegrasi</t>
        </is>
      </c>
      <c r="Y122" s="184" t="inlineStr">
        <is>
          <t>Tidak Terintegrasi</t>
        </is>
      </c>
      <c r="Z122" s="184" t="n"/>
      <c r="AA122" s="184" t="n"/>
      <c r="AB122" s="184" t="n"/>
      <c r="AC122" s="184" t="n"/>
      <c r="AD122" s="184" t="n"/>
      <c r="AE122" s="288" t="n"/>
      <c r="AF122" s="288" t="n"/>
      <c r="AG122" s="284" t="n"/>
      <c r="AH122" s="284" t="n"/>
      <c r="AI122" s="284" t="n"/>
      <c r="AJ122" s="284" t="n"/>
      <c r="AK122" s="284" t="n"/>
      <c r="AL122" s="284" t="n"/>
      <c r="AM122" s="284" t="n"/>
      <c r="AN122" s="284" t="n"/>
      <c r="AO122" s="284" t="n"/>
      <c r="AP122" s="284" t="n"/>
      <c r="AQ122" s="284" t="n"/>
      <c r="AR122" s="284" t="n"/>
    </row>
    <row r="123">
      <c r="A123" s="62" t="n">
        <v>121</v>
      </c>
      <c r="B123" s="184" t="inlineStr">
        <is>
          <t>Aplikasi Layanan Guna Sertifikat Veteriner Online</t>
        </is>
      </c>
      <c r="C123" s="184" t="inlineStr">
        <is>
          <t>Layanan penerbitan surat keterangan kesehatan hewan atau produk hewan.</t>
        </is>
      </c>
      <c r="D123" s="184" t="inlineStr">
        <is>
          <t>Peraturan Menteri Pertanian Republik Indonesia Nomor 11 Tahun 2020 Tentang Sertifikasi Nomor Kontrol Veteriner Unit Usaha Produk Hewan</t>
        </is>
      </c>
      <c r="E123" s="131" t="inlineStr">
        <is>
          <t>https://docs.google.com/document/d/1c-7PUNKaiuUiy_admWwX1iClC1w9eJRB/edit?usp=sharing&amp;ouid=112536090230720318461&amp;rtpof=true&amp;sd=true</t>
        </is>
      </c>
      <c r="F123" s="184" t="inlineStr">
        <is>
          <t>PENGELOLAAN KESEHATAN MASYARAKAT VETERINER</t>
        </is>
      </c>
      <c r="G123" s="184" t="inlineStr">
        <is>
          <t>Masyarakat</t>
        </is>
      </c>
      <c r="H123" s="184" t="inlineStr">
        <is>
          <t>Data pemohon, data hewan atau produk hewan</t>
        </is>
      </c>
      <c r="I123" s="184" t="inlineStr">
        <is>
          <t>Data sertifikat veteriner</t>
        </is>
      </c>
      <c r="J123" s="184" t="inlineStr">
        <is>
          <t>Terbuka</t>
        </is>
      </c>
      <c r="K123" s="184" t="inlineStr">
        <is>
          <t>Terdapat</t>
        </is>
      </c>
      <c r="L123" s="184" t="inlineStr">
        <is>
          <t>Harian</t>
        </is>
      </c>
      <c r="M123" s="184" t="inlineStr">
        <is>
          <t>ANTERIN</t>
        </is>
      </c>
      <c r="N123" s="184" t="inlineStr">
        <is>
          <t>Diskominfo</t>
        </is>
      </c>
      <c r="O123" s="184" t="inlineStr">
        <is>
          <t>Kab. Bandung</t>
        </is>
      </c>
      <c r="P123" s="184" t="inlineStr">
        <is>
          <t>Website</t>
        </is>
      </c>
      <c r="Q123" s="131" t="inlineStr">
        <is>
          <t>https://anterin.bandungkab.go.id/</t>
        </is>
      </c>
      <c r="R123" s="184" t="inlineStr">
        <is>
          <t>Secara Online</t>
        </is>
      </c>
      <c r="S123" s="184" t="inlineStr">
        <is>
          <t>Informasi</t>
        </is>
      </c>
      <c r="T123" s="184" t="n">
        <v>2021</v>
      </c>
      <c r="U123" s="184" t="inlineStr">
        <is>
          <t>Aktif</t>
        </is>
      </c>
      <c r="V123" s="184" t="inlineStr">
        <is>
          <t>Tidak</t>
        </is>
      </c>
      <c r="W123" s="184" t="inlineStr">
        <is>
          <t>Tidak Terintegrasi</t>
        </is>
      </c>
      <c r="X123" s="184" t="inlineStr">
        <is>
          <t>Tidak Terintegrasi</t>
        </is>
      </c>
      <c r="Y123" s="184" t="inlineStr">
        <is>
          <t>Tidak Terintegrasi</t>
        </is>
      </c>
      <c r="Z123" s="184" t="inlineStr">
        <is>
          <t>Bidang Keswan Kesmavet</t>
        </is>
      </c>
      <c r="AA123" s="184" t="inlineStr">
        <is>
          <t>Distan</t>
        </is>
      </c>
      <c r="AB123" s="184" t="inlineStr">
        <is>
          <t>Maria</t>
        </is>
      </c>
      <c r="AC123" s="184" t="n">
        <v>81224510500</v>
      </c>
      <c r="AD123" s="288" t="n"/>
      <c r="AE123" s="288" t="n"/>
      <c r="AF123" s="68" t="inlineStr">
        <is>
          <t>Setiap Saat</t>
        </is>
      </c>
      <c r="AG123" s="186" t="inlineStr">
        <is>
          <t>Pelaku Bisnis / OPD /</t>
        </is>
      </c>
      <c r="AI123" s="284" t="n"/>
      <c r="AJ123" s="284" t="n"/>
      <c r="AK123" s="284" t="n"/>
      <c r="AL123" s="284" t="n"/>
      <c r="AM123" s="284" t="n"/>
      <c r="AN123" s="284" t="n"/>
      <c r="AO123" s="284" t="n"/>
      <c r="AP123" s="284" t="n"/>
      <c r="AQ123" s="284" t="n"/>
      <c r="AR123" s="284" t="n"/>
    </row>
    <row r="124" hidden="1" s="346">
      <c r="A124" s="62" t="n">
        <v>122</v>
      </c>
      <c r="B124" s="184" t="inlineStr">
        <is>
          <t>Pelayanan penerbitan surat keterangan kesehatan bahan asal hewan</t>
        </is>
      </c>
      <c r="C124" s="184" t="inlineStr">
        <is>
          <t>Menerbitkan dokumen resmi yang menyatakan bahan asal hewan layak dan sehat untuk diedarkan. Layanan ini memastikan keamanan distribusi produk hewan dan mencegah penyebaran penyakit.</t>
        </is>
      </c>
      <c r="D124" s="184" t="inlineStr">
        <is>
          <t>UU 18/2009; Permentan 17/2023</t>
        </is>
      </c>
      <c r="E124" s="131" t="inlineStr">
        <is>
          <t>https://docs.google.com/document/d/1c-7PUNKaiuUiy_admWwX1iClC1w9eJRB/edit?usp=sharing&amp;ouid=112536090230720318461&amp;rtpof=true&amp;sd=true</t>
        </is>
      </c>
      <c r="F124" s="184" t="inlineStr">
        <is>
          <t>PENGELOLAAN KESEHATAN MASYARAKAT VETERINER</t>
        </is>
      </c>
      <c r="G124" s="184" t="inlineStr">
        <is>
          <t>Masyarakat</t>
        </is>
      </c>
      <c r="H124" s="184" t="inlineStr">
        <is>
          <t>Data pemohon, data hewan/produk</t>
        </is>
      </c>
      <c r="I124" s="184" t="inlineStr">
        <is>
          <t>SKKH elektronik</t>
        </is>
      </c>
      <c r="J124" s="184" t="inlineStr">
        <is>
          <t>Tertutup</t>
        </is>
      </c>
      <c r="K124" s="184" t="inlineStr">
        <is>
          <t>Terdapat</t>
        </is>
      </c>
      <c r="L124" s="184" t="inlineStr">
        <is>
          <t>Harian</t>
        </is>
      </c>
      <c r="M124" s="184" t="inlineStr">
        <is>
          <t>iSIKHNAS</t>
        </is>
      </c>
      <c r="N124" s="184" t="inlineStr">
        <is>
          <t>Pusat</t>
        </is>
      </c>
      <c r="O124" s="184" t="inlineStr">
        <is>
          <t>Pusat</t>
        </is>
      </c>
      <c r="P124" s="184" t="inlineStr">
        <is>
          <t>Website</t>
        </is>
      </c>
      <c r="Q124" s="131" t="inlineStr">
        <is>
          <t>https://isikhnas.pertanian.go.id/</t>
        </is>
      </c>
      <c r="R124" s="184" t="inlineStr">
        <is>
          <t>Secara Online</t>
        </is>
      </c>
      <c r="S124" s="184" t="inlineStr">
        <is>
          <t>Informasi</t>
        </is>
      </c>
      <c r="T124" s="184" t="inlineStr">
        <is>
          <t>-</t>
        </is>
      </c>
      <c r="U124" s="184" t="inlineStr">
        <is>
          <t>Aktif</t>
        </is>
      </c>
      <c r="V124" s="184" t="inlineStr">
        <is>
          <t>Tidak</t>
        </is>
      </c>
      <c r="W124" s="184" t="inlineStr">
        <is>
          <t>Tidak Terintegrasi</t>
        </is>
      </c>
      <c r="X124" s="184" t="inlineStr">
        <is>
          <t>Tidak Terintegrasi</t>
        </is>
      </c>
      <c r="Y124" s="184" t="inlineStr">
        <is>
          <t>Tidak Terintegrasi</t>
        </is>
      </c>
      <c r="Z124" s="184" t="inlineStr">
        <is>
          <t>Bidang Keswan Kesmavet</t>
        </is>
      </c>
      <c r="AA124" s="184" t="inlineStr">
        <is>
          <t>Distan</t>
        </is>
      </c>
      <c r="AB124" s="184" t="inlineStr">
        <is>
          <t>Maria</t>
        </is>
      </c>
      <c r="AC124" s="184" t="n">
        <v>81224510500</v>
      </c>
      <c r="AD124" s="288" t="n"/>
      <c r="AE124" s="288" t="n"/>
      <c r="AF124" s="68" t="inlineStr">
        <is>
          <t>Harian</t>
        </is>
      </c>
      <c r="AG124" s="187" t="inlineStr">
        <is>
          <t>OPD</t>
        </is>
      </c>
      <c r="AH124" s="284" t="n"/>
      <c r="AI124" s="284" t="n"/>
      <c r="AJ124" s="284" t="n"/>
      <c r="AK124" s="284" t="n"/>
      <c r="AL124" s="284" t="n"/>
      <c r="AM124" s="284" t="n"/>
      <c r="AN124" s="284" t="n"/>
      <c r="AO124" s="284" t="n"/>
      <c r="AP124" s="284" t="n"/>
      <c r="AQ124" s="284" t="n"/>
      <c r="AR124" s="284" t="n"/>
    </row>
    <row r="125" hidden="1" s="346">
      <c r="A125" s="62" t="n">
        <v>123</v>
      </c>
      <c r="B125" s="184" t="inlineStr">
        <is>
          <t>Gerakan pengendalian hama dan penyakit tanaman</t>
        </is>
      </c>
      <c r="C125" s="184" t="inlineStr">
        <is>
          <t>Layanan pengendalian OPT &amp; penyakit tanaman melalui gerakan masal untuk menjaga produksi.</t>
        </is>
      </c>
      <c r="D125" s="184" t="inlineStr">
        <is>
          <t>UU 12/1992; Permentan 11/2015; Perbup Kab. Bandung ttg Perlindungan Tanaman.</t>
        </is>
      </c>
      <c r="E125" s="131" t="inlineStr">
        <is>
          <t>https://docs.google.com/spreadsheets/d/1c7RrRajyzrp7pLX7n6Z-t8K0gRXiw69i/edit?usp=sharing&amp;ouid=112536090230720318461&amp;rtpof=true&amp;sd=true</t>
        </is>
      </c>
      <c r="F125" s="184" t="inlineStr">
        <is>
          <t>PERLINDUNGAN TANAMAN PANGAN DAN HORTIKULTURA</t>
        </is>
      </c>
      <c r="G125" s="184" t="inlineStr">
        <is>
          <t>Masyarakat</t>
        </is>
      </c>
      <c r="H125" s="184" t="inlineStr">
        <is>
          <t>Data laporan serangan hama dan penyakit</t>
        </is>
      </c>
      <c r="I125" s="184" t="inlineStr">
        <is>
          <t>Data laporan hasil pengendalian dan rekomendasi penanganan</t>
        </is>
      </c>
      <c r="J125" s="184" t="inlineStr">
        <is>
          <t>Terbuka</t>
        </is>
      </c>
      <c r="K125" s="184" t="inlineStr">
        <is>
          <t>Terdapat</t>
        </is>
      </c>
      <c r="L125" s="184" t="inlineStr">
        <is>
          <t>Harian</t>
        </is>
      </c>
      <c r="M125" s="184" t="inlineStr">
        <is>
          <t>SIFORTUNA</t>
        </is>
      </c>
      <c r="N125" s="184" t="inlineStr">
        <is>
          <t>Pusat</t>
        </is>
      </c>
      <c r="O125" s="184" t="inlineStr">
        <is>
          <t>Pusat</t>
        </is>
      </c>
      <c r="P125" s="184" t="inlineStr">
        <is>
          <t>Website</t>
        </is>
      </c>
      <c r="Q125" s="131" t="inlineStr">
        <is>
          <t>sifortuna.tanamanpangan.pertanian.go.id</t>
        </is>
      </c>
      <c r="R125" s="184" t="inlineStr">
        <is>
          <t>Secara Online</t>
        </is>
      </c>
      <c r="S125" s="184" t="inlineStr">
        <is>
          <t>Informasi</t>
        </is>
      </c>
      <c r="T125" s="184" t="inlineStr">
        <is>
          <t>-</t>
        </is>
      </c>
      <c r="U125" s="184" t="inlineStr">
        <is>
          <t>Aktif</t>
        </is>
      </c>
      <c r="V125" s="184" t="inlineStr">
        <is>
          <t>Tidak</t>
        </is>
      </c>
      <c r="W125" s="184" t="inlineStr">
        <is>
          <t>Tidak Terintegrasi</t>
        </is>
      </c>
      <c r="X125" s="184" t="inlineStr">
        <is>
          <t>Tidak Terintegrasi</t>
        </is>
      </c>
      <c r="Y125" s="184" t="inlineStr">
        <is>
          <t>Tidak Terintegrasi</t>
        </is>
      </c>
      <c r="Z125" s="184" t="inlineStr">
        <is>
          <t>Bidang Pusdaltan</t>
        </is>
      </c>
      <c r="AA125" s="184" t="inlineStr">
        <is>
          <t>Distan</t>
        </is>
      </c>
      <c r="AB125" s="184" t="inlineStr">
        <is>
          <t>Dinar</t>
        </is>
      </c>
      <c r="AC125" s="184" t="n">
        <v>85794560785</v>
      </c>
      <c r="AD125" s="184" t="inlineStr">
        <is>
          <t>inayinoy22@gmail.com</t>
        </is>
      </c>
      <c r="AE125" s="288" t="n"/>
      <c r="AF125" s="288" t="n"/>
      <c r="AG125" s="90" t="n"/>
      <c r="AH125" s="284" t="n"/>
      <c r="AI125" s="284" t="n"/>
      <c r="AJ125" s="284" t="n"/>
      <c r="AK125" s="284" t="n"/>
      <c r="AL125" s="284" t="n"/>
      <c r="AM125" s="284" t="n"/>
      <c r="AN125" s="284" t="n"/>
      <c r="AO125" s="284" t="n"/>
      <c r="AP125" s="284" t="n"/>
      <c r="AQ125" s="284" t="n"/>
      <c r="AR125" s="284" t="n"/>
    </row>
    <row r="126" hidden="1" s="346">
      <c r="A126" s="62" t="n">
        <v>124</v>
      </c>
      <c r="B126" s="184" t="inlineStr">
        <is>
          <t>Aplikasi Pelayanan Prasarana Pertanian</t>
        </is>
      </c>
      <c r="C126" s="184" t="inlineStr">
        <is>
          <t>Layanan untuk mengajukan Prasarana Pertanian baik web maupun android di khusukan untuk penyuluh pertanian maupun kelompok tani</t>
        </is>
      </c>
      <c r="D126" s="184" t="inlineStr">
        <is>
          <t>Inpres No 2 Tahun 2025 tentang Percepatan Pembangunan Irigasi</t>
        </is>
      </c>
      <c r="E126" s="184" t="inlineStr">
        <is>
          <t>Belum Tersedia</t>
        </is>
      </c>
      <c r="F126" s="184" t="inlineStr">
        <is>
          <t>PENGEMBANGAN KELEMBAGAAN PETANI</t>
        </is>
      </c>
      <c r="G126" s="184" t="inlineStr">
        <is>
          <t>Masyarakat</t>
        </is>
      </c>
      <c r="H126" s="184" t="inlineStr">
        <is>
          <t>Data permohonan prasarana</t>
        </is>
      </c>
      <c r="I126" s="184" t="inlineStr">
        <is>
          <t>Data terkait Prasarana Pertanian</t>
        </is>
      </c>
      <c r="J126" s="184" t="inlineStr">
        <is>
          <t>Terbatas</t>
        </is>
      </c>
      <c r="K126" s="184" t="inlineStr">
        <is>
          <t>Terdapat</t>
        </is>
      </c>
      <c r="L126" s="184" t="inlineStr">
        <is>
          <t>Bulanan</t>
        </is>
      </c>
      <c r="M126" s="184" t="inlineStr">
        <is>
          <t>TANGINAS</t>
        </is>
      </c>
      <c r="N126" s="184" t="inlineStr">
        <is>
          <t>Pihak Ke 3</t>
        </is>
      </c>
      <c r="O126" s="184" t="inlineStr">
        <is>
          <t>Pihak Ke 3 (Lisensi)</t>
        </is>
      </c>
      <c r="P126" s="184" t="inlineStr">
        <is>
          <t>Website dan Mobile</t>
        </is>
      </c>
      <c r="Q126" s="131" t="inlineStr">
        <is>
          <t>tanginas.web.id</t>
        </is>
      </c>
      <c r="R126" s="184" t="inlineStr">
        <is>
          <t>Secara Online</t>
        </is>
      </c>
      <c r="S126" s="184" t="inlineStr">
        <is>
          <t>Informasi</t>
        </is>
      </c>
      <c r="T126" s="184" t="inlineStr">
        <is>
          <t>-</t>
        </is>
      </c>
      <c r="U126" s="184" t="inlineStr">
        <is>
          <t>Aktif</t>
        </is>
      </c>
      <c r="V126" s="184" t="inlineStr">
        <is>
          <t>Tidak</t>
        </is>
      </c>
      <c r="W126" s="184" t="inlineStr">
        <is>
          <t>Tidak Terintegrasi</t>
        </is>
      </c>
      <c r="X126" s="184" t="inlineStr">
        <is>
          <t>API</t>
        </is>
      </c>
      <c r="Y126" s="184" t="inlineStr">
        <is>
          <t>Realtime</t>
        </is>
      </c>
      <c r="Z126" s="184" t="inlineStr">
        <is>
          <t>Bidang Prasarana</t>
        </is>
      </c>
      <c r="AA126" s="184" t="inlineStr">
        <is>
          <t>Distan</t>
        </is>
      </c>
      <c r="AB126" s="184" t="inlineStr">
        <is>
          <t>Herman</t>
        </is>
      </c>
      <c r="AC126" s="184" t="n">
        <v>85882562008</v>
      </c>
      <c r="AD126" s="184" t="inlineStr">
        <is>
          <t>hermandistan1990@gmail.com</t>
        </is>
      </c>
      <c r="AE126" s="67" t="inlineStr">
        <is>
          <t>39,25,</t>
        </is>
      </c>
      <c r="AF126" s="68" t="inlineStr">
        <is>
          <t>Harian</t>
        </is>
      </c>
      <c r="AG126" s="187" t="inlineStr">
        <is>
          <t>OPD</t>
        </is>
      </c>
      <c r="AH126" s="284" t="n"/>
      <c r="AI126" s="284" t="n"/>
      <c r="AJ126" s="284" t="n"/>
      <c r="AK126" s="284" t="n"/>
      <c r="AL126" s="284" t="n"/>
      <c r="AM126" s="284" t="n"/>
      <c r="AN126" s="284" t="n"/>
      <c r="AO126" s="284" t="n"/>
      <c r="AP126" s="284" t="n"/>
      <c r="AQ126" s="284" t="n"/>
      <c r="AR126" s="284" t="n"/>
    </row>
    <row r="127" hidden="1" s="346">
      <c r="A127" s="62" t="n">
        <v>125</v>
      </c>
      <c r="B127" s="184" t="inlineStr">
        <is>
          <t>Pelayanan Administrasi Pupuk Bersubsidi</t>
        </is>
      </c>
      <c r="C127" s="184" t="inlineStr">
        <is>
          <t>Melayani proses administrasi dan validasi penerima pupuk bersubsidi melalui RDKK dan Kartu Tani agar penyaluran pupuk lebih tepat sasaran, transparan, serta mendukung keberlanjutan produksi pertanian.</t>
        </is>
      </c>
      <c r="D127" s="184" t="inlineStr">
        <is>
          <t>Permentan 49/2017; Perbup ttg Sibedas</t>
        </is>
      </c>
      <c r="E127" s="131" t="inlineStr">
        <is>
          <t>https://docs.google.com/spreadsheets/d/1cLC7YoJU_Mkyr5eJTL-fHfA0D-sQukvz/edit?usp=sharing&amp;ouid=112536090230720318461&amp;rtpof=true&amp;sd=true</t>
        </is>
      </c>
      <c r="F127" s="184" t="inlineStr">
        <is>
          <t>PENGEMBANGAN KELEMBAGAAN PETANI</t>
        </is>
      </c>
      <c r="G127" s="184" t="inlineStr">
        <is>
          <t>Masyarakat</t>
        </is>
      </c>
      <c r="H127" s="184" t="inlineStr">
        <is>
          <t>Data petani, luas lahan, NIK, RDKK</t>
        </is>
      </c>
      <c r="I127" s="184" t="inlineStr">
        <is>
          <t>Daftar penerima pupuk</t>
        </is>
      </c>
      <c r="J127" s="184" t="inlineStr">
        <is>
          <t>Tertutup</t>
        </is>
      </c>
      <c r="K127" s="184" t="inlineStr">
        <is>
          <t>Terdapat</t>
        </is>
      </c>
      <c r="L127" s="184" t="inlineStr">
        <is>
          <t>Tahunan</t>
        </is>
      </c>
      <c r="M127" s="184" t="inlineStr">
        <is>
          <t>E-RDKK Pupuk Bersubsidi</t>
        </is>
      </c>
      <c r="N127" s="184" t="inlineStr">
        <is>
          <t>Pusat</t>
        </is>
      </c>
      <c r="O127" s="184" t="inlineStr">
        <is>
          <t>Pusat</t>
        </is>
      </c>
      <c r="P127" s="184" t="inlineStr">
        <is>
          <t>Website</t>
        </is>
      </c>
      <c r="Q127" s="131" t="inlineStr">
        <is>
          <t>https://erdkk25.pertanian.go.id/</t>
        </is>
      </c>
      <c r="R127" s="184" t="inlineStr">
        <is>
          <t>Secara Online</t>
        </is>
      </c>
      <c r="S127" s="184" t="inlineStr">
        <is>
          <t>Informasi</t>
        </is>
      </c>
      <c r="T127" s="184" t="inlineStr">
        <is>
          <t>-</t>
        </is>
      </c>
      <c r="U127" s="184" t="inlineStr">
        <is>
          <t>Aktif</t>
        </is>
      </c>
      <c r="V127" s="184" t="inlineStr">
        <is>
          <t>Tidak</t>
        </is>
      </c>
      <c r="W127" s="184" t="inlineStr">
        <is>
          <t>Tidak Terintegrasi</t>
        </is>
      </c>
      <c r="X127" s="184" t="inlineStr">
        <is>
          <t>Tidak Terintegrasi</t>
        </is>
      </c>
      <c r="Y127" s="184" t="inlineStr">
        <is>
          <t>Tidak Terintegrasi</t>
        </is>
      </c>
      <c r="Z127" s="184" t="inlineStr">
        <is>
          <t>Bidang Penyuluhan</t>
        </is>
      </c>
      <c r="AA127" s="184" t="inlineStr">
        <is>
          <t>Distan</t>
        </is>
      </c>
      <c r="AB127" s="184" t="inlineStr">
        <is>
          <t>Yandi</t>
        </is>
      </c>
      <c r="AC127" s="184" t="n">
        <v>81321122481</v>
      </c>
      <c r="AD127" s="288" t="n"/>
      <c r="AE127" s="77" t="n">
        <v>22</v>
      </c>
      <c r="AF127" s="68" t="inlineStr">
        <is>
          <t>Insidentil</t>
        </is>
      </c>
      <c r="AG127" s="187" t="inlineStr">
        <is>
          <t>OPD</t>
        </is>
      </c>
      <c r="AH127" s="284" t="n"/>
      <c r="AI127" s="284" t="n"/>
      <c r="AJ127" s="284" t="n"/>
      <c r="AK127" s="284" t="n"/>
      <c r="AL127" s="284" t="n"/>
      <c r="AM127" s="284" t="n"/>
      <c r="AN127" s="284" t="n"/>
      <c r="AO127" s="284" t="n"/>
      <c r="AP127" s="284" t="n"/>
      <c r="AQ127" s="284" t="n"/>
      <c r="AR127" s="284" t="n"/>
    </row>
    <row r="128" hidden="1" s="346">
      <c r="A128" s="62" t="n">
        <v>126</v>
      </c>
      <c r="B128" s="184" t="inlineStr">
        <is>
          <t>Penyuluh Pertanian Keliling (PEPELING)</t>
        </is>
      </c>
      <c r="C128" s="184" t="inlineStr">
        <is>
          <t>Melaksanakan kegiatan penyuluhan pertanian secara mobile/keliling untuk menjangkau desa-desa, terutama di wilayah terpencil. Tujuannya mempercepat penyampaian inovasi teknologi, memperluas jangkauan layanan penyuluhan, dan meningkatkan kapasitas kelompok tani.</t>
        </is>
      </c>
      <c r="D128" s="184" t="inlineStr">
        <is>
          <t>UU 16/2006; Permentan 61/2008</t>
        </is>
      </c>
      <c r="E128" s="131" t="inlineStr">
        <is>
          <t>https://docs.google.com/spreadsheets/d/1cLZrBaEOapwKOQE9usRXCTW93SFEy7Xj/edit?usp=sharing&amp;ouid=112536090230720318461&amp;rtpof=true&amp;sd=true</t>
        </is>
      </c>
      <c r="F128" s="184" t="inlineStr">
        <is>
          <t>PENGEMBANGAN KUALITAS SDM PERTANIAN</t>
        </is>
      </c>
      <c r="G128" s="184" t="inlineStr">
        <is>
          <t>Masyarakat</t>
        </is>
      </c>
      <c r="H128" s="184" t="inlineStr">
        <is>
          <t>Jadwal, lokasi, peserta</t>
        </is>
      </c>
      <c r="I128" s="184" t="inlineStr">
        <is>
          <t>Laporan penyuluhan, materi</t>
        </is>
      </c>
      <c r="J128" s="184" t="inlineStr">
        <is>
          <t>Terbuka</t>
        </is>
      </c>
      <c r="K128" s="184" t="inlineStr">
        <is>
          <t>Terdapat</t>
        </is>
      </c>
      <c r="L128" s="184" t="inlineStr">
        <is>
          <t>Bulanan</t>
        </is>
      </c>
      <c r="M128" s="184" t="inlineStr">
        <is>
          <t>SIMLUHTAN</t>
        </is>
      </c>
      <c r="N128" s="184" t="inlineStr">
        <is>
          <t>Pusat</t>
        </is>
      </c>
      <c r="O128" s="184" t="inlineStr">
        <is>
          <t>Pusat</t>
        </is>
      </c>
      <c r="P128" s="184" t="inlineStr">
        <is>
          <t>Website</t>
        </is>
      </c>
      <c r="Q128" s="131" t="inlineStr">
        <is>
          <t>https://simluh.pertanian.go.id/</t>
        </is>
      </c>
      <c r="R128" s="184" t="inlineStr">
        <is>
          <t>Secara Online</t>
        </is>
      </c>
      <c r="S128" s="184" t="inlineStr">
        <is>
          <t>Informasi</t>
        </is>
      </c>
      <c r="T128" s="184" t="inlineStr">
        <is>
          <t>-</t>
        </is>
      </c>
      <c r="U128" s="184" t="inlineStr">
        <is>
          <t>Aktif</t>
        </is>
      </c>
      <c r="V128" s="184" t="inlineStr">
        <is>
          <t>Tidak</t>
        </is>
      </c>
      <c r="W128" s="184" t="inlineStr">
        <is>
          <t>Tidak Terintegrasi</t>
        </is>
      </c>
      <c r="X128" s="184" t="inlineStr">
        <is>
          <t>Tidak Terintegrasi</t>
        </is>
      </c>
      <c r="Y128" s="184" t="inlineStr">
        <is>
          <t>Tidak Terintegrasi</t>
        </is>
      </c>
      <c r="Z128" s="184" t="inlineStr">
        <is>
          <t>Bidang Penyuluhan</t>
        </is>
      </c>
      <c r="AA128" s="184" t="inlineStr">
        <is>
          <t>Distan</t>
        </is>
      </c>
      <c r="AB128" s="184" t="inlineStr">
        <is>
          <t>Yandi</t>
        </is>
      </c>
      <c r="AC128" s="184" t="n">
        <v>81321122481</v>
      </c>
      <c r="AD128" s="288" t="n"/>
      <c r="AE128" s="67" t="inlineStr">
        <is>
          <t>22, 25, 26</t>
        </is>
      </c>
      <c r="AF128" s="68" t="inlineStr">
        <is>
          <t>Setiap Saat</t>
        </is>
      </c>
      <c r="AG128" s="187" t="inlineStr">
        <is>
          <t>OPD</t>
        </is>
      </c>
      <c r="AH128" s="284" t="n"/>
      <c r="AI128" s="284" t="n"/>
      <c r="AJ128" s="284" t="n"/>
      <c r="AK128" s="284" t="n"/>
      <c r="AL128" s="284" t="n"/>
      <c r="AM128" s="284" t="n"/>
      <c r="AN128" s="284" t="n"/>
      <c r="AO128" s="284" t="n"/>
      <c r="AP128" s="284" t="n"/>
      <c r="AQ128" s="284" t="n"/>
      <c r="AR128" s="284" t="n"/>
    </row>
    <row r="129">
      <c r="A129" s="62" t="n">
        <v>127</v>
      </c>
      <c r="B129" s="184" t="inlineStr">
        <is>
          <t>Sistem Informasi Pos Kesehatan Hewan Kabupaten Bandung</t>
        </is>
      </c>
      <c r="C129" s="184" t="inlineStr">
        <is>
          <t>Digitalisasi layanan kesehatan hewan melalui poskeswan (pendaftaran, pelayanan, pencatatan penyakit, monitoring vaksinasi, konsultasi).</t>
        </is>
      </c>
      <c r="D129" s="184" t="inlineStr">
        <is>
          <t>Pusat Kesehatan Hewan yang selanjutnya disingkat Puskeswan adalah Pos Kesehatan Hewan yang memberikan pelayanan di bidang kesehatan hewan sebagaimana dimaksud dalam Keputusan Bersama Menteri Pertanian dan Menteri Dalam Negeri Nomor 690/Kpts/ TN.510/10/1993 dan Nomor 88 Tahun 1993 Tentang Pos Kesehatan Hewan.</t>
        </is>
      </c>
      <c r="E129" s="131" t="inlineStr">
        <is>
          <t>https://drive.google.com/drive/folders/1b_wlUHQifUNUdZcrhKipNlD0R6COD8yt?usp=sharing</t>
        </is>
      </c>
      <c r="F129" s="184" t="inlineStr">
        <is>
          <t>PENGELOLAAN KESEHATAN HEWAN</t>
        </is>
      </c>
      <c r="G129" s="184" t="inlineStr">
        <is>
          <t>Masyarakat</t>
        </is>
      </c>
      <c r="H129" s="184" t="inlineStr">
        <is>
          <t>Data identitas pengguna, data hewan</t>
        </is>
      </c>
      <c r="I129" s="184" t="inlineStr">
        <is>
          <t>Data laporan pelayanan kesehatan hewan</t>
        </is>
      </c>
      <c r="J129" s="184" t="inlineStr">
        <is>
          <t>Terbuka</t>
        </is>
      </c>
      <c r="K129" s="184" t="inlineStr">
        <is>
          <t>Terdapat</t>
        </is>
      </c>
      <c r="L129" s="184" t="inlineStr">
        <is>
          <t>Harian</t>
        </is>
      </c>
      <c r="M129" s="184" t="inlineStr">
        <is>
          <t>SIPOLAN</t>
        </is>
      </c>
      <c r="N129" s="184" t="inlineStr">
        <is>
          <t>Diskominfo</t>
        </is>
      </c>
      <c r="O129" s="184" t="inlineStr">
        <is>
          <t>Kab. Bandung</t>
        </is>
      </c>
      <c r="P129" s="184" t="inlineStr">
        <is>
          <t>Website</t>
        </is>
      </c>
      <c r="Q129" s="131" t="inlineStr">
        <is>
          <t>sipolan.bandungkab.go.id</t>
        </is>
      </c>
      <c r="R129" s="184" t="inlineStr">
        <is>
          <t>Secara Online</t>
        </is>
      </c>
      <c r="S129" s="184" t="inlineStr">
        <is>
          <t>Informasi</t>
        </is>
      </c>
      <c r="T129" s="184" t="n">
        <v>2021</v>
      </c>
      <c r="U129" s="184" t="inlineStr">
        <is>
          <t>Aktif</t>
        </is>
      </c>
      <c r="V129" s="184" t="inlineStr">
        <is>
          <t>Tidak</t>
        </is>
      </c>
      <c r="W129" s="184" t="inlineStr">
        <is>
          <t>Tidak Terintegrasi</t>
        </is>
      </c>
      <c r="X129" s="184" t="inlineStr">
        <is>
          <t>Tidak Terintegrasi</t>
        </is>
      </c>
      <c r="Y129" s="184" t="inlineStr">
        <is>
          <t>Tidak Terintegrasi</t>
        </is>
      </c>
      <c r="Z129" s="184" t="inlineStr">
        <is>
          <t>UPTD Pusat Kesehatan Hewan</t>
        </is>
      </c>
      <c r="AA129" s="184" t="inlineStr">
        <is>
          <t>Distan</t>
        </is>
      </c>
      <c r="AB129" s="184" t="inlineStr">
        <is>
          <t>Eviani</t>
        </is>
      </c>
      <c r="AC129" s="184" t="n">
        <v>81214317867</v>
      </c>
      <c r="AD129" s="184" t="inlineStr">
        <is>
          <t>evianivanita1011@gmail.com</t>
        </is>
      </c>
      <c r="AE129" s="288" t="n"/>
      <c r="AF129" s="68" t="inlineStr">
        <is>
          <t>Setiap Saat</t>
        </is>
      </c>
      <c r="AG129" s="187" t="inlineStr">
        <is>
          <t>OPD</t>
        </is>
      </c>
      <c r="AH129" s="284" t="n"/>
      <c r="AI129" s="284" t="n"/>
      <c r="AJ129" s="284" t="n"/>
      <c r="AK129" s="284" t="n"/>
      <c r="AL129" s="284" t="n"/>
      <c r="AM129" s="284" t="n"/>
      <c r="AN129" s="284" t="n"/>
      <c r="AO129" s="284" t="n"/>
      <c r="AP129" s="284" t="n"/>
      <c r="AQ129" s="284" t="n"/>
      <c r="AR129" s="284" t="n"/>
    </row>
    <row r="130">
      <c r="A130" s="62" t="n">
        <v>128</v>
      </c>
      <c r="B130" s="178" t="inlineStr">
        <is>
          <t>Layanan Pelaku Budidaya Perikanan, Perikanan Tangkap, dan Pengolahan Ikan</t>
        </is>
      </c>
      <c r="C130" s="178" t="inlineStr">
        <is>
          <t>Memberikan bantuan dan dukungan kepada para pelaku budidaya perikanan dalam hal teknis, modal, dan pemasaran untuk meningkatkan keberlanjutan usaha mereka.</t>
        </is>
      </c>
      <c r="D130" s="178" t="inlineStr">
        <is>
          <t>Peraturan Daerah Kabupaten Bandung Nomor 1 Tahun 2025 Tentang Penyelenggaraan Perikanan</t>
        </is>
      </c>
      <c r="E130" s="131" t="inlineStr">
        <is>
          <t>01. SOP Sistem Informasi Pangan.pdf</t>
        </is>
      </c>
      <c r="F130" s="184" t="inlineStr">
        <is>
          <t>PENGELOLAAN PERIKANAN BUDI DAYA</t>
        </is>
      </c>
      <c r="G130" s="184" t="inlineStr">
        <is>
          <t>Pelaku Bisnis</t>
        </is>
      </c>
      <c r="H130" s="184" t="inlineStr">
        <is>
          <t>Data pelaku usaha, data perikanan budidaya, data perikanan tangkap, dan data pengolahan hasil perikanan</t>
        </is>
      </c>
      <c r="I130" s="178" t="inlineStr">
        <is>
          <t>Data Pelaku Budidaya Perikanan</t>
        </is>
      </c>
      <c r="J130" s="184" t="inlineStr">
        <is>
          <t>Terbatas</t>
        </is>
      </c>
      <c r="K130" s="184" t="inlineStr">
        <is>
          <t>Terdapat</t>
        </is>
      </c>
      <c r="L130" s="184" t="inlineStr">
        <is>
          <t>Bulanan</t>
        </is>
      </c>
      <c r="M130" s="184" t="inlineStr">
        <is>
          <t>SIP SIKANDUNG</t>
        </is>
      </c>
      <c r="N130" s="184" t="inlineStr">
        <is>
          <t>Diskominfo</t>
        </is>
      </c>
      <c r="O130" s="184" t="inlineStr">
        <is>
          <t>Kab. Bandung</t>
        </is>
      </c>
      <c r="P130" s="184" t="inlineStr">
        <is>
          <t>Website</t>
        </is>
      </c>
      <c r="Q130" s="70" t="inlineStr">
        <is>
          <t>https://sip.bandungkab.go.id/portal/topic/sikandung</t>
        </is>
      </c>
      <c r="R130" s="184" t="inlineStr">
        <is>
          <t>Secara Online</t>
        </is>
      </c>
      <c r="S130" s="184" t="inlineStr">
        <is>
          <t>Informasi</t>
        </is>
      </c>
      <c r="T130" s="184" t="n">
        <v>2018</v>
      </c>
      <c r="U130" s="184" t="inlineStr">
        <is>
          <t>Maintenance</t>
        </is>
      </c>
      <c r="V130" s="184" t="inlineStr">
        <is>
          <t>Tidak</t>
        </is>
      </c>
      <c r="W130" s="184" t="inlineStr">
        <is>
          <t>Tidak Terintegrasi</t>
        </is>
      </c>
      <c r="X130" s="288" t="n"/>
      <c r="Y130" s="288" t="n"/>
      <c r="Z130" s="184" t="inlineStr">
        <is>
          <t>Bidang Budidaya Perikanan
 Bidang Usaha Perikanan</t>
        </is>
      </c>
      <c r="AA130" s="184" t="inlineStr">
        <is>
          <t>Dispakan</t>
        </is>
      </c>
      <c r="AB130" s="178" t="inlineStr">
        <is>
          <t>RAISA RAMADHANIA S.Pi
 JAJANG RUDIANTO SP
 RIAN HERMAWAN S.Pi</t>
        </is>
      </c>
      <c r="AC130" s="178" t="inlineStr">
        <is>
          <t>082120586902
 087824561374
 082127870192</t>
        </is>
      </c>
      <c r="AD130" s="178" t="inlineStr">
        <is>
          <t>raisarusrus@gmail.com
 jajangrudianto80@gmail.com
 aarianhermawan@gmail.com</t>
        </is>
      </c>
      <c r="AE130" s="288" t="n"/>
      <c r="AF130" s="288" t="n"/>
      <c r="AG130" s="216" t="inlineStr">
        <is>
          <t>DISPAKAN</t>
        </is>
      </c>
      <c r="AH130" s="284" t="n"/>
      <c r="AI130" s="284" t="n"/>
      <c r="AJ130" s="284" t="n"/>
      <c r="AK130" s="284" t="n"/>
      <c r="AL130" s="284" t="n"/>
      <c r="AM130" s="284" t="n"/>
      <c r="AN130" s="284" t="n"/>
      <c r="AO130" s="284" t="n"/>
      <c r="AP130" s="284" t="n"/>
      <c r="AQ130" s="284" t="n"/>
      <c r="AR130" s="284" t="n"/>
    </row>
    <row r="131" hidden="1" s="346">
      <c r="A131" s="62" t="n">
        <v>129</v>
      </c>
      <c r="B131" s="178" t="inlineStr">
        <is>
          <t>Layanan Rekomendasi Persetujuan Usaha Perikanan</t>
        </is>
      </c>
      <c r="C131" s="178" t="inlineStr">
        <is>
          <t>Memberikan persetujuan dan rekomendasi untuk usaha perikanan guna memastikan keberlanjutan sumber daya perikanan dan keberlanjutan ekonomi para pelaku usaha.</t>
        </is>
      </c>
      <c r="D131" s="178" t="inlineStr">
        <is>
          <t>Peraturan Pemerintah Nomor 27 Tahun 2021 Tentang Penyelenggaraan Bidang Kelautan dan Perikanan</t>
        </is>
      </c>
      <c r="E131" s="70" t="inlineStr">
        <is>
          <t>02. SOP Izin Usaha.pdf
 03. SOP Si Lele ikan.pdf</t>
        </is>
      </c>
      <c r="F131" s="184" t="inlineStr">
        <is>
          <t>PENGUATAN DAYA SAING PRODUK PERIKANAN</t>
        </is>
      </c>
      <c r="G131" s="184" t="inlineStr">
        <is>
          <t>Pelaku Bisnis</t>
        </is>
      </c>
      <c r="H131" s="184" t="inlineStr">
        <is>
          <t>Data pelaku usaha, data perizinan, laporan peksanaan kegiatan</t>
        </is>
      </c>
      <c r="I131" s="178" t="inlineStr">
        <is>
          <t>Data Usaha Perikanan</t>
        </is>
      </c>
      <c r="J131" s="184" t="inlineStr">
        <is>
          <t>Terbatas</t>
        </is>
      </c>
      <c r="K131" s="184" t="inlineStr">
        <is>
          <t>Terdapat</t>
        </is>
      </c>
      <c r="L131" s="184" t="inlineStr">
        <is>
          <t>Bulanan</t>
        </is>
      </c>
      <c r="M131" s="184" t="inlineStr">
        <is>
          <t>SI LELE IKAN</t>
        </is>
      </c>
      <c r="N131" s="184" t="inlineStr">
        <is>
          <t>Pihak Ke 3</t>
        </is>
      </c>
      <c r="O131" s="184" t="inlineStr">
        <is>
          <t>Pihak Ke 3 (Lisensi)</t>
        </is>
      </c>
      <c r="P131" s="184" t="inlineStr">
        <is>
          <t>Website dan Mobile</t>
        </is>
      </c>
      <c r="Q131" s="70" t="inlineStr">
        <is>
          <t>https://dispakan.bandungkab.go.id/video/</t>
        </is>
      </c>
      <c r="R131" s="184" t="inlineStr">
        <is>
          <t>Secara Online</t>
        </is>
      </c>
      <c r="S131" s="184" t="inlineStr">
        <is>
          <t>Informasi</t>
        </is>
      </c>
      <c r="T131" s="184" t="n">
        <v>2022</v>
      </c>
      <c r="U131" s="184" t="inlineStr">
        <is>
          <t>Maintenance</t>
        </is>
      </c>
      <c r="V131" s="184" t="inlineStr">
        <is>
          <t>Tidak</t>
        </is>
      </c>
      <c r="W131" s="184" t="inlineStr">
        <is>
          <t>Tidak Terintegrasi</t>
        </is>
      </c>
      <c r="X131" s="288" t="n"/>
      <c r="Y131" s="288" t="n"/>
      <c r="Z131" s="184" t="inlineStr">
        <is>
          <t>Bidang Usaha Perikanan</t>
        </is>
      </c>
      <c r="AA131" s="184" t="inlineStr">
        <is>
          <t>Dispakan</t>
        </is>
      </c>
      <c r="AB131" s="178" t="inlineStr">
        <is>
          <t>JAJANG RUDIANTO SP</t>
        </is>
      </c>
      <c r="AC131" s="178" t="n">
        <v>87824561374</v>
      </c>
      <c r="AD131" s="178" t="inlineStr">
        <is>
          <t>jajangrudianto80@gmail.com</t>
        </is>
      </c>
      <c r="AE131" s="288" t="n"/>
      <c r="AF131" s="288" t="n"/>
      <c r="AG131" s="216" t="inlineStr">
        <is>
          <t>DISPAKAN</t>
        </is>
      </c>
      <c r="AH131" s="284" t="n"/>
      <c r="AI131" s="284" t="n"/>
      <c r="AJ131" s="284" t="n"/>
      <c r="AK131" s="284" t="n"/>
      <c r="AL131" s="284" t="n"/>
      <c r="AM131" s="284" t="n"/>
      <c r="AN131" s="284" t="n"/>
      <c r="AO131" s="284" t="n"/>
      <c r="AP131" s="284" t="n"/>
      <c r="AQ131" s="284" t="n"/>
      <c r="AR131" s="284" t="n"/>
    </row>
    <row r="132">
      <c r="A132" s="62" t="n">
        <v>130</v>
      </c>
      <c r="B132" s="178" t="inlineStr">
        <is>
          <t>Layanan Ketahanan dan Kerawanan Pangan</t>
        </is>
      </c>
      <c r="C132" s="178" t="inlineStr">
        <is>
          <t>Menganalisis dan memantau kondisi ketahanan pangan daerah serta merancang strategi untuk mengatasi potensi kerawanan pangan.</t>
        </is>
      </c>
      <c r="D132" s="178" t="inlineStr">
        <is>
          <t>Peraturan Pemerintah Nomor 17 Tahun 2015 Tentang Ketahanan Pangan</t>
        </is>
      </c>
      <c r="E132" s="70" t="inlineStr">
        <is>
          <t>01. SOP Sistem Informasi Pangan.pdf</t>
        </is>
      </c>
      <c r="F132" s="184" t="inlineStr">
        <is>
          <t>KERAWANAN PANGAN DAN GIZI</t>
        </is>
      </c>
      <c r="G132" s="184" t="inlineStr">
        <is>
          <t>Masyarakat</t>
        </is>
      </c>
      <c r="H132" s="184" t="inlineStr">
        <is>
          <t>Data penerima bantuan, data bahan pangan yang diberikan, laporan pelaksanaan</t>
        </is>
      </c>
      <c r="I132" s="178" t="inlineStr">
        <is>
          <t>Data Kerawanan Pangan dan Keamanan Pangan</t>
        </is>
      </c>
      <c r="J132" s="184" t="inlineStr">
        <is>
          <t>Terbatas</t>
        </is>
      </c>
      <c r="K132" s="184" t="inlineStr">
        <is>
          <t>Terdapat</t>
        </is>
      </c>
      <c r="L132" s="184" t="inlineStr">
        <is>
          <t>Tahunan</t>
        </is>
      </c>
      <c r="M132" s="184" t="inlineStr">
        <is>
          <t>SIP FSVA</t>
        </is>
      </c>
      <c r="N132" s="184" t="inlineStr">
        <is>
          <t>Diskominfo</t>
        </is>
      </c>
      <c r="O132" s="184" t="inlineStr">
        <is>
          <t>Kab. Bandung</t>
        </is>
      </c>
      <c r="P132" s="184" t="inlineStr">
        <is>
          <t>Website</t>
        </is>
      </c>
      <c r="Q132" s="70" t="inlineStr">
        <is>
          <t>https://sip.bandungkab.go.id/portal/topic/fsva</t>
        </is>
      </c>
      <c r="R132" s="184" t="inlineStr">
        <is>
          <t>Secara Online</t>
        </is>
      </c>
      <c r="S132" s="184" t="inlineStr">
        <is>
          <t>Informasi</t>
        </is>
      </c>
      <c r="T132" s="184" t="n">
        <v>2021</v>
      </c>
      <c r="U132" s="184" t="inlineStr">
        <is>
          <t>Aktif</t>
        </is>
      </c>
      <c r="V132" s="184" t="inlineStr">
        <is>
          <t>Tidak</t>
        </is>
      </c>
      <c r="W132" s="184" t="inlineStr">
        <is>
          <t>Tidak Terintegrasi</t>
        </is>
      </c>
      <c r="X132" s="184" t="inlineStr">
        <is>
          <t>Tidak Terintegrasi</t>
        </is>
      </c>
      <c r="Y132" s="184" t="inlineStr">
        <is>
          <t>Tidak Terintegrasi</t>
        </is>
      </c>
      <c r="Z132" s="184" t="inlineStr">
        <is>
          <t>Bidang Ketersediaan dan Kerawanan Pangan</t>
        </is>
      </c>
      <c r="AA132" s="184" t="inlineStr">
        <is>
          <t>Dispakan</t>
        </is>
      </c>
      <c r="AB132" s="178" t="inlineStr">
        <is>
          <t>SRINIDIYANTI MISRUN SP</t>
        </is>
      </c>
      <c r="AC132" s="178" t="n">
        <v>85297499630</v>
      </c>
      <c r="AD132" s="178" t="inlineStr">
        <is>
          <t>srinidiyanti1988@gmail.com</t>
        </is>
      </c>
      <c r="AE132" s="288" t="n"/>
      <c r="AF132" s="288" t="n"/>
      <c r="AG132" s="216" t="inlineStr">
        <is>
          <t>DISPAKAN</t>
        </is>
      </c>
      <c r="AH132" s="284" t="n"/>
      <c r="AI132" s="284" t="n"/>
      <c r="AJ132" s="284" t="n"/>
      <c r="AK132" s="284" t="n"/>
      <c r="AL132" s="284" t="n"/>
      <c r="AM132" s="284" t="n"/>
      <c r="AN132" s="284" t="n"/>
      <c r="AO132" s="284" t="n"/>
      <c r="AP132" s="284" t="n"/>
      <c r="AQ132" s="284" t="n"/>
      <c r="AR132" s="284" t="n"/>
    </row>
    <row r="133" hidden="1" s="346">
      <c r="A133" s="62" t="n">
        <v>131</v>
      </c>
      <c r="B133" s="178" t="inlineStr">
        <is>
          <t>Layanan Pendataan dan Informasi Kebudayaan</t>
        </is>
      </c>
      <c r="C133" s="178" t="inlineStr">
        <is>
          <t>Layanan ini menyediakan berbagai data kebudayaan yang dibutuhkan, dimana bentuk layanannya meliputi:
 a. Informasi Data Lembaga Kebudayaan
 b. Informasi Data Pelaku Seni dan Budaya
 c. Informasi Data Warisan Budaya
 d. Pendataan Objek Pemajuan Kebudayaan (OPK)
 e. Pendataan Objek Diduga Cagar Budaya (ODCB)</t>
        </is>
      </c>
      <c r="D133" s="178" t="inlineStr">
        <is>
          <t>Undang-Undang Nomor 11 tahun 2010 tentang Cagar Budaya
 Undang-Undang Nomor 5 tahun 2017 tentang Pemajuan Kebudayaan
 Perda Kabupaten Bandung Nomor 5 tahun 2021 tentang Penyelenggaraan Pemajuan Kebudayaan Daerah</t>
        </is>
      </c>
      <c r="E133" s="178" t="inlineStr">
        <is>
          <t>Tersedia</t>
        </is>
      </c>
      <c r="F133" s="184" t="inlineStr">
        <is>
          <t>PENGELOLAAN PROGRAM KEBUDAYAAN</t>
        </is>
      </c>
      <c r="G133" s="184" t="inlineStr">
        <is>
          <t>Masyarakat</t>
        </is>
      </c>
      <c r="H133" s="184" t="inlineStr">
        <is>
          <t>Data Kebudayaan</t>
        </is>
      </c>
      <c r="I133" s="178" t="inlineStr">
        <is>
          <t>Data dan informasi Kebudayaan</t>
        </is>
      </c>
      <c r="J133" s="184" t="inlineStr">
        <is>
          <t>Terbuka</t>
        </is>
      </c>
      <c r="K133" s="184" t="inlineStr">
        <is>
          <t>Terdapat</t>
        </is>
      </c>
      <c r="L133" s="184" t="inlineStr">
        <is>
          <t>Tahunan</t>
        </is>
      </c>
      <c r="M133" s="184" t="inlineStr">
        <is>
          <t>Parbud Dalam Angka</t>
        </is>
      </c>
      <c r="N133" s="184" t="inlineStr">
        <is>
          <t>Provinsi</t>
        </is>
      </c>
      <c r="O133" s="184" t="inlineStr">
        <is>
          <t>Provinsi</t>
        </is>
      </c>
      <c r="P133" s="184" t="inlineStr">
        <is>
          <t>Website</t>
        </is>
      </c>
      <c r="Q133" s="70" t="inlineStr">
        <is>
          <t>https://parbuddalamangka.jabarprov.go.id/</t>
        </is>
      </c>
      <c r="R133" s="184" t="inlineStr">
        <is>
          <t>Secara Online</t>
        </is>
      </c>
      <c r="S133" s="184" t="inlineStr">
        <is>
          <t>Informasi</t>
        </is>
      </c>
      <c r="T133" s="184" t="n">
        <v>2017</v>
      </c>
      <c r="U133" s="184" t="inlineStr">
        <is>
          <t>Aktif</t>
        </is>
      </c>
      <c r="V133" s="184" t="inlineStr">
        <is>
          <t>Tidak</t>
        </is>
      </c>
      <c r="W133" s="184" t="inlineStr">
        <is>
          <t>Tidak Terintegrasi</t>
        </is>
      </c>
      <c r="X133" s="184" t="inlineStr">
        <is>
          <t>Tidak Terintegrasi</t>
        </is>
      </c>
      <c r="Y133" s="184" t="inlineStr">
        <is>
          <t>Tidak Terintegrasi</t>
        </is>
      </c>
      <c r="Z133" s="184" t="inlineStr">
        <is>
          <t>Bidang Pengembangan Kebudayaan</t>
        </is>
      </c>
      <c r="AA133" s="184" t="inlineStr">
        <is>
          <t>Disbud</t>
        </is>
      </c>
      <c r="AB133" s="178" t="inlineStr">
        <is>
          <t>Angga Satria Nugraha, S.Hum</t>
        </is>
      </c>
      <c r="AC133" s="178" t="n">
        <v>82118147356</v>
      </c>
      <c r="AD133" s="178" t="inlineStr">
        <is>
          <t>buatg844@gmail.com</t>
        </is>
      </c>
      <c r="AE133" s="68" t="n">
        <v>18</v>
      </c>
      <c r="AF133" s="68" t="inlineStr">
        <is>
          <t>Bulanan</t>
        </is>
      </c>
      <c r="AG133" s="188" t="inlineStr">
        <is>
          <t>OPD</t>
        </is>
      </c>
      <c r="AH133" s="284" t="n"/>
      <c r="AI133" s="284" t="n"/>
      <c r="AJ133" s="284" t="n"/>
      <c r="AK133" s="284" t="n"/>
      <c r="AL133" s="284" t="n"/>
      <c r="AM133" s="284" t="n"/>
      <c r="AN133" s="284" t="n"/>
      <c r="AO133" s="284" t="n"/>
      <c r="AP133" s="284" t="n"/>
      <c r="AQ133" s="284" t="n"/>
      <c r="AR133" s="284" t="n"/>
    </row>
    <row r="134">
      <c r="A134" s="62" t="n">
        <v>132</v>
      </c>
      <c r="B134" s="178" t="inlineStr">
        <is>
          <t>Sistem Informasi Pengembangan dan Peningkatan UKM</t>
        </is>
      </c>
      <c r="C134" s="184" t="inlineStr">
        <is>
          <t>Sibangkitukm (Sistem informasi pengembangan dan peningkatan UKM) merupakan Media pemasaran digital bagi pelaku UKM untuk mempromosikan produk atau jasanya kepada masyarakat luas, serta membuka peluang kemitraan. Selain itu, sistem ini menyediakan fitur agenda kegiatan yang memuat jadwal pelatihan, sosialisasi, dan event terkait pemberdayaan UKM secara terstruktur. Tak hanya itu, sistem ini juga mendukung penerbitan surat keterangan UKM secara otomatis dan berbasis elektronik, guna memudahkan pelaku usaha dalam pengajuan HKI dan pembelian BBM bersubsidi untuk produksi.</t>
        </is>
      </c>
      <c r="D134" s="184" t="inlineStr">
        <is>
          <t>Peraturan Bupati Bandung Nomor 80 Tahun 2024 tentang Petunjuk pelaksanaan Perda Nomor 6 Tahun 2021 tentang Kemudahan, Pelindungan, dan Pemberdayaan Usaha Mikro.</t>
        </is>
      </c>
      <c r="E134" s="178" t="inlineStr">
        <is>
          <t>Belum tersedia</t>
        </is>
      </c>
      <c r="F134" s="184" t="inlineStr">
        <is>
          <t>PENGUATAN KEWIRAUSAHAAN DAN INDUSTRI KECIL DAN MENENGAH</t>
        </is>
      </c>
      <c r="G134" s="184" t="inlineStr">
        <is>
          <t>Masyarakat</t>
        </is>
      </c>
      <c r="H134" s="184" t="inlineStr">
        <is>
          <t>Data Pelaku Usaha, Data Pengguna, Data Agenda Kegiatan</t>
        </is>
      </c>
      <c r="I134" s="184" t="inlineStr">
        <is>
          <t>Data penerbitan Surat Keterangan UKM</t>
        </is>
      </c>
      <c r="J134" s="184" t="inlineStr">
        <is>
          <t>Terbatas</t>
        </is>
      </c>
      <c r="K134" s="184" t="inlineStr">
        <is>
          <t>Terdapat</t>
        </is>
      </c>
      <c r="L134" s="184" t="inlineStr">
        <is>
          <t>Lainnya</t>
        </is>
      </c>
      <c r="M134" s="184" t="inlineStr">
        <is>
          <t>Sibangkitukm</t>
        </is>
      </c>
      <c r="N134" s="184" t="inlineStr">
        <is>
          <t>OPD</t>
        </is>
      </c>
      <c r="O134" s="184" t="inlineStr">
        <is>
          <t>Kab. Bandung</t>
        </is>
      </c>
      <c r="P134" s="184" t="inlineStr">
        <is>
          <t>Website</t>
        </is>
      </c>
      <c r="Q134" s="70" t="inlineStr">
        <is>
          <t>https://sibangkitukm.bandungkab.go.id</t>
        </is>
      </c>
      <c r="R134" s="184" t="inlineStr">
        <is>
          <t>Secara Online</t>
        </is>
      </c>
      <c r="S134" s="184" t="inlineStr">
        <is>
          <t>Transaksi</t>
        </is>
      </c>
      <c r="T134" s="184" t="n">
        <v>2021</v>
      </c>
      <c r="U134" s="184" t="inlineStr">
        <is>
          <t>Aktif</t>
        </is>
      </c>
      <c r="V134" s="184" t="inlineStr">
        <is>
          <t>Ya</t>
        </is>
      </c>
      <c r="W134" s="184" t="inlineStr">
        <is>
          <t>Bandung Digital Services</t>
        </is>
      </c>
      <c r="X134" s="184" t="inlineStr">
        <is>
          <t>Web Service</t>
        </is>
      </c>
      <c r="Y134" s="184" t="inlineStr">
        <is>
          <t>Realtime</t>
        </is>
      </c>
      <c r="Z134" s="184" t="inlineStr">
        <is>
          <t>Bidang Pemberdayaan dan Pengembangan Usaha Mikro</t>
        </is>
      </c>
      <c r="AA134" s="184" t="inlineStr">
        <is>
          <t>DISKOP-UKM</t>
        </is>
      </c>
      <c r="AB134" s="131" t="inlineStr">
        <is>
          <t>Anne Rahmawati, S.Sos., M.Si</t>
        </is>
      </c>
      <c r="AC134" s="178" t="n">
        <v>81214589147</v>
      </c>
      <c r="AD134" s="178" t="inlineStr">
        <is>
          <t>diskopukm@bandungkab.go.id</t>
        </is>
      </c>
      <c r="AE134" s="68" t="inlineStr">
        <is>
          <t>19, 20, 24</t>
        </is>
      </c>
      <c r="AF134" s="68" t="inlineStr">
        <is>
          <t>Harian</t>
        </is>
      </c>
      <c r="AG134" s="188" t="inlineStr">
        <is>
          <t>OPD dan Masyarakat</t>
        </is>
      </c>
      <c r="AH134" s="284" t="n"/>
      <c r="AI134" s="284" t="n"/>
      <c r="AJ134" s="284" t="n"/>
      <c r="AK134" s="284" t="n"/>
      <c r="AL134" s="284" t="n"/>
      <c r="AM134" s="284" t="n"/>
      <c r="AN134" s="284" t="n"/>
      <c r="AO134" s="284" t="n"/>
      <c r="AP134" s="284" t="n"/>
      <c r="AQ134" s="284" t="n"/>
      <c r="AR134" s="284" t="n"/>
    </row>
    <row r="135">
      <c r="A135" s="62" t="n">
        <v>133</v>
      </c>
      <c r="B135" s="189" t="inlineStr">
        <is>
          <t>Sistem Informasi Koperasi Terintegrasi Berdaya Saing</t>
        </is>
      </c>
      <c r="C135" s="68" t="inlineStr">
        <is>
          <t>SIKOPER BEDAS (Sistem Informasi Koperasi Terintegrasi Berdaya Saing) adalah platform digital yang dikembangkan oleh Dinas Koperasi dan UKM Kabupaten Bandung untuk meningkatkan pengelolaan koperasi secara transparan dan efisien. Sistem ini mengintegrasikan berbagai fungsi mulai dari pendataan kelembagaan koperasi, penilaian kesehatan koperasi, pengawasan, hingga pembinaan. Dengan SIKOPER BEDAS, informasi tentang koperasi dapat diakses secara real-time oleh petugas dan pimpinan, mendukung pengambilan keputusan yang berbasis data, meningkatkan akuntabilitas, dan mendorong koperasi agar lebih berdaya saing.</t>
        </is>
      </c>
      <c r="D135" s="178" t="inlineStr">
        <is>
          <t>Peraturan Menteri Koperasi dan Usaha Kecil dan Menengah Nomor 9 Tahun 2020 tentang Pengawasan Koperasi.</t>
        </is>
      </c>
      <c r="E135" s="178" t="inlineStr">
        <is>
          <t>Belum tersedia</t>
        </is>
      </c>
      <c r="F135" s="184" t="inlineStr">
        <is>
          <t>PENGAWASAN KOPERASI</t>
        </is>
      </c>
      <c r="G135" s="184" t="inlineStr">
        <is>
          <t>Masyarakat</t>
        </is>
      </c>
      <c r="H135" s="184" t="inlineStr">
        <is>
          <t>Data Koperasi</t>
        </is>
      </c>
      <c r="I135" s="178" t="inlineStr">
        <is>
          <t>Data hasil Pemeriksaan Kesehatan Koperasi</t>
        </is>
      </c>
      <c r="J135" s="184" t="inlineStr">
        <is>
          <t>Tertutup</t>
        </is>
      </c>
      <c r="K135" s="184" t="inlineStr">
        <is>
          <t>Terdapat</t>
        </is>
      </c>
      <c r="L135" s="184" t="inlineStr">
        <is>
          <t>Lainnya</t>
        </is>
      </c>
      <c r="M135" s="184" t="inlineStr">
        <is>
          <t>Sikoper</t>
        </is>
      </c>
      <c r="N135" s="184" t="inlineStr">
        <is>
          <t>OPD</t>
        </is>
      </c>
      <c r="O135" s="184" t="inlineStr">
        <is>
          <t>Kab. Bandung</t>
        </is>
      </c>
      <c r="P135" s="184" t="inlineStr">
        <is>
          <t>Website</t>
        </is>
      </c>
      <c r="Q135" s="70" t="inlineStr">
        <is>
          <t>https://sikoperbedas.bandungkab.go.id/</t>
        </is>
      </c>
      <c r="R135" s="184" t="inlineStr">
        <is>
          <t>Secara Online</t>
        </is>
      </c>
      <c r="S135" s="184" t="inlineStr">
        <is>
          <t>Transaksi</t>
        </is>
      </c>
      <c r="T135" s="184" t="n">
        <v>2025</v>
      </c>
      <c r="U135" s="184" t="inlineStr">
        <is>
          <t>Aktif</t>
        </is>
      </c>
      <c r="V135" s="184" t="inlineStr">
        <is>
          <t>Tidak</t>
        </is>
      </c>
      <c r="W135" s="184" t="inlineStr">
        <is>
          <t>Tidak Terintegrasi</t>
        </is>
      </c>
      <c r="X135" s="184" t="inlineStr">
        <is>
          <t>Tidak Terintegrasi</t>
        </is>
      </c>
      <c r="Y135" s="184" t="inlineStr">
        <is>
          <t>Tidak Terintegrasi</t>
        </is>
      </c>
      <c r="Z135" s="184" t="inlineStr">
        <is>
          <t>Bidang Pengawasan dan Pemeriksaan Koperasi</t>
        </is>
      </c>
      <c r="AA135" s="184" t="inlineStr">
        <is>
          <t>DISKOP-UKM</t>
        </is>
      </c>
      <c r="AB135" s="178" t="inlineStr">
        <is>
          <t>HEINTJE HERLANDO, SE</t>
        </is>
      </c>
      <c r="AC135" s="178" t="n">
        <v>85724376051</v>
      </c>
      <c r="AD135" s="178" t="inlineStr">
        <is>
          <t>diskopukm@bandungkab.go.id</t>
        </is>
      </c>
      <c r="AE135" s="68" t="n">
        <v>19</v>
      </c>
      <c r="AF135" s="68" t="inlineStr">
        <is>
          <t>Harian</t>
        </is>
      </c>
      <c r="AG135" s="188" t="inlineStr">
        <is>
          <t>OPD</t>
        </is>
      </c>
      <c r="AH135" s="284" t="n"/>
      <c r="AI135" s="284" t="n"/>
      <c r="AJ135" s="284" t="n"/>
      <c r="AK135" s="284" t="n"/>
      <c r="AL135" s="284" t="n"/>
      <c r="AM135" s="284" t="n"/>
      <c r="AN135" s="284" t="n"/>
      <c r="AO135" s="284" t="n"/>
      <c r="AP135" s="284" t="n"/>
      <c r="AQ135" s="284" t="n"/>
      <c r="AR135" s="284" t="n"/>
    </row>
    <row r="136">
      <c r="A136" s="62" t="n">
        <v>134</v>
      </c>
      <c r="B136" s="178" t="inlineStr">
        <is>
          <t>Sistem Informasi Monitoring Pinjaman Dana Bergulir BEDAS</t>
        </is>
      </c>
      <c r="C136" s="178" t="inlineStr">
        <is>
          <t>Simanjur BEDAS (Sistem Informasi Monitoring Pinjaman Dana Bergulir BEDAS), merupakan sistem informasi untuk memonitoring Program Dana Bergulir Tanpa Bunga dan Jaminan, program yang hadir untuk membantu para pelaku usaha mikro di Kabupaten Bandung agar bisa mengembangkan usaha dan bisnis UMKM, sekaligus terhindar dari jeratan bank emok dan pinjol yang semakin marak. Program ini menyediakan akses modal usaha dengan proses pengajuan yang lebih mudah, tanpa memerlukan agunan, serta bebas dari bunga pinjaman. Dengan demikian, pengusaha kecil yang membutuhkan modal dapat lebih mudah mengakses pendanaan.</t>
        </is>
      </c>
      <c r="D136" s="178" t="inlineStr">
        <is>
          <t>Peraturan Daerah Kabupaten Bandung Nomor 16 Tahun 2025 tentang Penyertaan Modal Non Permanen Berupa Pemberian Pinjaman Dana Bergulir Kepada Masyarakat Melalui Lembaga Keuangan Bank</t>
        </is>
      </c>
      <c r="E136" s="178" t="inlineStr">
        <is>
          <t>Belum tersedia</t>
        </is>
      </c>
      <c r="F136" s="184" t="inlineStr">
        <is>
          <t>USAHA MIKRO</t>
        </is>
      </c>
      <c r="G136" s="184" t="inlineStr">
        <is>
          <t>Pegawai</t>
        </is>
      </c>
      <c r="H136" s="184" t="inlineStr">
        <is>
          <t>Data Pelaku Usaha yang mengikuti Program Dana Bergulir</t>
        </is>
      </c>
      <c r="I136" s="184" t="inlineStr">
        <is>
          <t>Data Pelaku Usaha yang mengikuti Program Dana Bergulir</t>
        </is>
      </c>
      <c r="J136" s="184" t="inlineStr">
        <is>
          <t>Terbatas</t>
        </is>
      </c>
      <c r="K136" s="184" t="inlineStr">
        <is>
          <t>Terdapat</t>
        </is>
      </c>
      <c r="L136" s="184" t="inlineStr">
        <is>
          <t>Lainnya</t>
        </is>
      </c>
      <c r="M136" s="184" t="inlineStr">
        <is>
          <t>Simanjur BEDAS</t>
        </is>
      </c>
      <c r="N136" s="184" t="inlineStr">
        <is>
          <t>OPD</t>
        </is>
      </c>
      <c r="O136" s="184" t="inlineStr">
        <is>
          <t>Kab. Bandung</t>
        </is>
      </c>
      <c r="P136" s="184" t="inlineStr">
        <is>
          <t>Website</t>
        </is>
      </c>
      <c r="Q136" s="70" t="inlineStr">
        <is>
          <t>https://usahamikro.bandungkab.go.id/</t>
        </is>
      </c>
      <c r="R136" s="184" t="inlineStr">
        <is>
          <t>Secara Online</t>
        </is>
      </c>
      <c r="S136" s="184" t="inlineStr">
        <is>
          <t>Informasi</t>
        </is>
      </c>
      <c r="T136" s="184" t="n">
        <v>2023</v>
      </c>
      <c r="U136" s="184" t="inlineStr">
        <is>
          <t>Aktif</t>
        </is>
      </c>
      <c r="V136" s="184" t="inlineStr">
        <is>
          <t>Ya</t>
        </is>
      </c>
      <c r="W136" s="184" t="inlineStr">
        <is>
          <t>Bandung Digital Services</t>
        </is>
      </c>
      <c r="X136" s="184" t="inlineStr">
        <is>
          <t>Web Service</t>
        </is>
      </c>
      <c r="Y136" s="184" t="inlineStr">
        <is>
          <t>Realtime</t>
        </is>
      </c>
      <c r="Z136" s="184" t="inlineStr">
        <is>
          <t>Bidang Pemberdayaan dan Pengembangan Usaha Mikro</t>
        </is>
      </c>
      <c r="AA136" s="184" t="inlineStr">
        <is>
          <t>DISKOP-UKM</t>
        </is>
      </c>
      <c r="AB136" s="131" t="inlineStr">
        <is>
          <t>Anne Rahmawati, S.Sos., M.Si</t>
        </is>
      </c>
      <c r="AC136" s="178" t="n">
        <v>81214589147</v>
      </c>
      <c r="AD136" s="178" t="inlineStr">
        <is>
          <t>diskopukm@bandungkab.go.id</t>
        </is>
      </c>
      <c r="AE136" s="68" t="n">
        <v>23</v>
      </c>
      <c r="AF136" s="68" t="inlineStr">
        <is>
          <t>Harian</t>
        </is>
      </c>
      <c r="AG136" s="188" t="inlineStr">
        <is>
          <t>OPD</t>
        </is>
      </c>
      <c r="AH136" s="284" t="n"/>
      <c r="AI136" s="284" t="n"/>
      <c r="AJ136" s="284" t="n"/>
      <c r="AK136" s="284" t="n"/>
      <c r="AL136" s="284" t="n"/>
      <c r="AM136" s="284" t="n"/>
      <c r="AN136" s="284" t="n"/>
      <c r="AO136" s="284" t="n"/>
      <c r="AP136" s="284" t="n"/>
      <c r="AQ136" s="284" t="n"/>
      <c r="AR136" s="284" t="n"/>
    </row>
    <row r="137">
      <c r="A137" s="62" t="n">
        <v>135</v>
      </c>
      <c r="B137" s="178" t="inlineStr">
        <is>
          <t>Layanan Perpustakaan keliling</t>
        </is>
      </c>
      <c r="C137" s="178" t="inlineStr">
        <is>
          <t>Meningkatkan akses masyarakat terhadap bahan bacaan di berbagai lokasi.</t>
        </is>
      </c>
      <c r="D137" s="178" t="inlineStr">
        <is>
          <t>UU No. 43 Tahun 2007 tentang Perpustakaan : Pasal 22 keseluruhan mengatur tentang “Perpustakaan Umum” yang diselenggarakan oleh berbagai tingkatan pemerintahan dan menyebutkan kewajiban untuk memberikan layanan keliling</t>
        </is>
      </c>
      <c r="E137" s="70" t="inlineStr">
        <is>
          <t>https://drive.google.com/file/d/1xLGvVqyQdJTXp_gTo9XoOeAPrmSfoy_q/view?usp=sharing</t>
        </is>
      </c>
      <c r="F137" s="184" t="inlineStr">
        <is>
          <t>PENINGKATAN KUALITAS PELAYANAN PUBLIK</t>
        </is>
      </c>
      <c r="G137" s="184" t="inlineStr">
        <is>
          <t>Masyarakat</t>
        </is>
      </c>
      <c r="H137" s="288" t="n"/>
      <c r="I137" s="178" t="inlineStr">
        <is>
          <t>Data Pengunjung Perpustakaan Keliling</t>
        </is>
      </c>
      <c r="J137" s="184" t="inlineStr">
        <is>
          <t>Terbuka</t>
        </is>
      </c>
      <c r="K137" s="184" t="inlineStr">
        <is>
          <t>Tidak terdapat</t>
        </is>
      </c>
      <c r="L137" s="184" t="inlineStr">
        <is>
          <t>Mingguan</t>
        </is>
      </c>
      <c r="M137" s="184" t="inlineStr">
        <is>
          <t>iBandungKab</t>
        </is>
      </c>
      <c r="N137" s="184" t="inlineStr">
        <is>
          <t>Pihak Ke 3</t>
        </is>
      </c>
      <c r="O137" s="184" t="inlineStr">
        <is>
          <t>Kab. Bandung</t>
        </is>
      </c>
      <c r="P137" s="184" t="inlineStr">
        <is>
          <t>Website dan Mobile</t>
        </is>
      </c>
      <c r="Q137" s="70" t="inlineStr">
        <is>
          <t>https://ibandungkab.moco.co.id/</t>
        </is>
      </c>
      <c r="R137" s="184" t="inlineStr">
        <is>
          <t>Secara Online</t>
        </is>
      </c>
      <c r="S137" s="184" t="inlineStr">
        <is>
          <t>Informasi</t>
        </is>
      </c>
      <c r="T137" s="184" t="n">
        <v>2018</v>
      </c>
      <c r="U137" s="184" t="inlineStr">
        <is>
          <t>Aktif</t>
        </is>
      </c>
      <c r="V137" s="184" t="inlineStr">
        <is>
          <t>Tidak</t>
        </is>
      </c>
      <c r="W137" s="184" t="inlineStr">
        <is>
          <t>Tidak Terintegrasi</t>
        </is>
      </c>
      <c r="X137" s="184" t="inlineStr">
        <is>
          <t>Tidak Terintegrasi</t>
        </is>
      </c>
      <c r="Y137" s="184" t="inlineStr">
        <is>
          <t>Tidak Terintegrasi</t>
        </is>
      </c>
      <c r="Z137" s="184" t="inlineStr">
        <is>
          <t>Bidang Pengelolaan Perpustakaan</t>
        </is>
      </c>
      <c r="AA137" s="184" t="inlineStr">
        <is>
          <t>Dispusip</t>
        </is>
      </c>
      <c r="AB137" s="70" t="inlineStr">
        <is>
          <t>Rizal Mulki Farhan, A.Ma.Pust.</t>
        </is>
      </c>
      <c r="AC137" s="178" t="n">
        <v>85607626507</v>
      </c>
      <c r="AD137" s="178" t="inlineStr">
        <is>
          <t>perpust.kabbdg@gmail.com</t>
        </is>
      </c>
      <c r="AE137" s="288" t="n"/>
      <c r="AF137" s="288" t="n"/>
      <c r="AG137" s="284" t="n"/>
      <c r="AH137" s="284" t="n"/>
      <c r="AI137" s="284" t="n"/>
      <c r="AJ137" s="284" t="n"/>
      <c r="AK137" s="284" t="n"/>
      <c r="AL137" s="284" t="n"/>
      <c r="AM137" s="284" t="n"/>
      <c r="AN137" s="284" t="n"/>
      <c r="AO137" s="284" t="n"/>
      <c r="AP137" s="284" t="n"/>
      <c r="AQ137" s="284" t="n"/>
      <c r="AR137" s="284" t="n"/>
    </row>
    <row r="138" hidden="1" s="346">
      <c r="A138" s="62" t="n">
        <v>136</v>
      </c>
      <c r="B138" s="178" t="inlineStr">
        <is>
          <t>Layanan Pendaftaran Member Perpustakaan Online</t>
        </is>
      </c>
      <c r="C138" s="178" t="inlineStr">
        <is>
          <t>Memfasilitasi masyarakat untuk menjadi anggota perpustakaan secara online.</t>
        </is>
      </c>
      <c r="D138" s="178" t="inlineStr">
        <is>
          <t>Undang-Undang Nomor 43 Tahun 2007 tentang Perpustakaan : Pasal 5 ayat (1) huruf g</t>
        </is>
      </c>
      <c r="E138" s="70" t="inlineStr">
        <is>
          <t>https://drive.google.com/file/d/1FL4agfMs9a3tAmDlzxiGL6UA1alZs_Er/view?usp=sharing</t>
        </is>
      </c>
      <c r="F138" s="184" t="inlineStr">
        <is>
          <t>PENINGKATAN KUALITAS PELAYANAN PUBLIK</t>
        </is>
      </c>
      <c r="G138" s="184" t="inlineStr">
        <is>
          <t>Masyarakat</t>
        </is>
      </c>
      <c r="H138" s="184" t="inlineStr">
        <is>
          <t>Data Pengguna</t>
        </is>
      </c>
      <c r="I138" s="178" t="inlineStr">
        <is>
          <t>Data Member Perpustakaan</t>
        </is>
      </c>
      <c r="J138" s="184" t="inlineStr">
        <is>
          <t>Tertutup</t>
        </is>
      </c>
      <c r="K138" s="184" t="inlineStr">
        <is>
          <t>Terdapat</t>
        </is>
      </c>
      <c r="L138" s="184" t="inlineStr">
        <is>
          <t>Harian</t>
        </is>
      </c>
      <c r="M138" s="184" t="inlineStr">
        <is>
          <t>Inlislite</t>
        </is>
      </c>
      <c r="N138" s="184" t="inlineStr">
        <is>
          <t>Pusat</t>
        </is>
      </c>
      <c r="O138" s="184" t="inlineStr">
        <is>
          <t>Pusat</t>
        </is>
      </c>
      <c r="P138" s="184" t="inlineStr">
        <is>
          <t>Website</t>
        </is>
      </c>
      <c r="Q138" s="70" t="inlineStr">
        <is>
          <t>https://perpus.bandungkab.go.id/pendaftaran</t>
        </is>
      </c>
      <c r="R138" s="184" t="inlineStr">
        <is>
          <t>Secara Online</t>
        </is>
      </c>
      <c r="S138" s="184" t="inlineStr">
        <is>
          <t>Transaksi</t>
        </is>
      </c>
      <c r="T138" s="98" t="n">
        <v>2013</v>
      </c>
      <c r="U138" s="184" t="inlineStr">
        <is>
          <t>Aktif</t>
        </is>
      </c>
      <c r="V138" s="184" t="inlineStr">
        <is>
          <t>Tidak</t>
        </is>
      </c>
      <c r="W138" s="184" t="inlineStr">
        <is>
          <t>Tidak Terintegrasi</t>
        </is>
      </c>
      <c r="X138" s="184" t="inlineStr">
        <is>
          <t>Tidak Terintegrasi</t>
        </is>
      </c>
      <c r="Y138" s="184" t="inlineStr">
        <is>
          <t>Tidak Terintegrasi</t>
        </is>
      </c>
      <c r="Z138" s="184" t="inlineStr">
        <is>
          <t>Bidang Pengelolaan Perpustakaan</t>
        </is>
      </c>
      <c r="AA138" s="184" t="inlineStr">
        <is>
          <t>Dispusip</t>
        </is>
      </c>
      <c r="AB138" s="178" t="inlineStr">
        <is>
          <t>Reiyaldi Budi Wiguna</t>
        </is>
      </c>
      <c r="AC138" s="178" t="n">
        <v>81903169517</v>
      </c>
      <c r="AD138" s="178" t="inlineStr">
        <is>
          <t>bidangpp27@gmail.com</t>
        </is>
      </c>
      <c r="AE138" s="288" t="n"/>
      <c r="AF138" s="288" t="n"/>
      <c r="AG138" s="284" t="n"/>
      <c r="AH138" s="284" t="n"/>
      <c r="AI138" s="284" t="n"/>
      <c r="AJ138" s="284" t="n"/>
      <c r="AK138" s="284" t="n"/>
      <c r="AL138" s="284" t="n"/>
      <c r="AM138" s="284" t="n"/>
      <c r="AN138" s="284" t="n"/>
      <c r="AO138" s="284" t="n"/>
      <c r="AP138" s="284" t="n"/>
      <c r="AQ138" s="284" t="n"/>
      <c r="AR138" s="284" t="n"/>
    </row>
    <row r="139" hidden="1" s="346">
      <c r="A139" s="62" t="n">
        <v>137</v>
      </c>
      <c r="B139" s="178" t="inlineStr">
        <is>
          <t>Layanan Kearsipan Statis</t>
        </is>
      </c>
      <c r="C139" s="178" t="inlineStr">
        <is>
          <t>Menyediakan layanan penyimpanan dan pemeliharaan arsip statis.</t>
        </is>
      </c>
      <c r="D139" s="178" t="inlineStr">
        <is>
          <t>Undang Undang Nomor 43 Tahun 2009 tentang Kearsipan</t>
        </is>
      </c>
      <c r="E139" s="288" t="n"/>
      <c r="F139" s="184" t="inlineStr">
        <is>
          <t>PENINGKATAN KUALITAS PELAYANAN PUBLIK</t>
        </is>
      </c>
      <c r="G139" s="184" t="inlineStr">
        <is>
          <t>Masyarakat</t>
        </is>
      </c>
      <c r="H139" s="288" t="n"/>
      <c r="I139" s="178" t="inlineStr">
        <is>
          <t>Data Kearsipan Statis</t>
        </is>
      </c>
      <c r="J139" s="184" t="inlineStr">
        <is>
          <t>Terbuka</t>
        </is>
      </c>
      <c r="K139" s="184" t="inlineStr">
        <is>
          <t>Tidak terdapat</t>
        </is>
      </c>
      <c r="L139" s="184" t="inlineStr">
        <is>
          <t>Tahunan</t>
        </is>
      </c>
      <c r="M139" s="184" t="inlineStr">
        <is>
          <t>SIKN</t>
        </is>
      </c>
      <c r="N139" s="184" t="inlineStr">
        <is>
          <t>Pusat</t>
        </is>
      </c>
      <c r="O139" s="184" t="inlineStr">
        <is>
          <t>Pusat</t>
        </is>
      </c>
      <c r="P139" s="184" t="inlineStr">
        <is>
          <t>Website</t>
        </is>
      </c>
      <c r="Q139" s="70" t="inlineStr">
        <is>
          <t>sikn.anri.go.id</t>
        </is>
      </c>
      <c r="R139" s="184" t="inlineStr">
        <is>
          <t>Secara Online</t>
        </is>
      </c>
      <c r="S139" s="184" t="inlineStr">
        <is>
          <t>Informasi</t>
        </is>
      </c>
      <c r="T139" s="98" t="n">
        <v>2017</v>
      </c>
      <c r="U139" s="184" t="inlineStr">
        <is>
          <t>Aktif</t>
        </is>
      </c>
      <c r="V139" s="184" t="inlineStr">
        <is>
          <t>Tidak</t>
        </is>
      </c>
      <c r="W139" s="288" t="n"/>
      <c r="X139" s="288" t="n"/>
      <c r="Y139" s="288" t="n"/>
      <c r="Z139" s="184" t="inlineStr">
        <is>
          <t>Bidang Perlindungan dan Penyelamatan Arsip</t>
        </is>
      </c>
      <c r="AA139" s="184" t="inlineStr">
        <is>
          <t>Dispusip</t>
        </is>
      </c>
      <c r="AB139" s="178" t="inlineStr">
        <is>
          <t>Dewi Hastuti</t>
        </is>
      </c>
      <c r="AC139" s="98" t="n">
        <v>8131192289</v>
      </c>
      <c r="AD139" s="288" t="n"/>
      <c r="AE139" s="288" t="n"/>
      <c r="AF139" s="67" t="inlineStr">
        <is>
          <t>Harian</t>
        </is>
      </c>
      <c r="AG139" s="284" t="n"/>
      <c r="AH139" s="284" t="n"/>
      <c r="AI139" s="284" t="n"/>
      <c r="AJ139" s="284" t="n"/>
      <c r="AK139" s="284" t="n"/>
      <c r="AL139" s="284" t="n"/>
      <c r="AM139" s="284" t="n"/>
      <c r="AN139" s="284" t="n"/>
      <c r="AO139" s="284" t="n"/>
      <c r="AP139" s="284" t="n"/>
      <c r="AQ139" s="284" t="n"/>
      <c r="AR139" s="284" t="n"/>
    </row>
    <row r="140">
      <c r="A140" s="62" t="n">
        <v>138</v>
      </c>
      <c r="B140" s="178" t="inlineStr">
        <is>
          <t>Layanan Kearsipan Dinamis</t>
        </is>
      </c>
      <c r="C140" s="178" t="inlineStr">
        <is>
          <t>Menyediakan layanan pengelolaan arsip yang aktif dan mudah diakses.</t>
        </is>
      </c>
      <c r="D140" s="178" t="inlineStr">
        <is>
          <t>Undang Undang Nomor 43 Tahun 2009 tentang Kearsipan</t>
        </is>
      </c>
      <c r="E140" s="288" t="n"/>
      <c r="F140" s="184" t="inlineStr">
        <is>
          <t>PENINGKATAN KUALITAS PELAYANAN PUBLIK</t>
        </is>
      </c>
      <c r="G140" s="184" t="inlineStr">
        <is>
          <t>Masyarakat</t>
        </is>
      </c>
      <c r="H140" s="288" t="n"/>
      <c r="I140" s="178" t="inlineStr">
        <is>
          <t>Data Kearsipan Dinamis</t>
        </is>
      </c>
      <c r="J140" s="184" t="inlineStr">
        <is>
          <t>Terbuka</t>
        </is>
      </c>
      <c r="K140" s="184" t="inlineStr">
        <is>
          <t>Tidak terdapat</t>
        </is>
      </c>
      <c r="L140" s="184" t="inlineStr">
        <is>
          <t>Tahunan</t>
        </is>
      </c>
      <c r="M140" s="184" t="inlineStr">
        <is>
          <t>SRIKANDI</t>
        </is>
      </c>
      <c r="N140" s="184" t="inlineStr">
        <is>
          <t>OPD</t>
        </is>
      </c>
      <c r="O140" s="184" t="inlineStr">
        <is>
          <t>Kab. Bandung</t>
        </is>
      </c>
      <c r="P140" s="184" t="inlineStr">
        <is>
          <t>Desktop</t>
        </is>
      </c>
      <c r="Q140" s="70" t="inlineStr">
        <is>
          <t>srikandi.arsip.go.id</t>
        </is>
      </c>
      <c r="R140" s="184" t="inlineStr">
        <is>
          <t>Secara Online</t>
        </is>
      </c>
      <c r="S140" s="184" t="inlineStr">
        <is>
          <t>Informasi</t>
        </is>
      </c>
      <c r="T140" s="98" t="n">
        <v>2022</v>
      </c>
      <c r="U140" s="184" t="inlineStr">
        <is>
          <t>Aktif</t>
        </is>
      </c>
      <c r="V140" s="184" t="inlineStr">
        <is>
          <t>Tidak</t>
        </is>
      </c>
      <c r="W140" s="288" t="n"/>
      <c r="X140" s="288" t="n"/>
      <c r="Y140" s="288" t="n"/>
      <c r="Z140" s="184" t="inlineStr">
        <is>
          <t>Bidang Pengelolaan Arsip</t>
        </is>
      </c>
      <c r="AA140" s="184" t="inlineStr">
        <is>
          <t>Dispusip</t>
        </is>
      </c>
      <c r="AB140" s="178" t="inlineStr">
        <is>
          <t>Endang Wahyudi</t>
        </is>
      </c>
      <c r="AC140" s="98" t="n">
        <v>82219151878</v>
      </c>
      <c r="AD140" s="288" t="n"/>
      <c r="AE140" s="288" t="n"/>
      <c r="AF140" s="67" t="inlineStr">
        <is>
          <t>Harian</t>
        </is>
      </c>
      <c r="AG140" s="284" t="n"/>
      <c r="AH140" s="284" t="n"/>
      <c r="AI140" s="284" t="n"/>
      <c r="AJ140" s="284" t="n"/>
      <c r="AK140" s="284" t="n"/>
      <c r="AL140" s="284" t="n"/>
      <c r="AM140" s="284" t="n"/>
      <c r="AN140" s="284" t="n"/>
      <c r="AO140" s="284" t="n"/>
      <c r="AP140" s="284" t="n"/>
      <c r="AQ140" s="284" t="n"/>
      <c r="AR140" s="284" t="n"/>
    </row>
    <row r="141" hidden="1" s="346">
      <c r="A141" s="62" t="n">
        <v>139</v>
      </c>
      <c r="B141" s="178" t="inlineStr">
        <is>
          <t>Layanan Pojok Baca Digital</t>
        </is>
      </c>
      <c r="C141" s="178" t="inlineStr">
        <is>
          <t>Memberikan akses masyarakat terhadap bahan bacaan digital di suatu tempat tertentu.</t>
        </is>
      </c>
      <c r="D141" s="178" t="inlineStr">
        <is>
          <t>Perda Nomor 9 Tahun 2016 tentang Penyelenggaraan Perpustakaan</t>
        </is>
      </c>
      <c r="E141" s="184" t="inlineStr">
        <is>
          <t>-</t>
        </is>
      </c>
      <c r="F141" s="184" t="inlineStr">
        <is>
          <t>PENINGKATAN KUALITAS PELAYANAN PUBLIK</t>
        </is>
      </c>
      <c r="G141" s="184" t="inlineStr">
        <is>
          <t>Masyarakat</t>
        </is>
      </c>
      <c r="H141" s="288" t="n"/>
      <c r="I141" s="178" t="inlineStr">
        <is>
          <t>Data Pojok Baca Digital</t>
        </is>
      </c>
      <c r="J141" s="184" t="inlineStr">
        <is>
          <t>Tertutup</t>
        </is>
      </c>
      <c r="K141" s="184" t="inlineStr">
        <is>
          <t>Tidak terdapat</t>
        </is>
      </c>
      <c r="L141" s="184" t="inlineStr">
        <is>
          <t>Harian</t>
        </is>
      </c>
      <c r="M141" s="184" t="inlineStr">
        <is>
          <t>iPusnas</t>
        </is>
      </c>
      <c r="N141" s="184" t="inlineStr">
        <is>
          <t>Pusat</t>
        </is>
      </c>
      <c r="O141" s="184" t="inlineStr">
        <is>
          <t>Pusat</t>
        </is>
      </c>
      <c r="P141" s="184" t="inlineStr">
        <is>
          <t>Website dan Mobile</t>
        </is>
      </c>
      <c r="Q141" s="70" t="inlineStr">
        <is>
          <t>https://ipusnas2.perpusnas.go.id/login</t>
        </is>
      </c>
      <c r="R141" s="184" t="inlineStr">
        <is>
          <t>Secara Online</t>
        </is>
      </c>
      <c r="S141" s="184" t="inlineStr">
        <is>
          <t>Informasi</t>
        </is>
      </c>
      <c r="T141" s="184" t="n">
        <v>2016</v>
      </c>
      <c r="U141" s="184" t="inlineStr">
        <is>
          <t>Aktif</t>
        </is>
      </c>
      <c r="V141" s="184" t="inlineStr">
        <is>
          <t>Tidak</t>
        </is>
      </c>
      <c r="W141" s="184" t="inlineStr">
        <is>
          <t>Tidak Terintegrasi</t>
        </is>
      </c>
      <c r="X141" s="184" t="inlineStr">
        <is>
          <t>Tidak Terintegrasi</t>
        </is>
      </c>
      <c r="Y141" s="184" t="inlineStr">
        <is>
          <t>Tidak Terintegrasi</t>
        </is>
      </c>
      <c r="Z141" s="184" t="inlineStr">
        <is>
          <t>Bidang Pengelolaan Perpustakaan</t>
        </is>
      </c>
      <c r="AA141" s="184" t="inlineStr">
        <is>
          <t>Dispusip</t>
        </is>
      </c>
      <c r="AB141" s="178" t="inlineStr">
        <is>
          <t>Gugi Indra Ardiansyah</t>
        </is>
      </c>
      <c r="AC141" s="178" t="n">
        <v>89656240816</v>
      </c>
      <c r="AD141" s="178" t="inlineStr">
        <is>
          <t>perpust.kabbdg@gmail.com</t>
        </is>
      </c>
      <c r="AE141" s="288" t="n"/>
      <c r="AF141" s="288" t="n"/>
      <c r="AG141" s="284" t="n"/>
      <c r="AH141" s="284" t="n"/>
      <c r="AI141" s="284" t="n"/>
      <c r="AJ141" s="284" t="n"/>
      <c r="AK141" s="284" t="n"/>
      <c r="AL141" s="284" t="n"/>
      <c r="AM141" s="284" t="n"/>
      <c r="AN141" s="284" t="n"/>
      <c r="AO141" s="284" t="n"/>
      <c r="AP141" s="284" t="n"/>
      <c r="AQ141" s="284" t="n"/>
      <c r="AR141" s="284" t="n"/>
    </row>
    <row r="142">
      <c r="A142" s="62" t="n">
        <v>140</v>
      </c>
      <c r="B142" s="178" t="inlineStr">
        <is>
          <t>Laporan Kejadian Kebakaran</t>
        </is>
      </c>
      <c r="C142" s="178" t="inlineStr">
        <is>
          <t>Merupakan layanan untuk monitoring jumlah pelaporan dan progres penanganan kejadian kebakaran yang dilakukan oleh pasukan lapangan</t>
        </is>
      </c>
      <c r="D142" s="178" t="inlineStr">
        <is>
          <t>Permendagri 114/2028 tentang Standar Teknis Pelayanan Dasar pada Standar Pelayanan Minimal Sub Urusan Kebakaran Daerah Kabupaten/Kota</t>
        </is>
      </c>
      <c r="E142" s="70" t="inlineStr">
        <is>
          <t>https://drive.google.com/drive/folders/1Ejl6GsPadSWWZ-gXvbwNU62zsG4t_RcK?usp=drive_link</t>
        </is>
      </c>
      <c r="F142" s="184" t="inlineStr">
        <is>
          <t>PEMELIHARAAN KEAMANAN DAN KETERTIBAN MASYARAKAT</t>
        </is>
      </c>
      <c r="G142" s="184" t="inlineStr">
        <is>
          <t>Masyarakat</t>
        </is>
      </c>
      <c r="H142" s="184" t="inlineStr">
        <is>
          <t>Lokasi kejadian, Objek terbakar, Nama, No.HP, Dokumentasi kejadian, NIK</t>
        </is>
      </c>
      <c r="I142" s="178" t="inlineStr">
        <is>
          <t>Berita Acara Pelaporan (BAP) Kebakaran</t>
        </is>
      </c>
      <c r="J142" s="184" t="inlineStr">
        <is>
          <t>Terbatas</t>
        </is>
      </c>
      <c r="K142" s="184" t="inlineStr">
        <is>
          <t>Terdapat</t>
        </is>
      </c>
      <c r="L142" s="184" t="inlineStr">
        <is>
          <t>Harian</t>
        </is>
      </c>
      <c r="M142" s="184" t="inlineStr">
        <is>
          <t>APAR</t>
        </is>
      </c>
      <c r="N142" s="184" t="inlineStr">
        <is>
          <t>Pihak Ke 3</t>
        </is>
      </c>
      <c r="O142" s="184" t="inlineStr">
        <is>
          <t>Kab. Bandung</t>
        </is>
      </c>
      <c r="P142" s="184" t="inlineStr">
        <is>
          <t>Website dan Mobile</t>
        </is>
      </c>
      <c r="Q142" s="70" t="inlineStr">
        <is>
          <t>https://apar.bandungkab.go.id</t>
        </is>
      </c>
      <c r="R142" s="184" t="inlineStr">
        <is>
          <t>Secara Online</t>
        </is>
      </c>
      <c r="S142" s="184" t="inlineStr">
        <is>
          <t>Transaksi</t>
        </is>
      </c>
      <c r="T142" s="98" t="n">
        <v>2023</v>
      </c>
      <c r="U142" s="184" t="inlineStr">
        <is>
          <t>Aktif</t>
        </is>
      </c>
      <c r="V142" s="184" t="inlineStr">
        <is>
          <t>Ya</t>
        </is>
      </c>
      <c r="W142" s="184" t="inlineStr">
        <is>
          <t>NTPD 112</t>
        </is>
      </c>
      <c r="X142" s="184" t="inlineStr">
        <is>
          <t>API</t>
        </is>
      </c>
      <c r="Y142" s="184" t="inlineStr">
        <is>
          <t>Realtime</t>
        </is>
      </c>
      <c r="Z142" s="184" t="inlineStr">
        <is>
          <t>Bidang Sarana, Prasarana dan Informasi</t>
        </is>
      </c>
      <c r="AA142" s="184" t="inlineStr">
        <is>
          <t>Disdamkar</t>
        </is>
      </c>
      <c r="AB142" s="178" t="inlineStr">
        <is>
          <t>Noviyanti Gantini</t>
        </is>
      </c>
      <c r="AC142" s="178" t="n">
        <v>85220376631</v>
      </c>
      <c r="AD142" s="178" t="inlineStr">
        <is>
          <t>operatorkomunikasi.disdamkar@gmail.com</t>
        </is>
      </c>
      <c r="AE142" s="288" t="n"/>
      <c r="AF142" s="68" t="inlineStr">
        <is>
          <t>Insidentil</t>
        </is>
      </c>
      <c r="AG142" s="284" t="n"/>
      <c r="AH142" s="284" t="n"/>
      <c r="AI142" s="284" t="n"/>
      <c r="AJ142" s="284" t="n"/>
      <c r="AK142" s="284" t="n"/>
      <c r="AL142" s="284" t="n"/>
      <c r="AM142" s="284" t="n"/>
      <c r="AN142" s="284" t="n"/>
      <c r="AO142" s="284" t="n"/>
      <c r="AP142" s="284" t="n"/>
      <c r="AQ142" s="284" t="n"/>
      <c r="AR142" s="284" t="n"/>
    </row>
    <row r="143">
      <c r="A143" s="62" t="n">
        <v>141</v>
      </c>
      <c r="B143" s="178" t="inlineStr">
        <is>
          <t>Layanan Pendataan Kunjungan Wisatawan</t>
        </is>
      </c>
      <c r="C143" s="178" t="inlineStr">
        <is>
          <t>- Menyediakan data mengenai jumlah kunjungan wisatawan, profil usaha pariwisata, dan grafik kunjungan wisatawan (domestik maupun mancanegara).
 - Mendukung perencanaan dan kebijakan pembangunan pariwisata daerah.
 - Memantau perkembangan tren pariwisata secara berkala untuk melihat pertumbuhan sektor pariwisata.
 - Mendorong promosi dan investasi dengan data yang dapat dijadikan dasar analisis potensi pasar wisata.
 - Alat monitoring dan evaluasi dalam pelaksanaan program dan kegiatan kepariwisataan.</t>
        </is>
      </c>
      <c r="D143" s="178" t="inlineStr">
        <is>
          <t>Undang-Undang Nomor 10 Tahun 2009 tentang Kepariwisataan, terkait :
 - Pasal 14 huruf g: Pemerintah dan pemerintah daerah berkewajiban menyediakan data dan informasi kepariwisataan secara lengkap, akurat, dan terkini.
 - Pasal 30: Setiap usaha pariwisata wajib menyampaikan data dan informasi yang benar kepada pemerintah/pemerintah daerah.
 Peraturan Bupati No 82 Tahun 2019, tentang Tatakelola Satu Data Daerah</t>
        </is>
      </c>
      <c r="E143" s="70" t="inlineStr">
        <is>
          <t>https://drive.google.com/drive/u/1/folders/1OmZJCQ07S-vIbWQDO6jSHpZyJaE2oGJM</t>
        </is>
      </c>
      <c r="F143" s="184" t="inlineStr">
        <is>
          <t>PENGELOLAAN DATA STATISTIK</t>
        </is>
      </c>
      <c r="G143" s="184" t="inlineStr">
        <is>
          <t>Pelaku Bisnis</t>
        </is>
      </c>
      <c r="H143" s="184" t="inlineStr">
        <is>
          <t>- Data Pengunjung/wisatawan domestik maupun mancanegara
 - Data usaha Pariwisata (Daya Tarik Wisata, Akomodasi, Makan dan Minum, Rekreasi dan Hiburan serta Wisata Tirta.)
 - Informasi Destinasi Wisata (tiket masuk, jam operasional dll.)</t>
        </is>
      </c>
      <c r="I143" s="178" t="inlineStr">
        <is>
          <t>Data tren kunjungan wisatawan dan media promosi usaha wisata</t>
        </is>
      </c>
      <c r="J143" s="184" t="inlineStr">
        <is>
          <t>Terbatas</t>
        </is>
      </c>
      <c r="K143" s="184" t="inlineStr">
        <is>
          <t>Terdapat</t>
        </is>
      </c>
      <c r="L143" s="184" t="inlineStr">
        <is>
          <t>Lainnya</t>
        </is>
      </c>
      <c r="M143" s="184" t="inlineStr">
        <is>
          <t>SIM BARRAYA</t>
        </is>
      </c>
      <c r="N143" s="184" t="inlineStr">
        <is>
          <t>OPD</t>
        </is>
      </c>
      <c r="O143" s="184" t="inlineStr">
        <is>
          <t>Kab. Bandung</t>
        </is>
      </c>
      <c r="P143" s="184" t="inlineStr">
        <is>
          <t>Website</t>
        </is>
      </c>
      <c r="Q143" s="70" t="inlineStr">
        <is>
          <t>https://simbarraya.bandungkab.go.id/</t>
        </is>
      </c>
      <c r="R143" s="184" t="inlineStr">
        <is>
          <t>Secara Online</t>
        </is>
      </c>
      <c r="S143" s="184" t="inlineStr">
        <is>
          <t>Informasi</t>
        </is>
      </c>
      <c r="T143" s="184" t="n">
        <v>2022</v>
      </c>
      <c r="U143" s="184" t="inlineStr">
        <is>
          <t>Aktif</t>
        </is>
      </c>
      <c r="V143" s="184" t="inlineStr">
        <is>
          <t>Tidak</t>
        </is>
      </c>
      <c r="W143" s="184" t="inlineStr">
        <is>
          <t>Tidak Terintegrasi</t>
        </is>
      </c>
      <c r="X143" s="184" t="inlineStr">
        <is>
          <t>Tidak Terintegrasi</t>
        </is>
      </c>
      <c r="Y143" s="184" t="inlineStr">
        <is>
          <t>Tidak Terintegrasi</t>
        </is>
      </c>
      <c r="Z143" s="184" t="inlineStr">
        <is>
          <t>Bidang Ekonomi Kreatif</t>
        </is>
      </c>
      <c r="AA143" s="184" t="inlineStr">
        <is>
          <t>Disparekraf</t>
        </is>
      </c>
      <c r="AB143" s="178" t="inlineStr">
        <is>
          <t>- Moch Syahril Anas, S.Kom</t>
        </is>
      </c>
      <c r="AC143" s="98" t="n">
        <v>89678500033</v>
      </c>
      <c r="AD143" s="178" t="inlineStr">
        <is>
          <t>syahrilanas09@gmail.com</t>
        </is>
      </c>
      <c r="AE143" s="288" t="n"/>
      <c r="AF143" s="288" t="n"/>
      <c r="AG143" s="216" t="inlineStr">
        <is>
          <t>pelaku usaha</t>
        </is>
      </c>
      <c r="AH143" s="284" t="n"/>
      <c r="AI143" s="284" t="n"/>
      <c r="AJ143" s="284" t="n"/>
      <c r="AK143" s="284" t="n"/>
      <c r="AL143" s="284" t="n"/>
      <c r="AM143" s="284" t="n"/>
      <c r="AN143" s="284" t="n"/>
      <c r="AO143" s="284" t="n"/>
      <c r="AP143" s="284" t="n"/>
      <c r="AQ143" s="284" t="n"/>
      <c r="AR143" s="284" t="n"/>
    </row>
    <row r="144">
      <c r="A144" s="62" t="n">
        <v>142</v>
      </c>
      <c r="B144" s="178" t="inlineStr">
        <is>
          <t>Layanan Kelitbangan</t>
        </is>
      </c>
      <c r="C144" s="178" t="inlineStr">
        <is>
          <t>Memberikan informasi dan analisis kepada pemerintah daerah untuk mendukung pengambilan keputusan yang bijaksana</t>
        </is>
      </c>
      <c r="D144" s="178" t="inlineStr">
        <is>
          <t>Peraturan Pemerintah Nomor 38 Tahun 2017 tentang Inovasi Daerah</t>
        </is>
      </c>
      <c r="E144" s="70" t="inlineStr">
        <is>
          <t>https://drive.google.com/file/d/1U5Ce3fAIo3YOESTLI_rdag9_xK_sncgn/view?usp=sharing</t>
        </is>
      </c>
      <c r="F144" s="184" t="inlineStr">
        <is>
          <t>RISET DAN INOVASI</t>
        </is>
      </c>
      <c r="G144" s="184" t="inlineStr">
        <is>
          <t>Pegawai</t>
        </is>
      </c>
      <c r="H144" s="184" t="inlineStr">
        <is>
          <t>Data Inovasi Daerah</t>
        </is>
      </c>
      <c r="I144" s="178" t="inlineStr">
        <is>
          <t>Indeks Inovasi Daerah Kabupaten Bandung</t>
        </is>
      </c>
      <c r="J144" s="184" t="inlineStr">
        <is>
          <t>Terbatas</t>
        </is>
      </c>
      <c r="K144" s="184" t="inlineStr">
        <is>
          <t>Tidak terdapat</t>
        </is>
      </c>
      <c r="L144" s="184" t="inlineStr">
        <is>
          <t>Tahunan</t>
        </is>
      </c>
      <c r="M144" s="184" t="inlineStr">
        <is>
          <t>APIK</t>
        </is>
      </c>
      <c r="N144" s="184" t="inlineStr">
        <is>
          <t>Diskominfo</t>
        </is>
      </c>
      <c r="O144" s="184" t="inlineStr">
        <is>
          <t>Kab. Bandung</t>
        </is>
      </c>
      <c r="P144" s="184" t="inlineStr">
        <is>
          <t>Website</t>
        </is>
      </c>
      <c r="Q144" s="70" t="inlineStr">
        <is>
          <t>https://apik.bandungkab.go.id/apik/login</t>
        </is>
      </c>
      <c r="R144" s="184" t="inlineStr">
        <is>
          <t>Secara Online</t>
        </is>
      </c>
      <c r="S144" s="184" t="inlineStr">
        <is>
          <t>Informasi</t>
        </is>
      </c>
      <c r="T144" s="98" t="n">
        <v>2023</v>
      </c>
      <c r="U144" s="184" t="inlineStr">
        <is>
          <t>Aktif</t>
        </is>
      </c>
      <c r="V144" s="184" t="inlineStr">
        <is>
          <t>Ya</t>
        </is>
      </c>
      <c r="W144" s="184" t="inlineStr">
        <is>
          <t>Terintegrasi dengan Aplikasi BDS</t>
        </is>
      </c>
      <c r="X144" s="184" t="inlineStr">
        <is>
          <t>Web Service</t>
        </is>
      </c>
      <c r="Y144" s="184" t="inlineStr">
        <is>
          <t>Realtime</t>
        </is>
      </c>
      <c r="Z144" s="184" t="inlineStr">
        <is>
          <t>Bidang Riset dan Inovasi</t>
        </is>
      </c>
      <c r="AA144" s="184" t="inlineStr">
        <is>
          <t>Bapperida</t>
        </is>
      </c>
      <c r="AB144" s="178" t="inlineStr">
        <is>
          <t>Ajat Sudrajat</t>
        </is>
      </c>
      <c r="AC144" s="98" t="n">
        <v>8170222882</v>
      </c>
      <c r="AD144" s="178" t="inlineStr">
        <is>
          <t>jatsudrajat@gmail.com</t>
        </is>
      </c>
      <c r="AE144" s="77" t="n">
        <v>29</v>
      </c>
      <c r="AF144" s="67" t="inlineStr">
        <is>
          <t>Semesteran</t>
        </is>
      </c>
      <c r="AG144" s="194" t="inlineStr">
        <is>
          <t>OPD, Kec, Masrakat Umum</t>
        </is>
      </c>
      <c r="AH144" s="284" t="n"/>
      <c r="AI144" s="284" t="n"/>
      <c r="AJ144" s="284" t="n"/>
      <c r="AK144" s="284" t="n"/>
      <c r="AL144" s="284" t="n"/>
      <c r="AM144" s="284" t="n"/>
      <c r="AN144" s="284" t="n"/>
      <c r="AO144" s="284" t="n"/>
      <c r="AP144" s="284" t="n"/>
      <c r="AQ144" s="284" t="n"/>
      <c r="AR144" s="284" t="n"/>
    </row>
    <row r="145">
      <c r="A145" s="62" t="n">
        <v>143</v>
      </c>
      <c r="B145" s="178" t="inlineStr">
        <is>
          <t>Layanan Baperida Jurnal Riset</t>
        </is>
      </c>
      <c r="C145" s="178" t="inlineStr">
        <is>
          <t>Mendorong dan mendukung penelitian serta pengembangan di berbagai sektor untuk meningkatkan inovasi dan pemahaman dalam pembangunan daerah</t>
        </is>
      </c>
      <c r="D145" s="178" t="inlineStr">
        <is>
          <t>1. Undang-undang Nomor 11 Tahun 2019 tentang Sistem Nasional Ilmu Pengetahuan dan Teknologi.
 2. Daerah Nomor 7 Tahun 2016 tentang Rencana Pembangunan Jangka Menengah Daerah Tahu n
  9. Peraturan Bupati Bandung Nomor 67 Tahun 2017 tentang Pedoman Pelaksanaan Penelitian dan
  Pengembangan di Lingkungan Pemerintah Kabupaten Bandung.</t>
        </is>
      </c>
      <c r="E145" s="70" t="inlineStr">
        <is>
          <t>https://drive.google.com/file/d/1JhS_khzdBgbJD9WfRdXNmMfYuI_ppqJR/view?usp=sharing</t>
        </is>
      </c>
      <c r="F145" s="184" t="inlineStr">
        <is>
          <t>PENGUATAN EKOSISTEM RISET DAN INOVASI</t>
        </is>
      </c>
      <c r="G145" s="184" t="inlineStr">
        <is>
          <t>Masyarakat</t>
        </is>
      </c>
      <c r="H145" s="184" t="inlineStr">
        <is>
          <t>Data Jurnal</t>
        </is>
      </c>
      <c r="I145" s="178" t="inlineStr">
        <is>
          <t>Jurnal</t>
        </is>
      </c>
      <c r="J145" s="184" t="inlineStr">
        <is>
          <t>Terbuka</t>
        </is>
      </c>
      <c r="K145" s="184" t="inlineStr">
        <is>
          <t>Tidak terdapat</t>
        </is>
      </c>
      <c r="L145" s="184" t="inlineStr">
        <is>
          <t>Bulanan</t>
        </is>
      </c>
      <c r="M145" s="184" t="inlineStr">
        <is>
          <t>BAJURI</t>
        </is>
      </c>
      <c r="N145" s="184" t="inlineStr">
        <is>
          <t>Diskominfo</t>
        </is>
      </c>
      <c r="O145" s="184" t="inlineStr">
        <is>
          <t>Kab. Bandung</t>
        </is>
      </c>
      <c r="P145" s="184" t="inlineStr">
        <is>
          <t>Website</t>
        </is>
      </c>
      <c r="Q145" s="70" t="inlineStr">
        <is>
          <t>https://bajuri.bandungkab.go.id/</t>
        </is>
      </c>
      <c r="R145" s="184" t="inlineStr">
        <is>
          <t>Secara Online</t>
        </is>
      </c>
      <c r="S145" s="184" t="inlineStr">
        <is>
          <t>Informasi</t>
        </is>
      </c>
      <c r="T145" s="98" t="n">
        <v>2024</v>
      </c>
      <c r="U145" s="184" t="inlineStr">
        <is>
          <t>Aktif</t>
        </is>
      </c>
      <c r="V145" s="184" t="inlineStr">
        <is>
          <t>Ya</t>
        </is>
      </c>
      <c r="W145" s="184" t="inlineStr">
        <is>
          <t>Terintegrasi dengan aplikasi BDS</t>
        </is>
      </c>
      <c r="X145" s="184" t="inlineStr">
        <is>
          <t>Web Service</t>
        </is>
      </c>
      <c r="Y145" s="184" t="inlineStr">
        <is>
          <t>Realtime</t>
        </is>
      </c>
      <c r="Z145" s="184" t="inlineStr">
        <is>
          <t>Bidang Riset dan Inovasi</t>
        </is>
      </c>
      <c r="AA145" s="184" t="inlineStr">
        <is>
          <t>Bapperida</t>
        </is>
      </c>
      <c r="AB145" s="178" t="inlineStr">
        <is>
          <t>Martius</t>
        </is>
      </c>
      <c r="AC145" s="98" t="n">
        <v>82218897073</v>
      </c>
      <c r="AD145" s="178" t="inlineStr">
        <is>
          <t>martius2876@gmail.com</t>
        </is>
      </c>
      <c r="AE145" s="77" t="n">
        <v>29</v>
      </c>
      <c r="AF145" s="67" t="inlineStr">
        <is>
          <t>semesteran</t>
        </is>
      </c>
      <c r="AG145" s="216" t="inlineStr">
        <is>
          <t>OPD</t>
        </is>
      </c>
      <c r="AH145" s="284" t="n"/>
      <c r="AI145" s="284" t="n"/>
      <c r="AJ145" s="284" t="n"/>
      <c r="AK145" s="284" t="n"/>
      <c r="AL145" s="284" t="n"/>
      <c r="AM145" s="284" t="n"/>
      <c r="AN145" s="284" t="n"/>
      <c r="AO145" s="284" t="n"/>
      <c r="AP145" s="284" t="n"/>
      <c r="AQ145" s="284" t="n"/>
      <c r="AR145" s="284" t="n"/>
    </row>
    <row r="146">
      <c r="A146" s="62" t="n">
        <v>144</v>
      </c>
      <c r="B146" s="178" t="inlineStr">
        <is>
          <t>Layanan bagi instansi pemerintah untuk mendapatkan rekomendasi penyelenggaraan kegiatan statistik sektoral dari BPS.</t>
        </is>
      </c>
      <c r="C146" s="178" t="inlineStr">
        <is>
          <t>Rekomendasi kegiatan statistik merupakan saran dan masukan yang diberikan oleh BPS terhadap rancangan kegiatan statistik sektoral yang disampaikan oleh Kementerian/Lembaga/Dinas/Instansi Pemerintah Lainnya (K/L/D/I).</t>
        </is>
      </c>
      <c r="D146" s="288" t="n"/>
      <c r="E146" s="288" t="n"/>
      <c r="F146" s="288" t="n"/>
      <c r="G146" s="288" t="n"/>
      <c r="H146" s="288" t="n"/>
      <c r="I146" s="288" t="n"/>
      <c r="J146" s="288" t="n"/>
      <c r="K146" s="288" t="n"/>
      <c r="L146" s="288" t="n"/>
      <c r="M146" s="184" t="inlineStr">
        <is>
          <t>ROMANTIK</t>
        </is>
      </c>
      <c r="N146" s="288" t="inlineStr">
        <is>
          <t>Diskominfo</t>
        </is>
      </c>
      <c r="O146" s="184" t="inlineStr">
        <is>
          <t>Kab. Bandung</t>
        </is>
      </c>
      <c r="P146" s="184" t="inlineStr">
        <is>
          <t>Website dan Mobile</t>
        </is>
      </c>
      <c r="Q146" s="70" t="inlineStr">
        <is>
          <t>https://romantik.web.bps.go.id/</t>
        </is>
      </c>
      <c r="R146" s="184" t="inlineStr">
        <is>
          <t>Secara Online</t>
        </is>
      </c>
      <c r="S146" s="288" t="n"/>
      <c r="T146" s="288" t="n"/>
      <c r="U146" s="288" t="inlineStr">
        <is>
          <t>Aktif</t>
        </is>
      </c>
      <c r="V146" s="288" t="n"/>
      <c r="W146" s="288" t="n"/>
      <c r="X146" s="288" t="n"/>
      <c r="Y146" s="288" t="n"/>
      <c r="Z146" s="288" t="n"/>
      <c r="AA146" s="288" t="n"/>
      <c r="AB146" s="178" t="inlineStr">
        <is>
          <t>Bu Tutut</t>
        </is>
      </c>
      <c r="AC146" s="98" t="n">
        <v>81223467651</v>
      </c>
      <c r="AD146" s="288" t="n"/>
      <c r="AE146" s="288" t="n"/>
      <c r="AF146" s="288" t="n"/>
      <c r="AG146" s="216" t="inlineStr">
        <is>
          <t>BPS</t>
        </is>
      </c>
      <c r="AH146" s="284" t="n"/>
      <c r="AI146" s="284" t="n"/>
      <c r="AJ146" s="284" t="n"/>
      <c r="AK146" s="284" t="n"/>
      <c r="AL146" s="284" t="n"/>
      <c r="AM146" s="284" t="n"/>
      <c r="AN146" s="284" t="n"/>
      <c r="AO146" s="284" t="n"/>
      <c r="AP146" s="284" t="n"/>
      <c r="AQ146" s="284" t="n"/>
      <c r="AR146" s="284" t="n"/>
    </row>
    <row r="147">
      <c r="A147" s="62" t="n">
        <v>145</v>
      </c>
      <c r="B147" s="178" t="inlineStr">
        <is>
          <t>Layanan Kenaikan Gaji Berkala</t>
        </is>
      </c>
      <c r="C147" s="178" t="inlineStr">
        <is>
          <t>Layanan Kenaikan Gaji Berkala merupakan pelayanan administrasi kepegawaian yang diberikan kepada ASN sebagai pemenuhan hak atas penyesuaian gaji pokok sesuai dengan masa kerja dan ketentuan peraturan yang berlaku yang berfungsi untuk memastikan tertib administrasi, memberikan kepastian serta penghargaan atas pengabdian pegawai, sekaligus meningkatkan kesejahteraan melalui penyesuaian penghasilan secara berkala.</t>
        </is>
      </c>
      <c r="D147" s="178" t="inlineStr">
        <is>
          <t>Surat Edaran Sekretariat Daerah No. 800/786/BKPSDM Tanggal 23 Maret 2020 Tentang Pelayanan Administrasi Kepegawaian Paperless pada Badan Kepegawaian dan Pengembangan Sumber Daya Manusia Kabupaten Bandung</t>
        </is>
      </c>
      <c r="E147" s="70" t="inlineStr">
        <is>
          <t>https://drive.google.com/file/d/18x4SyFaMTJIHq1ORgmmghi6RwxlrdqOk/view?usp=sharing</t>
        </is>
      </c>
      <c r="F147" s="184" t="inlineStr">
        <is>
          <t>PENATAAN SUMBER DAYA MANUSIA APARATUR</t>
        </is>
      </c>
      <c r="G147" s="184" t="inlineStr">
        <is>
          <t>Pegawai</t>
        </is>
      </c>
      <c r="H147" s="184" t="inlineStr">
        <is>
          <t>Data Pengguna</t>
        </is>
      </c>
      <c r="I147" s="178" t="inlineStr">
        <is>
          <t>Produk Layanan Kepegawaian</t>
        </is>
      </c>
      <c r="J147" s="184" t="inlineStr">
        <is>
          <t>Terbatas</t>
        </is>
      </c>
      <c r="K147" s="184" t="inlineStr">
        <is>
          <t>Terdapat</t>
        </is>
      </c>
      <c r="L147" s="184" t="inlineStr">
        <is>
          <t>Harian</t>
        </is>
      </c>
      <c r="M147" s="184" t="inlineStr">
        <is>
          <t>SSO</t>
        </is>
      </c>
      <c r="N147" s="184" t="inlineStr">
        <is>
          <t>OPD</t>
        </is>
      </c>
      <c r="O147" s="184" t="inlineStr">
        <is>
          <t>Kab. Bandung</t>
        </is>
      </c>
      <c r="P147" s="184" t="inlineStr">
        <is>
          <t>Website</t>
        </is>
      </c>
      <c r="Q147" s="70" t="inlineStr">
        <is>
          <t>https://sso.bandungkab.go.id/</t>
        </is>
      </c>
      <c r="R147" s="184" t="inlineStr">
        <is>
          <t>Secara Online</t>
        </is>
      </c>
      <c r="S147" s="184" t="inlineStr">
        <is>
          <t>Transaksi</t>
        </is>
      </c>
      <c r="T147" s="184" t="n">
        <v>2020</v>
      </c>
      <c r="U147" s="184" t="inlineStr">
        <is>
          <t>Aktif</t>
        </is>
      </c>
      <c r="V147" s="184" t="inlineStr">
        <is>
          <t>Ya</t>
        </is>
      </c>
      <c r="W147" s="184" t="inlineStr">
        <is>
          <t>SI ASN</t>
        </is>
      </c>
      <c r="X147" s="184" t="inlineStr">
        <is>
          <t>Database to Database</t>
        </is>
      </c>
      <c r="Y147" s="184" t="inlineStr">
        <is>
          <t>Harian</t>
        </is>
      </c>
      <c r="Z147" s="184" t="inlineStr">
        <is>
          <t>Bidang Pengadaan Pemberhentian dan Informasi Kepegawaian ASN</t>
        </is>
      </c>
      <c r="AA147" s="184" t="inlineStr">
        <is>
          <t>BKPSDM</t>
        </is>
      </c>
      <c r="AB147" s="178" t="inlineStr">
        <is>
          <t>LEMI CANDRA LESMANA, ST</t>
        </is>
      </c>
      <c r="AC147" s="178" t="n">
        <v>82129997000</v>
      </c>
      <c r="AD147" s="70" t="inlineStr">
        <is>
          <t>mailto:lemicandra@gmail.com</t>
        </is>
      </c>
      <c r="AE147" s="288" t="n"/>
      <c r="AF147" s="288" t="n"/>
      <c r="AG147" s="284" t="n"/>
      <c r="AH147" s="284" t="n"/>
      <c r="AI147" s="284" t="n"/>
      <c r="AJ147" s="284" t="n"/>
      <c r="AK147" s="284" t="n"/>
      <c r="AL147" s="284" t="n"/>
      <c r="AM147" s="284" t="n"/>
      <c r="AN147" s="284" t="n"/>
      <c r="AO147" s="284" t="n"/>
      <c r="AP147" s="284" t="n"/>
      <c r="AQ147" s="284" t="n"/>
      <c r="AR147" s="284" t="n"/>
    </row>
    <row r="148">
      <c r="A148" s="62" t="n">
        <v>146</v>
      </c>
      <c r="B148" s="178" t="inlineStr">
        <is>
          <t>SURAT MASUK/NASKAH/DOKUMEN</t>
        </is>
      </c>
      <c r="C148" s="178" t="inlineStr">
        <is>
          <t>Layanan Surat Masuk/Naskah/Dokumen bertujuan untuk memberikan akses informasi publik secara resmi, memastikan setiap naskah dinas diterima, diperiksa, dan didisposisi sesuai ketentuan tata naskah dinas, serta menghasilkan tanggapan atau surat jawaban tertulis bagi pemohon. Fungsi layanan ini meliputi penerimaan dan pemeriksaan permohonan beserta persyaratan, verifikasi serta disposisi berjenjang oleh pejabat terkait (Kasubag Umpeg, Sekretaris Badan, hingga Kepala BKAD), pencatatan dan distribusi naskah dinas sesuai arahan pimpinan, hingga penyediaan kanal pengaduan melalui website resmi BKAD Kabupaten Bandung, dengan prinsip pelayanan cepat, transparan, dan akuntabel.</t>
        </is>
      </c>
      <c r="D148" s="288" t="n"/>
      <c r="E148" s="288" t="n"/>
      <c r="F148" s="184" t="inlineStr">
        <is>
          <t>PENINGKATAN KUALITAS PELAYANAN PUBLIK</t>
        </is>
      </c>
      <c r="G148" s="184" t="inlineStr">
        <is>
          <t>Instansi Pemerintah Lainnya</t>
        </is>
      </c>
      <c r="H148" s="184" t="inlineStr">
        <is>
          <t>Data Surat Masuk</t>
        </is>
      </c>
      <c r="I148" s="178" t="inlineStr">
        <is>
          <t>Data Surat Masuk telah di proses</t>
        </is>
      </c>
      <c r="J148" s="184" t="inlineStr">
        <is>
          <t>Tertutup</t>
        </is>
      </c>
      <c r="K148" s="184" t="inlineStr">
        <is>
          <t>Tidak terdapat</t>
        </is>
      </c>
      <c r="L148" s="184" t="inlineStr">
        <is>
          <t>Harian</t>
        </is>
      </c>
      <c r="M148" s="184" t="inlineStr">
        <is>
          <t>SIAP</t>
        </is>
      </c>
      <c r="N148" s="184" t="inlineStr">
        <is>
          <t>Pihak Ke 3</t>
        </is>
      </c>
      <c r="O148" s="184" t="inlineStr">
        <is>
          <t>Kab. Bandung</t>
        </is>
      </c>
      <c r="P148" s="184" t="inlineStr">
        <is>
          <t>Website</t>
        </is>
      </c>
      <c r="Q148" s="70" t="inlineStr">
        <is>
          <t>https://pelayanan.bandungkab.dapda.id/</t>
        </is>
      </c>
      <c r="R148" s="184" t="inlineStr">
        <is>
          <t>Secara Online</t>
        </is>
      </c>
      <c r="S148" s="184" t="inlineStr">
        <is>
          <t>Informasi</t>
        </is>
      </c>
      <c r="T148" s="98" t="n">
        <v>2024</v>
      </c>
      <c r="U148" s="184" t="inlineStr">
        <is>
          <t>Aktif</t>
        </is>
      </c>
      <c r="V148" s="184" t="inlineStr">
        <is>
          <t>Tidak</t>
        </is>
      </c>
      <c r="W148" s="184" t="inlineStr">
        <is>
          <t>Tidak Terintegrasi</t>
        </is>
      </c>
      <c r="X148" s="184" t="inlineStr">
        <is>
          <t>Tidak Terintegrasi</t>
        </is>
      </c>
      <c r="Y148" s="184" t="inlineStr">
        <is>
          <t>Tidak Terintegrasi</t>
        </is>
      </c>
      <c r="Z148" s="184" t="inlineStr">
        <is>
          <t>Sekretariat</t>
        </is>
      </c>
      <c r="AA148" s="184" t="inlineStr">
        <is>
          <t>BKAD</t>
        </is>
      </c>
      <c r="AB148" s="288" t="n"/>
      <c r="AC148" s="288" t="n"/>
      <c r="AD148" s="288" t="n"/>
      <c r="AE148" s="288" t="n"/>
      <c r="AF148" s="288" t="n"/>
      <c r="AG148" s="284" t="n"/>
      <c r="AH148" s="284" t="n"/>
      <c r="AI148" s="284" t="n"/>
      <c r="AJ148" s="284" t="n"/>
      <c r="AK148" s="284" t="n"/>
      <c r="AL148" s="284" t="n"/>
      <c r="AM148" s="284" t="n"/>
      <c r="AN148" s="284" t="n"/>
      <c r="AO148" s="284" t="n"/>
      <c r="AP148" s="284" t="n"/>
      <c r="AQ148" s="284" t="n"/>
      <c r="AR148" s="284" t="n"/>
    </row>
    <row r="149">
      <c r="A149" s="62" t="n">
        <v>147</v>
      </c>
      <c r="B149" s="178" t="inlineStr">
        <is>
          <t>PENYUSUNAN HARGA SATUAN POKOK KEGIATAN (HSPK) DAN ANALISIS STANDAR BELANJA (ASB)</t>
        </is>
      </c>
      <c r="C149" s="178" t="inlineStr">
        <is>
          <t>Sebagai media untuk menghimpun usulan ASB Konstruksi dan Non Konstruksi dari seluruh Perangkat Daerah di lingkungan Pemerintah Kabupaten Bandung dalam rangka penyusunan Peraturan Bupati Bandung tentang HSPK dan ASB</t>
        </is>
      </c>
      <c r="D149" s="178" t="inlineStr">
        <is>
          <t>Undang-Undang Nomor 23 Tahun 2014 tentang Pemerintah Daerah; Peraturan Pemerintah Nomor 12 Tahun 2019 tentang Pengelolaan Keuangan Daerah; Peraturan Menteri Dalam Negeri Nomor 77 Tahun 2020 tentang Pedoman Teknis Pengelolaan Keuangan Daerah.</t>
        </is>
      </c>
      <c r="E149" s="70" t="inlineStr">
        <is>
          <t>https://drive.google.com/file/d/1Wq5fbFaB6cGVodoz0G93rd3_HKNa842I/view?usp=sharing</t>
        </is>
      </c>
      <c r="F149" s="184" t="inlineStr">
        <is>
          <t>PERENCANAAN DAN PENGANGGARAN APBN</t>
        </is>
      </c>
      <c r="G149" s="184" t="inlineStr">
        <is>
          <t>Instansi Pemerintah Lainnya</t>
        </is>
      </c>
      <c r="H149" s="184" t="inlineStr">
        <is>
          <t>Data Usulan ASB Konstruksi dan Non Konstruksi</t>
        </is>
      </c>
      <c r="I149" s="178" t="inlineStr">
        <is>
          <t>Data Usulan ASB Konstruksi dan Non Konstruksi yang telah diverifikasi oleh Bidang Anggaran</t>
        </is>
      </c>
      <c r="J149" s="184" t="inlineStr">
        <is>
          <t>Terbuka</t>
        </is>
      </c>
      <c r="K149" s="184" t="inlineStr">
        <is>
          <t>Tidak terdapat</t>
        </is>
      </c>
      <c r="L149" s="184" t="inlineStr">
        <is>
          <t>Tahunan</t>
        </is>
      </c>
      <c r="M149" s="184" t="inlineStr">
        <is>
          <t>HSPKASB E-PLANNING</t>
        </is>
      </c>
      <c r="N149" s="184" t="inlineStr">
        <is>
          <t>OPD</t>
        </is>
      </c>
      <c r="O149" s="184" t="inlineStr">
        <is>
          <t>Kab. Bandung</t>
        </is>
      </c>
      <c r="P149" s="184" t="inlineStr">
        <is>
          <t>Website</t>
        </is>
      </c>
      <c r="Q149" s="70" t="inlineStr">
        <is>
          <t>https://hspkasb.e-planningbmd.id/auth</t>
        </is>
      </c>
      <c r="R149" s="184" t="inlineStr">
        <is>
          <t>Secara Online</t>
        </is>
      </c>
      <c r="S149" s="184" t="inlineStr">
        <is>
          <t>Transaksi</t>
        </is>
      </c>
      <c r="T149" s="98" t="n">
        <v>2022</v>
      </c>
      <c r="U149" s="184" t="inlineStr">
        <is>
          <t>Aktif</t>
        </is>
      </c>
      <c r="V149" s="184" t="inlineStr">
        <is>
          <t>Ya</t>
        </is>
      </c>
      <c r="W149" s="184" t="inlineStr">
        <is>
          <t>SSH SBU E-Planning</t>
        </is>
      </c>
      <c r="X149" s="184" t="inlineStr">
        <is>
          <t>API</t>
        </is>
      </c>
      <c r="Y149" s="184" t="inlineStr">
        <is>
          <t>Realtime</t>
        </is>
      </c>
      <c r="Z149" s="184" t="inlineStr">
        <is>
          <t>Bidang Anggaran</t>
        </is>
      </c>
      <c r="AA149" s="184" t="inlineStr">
        <is>
          <t>BKAD</t>
        </is>
      </c>
      <c r="AB149" s="178" t="inlineStr">
        <is>
          <t>Yanti Daryati</t>
        </is>
      </c>
      <c r="AC149" s="178" t="n">
        <v>85314238177</v>
      </c>
      <c r="AD149" s="178" t="inlineStr">
        <is>
          <t>yantidaryati46@gmail.com</t>
        </is>
      </c>
      <c r="AE149" s="288" t="n"/>
      <c r="AF149" s="288" t="n"/>
      <c r="AG149" s="284" t="n"/>
      <c r="AH149" s="284" t="n"/>
      <c r="AI149" s="284" t="n"/>
      <c r="AJ149" s="284" t="n"/>
      <c r="AK149" s="284" t="n"/>
      <c r="AL149" s="284" t="n"/>
      <c r="AM149" s="284" t="n"/>
      <c r="AN149" s="284" t="n"/>
      <c r="AO149" s="284" t="n"/>
      <c r="AP149" s="284" t="n"/>
      <c r="AQ149" s="284" t="n"/>
      <c r="AR149" s="284" t="n"/>
    </row>
    <row r="150" hidden="1" s="346">
      <c r="A150" s="62" t="n">
        <v>148</v>
      </c>
      <c r="B150" s="178" t="inlineStr">
        <is>
          <t>DANA DESA KEPADA PEMERINTAH DESA</t>
        </is>
      </c>
      <c r="C150" s="196" t="inlineStr">
        <is>
          <t>Dana Desa (DD) adalah dana yang bersumber dari Anggaran Pendapatan dan Belanja Negara (APBN) yang dialokasikan melalui Anggaran Pendapatan dan Belanja Daerah (APBD) Kabupaten/Kota, dan ditransfer ke rekening desa. Dana ini ditujukan untuk membiayai penyelenggaraan pemerintahan, pembangunan, pembinaan kemasyarakatan, dan pemberdayaan masyarakat desa.</t>
        </is>
      </c>
      <c r="D150" s="178" t="inlineStr">
        <is>
          <t>Undang-Undang Nomor 17 Tahun 2003 tentang Keuangan Negara.Undang-Undang Nomor 1 Tahun 2004 tentang Perbendaharaan Negara.Undang-Undang Nomor 23 Tahun 2014 tentang Pemerintahan Daerah.Peraturan Presiden Nomor 95 Tahun 2018 tentang Sistem Pemerintahan Berbasis Elektronik (SPBE).</t>
        </is>
      </c>
      <c r="E150" s="288" t="n"/>
      <c r="F150" s="184" t="inlineStr">
        <is>
          <t>PENINGKATAN KUALITAS PELAYANAN PUBLIK</t>
        </is>
      </c>
      <c r="G150" s="184" t="inlineStr">
        <is>
          <t>Instansi Pemerintah Lainnya</t>
        </is>
      </c>
      <c r="H150" s="184" t="inlineStr">
        <is>
          <t>Usulan Rekomendasi Dari DPMD</t>
        </is>
      </c>
      <c r="I150" s="178" t="inlineStr">
        <is>
          <t>Terbitan SP2D</t>
        </is>
      </c>
      <c r="J150" s="184" t="inlineStr">
        <is>
          <t>Tertutup</t>
        </is>
      </c>
      <c r="K150" s="184" t="inlineStr">
        <is>
          <t>Terdapat</t>
        </is>
      </c>
      <c r="L150" s="184" t="inlineStr">
        <is>
          <t>Harian</t>
        </is>
      </c>
      <c r="M150" s="184" t="inlineStr">
        <is>
          <t>Si-Desa</t>
        </is>
      </c>
      <c r="N150" s="184" t="inlineStr">
        <is>
          <t>Pihak Ke 3</t>
        </is>
      </c>
      <c r="O150" s="184" t="inlineStr">
        <is>
          <t>Pihak Ke 3 (Lisensi)</t>
        </is>
      </c>
      <c r="P150" s="184" t="inlineStr">
        <is>
          <t>Website</t>
        </is>
      </c>
      <c r="Q150" s="70" t="inlineStr">
        <is>
          <t>https://sidesa.bandungkab.dapda.id/login</t>
        </is>
      </c>
      <c r="R150" s="184" t="inlineStr">
        <is>
          <t>Secara Online</t>
        </is>
      </c>
      <c r="S150" s="184" t="inlineStr">
        <is>
          <t>Informasi</t>
        </is>
      </c>
      <c r="T150" s="184" t="n">
        <v>2024</v>
      </c>
      <c r="U150" s="184" t="inlineStr">
        <is>
          <t>Aktif</t>
        </is>
      </c>
      <c r="V150" s="184" t="inlineStr">
        <is>
          <t>Tidak</t>
        </is>
      </c>
      <c r="W150" s="184" t="inlineStr">
        <is>
          <t>Tidak Terintegrasi</t>
        </is>
      </c>
      <c r="X150" s="184" t="inlineStr">
        <is>
          <t>Tidak Terintegrasi</t>
        </is>
      </c>
      <c r="Y150" s="184" t="inlineStr">
        <is>
          <t>Tidak Terintegrasi</t>
        </is>
      </c>
      <c r="Z150" s="184" t="inlineStr">
        <is>
          <t>Sekretariat</t>
        </is>
      </c>
      <c r="AA150" s="184" t="inlineStr">
        <is>
          <t>BKAD</t>
        </is>
      </c>
      <c r="AB150" s="288" t="n"/>
      <c r="AC150" s="288" t="n"/>
      <c r="AD150" s="288" t="n"/>
      <c r="AE150" s="288" t="n"/>
      <c r="AF150" s="288" t="n"/>
      <c r="AG150" s="284" t="n"/>
      <c r="AH150" s="284" t="n"/>
      <c r="AI150" s="284" t="n"/>
      <c r="AJ150" s="284" t="n"/>
      <c r="AK150" s="284" t="n"/>
      <c r="AL150" s="284" t="n"/>
      <c r="AM150" s="284" t="n"/>
      <c r="AN150" s="284" t="n"/>
      <c r="AO150" s="284" t="n"/>
      <c r="AP150" s="284" t="n"/>
      <c r="AQ150" s="284" t="n"/>
      <c r="AR150" s="284" t="n"/>
    </row>
    <row r="151">
      <c r="A151" s="62" t="n">
        <v>149</v>
      </c>
      <c r="B151" s="132" t="inlineStr">
        <is>
          <t>REKONSILIASI DATA KEUANGAN DALAM RANGKA PENYUSUNAN LAPORAN KEUANGAN</t>
        </is>
      </c>
      <c r="C151" s="197" t="inlineStr">
        <is>
          <t>Layanan Rekonsiliasi Data Keuangan dalam rangka penyusunan laporan keuangan bertujuan untuk memastikan kesesuaian, kelengkapan, dan keakuratan data keuangan antara SKPD dengan Bidang Akuntansi dan Pelaporan Keuangan. Melalui layanan ini dilakukan verifikasi dan klarifikasi data, pemeriksaan dokumen, serta koordinasi antara pihak terkait, sehingga dapat diterbitkan Berita Acara Rekonsiliasi sebagai bukti kesesuaian angka yang disajikan. Dengan demikian, layanan ini berfungsi untuk mendukung tersusunnya laporan keuangan daerah yang akurat, transparan, dapat dipertanggungjawabkan, dan sesuai dengan ketentuan yang berlaku.</t>
        </is>
      </c>
      <c r="D151" s="200" t="n"/>
      <c r="E151" s="132" t="inlineStr">
        <is>
          <t>belum tersedia</t>
        </is>
      </c>
      <c r="F151" s="184" t="inlineStr">
        <is>
          <t>PENINGKATAN KUALITAS PELAYANAN PUBLIK</t>
        </is>
      </c>
      <c r="G151" s="184" t="inlineStr">
        <is>
          <t>Pegawai</t>
        </is>
      </c>
      <c r="H151" s="184" t="inlineStr">
        <is>
          <t>data realisasi</t>
        </is>
      </c>
      <c r="I151" s="178" t="inlineStr">
        <is>
          <t>data rekonsiliasi</t>
        </is>
      </c>
      <c r="J151" s="184" t="inlineStr">
        <is>
          <t>Terbatas</t>
        </is>
      </c>
      <c r="K151" s="184" t="inlineStr">
        <is>
          <t>Tidak terdapat</t>
        </is>
      </c>
      <c r="L151" s="184" t="inlineStr">
        <is>
          <t>Bulanan</t>
        </is>
      </c>
      <c r="M151" s="184" t="inlineStr">
        <is>
          <t>soreang</t>
        </is>
      </c>
      <c r="N151" s="184" t="inlineStr">
        <is>
          <t>Pihak Ke 3</t>
        </is>
      </c>
      <c r="O151" s="184" t="inlineStr">
        <is>
          <t>Kab. Bandung</t>
        </is>
      </c>
      <c r="P151" s="184" t="inlineStr">
        <is>
          <t>Website</t>
        </is>
      </c>
      <c r="Q151" s="70" t="inlineStr">
        <is>
          <t>soreang.dapda.id</t>
        </is>
      </c>
      <c r="R151" s="184" t="inlineStr">
        <is>
          <t>Secara Online</t>
        </is>
      </c>
      <c r="S151" s="184" t="inlineStr">
        <is>
          <t>Informasi</t>
        </is>
      </c>
      <c r="T151" s="178" t="inlineStr">
        <is>
          <t>2024-2025</t>
        </is>
      </c>
      <c r="U151" s="184" t="inlineStr">
        <is>
          <t>Aktif</t>
        </is>
      </c>
      <c r="V151" s="184" t="inlineStr">
        <is>
          <t>Tidak</t>
        </is>
      </c>
      <c r="W151" s="184" t="inlineStr">
        <is>
          <t>Tidak Terintegrasi</t>
        </is>
      </c>
      <c r="X151" s="184" t="inlineStr">
        <is>
          <t>Tidak Terintegrasi</t>
        </is>
      </c>
      <c r="Y151" s="184" t="inlineStr">
        <is>
          <t>Tidak Terintegrasi</t>
        </is>
      </c>
      <c r="Z151" s="184" t="inlineStr">
        <is>
          <t>Perben aklap</t>
        </is>
      </c>
      <c r="AA151" s="184" t="inlineStr">
        <is>
          <t>BKAD</t>
        </is>
      </c>
      <c r="AB151" s="288" t="n"/>
      <c r="AC151" s="288" t="n"/>
      <c r="AD151" s="288" t="n"/>
      <c r="AE151" s="288" t="n"/>
      <c r="AF151" s="288" t="n"/>
      <c r="AG151" s="284" t="n"/>
      <c r="AH151" s="284" t="n"/>
      <c r="AI151" s="284" t="n"/>
      <c r="AJ151" s="284" t="n"/>
      <c r="AK151" s="284" t="n"/>
      <c r="AL151" s="284" t="n"/>
      <c r="AM151" s="284" t="n"/>
      <c r="AN151" s="284" t="n"/>
      <c r="AO151" s="284" t="n"/>
      <c r="AP151" s="284" t="n"/>
      <c r="AQ151" s="284" t="n"/>
      <c r="AR151" s="284" t="n"/>
    </row>
    <row r="152">
      <c r="A152" s="62" t="n">
        <v>150</v>
      </c>
      <c r="B152" s="132" t="inlineStr">
        <is>
          <t>KONSOLIDASI PENYUSUNAN LAPORAN BARANG MILIK DAERAН</t>
        </is>
      </c>
      <c r="C152" s="132" t="inlineStr">
        <is>
          <t>Merupakan proses menghimpun dan menyusun laporan barang milik daerah 
 dalam rangka penyusunan laporan keuangan pemerintah daerah</t>
        </is>
      </c>
      <c r="D152" s="132" t="inlineStr">
        <is>
          <t>Peremndagri 47 tahun 2021, Perda no 3 tahun 2017, Perbup no 94 tahun 2020, Perbup 178 tahun 2020, Perbup 240 Tahun 2024</t>
        </is>
      </c>
      <c r="E152" s="198" t="inlineStr">
        <is>
          <t>https://drive.google.com/file/d/1YRKKugsMdrXTfIPPP5t9vIuPmcSmeJi-/view?usp=sharing</t>
        </is>
      </c>
      <c r="F152" s="184" t="inlineStr">
        <is>
          <t>AKUNTANSI DAN PELAPORAN KEUANGAN</t>
        </is>
      </c>
      <c r="G152" s="184" t="inlineStr">
        <is>
          <t>Instansi Pemerintah Lainnya</t>
        </is>
      </c>
      <c r="H152" s="184" t="inlineStr">
        <is>
          <t>Data belanja modal</t>
        </is>
      </c>
      <c r="I152" s="178" t="inlineStr">
        <is>
          <t>- Laporan neraca
 - Laporan penyusutan
 - Laporan mutasi tambah/kurang aset
 - Laporan KIB</t>
        </is>
      </c>
      <c r="J152" s="184" t="inlineStr">
        <is>
          <t>Tertutup</t>
        </is>
      </c>
      <c r="K152" s="184" t="inlineStr">
        <is>
          <t>Tidak terdapat</t>
        </is>
      </c>
      <c r="L152" s="184" t="inlineStr">
        <is>
          <t>Tahunan</t>
        </is>
      </c>
      <c r="M152" s="184" t="inlineStr">
        <is>
          <t>DIARVIS BMD</t>
        </is>
      </c>
      <c r="N152" s="184" t="inlineStr">
        <is>
          <t>OPD</t>
        </is>
      </c>
      <c r="O152" s="184" t="inlineStr">
        <is>
          <t>Kab. Bandung</t>
        </is>
      </c>
      <c r="P152" s="184" t="inlineStr">
        <is>
          <t>Website</t>
        </is>
      </c>
      <c r="Q152" s="70" t="inlineStr">
        <is>
          <t>https://penatausahaan-dev-bmd.bandungkab.go.id/login#pembukuan</t>
        </is>
      </c>
      <c r="R152" s="184" t="inlineStr">
        <is>
          <t>Secara Online</t>
        </is>
      </c>
      <c r="S152" s="184" t="inlineStr">
        <is>
          <t>Transaksi</t>
        </is>
      </c>
      <c r="T152" s="98" t="n">
        <v>2024</v>
      </c>
      <c r="U152" s="184" t="inlineStr">
        <is>
          <t>Maintenance</t>
        </is>
      </c>
      <c r="V152" s="184" t="inlineStr">
        <is>
          <t>Tidak</t>
        </is>
      </c>
      <c r="W152" s="184" t="inlineStr">
        <is>
          <t>DIARVIS BMD</t>
        </is>
      </c>
      <c r="X152" s="184" t="inlineStr">
        <is>
          <t>API</t>
        </is>
      </c>
      <c r="Y152" s="184" t="inlineStr">
        <is>
          <t>Realtime</t>
        </is>
      </c>
      <c r="Z152" s="184" t="inlineStr">
        <is>
          <t>Bidang BMD</t>
        </is>
      </c>
      <c r="AA152" s="184" t="inlineStr">
        <is>
          <t>BKAD</t>
        </is>
      </c>
      <c r="AB152" s="178" t="inlineStr">
        <is>
          <t>Yohan Nugroho</t>
        </is>
      </c>
      <c r="AC152" s="178" t="n">
        <v>89526465926</v>
      </c>
      <c r="AD152" s="178" t="inlineStr">
        <is>
          <t>jojonugraha33@gmail.com</t>
        </is>
      </c>
      <c r="AE152" s="288" t="n"/>
      <c r="AF152" s="288" t="n"/>
      <c r="AG152" s="284" t="n"/>
      <c r="AH152" s="284" t="n"/>
      <c r="AI152" s="284" t="n"/>
      <c r="AJ152" s="284" t="n"/>
      <c r="AK152" s="284" t="n"/>
      <c r="AL152" s="284" t="n"/>
      <c r="AM152" s="284" t="n"/>
      <c r="AN152" s="284" t="n"/>
      <c r="AO152" s="284" t="n"/>
      <c r="AP152" s="284" t="n"/>
      <c r="AQ152" s="284" t="n"/>
      <c r="AR152" s="284" t="n"/>
    </row>
    <row r="153">
      <c r="A153" s="62" t="n">
        <v>151</v>
      </c>
      <c r="B153" s="132" t="inlineStr">
        <is>
          <t>PERENCANAAN KEBUTUHAN BARANG MILIK DAERAH</t>
        </is>
      </c>
      <c r="C153" s="132" t="inlineStr">
        <is>
          <t>Sebagai media untuk menghimpun usulan Rencana Kebutuhan Barang Milik Daerah (RKBMD) dari seluruh Perangkat Daerah di lingkungan Pemerintah Kabupaten Bandung dalam rangka penyusunan Keputusan Sekretaris Daerah tentang RKBMD</t>
        </is>
      </c>
      <c r="D153" s="132" t="inlineStr">
        <is>
          <t>Permendagri 19 Tahun 2016, Permendagri 7 Tahun 2024</t>
        </is>
      </c>
      <c r="E153" s="198" t="inlineStr">
        <is>
          <t>https://docs.google.com/spreadsheets/d/1GrF7yl0eJIiOHTS8n_w_9Sp-PAVtSvEu/edit?usp=drive_link&amp;ouid=100880423975394660255&amp;rtpof=true&amp;sd=true</t>
        </is>
      </c>
      <c r="F153" s="184" t="inlineStr">
        <is>
          <t>PERENCANAAN DAN PENGANGGARAN APBN</t>
        </is>
      </c>
      <c r="G153" s="184" t="inlineStr">
        <is>
          <t>Instansi Pemerintah Lainnya</t>
        </is>
      </c>
      <c r="H153" s="184" t="inlineStr">
        <is>
          <t>Usulan RKBMD</t>
        </is>
      </c>
      <c r="I153" s="178" t="inlineStr">
        <is>
          <t>Keputusan Sekretaris Daerah Kabupaten Bandung Tentang RKBMD</t>
        </is>
      </c>
      <c r="J153" s="184" t="inlineStr">
        <is>
          <t>Terbuka</t>
        </is>
      </c>
      <c r="K153" s="184" t="inlineStr">
        <is>
          <t>Tidak terdapat</t>
        </is>
      </c>
      <c r="L153" s="184" t="inlineStr">
        <is>
          <t>Tahunan</t>
        </is>
      </c>
      <c r="M153" s="184" t="inlineStr">
        <is>
          <t>RKBMD</t>
        </is>
      </c>
      <c r="N153" s="184" t="inlineStr">
        <is>
          <t>OPD</t>
        </is>
      </c>
      <c r="O153" s="184" t="inlineStr">
        <is>
          <t>Kab. Bandung</t>
        </is>
      </c>
      <c r="P153" s="184" t="inlineStr">
        <is>
          <t>Website</t>
        </is>
      </c>
      <c r="Q153" s="70" t="inlineStr">
        <is>
          <t>rkbmd.e-planningbmd.id</t>
        </is>
      </c>
      <c r="R153" s="184" t="inlineStr">
        <is>
          <t>Secara Online</t>
        </is>
      </c>
      <c r="S153" s="184" t="inlineStr">
        <is>
          <t>Transaksi</t>
        </is>
      </c>
      <c r="T153" s="98" t="n">
        <v>2022</v>
      </c>
      <c r="U153" s="184" t="inlineStr">
        <is>
          <t>Aktif</t>
        </is>
      </c>
      <c r="V153" s="184" t="inlineStr">
        <is>
          <t>Tidak</t>
        </is>
      </c>
      <c r="W153" s="184" t="inlineStr">
        <is>
          <t>E-Planning BMD</t>
        </is>
      </c>
      <c r="X153" s="184" t="inlineStr">
        <is>
          <t>API</t>
        </is>
      </c>
      <c r="Y153" s="184" t="inlineStr">
        <is>
          <t>Realtime</t>
        </is>
      </c>
      <c r="Z153" s="184" t="inlineStr">
        <is>
          <t>Bidang BMD</t>
        </is>
      </c>
      <c r="AA153" s="184" t="inlineStr">
        <is>
          <t>BKAD</t>
        </is>
      </c>
      <c r="AB153" s="178" t="inlineStr">
        <is>
          <t>Linda Indirawati</t>
        </is>
      </c>
      <c r="AC153" s="178" t="n">
        <v>82116915820</v>
      </c>
      <c r="AD153" s="178" t="inlineStr">
        <is>
          <t>indirawatilinda@gmail.com</t>
        </is>
      </c>
      <c r="AE153" s="288" t="n"/>
      <c r="AF153" s="288" t="n"/>
      <c r="AG153" s="284" t="n"/>
      <c r="AH153" s="284" t="n"/>
      <c r="AI153" s="284" t="n"/>
      <c r="AJ153" s="284" t="n"/>
      <c r="AK153" s="284" t="n"/>
      <c r="AL153" s="284" t="n"/>
      <c r="AM153" s="284" t="n"/>
      <c r="AN153" s="284" t="n"/>
      <c r="AO153" s="284" t="n"/>
      <c r="AP153" s="284" t="n"/>
      <c r="AQ153" s="284" t="n"/>
      <c r="AR153" s="284" t="n"/>
    </row>
    <row r="154">
      <c r="A154" s="62" t="n">
        <v>152</v>
      </c>
      <c r="B154" s="132" t="inlineStr">
        <is>
          <t>STANDAR PELAYANAN PENYUSUNAN STANDAR HARGA SATUAN</t>
        </is>
      </c>
      <c r="C154" s="132" t="inlineStr">
        <is>
          <t>SHS menjadi acuan bagi seluruh perangkat daerah dalam menetapkan harga satuan barang dan jasa untuk menyusun rencana kerja dan anggaran (RKA) serta rancangan peraturan daerah tentang APBD</t>
        </is>
      </c>
      <c r="D154" s="132" t="inlineStr">
        <is>
          <t>Perpres 72 Tahun 2025 , Perbup 84 Tahun 2025</t>
        </is>
      </c>
      <c r="E154" s="198" t="inlineStr">
        <is>
          <t>https://drive.google.com/file/d/1pRxS9hpYYxPfeElynApRSPgiKe_xbqQZ/view?usp=drive_link</t>
        </is>
      </c>
      <c r="F154" s="184" t="inlineStr">
        <is>
          <t>PERENCANAAN DAN PENGANGGARAN APBN</t>
        </is>
      </c>
      <c r="G154" s="184" t="inlineStr">
        <is>
          <t>Instansi Pemerintah Lainnya</t>
        </is>
      </c>
      <c r="H154" s="184" t="inlineStr">
        <is>
          <t>Data Usulan SHS meliputi SSH dan SBU</t>
        </is>
      </c>
      <c r="I154" s="178" t="inlineStr">
        <is>
          <t>Data Usulan SHS yang telah diverifikasi oleh Bidang BMD</t>
        </is>
      </c>
      <c r="J154" s="184" t="inlineStr">
        <is>
          <t>Terbuka</t>
        </is>
      </c>
      <c r="K154" s="184" t="inlineStr">
        <is>
          <t>Tidak terdapat</t>
        </is>
      </c>
      <c r="L154" s="184" t="inlineStr">
        <is>
          <t>Tahunan</t>
        </is>
      </c>
      <c r="M154" s="184" t="inlineStr">
        <is>
          <t>KDO</t>
        </is>
      </c>
      <c r="N154" s="184" t="inlineStr">
        <is>
          <t>OPD</t>
        </is>
      </c>
      <c r="O154" s="184" t="inlineStr">
        <is>
          <t>Kab. Bandung</t>
        </is>
      </c>
      <c r="P154" s="184" t="inlineStr">
        <is>
          <t>Website</t>
        </is>
      </c>
      <c r="Q154" s="291" t="inlineStr">
        <is>
          <t>https://kdo.e-planningbmd.id/</t>
        </is>
      </c>
      <c r="R154" s="184" t="inlineStr">
        <is>
          <t>Secara Online</t>
        </is>
      </c>
      <c r="S154" s="184" t="inlineStr">
        <is>
          <t>Transaksi</t>
        </is>
      </c>
      <c r="T154" s="98" t="n">
        <v>2021</v>
      </c>
      <c r="U154" s="184" t="inlineStr">
        <is>
          <t>Aktif</t>
        </is>
      </c>
      <c r="V154" s="184" t="inlineStr">
        <is>
          <t>Ya</t>
        </is>
      </c>
      <c r="W154" s="184" t="inlineStr">
        <is>
          <t>SSHSBU E-Planning</t>
        </is>
      </c>
      <c r="X154" s="184" t="inlineStr">
        <is>
          <t>API</t>
        </is>
      </c>
      <c r="Y154" s="184" t="inlineStr">
        <is>
          <t>Realtime</t>
        </is>
      </c>
      <c r="Z154" s="184" t="inlineStr">
        <is>
          <t>Bidang BMD</t>
        </is>
      </c>
      <c r="AA154" s="184" t="inlineStr">
        <is>
          <t>BKAD</t>
        </is>
      </c>
      <c r="AB154" s="178" t="inlineStr">
        <is>
          <t>Ira</t>
        </is>
      </c>
      <c r="AC154" s="178" t="n">
        <v>87838661789</v>
      </c>
      <c r="AD154" s="178" t="inlineStr">
        <is>
          <t>irair712@gmail.com</t>
        </is>
      </c>
      <c r="AE154" s="288" t="n"/>
      <c r="AF154" s="288" t="n"/>
      <c r="AG154" s="284" t="n"/>
      <c r="AH154" s="284" t="n"/>
      <c r="AI154" s="284" t="n"/>
      <c r="AJ154" s="284" t="n"/>
      <c r="AK154" s="284" t="n"/>
      <c r="AL154" s="284" t="n"/>
      <c r="AM154" s="284" t="n"/>
      <c r="AN154" s="284" t="n"/>
      <c r="AO154" s="284" t="n"/>
      <c r="AP154" s="284" t="n"/>
      <c r="AQ154" s="284" t="n"/>
      <c r="AR154" s="284" t="n"/>
    </row>
    <row r="155">
      <c r="A155" s="62" t="n">
        <v>153</v>
      </c>
      <c r="B155" s="132" t="inlineStr">
        <is>
          <t>PENGHAPUSAN BARANG MILIK DAERAH (BMD)</t>
        </is>
      </c>
      <c r="C155" s="132" t="inlineStr">
        <is>
          <t>Mengelola Proses penghapusan BMD meliputi tiga alur utama: 
 - Pemindahtanganan melalui lelang
 - Pemindahtanganan melalui hibah
 - Pemusnahan
 Setiap alur memiliki persyaratan, prosedur, dan dokumen yang berbeda-beda. Kompleksitas ini sering menghambat pengusul dan proses penghapusan karena proses yang panjang sehingga memakan waktu lama dan rentan terhadap kesalahan administrasi. maka dibuat digitalisasi untuk memudahkan pemohon dan pengelola penghapusan.</t>
        </is>
      </c>
      <c r="D155" s="132" t="inlineStr">
        <is>
          <t>Permendagri No. 7 Tahun 2024 dan Permendagri sebelumnya sebagai pedoman umum,
 Peraturan Pemerintah No. 27 Tahun 2014,
 Peraturan Daerah yang mengatur tata cara pelaksanaan pemindahtanganan, pemusnahan, dan penghapusan</t>
        </is>
      </c>
      <c r="E155" s="132" t="inlineStr">
        <is>
          <t>Belum tersedia</t>
        </is>
      </c>
      <c r="F155" s="184" t="inlineStr">
        <is>
          <t>AKUNTANSI DAN PELAPORAN KEUANGAN</t>
        </is>
      </c>
      <c r="G155" s="184" t="inlineStr">
        <is>
          <t>Instansi Pemerintah Lainnya</t>
        </is>
      </c>
      <c r="H155" s="184" t="inlineStr">
        <is>
          <t>Data Barang Rusak Berat, Data Usulan Penghapusan, Dokumen Proses Penghapusan</t>
        </is>
      </c>
      <c r="I155" s="178" t="inlineStr">
        <is>
          <t>Format Usulan, Informasi Status Progess Penghapusan, SK Penghapusan</t>
        </is>
      </c>
      <c r="J155" s="184" t="inlineStr">
        <is>
          <t>Terbuka</t>
        </is>
      </c>
      <c r="K155" s="184" t="inlineStr">
        <is>
          <t>Tidak terdapat</t>
        </is>
      </c>
      <c r="L155" s="184" t="inlineStr">
        <is>
          <t>Tahunan</t>
        </is>
      </c>
      <c r="M155" s="68" t="inlineStr">
        <is>
          <t>E-PENGHAPUSAN BMD</t>
        </is>
      </c>
      <c r="N155" s="184" t="inlineStr">
        <is>
          <t>Pihak Ke 3</t>
        </is>
      </c>
      <c r="O155" s="184" t="inlineStr">
        <is>
          <t>Kab. Bandung</t>
        </is>
      </c>
      <c r="P155" s="184" t="inlineStr">
        <is>
          <t>Website</t>
        </is>
      </c>
      <c r="Q155" s="70" t="inlineStr">
        <is>
          <t>https://e-penghapusanbmd.id/</t>
        </is>
      </c>
      <c r="R155" s="184" t="inlineStr">
        <is>
          <t>Secara Online</t>
        </is>
      </c>
      <c r="S155" s="184" t="inlineStr">
        <is>
          <t>Transaksi</t>
        </is>
      </c>
      <c r="T155" s="98" t="n">
        <v>2024</v>
      </c>
      <c r="U155" s="184" t="inlineStr">
        <is>
          <t>Aktif</t>
        </is>
      </c>
      <c r="V155" s="184" t="inlineStr">
        <is>
          <t>Tidak</t>
        </is>
      </c>
      <c r="W155" s="184" t="inlineStr">
        <is>
          <t>diarvis (dalam pengembangan)</t>
        </is>
      </c>
      <c r="X155" s="184" t="inlineStr">
        <is>
          <t>API</t>
        </is>
      </c>
      <c r="Y155" s="184" t="inlineStr">
        <is>
          <t>Lainnya</t>
        </is>
      </c>
      <c r="Z155" s="184" t="inlineStr">
        <is>
          <t>BMD</t>
        </is>
      </c>
      <c r="AA155" s="184" t="inlineStr">
        <is>
          <t>BKAD</t>
        </is>
      </c>
      <c r="AB155" s="178" t="inlineStr">
        <is>
          <t>indra</t>
        </is>
      </c>
      <c r="AC155" s="178" t="n">
        <v>82116608826</v>
      </c>
      <c r="AD155" s="178" t="inlineStr">
        <is>
          <t>indratroya@gmail.com</t>
        </is>
      </c>
      <c r="AE155" s="288" t="n"/>
      <c r="AF155" s="288" t="n"/>
      <c r="AG155" s="284" t="n"/>
      <c r="AH155" s="284" t="n"/>
      <c r="AI155" s="284" t="n"/>
      <c r="AJ155" s="284" t="n"/>
      <c r="AK155" s="284" t="n"/>
      <c r="AL155" s="284" t="n"/>
      <c r="AM155" s="284" t="n"/>
      <c r="AN155" s="284" t="n"/>
      <c r="AO155" s="284" t="n"/>
      <c r="AP155" s="284" t="n"/>
      <c r="AQ155" s="284" t="n"/>
      <c r="AR155" s="284" t="n"/>
    </row>
    <row r="156">
      <c r="A156" s="62" t="n">
        <v>154</v>
      </c>
      <c r="B156" s="132" t="inlineStr">
        <is>
          <t>DIGITALISASI PENCATATAN PERSEDIAAN BARANG</t>
        </is>
      </c>
      <c r="C156" s="76" t="inlineStr">
        <is>
          <t>Digitalisasi ini bertujuan untuk membantu OPD dalam mengelola persediaan barang secara lebih efektif, terstruktur, akurat dan realtime. Dengan digitalisasi, pencatatan transaksi keluar-masuk barang dapat dilakukan secara otomatis dan terdokumentasi dengan baik sehingga meminimalkan kesalahan manual, mempercepat proses administrasi, serta mendukung pengambilan keputusan berdasarkan data yang valid</t>
        </is>
      </c>
      <c r="D156" s="132" t="inlineStr">
        <is>
          <t>Permendagri 47 Tahun 2021</t>
        </is>
      </c>
      <c r="E156" s="132" t="inlineStr">
        <is>
          <t>Belum tersedia</t>
        </is>
      </c>
      <c r="F156" s="184" t="inlineStr">
        <is>
          <t>AKUNTANSI DAN PELAPORAN KEUANGAN</t>
        </is>
      </c>
      <c r="G156" s="184" t="inlineStr">
        <is>
          <t>Instansi Pemerintah Lainnya</t>
        </is>
      </c>
      <c r="H156" s="184" t="inlineStr">
        <is>
          <t>Data Transaksi Masuk dan keluar barang pakai habis</t>
        </is>
      </c>
      <c r="I156" s="76" t="inlineStr">
        <is>
          <t>- Laporan stockopname
 - Riwayat transaksi
 - Kartu barang persdiaan
 - Laporan Penggunaan barang
 - Laporan barag rusak/usang
 - Rekapitulasi nilai persediaan</t>
        </is>
      </c>
      <c r="J156" s="184" t="inlineStr">
        <is>
          <t>Terbuka</t>
        </is>
      </c>
      <c r="K156" s="184" t="inlineStr">
        <is>
          <t>Tidak terdapat</t>
        </is>
      </c>
      <c r="L156" s="184" t="inlineStr">
        <is>
          <t>Harian</t>
        </is>
      </c>
      <c r="M156" s="184" t="inlineStr">
        <is>
          <t>e-PERSEDIAAN</t>
        </is>
      </c>
      <c r="N156" s="184" t="inlineStr">
        <is>
          <t>OPD</t>
        </is>
      </c>
      <c r="O156" s="184" t="inlineStr">
        <is>
          <t>Kab. Bandung</t>
        </is>
      </c>
      <c r="P156" s="184" t="inlineStr">
        <is>
          <t>Website</t>
        </is>
      </c>
      <c r="Q156" s="70" t="inlineStr">
        <is>
          <t>https://persediaanbmd.bandungkab.go.id/</t>
        </is>
      </c>
      <c r="R156" s="184" t="inlineStr">
        <is>
          <t>Secara Online</t>
        </is>
      </c>
      <c r="S156" s="184" t="inlineStr">
        <is>
          <t>Transaksi</t>
        </is>
      </c>
      <c r="T156" s="98" t="n">
        <v>2023</v>
      </c>
      <c r="U156" s="184" t="inlineStr">
        <is>
          <t>Aktif</t>
        </is>
      </c>
      <c r="V156" s="184" t="inlineStr">
        <is>
          <t>Ya</t>
        </is>
      </c>
      <c r="W156" s="184" t="inlineStr">
        <is>
          <t>e-penghapusan dan diarvis (dalam pengembangan)</t>
        </is>
      </c>
      <c r="X156" s="184" t="inlineStr">
        <is>
          <t>API</t>
        </is>
      </c>
      <c r="Y156" s="184" t="inlineStr">
        <is>
          <t>Lainnya</t>
        </is>
      </c>
      <c r="Z156" s="184" t="inlineStr">
        <is>
          <t>Barang Milik Daerah</t>
        </is>
      </c>
      <c r="AA156" s="184" t="inlineStr">
        <is>
          <t>BKAD</t>
        </is>
      </c>
      <c r="AB156" s="178" t="inlineStr">
        <is>
          <t>Cecep Sutisna</t>
        </is>
      </c>
      <c r="AC156" s="178" t="n">
        <v>83822355705</v>
      </c>
      <c r="AD156" s="178" t="inlineStr">
        <is>
          <t>cecepsutisna488@gmail.com</t>
        </is>
      </c>
      <c r="AE156" s="288" t="n"/>
      <c r="AF156" s="288" t="n"/>
      <c r="AG156" s="284" t="n"/>
      <c r="AH156" s="284" t="n"/>
      <c r="AI156" s="284" t="n"/>
      <c r="AJ156" s="284" t="n"/>
      <c r="AK156" s="284" t="n"/>
      <c r="AL156" s="284" t="n"/>
      <c r="AM156" s="284" t="n"/>
      <c r="AN156" s="284" t="n"/>
      <c r="AO156" s="284" t="n"/>
      <c r="AP156" s="284" t="n"/>
      <c r="AQ156" s="284" t="n"/>
      <c r="AR156" s="284" t="n"/>
    </row>
    <row r="157">
      <c r="A157" s="62" t="n">
        <v>155</v>
      </c>
      <c r="B157" s="201" t="inlineStr">
        <is>
          <t>Pendaftaran Objek Pajak Baru Pajak Bumi dan Bangunan Perdesaan dan Perkotaan (PBB-P2)</t>
        </is>
      </c>
      <c r="C157" s="201" t="inlineStr">
        <is>
          <t>Layanan yang disediakan oleh Badan Pendapatan Daerah bagi masyarakat untuk pendaftaran objek pajak baru kategori Pajak Bumi dan Bangunan Perdesaan dan Perkotaan (PBB-P2).</t>
        </is>
      </c>
      <c r="D157" s="201" t="inlineStr">
        <is>
          <t>1. Peraturan Daerah Kabupaten Bandung Nomor 10 Tahun 2023 tentang Pajak Daerah dan Retribusi Daerah
 2. Peraturan Bupati Bandung Nomor 289 Tahun 2023 tentang Tata Cara Pemungutan Pajak Daerah</t>
        </is>
      </c>
      <c r="E157" s="70" t="inlineStr">
        <is>
          <t>https://drive.google.com/file/d/1EleK6UBDx7lBx-8YOCfg6TAbMx8HdYBj/view?usp=sharing</t>
        </is>
      </c>
      <c r="F157" s="176" t="inlineStr">
        <is>
          <t>PENINGKATAN KUALITAS PELAYANAN PUBLIK</t>
        </is>
      </c>
      <c r="G157" s="184" t="inlineStr">
        <is>
          <t>Masyarakat &amp; Pelaku Bisnis</t>
        </is>
      </c>
      <c r="H157" s="201" t="inlineStr">
        <is>
          <t>1. KTP
 2. NPWP
 3. Data Objek Pajak yang sesuai dengan bukti kepemilikan
 4. SPOP
 5. LSPOP</t>
        </is>
      </c>
      <c r="I157" s="201" t="inlineStr">
        <is>
          <t>SPPT PBB-P2</t>
        </is>
      </c>
      <c r="J157" s="176" t="inlineStr">
        <is>
          <t>Terbatas</t>
        </is>
      </c>
      <c r="K157" s="176" t="inlineStr">
        <is>
          <t>Terdapat</t>
        </is>
      </c>
      <c r="L157" s="176" t="inlineStr">
        <is>
          <t>Harian</t>
        </is>
      </c>
      <c r="M157" s="184" t="inlineStr">
        <is>
          <t>SISMIOP</t>
        </is>
      </c>
      <c r="N157" s="176" t="inlineStr">
        <is>
          <t>Pihak Ke 3</t>
        </is>
      </c>
      <c r="O157" s="176" t="inlineStr">
        <is>
          <t>Kab. Bandung</t>
        </is>
      </c>
      <c r="P157" s="176" t="inlineStr">
        <is>
          <t>Website</t>
        </is>
      </c>
      <c r="Q157" s="70" t="inlineStr">
        <is>
          <t>pbb-online.bandungkab.go.id</t>
        </is>
      </c>
      <c r="R157" s="176" t="inlineStr">
        <is>
          <t>Secara Online</t>
        </is>
      </c>
      <c r="S157" s="176" t="inlineStr">
        <is>
          <t>Transaksi</t>
        </is>
      </c>
      <c r="T157" s="176" t="n">
        <v>2012</v>
      </c>
      <c r="U157" s="176" t="inlineStr">
        <is>
          <t>Aktif</t>
        </is>
      </c>
      <c r="V157" s="176" t="inlineStr">
        <is>
          <t>Ya</t>
        </is>
      </c>
      <c r="W157" s="201" t="inlineStr">
        <is>
          <t>1. Dashboard Pimpinan
 2. Bank BJB</t>
        </is>
      </c>
      <c r="X157" s="176" t="inlineStr">
        <is>
          <t>API</t>
        </is>
      </c>
      <c r="Y157" s="176" t="inlineStr">
        <is>
          <t>Realtime</t>
        </is>
      </c>
      <c r="Z157" s="201" t="inlineStr">
        <is>
          <t>Bidang Pajak II</t>
        </is>
      </c>
      <c r="AA157" s="176" t="inlineStr">
        <is>
          <t>Bapenda</t>
        </is>
      </c>
      <c r="AB157" s="201" t="inlineStr">
        <is>
          <t>Ipang Maulana Ibrahim</t>
        </is>
      </c>
      <c r="AC157" s="201" t="n">
        <v>81321159892</v>
      </c>
      <c r="AD157" s="176" t="inlineStr">
        <is>
          <t>-</t>
        </is>
      </c>
      <c r="AE157" s="288" t="n"/>
      <c r="AF157" s="288" t="n"/>
      <c r="AG157" s="202" t="n"/>
      <c r="AH157" s="284" t="n"/>
      <c r="AI157" s="284" t="n"/>
      <c r="AJ157" s="284" t="n"/>
      <c r="AK157" s="284" t="n"/>
      <c r="AL157" s="284" t="n"/>
      <c r="AM157" s="284" t="n"/>
      <c r="AN157" s="284" t="n"/>
      <c r="AO157" s="284" t="n"/>
      <c r="AP157" s="284" t="n"/>
      <c r="AQ157" s="284" t="n"/>
      <c r="AR157" s="284" t="n"/>
    </row>
    <row r="158">
      <c r="A158" s="62" t="n">
        <v>156</v>
      </c>
      <c r="B158" s="201" t="inlineStr">
        <is>
          <t>Penerbitan Salinan Surat Pemberitahuan Pajak Terhutang (SPPT) Pajak Bumi dan Bangunan Perdesaan dan Perkotaan (PBB-P2)</t>
        </is>
      </c>
      <c r="C158" s="201" t="inlineStr">
        <is>
          <t>Layanan yang disediakan oleh Badan Pendapatan Daerah bagi masyarakat untuk penerbitan Salinan Surat Pemberitahuan Pajak Terhutang (SPPT) Pajak Bumi dan Bangunan Perdesaan dan Perkotaan (PBB-P2).</t>
        </is>
      </c>
      <c r="D158" s="201" t="inlineStr">
        <is>
          <t>1. Peraturan Daerah Kabupaten Bandung Nomor 10 Tahun 2023 tentang Pajak Daerah dan Retribusi Daerah
 2. Peraturan Bupati Bandung Nomor 289 Tahun 2023 tentang Tata Cara Pemungutan Pajak Daerah</t>
        </is>
      </c>
      <c r="E158" s="70" t="inlineStr">
        <is>
          <t>https://drive.google.com/file/d/1CloKUh40TI8aJ_npp4ASJNSlnRVawVBn/view?usp=sharing</t>
        </is>
      </c>
      <c r="F158" s="176" t="inlineStr">
        <is>
          <t>PENINGKATAN KUALITAS PELAYANAN PUBLIK</t>
        </is>
      </c>
      <c r="G158" s="184" t="inlineStr">
        <is>
          <t>Masyarakat &amp; Pelaku Bisnis</t>
        </is>
      </c>
      <c r="H158" s="201" t="inlineStr">
        <is>
          <t>1. NOP
 2. Tahun Pajak SPPT PBB-P2</t>
        </is>
      </c>
      <c r="I158" s="201" t="inlineStr">
        <is>
          <t>SPPT PBB-P2</t>
        </is>
      </c>
      <c r="J158" s="176" t="inlineStr">
        <is>
          <t>Terbatas</t>
        </is>
      </c>
      <c r="K158" s="176" t="inlineStr">
        <is>
          <t>Terdapat</t>
        </is>
      </c>
      <c r="L158" s="176" t="inlineStr">
        <is>
          <t>Harian</t>
        </is>
      </c>
      <c r="M158" s="184" t="inlineStr">
        <is>
          <t>Aplikasi Cetak SPPT</t>
        </is>
      </c>
      <c r="N158" s="176" t="inlineStr">
        <is>
          <t>OPD</t>
        </is>
      </c>
      <c r="O158" s="176" t="inlineStr">
        <is>
          <t>Kab. Bandung</t>
        </is>
      </c>
      <c r="P158" s="176" t="inlineStr">
        <is>
          <t>Website</t>
        </is>
      </c>
      <c r="Q158" s="201" t="inlineStr">
        <is>
          <t>192.168.255.225/bandung-cetak/cetak-SPPT</t>
        </is>
      </c>
      <c r="R158" s="176" t="inlineStr">
        <is>
          <t>Secara Online</t>
        </is>
      </c>
      <c r="S158" s="176" t="inlineStr">
        <is>
          <t>Transaksi</t>
        </is>
      </c>
      <c r="T158" s="176" t="n">
        <v>2023</v>
      </c>
      <c r="U158" s="176" t="inlineStr">
        <is>
          <t>Aktif</t>
        </is>
      </c>
      <c r="V158" s="176" t="inlineStr">
        <is>
          <t>Ya</t>
        </is>
      </c>
      <c r="W158" s="201" t="inlineStr">
        <is>
          <t>1. Dashboard Pimpinan
 2. Bank BJB</t>
        </is>
      </c>
      <c r="X158" s="176" t="inlineStr">
        <is>
          <t>API</t>
        </is>
      </c>
      <c r="Y158" s="176" t="inlineStr">
        <is>
          <t>Realtime</t>
        </is>
      </c>
      <c r="Z158" s="201" t="inlineStr">
        <is>
          <t>Bidang Pajak II</t>
        </is>
      </c>
      <c r="AA158" s="176" t="inlineStr">
        <is>
          <t>Bapenda</t>
        </is>
      </c>
      <c r="AB158" s="201" t="inlineStr">
        <is>
          <t>Ipang Maulana Ibrahim</t>
        </is>
      </c>
      <c r="AC158" s="201" t="n">
        <v>81321159892</v>
      </c>
      <c r="AD158" s="176" t="inlineStr">
        <is>
          <t>-</t>
        </is>
      </c>
      <c r="AE158" s="288" t="n"/>
      <c r="AF158" s="288" t="n"/>
      <c r="AG158" s="202" t="n"/>
      <c r="AH158" s="284" t="n"/>
      <c r="AI158" s="284" t="n"/>
      <c r="AJ158" s="284" t="n"/>
      <c r="AK158" s="284" t="n"/>
      <c r="AL158" s="284" t="n"/>
      <c r="AM158" s="284" t="n"/>
      <c r="AN158" s="284" t="n"/>
      <c r="AO158" s="284" t="n"/>
      <c r="AP158" s="284" t="n"/>
      <c r="AQ158" s="284" t="n"/>
      <c r="AR158" s="284" t="n"/>
    </row>
    <row r="159">
      <c r="A159" s="62" t="n">
        <v>157</v>
      </c>
      <c r="B159" s="201" t="inlineStr">
        <is>
          <t>Validasi Bea Perolehan Hak atas Tanah dan Bangunan (BPHTB)</t>
        </is>
      </c>
      <c r="C159" s="201" t="inlineStr">
        <is>
          <t>Layanan yang disediakan oleh Badan Pendapatan Daerah bagi masyarakat untuk melakukan validasi (pengujian/pengesahan) terhadap Bea Perolehan Hak atas Tanah dan Bangunan (BPHTB) agar sesuai dengan standar dan tujuannya.</t>
        </is>
      </c>
      <c r="D159" s="201" t="inlineStr">
        <is>
          <t>1. Peraturan Daerah Kabupaten Bandung Nomor 10 Tahun 2023 tentang Pajak Daerah dan Retribusi Daerah
 2. Peraturan Bupati Bandung Nomor 289 Tahun 2023 tentang Tata Cara Pemungutan Pajak Daerah</t>
        </is>
      </c>
      <c r="E159" s="70" t="inlineStr">
        <is>
          <t>https://drive.google.com/drive/folders/1psrMJUnyozjImYwLa6s5MSyj6ohEJYQO?usp=sharing</t>
        </is>
      </c>
      <c r="F159" s="176" t="inlineStr">
        <is>
          <t>PENINGKATAN KUALITAS PELAYANAN PUBLIK</t>
        </is>
      </c>
      <c r="G159" s="184" t="inlineStr">
        <is>
          <t>Masyarakat &amp; Pelaku Bisnis</t>
        </is>
      </c>
      <c r="H159" s="201" t="inlineStr">
        <is>
          <t>1. KTP
 2. NPWP
 3. NOP PBB-P2
 4. Bukti Kepemilikan (SHM/Akte Jual Beli)
 5. Kwitansi (untuk harga transaksi)</t>
        </is>
      </c>
      <c r="I159" s="201" t="inlineStr">
        <is>
          <t>SSPD BPHTB</t>
        </is>
      </c>
      <c r="J159" s="176" t="inlineStr">
        <is>
          <t>Terbatas</t>
        </is>
      </c>
      <c r="K159" s="176" t="inlineStr">
        <is>
          <t>Terdapat</t>
        </is>
      </c>
      <c r="L159" s="176" t="inlineStr">
        <is>
          <t>Harian</t>
        </is>
      </c>
      <c r="M159" s="184" t="inlineStr">
        <is>
          <t>e-BPHTB Sibedas Tangguh</t>
        </is>
      </c>
      <c r="N159" s="176" t="inlineStr">
        <is>
          <t>Pihak Ke 3</t>
        </is>
      </c>
      <c r="O159" s="176" t="inlineStr">
        <is>
          <t>Kab. Bandung</t>
        </is>
      </c>
      <c r="P159" s="176" t="inlineStr">
        <is>
          <t>Website</t>
        </is>
      </c>
      <c r="Q159" s="70" t="inlineStr">
        <is>
          <t>https://bphtb2.bandungkab.go.id/</t>
        </is>
      </c>
      <c r="R159" s="176" t="inlineStr">
        <is>
          <t>Secara Online</t>
        </is>
      </c>
      <c r="S159" s="176" t="inlineStr">
        <is>
          <t>Transaksi</t>
        </is>
      </c>
      <c r="T159" s="176" t="n">
        <v>2025</v>
      </c>
      <c r="U159" s="176" t="inlineStr">
        <is>
          <t>Aktif</t>
        </is>
      </c>
      <c r="V159" s="176" t="inlineStr">
        <is>
          <t>Ya</t>
        </is>
      </c>
      <c r="W159" s="201" t="inlineStr">
        <is>
          <t>1. Dashboard Pimpinan
 2. Bank BJB</t>
        </is>
      </c>
      <c r="X159" s="176" t="inlineStr">
        <is>
          <t>API</t>
        </is>
      </c>
      <c r="Y159" s="176" t="inlineStr">
        <is>
          <t>Realtime</t>
        </is>
      </c>
      <c r="Z159" s="201" t="inlineStr">
        <is>
          <t>Bidang Pajak II</t>
        </is>
      </c>
      <c r="AA159" s="176" t="inlineStr">
        <is>
          <t>Bapenda</t>
        </is>
      </c>
      <c r="AB159" s="201" t="inlineStr">
        <is>
          <t>Ipang Maulana Ibrahim</t>
        </is>
      </c>
      <c r="AC159" s="201" t="n">
        <v>81321159892</v>
      </c>
      <c r="AD159" s="176" t="inlineStr">
        <is>
          <t>-</t>
        </is>
      </c>
      <c r="AE159" s="288" t="n"/>
      <c r="AF159" s="288" t="n"/>
      <c r="AG159" s="202" t="n"/>
      <c r="AH159" s="284" t="n"/>
      <c r="AI159" s="284" t="n"/>
      <c r="AJ159" s="284" t="n"/>
      <c r="AK159" s="284" t="n"/>
      <c r="AL159" s="284" t="n"/>
      <c r="AM159" s="284" t="n"/>
      <c r="AN159" s="284" t="n"/>
      <c r="AO159" s="284" t="n"/>
      <c r="AP159" s="284" t="n"/>
      <c r="AQ159" s="284" t="n"/>
      <c r="AR159" s="284" t="n"/>
    </row>
    <row r="160">
      <c r="A160" s="62" t="n">
        <v>158</v>
      </c>
      <c r="B160" s="201" t="inlineStr">
        <is>
          <t>Penetapan Pajak Daerah:
 PBJT Makanan dan/atau Minuman, PBJT Jasa Perhotelan, PBJT Jasa Parkir, PBJT Jasa Kesenian dan Hiburan, Pajak Reklame, Pajak Mineral Bukan Logam dan Batuan (MBLB) dan Pajak Air Tanah</t>
        </is>
      </c>
      <c r="C160" s="201" t="inlineStr">
        <is>
          <t>Layanan yang disediakan oleh Badan Pendapatan Daerah bagi masyarakat dalam hal menetapkan pajak daerah untuk kategori:
 1. PBJT Makanan dan/atau Minuman
 2. PBJT Jasa Perhotelan
 3. PBJT Jasa Parkir
 4. PBJT Jasa Kesenian dan Hiburan
 5. Pajak Reklame
 6. Pajak Mineral Bukan Logam dan Batuan (MBLB)
 7. Pajak Air Tanah</t>
        </is>
      </c>
      <c r="D160" s="201" t="inlineStr">
        <is>
          <t>1. Peraturan Daerah Kabupaten Bandung Nomor 10 Tahun 2023 tentang Pajak Daerah dan Retribusi Daerah
 2. Peraturan Bupati Bandung Nomor 289 Tahun 2023 tentang Tata Cara Pemungutan Pajak Daerah</t>
        </is>
      </c>
      <c r="E160" s="70" t="inlineStr">
        <is>
          <t>https://drive.google.com/drive/folders/1YBsK-2pdfsgxA-SPqsa5WMZzipvbo0Zl?usp=sharing</t>
        </is>
      </c>
      <c r="F160" s="176" t="inlineStr">
        <is>
          <t>PENINGKATAN KUALITAS PELAYANAN PUBLIK</t>
        </is>
      </c>
      <c r="G160" s="184" t="inlineStr">
        <is>
          <t>Masyarakat &amp; Pelaku Bisnis</t>
        </is>
      </c>
      <c r="H160" s="201" t="inlineStr">
        <is>
          <t>Nilai Pajak SPTPD</t>
        </is>
      </c>
      <c r="I160" s="201" t="inlineStr">
        <is>
          <t>Surat Ketetapan Pajak Daerah (SKPD)</t>
        </is>
      </c>
      <c r="J160" s="176" t="inlineStr">
        <is>
          <t>Terbatas</t>
        </is>
      </c>
      <c r="K160" s="176" t="inlineStr">
        <is>
          <t>Terdapat</t>
        </is>
      </c>
      <c r="L160" s="176" t="inlineStr">
        <is>
          <t>Harian</t>
        </is>
      </c>
      <c r="M160" s="184" t="inlineStr">
        <is>
          <t>SIP-PAD</t>
        </is>
      </c>
      <c r="N160" s="176" t="inlineStr">
        <is>
          <t>Pihak Ke 3</t>
        </is>
      </c>
      <c r="O160" s="176" t="inlineStr">
        <is>
          <t>Kab. Bandung</t>
        </is>
      </c>
      <c r="P160" s="176" t="inlineStr">
        <is>
          <t>Website dan Mobile</t>
        </is>
      </c>
      <c r="Q160" s="70" t="inlineStr">
        <is>
          <t>https://e-pad.bandungkab.go.id/index.php/user/login</t>
        </is>
      </c>
      <c r="R160" s="176" t="inlineStr">
        <is>
          <t>Secara Online</t>
        </is>
      </c>
      <c r="S160" s="176" t="inlineStr">
        <is>
          <t>Transaksi</t>
        </is>
      </c>
      <c r="T160" s="176" t="n">
        <v>2020</v>
      </c>
      <c r="U160" s="176" t="inlineStr">
        <is>
          <t>Aktif</t>
        </is>
      </c>
      <c r="V160" s="176" t="inlineStr">
        <is>
          <t>Ya</t>
        </is>
      </c>
      <c r="W160" s="201" t="inlineStr">
        <is>
          <t>e-SPTPD (Eletronik Surat Pemberitahuan Pajak Daerah)</t>
        </is>
      </c>
      <c r="X160" s="176" t="inlineStr">
        <is>
          <t>API</t>
        </is>
      </c>
      <c r="Y160" s="176" t="inlineStr">
        <is>
          <t>Realtime</t>
        </is>
      </c>
      <c r="Z160" s="201" t="inlineStr">
        <is>
          <t>Bidang Pajak I</t>
        </is>
      </c>
      <c r="AA160" s="176" t="inlineStr">
        <is>
          <t>Bapenda</t>
        </is>
      </c>
      <c r="AB160" s="201" t="inlineStr">
        <is>
          <t>Tri Putra Apriyono</t>
        </is>
      </c>
      <c r="AC160" s="201" t="n">
        <v>82240473904</v>
      </c>
      <c r="AD160" s="176" t="inlineStr">
        <is>
          <t>-</t>
        </is>
      </c>
      <c r="AE160" s="288" t="n"/>
      <c r="AF160" s="288" t="n"/>
      <c r="AG160" s="202" t="n"/>
      <c r="AH160" s="284" t="n"/>
      <c r="AI160" s="284" t="n"/>
      <c r="AJ160" s="284" t="n"/>
      <c r="AK160" s="284" t="n"/>
      <c r="AL160" s="284" t="n"/>
      <c r="AM160" s="284" t="n"/>
      <c r="AN160" s="284" t="n"/>
      <c r="AO160" s="284" t="n"/>
      <c r="AP160" s="284" t="n"/>
      <c r="AQ160" s="284" t="n"/>
      <c r="AR160" s="284" t="n"/>
    </row>
    <row r="161">
      <c r="A161" s="62" t="n">
        <v>159</v>
      </c>
      <c r="B161" s="204" t="n"/>
      <c r="C161" s="204" t="n"/>
      <c r="D161" s="204" t="n"/>
      <c r="E161" s="204" t="n"/>
      <c r="F161" s="204" t="n"/>
      <c r="G161" s="288" t="inlineStr">
        <is>
          <t>Pegawai</t>
        </is>
      </c>
      <c r="H161" s="204" t="n"/>
      <c r="I161" s="204" t="n"/>
      <c r="J161" s="204" t="n"/>
      <c r="K161" s="204" t="n"/>
      <c r="L161" s="204" t="n"/>
      <c r="M161" s="184" t="inlineStr">
        <is>
          <t>DHE</t>
        </is>
      </c>
      <c r="N161" s="176" t="inlineStr">
        <is>
          <t>Diskominfo</t>
        </is>
      </c>
      <c r="O161" s="176" t="inlineStr">
        <is>
          <t>Kab. Bandung</t>
        </is>
      </c>
      <c r="P161" s="176" t="inlineStr">
        <is>
          <t>Website dan Mobile</t>
        </is>
      </c>
      <c r="Q161" s="70" t="inlineStr">
        <is>
          <t>https://e-absensi.bandungkab.go.id/login</t>
        </is>
      </c>
      <c r="R161" s="176" t="inlineStr">
        <is>
          <t>Secara Online</t>
        </is>
      </c>
      <c r="S161" s="176" t="inlineStr">
        <is>
          <t>Transaksi</t>
        </is>
      </c>
      <c r="T161" s="176" t="inlineStr">
        <is>
          <t>-</t>
        </is>
      </c>
      <c r="U161" s="176" t="inlineStr">
        <is>
          <t>Aktif</t>
        </is>
      </c>
      <c r="V161" s="176" t="inlineStr">
        <is>
          <t>Ya</t>
        </is>
      </c>
      <c r="W161" s="176" t="inlineStr">
        <is>
          <t>SASIKAP EVO</t>
        </is>
      </c>
      <c r="X161" s="176" t="inlineStr">
        <is>
          <t>Database to Database</t>
        </is>
      </c>
      <c r="Y161" s="176" t="inlineStr">
        <is>
          <t>Harian</t>
        </is>
      </c>
      <c r="Z161" s="176" t="inlineStr">
        <is>
          <t>-</t>
        </is>
      </c>
      <c r="AA161" s="176" t="inlineStr">
        <is>
          <t>Diskominfo</t>
        </is>
      </c>
      <c r="AB161" s="204" t="n"/>
      <c r="AC161" s="204" t="n"/>
      <c r="AD161" s="204" t="n"/>
      <c r="AE161" s="288" t="n"/>
      <c r="AF161" s="288" t="n"/>
      <c r="AG161" s="202" t="n"/>
      <c r="AH161" s="284" t="n"/>
      <c r="AI161" s="284" t="n"/>
      <c r="AJ161" s="284" t="n"/>
      <c r="AK161" s="284" t="n"/>
      <c r="AL161" s="284" t="n"/>
      <c r="AM161" s="284" t="n"/>
      <c r="AN161" s="284" t="n"/>
      <c r="AO161" s="284" t="n"/>
      <c r="AP161" s="284" t="n"/>
      <c r="AQ161" s="284" t="n"/>
      <c r="AR161" s="284" t="n"/>
    </row>
    <row r="162">
      <c r="A162" s="62" t="n">
        <v>160</v>
      </c>
      <c r="B162" s="208" t="inlineStr">
        <is>
          <t>Layanan Pengelolaan Kinerja ASN</t>
        </is>
      </c>
      <c r="C162" s="208" t="inlineStr">
        <is>
          <t>Layanan Pengelolaan Penilaian Kinerja ASN di Lingkungan Pemerintah Kabupaten Bandung untuk mewujudkan suatu layanan kepegawaian yang cepat, efektif, efisien, dan akurat dengan memanfaatkan teknologi komunikasi dan informasi berupa sistem yang terpadu meliputi pendataan, pengolahan, prosedur, sumber daya manusia, dan teknologi informasi.</t>
        </is>
      </c>
      <c r="D162" s="208" t="inlineStr">
        <is>
          <t>Peraturan Bupati Bandung No. 341 Tahun 2022 Tentang Pengelolaan Kinerja ASN dan Perubahan No. 273 Tahun 2023 Tentang Perubahan Atas Peraturan Bupati Bandung No. 341 Tahun 2022 Tentang Pengelolaan Kinerja ASN</t>
        </is>
      </c>
      <c r="E162" s="70" t="inlineStr">
        <is>
          <t>https://drive.google.com/file/d/1-u8BdMLGCu4aICHYLsA_St6eYZj99BZB/view?usp=drive_link</t>
        </is>
      </c>
      <c r="F162" s="208" t="inlineStr">
        <is>
          <t>PENATAAN SUMBER DAYA MANUSIA APARATUR</t>
        </is>
      </c>
      <c r="G162" s="208" t="inlineStr">
        <is>
          <t>Pegawai</t>
        </is>
      </c>
      <c r="H162" s="209" t="inlineStr">
        <is>
          <t>Data Pengguna</t>
        </is>
      </c>
      <c r="I162" s="208" t="inlineStr">
        <is>
          <t>Produk Hasil Penilaian Kinerja ASN, seperti Laporan Kinerja Bulanan dan Sasaran Kinerja Pegawai Tahunan</t>
        </is>
      </c>
      <c r="J162" s="208" t="inlineStr">
        <is>
          <t>Terbatas</t>
        </is>
      </c>
      <c r="K162" s="208" t="inlineStr">
        <is>
          <t>Terdapat</t>
        </is>
      </c>
      <c r="L162" s="208" t="inlineStr">
        <is>
          <t>Harian</t>
        </is>
      </c>
      <c r="M162" s="184" t="inlineStr">
        <is>
          <t>SASIKAP EVO</t>
        </is>
      </c>
      <c r="N162" s="208" t="inlineStr">
        <is>
          <t>Pihak Ke 3</t>
        </is>
      </c>
      <c r="O162" s="208" t="inlineStr">
        <is>
          <t>Kab. Bandung</t>
        </is>
      </c>
      <c r="P162" s="208" t="inlineStr">
        <is>
          <t>Website</t>
        </is>
      </c>
      <c r="Q162" s="75" t="inlineStr">
        <is>
          <t>https://sso.bandungkab.go.id</t>
        </is>
      </c>
      <c r="R162" s="208" t="inlineStr">
        <is>
          <t>Secara Online</t>
        </is>
      </c>
      <c r="S162" s="208" t="inlineStr">
        <is>
          <t>Transaksi</t>
        </is>
      </c>
      <c r="T162" s="209" t="n">
        <v>2017</v>
      </c>
      <c r="U162" s="208" t="inlineStr">
        <is>
          <t>Aktif</t>
        </is>
      </c>
      <c r="V162" s="208" t="inlineStr">
        <is>
          <t>Ya</t>
        </is>
      </c>
      <c r="W162" s="209" t="inlineStr">
        <is>
          <t>DHE ASN</t>
        </is>
      </c>
      <c r="X162" s="208" t="inlineStr">
        <is>
          <t>Database to Database</t>
        </is>
      </c>
      <c r="Y162" s="208" t="inlineStr">
        <is>
          <t>Harian</t>
        </is>
      </c>
      <c r="Z162" s="209" t="inlineStr">
        <is>
          <t>Bidang Penilaian Kinerja dan Pengembangan ASN</t>
        </is>
      </c>
      <c r="AA162" s="208" t="inlineStr">
        <is>
          <t>BKPSDM</t>
        </is>
      </c>
      <c r="AB162" s="208" t="inlineStr">
        <is>
          <t>DEDI RADI, S.Kom M.M.</t>
        </is>
      </c>
      <c r="AC162" s="208" t="n">
        <v>82133111001</v>
      </c>
      <c r="AD162" s="75" t="inlineStr">
        <is>
          <t>dediradi@gmail.com</t>
        </is>
      </c>
      <c r="AE162" s="210" t="n">
        <v>28</v>
      </c>
      <c r="AF162" s="210" t="inlineStr">
        <is>
          <t>Insidentil</t>
        </is>
      </c>
      <c r="AG162" s="211" t="n"/>
      <c r="AH162" s="284" t="n"/>
      <c r="AI162" s="284" t="n"/>
      <c r="AJ162" s="284" t="n"/>
      <c r="AK162" s="284" t="n"/>
      <c r="AL162" s="284" t="n"/>
      <c r="AM162" s="284" t="n"/>
      <c r="AN162" s="284" t="n"/>
      <c r="AO162" s="284" t="n"/>
      <c r="AP162" s="284" t="n"/>
      <c r="AQ162" s="284" t="n"/>
      <c r="AR162" s="284" t="n"/>
    </row>
    <row r="163" hidden="1" s="346">
      <c r="A163" s="62" t="n">
        <v>161</v>
      </c>
      <c r="B163" s="178" t="inlineStr">
        <is>
          <t>Layanan Lapor Kejadian Bencana</t>
        </is>
      </c>
      <c r="C163" s="178" t="inlineStr">
        <is>
          <t>Membantu masyarakat untuk melaporkan kejadian bencana kepada pemerintah daerah sehingga tindakan tanggap darurat dapat dilakukan dengan cepat dan tepat.</t>
        </is>
      </c>
      <c r="D163" s="178" t="inlineStr">
        <is>
          <t>Undang - undang Nomor 24 Tahun 2007 tentang Penanggulangan Bencana</t>
        </is>
      </c>
      <c r="E163" s="70" t="inlineStr">
        <is>
          <t>https://drive.google.com/file/d/1OVv4yCmrgdrfLSeSS5ewogAtczV2aIlF/view?usp=sharing</t>
        </is>
      </c>
      <c r="F163" s="184" t="inlineStr">
        <is>
          <t>PENYELENGGARAAN PENANGGULANGAN BENCANA</t>
        </is>
      </c>
      <c r="G163" s="184" t="inlineStr">
        <is>
          <t>Masyarakat</t>
        </is>
      </c>
      <c r="H163" s="217" t="inlineStr">
        <is>
          <t>Data Kejadian Bencana</t>
        </is>
      </c>
      <c r="I163" s="184" t="inlineStr">
        <is>
          <t>Data Kejadian Bencana</t>
        </is>
      </c>
      <c r="J163" s="184" t="inlineStr">
        <is>
          <t>Terbuka</t>
        </is>
      </c>
      <c r="K163" s="184" t="inlineStr">
        <is>
          <t>Tidak terdapat</t>
        </is>
      </c>
      <c r="L163" s="184" t="inlineStr">
        <is>
          <t>Harian</t>
        </is>
      </c>
      <c r="M163" s="184" t="inlineStr">
        <is>
          <t>TITATU</t>
        </is>
      </c>
      <c r="N163" s="184" t="inlineStr">
        <is>
          <t>Diskominfo</t>
        </is>
      </c>
      <c r="O163" s="184" t="inlineStr">
        <is>
          <t>Kab. Bandung</t>
        </is>
      </c>
      <c r="P163" s="184" t="inlineStr">
        <is>
          <t>Mobile</t>
        </is>
      </c>
      <c r="Q163" s="70" t="inlineStr">
        <is>
          <t>https://play.google.com/store/apps/details?id=com.diskominfo.bpbd</t>
        </is>
      </c>
      <c r="R163" s="184" t="inlineStr">
        <is>
          <t>Secara Online</t>
        </is>
      </c>
      <c r="S163" s="184" t="inlineStr">
        <is>
          <t>Informasi</t>
        </is>
      </c>
      <c r="T163" s="98" t="n">
        <v>2022</v>
      </c>
      <c r="U163" s="184" t="inlineStr">
        <is>
          <t>Non Aktif</t>
        </is>
      </c>
      <c r="V163" s="184" t="inlineStr">
        <is>
          <t>Tidak</t>
        </is>
      </c>
      <c r="W163" s="288" t="n"/>
      <c r="X163" s="184" t="inlineStr">
        <is>
          <t>Tidak Terintegrasi</t>
        </is>
      </c>
      <c r="Y163" s="184" t="inlineStr">
        <is>
          <t>Tidak Terintegrasi</t>
        </is>
      </c>
      <c r="Z163" s="218" t="inlineStr">
        <is>
          <t>Bidang Kedaruratan dan Logistik</t>
        </is>
      </c>
      <c r="AA163" s="184" t="inlineStr">
        <is>
          <t>BPBD</t>
        </is>
      </c>
      <c r="AB163" s="288" t="n"/>
      <c r="AC163" s="288" t="n"/>
      <c r="AD163" s="288" t="n"/>
      <c r="AE163" s="200" t="n"/>
      <c r="AF163" s="200" t="n"/>
      <c r="AG163" s="284" t="n"/>
      <c r="AH163" s="284" t="n"/>
      <c r="AI163" s="284" t="n"/>
      <c r="AJ163" s="284" t="n"/>
      <c r="AK163" s="284" t="n"/>
      <c r="AL163" s="284" t="n"/>
      <c r="AM163" s="284" t="n"/>
      <c r="AN163" s="284" t="n"/>
      <c r="AO163" s="284" t="n"/>
      <c r="AP163" s="284" t="n"/>
      <c r="AQ163" s="284" t="n"/>
      <c r="AR163" s="284" t="n"/>
    </row>
    <row r="164" hidden="1" s="346">
      <c r="A164" s="62" t="n">
        <v>162</v>
      </c>
      <c r="B164" s="178" t="inlineStr">
        <is>
          <t>Layanan Pusat Pengendalian Operasi Penanggulangan Bencana</t>
        </is>
      </c>
      <c r="C164" s="178" t="inlineStr">
        <is>
          <t>Menjadi pusat koordinasi dan pengendalian operasi penanggulangan bencana untuk memastikan respon yang efisien dan terkoordinasi dari berbagai instansi terkait.</t>
        </is>
      </c>
      <c r="D164" s="178" t="inlineStr">
        <is>
          <t>Undang - undang Nomor 24 Tahun 2007 tentang Penanggulangan Bencana</t>
        </is>
      </c>
      <c r="E164" s="70" t="inlineStr">
        <is>
          <t>https://drive.google.com/file/d/1OVv4yCmrgdrfLSeSS5ewogAtczV2aIlF/view?usp=sharing</t>
        </is>
      </c>
      <c r="F164" s="184" t="inlineStr">
        <is>
          <t>PENYELENGGARAAN PENANGGULANGAN BENCANA</t>
        </is>
      </c>
      <c r="G164" s="184" t="inlineStr">
        <is>
          <t>Pegawai</t>
        </is>
      </c>
      <c r="H164" s="217" t="inlineStr">
        <is>
          <t>Data Penanggulangan Bencana</t>
        </is>
      </c>
      <c r="I164" s="184" t="inlineStr">
        <is>
          <t>Data Kejadian Bencana</t>
        </is>
      </c>
      <c r="J164" s="184" t="inlineStr">
        <is>
          <t>Terbuka</t>
        </is>
      </c>
      <c r="K164" s="288" t="n"/>
      <c r="L164" s="184" t="inlineStr">
        <is>
          <t>Harian</t>
        </is>
      </c>
      <c r="M164" s="184" t="inlineStr">
        <is>
          <t>DIBI</t>
        </is>
      </c>
      <c r="N164" s="288" t="n"/>
      <c r="O164" s="288" t="n"/>
      <c r="P164" s="184" t="inlineStr">
        <is>
          <t>Website</t>
        </is>
      </c>
      <c r="Q164" s="70" t="inlineStr">
        <is>
          <t>http://dibi.bnpb.go.id/</t>
        </is>
      </c>
      <c r="R164" s="184" t="inlineStr">
        <is>
          <t>Secara Online</t>
        </is>
      </c>
      <c r="S164" s="184" t="inlineStr">
        <is>
          <t>Informasi</t>
        </is>
      </c>
      <c r="T164" s="288" t="n"/>
      <c r="U164" s="184" t="inlineStr">
        <is>
          <t>Aktif</t>
        </is>
      </c>
      <c r="V164" s="288" t="n"/>
      <c r="W164" s="288" t="n"/>
      <c r="X164" s="184" t="inlineStr">
        <is>
          <t>Tidak Terintegrasi</t>
        </is>
      </c>
      <c r="Y164" s="288" t="n"/>
      <c r="Z164" s="184" t="inlineStr">
        <is>
          <t>Bidang Kedaruratan dan Logistik</t>
        </is>
      </c>
      <c r="AA164" s="184" t="inlineStr">
        <is>
          <t>BPBD</t>
        </is>
      </c>
      <c r="AB164" s="288" t="n"/>
      <c r="AC164" s="288" t="n"/>
      <c r="AD164" s="288" t="n"/>
      <c r="AE164" s="200" t="n"/>
      <c r="AF164" s="200" t="n"/>
      <c r="AG164" s="284" t="n"/>
      <c r="AH164" s="284" t="n"/>
      <c r="AI164" s="284" t="n"/>
      <c r="AJ164" s="284" t="n"/>
      <c r="AK164" s="284" t="n"/>
      <c r="AL164" s="284" t="n"/>
      <c r="AM164" s="284" t="n"/>
      <c r="AN164" s="284" t="n"/>
      <c r="AO164" s="284" t="n"/>
      <c r="AP164" s="284" t="n"/>
      <c r="AQ164" s="284" t="n"/>
      <c r="AR164" s="284" t="n"/>
    </row>
    <row r="165" hidden="1" s="346">
      <c r="A165" s="62" t="n">
        <v>163</v>
      </c>
      <c r="B165" s="178" t="inlineStr">
        <is>
          <t>Layanan Sosialiasi Bimbingan Bencana</t>
        </is>
      </c>
      <c r="C165" s="178" t="inlineStr">
        <is>
          <t>Menyediakan informasi dan bimbingan kepada masyarakat tentang cara menghadapi bencana, termasuk tindakan evakuasi, persiapan tanggap darurat, dan pemulihan pasca-bencana.</t>
        </is>
      </c>
      <c r="D165" s="178" t="inlineStr">
        <is>
          <t>Undang - undang Nomor 24 Tahun 2007 tentang Penanggulangan Bencana</t>
        </is>
      </c>
      <c r="E165" s="70" t="inlineStr">
        <is>
          <t>https://docs.google.com/spreadsheets/d/1l5-2zqpZNcqk1vc27yahE2fBaLI9m7gY/edit?usp=sharing&amp;ouid=116583022603845992448&amp;rtpof=true&amp;sd=true</t>
        </is>
      </c>
      <c r="F165" s="184" t="inlineStr">
        <is>
          <t>PENYELENGGARAAN PENANGGULANGAN BENCANA</t>
        </is>
      </c>
      <c r="G165" s="184" t="inlineStr">
        <is>
          <t>Masyarakat</t>
        </is>
      </c>
      <c r="H165" s="184" t="inlineStr">
        <is>
          <t>Data Sosialisasi Bimbingan Bencana</t>
        </is>
      </c>
      <c r="I165" s="184" t="inlineStr">
        <is>
          <t>Data Sosialisasi Bimbingan Bencana</t>
        </is>
      </c>
      <c r="J165" s="184" t="inlineStr">
        <is>
          <t>Terbuka</t>
        </is>
      </c>
      <c r="K165" s="288" t="n"/>
      <c r="L165" s="184" t="inlineStr">
        <is>
          <t>Harian</t>
        </is>
      </c>
      <c r="M165" s="184" t="inlineStr">
        <is>
          <t>ARJUNA</t>
        </is>
      </c>
      <c r="N165" s="184" t="inlineStr">
        <is>
          <t>Pihak Ke 3</t>
        </is>
      </c>
      <c r="O165" s="184" t="inlineStr">
        <is>
          <t>Pihak Ke 3 (Lisensi)</t>
        </is>
      </c>
      <c r="P165" s="184" t="inlineStr">
        <is>
          <t>Mobile</t>
        </is>
      </c>
      <c r="Q165" s="70" t="inlineStr">
        <is>
          <t>https://drive.google.com/drive/folders/1B5BkNR_l7v0dpf1e8Y6cIlWcgjAqRVF5?usp=drive_link</t>
        </is>
      </c>
      <c r="R165" s="184" t="inlineStr">
        <is>
          <t>Secara Online</t>
        </is>
      </c>
      <c r="S165" s="184" t="inlineStr">
        <is>
          <t>Informasi</t>
        </is>
      </c>
      <c r="T165" s="98" t="n">
        <v>2022</v>
      </c>
      <c r="U165" s="184" t="inlineStr">
        <is>
          <t>Aktif</t>
        </is>
      </c>
      <c r="V165" s="184" t="inlineStr">
        <is>
          <t>Tidak</t>
        </is>
      </c>
      <c r="W165" s="288" t="n"/>
      <c r="X165" s="184" t="inlineStr">
        <is>
          <t>Tidak Terintegrasi</t>
        </is>
      </c>
      <c r="Y165" s="288" t="n"/>
      <c r="Z165" s="184" t="inlineStr">
        <is>
          <t>Bidang Pencegahan dan Kesiapsiagaan</t>
        </is>
      </c>
      <c r="AA165" s="184" t="inlineStr">
        <is>
          <t>BPBD</t>
        </is>
      </c>
      <c r="AB165" s="288" t="n"/>
      <c r="AC165" s="288" t="n"/>
      <c r="AD165" s="288" t="n"/>
      <c r="AE165" s="200" t="n"/>
      <c r="AF165" s="200" t="n"/>
      <c r="AG165" s="284" t="n"/>
      <c r="AH165" s="284" t="n"/>
      <c r="AI165" s="284" t="n"/>
      <c r="AJ165" s="284" t="n"/>
      <c r="AK165" s="284" t="n"/>
      <c r="AL165" s="284" t="n"/>
      <c r="AM165" s="284" t="n"/>
      <c r="AN165" s="284" t="n"/>
      <c r="AO165" s="284" t="n"/>
      <c r="AP165" s="284" t="n"/>
      <c r="AQ165" s="284" t="n"/>
      <c r="AR165" s="284" t="n"/>
    </row>
    <row r="166">
      <c r="A166" s="62" t="n">
        <v>164</v>
      </c>
      <c r="B166" s="184" t="inlineStr">
        <is>
          <t>Layanan Integrasi Ekosistem Digital Rumah Sakit (SIMRS)</t>
        </is>
      </c>
      <c r="C166"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66" s="184" t="inlineStr">
        <is>
          <t>Peraturan Menteri Kesehatan Nomor 82 Tahun 2013 Tentang Sistem Informasi Manajemen Rumah Sakit</t>
        </is>
      </c>
      <c r="E166" s="131" t="inlineStr">
        <is>
          <t>https://drive.google.com/file/d/1T1U4oNUqZS1NcFlgpFY6CJRp0CcQqlBv/view?usp=drive_link</t>
        </is>
      </c>
      <c r="F166" s="184" t="inlineStr">
        <is>
          <t>PENGELOLAAN PELAYANAN KESEHATAN</t>
        </is>
      </c>
      <c r="G166" s="184" t="inlineStr">
        <is>
          <t>Masyarakat</t>
        </is>
      </c>
      <c r="H166" s="184" t="inlineStr">
        <is>
          <t>Data pasien, mulai dari info pribadi hingga catatan medis pasien</t>
        </is>
      </c>
      <c r="I166" s="178" t="inlineStr">
        <is>
          <t>Data rekam medis pasien</t>
        </is>
      </c>
      <c r="J166" s="184" t="inlineStr">
        <is>
          <t>Rahasia</t>
        </is>
      </c>
      <c r="K166" s="184" t="inlineStr">
        <is>
          <t>Terdapat</t>
        </is>
      </c>
      <c r="L166" s="184" t="inlineStr">
        <is>
          <t>Lainnya</t>
        </is>
      </c>
      <c r="M166" s="184" t="inlineStr">
        <is>
          <t>SIMRS Majalaya</t>
        </is>
      </c>
      <c r="N166" s="184" t="inlineStr">
        <is>
          <t>Pihak Ke 3</t>
        </is>
      </c>
      <c r="O166" s="184" t="inlineStr">
        <is>
          <t>Kab. Bandung</t>
        </is>
      </c>
      <c r="P166" s="184" t="inlineStr">
        <is>
          <t>Desktop</t>
        </is>
      </c>
      <c r="Q166" s="184" t="inlineStr">
        <is>
          <t>Internal (Rahasia)</t>
        </is>
      </c>
      <c r="R166" s="184" t="inlineStr">
        <is>
          <t>Secara Offline</t>
        </is>
      </c>
      <c r="S166" s="184" t="inlineStr">
        <is>
          <t>Transaksi</t>
        </is>
      </c>
      <c r="T166" s="184" t="n">
        <v>2023</v>
      </c>
      <c r="U166" s="184" t="inlineStr">
        <is>
          <t>Aktif</t>
        </is>
      </c>
      <c r="V166" s="184" t="inlineStr">
        <is>
          <t>Ya</t>
        </is>
      </c>
      <c r="W166" s="184" t="inlineStr">
        <is>
          <t>VClaim BPJS, Satusehat, Eklaim INACBGs, Siranap</t>
        </is>
      </c>
      <c r="X166" s="184" t="inlineStr">
        <is>
          <t>Web Service</t>
        </is>
      </c>
      <c r="Y166" s="184" t="inlineStr">
        <is>
          <t>Realtime</t>
        </is>
      </c>
      <c r="Z166" s="184" t="inlineStr">
        <is>
          <t>Bidang Penunjang Non Medis</t>
        </is>
      </c>
      <c r="AA166" s="184" t="inlineStr">
        <is>
          <t>Dinkes</t>
        </is>
      </c>
      <c r="AB166" s="184" t="inlineStr">
        <is>
          <t>dr. Yessy Agustina, M.H.</t>
        </is>
      </c>
      <c r="AC166" s="184" t="n">
        <v>8129487531</v>
      </c>
      <c r="AD166" s="184" t="inlineStr">
        <is>
          <t>yessy_agst@yahoo.com</t>
        </is>
      </c>
      <c r="AE166" s="184" t="n">
        <v>8</v>
      </c>
      <c r="AF166" s="184" t="inlineStr">
        <is>
          <t>Setiap Saat</t>
        </is>
      </c>
      <c r="AG166" s="284" t="n"/>
      <c r="AH166" s="284" t="n"/>
      <c r="AI166" s="284" t="n"/>
      <c r="AJ166" s="284" t="n"/>
      <c r="AK166" s="284" t="n"/>
      <c r="AL166" s="284" t="n"/>
      <c r="AM166" s="284" t="n"/>
      <c r="AN166" s="284" t="n"/>
      <c r="AO166" s="284" t="n"/>
      <c r="AP166" s="284" t="n"/>
      <c r="AQ166" s="284" t="n"/>
      <c r="AR166" s="284" t="n"/>
    </row>
    <row r="167" hidden="1" s="346">
      <c r="A167" s="62" t="n">
        <v>165</v>
      </c>
      <c r="B167" s="184" t="inlineStr">
        <is>
          <t>Layanan Pelaporan Kepatuhan Lingkungan Hidup</t>
        </is>
      </c>
      <c r="C167" s="176" t="inlineStr">
        <is>
          <t>Sistem pendukung keputusan yang menghubungkan data pelaporan lingkungan SIMPEL, memberikan insight real-time bagi pemerintah dalam memantau kepatuhan dari kualitas lingkungan</t>
        </is>
      </c>
      <c r="D167" s="184" t="inlineStr">
        <is>
          <t>Permen LHK No. P.87/Menlhk/Setjen/Kum.1/11/2016; UU No. 32 Tahun 2009 tentang Perlindungan dan Pengelolaan Lingkungan Hidup (pasal 68) dan PP No. 22 Tahun 2021</t>
        </is>
      </c>
      <c r="E167" s="131" t="inlineStr">
        <is>
          <t>https://drive.google.com/drive/folders/1vjgfqjMxOGjNMjW_D5TVCMti_1yMqG0T?usp=sharing</t>
        </is>
      </c>
      <c r="F167" s="184" t="inlineStr">
        <is>
          <t>PENGELOLAAN IRIGASI PERTANIAN, KONSERVASI AIR DAN LINGKUNGAN HIDUP</t>
        </is>
      </c>
      <c r="G167" s="184" t="inlineStr">
        <is>
          <t>Pelaku Bisnis</t>
        </is>
      </c>
      <c r="H167" s="184" t="inlineStr">
        <is>
          <t>Hasil Pemantauan Lingkungan RSUD Majalaya</t>
        </is>
      </c>
      <c r="I167" s="184" t="inlineStr">
        <is>
          <t>Hasil Pemantauan Lingkungan RSUD Majalaya</t>
        </is>
      </c>
      <c r="J167" s="184" t="inlineStr">
        <is>
          <t>Terbatas</t>
        </is>
      </c>
      <c r="K167" s="184" t="inlineStr">
        <is>
          <t>Terdapat</t>
        </is>
      </c>
      <c r="L167" s="184" t="inlineStr">
        <is>
          <t>Bulanan</t>
        </is>
      </c>
      <c r="M167" s="184" t="inlineStr">
        <is>
          <t>SIMPEL Kemenlh</t>
        </is>
      </c>
      <c r="N167" s="184" t="inlineStr">
        <is>
          <t>Pusat</t>
        </is>
      </c>
      <c r="O167" s="184" t="inlineStr">
        <is>
          <t>Pusat</t>
        </is>
      </c>
      <c r="P167" s="184" t="inlineStr">
        <is>
          <t>Website</t>
        </is>
      </c>
      <c r="Q167" s="131" t="inlineStr">
        <is>
          <t>simpel.menlhk.go.id</t>
        </is>
      </c>
      <c r="R167" s="184" t="inlineStr">
        <is>
          <t>Secara Online</t>
        </is>
      </c>
      <c r="S167" s="184" t="inlineStr">
        <is>
          <t>Informasi</t>
        </is>
      </c>
      <c r="T167" s="184" t="n">
        <v>2016</v>
      </c>
      <c r="U167" s="184" t="inlineStr">
        <is>
          <t>Aktif</t>
        </is>
      </c>
      <c r="V167" s="184" t="inlineStr">
        <is>
          <t>Ya</t>
        </is>
      </c>
      <c r="W167" s="184" t="inlineStr">
        <is>
          <t>OSS RBA dan AMDAL NET</t>
        </is>
      </c>
      <c r="X167" s="184" t="inlineStr">
        <is>
          <t>Database to Database</t>
        </is>
      </c>
      <c r="Y167" s="184" t="inlineStr">
        <is>
          <t>Realtime</t>
        </is>
      </c>
      <c r="Z167" s="184" t="inlineStr">
        <is>
          <t>Instalasi Kesling dan IPAL</t>
        </is>
      </c>
      <c r="AA167" s="184" t="inlineStr">
        <is>
          <t>DLH</t>
        </is>
      </c>
      <c r="AB167" s="184" t="inlineStr">
        <is>
          <t>Hj. Titin Partini, SKM</t>
        </is>
      </c>
      <c r="AC167" s="184" t="n">
        <v>82121996969</v>
      </c>
      <c r="AD167" s="184" t="inlineStr">
        <is>
          <t>keslingrsudmajalaya@gmail.com</t>
        </is>
      </c>
      <c r="AE167" s="184" t="n">
        <v>41</v>
      </c>
      <c r="AF167" s="184" t="inlineStr">
        <is>
          <t>Harian</t>
        </is>
      </c>
      <c r="AG167" s="284" t="n"/>
      <c r="AH167" s="284" t="n"/>
      <c r="AI167" s="284" t="n"/>
      <c r="AJ167" s="284" t="n"/>
      <c r="AK167" s="284" t="n"/>
      <c r="AL167" s="284" t="n"/>
      <c r="AM167" s="284" t="n"/>
      <c r="AN167" s="284" t="n"/>
      <c r="AO167" s="284" t="n"/>
      <c r="AP167" s="284" t="n"/>
      <c r="AQ167" s="284" t="n"/>
      <c r="AR167" s="284" t="n"/>
    </row>
    <row r="168" hidden="1" s="346">
      <c r="A168" s="62" t="n">
        <v>166</v>
      </c>
      <c r="B168" s="184" t="inlineStr">
        <is>
          <t>Layanan pelaporan limbah rumah sakit</t>
        </is>
      </c>
      <c r="C168" s="184" t="inlineStr">
        <is>
          <t>Rekapitulasi pelaporan kelola limbah medis dan kesling fasyankes</t>
        </is>
      </c>
      <c r="D168" s="288" t="n"/>
      <c r="E168" s="184" t="inlineStr">
        <is>
          <t>-</t>
        </is>
      </c>
      <c r="F168" s="184" t="inlineStr">
        <is>
          <t>PENGELOLAAN LIMBAH BAHAN BERBAHAYA DAN BERACUN</t>
        </is>
      </c>
      <c r="G168" s="184" t="inlineStr">
        <is>
          <t>Pelaku Bisnis</t>
        </is>
      </c>
      <c r="H168" s="184" t="inlineStr">
        <is>
          <t>Timbulan limbah medis</t>
        </is>
      </c>
      <c r="I168" s="184" t="inlineStr">
        <is>
          <t>Timbulan limbah medis</t>
        </is>
      </c>
      <c r="J168" s="184" t="inlineStr">
        <is>
          <t>Terbatas</t>
        </is>
      </c>
      <c r="K168" s="184" t="inlineStr">
        <is>
          <t>Tidak terdapat</t>
        </is>
      </c>
      <c r="L168" s="184" t="inlineStr">
        <is>
          <t>Bulanan</t>
        </is>
      </c>
      <c r="M168" s="184" t="inlineStr">
        <is>
          <t>website Kobotoolbox</t>
        </is>
      </c>
      <c r="N168" s="184" t="inlineStr">
        <is>
          <t>Provinsi</t>
        </is>
      </c>
      <c r="O168" s="184" t="inlineStr">
        <is>
          <t>Provinsi</t>
        </is>
      </c>
      <c r="P168" s="184" t="inlineStr">
        <is>
          <t>Website</t>
        </is>
      </c>
      <c r="Q168" s="131" t="inlineStr">
        <is>
          <t>https://ee.kobotoolbox.org/x/YQp13dFa</t>
        </is>
      </c>
      <c r="R168" s="184" t="inlineStr">
        <is>
          <t>Secara Online</t>
        </is>
      </c>
      <c r="S168" s="184" t="inlineStr">
        <is>
          <t>Informasi</t>
        </is>
      </c>
      <c r="T168" s="184" t="n">
        <v>2024</v>
      </c>
      <c r="U168" s="184" t="inlineStr">
        <is>
          <t>Aktif</t>
        </is>
      </c>
      <c r="V168" s="184" t="inlineStr">
        <is>
          <t>Tidak</t>
        </is>
      </c>
      <c r="W168" s="184" t="inlineStr">
        <is>
          <t>Tidak Terintegrasi</t>
        </is>
      </c>
      <c r="X168" s="184" t="inlineStr">
        <is>
          <t>Tidak Terintegrasi</t>
        </is>
      </c>
      <c r="Y168" s="184" t="inlineStr">
        <is>
          <t>Tidak Terintegrasi</t>
        </is>
      </c>
      <c r="Z168" s="184" t="inlineStr">
        <is>
          <t>Instalasi Kesling dan IPAL</t>
        </is>
      </c>
      <c r="AA168" s="184" t="inlineStr">
        <is>
          <t>Dinkes</t>
        </is>
      </c>
      <c r="AB168" s="184" t="inlineStr">
        <is>
          <t>Hj. Titin Partini, SKM</t>
        </is>
      </c>
      <c r="AC168" s="184" t="n">
        <v>82121996969</v>
      </c>
      <c r="AD168" s="184" t="inlineStr">
        <is>
          <t>keslingrsudmajalaya@gmail.com</t>
        </is>
      </c>
      <c r="AE168" s="288" t="n"/>
      <c r="AF168" s="184" t="inlineStr">
        <is>
          <t>Bulanan</t>
        </is>
      </c>
      <c r="AG168" s="284" t="n"/>
      <c r="AH168" s="284" t="n"/>
      <c r="AI168" s="284" t="n"/>
      <c r="AJ168" s="284" t="n"/>
      <c r="AK168" s="284" t="n"/>
      <c r="AL168" s="284" t="n"/>
      <c r="AM168" s="284" t="n"/>
      <c r="AN168" s="284" t="n"/>
      <c r="AO168" s="284" t="n"/>
      <c r="AP168" s="284" t="n"/>
      <c r="AQ168" s="284" t="n"/>
      <c r="AR168" s="284" t="n"/>
    </row>
    <row r="169" hidden="1" s="346">
      <c r="A169" s="62" t="n">
        <v>167</v>
      </c>
      <c r="B169" s="184" t="inlineStr">
        <is>
          <t>Layanan Informasi Gaji ASN</t>
        </is>
      </c>
      <c r="C169" s="184" t="inlineStr">
        <is>
          <t>Aplikasi Sistem Informasi Gaji (SIMGaji) Taspen untuk memproses data gaji PNS di lingkungan pemerintah daerah.</t>
        </is>
      </c>
      <c r="D169" s="184" t="inlineStr">
        <is>
          <t>Peraturan Pemerintah Nomor 5 Tahun 2024 tentang Perubahan Kesembilan Belas atas Peraturan Pemerintah Nomor 7 Tahun 1977 tentang Peraturan Gaji Pegawai Negeri Sipil</t>
        </is>
      </c>
      <c r="E169" s="288" t="n"/>
      <c r="F169" s="184" t="inlineStr">
        <is>
          <t>PEMBINAAN KEUANGAN DAERAH</t>
        </is>
      </c>
      <c r="G169" s="184" t="inlineStr">
        <is>
          <t>Pegawai</t>
        </is>
      </c>
      <c r="H169" s="184" t="inlineStr">
        <is>
          <t>Data Pegawai, Data Gaji, Data Tunjangan</t>
        </is>
      </c>
      <c r="I169" s="178" t="inlineStr">
        <is>
          <t>Perubahan Data Gaji Pegawai, Ledger Gaji</t>
        </is>
      </c>
      <c r="J169" s="184" t="inlineStr">
        <is>
          <t>Tertutup</t>
        </is>
      </c>
      <c r="K169" s="184" t="inlineStr">
        <is>
          <t>Terdapat</t>
        </is>
      </c>
      <c r="L169" s="184" t="inlineStr">
        <is>
          <t>Harian</t>
        </is>
      </c>
      <c r="M169" s="184" t="inlineStr">
        <is>
          <t>SIMgaji</t>
        </is>
      </c>
      <c r="N169" s="184" t="inlineStr">
        <is>
          <t>Pihak Ke 3</t>
        </is>
      </c>
      <c r="O169" s="184" t="inlineStr">
        <is>
          <t>Pihak Ke 3 (Lisensi)</t>
        </is>
      </c>
      <c r="P169" s="184" t="inlineStr">
        <is>
          <t>Website</t>
        </is>
      </c>
      <c r="Q169" s="131" t="inlineStr">
        <is>
          <t>https://simgajiweb.taspen.co.id/</t>
        </is>
      </c>
      <c r="R169" s="184" t="inlineStr">
        <is>
          <t>Secara Online</t>
        </is>
      </c>
      <c r="S169" s="184" t="inlineStr">
        <is>
          <t>Informasi</t>
        </is>
      </c>
      <c r="T169" s="184" t="n">
        <v>2023</v>
      </c>
      <c r="U169" s="184" t="inlineStr">
        <is>
          <t>Aktif</t>
        </is>
      </c>
      <c r="V169" s="184" t="inlineStr">
        <is>
          <t>Tidak</t>
        </is>
      </c>
      <c r="W169" s="184" t="inlineStr">
        <is>
          <t>Tidak Terintegrasi</t>
        </is>
      </c>
      <c r="X169" s="184" t="inlineStr">
        <is>
          <t>Tidak Terintegrasi</t>
        </is>
      </c>
      <c r="Y169" s="184" t="inlineStr">
        <is>
          <t>Tidak Terintegrasi</t>
        </is>
      </c>
      <c r="Z169" s="184" t="inlineStr">
        <is>
          <t>Bagian Keuangan</t>
        </is>
      </c>
      <c r="AA169" s="184" t="inlineStr">
        <is>
          <t>BKAD</t>
        </is>
      </c>
      <c r="AB169" s="184" t="inlineStr">
        <is>
          <t>Yanti Widiyanti, S.E.</t>
        </is>
      </c>
      <c r="AC169" s="184" t="n">
        <v>8996105849</v>
      </c>
      <c r="AD169" s="184" t="inlineStr">
        <is>
          <t>yantiwidiyanti268@gmail.com</t>
        </is>
      </c>
      <c r="AE169" s="288" t="n"/>
      <c r="AF169" s="184" t="inlineStr">
        <is>
          <t>Bulanan</t>
        </is>
      </c>
      <c r="AG169" s="284" t="n"/>
      <c r="AH169" s="284" t="n"/>
      <c r="AI169" s="284" t="n"/>
      <c r="AJ169" s="284" t="n"/>
      <c r="AK169" s="284" t="n"/>
      <c r="AL169" s="284" t="n"/>
      <c r="AM169" s="284" t="n"/>
      <c r="AN169" s="284" t="n"/>
      <c r="AO169" s="284" t="n"/>
      <c r="AP169" s="284" t="n"/>
      <c r="AQ169" s="284" t="n"/>
      <c r="AR169" s="284" t="n"/>
    </row>
    <row r="170">
      <c r="A170" s="62" t="n">
        <v>168</v>
      </c>
      <c r="B170" s="184" t="inlineStr">
        <is>
          <t>Layanan pelaporan penerimaan retribusi daerah</t>
        </is>
      </c>
      <c r="C170" s="184" t="inlineStr">
        <is>
          <t>Aplikasi Entry Laporan Penerimaan Retribusi Daerah</t>
        </is>
      </c>
      <c r="D170" s="184" t="inlineStr">
        <is>
          <t>Perda Kabupaten Bandung No 10 Tahun 2023 Tentang Pajak Daerah dan Retribusi Daerah</t>
        </is>
      </c>
      <c r="E170" s="288" t="n"/>
      <c r="F170" s="184" t="inlineStr">
        <is>
          <t>PENGELOLAAN PENERIMAAN DAN PENDAPATAN NEGARA</t>
        </is>
      </c>
      <c r="G170" s="184" t="inlineStr">
        <is>
          <t>Instansi Pemerintah Lainnya</t>
        </is>
      </c>
      <c r="H170" s="184" t="inlineStr">
        <is>
          <t>Data Pendapatan</t>
        </is>
      </c>
      <c r="I170" s="178" t="inlineStr">
        <is>
          <t>Laporan Realisasi Pendapatan</t>
        </is>
      </c>
      <c r="J170" s="184" t="inlineStr">
        <is>
          <t>Rahasia</t>
        </is>
      </c>
      <c r="K170" s="184" t="inlineStr">
        <is>
          <t>Tidak terdapat</t>
        </is>
      </c>
      <c r="L170" s="184" t="inlineStr">
        <is>
          <t>Harian</t>
        </is>
      </c>
      <c r="M170" s="184" t="inlineStr">
        <is>
          <t>e-RETRIBUSI</t>
        </is>
      </c>
      <c r="N170" s="184" t="inlineStr">
        <is>
          <t>OPD</t>
        </is>
      </c>
      <c r="O170" s="184" t="inlineStr">
        <is>
          <t>Kab. Bandung</t>
        </is>
      </c>
      <c r="P170" s="184" t="inlineStr">
        <is>
          <t>Website</t>
        </is>
      </c>
      <c r="Q170" s="131" t="inlineStr">
        <is>
          <t>https://e-retribusi.bandungkab.go.id/</t>
        </is>
      </c>
      <c r="R170" s="184" t="inlineStr">
        <is>
          <t>Secara Online</t>
        </is>
      </c>
      <c r="S170" s="184" t="inlineStr">
        <is>
          <t>Informasi</t>
        </is>
      </c>
      <c r="T170" s="184" t="n">
        <v>2024</v>
      </c>
      <c r="U170" s="184" t="inlineStr">
        <is>
          <t>Aktif</t>
        </is>
      </c>
      <c r="V170" s="184" t="inlineStr">
        <is>
          <t>Tidak</t>
        </is>
      </c>
      <c r="W170" s="184" t="inlineStr">
        <is>
          <t>Tidak Terintegrasi</t>
        </is>
      </c>
      <c r="X170" s="184" t="inlineStr">
        <is>
          <t>Tidak Terintegrasi</t>
        </is>
      </c>
      <c r="Y170" s="184" t="inlineStr">
        <is>
          <t>Tidak Terintegrasi</t>
        </is>
      </c>
      <c r="Z170" s="184" t="inlineStr">
        <is>
          <t>Retribusi Daerah</t>
        </is>
      </c>
      <c r="AA170" s="184" t="inlineStr">
        <is>
          <t>Bapenda</t>
        </is>
      </c>
      <c r="AB170" s="131" t="inlineStr">
        <is>
          <t>Fidriansyah, A.Md</t>
        </is>
      </c>
      <c r="AC170" s="184" t="n">
        <v>89682973688</v>
      </c>
      <c r="AD170" s="184" t="inlineStr">
        <is>
          <t>fidriansyahsena@gmail.com</t>
        </is>
      </c>
      <c r="AE170" s="288" t="n"/>
      <c r="AF170" s="184" t="inlineStr">
        <is>
          <t>Harian</t>
        </is>
      </c>
      <c r="AG170" s="284" t="n"/>
      <c r="AH170" s="284" t="n"/>
      <c r="AI170" s="284" t="n"/>
      <c r="AJ170" s="284" t="n"/>
      <c r="AK170" s="284" t="n"/>
      <c r="AL170" s="284" t="n"/>
      <c r="AM170" s="284" t="n"/>
      <c r="AN170" s="284" t="n"/>
      <c r="AO170" s="284" t="n"/>
      <c r="AP170" s="284" t="n"/>
      <c r="AQ170" s="284" t="n"/>
      <c r="AR170" s="284" t="n"/>
    </row>
    <row r="171" hidden="1" s="346">
      <c r="A171" s="62" t="n">
        <v>169</v>
      </c>
      <c r="B171" s="184" t="inlineStr">
        <is>
          <t>Layanan pengelolaan pengadaan barang dan jasa</t>
        </is>
      </c>
      <c r="C171" s="184" t="inlineStr">
        <is>
          <t>Untuk membantu proses perencanaan pengadaan barang/jasa pemerintah agar lebih transparan, terencana, dan mudah diakses oleh publik maupun penyedia</t>
        </is>
      </c>
      <c r="D171" s="184" t="inlineStr">
        <is>
          <t>1) Peraturan Presiden (Perpres) Nomor 46 Tahun 2025 adalah perubahan kedua atas Perpres 16 Tahun 2018 tentang Pengadaan Barang/Jasa Pemerintah;
 2) Peraturan LKPP Nomor 11 Tahun 2021 tentang Pedoman Perencanaan Pengadaan Barang/Jasa Pemerintah;</t>
        </is>
      </c>
      <c r="E171" s="288" t="n"/>
      <c r="F171" s="184" t="inlineStr">
        <is>
          <t>PERENCANAAN DAN PENGANGGARAN APBN</t>
        </is>
      </c>
      <c r="G171" s="184" t="inlineStr">
        <is>
          <t>Pelaku Bisnis</t>
        </is>
      </c>
      <c r="H171" s="184" t="inlineStr">
        <is>
          <t>Data rencana umum pengadaan</t>
        </is>
      </c>
      <c r="I171" s="178" t="inlineStr">
        <is>
          <t>Informasi rencana paket pengadaan barang/jasa pemerintah</t>
        </is>
      </c>
      <c r="J171" s="184" t="inlineStr">
        <is>
          <t>Terbuka</t>
        </is>
      </c>
      <c r="K171" s="184" t="inlineStr">
        <is>
          <t>Terdapat</t>
        </is>
      </c>
      <c r="L171" s="184" t="inlineStr">
        <is>
          <t>Harian</t>
        </is>
      </c>
      <c r="M171" s="184" t="inlineStr">
        <is>
          <t>SIRUP</t>
        </is>
      </c>
      <c r="N171" s="184" t="inlineStr">
        <is>
          <t>Pusat</t>
        </is>
      </c>
      <c r="O171" s="184" t="inlineStr">
        <is>
          <t>Pusat</t>
        </is>
      </c>
      <c r="P171" s="184" t="inlineStr">
        <is>
          <t>Website</t>
        </is>
      </c>
      <c r="Q171" s="131" t="inlineStr">
        <is>
          <t>https://sirup.inaproc.id/sirup/loginctr/index</t>
        </is>
      </c>
      <c r="R171" s="184" t="inlineStr">
        <is>
          <t>Secara Online</t>
        </is>
      </c>
      <c r="S171" s="184" t="inlineStr">
        <is>
          <t>Informasi</t>
        </is>
      </c>
      <c r="T171" s="184" t="n">
        <v>2010</v>
      </c>
      <c r="U171" s="184" t="inlineStr">
        <is>
          <t>Aktif</t>
        </is>
      </c>
      <c r="V171" s="184" t="inlineStr">
        <is>
          <t>Ya</t>
        </is>
      </c>
      <c r="W171" s="184" t="inlineStr">
        <is>
          <t>SPSE, E-Katalog LKPP</t>
        </is>
      </c>
      <c r="X171" s="184" t="inlineStr">
        <is>
          <t>Database to Database</t>
        </is>
      </c>
      <c r="Y171" s="184" t="inlineStr">
        <is>
          <t>Realtime</t>
        </is>
      </c>
      <c r="Z171" s="184" t="inlineStr">
        <is>
          <t>Bagian Perencanaan dan Kehumasan</t>
        </is>
      </c>
      <c r="AA171" s="184" t="inlineStr">
        <is>
          <t>Setda</t>
        </is>
      </c>
      <c r="AB171" s="184" t="inlineStr">
        <is>
          <t>Anindya Meilasari Dewi, SE</t>
        </is>
      </c>
      <c r="AC171" s="184" t="n">
        <v>85294011791</v>
      </c>
      <c r="AD171" s="184" t="inlineStr">
        <is>
          <t>anindyameilasaridewi@gmail.com</t>
        </is>
      </c>
      <c r="AE171" s="288" t="n"/>
      <c r="AF171" s="184" t="inlineStr">
        <is>
          <t>Harian</t>
        </is>
      </c>
      <c r="AG171" s="284" t="n"/>
      <c r="AH171" s="284" t="n"/>
      <c r="AI171" s="284" t="n"/>
      <c r="AJ171" s="284" t="n"/>
      <c r="AK171" s="284" t="n"/>
      <c r="AL171" s="284" t="n"/>
      <c r="AM171" s="284" t="n"/>
      <c r="AN171" s="284" t="n"/>
      <c r="AO171" s="284" t="n"/>
      <c r="AP171" s="284" t="n"/>
      <c r="AQ171" s="284" t="n"/>
      <c r="AR171" s="284" t="n"/>
    </row>
    <row r="172">
      <c r="A172" s="62" t="n">
        <v>170</v>
      </c>
      <c r="B172" s="184" t="inlineStr">
        <is>
          <t>Layanan Pengelolaan Gudang Logistik</t>
        </is>
      </c>
      <c r="C172" s="184" t="inlineStr">
        <is>
          <t>Pengelolaan barang-barang penunjang operasional rumah sakit di luar obat dan BMHP, pencatatan barang mulai dari masuk hingga keluar disertai dokumentasi dan laporan transaksi</t>
        </is>
      </c>
      <c r="D172" s="288" t="n"/>
      <c r="E172" s="288" t="n"/>
      <c r="F172" s="184" t="inlineStr">
        <is>
          <t>PENGELOLAAN SUMBER DAYA DAN PERANGKAT INFORMATIKA</t>
        </is>
      </c>
      <c r="G172" s="184" t="inlineStr">
        <is>
          <t>Instansi Pemerintah Lainnya</t>
        </is>
      </c>
      <c r="H172" s="184" t="inlineStr">
        <is>
          <t>Data Barang</t>
        </is>
      </c>
      <c r="I172" s="178" t="inlineStr">
        <is>
          <t>Catatan transaksi keluar masuk barang</t>
        </is>
      </c>
      <c r="J172" s="184" t="inlineStr">
        <is>
          <t>Terbatas</t>
        </is>
      </c>
      <c r="K172" s="184" t="inlineStr">
        <is>
          <t>Tidak terdapat</t>
        </is>
      </c>
      <c r="L172" s="288" t="n"/>
      <c r="M172" s="184" t="inlineStr">
        <is>
          <t>Layanan Pengelolaan Gudang Logistik Majalaya</t>
        </is>
      </c>
      <c r="N172" s="184" t="inlineStr">
        <is>
          <t>OPD</t>
        </is>
      </c>
      <c r="O172" s="184" t="inlineStr">
        <is>
          <t>Kab. Bandung</t>
        </is>
      </c>
      <c r="P172" s="184" t="inlineStr">
        <is>
          <t>Desktop</t>
        </is>
      </c>
      <c r="Q172" s="184" t="inlineStr">
        <is>
          <t>(Internal)</t>
        </is>
      </c>
      <c r="R172" s="184" t="inlineStr">
        <is>
          <t>Secara Offline</t>
        </is>
      </c>
      <c r="S172" s="184" t="inlineStr">
        <is>
          <t>Informasi</t>
        </is>
      </c>
      <c r="T172" s="184" t="n">
        <v>2015</v>
      </c>
      <c r="U172" s="184" t="inlineStr">
        <is>
          <t>Aktif</t>
        </is>
      </c>
      <c r="V172" s="184" t="inlineStr">
        <is>
          <t>Tidak</t>
        </is>
      </c>
      <c r="W172" s="184" t="inlineStr">
        <is>
          <t>Tidak terintegrasi</t>
        </is>
      </c>
      <c r="X172" s="184" t="inlineStr">
        <is>
          <t>Tidak Terintegrasi</t>
        </is>
      </c>
      <c r="Y172" s="184" t="inlineStr">
        <is>
          <t>Tidak Terintegrasi</t>
        </is>
      </c>
      <c r="Z172" s="184" t="inlineStr">
        <is>
          <t>Bagian Umum dan Kepegawaian</t>
        </is>
      </c>
      <c r="AA172" s="184" t="inlineStr">
        <is>
          <t>Dinkes</t>
        </is>
      </c>
      <c r="AB172" s="288" t="n"/>
      <c r="AC172" s="288" t="n"/>
      <c r="AD172" s="288" t="n"/>
      <c r="AE172" s="288" t="n"/>
      <c r="AF172" s="184" t="inlineStr">
        <is>
          <t>Bulanan</t>
        </is>
      </c>
      <c r="AG172" s="284" t="n"/>
      <c r="AH172" s="284" t="n"/>
      <c r="AI172" s="284" t="n"/>
      <c r="AJ172" s="284" t="n"/>
      <c r="AK172" s="284" t="n"/>
      <c r="AL172" s="284" t="n"/>
      <c r="AM172" s="284" t="n"/>
      <c r="AN172" s="284" t="n"/>
      <c r="AO172" s="284" t="n"/>
      <c r="AP172" s="284" t="n"/>
      <c r="AQ172" s="284" t="n"/>
      <c r="AR172" s="284" t="n"/>
    </row>
    <row r="173" hidden="1" s="346">
      <c r="A173" s="62" t="n">
        <v>171</v>
      </c>
      <c r="B173" s="184" t="inlineStr">
        <is>
          <t>Layanan Rujukan</t>
        </is>
      </c>
      <c r="C173" s="219" t="inlineStr">
        <is>
          <t>SISRUTE (Sistem Rujukan Terintegrasi) adalah aplikasi berbasis internet milik Kementerian Kesehatan yang menghubungkan data faskes (puskesmas/klinik/RS) untuk mempercepat dan mempermudah proses rujukan pasien secara vertikal maupun horizontal. Sistem ini bertujuan meningkatkan keselamatan pasien dengan menyediakan informasi medis dan ketersediaan tempat tidur secara real-time.</t>
        </is>
      </c>
      <c r="D173" s="184" t="inlineStr">
        <is>
          <t>Surat Edaran Menteri Kesehatan Nomor HK.02.02/I/1161/2022 tentang Implementasi Penggunaan Aplikasi SISRUTE</t>
        </is>
      </c>
      <c r="E173" s="184" t="inlineStr">
        <is>
          <t>SOP RUJUKAN</t>
        </is>
      </c>
      <c r="F173" s="184" t="inlineStr">
        <is>
          <t>PENGELOLAAN PELAYANAN KESEHATAN</t>
        </is>
      </c>
      <c r="G173" s="184" t="inlineStr">
        <is>
          <t>Masyarakat</t>
        </is>
      </c>
      <c r="H173" s="184" t="inlineStr">
        <is>
          <t>Data Klinis dan Kebutuhan rujukan pasien</t>
        </is>
      </c>
      <c r="I173" s="178" t="inlineStr">
        <is>
          <t>Penerimaan rujukan sesuai kebutuhan pasien</t>
        </is>
      </c>
      <c r="J173" s="184" t="inlineStr">
        <is>
          <t>Terbatas</t>
        </is>
      </c>
      <c r="K173" s="184" t="inlineStr">
        <is>
          <t>Terdapat</t>
        </is>
      </c>
      <c r="L173" s="184" t="inlineStr">
        <is>
          <t>Harian</t>
        </is>
      </c>
      <c r="M173" s="184" t="inlineStr">
        <is>
          <t>SISRUTE</t>
        </is>
      </c>
      <c r="N173" s="184" t="inlineStr">
        <is>
          <t>Pusat</t>
        </is>
      </c>
      <c r="O173" s="184" t="inlineStr">
        <is>
          <t>Pusat</t>
        </is>
      </c>
      <c r="P173" s="184" t="inlineStr">
        <is>
          <t>Website</t>
        </is>
      </c>
      <c r="Q173" s="131" t="inlineStr">
        <is>
          <t>https://sisrute.kemkes.go.id/</t>
        </is>
      </c>
      <c r="R173" s="184" t="inlineStr">
        <is>
          <t>Secara Online</t>
        </is>
      </c>
      <c r="S173" s="184" t="inlineStr">
        <is>
          <t>Informasi</t>
        </is>
      </c>
      <c r="T173" s="184" t="n">
        <v>2016</v>
      </c>
      <c r="U173" s="184" t="inlineStr">
        <is>
          <t>Aktif</t>
        </is>
      </c>
      <c r="V173" s="184" t="inlineStr">
        <is>
          <t>Tidak</t>
        </is>
      </c>
      <c r="W173" s="184" t="inlineStr">
        <is>
          <t>Tidak terintegrasi</t>
        </is>
      </c>
      <c r="X173" s="184" t="inlineStr">
        <is>
          <t>Tidak Terintegrasi</t>
        </is>
      </c>
      <c r="Y173" s="184" t="inlineStr">
        <is>
          <t>Tidak Terintegrasi</t>
        </is>
      </c>
      <c r="Z173" s="184" t="inlineStr">
        <is>
          <t>Bagian Pelayanan Medik</t>
        </is>
      </c>
      <c r="AA173" s="184" t="inlineStr">
        <is>
          <t>Dinkes</t>
        </is>
      </c>
      <c r="AB173" s="288" t="n"/>
      <c r="AC173" s="288" t="n"/>
      <c r="AD173" s="288" t="n"/>
      <c r="AE173" s="288" t="n"/>
      <c r="AF173" s="184" t="inlineStr">
        <is>
          <t>Harian</t>
        </is>
      </c>
      <c r="AG173" s="284" t="n"/>
      <c r="AH173" s="284" t="n"/>
      <c r="AI173" s="284" t="n"/>
      <c r="AJ173" s="284" t="n"/>
      <c r="AK173" s="284" t="n"/>
      <c r="AL173" s="284" t="n"/>
      <c r="AM173" s="284" t="n"/>
      <c r="AN173" s="284" t="n"/>
      <c r="AO173" s="284" t="n"/>
      <c r="AP173" s="284" t="n"/>
      <c r="AQ173" s="284" t="n"/>
      <c r="AR173" s="284" t="n"/>
    </row>
    <row r="174" hidden="1" s="346">
      <c r="A174" s="62" t="n">
        <v>172</v>
      </c>
      <c r="B174" s="184" t="inlineStr">
        <is>
          <t>Layanan Informasi Modul Penerimaan Negara (MPN)</t>
        </is>
      </c>
      <c r="C174" s="184" t="inlineStr">
        <is>
          <t>memodernisasi pengelolaan penerimaan negara, memudahkan wajib pajak/bayar dalam menyetorkan pajak, bea cukai, dan PNBP secara aman, cepat, dan 24/7.</t>
        </is>
      </c>
      <c r="D174" s="184" t="inlineStr">
        <is>
          <t>PMK Nomor 225/PMK.05/2020 tentang Sistem Penerimaan Negara secara Elektronik,</t>
        </is>
      </c>
      <c r="E174" s="288" t="n"/>
      <c r="F174" s="184" t="inlineStr">
        <is>
          <t>AKUNTANSI DAN PELAPORAN KEUANGAN</t>
        </is>
      </c>
      <c r="G174" s="184" t="inlineStr">
        <is>
          <t>Instansi Pemerintah Lainnya</t>
        </is>
      </c>
      <c r="H174" s="184" t="inlineStr">
        <is>
          <t>BPJS 1% dan 4%</t>
        </is>
      </c>
      <c r="I174" s="178" t="inlineStr">
        <is>
          <t>Bukti setor BPJS 1% dan 4%</t>
        </is>
      </c>
      <c r="J174" s="184" t="inlineStr">
        <is>
          <t>Terbatas</t>
        </is>
      </c>
      <c r="K174" s="184" t="inlineStr">
        <is>
          <t>Tidak terdapat</t>
        </is>
      </c>
      <c r="L174" s="184" t="inlineStr">
        <is>
          <t>Bulanan</t>
        </is>
      </c>
      <c r="M174" s="184" t="inlineStr">
        <is>
          <t>MPN Kemenkeu</t>
        </is>
      </c>
      <c r="N174" s="184" t="inlineStr">
        <is>
          <t>Pusat</t>
        </is>
      </c>
      <c r="O174" s="184" t="inlineStr">
        <is>
          <t>Pusat</t>
        </is>
      </c>
      <c r="P174" s="184" t="inlineStr">
        <is>
          <t>Website</t>
        </is>
      </c>
      <c r="Q174" s="131" t="inlineStr">
        <is>
          <t>https://mpn.kemenkeu.go.id</t>
        </is>
      </c>
      <c r="R174" s="184" t="inlineStr">
        <is>
          <t>Secara Online</t>
        </is>
      </c>
      <c r="S174" s="184" t="inlineStr">
        <is>
          <t>Transaksi</t>
        </is>
      </c>
      <c r="T174" s="288" t="n"/>
      <c r="U174" s="184" t="inlineStr">
        <is>
          <t>Aktif</t>
        </is>
      </c>
      <c r="V174" s="184" t="inlineStr">
        <is>
          <t>Ya</t>
        </is>
      </c>
      <c r="W174" s="184" t="inlineStr">
        <is>
          <t>BPJS</t>
        </is>
      </c>
      <c r="X174" s="184" t="inlineStr">
        <is>
          <t>Tidak Terintegrasi</t>
        </is>
      </c>
      <c r="Y174" s="184" t="inlineStr">
        <is>
          <t>Tidak Terintegrasi</t>
        </is>
      </c>
      <c r="Z174" s="184" t="inlineStr">
        <is>
          <t>Bagian Keuangan</t>
        </is>
      </c>
      <c r="AA174" s="184" t="inlineStr">
        <is>
          <t>BKAD</t>
        </is>
      </c>
      <c r="AB174" s="184" t="inlineStr">
        <is>
          <t>Soleh Nurdin,SAB , Mimin Mintarih,S.E dan Shandy Budi Oetama,S.E</t>
        </is>
      </c>
      <c r="AC174" s="184" t="inlineStr">
        <is>
          <t>081222537833 , 081322777660 dan 085720024777</t>
        </is>
      </c>
      <c r="AD174" s="184" t="inlineStr">
        <is>
          <t>mintarsihmimin7990@gmail.comsolehnurdin1969@gmail.com dan shandy.oetama@gmail.com</t>
        </is>
      </c>
      <c r="AE174" s="288" t="n"/>
      <c r="AF174" s="184" t="inlineStr">
        <is>
          <t>Bulanan</t>
        </is>
      </c>
      <c r="AG174" s="284" t="n"/>
      <c r="AH174" s="284" t="n"/>
      <c r="AI174" s="284" t="n"/>
      <c r="AJ174" s="284" t="n"/>
      <c r="AK174" s="284" t="n"/>
      <c r="AL174" s="284" t="n"/>
      <c r="AM174" s="284" t="n"/>
      <c r="AN174" s="284" t="n"/>
      <c r="AO174" s="284" t="n"/>
      <c r="AP174" s="284" t="n"/>
      <c r="AQ174" s="284" t="n"/>
      <c r="AR174" s="284" t="n"/>
    </row>
    <row r="175" hidden="1" s="346">
      <c r="A175" s="62" t="n">
        <v>173</v>
      </c>
      <c r="B175" s="184" t="inlineStr">
        <is>
          <t>Layanan informasi tenaga kesehatan</t>
        </is>
      </c>
      <c r="C175" s="184" t="inlineStr">
        <is>
          <t>database tenaga kesehatan</t>
        </is>
      </c>
      <c r="D175" s="184" t="inlineStr">
        <is>
          <t>Undang-undang np 17 Tahun 2023 ttg kesehatn</t>
        </is>
      </c>
      <c r="E175" s="288" t="n"/>
      <c r="F175" s="184" t="inlineStr">
        <is>
          <t>PENGEMBANGAN DAN PEMBERDAYAAN SUMBER DAYA MANUSIA KESEHATAN</t>
        </is>
      </c>
      <c r="G175" s="184" t="inlineStr">
        <is>
          <t>Pegawai</t>
        </is>
      </c>
      <c r="H175" s="184" t="inlineStr">
        <is>
          <t>database tenaga kesehatan</t>
        </is>
      </c>
      <c r="I175" s="184" t="inlineStr">
        <is>
          <t>database tenaga kesehatan</t>
        </is>
      </c>
      <c r="J175" s="184" t="inlineStr">
        <is>
          <t>Terbatas</t>
        </is>
      </c>
      <c r="K175" s="184" t="inlineStr">
        <is>
          <t>Terdapat</t>
        </is>
      </c>
      <c r="L175" s="184" t="inlineStr">
        <is>
          <t>Harian</t>
        </is>
      </c>
      <c r="M175" s="184" t="inlineStr">
        <is>
          <t>SISDMK</t>
        </is>
      </c>
      <c r="N175" s="184" t="inlineStr">
        <is>
          <t>Pusat</t>
        </is>
      </c>
      <c r="O175" s="184" t="inlineStr">
        <is>
          <t>Pusat</t>
        </is>
      </c>
      <c r="P175" s="184" t="inlineStr">
        <is>
          <t>Website dan Mobile</t>
        </is>
      </c>
      <c r="Q175" s="131" t="inlineStr">
        <is>
          <t>sisdmk.kemkes.go.id</t>
        </is>
      </c>
      <c r="R175" s="184" t="inlineStr">
        <is>
          <t>Secara Online</t>
        </is>
      </c>
      <c r="S175" s="184" t="inlineStr">
        <is>
          <t>Informasi</t>
        </is>
      </c>
      <c r="T175" s="288" t="n"/>
      <c r="U175" s="184" t="inlineStr">
        <is>
          <t>Aktif</t>
        </is>
      </c>
      <c r="V175" s="184" t="inlineStr">
        <is>
          <t>Ya</t>
        </is>
      </c>
      <c r="W175" s="288" t="n"/>
      <c r="X175" s="184" t="inlineStr">
        <is>
          <t>Web Service</t>
        </is>
      </c>
      <c r="Y175" s="184" t="inlineStr">
        <is>
          <t>Realtime</t>
        </is>
      </c>
      <c r="Z175" s="184" t="inlineStr">
        <is>
          <t>semua bidang/bagian</t>
        </is>
      </c>
      <c r="AA175" s="184" t="inlineStr">
        <is>
          <t>Dinkes</t>
        </is>
      </c>
      <c r="AB175" s="184" t="inlineStr">
        <is>
          <t>Dede Sarifudin, Welga Adibayu, Iis Ismawati</t>
        </is>
      </c>
      <c r="AC175" s="184" t="n">
        <v>85222063396</v>
      </c>
      <c r="AD175" s="184" t="inlineStr">
        <is>
          <t>kepegawaian.rsud.majalay@gmail.com</t>
        </is>
      </c>
      <c r="AE175" s="288" t="n"/>
      <c r="AF175" s="184" t="inlineStr">
        <is>
          <t>Setiap Saat</t>
        </is>
      </c>
      <c r="AG175" s="284" t="n"/>
      <c r="AH175" s="284" t="n"/>
      <c r="AI175" s="284" t="n"/>
      <c r="AJ175" s="284" t="n"/>
      <c r="AK175" s="284" t="n"/>
      <c r="AL175" s="284" t="n"/>
      <c r="AM175" s="284" t="n"/>
      <c r="AN175" s="284" t="n"/>
      <c r="AO175" s="284" t="n"/>
      <c r="AP175" s="284" t="n"/>
      <c r="AQ175" s="284" t="n"/>
      <c r="AR175" s="284" t="n"/>
    </row>
    <row r="176" hidden="1" s="346">
      <c r="A176" s="62" t="n">
        <v>174</v>
      </c>
      <c r="B176" s="184" t="inlineStr">
        <is>
          <t>Layanan pelaporan pelayanan kesehatan</t>
        </is>
      </c>
      <c r="C176" s="176" t="inlineStr">
        <is>
          <t>Pelaporan pelayanan kesehatan mencakup Data dasar RS, Profil, Update tempat tidur, Laporan KLB/Pandemi, Kompetensi RS, Rekapitulasi Laporan</t>
        </is>
      </c>
      <c r="D176" s="184" t="inlineStr">
        <is>
          <t>Direktorat Jenderal Kesehatan Lanjutan Kemenkes</t>
        </is>
      </c>
      <c r="E176" s="200" t="n"/>
      <c r="F176" s="184" t="inlineStr">
        <is>
          <t>PENGELOLAAN PELAYANAN KESEHATAN</t>
        </is>
      </c>
      <c r="G176" s="184" t="inlineStr">
        <is>
          <t>Instansi Pemerintah Lainnya</t>
        </is>
      </c>
      <c r="H176" s="184" t="inlineStr">
        <is>
          <t>Data dasar RS, Profil, Update tempat tidur, Laporan KLB/Pandemi, Kompetensi RS, Rekapitulasi Laporan</t>
        </is>
      </c>
      <c r="I176" s="178" t="inlineStr">
        <is>
          <t>Laporan Updating</t>
        </is>
      </c>
      <c r="J176" s="184" t="inlineStr">
        <is>
          <t>Terbatas</t>
        </is>
      </c>
      <c r="K176" s="184" t="inlineStr">
        <is>
          <t>Tidak terdapat</t>
        </is>
      </c>
      <c r="L176" s="184" t="inlineStr">
        <is>
          <t>Harian</t>
        </is>
      </c>
      <c r="M176" s="184" t="inlineStr">
        <is>
          <t>RS Online</t>
        </is>
      </c>
      <c r="N176" s="184" t="inlineStr">
        <is>
          <t>Pusat</t>
        </is>
      </c>
      <c r="O176" s="184" t="inlineStr">
        <is>
          <t>Pusat</t>
        </is>
      </c>
      <c r="P176" s="67" t="inlineStr">
        <is>
          <t>Website</t>
        </is>
      </c>
      <c r="Q176" s="131" t="inlineStr">
        <is>
          <t>sirs.kemkes.go.id</t>
        </is>
      </c>
      <c r="R176" s="184" t="inlineStr">
        <is>
          <t>Secara Online</t>
        </is>
      </c>
      <c r="S176" s="184" t="inlineStr">
        <is>
          <t>Informasi</t>
        </is>
      </c>
      <c r="T176" s="288" t="n"/>
      <c r="U176" s="184" t="inlineStr">
        <is>
          <t>Aktif</t>
        </is>
      </c>
      <c r="V176" s="184" t="inlineStr">
        <is>
          <t>Ya</t>
        </is>
      </c>
      <c r="W176" s="184" t="inlineStr">
        <is>
          <t>tidak Terintegrasi</t>
        </is>
      </c>
      <c r="X176" s="184" t="inlineStr">
        <is>
          <t>Tidak Terintegrasi</t>
        </is>
      </c>
      <c r="Y176" s="184" t="inlineStr">
        <is>
          <t>Realtime</t>
        </is>
      </c>
      <c r="Z176" s="184" t="inlineStr">
        <is>
          <t>Bidang Penunjang Medik dan Pelayanan Medik</t>
        </is>
      </c>
      <c r="AA176" s="184" t="inlineStr">
        <is>
          <t>Dinkes</t>
        </is>
      </c>
      <c r="AB176" s="184" t="inlineStr">
        <is>
          <t>Sonia Dwi Octavianti</t>
        </is>
      </c>
      <c r="AC176" s="184" t="n">
        <v>85721324997</v>
      </c>
      <c r="AD176" s="288" t="n"/>
      <c r="AE176" s="288" t="n"/>
      <c r="AF176" s="184" t="inlineStr">
        <is>
          <t>Harian</t>
        </is>
      </c>
      <c r="AG176" s="284" t="n"/>
      <c r="AH176" s="284" t="n"/>
      <c r="AI176" s="284" t="n"/>
      <c r="AJ176" s="284" t="n"/>
      <c r="AK176" s="284" t="n"/>
      <c r="AL176" s="284" t="n"/>
      <c r="AM176" s="284" t="n"/>
      <c r="AN176" s="284" t="n"/>
      <c r="AO176" s="284" t="n"/>
      <c r="AP176" s="284" t="n"/>
      <c r="AQ176" s="284" t="n"/>
      <c r="AR176" s="284" t="n"/>
    </row>
    <row r="177" hidden="1" s="346">
      <c r="A177" s="62" t="n">
        <v>175</v>
      </c>
      <c r="B177" s="184" t="inlineStr">
        <is>
          <t>Layanan informasi pelayanan publik</t>
        </is>
      </c>
      <c r="C177" s="178" t="inlineStr">
        <is>
          <t>mempermudah masyarakat mengakses informasi layanan publik secara terpadu, transparan, dan akuntabel. Fungsi utamanya adalah mengintegrasikan data standar pelayanan (syarat, prosedur, waktu, biaya) dari berbagai instansi pemerintah</t>
        </is>
      </c>
      <c r="D177" s="184" t="inlineStr">
        <is>
          <t>-Peraturan Pemerintah Nomor 96 Tahun 2012 tentang Pelaksanaan Undang-undang Nomor 25 Tahun 2009 tentang Pelayanan Publik
 -Peraturan Menteri PANRB No. 14 Tahun 2017 tentang Pedoman Penyusunan Survei Kepuasan Masyarakat (SKM)</t>
        </is>
      </c>
      <c r="E177" s="288" t="n"/>
      <c r="F177" s="184" t="inlineStr">
        <is>
          <t>INFORMASI DAN DIPLOMASI PUBLIK</t>
        </is>
      </c>
      <c r="G177" s="184" t="inlineStr">
        <is>
          <t>Instansi Pemerintah Lainnya</t>
        </is>
      </c>
      <c r="H177" s="184" t="inlineStr">
        <is>
          <t>Identitas Instansi, Standar Pelayanan, Informasi Tambahan</t>
        </is>
      </c>
      <c r="I177" s="184" t="inlineStr">
        <is>
          <t>Informasi komprehensif mengenai penyelanggaraan pelayanan publik oleh instansi pemerintah</t>
        </is>
      </c>
      <c r="J177" s="184" t="inlineStr">
        <is>
          <t>Terbuka</t>
        </is>
      </c>
      <c r="K177" s="184" t="inlineStr">
        <is>
          <t>Tidak terdapat</t>
        </is>
      </c>
      <c r="L177" s="184" t="inlineStr">
        <is>
          <t>Lainnya</t>
        </is>
      </c>
      <c r="M177" s="184" t="inlineStr">
        <is>
          <t>SIPPN</t>
        </is>
      </c>
      <c r="N177" s="184" t="inlineStr">
        <is>
          <t>Pusat</t>
        </is>
      </c>
      <c r="O177" s="184" t="inlineStr">
        <is>
          <t>Pusat</t>
        </is>
      </c>
      <c r="P177" s="184" t="inlineStr">
        <is>
          <t>Website</t>
        </is>
      </c>
      <c r="Q177" s="131" t="inlineStr">
        <is>
          <t>https://sippn.menpan.go.id/</t>
        </is>
      </c>
      <c r="R177" s="184" t="inlineStr">
        <is>
          <t>Secara Online</t>
        </is>
      </c>
      <c r="S177" s="184" t="inlineStr">
        <is>
          <t>Informasi</t>
        </is>
      </c>
      <c r="T177" s="288" t="n"/>
      <c r="U177" s="184" t="inlineStr">
        <is>
          <t>Aktif</t>
        </is>
      </c>
      <c r="V177" s="184" t="inlineStr">
        <is>
          <t>Tidak</t>
        </is>
      </c>
      <c r="W177" s="184" t="inlineStr">
        <is>
          <t>Tidak Terintegrasi</t>
        </is>
      </c>
      <c r="X177" s="184" t="inlineStr">
        <is>
          <t>Tidak Terintegrasi</t>
        </is>
      </c>
      <c r="Y177" s="184" t="inlineStr">
        <is>
          <t>Tidak Terintegrasi</t>
        </is>
      </c>
      <c r="Z177" s="184" t="inlineStr">
        <is>
          <t>Bagian Perencanaan dan Kehumasan</t>
        </is>
      </c>
      <c r="AA177" s="184" t="inlineStr">
        <is>
          <t>Dinkes</t>
        </is>
      </c>
      <c r="AB177" s="184" t="inlineStr">
        <is>
          <t>Krisna Aji Putra, S.I.Kom</t>
        </is>
      </c>
      <c r="AC177" s="184" t="n">
        <v>82118454036</v>
      </c>
      <c r="AD177" s="184" t="inlineStr">
        <is>
          <t>humasrsudmajalaya1@gmail.com</t>
        </is>
      </c>
      <c r="AE177" s="288" t="n"/>
      <c r="AF177" s="184" t="inlineStr">
        <is>
          <t>Insidentil</t>
        </is>
      </c>
      <c r="AG177" s="284" t="n"/>
      <c r="AH177" s="284" t="n"/>
      <c r="AI177" s="284" t="n"/>
      <c r="AJ177" s="284" t="n"/>
      <c r="AK177" s="284" t="n"/>
      <c r="AL177" s="284" t="n"/>
      <c r="AM177" s="284" t="n"/>
      <c r="AN177" s="284" t="n"/>
      <c r="AO177" s="284" t="n"/>
      <c r="AP177" s="284" t="n"/>
      <c r="AQ177" s="284" t="n"/>
      <c r="AR177" s="284" t="n"/>
    </row>
    <row r="178" hidden="1" s="346">
      <c r="A178" s="62" t="n">
        <v>176</v>
      </c>
      <c r="B178" s="184" t="inlineStr">
        <is>
          <t>Layanan informasi mutu fasilitas layanan kesehatan</t>
        </is>
      </c>
      <c r="C178" s="178" t="inlineStr">
        <is>
          <t>untuk mengumpulkan dan memantau data kualitas pelayanan kesehatan secara terintegrasi, sehingga dapat digunakan untuk evaluasi, peningkatan mutu, dan pengambilan kebijakan di bidang kesehatan.</t>
        </is>
      </c>
      <c r="D178" s="178" t="inlineStr">
        <is>
          <t>1. Undang - Undang Nomor 36 Tahun 2009 Tentang Kesehatan 
 2. Undang-Undang Nomor 44 Tahun 2009 tentang Rumah Sakit
 3. Peraturan Menteri Kesehatan Nomor 46 Tahun 2015 tentang Akreditasi Puskesmas, Klinik Pratama, Tempat Praktik Mandiri Dokter dan Dokter Gigi
 4. Peraturan Menteri Kesehatan Nomor 11 Tahun 2017 tentang Keselamatan Pasien
 5. Peraturan Menteri Kesehatan Nomor 30 Tahun 2022 tentang Indikator Nasional Mutu Pelayanan Kesehatan</t>
        </is>
      </c>
      <c r="E178" s="288" t="n"/>
      <c r="F178" s="184" t="inlineStr">
        <is>
          <t>PENGELOLAAN PELAYANAN KESEHATAN</t>
        </is>
      </c>
      <c r="G178" s="184" t="inlineStr">
        <is>
          <t>Instansi Pemerintah Lainnya</t>
        </is>
      </c>
      <c r="H178" s="178" t="inlineStr">
        <is>
          <t>1. Indikator Mutu Nasional 
 2. Pelaporan HAIS
 3. Pelaporan Insiden Keselamatan Pasien</t>
        </is>
      </c>
      <c r="I178" s="178" t="inlineStr">
        <is>
          <t>Data Monitoring dan Evaluasi</t>
        </is>
      </c>
      <c r="J178" s="184" t="inlineStr">
        <is>
          <t>Terbatas</t>
        </is>
      </c>
      <c r="K178" s="184" t="inlineStr">
        <is>
          <t>Tidak terdapat</t>
        </is>
      </c>
      <c r="L178" s="184" t="inlineStr">
        <is>
          <t>Bulanan</t>
        </is>
      </c>
      <c r="M178" s="184" t="inlineStr">
        <is>
          <t>MUTU FASYANKES</t>
        </is>
      </c>
      <c r="N178" s="184" t="inlineStr">
        <is>
          <t>Pusat</t>
        </is>
      </c>
      <c r="O178" s="184" t="inlineStr">
        <is>
          <t>Pusat</t>
        </is>
      </c>
      <c r="P178" s="184" t="inlineStr">
        <is>
          <t>Website</t>
        </is>
      </c>
      <c r="Q178" s="223" t="inlineStr">
        <is>
          <t>https://mutufasyankes.kemkes.go.id/</t>
        </is>
      </c>
      <c r="R178" s="184" t="inlineStr">
        <is>
          <t>Secara Online</t>
        </is>
      </c>
      <c r="S178" s="184" t="inlineStr">
        <is>
          <t>Informasi</t>
        </is>
      </c>
      <c r="T178" s="288" t="n"/>
      <c r="U178" s="184" t="inlineStr">
        <is>
          <t>Aktif</t>
        </is>
      </c>
      <c r="V178" s="288" t="n"/>
      <c r="W178" s="288" t="n"/>
      <c r="X178" s="288" t="n"/>
      <c r="Y178" s="288" t="n"/>
      <c r="Z178" s="184" t="inlineStr">
        <is>
          <t>Komite Mutu</t>
        </is>
      </c>
      <c r="AA178" s="184" t="inlineStr">
        <is>
          <t>Dinkes</t>
        </is>
      </c>
      <c r="AB178" s="131" t="inlineStr">
        <is>
          <t>Endah Mawarni, A.Md.Kes</t>
        </is>
      </c>
      <c r="AC178" s="184" t="n">
        <v>8812229285</v>
      </c>
      <c r="AD178" s="184" t="inlineStr">
        <is>
          <t>komite.pmkp.rsudmajalaya@gmail.com</t>
        </is>
      </c>
      <c r="AE178" s="288" t="n"/>
      <c r="AF178" s="184" t="inlineStr">
        <is>
          <t>Bulanan</t>
        </is>
      </c>
      <c r="AG178" s="284" t="n"/>
      <c r="AH178" s="284" t="n"/>
      <c r="AI178" s="284" t="n"/>
      <c r="AJ178" s="284" t="n"/>
      <c r="AK178" s="284" t="n"/>
      <c r="AL178" s="284" t="n"/>
      <c r="AM178" s="284" t="n"/>
      <c r="AN178" s="284" t="n"/>
      <c r="AO178" s="284" t="n"/>
      <c r="AP178" s="284" t="n"/>
      <c r="AQ178" s="284" t="n"/>
      <c r="AR178" s="284" t="n"/>
    </row>
    <row r="179" hidden="1" s="346">
      <c r="A179" s="62" t="n">
        <v>177</v>
      </c>
      <c r="B179" s="178" t="inlineStr">
        <is>
          <t>Layanan manajemen data sarana prasarana alat kesehatan</t>
        </is>
      </c>
      <c r="C179" s="224" t="inlineStr">
        <is>
          <t>sistem informasi berbasis web dari Kementerian Kesehatan untuk menghimpun data sarana, prasarana, dan alat kesehatan (SPA) di fasyankes</t>
        </is>
      </c>
      <c r="D179" s="225" t="inlineStr">
        <is>
          <t>Permenkes No. 31 Tahun 2018: Mengatur kewajiban pengisian, validasi, dan update data ASPAK oleh Fasyankes, Dinas Kesehatan Kabupaten/Kota, dan Dinas Kesehatan Provinsi</t>
        </is>
      </c>
      <c r="E179" s="288" t="n"/>
      <c r="F179" s="67" t="inlineStr">
        <is>
          <t>PENGELOLAAN PELAYANAN KESEHATAN</t>
        </is>
      </c>
      <c r="G179" s="184" t="inlineStr">
        <is>
          <t>Instansi Pemerintah Lainnya</t>
        </is>
      </c>
      <c r="H179" s="184" t="inlineStr">
        <is>
          <t>data sarana, prasarana, dan alat kesehatan (SPA) di fasyankes</t>
        </is>
      </c>
      <c r="I179" s="184" t="inlineStr">
        <is>
          <t>data sarana, prasarana, dan alat kesehatan (SPA) di fasyankes</t>
        </is>
      </c>
      <c r="J179" s="184" t="inlineStr">
        <is>
          <t>Tertutup</t>
        </is>
      </c>
      <c r="K179" s="184" t="inlineStr">
        <is>
          <t>Tidak terdapat</t>
        </is>
      </c>
      <c r="L179" s="184" t="inlineStr">
        <is>
          <t>Harian</t>
        </is>
      </c>
      <c r="M179" s="184" t="inlineStr">
        <is>
          <t>ASPAK</t>
        </is>
      </c>
      <c r="N179" s="184" t="inlineStr">
        <is>
          <t>Pusat</t>
        </is>
      </c>
      <c r="O179" s="184" t="inlineStr">
        <is>
          <t>Pusat</t>
        </is>
      </c>
      <c r="P179" s="184" t="inlineStr">
        <is>
          <t>Website</t>
        </is>
      </c>
      <c r="Q179" s="131" t="inlineStr">
        <is>
          <t>https://aspak.kemkes.go.id/aplikasi/site/index</t>
        </is>
      </c>
      <c r="R179" s="184" t="inlineStr">
        <is>
          <t>Secara Online</t>
        </is>
      </c>
      <c r="S179" s="184" t="inlineStr">
        <is>
          <t>Informasi</t>
        </is>
      </c>
      <c r="T179" s="184" t="n">
        <v>2018</v>
      </c>
      <c r="U179" s="184" t="inlineStr">
        <is>
          <t>Aktif</t>
        </is>
      </c>
      <c r="V179" s="67" t="inlineStr">
        <is>
          <t>Tidak</t>
        </is>
      </c>
      <c r="W179" s="184" t="inlineStr">
        <is>
          <t>tidak terintegrasi'</t>
        </is>
      </c>
      <c r="X179" s="67" t="inlineStr">
        <is>
          <t>Tidak Terintegrasi</t>
        </is>
      </c>
      <c r="Y179" s="184" t="inlineStr">
        <is>
          <t>Tidak Terintegrasi</t>
        </is>
      </c>
      <c r="Z179" s="68" t="inlineStr">
        <is>
          <t>Bidang Pelayanan Medik</t>
        </is>
      </c>
      <c r="AA179" s="184" t="inlineStr">
        <is>
          <t>Dinkes</t>
        </is>
      </c>
      <c r="AB179" s="184" t="inlineStr">
        <is>
          <t>Sonia Dwi Octavianti</t>
        </is>
      </c>
      <c r="AC179" s="184" t="n">
        <v>85721324997</v>
      </c>
      <c r="AD179" s="288" t="n"/>
      <c r="AE179" s="288" t="n"/>
      <c r="AF179" s="68" t="inlineStr">
        <is>
          <t>Insidentil</t>
        </is>
      </c>
      <c r="AG179" s="284" t="n"/>
      <c r="AH179" s="284" t="n"/>
      <c r="AI179" s="284" t="n"/>
      <c r="AJ179" s="284" t="n"/>
      <c r="AK179" s="284" t="n"/>
      <c r="AL179" s="284" t="n"/>
      <c r="AM179" s="284" t="n"/>
      <c r="AN179" s="284" t="n"/>
      <c r="AO179" s="284" t="n"/>
      <c r="AP179" s="284" t="n"/>
      <c r="AQ179" s="284" t="n"/>
      <c r="AR179" s="284" t="n"/>
    </row>
    <row r="180">
      <c r="A180" s="62" t="n">
        <v>178</v>
      </c>
      <c r="B180" s="184" t="inlineStr">
        <is>
          <t>Layanan Integrasi Ekosistem Digital Rumah Sakit (SIMRS)</t>
        </is>
      </c>
      <c r="C180" s="184"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80" s="184" t="inlineStr">
        <is>
          <t>Peraturan Menteri Kesehatan Nomor 82 Tahun 2013 Tentang Sistem Informasi Manajemen Rumah Sakit</t>
        </is>
      </c>
      <c r="E180" s="131" t="inlineStr">
        <is>
          <t>https://drive.google.com/file/d/1T1U4oNUqZS1NcFlgpFY6CJRp0CcQqlBv/view?usp=drive_link</t>
        </is>
      </c>
      <c r="F180" s="184" t="inlineStr">
        <is>
          <t>PENGELOLAAN PELAYANAN KESEHATAN</t>
        </is>
      </c>
      <c r="G180" s="184" t="inlineStr">
        <is>
          <t>Masyarakat</t>
        </is>
      </c>
      <c r="H180" s="184" t="inlineStr">
        <is>
          <t>Data pasien, mulai dari info pribadi hingga catatan medis pasien</t>
        </is>
      </c>
      <c r="I180" s="178" t="inlineStr">
        <is>
          <t>Data rekam medis pasien</t>
        </is>
      </c>
      <c r="J180" s="184" t="inlineStr">
        <is>
          <t>Rahasia</t>
        </is>
      </c>
      <c r="K180" s="184" t="inlineStr">
        <is>
          <t>Terdapat</t>
        </is>
      </c>
      <c r="L180" s="184" t="inlineStr">
        <is>
          <t>Lainnya</t>
        </is>
      </c>
      <c r="M180" s="184" t="inlineStr">
        <is>
          <t>SIMRS OTO ISKANDAR</t>
        </is>
      </c>
      <c r="N180" s="184" t="inlineStr">
        <is>
          <t>Pihak Ke 3</t>
        </is>
      </c>
      <c r="O180" s="184" t="inlineStr">
        <is>
          <t>Kab. Bandung</t>
        </is>
      </c>
      <c r="P180" s="184" t="inlineStr">
        <is>
          <t>Desktop</t>
        </is>
      </c>
      <c r="Q180" s="184" t="inlineStr">
        <is>
          <t>Internal (Rahasia)</t>
        </is>
      </c>
      <c r="R180" s="184" t="inlineStr">
        <is>
          <t>Secara Offline</t>
        </is>
      </c>
      <c r="S180" s="184" t="inlineStr">
        <is>
          <t>Transaksi</t>
        </is>
      </c>
      <c r="T180" s="184" t="n">
        <v>2023</v>
      </c>
      <c r="U180" s="184" t="inlineStr">
        <is>
          <t>Aktif</t>
        </is>
      </c>
      <c r="V180" s="184" t="inlineStr">
        <is>
          <t>Ya</t>
        </is>
      </c>
      <c r="W180" s="184" t="inlineStr">
        <is>
          <t>VClaim BPJS, Satusehat, Eklaim INACBGs, Siranap</t>
        </is>
      </c>
      <c r="X180" s="184" t="inlineStr">
        <is>
          <t>Web Service</t>
        </is>
      </c>
      <c r="Y180" s="184" t="inlineStr">
        <is>
          <t>Realtime</t>
        </is>
      </c>
      <c r="Z180" s="184" t="inlineStr">
        <is>
          <t>Bidang Penunjang Non Medis</t>
        </is>
      </c>
      <c r="AA180" s="184" t="inlineStr">
        <is>
          <t>Dinkes</t>
        </is>
      </c>
      <c r="AB180" s="184" t="inlineStr">
        <is>
          <t>dr. Yessy Agustina, M.H.</t>
        </is>
      </c>
      <c r="AC180" s="184" t="n">
        <v>8129487531</v>
      </c>
      <c r="AD180" s="184" t="inlineStr">
        <is>
          <t>yessy_agst@yahoo.com</t>
        </is>
      </c>
      <c r="AE180" s="184" t="n">
        <v>8</v>
      </c>
      <c r="AF180" s="184" t="inlineStr">
        <is>
          <t>Setiap Saat</t>
        </is>
      </c>
      <c r="AG180" s="284" t="n"/>
      <c r="AH180" s="284" t="n"/>
      <c r="AI180" s="284" t="n"/>
      <c r="AJ180" s="284" t="n"/>
      <c r="AK180" s="284" t="n"/>
      <c r="AL180" s="284" t="n"/>
      <c r="AM180" s="284" t="n"/>
      <c r="AN180" s="284" t="n"/>
      <c r="AO180" s="284" t="n"/>
      <c r="AP180" s="284" t="n"/>
      <c r="AQ180" s="284" t="n"/>
      <c r="AR180" s="284" t="n"/>
    </row>
    <row r="181">
      <c r="A181" s="62" t="n">
        <v>179</v>
      </c>
      <c r="B181" s="184" t="inlineStr">
        <is>
          <t>Layanan Pengelolaan Gudang Logistik</t>
        </is>
      </c>
      <c r="C181" s="184" t="inlineStr">
        <is>
          <t>Pengelolaan barang-barang penunjang operasional rumah sakit di luar obat dan BMHP, pencatatan barang mulai dari masuk hingga keluar disertai dokumentasi dan laporan transaksi</t>
        </is>
      </c>
      <c r="D181" s="288" t="n"/>
      <c r="E181" s="288" t="n"/>
      <c r="F181" s="184" t="inlineStr">
        <is>
          <t>PENGELOLAAN SUMBER DAYA DAN PERANGKAT INFORMATIKA</t>
        </is>
      </c>
      <c r="G181" s="184" t="inlineStr">
        <is>
          <t>Instansi Pemerintah Lainnya</t>
        </is>
      </c>
      <c r="H181" s="184" t="inlineStr">
        <is>
          <t>Data Barang</t>
        </is>
      </c>
      <c r="I181" s="178" t="inlineStr">
        <is>
          <t>Catatan transaksi keluar masuk barang</t>
        </is>
      </c>
      <c r="J181" s="184" t="inlineStr">
        <is>
          <t>Terbatas</t>
        </is>
      </c>
      <c r="K181" s="184" t="inlineStr">
        <is>
          <t>Tidak terdapat</t>
        </is>
      </c>
      <c r="L181" s="288" t="n"/>
      <c r="M181" s="184" t="inlineStr">
        <is>
          <t>Layanan Pengelolaan Gudang Logistik OTO</t>
        </is>
      </c>
      <c r="N181" s="184" t="inlineStr">
        <is>
          <t>OPD</t>
        </is>
      </c>
      <c r="O181" s="184" t="inlineStr">
        <is>
          <t>Kab. Bandung</t>
        </is>
      </c>
      <c r="P181" s="184" t="inlineStr">
        <is>
          <t>Desktop</t>
        </is>
      </c>
      <c r="Q181" s="184" t="inlineStr">
        <is>
          <t>(Internal)</t>
        </is>
      </c>
      <c r="R181" s="184" t="inlineStr">
        <is>
          <t>Secara Offline</t>
        </is>
      </c>
      <c r="S181" s="184" t="inlineStr">
        <is>
          <t>Informasi</t>
        </is>
      </c>
      <c r="T181" s="184" t="n">
        <v>2015</v>
      </c>
      <c r="U181" s="184" t="inlineStr">
        <is>
          <t>Aktif</t>
        </is>
      </c>
      <c r="V181" s="184" t="inlineStr">
        <is>
          <t>Tidak</t>
        </is>
      </c>
      <c r="W181" s="184" t="inlineStr">
        <is>
          <t>Tidak terintegrasi</t>
        </is>
      </c>
      <c r="X181" s="184" t="inlineStr">
        <is>
          <t>Tidak Terintegrasi</t>
        </is>
      </c>
      <c r="Y181" s="184" t="inlineStr">
        <is>
          <t>Tidak Terintegrasi</t>
        </is>
      </c>
      <c r="Z181" s="184" t="inlineStr">
        <is>
          <t>Bagian Umum dan Kepegawaian</t>
        </is>
      </c>
      <c r="AA181" s="184" t="inlineStr">
        <is>
          <t>Dinkes</t>
        </is>
      </c>
      <c r="AB181" s="288" t="n"/>
      <c r="AC181" s="288" t="n"/>
      <c r="AD181" s="288" t="n"/>
      <c r="AE181" s="288" t="n"/>
      <c r="AF181" s="184" t="inlineStr">
        <is>
          <t>Bulanan</t>
        </is>
      </c>
      <c r="AG181" s="284" t="n"/>
      <c r="AH181" s="284" t="n"/>
      <c r="AI181" s="284" t="n"/>
      <c r="AJ181" s="284" t="n"/>
      <c r="AK181" s="284" t="n"/>
      <c r="AL181" s="284" t="n"/>
      <c r="AM181" s="284" t="n"/>
      <c r="AN181" s="284" t="n"/>
      <c r="AO181" s="284" t="n"/>
      <c r="AP181" s="284" t="n"/>
      <c r="AQ181" s="284" t="n"/>
      <c r="AR181" s="284" t="n"/>
    </row>
    <row r="182">
      <c r="A182" s="62" t="n">
        <v>180</v>
      </c>
      <c r="B182" s="184" t="inlineStr">
        <is>
          <t>Layanan informasi inovasi perangkat daerah</t>
        </is>
      </c>
      <c r="C182" s="178" t="inlineStr">
        <is>
          <t>mengoptimalkan pengelolaan, pendokumentasian, dan penyebarluasan hasil penelitian serta inovasi daerah secara digital guna mendukung pengambilan kebijakan berbasis data dan berungsi sebagai tempat penyimpanan data dan kelengkapan satuan inovasi yang ditetapkan oleh Kemendagri</t>
        </is>
      </c>
      <c r="D182" s="184" t="inlineStr">
        <is>
          <t>- Peraturan BRIN Nomor 5 Tahun 2023: Mengatur tentang tata kelola data riset dan inovasi, termasuk penggunaan aplikasi untuk monitoring dan evaluasi kelitbangan daerah.
 - Peraturan Presiden (Perpres) Nomor 78 Tahun 2021 tentang BRIN: Menetapkan BRIN sebagai lembaga yang mengintegrasikan penelitian, pengembangan, pengkajian, penerapan, serta invensi dan inovasi</t>
        </is>
      </c>
      <c r="E182" s="288" t="n"/>
      <c r="F182" s="184" t="inlineStr">
        <is>
          <t>INFORMASI DAN DIPLOMASI PUBLIK</t>
        </is>
      </c>
      <c r="G182" s="184" t="inlineStr">
        <is>
          <t>Instansi Pemerintah Lainnya</t>
        </is>
      </c>
      <c r="H182" s="184" t="inlineStr">
        <is>
          <t>Inovasi yang terdaftar di APIK</t>
        </is>
      </c>
      <c r="I182" s="178" t="inlineStr">
        <is>
          <t>Data Inovasi</t>
        </is>
      </c>
      <c r="J182" s="184" t="inlineStr">
        <is>
          <t>Terbuka</t>
        </is>
      </c>
      <c r="K182" s="184" t="inlineStr">
        <is>
          <t>Tidak terdapat</t>
        </is>
      </c>
      <c r="L182" s="184" t="inlineStr">
        <is>
          <t>Lainnya</t>
        </is>
      </c>
      <c r="M182" s="184" t="inlineStr">
        <is>
          <t>APIK</t>
        </is>
      </c>
      <c r="N182" s="184" t="inlineStr">
        <is>
          <t>OPD</t>
        </is>
      </c>
      <c r="O182" s="184" t="inlineStr">
        <is>
          <t>Kab. Bandung</t>
        </is>
      </c>
      <c r="P182" s="184" t="inlineStr">
        <is>
          <t>Website</t>
        </is>
      </c>
      <c r="Q182" s="131" t="inlineStr">
        <is>
          <t>https://apik.bandungkab.go.id/apik/login</t>
        </is>
      </c>
      <c r="R182" s="184" t="inlineStr">
        <is>
          <t>Secara Online</t>
        </is>
      </c>
      <c r="S182" s="184" t="inlineStr">
        <is>
          <t>Informasi</t>
        </is>
      </c>
      <c r="T182" s="288" t="n"/>
      <c r="U182" s="184" t="inlineStr">
        <is>
          <t>Aktif</t>
        </is>
      </c>
      <c r="V182" s="184" t="inlineStr">
        <is>
          <t>Tidak</t>
        </is>
      </c>
      <c r="W182" s="184" t="inlineStr">
        <is>
          <t>Tidak Terintegrasi</t>
        </is>
      </c>
      <c r="X182" s="184" t="inlineStr">
        <is>
          <t>Tidak Terintegrasi</t>
        </is>
      </c>
      <c r="Y182" s="184" t="inlineStr">
        <is>
          <t>Tidak Terintegrasi</t>
        </is>
      </c>
      <c r="Z182" s="184" t="inlineStr">
        <is>
          <t>Bagian Perencanaan dan Kehumasan</t>
        </is>
      </c>
      <c r="AA182" s="184" t="inlineStr">
        <is>
          <t>Bapperida</t>
        </is>
      </c>
      <c r="AB182" s="184" t="inlineStr">
        <is>
          <t>Krisna Aji Putra, S.I.Kom</t>
        </is>
      </c>
      <c r="AC182" s="184" t="n">
        <v>82118454036</v>
      </c>
      <c r="AD182" s="184" t="inlineStr">
        <is>
          <t>humasrsudmajalaya1@gmail.com</t>
        </is>
      </c>
      <c r="AE182" s="288" t="n"/>
      <c r="AF182" s="184" t="inlineStr">
        <is>
          <t>Insidentil</t>
        </is>
      </c>
      <c r="AG182" s="284" t="n"/>
      <c r="AH182" s="284" t="n"/>
      <c r="AI182" s="284" t="n"/>
      <c r="AJ182" s="284" t="n"/>
      <c r="AK182" s="284" t="n"/>
      <c r="AL182" s="284" t="n"/>
      <c r="AM182" s="284" t="n"/>
      <c r="AN182" s="284" t="n"/>
      <c r="AO182" s="284" t="n"/>
      <c r="AP182" s="284" t="n"/>
      <c r="AQ182" s="284" t="n"/>
      <c r="AR182" s="284" t="n"/>
    </row>
    <row r="183">
      <c r="A183" s="62" t="n">
        <v>181</v>
      </c>
      <c r="B183" s="228" t="inlineStr">
        <is>
          <t>Layanan Integrasi Ekosistem Digital Rumah Sakit (SIMRS)</t>
        </is>
      </c>
      <c r="C183" s="228"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83" s="229" t="inlineStr">
        <is>
          <t>Peraturan Menteri Kesehatan Nomor 82 Tahun 2013 Tentang Sistem Informasi Manajemen Rumah Sakit</t>
        </is>
      </c>
      <c r="E183" s="230" t="inlineStr">
        <is>
          <t>https://drive.google.com/file/d/1T1U4oNUqZS1NcFlgpFY6CJRp0CcQqlBv/view?usp=drive_link</t>
        </is>
      </c>
      <c r="F183" s="229" t="inlineStr">
        <is>
          <t>PENGELOLAAN PELAYANAN KESEHATAN</t>
        </is>
      </c>
      <c r="G183" s="229" t="inlineStr">
        <is>
          <t>Masyarakat</t>
        </is>
      </c>
      <c r="H183" s="229" t="inlineStr">
        <is>
          <t>Data pasien, mulai dari info pribadi hingga catatan medis pasien</t>
        </is>
      </c>
      <c r="I183" s="228" t="inlineStr">
        <is>
          <t>Data rekam medis pasien</t>
        </is>
      </c>
      <c r="J183" s="229" t="inlineStr">
        <is>
          <t>Rahasia</t>
        </is>
      </c>
      <c r="K183" s="229" t="inlineStr">
        <is>
          <t>Terdapat</t>
        </is>
      </c>
      <c r="L183" s="229" t="inlineStr">
        <is>
          <t>Lainnya</t>
        </is>
      </c>
      <c r="M183" s="229" t="inlineStr">
        <is>
          <t>SIMRS CICALENGKA</t>
        </is>
      </c>
      <c r="N183" s="229" t="inlineStr">
        <is>
          <t>Pihak Ke 3</t>
        </is>
      </c>
      <c r="O183" s="229" t="inlineStr">
        <is>
          <t>Kab. Bandung</t>
        </is>
      </c>
      <c r="P183" s="229" t="inlineStr">
        <is>
          <t>Desktop</t>
        </is>
      </c>
      <c r="Q183" s="229" t="inlineStr">
        <is>
          <t>Internal (Rahasia)</t>
        </is>
      </c>
      <c r="R183" s="229" t="inlineStr">
        <is>
          <t>Secara Offline</t>
        </is>
      </c>
      <c r="S183" s="229" t="inlineStr">
        <is>
          <t>Transaksi</t>
        </is>
      </c>
      <c r="T183" s="229" t="n">
        <v>2023</v>
      </c>
      <c r="U183" s="229" t="inlineStr">
        <is>
          <t>Aktif</t>
        </is>
      </c>
      <c r="V183" s="229" t="inlineStr">
        <is>
          <t>Ya</t>
        </is>
      </c>
      <c r="W183" s="229" t="inlineStr">
        <is>
          <t>VClaim BPJS, Satusehat, Eklaim INACBGs, Siranap</t>
        </is>
      </c>
      <c r="X183" s="229" t="inlineStr">
        <is>
          <t>Web Service</t>
        </is>
      </c>
      <c r="Y183" s="229" t="inlineStr">
        <is>
          <t>Realtime</t>
        </is>
      </c>
      <c r="Z183" s="229" t="inlineStr">
        <is>
          <t>Bidang Penunjang Non Medis</t>
        </is>
      </c>
      <c r="AA183" s="229" t="inlineStr">
        <is>
          <t>Dinkes</t>
        </is>
      </c>
      <c r="AB183" s="229" t="inlineStr">
        <is>
          <t>Rizki Bachtiar, S.Kom</t>
        </is>
      </c>
      <c r="AC183" s="229" t="n">
        <v>81910001329</v>
      </c>
      <c r="AD183" s="229" t="inlineStr">
        <is>
          <t>rz1302@gmail.com</t>
        </is>
      </c>
      <c r="AE183" s="229" t="n">
        <v>8</v>
      </c>
      <c r="AF183" s="229" t="inlineStr">
        <is>
          <t>Setiap Saat</t>
        </is>
      </c>
      <c r="AG183" s="284" t="n"/>
      <c r="AH183" s="284" t="n"/>
      <c r="AI183" s="284" t="n"/>
      <c r="AJ183" s="284" t="n"/>
      <c r="AK183" s="284" t="n"/>
      <c r="AL183" s="284" t="n"/>
      <c r="AM183" s="284" t="n"/>
      <c r="AN183" s="284" t="n"/>
      <c r="AO183" s="284" t="n"/>
      <c r="AP183" s="284" t="n"/>
      <c r="AQ183" s="284" t="n"/>
      <c r="AR183" s="284" t="n"/>
    </row>
    <row r="184">
      <c r="A184" s="62" t="n">
        <v>182</v>
      </c>
      <c r="B184" s="228" t="inlineStr">
        <is>
          <t>Layanan survey kepuasan masyarakat</t>
        </is>
      </c>
      <c r="C184" s="228" t="inlineStr">
        <is>
          <t>1. Mengidentifikasi kelemahan dalam penyelenggaraan pelayanan
 2. Mengetahui kinerja pelayanan yang telah dilaksanakan oleh unit pelayanan publik secara periodik;
 3. Mengetahui indeks kepuasan masyarakat pada lingkup organisasi penyelenggara pelayanan maupun instansi pemerintah; 
 4. Meningkatkan persaingan positif antar organisasi penyelenggara pelayanan;
 5. Menjadi dasar penetapan kebijakan maupun perbaikan kualitas pelayanan; dan
 6. Memberikan gambaran kepada masyarakat mengenai kinerja organisasi penyelenggara pelayanan.</t>
        </is>
      </c>
      <c r="D184" s="229" t="inlineStr">
        <is>
          <t>-Peraturan Pemerintah Nomor 96 Tahun 2012 tentang Pelaksanaan Undang-undang Nomor 25 Tahun 2009 tentang Pelayanan Publik
 -Peraturan Menteri PANRB No. 14 Tahun 2017 tentang Pedoman Penyusunan Survei Kepuasan Masyarakat (SKM)</t>
        </is>
      </c>
      <c r="E184" s="288" t="n"/>
      <c r="F184" s="229" t="inlineStr">
        <is>
          <t>INFORMASI DAN DIPLOMASI PUBLIK</t>
        </is>
      </c>
      <c r="G184" s="229" t="inlineStr">
        <is>
          <t>Masyarakat</t>
        </is>
      </c>
      <c r="H184" s="229" t="inlineStr">
        <is>
          <t>Hasil Responden Survey Kepuasan Masyarakat (SKM)</t>
        </is>
      </c>
      <c r="I184" s="228" t="inlineStr">
        <is>
          <t>Laporan dan Hasil rekapan SKM</t>
        </is>
      </c>
      <c r="J184" s="229" t="inlineStr">
        <is>
          <t>Terbuka</t>
        </is>
      </c>
      <c r="K184" s="229" t="inlineStr">
        <is>
          <t>Terdapat</t>
        </is>
      </c>
      <c r="L184" s="229" t="inlineStr">
        <is>
          <t>Bulanan</t>
        </is>
      </c>
      <c r="M184" s="229" t="inlineStr">
        <is>
          <t>ESKM</t>
        </is>
      </c>
      <c r="N184" s="229" t="inlineStr">
        <is>
          <t>OPD</t>
        </is>
      </c>
      <c r="O184" s="229" t="inlineStr">
        <is>
          <t>Kab. Bandung</t>
        </is>
      </c>
      <c r="P184" s="229" t="inlineStr">
        <is>
          <t>Website</t>
        </is>
      </c>
      <c r="Q184" s="233" t="inlineStr">
        <is>
          <t>https://skm.bandungkab.go.id/</t>
        </is>
      </c>
      <c r="R184" s="229" t="inlineStr">
        <is>
          <t>Secara Online</t>
        </is>
      </c>
      <c r="S184" s="229" t="inlineStr">
        <is>
          <t>Informasi</t>
        </is>
      </c>
      <c r="T184" s="288" t="n"/>
      <c r="U184" s="229" t="inlineStr">
        <is>
          <t>Aktif</t>
        </is>
      </c>
      <c r="V184" s="229" t="inlineStr">
        <is>
          <t>Tidak</t>
        </is>
      </c>
      <c r="W184" s="229" t="inlineStr">
        <is>
          <t>Tidak Terintegrasi</t>
        </is>
      </c>
      <c r="X184" s="229" t="inlineStr">
        <is>
          <t>Tidak Terintegrasi</t>
        </is>
      </c>
      <c r="Y184" s="229" t="inlineStr">
        <is>
          <t>Tidak Terintegrasi</t>
        </is>
      </c>
      <c r="Z184" s="229" t="inlineStr">
        <is>
          <t>Bagian Perencanaan dan Kehumasan</t>
        </is>
      </c>
      <c r="AA184" s="229" t="inlineStr">
        <is>
          <t>Setda</t>
        </is>
      </c>
      <c r="AB184" s="288" t="n"/>
      <c r="AC184" s="288" t="n"/>
      <c r="AD184" s="288" t="n"/>
      <c r="AE184" s="288" t="n"/>
      <c r="AF184" s="229" t="inlineStr">
        <is>
          <t>Setiap Saat</t>
        </is>
      </c>
      <c r="AG184" s="284" t="n"/>
      <c r="AH184" s="284" t="n"/>
      <c r="AI184" s="284" t="n"/>
      <c r="AJ184" s="284" t="n"/>
      <c r="AK184" s="284" t="n"/>
      <c r="AL184" s="284" t="n"/>
      <c r="AM184" s="284" t="n"/>
      <c r="AN184" s="284" t="n"/>
      <c r="AO184" s="284" t="n"/>
      <c r="AP184" s="284" t="n"/>
      <c r="AQ184" s="284" t="n"/>
      <c r="AR184" s="284" t="n"/>
    </row>
    <row r="185">
      <c r="A185" s="62" t="n">
        <v>183</v>
      </c>
      <c r="B185" s="228" t="inlineStr">
        <is>
          <t>Layanan perencanaan penganggaran kebutuhan operasional rumah sakit</t>
        </is>
      </c>
      <c r="C185" s="228" t="inlineStr">
        <is>
          <t>Menghasilkan database usulan kebutuhan setiap unit instalasi di RSUD cicalengka</t>
        </is>
      </c>
      <c r="D185" s="228" t="inlineStr">
        <is>
          <t>Surat Keputusan Direktur RSUD Cicalengka Kabupaten Bandung Nomor 445/SK/Sekr.180.30/RSUDCCLK/VII/2019</t>
        </is>
      </c>
      <c r="E185" s="288" t="n"/>
      <c r="F185" s="288" t="n"/>
      <c r="G185" s="229" t="inlineStr">
        <is>
          <t>Instansi Pemerintah Lainnya</t>
        </is>
      </c>
      <c r="H185" s="229" t="inlineStr">
        <is>
          <t>usulan kebutuhan rumah sakit dari unit ke manajemen</t>
        </is>
      </c>
      <c r="I185" s="228" t="inlineStr">
        <is>
          <t>data kebutuhan rumah sakit</t>
        </is>
      </c>
      <c r="J185" s="229" t="inlineStr">
        <is>
          <t>Terbatas</t>
        </is>
      </c>
      <c r="K185" s="229" t="inlineStr">
        <is>
          <t>Tidak terdapat</t>
        </is>
      </c>
      <c r="L185" s="229" t="inlineStr">
        <is>
          <t>Tahunan</t>
        </is>
      </c>
      <c r="M185" s="229" t="inlineStr">
        <is>
          <t>sikeren</t>
        </is>
      </c>
      <c r="N185" s="229" t="inlineStr">
        <is>
          <t>OPD</t>
        </is>
      </c>
      <c r="O185" s="229" t="inlineStr">
        <is>
          <t>Kab. Bandung</t>
        </is>
      </c>
      <c r="P185" s="229" t="inlineStr">
        <is>
          <t>Mobile</t>
        </is>
      </c>
      <c r="Q185" s="230" t="inlineStr">
        <is>
          <t>http://192.168.40.89/sikeren</t>
        </is>
      </c>
      <c r="R185" s="229" t="inlineStr">
        <is>
          <t>Secara Online</t>
        </is>
      </c>
      <c r="S185" s="229" t="inlineStr">
        <is>
          <t>Informasi</t>
        </is>
      </c>
      <c r="T185" s="288" t="n"/>
      <c r="U185" s="229" t="inlineStr">
        <is>
          <t>Aktif</t>
        </is>
      </c>
      <c r="V185" s="229" t="inlineStr">
        <is>
          <t>Tidak</t>
        </is>
      </c>
      <c r="W185" s="229" t="inlineStr">
        <is>
          <t>Tidak terintegrasi</t>
        </is>
      </c>
      <c r="X185" s="229" t="inlineStr">
        <is>
          <t>Tidak Terintegrasi</t>
        </is>
      </c>
      <c r="Y185" s="288" t="n"/>
      <c r="Z185" s="229" t="inlineStr">
        <is>
          <t>Bidang perencanaan</t>
        </is>
      </c>
      <c r="AA185" s="288" t="n"/>
      <c r="AB185" s="228" t="inlineStr">
        <is>
          <t>Muhamad Yusup</t>
        </is>
      </c>
      <c r="AC185" s="228" t="n">
        <v>87824441163</v>
      </c>
      <c r="AD185" s="228" t="inlineStr">
        <is>
          <t>dochumas.rsdc@gmail.com</t>
        </is>
      </c>
      <c r="AE185" s="288" t="n"/>
      <c r="AF185" s="229" t="inlineStr">
        <is>
          <t>Tahunan</t>
        </is>
      </c>
      <c r="AG185" s="284" t="n"/>
      <c r="AH185" s="284" t="n"/>
      <c r="AI185" s="284" t="n"/>
      <c r="AJ185" s="284" t="n"/>
      <c r="AK185" s="284" t="n"/>
      <c r="AL185" s="284" t="n"/>
      <c r="AM185" s="284" t="n"/>
      <c r="AN185" s="284" t="n"/>
      <c r="AO185" s="284" t="n"/>
      <c r="AP185" s="284" t="n"/>
      <c r="AQ185" s="284" t="n"/>
      <c r="AR185" s="284" t="n"/>
    </row>
    <row r="186">
      <c r="A186" s="62" t="n">
        <v>184</v>
      </c>
      <c r="B186" s="228" t="inlineStr">
        <is>
          <t>Layanan sistem informasi pelaporan terintegrasi indikator mutu dan keselamatan pasien</t>
        </is>
      </c>
      <c r="C186" s="228" t="inlineStr">
        <is>
          <t>Untuk menjamin kesehatan yang aman, efektif, dan sesuai dengan standar sebagai alat ukur untuk mengevaluasi dan meningkatkan kualitas layanan secara berkesinambungan</t>
        </is>
      </c>
      <c r="D186" s="288" t="n"/>
      <c r="E186" s="288" t="n"/>
      <c r="F186" s="288" t="n"/>
      <c r="G186" s="229" t="inlineStr">
        <is>
          <t>Masyarakat</t>
        </is>
      </c>
      <c r="H186" s="229" t="inlineStr">
        <is>
          <t>Data mutu setiap layanan instalasi RSUD, jenis layanan, indikator, standar</t>
        </is>
      </c>
      <c r="I186" s="228" t="inlineStr">
        <is>
          <t>data SPM</t>
        </is>
      </c>
      <c r="J186" s="229" t="inlineStr">
        <is>
          <t>Terbuka</t>
        </is>
      </c>
      <c r="K186" s="229" t="inlineStr">
        <is>
          <t>Tidak terdapat</t>
        </is>
      </c>
      <c r="L186" s="229" t="inlineStr">
        <is>
          <t>Bulanan</t>
        </is>
      </c>
      <c r="M186" s="229" t="inlineStr">
        <is>
          <t>siimut</t>
        </is>
      </c>
      <c r="N186" s="229" t="inlineStr">
        <is>
          <t>OPD</t>
        </is>
      </c>
      <c r="O186" s="229" t="inlineStr">
        <is>
          <t>Kab. Bandung</t>
        </is>
      </c>
      <c r="P186" s="229" t="inlineStr">
        <is>
          <t>Desktop</t>
        </is>
      </c>
      <c r="Q186" s="288" t="n"/>
      <c r="R186" s="229" t="inlineStr">
        <is>
          <t>Secara Offline</t>
        </is>
      </c>
      <c r="S186" s="229" t="inlineStr">
        <is>
          <t>Informasi</t>
        </is>
      </c>
      <c r="T186" s="288" t="n"/>
      <c r="U186" s="229" t="inlineStr">
        <is>
          <t>Aktif</t>
        </is>
      </c>
      <c r="V186" s="229" t="inlineStr">
        <is>
          <t>Tidak</t>
        </is>
      </c>
      <c r="W186" s="229" t="inlineStr">
        <is>
          <t>Tidak terintegrasi</t>
        </is>
      </c>
      <c r="X186" s="229" t="inlineStr">
        <is>
          <t>Tidak Terintegrasi</t>
        </is>
      </c>
      <c r="Y186" s="288" t="n"/>
      <c r="Z186" s="229" t="inlineStr">
        <is>
          <t>Bidang Pelayanan</t>
        </is>
      </c>
      <c r="AA186" s="288" t="n"/>
      <c r="AB186" s="288" t="n"/>
      <c r="AC186" s="288" t="n"/>
      <c r="AD186" s="288" t="n"/>
      <c r="AE186" s="288" t="n"/>
      <c r="AF186" s="229" t="inlineStr">
        <is>
          <t>Bulanan</t>
        </is>
      </c>
      <c r="AG186" s="284" t="n"/>
      <c r="AH186" s="284" t="n"/>
      <c r="AI186" s="284" t="n"/>
      <c r="AJ186" s="284" t="n"/>
      <c r="AK186" s="284" t="n"/>
      <c r="AL186" s="284" t="n"/>
      <c r="AM186" s="284" t="n"/>
      <c r="AN186" s="284" t="n"/>
      <c r="AO186" s="284" t="n"/>
      <c r="AP186" s="284" t="n"/>
      <c r="AQ186" s="284" t="n"/>
      <c r="AR186" s="284" t="n"/>
    </row>
    <row r="187">
      <c r="A187" s="62" t="n">
        <v>185</v>
      </c>
      <c r="B187" s="228" t="inlineStr">
        <is>
          <t>Sistem pelayanan antar obat sampai tujuan</t>
        </is>
      </c>
      <c r="C187" s="228" t="inlineStr">
        <is>
          <t>Untuk memfasilitasi pasien khusus lansia, ibu hamil maupun sakit berat untuk mendapatkan layanan pengantaran obat sampai tujuan / rumah pasien</t>
        </is>
      </c>
      <c r="D187" s="288" t="n"/>
      <c r="E187" s="288" t="n"/>
      <c r="F187" s="288" t="n"/>
      <c r="G187" s="229" t="inlineStr">
        <is>
          <t>Masyarakat</t>
        </is>
      </c>
      <c r="H187" s="229" t="inlineStr">
        <is>
          <t>Data pasien dan resep obat</t>
        </is>
      </c>
      <c r="I187" s="228" t="inlineStr">
        <is>
          <t>obat dan bnhp</t>
        </is>
      </c>
      <c r="J187" s="229" t="inlineStr">
        <is>
          <t>Terbuka</t>
        </is>
      </c>
      <c r="K187" s="229" t="inlineStr">
        <is>
          <t>Terdapat</t>
        </is>
      </c>
      <c r="L187" s="229" t="inlineStr">
        <is>
          <t>Harian</t>
        </is>
      </c>
      <c r="M187" s="229" t="inlineStr">
        <is>
          <t>sipantosan</t>
        </is>
      </c>
      <c r="N187" s="229" t="inlineStr">
        <is>
          <t>OPD</t>
        </is>
      </c>
      <c r="O187" s="229" t="inlineStr">
        <is>
          <t>Kab. Bandung</t>
        </is>
      </c>
      <c r="P187" s="229" t="inlineStr">
        <is>
          <t>Desktop</t>
        </is>
      </c>
      <c r="Q187" s="288" t="n"/>
      <c r="R187" s="229" t="inlineStr">
        <is>
          <t>Secara Offline</t>
        </is>
      </c>
      <c r="S187" s="229" t="inlineStr">
        <is>
          <t>Informasi</t>
        </is>
      </c>
      <c r="T187" s="288" t="n"/>
      <c r="U187" s="229" t="inlineStr">
        <is>
          <t>Aktif</t>
        </is>
      </c>
      <c r="V187" s="229" t="inlineStr">
        <is>
          <t>Tidak</t>
        </is>
      </c>
      <c r="W187" s="229" t="inlineStr">
        <is>
          <t>Tidak terintegrasi</t>
        </is>
      </c>
      <c r="X187" s="229" t="inlineStr">
        <is>
          <t>Tidak Terintegrasi</t>
        </is>
      </c>
      <c r="Y187" s="288" t="n"/>
      <c r="Z187" s="229" t="inlineStr">
        <is>
          <t>Instalasi Farmasi</t>
        </is>
      </c>
      <c r="AA187" s="288" t="n"/>
      <c r="AB187" s="288" t="n"/>
      <c r="AC187" s="288" t="n"/>
      <c r="AD187" s="288" t="n"/>
      <c r="AE187" s="288" t="n"/>
      <c r="AF187" s="229" t="inlineStr">
        <is>
          <t>Harian</t>
        </is>
      </c>
      <c r="AG187" s="284" t="n"/>
      <c r="AH187" s="284" t="n"/>
      <c r="AI187" s="284" t="n"/>
      <c r="AJ187" s="284" t="n"/>
      <c r="AK187" s="284" t="n"/>
      <c r="AL187" s="284" t="n"/>
      <c r="AM187" s="284" t="n"/>
      <c r="AN187" s="284" t="n"/>
      <c r="AO187" s="284" t="n"/>
      <c r="AP187" s="284" t="n"/>
      <c r="AQ187" s="284" t="n"/>
      <c r="AR187" s="284" t="n"/>
    </row>
    <row r="188">
      <c r="A188" s="62" t="n">
        <v>186</v>
      </c>
      <c r="B188" s="228" t="inlineStr">
        <is>
          <t>Layanan Kepegawaian</t>
        </is>
      </c>
      <c r="C188" s="288" t="n"/>
      <c r="D188" s="288" t="n"/>
      <c r="E188" s="288" t="n"/>
      <c r="F188" s="288" t="n"/>
      <c r="G188" s="288" t="inlineStr">
        <is>
          <t>Pegawai</t>
        </is>
      </c>
      <c r="H188" s="288" t="n"/>
      <c r="I188" s="200" t="n"/>
      <c r="J188" s="229" t="inlineStr">
        <is>
          <t>Terbatas</t>
        </is>
      </c>
      <c r="K188" s="229" t="inlineStr">
        <is>
          <t>Tidak terdapat</t>
        </is>
      </c>
      <c r="L188" s="229" t="inlineStr">
        <is>
          <t>Lainnya</t>
        </is>
      </c>
      <c r="M188" s="229" t="inlineStr">
        <is>
          <t>SIKEP</t>
        </is>
      </c>
      <c r="N188" s="229" t="inlineStr">
        <is>
          <t>OPD</t>
        </is>
      </c>
      <c r="O188" s="229" t="inlineStr">
        <is>
          <t>Kab. Bandung</t>
        </is>
      </c>
      <c r="P188" s="229" t="inlineStr">
        <is>
          <t>Desktop</t>
        </is>
      </c>
      <c r="Q188" s="288" t="n"/>
      <c r="R188" s="229" t="inlineStr">
        <is>
          <t>Secara Offline</t>
        </is>
      </c>
      <c r="S188" s="229" t="inlineStr">
        <is>
          <t>Informasi</t>
        </is>
      </c>
      <c r="T188" s="288" t="n"/>
      <c r="U188" s="229" t="inlineStr">
        <is>
          <t>Aktif</t>
        </is>
      </c>
      <c r="V188" s="229" t="inlineStr">
        <is>
          <t>Tidak</t>
        </is>
      </c>
      <c r="W188" s="229" t="inlineStr">
        <is>
          <t>Tidak terintegrasi</t>
        </is>
      </c>
      <c r="X188" s="229" t="inlineStr">
        <is>
          <t>Tidak Terintegrasi</t>
        </is>
      </c>
      <c r="Y188" s="288" t="n"/>
      <c r="Z188" s="229" t="inlineStr">
        <is>
          <t>Bidang Humas</t>
        </is>
      </c>
      <c r="AA188" s="288" t="n"/>
      <c r="AB188" s="288" t="n"/>
      <c r="AC188" s="288" t="n"/>
      <c r="AD188" s="288" t="n"/>
      <c r="AE188" s="288" t="n"/>
      <c r="AF188" s="229" t="inlineStr">
        <is>
          <t>Harian</t>
        </is>
      </c>
      <c r="AG188" s="284" t="n"/>
      <c r="AH188" s="284" t="n"/>
      <c r="AI188" s="284" t="n"/>
      <c r="AJ188" s="284" t="n"/>
      <c r="AK188" s="284" t="n"/>
      <c r="AL188" s="284" t="n"/>
      <c r="AM188" s="284" t="n"/>
      <c r="AN188" s="284" t="n"/>
      <c r="AO188" s="284" t="n"/>
      <c r="AP188" s="284" t="n"/>
      <c r="AQ188" s="284" t="n"/>
      <c r="AR188" s="284" t="n"/>
    </row>
    <row r="189" hidden="1" s="346">
      <c r="A189" s="62" t="n">
        <v>187</v>
      </c>
      <c r="B189" s="228" t="inlineStr">
        <is>
          <t>layanan administrasi kepesertaan BPJS Kesehatan secara online oleh instansi atau badan usaha.</t>
        </is>
      </c>
      <c r="C189" s="76" t="inlineStr">
        <is>
          <t>Aplikasi EDABU (Elektronik Data Badan Usaha) bertujuan untuk mempermudah pengelolaan administrasi kepesertaan Jaminan Kesehatan Nasional (JKN) bagi pegawai di instansi pemerintah maupun badan usaha melalui sistem layanan berbasis elektronik yang disediakan oleh BPJS Kesehatan.</t>
        </is>
      </c>
      <c r="D189" s="228" t="inlineStr">
        <is>
          <t>Dasar Hukum Layanan
 1. Undang-Undang Nomor 40 Tahun 2004 tentang Sistem Jaminan Sosial Nasional (SJSN)
 2. Undang-Undang Nomor 24 Tahun 2011 tentang Badan Penyelenggara Jaminan Sosial
 3. Peraturan Presiden Nomor 82 Tahun 2018 tentang Jaminan Kesehatan
 4. Peraturan Presiden Nomor 64 Tahun 2020 tentang Perubahan Kedua atas Peraturan Presiden Nomor 82 Tahun 2018 tentang Jaminan Kesehatan
 5. Peraturan BPJS Kesehatan Nomor 1 Tahun 2014 tentang Penyelenggaraan Jaminan Kesehatan
 6. Peraturan BPJS Kesehatan tentang Tata Cara Pendaftaran dan Perubahan Data Peserta Pekerja Penerima Upah (PPU)</t>
        </is>
      </c>
      <c r="E189" s="288" t="n"/>
      <c r="F189" s="229" t="inlineStr">
        <is>
          <t>PEMBINAAN PENGAWASAN KETENAGAKERJAAN DAN KESELAMATAN DAN KESEHATAN KERJA</t>
        </is>
      </c>
      <c r="G189" s="229" t="inlineStr">
        <is>
          <t>Pegawai</t>
        </is>
      </c>
      <c r="H189" s="228" t="inlineStr">
        <is>
          <t>Data yang dimasukkan dalam aplikasi EDABU merupakan data kepesertaan Jaminan Kesehatan Nasional (JKN) bagi pegawai dan anggota keluarganya yang dikelola oleh instansi atau badan usaha melalui sistem yang disediakan oleh BPJS Kesehatan.
 Meliputi:
 1. Data Identitas Peserta
 2. Data Kepegawaian
 3. Data Kepesertaan BPJS Kesehatan
 4. Data Anggota Keluarga
 5. Data Fasilitas Kesehatan
 6. Data Penggajian/Iuran
 7. Dokumen Pendukung</t>
        </is>
      </c>
      <c r="I189" s="228" t="inlineStr">
        <is>
          <t>Data Output Aplikasi EDABU
 1. Data Kepesertaan BPJS Kesehatan Pegawai
 2. Data Kepesertaan Anggota Keluarga
 3. Status Kepesertaan Peserta
 4. Rekapitulasi Data Peserta Instansi
 5. Perubahan Data Peserta
 6. Data Fasilitas Kesehatan Peserta
 7. Laporan Monitoring Kepesertaan</t>
        </is>
      </c>
      <c r="J189" s="229" t="inlineStr">
        <is>
          <t>Terbatas</t>
        </is>
      </c>
      <c r="K189" s="229" t="inlineStr">
        <is>
          <t>Terdapat</t>
        </is>
      </c>
      <c r="L189" s="229" t="inlineStr">
        <is>
          <t>Harian</t>
        </is>
      </c>
      <c r="M189" s="68" t="inlineStr">
        <is>
          <t>EDABU BPJS</t>
        </is>
      </c>
      <c r="N189" s="229" t="inlineStr">
        <is>
          <t>Pusat</t>
        </is>
      </c>
      <c r="O189" s="229" t="inlineStr">
        <is>
          <t>Pusat</t>
        </is>
      </c>
      <c r="P189" s="229" t="inlineStr">
        <is>
          <t>Website dan Mobile</t>
        </is>
      </c>
      <c r="Q189" s="230" t="inlineStr">
        <is>
          <t>https://edabu.bpjs-kesehatan.go.id/Edabu/Home/Login?AspxAutoDetectCookieSupport=1</t>
        </is>
      </c>
      <c r="R189" s="229" t="inlineStr">
        <is>
          <t>Secara Online</t>
        </is>
      </c>
      <c r="S189" s="256" t="inlineStr">
        <is>
          <t>Informasi</t>
        </is>
      </c>
      <c r="T189" s="257" t="n">
        <v>2020</v>
      </c>
      <c r="U189" s="229" t="inlineStr">
        <is>
          <t>Aktif</t>
        </is>
      </c>
      <c r="V189" s="256" t="inlineStr">
        <is>
          <t>Ya</t>
        </is>
      </c>
      <c r="W189" s="258" t="inlineStr">
        <is>
          <t>satusehat.kemkes.go.id/sdmk</t>
        </is>
      </c>
      <c r="X189" s="256" t="inlineStr">
        <is>
          <t>Web Service</t>
        </is>
      </c>
      <c r="Y189" s="256" t="inlineStr">
        <is>
          <t>Realtime</t>
        </is>
      </c>
      <c r="Z189" s="256" t="inlineStr">
        <is>
          <t>Bagian Kepegawaian</t>
        </is>
      </c>
      <c r="AA189" s="228" t="inlineStr">
        <is>
          <t>BPJS</t>
        </is>
      </c>
      <c r="AB189" s="259" t="inlineStr">
        <is>
          <t>AYI RAHADIAN, S.Tr.Kom</t>
        </is>
      </c>
      <c r="AC189" s="257" t="n">
        <v>82127317127</v>
      </c>
      <c r="AD189" s="260" t="inlineStr">
        <is>
          <t>rahadianayi@gmail.com</t>
        </is>
      </c>
      <c r="AE189" s="261" t="n"/>
      <c r="AF189" s="256" t="inlineStr">
        <is>
          <t>Setiap Saat</t>
        </is>
      </c>
      <c r="AG189" s="284" t="n"/>
      <c r="AH189" s="284" t="n"/>
      <c r="AI189" s="284" t="n"/>
      <c r="AJ189" s="284" t="n"/>
      <c r="AK189" s="284" t="n"/>
      <c r="AL189" s="284" t="n"/>
      <c r="AM189" s="284" t="n"/>
      <c r="AN189" s="284" t="n"/>
      <c r="AO189" s="284" t="n"/>
      <c r="AP189" s="284" t="n"/>
      <c r="AQ189" s="284" t="n"/>
      <c r="AR189" s="284" t="n"/>
    </row>
    <row r="190">
      <c r="A190" s="62" t="n">
        <v>188</v>
      </c>
      <c r="B190" s="178" t="inlineStr">
        <is>
          <t>Layanan Integrasi Ekosistem Digital Rumah Sakit (SIMRS)</t>
        </is>
      </c>
      <c r="C190"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90" s="178" t="inlineStr">
        <is>
          <t>Peraturan Menteri Kesehatan Nomor 82 Tahun 2013 Tentang Sistem Informasi Manajemen Rumah Sakit</t>
        </is>
      </c>
      <c r="E190" s="178" t="inlineStr">
        <is>
          <t>Belum Tersedia</t>
        </is>
      </c>
      <c r="F190" s="184" t="inlineStr">
        <is>
          <t>PENGELOLAAN PELAYANAN KESEHATAN</t>
        </is>
      </c>
      <c r="G190" s="184" t="inlineStr">
        <is>
          <t>Masyarakat</t>
        </is>
      </c>
      <c r="H190" s="184" t="inlineStr">
        <is>
          <t>Data pasien, mulai dari info pribadi hingga catatan medis pasien</t>
        </is>
      </c>
      <c r="I190" s="178" t="inlineStr">
        <is>
          <t>Data rekam medis pasien</t>
        </is>
      </c>
      <c r="J190" s="184" t="inlineStr">
        <is>
          <t>Rahasia</t>
        </is>
      </c>
      <c r="K190" s="184" t="inlineStr">
        <is>
          <t>Terdapat</t>
        </is>
      </c>
      <c r="L190" s="184" t="inlineStr">
        <is>
          <t>Lainnya</t>
        </is>
      </c>
      <c r="M190" s="68" t="inlineStr">
        <is>
          <t>simrs cimaung</t>
        </is>
      </c>
      <c r="N190" s="184" t="inlineStr">
        <is>
          <t>Pihak Ke 3</t>
        </is>
      </c>
      <c r="O190" s="184" t="inlineStr">
        <is>
          <t>Kab. Bandung</t>
        </is>
      </c>
      <c r="P190" s="184" t="inlineStr">
        <is>
          <t>Desktop</t>
        </is>
      </c>
      <c r="Q190" s="184" t="inlineStr">
        <is>
          <t>Internal (Rahasia)</t>
        </is>
      </c>
      <c r="R190" s="184" t="inlineStr">
        <is>
          <t>Secara Online</t>
        </is>
      </c>
      <c r="S190" s="184" t="inlineStr">
        <is>
          <t>Transaksi</t>
        </is>
      </c>
      <c r="T190" s="184" t="n">
        <v>2023</v>
      </c>
      <c r="U190" s="184" t="inlineStr">
        <is>
          <t>Aktif</t>
        </is>
      </c>
      <c r="V190" s="184" t="inlineStr">
        <is>
          <t>Ya</t>
        </is>
      </c>
      <c r="W190" s="184" t="inlineStr">
        <is>
          <t>VClaim BPJS, Satusehat, Eklaim INACBGs, Siranap</t>
        </is>
      </c>
      <c r="X190" s="184" t="inlineStr">
        <is>
          <t>Web Service</t>
        </is>
      </c>
      <c r="Y190" s="184" t="inlineStr">
        <is>
          <t>Realtime</t>
        </is>
      </c>
      <c r="Z190" s="184" t="inlineStr">
        <is>
          <t>Kepala Seksi Penunjang</t>
        </is>
      </c>
      <c r="AA190" s="184" t="inlineStr">
        <is>
          <t>Dinkes</t>
        </is>
      </c>
      <c r="AB190" s="178" t="inlineStr">
        <is>
          <t>Irfan</t>
        </is>
      </c>
      <c r="AC190" s="98" t="n">
        <v>85179729699</v>
      </c>
      <c r="AD190" s="288" t="n"/>
      <c r="AE190" s="288" t="n"/>
      <c r="AF190" s="68" t="inlineStr">
        <is>
          <t>Harian</t>
        </is>
      </c>
      <c r="AG190" s="284" t="n"/>
      <c r="AH190" s="284" t="n"/>
      <c r="AI190" s="284" t="n"/>
      <c r="AJ190" s="284" t="n"/>
      <c r="AK190" s="284" t="n"/>
      <c r="AL190" s="284" t="n"/>
      <c r="AM190" s="284" t="n"/>
      <c r="AN190" s="284" t="n"/>
      <c r="AO190" s="284" t="n"/>
      <c r="AP190" s="284" t="n"/>
      <c r="AQ190" s="284" t="n"/>
      <c r="AR190" s="284" t="n"/>
    </row>
    <row r="191">
      <c r="A191" s="62" t="n">
        <v>189</v>
      </c>
      <c r="B191" s="178" t="inlineStr">
        <is>
          <t>SI IMAN (Sistem Informasi Manajemen Anggaran)</t>
        </is>
      </c>
      <c r="C191" s="178" t="inlineStr">
        <is>
          <t>Meningkatkan efektivitas dan efisiensi dalam pembuatan perencanaan anggaran baik itu perencanaan bulanan ataupun tahunan</t>
        </is>
      </c>
      <c r="D191" s="178" t="inlineStr">
        <is>
          <t>Undang-Undang Nomor 5 Tahun 2014 tentang Aparatur Sipil Negara
 Peraturan Menteri Dalam Negeri Nomor 13 Tahun 2006 tentang Pedoman teknis
 pengelolaan Keuangan Daerah</t>
        </is>
      </c>
      <c r="E191" s="70" t="inlineStr">
        <is>
          <t>https://drive.google.com/file/d/1-OkimWi2XkYVZbq8aStpKFlsMtErBFog/view?usp=drivesdk</t>
        </is>
      </c>
      <c r="F191" s="184" t="inlineStr">
        <is>
          <t>KEUANGAN BADAN USAHA MILIK NEGARA</t>
        </is>
      </c>
      <c r="G191" s="184" t="inlineStr">
        <is>
          <t>Pegawai</t>
        </is>
      </c>
      <c r="H191" s="184" t="inlineStr">
        <is>
          <t>Perencanaan dan Keuangan RSUD Bedas Cimaung</t>
        </is>
      </c>
      <c r="I191" s="178" t="inlineStr">
        <is>
          <t>RBA dan Form Keuangan</t>
        </is>
      </c>
      <c r="J191" s="184" t="inlineStr">
        <is>
          <t>Rahasia</t>
        </is>
      </c>
      <c r="K191" s="184" t="inlineStr">
        <is>
          <t>Terdapat</t>
        </is>
      </c>
      <c r="L191" s="184" t="inlineStr">
        <is>
          <t>Lainnya</t>
        </is>
      </c>
      <c r="M191" s="68" t="inlineStr">
        <is>
          <t>siiman</t>
        </is>
      </c>
      <c r="N191" s="184" t="inlineStr">
        <is>
          <t>Pihak Ke 3</t>
        </is>
      </c>
      <c r="O191" s="184" t="inlineStr">
        <is>
          <t>Kab. Bandung</t>
        </is>
      </c>
      <c r="P191" s="184" t="inlineStr">
        <is>
          <t>Desktop</t>
        </is>
      </c>
      <c r="Q191" s="184" t="inlineStr">
        <is>
          <t>Internal (Rahasia)</t>
        </is>
      </c>
      <c r="R191" s="184" t="inlineStr">
        <is>
          <t>Secara Online</t>
        </is>
      </c>
      <c r="S191" s="184" t="inlineStr">
        <is>
          <t>Transaksi</t>
        </is>
      </c>
      <c r="T191" s="98" t="n">
        <v>2024</v>
      </c>
      <c r="U191" s="184" t="inlineStr">
        <is>
          <t>Aktif</t>
        </is>
      </c>
      <c r="V191" s="184" t="inlineStr">
        <is>
          <t>Tidak</t>
        </is>
      </c>
      <c r="W191" s="184" t="inlineStr">
        <is>
          <t>Tidak Terintegrasi</t>
        </is>
      </c>
      <c r="X191" s="184" t="inlineStr">
        <is>
          <t>Web Service</t>
        </is>
      </c>
      <c r="Y191" s="184" t="inlineStr">
        <is>
          <t>Realtime</t>
        </is>
      </c>
      <c r="Z191" s="184" t="inlineStr">
        <is>
          <t>Kasubag Tata Usaha</t>
        </is>
      </c>
      <c r="AA191" s="184" t="inlineStr">
        <is>
          <t>Dinkes</t>
        </is>
      </c>
      <c r="AB191" s="178" t="inlineStr">
        <is>
          <t>Juang</t>
        </is>
      </c>
      <c r="AC191" s="178" t="n">
        <v>81261858201</v>
      </c>
      <c r="AD191" s="288" t="n"/>
      <c r="AE191" s="288" t="n"/>
      <c r="AF191" s="68" t="inlineStr">
        <is>
          <t>Insidentil</t>
        </is>
      </c>
      <c r="AG191" s="284" t="n"/>
      <c r="AH191" s="284" t="n"/>
      <c r="AI191" s="284" t="n"/>
      <c r="AJ191" s="284" t="n"/>
      <c r="AK191" s="284" t="n"/>
      <c r="AL191" s="284" t="n"/>
      <c r="AM191" s="284" t="n"/>
      <c r="AN191" s="284" t="n"/>
      <c r="AO191" s="284" t="n"/>
      <c r="AP191" s="284" t="n"/>
      <c r="AQ191" s="284" t="n"/>
      <c r="AR191" s="284" t="n"/>
    </row>
    <row r="192">
      <c r="A192" s="62" t="n">
        <v>190</v>
      </c>
      <c r="B192" s="178" t="inlineStr">
        <is>
          <t>Layanan Integrasi Ekosistem Digital Rumah Sakit (SIMRS)</t>
        </is>
      </c>
      <c r="C192" s="76" t="inlineStr">
        <is>
          <t>SIMRS bertujuan untuk mendigitalisasi dan mengintegrasikan seluruh alur kerja rumah sakit guna meningkatkan mutu pelayanan, efisiensi operasional, serta transparansi administrasi. Fungsinya mencakup pengelolaan rekam medis elektronik (RME), otomatisasi sistem antrean dan pendaftaran, manajemen stok, hingga integrasi pelaporan dalam satu platform terpadu.</t>
        </is>
      </c>
      <c r="D192" s="178" t="inlineStr">
        <is>
          <t>Peraturan Menteri Kesehatan Nomor 82 Tahun 2013 Tentang Sistem Informasi Manajemen Rumah Sakit</t>
        </is>
      </c>
      <c r="E192" s="178" t="inlineStr">
        <is>
          <t>Belum Tersedia</t>
        </is>
      </c>
      <c r="F192" s="184" t="inlineStr">
        <is>
          <t>PENGELOLAAN PELAYANAN KESEHATAN</t>
        </is>
      </c>
      <c r="G192" s="184" t="inlineStr">
        <is>
          <t>Masyarakat</t>
        </is>
      </c>
      <c r="H192" s="184" t="inlineStr">
        <is>
          <t>Data pasien, mulai dari info pribadi hingga catatan medis pasien</t>
        </is>
      </c>
      <c r="I192" s="178" t="inlineStr">
        <is>
          <t>Data rekam medis pasien</t>
        </is>
      </c>
      <c r="J192" s="184" t="inlineStr">
        <is>
          <t>Rahasia</t>
        </is>
      </c>
      <c r="K192" s="184" t="inlineStr">
        <is>
          <t>Terdapat</t>
        </is>
      </c>
      <c r="L192" s="184" t="inlineStr">
        <is>
          <t>Lainnya</t>
        </is>
      </c>
      <c r="M192" s="184" t="inlineStr">
        <is>
          <t>bdskts</t>
        </is>
      </c>
      <c r="N192" s="184" t="inlineStr">
        <is>
          <t>Pihak Ke 3</t>
        </is>
      </c>
      <c r="O192" s="184" t="inlineStr">
        <is>
          <t>Kab. Bandung</t>
        </is>
      </c>
      <c r="P192" s="184" t="inlineStr">
        <is>
          <t>Desktop</t>
        </is>
      </c>
      <c r="Q192" s="131" t="inlineStr">
        <is>
          <t>bdskts.id</t>
        </is>
      </c>
      <c r="R192" s="184" t="inlineStr">
        <is>
          <t>Secara Online</t>
        </is>
      </c>
      <c r="S192" s="184" t="inlineStr">
        <is>
          <t>Transaksi</t>
        </is>
      </c>
      <c r="T192" s="184" t="n">
        <v>2023</v>
      </c>
      <c r="U192" s="184" t="inlineStr">
        <is>
          <t>Aktif</t>
        </is>
      </c>
      <c r="V192" s="184" t="inlineStr">
        <is>
          <t>Ya</t>
        </is>
      </c>
      <c r="W192" s="184" t="inlineStr">
        <is>
          <t>VClaim BPJS, Satusehat, Eklaim INACBGs, Siranap</t>
        </is>
      </c>
      <c r="X192" s="184" t="inlineStr">
        <is>
          <t>Web Service</t>
        </is>
      </c>
      <c r="Y192" s="184" t="inlineStr">
        <is>
          <t>Realtime</t>
        </is>
      </c>
      <c r="Z192" s="184" t="inlineStr">
        <is>
          <t>Kepala Seksi Penunjang</t>
        </is>
      </c>
      <c r="AA192" s="184" t="inlineStr">
        <is>
          <t>Dinkes</t>
        </is>
      </c>
      <c r="AB192" s="178" t="inlineStr">
        <is>
          <t>Cepi firmansyah</t>
        </is>
      </c>
      <c r="AC192" s="98" t="n">
        <v>85659119423</v>
      </c>
      <c r="AD192" s="288" t="n"/>
      <c r="AE192" s="288" t="n"/>
      <c r="AF192" s="68" t="inlineStr">
        <is>
          <t>Harian</t>
        </is>
      </c>
      <c r="AG192" s="284" t="n"/>
      <c r="AH192" s="284" t="n"/>
      <c r="AI192" s="284" t="n"/>
      <c r="AJ192" s="284" t="n"/>
      <c r="AK192" s="284" t="n"/>
      <c r="AL192" s="284" t="n"/>
      <c r="AM192" s="284" t="n"/>
      <c r="AN192" s="284" t="n"/>
      <c r="AO192" s="284" t="n"/>
      <c r="AP192" s="284" t="n"/>
      <c r="AQ192" s="284" t="n"/>
      <c r="AR192" s="284" t="n"/>
    </row>
    <row r="193" hidden="1" s="346">
      <c r="A193" s="62" t="n">
        <v>191</v>
      </c>
      <c r="B193" s="178" t="inlineStr">
        <is>
          <t>Sistem Informasi Rawat Inap</t>
        </is>
      </c>
      <c r="C193" s="178" t="inlineStr">
        <is>
          <t>Layanan informasi ketersediaan tempat tidur rawat inap kepada masyarakat</t>
        </is>
      </c>
      <c r="D193" s="265" t="inlineStr">
        <is>
          <t>Permenkes No. 82 Tahun 2013 tentang Sistem Informasi Manajemen Rumah Sakit</t>
        </is>
      </c>
      <c r="E193" s="184" t="inlineStr">
        <is>
          <t>Belum tersedia</t>
        </is>
      </c>
      <c r="F193" s="184" t="inlineStr">
        <is>
          <t>PENINGKATAN KUALITAS PELAYANAN PUBLIK</t>
        </is>
      </c>
      <c r="G193" s="184" t="inlineStr">
        <is>
          <t>Masyarakat</t>
        </is>
      </c>
      <c r="H193" s="184" t="inlineStr">
        <is>
          <t>Data ketersediaan tempat tidur rawat inap</t>
        </is>
      </c>
      <c r="I193" s="184" t="inlineStr">
        <is>
          <t>Data ketersediaan tempat tidur rawat inap di RSUD Bedas Arjasari</t>
        </is>
      </c>
      <c r="J193" s="184" t="inlineStr">
        <is>
          <t>Terbuka</t>
        </is>
      </c>
      <c r="K193" s="184" t="inlineStr">
        <is>
          <t>Tidak terdapat</t>
        </is>
      </c>
      <c r="L193" s="184" t="inlineStr">
        <is>
          <t>Harian</t>
        </is>
      </c>
      <c r="M193" s="184" t="inlineStr">
        <is>
          <t>siranap</t>
        </is>
      </c>
      <c r="N193" s="184" t="inlineStr">
        <is>
          <t>Pusat</t>
        </is>
      </c>
      <c r="O193" s="184" t="inlineStr">
        <is>
          <t>Pusat</t>
        </is>
      </c>
      <c r="P193" s="184" t="inlineStr">
        <is>
          <t>Website</t>
        </is>
      </c>
      <c r="Q193" s="266" t="inlineStr">
        <is>
          <t>SIRANAP</t>
        </is>
      </c>
      <c r="R193" s="184" t="inlineStr">
        <is>
          <t>Secara Online</t>
        </is>
      </c>
      <c r="S193" s="184" t="inlineStr">
        <is>
          <t>Informasi</t>
        </is>
      </c>
      <c r="T193" s="184" t="n">
        <v>2024</v>
      </c>
      <c r="U193" s="184" t="inlineStr">
        <is>
          <t>Aktif</t>
        </is>
      </c>
      <c r="V193" s="184" t="inlineStr">
        <is>
          <t>Tidak</t>
        </is>
      </c>
      <c r="W193" s="184" t="inlineStr">
        <is>
          <t>Tidak terintegrasi</t>
        </is>
      </c>
      <c r="X193" s="184" t="inlineStr">
        <is>
          <t>Tidak Terintegrasi</t>
        </is>
      </c>
      <c r="Y193" s="184" t="inlineStr">
        <is>
          <t>Harian</t>
        </is>
      </c>
      <c r="Z193" s="184" t="inlineStr">
        <is>
          <t>Instalasi Rekam Medis</t>
        </is>
      </c>
      <c r="AA193" s="184" t="inlineStr">
        <is>
          <t>Dinkes</t>
        </is>
      </c>
      <c r="AB193" s="184" t="inlineStr">
        <is>
          <t>Susi Lelawanti</t>
        </is>
      </c>
      <c r="AC193" s="184" t="n">
        <v>87775207258</v>
      </c>
      <c r="AD193" s="184" t="inlineStr">
        <is>
          <t>rsudbedasarjasari@gmail.com</t>
        </is>
      </c>
      <c r="AE193" s="68" t="n">
        <v>8</v>
      </c>
      <c r="AF193" s="68" t="inlineStr">
        <is>
          <t>Harian</t>
        </is>
      </c>
      <c r="AG193" s="284" t="n"/>
      <c r="AH193" s="284" t="n"/>
      <c r="AI193" s="284" t="n"/>
      <c r="AJ193" s="284" t="n"/>
      <c r="AK193" s="284" t="n"/>
      <c r="AL193" s="284" t="n"/>
      <c r="AM193" s="284" t="n"/>
      <c r="AN193" s="284" t="n"/>
      <c r="AO193" s="284" t="n"/>
      <c r="AP193" s="284" t="n"/>
      <c r="AQ193" s="284" t="n"/>
      <c r="AR193" s="284" t="n"/>
    </row>
    <row r="194" hidden="1" s="346">
      <c r="A194" s="62" t="n">
        <v>192</v>
      </c>
      <c r="B194" s="178" t="inlineStr">
        <is>
          <t>MPDN</t>
        </is>
      </c>
      <c r="C194" s="178" t="inlineStr">
        <is>
          <t>laporan kelahiran, kematian ibu dan bayi</t>
        </is>
      </c>
      <c r="D194" s="178" t="inlineStr">
        <is>
          <t>UU No 36 Tahun 2009 tentang Kesehatan dan Peraturan Bersama Menkes dan Mendagri No 15 Tahun 2010/No 162/Menkes/PB/2010 tentang Pelaporan kematian dan penyebab Kematian ibu dan bayi</t>
        </is>
      </c>
      <c r="E194" s="184" t="inlineStr">
        <is>
          <t>Belum tersedia</t>
        </is>
      </c>
      <c r="F194" s="184" t="inlineStr">
        <is>
          <t>PENINGKATAN KUALITAS PELAYANAN PUBLIK</t>
        </is>
      </c>
      <c r="G194" s="184" t="inlineStr">
        <is>
          <t>Masyarakat</t>
        </is>
      </c>
      <c r="H194" s="184" t="inlineStr">
        <is>
          <t>angka kelahiran, angka kematian ibu dan bayi</t>
        </is>
      </c>
      <c r="I194" s="184" t="inlineStr">
        <is>
          <t>angka kelahiran, angka kematian ibu dan bayi</t>
        </is>
      </c>
      <c r="J194" s="184" t="inlineStr">
        <is>
          <t>Terbuka</t>
        </is>
      </c>
      <c r="K194" s="184" t="inlineStr">
        <is>
          <t>Tidak terdapat</t>
        </is>
      </c>
      <c r="L194" s="184" t="inlineStr">
        <is>
          <t>Bulanan</t>
        </is>
      </c>
      <c r="M194" s="184" t="inlineStr">
        <is>
          <t>mpdn</t>
        </is>
      </c>
      <c r="N194" s="184" t="inlineStr">
        <is>
          <t>Pusat</t>
        </is>
      </c>
      <c r="O194" s="184" t="inlineStr">
        <is>
          <t>Pusat</t>
        </is>
      </c>
      <c r="P194" s="184" t="inlineStr">
        <is>
          <t>Website</t>
        </is>
      </c>
      <c r="Q194" s="184" t="inlineStr">
        <is>
          <t>MPDN</t>
        </is>
      </c>
      <c r="R194" s="184" t="inlineStr">
        <is>
          <t>Secara Online</t>
        </is>
      </c>
      <c r="S194" s="184" t="inlineStr">
        <is>
          <t>Informasi</t>
        </is>
      </c>
      <c r="T194" s="184" t="n">
        <v>2024</v>
      </c>
      <c r="U194" s="184" t="inlineStr">
        <is>
          <t>Aktif</t>
        </is>
      </c>
      <c r="V194" s="184" t="inlineStr">
        <is>
          <t>Ya</t>
        </is>
      </c>
      <c r="W194" s="184" t="inlineStr">
        <is>
          <t>Ya</t>
        </is>
      </c>
      <c r="X194" s="184" t="inlineStr">
        <is>
          <t>API</t>
        </is>
      </c>
      <c r="Y194" s="184" t="inlineStr">
        <is>
          <t>Tidak Terintegrasi</t>
        </is>
      </c>
      <c r="Z194" s="184" t="inlineStr">
        <is>
          <t>PONEK,VK,PERINATOLOGI</t>
        </is>
      </c>
      <c r="AA194" s="184" t="inlineStr">
        <is>
          <t>Dinkes</t>
        </is>
      </c>
      <c r="AB194" s="184" t="inlineStr">
        <is>
          <t>Bd. Lastiar dan Yusi</t>
        </is>
      </c>
      <c r="AC194" s="184" t="inlineStr">
        <is>
          <t>081322030083 085315705418</t>
        </is>
      </c>
      <c r="AD194" s="184" t="inlineStr">
        <is>
          <t>rsudbedasarjasari@gmail.com</t>
        </is>
      </c>
      <c r="AE194" s="68" t="n">
        <v>8</v>
      </c>
      <c r="AF194" s="68" t="inlineStr">
        <is>
          <t>Bulanan</t>
        </is>
      </c>
      <c r="AG194" s="284" t="n"/>
      <c r="AH194" s="284" t="n"/>
      <c r="AI194" s="284" t="n"/>
      <c r="AJ194" s="284" t="n"/>
      <c r="AK194" s="284" t="n"/>
      <c r="AL194" s="284" t="n"/>
      <c r="AM194" s="284" t="n"/>
      <c r="AN194" s="284" t="n"/>
      <c r="AO194" s="284" t="n"/>
      <c r="AP194" s="284" t="n"/>
      <c r="AQ194" s="284" t="n"/>
      <c r="AR194" s="284" t="n"/>
    </row>
    <row r="195" hidden="1" s="346">
      <c r="A195" s="62" t="n">
        <v>193</v>
      </c>
      <c r="B195" s="178" t="inlineStr">
        <is>
          <t>RS Online, Registrasi Fasyankes, Sistem Informasi Rumah Sakit, dan KRIS</t>
        </is>
      </c>
      <c r="C195" s="178" t="inlineStr">
        <is>
          <t>Melaporkan data rekapitulasi kegiatan pelayanan dan data kompilasi penyakit/morbiditas. Pasien IGD, rawat inap, dan rawat jalan secara periodik, baik bulanan maupun tahunan;</t>
        </is>
      </c>
      <c r="D195" s="178" t="inlineStr">
        <is>
          <t>Peraturan Menteri Kesehatan Nomor 1171 Tahun 2011 tentang Sistem Informasi Rumah Sakit (SIRS)</t>
        </is>
      </c>
      <c r="E195" s="131" t="inlineStr">
        <is>
          <t>https://drive.google.com/drive/u/1/folders/12dUcuD3FJiM5lhmxZqNrZc05M-qKTqaU</t>
        </is>
      </c>
      <c r="F195" s="184" t="inlineStr">
        <is>
          <t>PENGELOLAAN PELAYANAN KESEHATAN</t>
        </is>
      </c>
      <c r="G195" s="184" t="inlineStr">
        <is>
          <t>Instansi Pemerintah Lainnya</t>
        </is>
      </c>
      <c r="H195" s="184" t="inlineStr">
        <is>
          <t>RL.3-RL.5;
 Kompetensi RS; Update Bed, dll</t>
        </is>
      </c>
      <c r="I195" s="184" t="inlineStr">
        <is>
          <t>Output data pelaporan data Rumah Sakit ke Kemenkes</t>
        </is>
      </c>
      <c r="J195" s="184" t="inlineStr">
        <is>
          <t>Terbatas</t>
        </is>
      </c>
      <c r="K195" s="184" t="inlineStr">
        <is>
          <t>Terdapat</t>
        </is>
      </c>
      <c r="L195" s="184" t="inlineStr">
        <is>
          <t>Bulanan</t>
        </is>
      </c>
      <c r="M195" s="184" t="inlineStr">
        <is>
          <t>yankes</t>
        </is>
      </c>
      <c r="N195" s="184" t="inlineStr">
        <is>
          <t>Pusat</t>
        </is>
      </c>
      <c r="O195" s="184" t="inlineStr">
        <is>
          <t>Pusat</t>
        </is>
      </c>
      <c r="P195" s="184" t="inlineStr">
        <is>
          <t>Website</t>
        </is>
      </c>
      <c r="Q195" s="267" t="inlineStr">
        <is>
          <t>Yankes Single SIGN-ON</t>
        </is>
      </c>
      <c r="R195" s="184" t="inlineStr">
        <is>
          <t>Secara Online</t>
        </is>
      </c>
      <c r="S195" s="184" t="inlineStr">
        <is>
          <t>Informasi</t>
        </is>
      </c>
      <c r="T195" s="184" t="n">
        <v>2024</v>
      </c>
      <c r="U195" s="184" t="inlineStr">
        <is>
          <t>Aktif</t>
        </is>
      </c>
      <c r="V195" s="184" t="inlineStr">
        <is>
          <t>Ya</t>
        </is>
      </c>
      <c r="W195" s="184" t="inlineStr">
        <is>
          <t>ASPAK, SISDMK, SIRANAP, SISRUTE, dll</t>
        </is>
      </c>
      <c r="X195" s="184" t="inlineStr">
        <is>
          <t>API</t>
        </is>
      </c>
      <c r="Y195" s="184" t="inlineStr">
        <is>
          <t>Bulanan</t>
        </is>
      </c>
      <c r="Z195" s="184" t="inlineStr">
        <is>
          <t>Instalasi Rekam Medis</t>
        </is>
      </c>
      <c r="AA195" s="184" t="inlineStr">
        <is>
          <t>Dinkes</t>
        </is>
      </c>
      <c r="AB195" s="184" t="inlineStr">
        <is>
          <t>Gesi Rahman
 Ghina Najla</t>
        </is>
      </c>
      <c r="AC195" s="184" t="inlineStr">
        <is>
          <t>08112199575
 085624585808</t>
        </is>
      </c>
      <c r="AD195" s="184" t="inlineStr">
        <is>
          <t>rsudbedasarjasari@gmail.com</t>
        </is>
      </c>
      <c r="AE195" s="68" t="n">
        <v>8</v>
      </c>
      <c r="AF195" s="68" t="inlineStr">
        <is>
          <t>Harian</t>
        </is>
      </c>
      <c r="AG195" s="284" t="n"/>
      <c r="AH195" s="284" t="n"/>
      <c r="AI195" s="284" t="n"/>
      <c r="AJ195" s="284" t="n"/>
      <c r="AK195" s="284" t="n"/>
      <c r="AL195" s="284" t="n"/>
      <c r="AM195" s="284" t="n"/>
      <c r="AN195" s="284" t="n"/>
      <c r="AO195" s="284" t="n"/>
      <c r="AP195" s="284" t="n"/>
      <c r="AQ195" s="284" t="n"/>
      <c r="AR195" s="284" t="n"/>
    </row>
    <row r="196" hidden="1" s="346">
      <c r="A196" s="62" t="n">
        <v>194</v>
      </c>
      <c r="B196" s="178" t="inlineStr">
        <is>
          <t>UJI PROFISIENSI</t>
        </is>
      </c>
      <c r="C196" s="178" t="inlineStr">
        <is>
          <t>Pendaftaran, penginputan hasil dan sertifikat uji PME</t>
        </is>
      </c>
      <c r="D196" s="178" t="inlineStr">
        <is>
          <t>KEPUTUSAN DIREKTUR JENDERAL PELAYANAN KESEHATAN NOMOR HK.02.02/D/47104/2024 tentang V</t>
        </is>
      </c>
      <c r="E196" s="288" t="n"/>
      <c r="F196" s="184" t="inlineStr">
        <is>
          <t>PENGELOLAAN PELAYANAN KESEHATAN</t>
        </is>
      </c>
      <c r="G196" s="184" t="inlineStr">
        <is>
          <t>Instansi Pemerintah Lainnya</t>
        </is>
      </c>
      <c r="H196" s="184" t="inlineStr">
        <is>
          <t>Hasil Pemeriksaan Laboratorium</t>
        </is>
      </c>
      <c r="I196" s="184" t="inlineStr">
        <is>
          <t>Sertifikat UJI PME</t>
        </is>
      </c>
      <c r="J196" s="184" t="inlineStr">
        <is>
          <t>Terbatas</t>
        </is>
      </c>
      <c r="K196" s="184" t="inlineStr">
        <is>
          <t>Terdapat</t>
        </is>
      </c>
      <c r="L196" s="184" t="inlineStr">
        <is>
          <t>Tahunan</t>
        </is>
      </c>
      <c r="M196" s="68" t="inlineStr">
        <is>
          <t>ujiprof</t>
        </is>
      </c>
      <c r="N196" s="184" t="inlineStr">
        <is>
          <t>Provinsi</t>
        </is>
      </c>
      <c r="O196" s="184" t="inlineStr">
        <is>
          <t>Provinsi</t>
        </is>
      </c>
      <c r="P196" s="184" t="inlineStr">
        <is>
          <t>Website</t>
        </is>
      </c>
      <c r="Q196" s="131" t="inlineStr">
        <is>
          <t>https://ujiprof.labkesjabar.com/</t>
        </is>
      </c>
      <c r="R196" s="184" t="inlineStr">
        <is>
          <t>Secara Online</t>
        </is>
      </c>
      <c r="S196" s="184" t="inlineStr">
        <is>
          <t>Transaksi</t>
        </is>
      </c>
      <c r="T196" s="288" t="n"/>
      <c r="U196" s="184" t="inlineStr">
        <is>
          <t>Aktif</t>
        </is>
      </c>
      <c r="V196" s="184" t="inlineStr">
        <is>
          <t>Tidak</t>
        </is>
      </c>
      <c r="W196" s="288" t="n"/>
      <c r="X196" s="184" t="inlineStr">
        <is>
          <t>Tidak Terintegrasi</t>
        </is>
      </c>
      <c r="Y196" s="184" t="inlineStr">
        <is>
          <t>Tahunan</t>
        </is>
      </c>
      <c r="Z196" s="184" t="inlineStr">
        <is>
          <t>Laboratorium</t>
        </is>
      </c>
      <c r="AA196" s="288" t="n"/>
      <c r="AB196" s="184" t="inlineStr">
        <is>
          <t>Siti Juwita</t>
        </is>
      </c>
      <c r="AC196" s="184" t="n">
        <v>81222672616</v>
      </c>
      <c r="AD196" s="184" t="inlineStr">
        <is>
          <t>laboratoriumbedasarjasari@gmail.com</t>
        </is>
      </c>
      <c r="AE196" s="68" t="n">
        <v>8</v>
      </c>
      <c r="AF196" s="68" t="inlineStr">
        <is>
          <t>Insidentil</t>
        </is>
      </c>
      <c r="AG196" s="284" t="n"/>
      <c r="AH196" s="284" t="n"/>
      <c r="AI196" s="284" t="n"/>
      <c r="AJ196" s="284" t="n"/>
      <c r="AK196" s="284" t="n"/>
      <c r="AL196" s="284" t="n"/>
      <c r="AM196" s="284" t="n"/>
      <c r="AN196" s="284" t="n"/>
      <c r="AO196" s="284" t="n"/>
      <c r="AP196" s="284" t="n"/>
      <c r="AQ196" s="284" t="n"/>
      <c r="AR196" s="284" t="n"/>
    </row>
    <row r="197" hidden="1" s="346">
      <c r="A197" s="62" t="n">
        <v>195</v>
      </c>
      <c r="B197" s="178" t="inlineStr">
        <is>
          <t>Dashboard Pemantauan aliran Data Satu sehat</t>
        </is>
      </c>
      <c r="C197" s="178" t="inlineStr">
        <is>
          <t>Pemantauan aliran data satu sehat</t>
        </is>
      </c>
      <c r="D197" s="269" t="inlineStr">
        <is>
          <t>UU No. 17 Tahun 2023 tentang Kesehatan (pengelolaan data nasional) dan UU No. 27 Tahun 2022 tentang Pelindungan Data Pribadi (dasar pemrosesan data)</t>
        </is>
      </c>
      <c r="E197" s="131" t="inlineStr">
        <is>
          <t>https://drive.google.com/drive/u/1/folders/1BMJeHVe0f6zjx97q_TOFnGkZBTxNZTBd</t>
        </is>
      </c>
      <c r="F197" s="184" t="inlineStr">
        <is>
          <t>PENINGKATAN KUALITAS PELAYANAN PUBLIK</t>
        </is>
      </c>
      <c r="G197" s="184" t="inlineStr">
        <is>
          <t>Instansi Pemerintah Lainnya</t>
        </is>
      </c>
      <c r="H197" s="184" t="inlineStr">
        <is>
          <t>Encounter - Aliran Data Satu Sehat</t>
        </is>
      </c>
      <c r="I197" s="184" t="inlineStr">
        <is>
          <t>Persentase - Aliran Data Satu Sehat</t>
        </is>
      </c>
      <c r="J197" s="184" t="inlineStr">
        <is>
          <t>Terbuka</t>
        </is>
      </c>
      <c r="K197" s="184" t="inlineStr">
        <is>
          <t>Tidak terdapat</t>
        </is>
      </c>
      <c r="L197" s="184" t="inlineStr">
        <is>
          <t>Mingguan</t>
        </is>
      </c>
      <c r="M197" s="184" t="inlineStr">
        <is>
          <t>SIMRS arjasari</t>
        </is>
      </c>
      <c r="N197" s="184" t="inlineStr">
        <is>
          <t>Pusat</t>
        </is>
      </c>
      <c r="O197" s="184" t="inlineStr">
        <is>
          <t>Pusat</t>
        </is>
      </c>
      <c r="P197" s="184" t="inlineStr">
        <is>
          <t>Website</t>
        </is>
      </c>
      <c r="Q197" s="270" t="inlineStr">
        <is>
          <t>Workbook: Dashboard Pemantauan Aliran Data SATUSEHAT</t>
        </is>
      </c>
      <c r="R197" s="184" t="inlineStr">
        <is>
          <t>Secara Online</t>
        </is>
      </c>
      <c r="S197" s="184" t="inlineStr">
        <is>
          <t>Informasi</t>
        </is>
      </c>
      <c r="T197" s="184" t="n">
        <v>2024</v>
      </c>
      <c r="U197" s="184" t="inlineStr">
        <is>
          <t>Aktif</t>
        </is>
      </c>
      <c r="V197" s="184" t="inlineStr">
        <is>
          <t>Ya</t>
        </is>
      </c>
      <c r="W197" s="184" t="inlineStr">
        <is>
          <t>SIMRS</t>
        </is>
      </c>
      <c r="X197" s="184" t="inlineStr">
        <is>
          <t>API</t>
        </is>
      </c>
      <c r="Y197" s="184" t="inlineStr">
        <is>
          <t>Realtime</t>
        </is>
      </c>
      <c r="Z197" s="184" t="inlineStr">
        <is>
          <t>Instalasi Rekam Medis dan Instalasi SIMRS</t>
        </is>
      </c>
      <c r="AA197" s="184" t="inlineStr">
        <is>
          <t>Diskominfo</t>
        </is>
      </c>
      <c r="AB197" s="184" t="inlineStr">
        <is>
          <t>Gesi Rahman
 Anjar Surachman</t>
        </is>
      </c>
      <c r="AC197" s="184" t="inlineStr">
        <is>
          <t>08112199575
 087743579775</t>
        </is>
      </c>
      <c r="AD197" s="184" t="inlineStr">
        <is>
          <t>-</t>
        </is>
      </c>
      <c r="AE197" s="68" t="inlineStr">
        <is>
          <t>-</t>
        </is>
      </c>
      <c r="AF197" s="68" t="inlineStr">
        <is>
          <t>Setiap Saat</t>
        </is>
      </c>
      <c r="AG197" s="284" t="n"/>
      <c r="AH197" s="284" t="n"/>
      <c r="AI197" s="284" t="n"/>
      <c r="AJ197" s="284" t="n"/>
      <c r="AK197" s="284" t="n"/>
      <c r="AL197" s="284" t="n"/>
      <c r="AM197" s="284" t="n"/>
      <c r="AN197" s="284" t="n"/>
      <c r="AO197" s="284" t="n"/>
      <c r="AP197" s="284" t="n"/>
      <c r="AQ197" s="284" t="n"/>
      <c r="AR197" s="284" t="n"/>
    </row>
    <row r="198" hidden="1" s="346">
      <c r="A198" s="62" t="n">
        <v>196</v>
      </c>
      <c r="B198" s="178" t="inlineStr">
        <is>
          <t>DMI</t>
        </is>
      </c>
      <c r="C198" s="178" t="inlineStr">
        <is>
          <t>Digital Maturity Index (DMI) Kemenkes adalah instrumen pengukuran mandiri untuk mengevaluasi tingkat kematangan digital dan kesiapan Rekam Medis Elektronik (RME) di fasilitas kesehatan (rumah sakit, puskesmas, klinik). DMI menilai 7 komponen (infrastruktur, tata kelola, keamanan, dll) dengan skala 0-5 untuk merencanakan transformasi digital yang efektif dan terintegrasi.</t>
        </is>
      </c>
      <c r="D198" s="178" t="inlineStr">
        <is>
          <t>Peraturan Menteri Kesehatan Nomor 24 Tahun 2022 tentang Rekam Medis</t>
        </is>
      </c>
      <c r="E198" s="288" t="n"/>
      <c r="F198" s="184" t="inlineStr">
        <is>
          <t>PENGELOLAAN PELAYANAN KESEHATAN</t>
        </is>
      </c>
      <c r="G198" s="184" t="inlineStr">
        <is>
          <t>Instansi Pemerintah Lainnya</t>
        </is>
      </c>
      <c r="H198" s="222" t="inlineStr">
        <is>
          <t>Sistem Informasi, tata kelola, Infrastruktur TIK, standar interoperabilitas, SDM, Data Analitik, dan kemanan Informasi</t>
        </is>
      </c>
      <c r="I198" s="274" t="inlineStr">
        <is>
          <t>Penilaian menggunakan skala 0 hingga 5 (untuk DMI) dan 0 hingga 7 (khusus RME).</t>
        </is>
      </c>
      <c r="J198" s="184" t="inlineStr">
        <is>
          <t>Tertutup</t>
        </is>
      </c>
      <c r="K198" s="184" t="inlineStr">
        <is>
          <t>Tidak terdapat</t>
        </is>
      </c>
      <c r="L198" s="184" t="inlineStr">
        <is>
          <t>Tahunan</t>
        </is>
      </c>
      <c r="M198" s="184" t="inlineStr">
        <is>
          <t>DMI</t>
        </is>
      </c>
      <c r="N198" s="184" t="inlineStr">
        <is>
          <t>Pusat</t>
        </is>
      </c>
      <c r="O198" s="184" t="inlineStr">
        <is>
          <t>Pusat</t>
        </is>
      </c>
      <c r="P198" s="184" t="inlineStr">
        <is>
          <t>Website</t>
        </is>
      </c>
      <c r="Q198" s="270" t="inlineStr">
        <is>
          <t>https://dmi.kemkes.go.id/dhis-web-commons/security/login.action</t>
        </is>
      </c>
      <c r="R198" s="184" t="inlineStr">
        <is>
          <t>Secara Online</t>
        </is>
      </c>
      <c r="S198" s="184" t="inlineStr">
        <is>
          <t>Informasi</t>
        </is>
      </c>
      <c r="T198" s="288" t="n"/>
      <c r="U198" s="184" t="inlineStr">
        <is>
          <t>Aktif</t>
        </is>
      </c>
      <c r="V198" s="184" t="inlineStr">
        <is>
          <t>Tidak</t>
        </is>
      </c>
      <c r="W198" s="184" t="inlineStr">
        <is>
          <t>Tidak terintegrasi</t>
        </is>
      </c>
      <c r="X198" s="184" t="inlineStr">
        <is>
          <t>Tidak Terintegrasi</t>
        </is>
      </c>
      <c r="Y198" s="184" t="inlineStr">
        <is>
          <t>Tidak Terintegrasi</t>
        </is>
      </c>
      <c r="Z198" s="288" t="n"/>
      <c r="AA198" s="288" t="n"/>
      <c r="AB198" s="184" t="inlineStr">
        <is>
          <t>Anjar Surachman</t>
        </is>
      </c>
      <c r="AC198" s="184" t="n">
        <v>87743579775</v>
      </c>
      <c r="AD198" s="288" t="n"/>
      <c r="AE198" s="288" t="n"/>
      <c r="AF198" s="68" t="inlineStr">
        <is>
          <t>Tahunan</t>
        </is>
      </c>
      <c r="AG198" s="284" t="n"/>
      <c r="AH198" s="284" t="n"/>
      <c r="AI198" s="284" t="n"/>
      <c r="AJ198" s="284" t="n"/>
      <c r="AK198" s="284" t="n"/>
      <c r="AL198" s="284" t="n"/>
      <c r="AM198" s="284" t="n"/>
      <c r="AN198" s="284" t="n"/>
      <c r="AO198" s="284" t="n"/>
      <c r="AP198" s="284" t="n"/>
      <c r="AQ198" s="284" t="n"/>
      <c r="AR198" s="284" t="n"/>
    </row>
    <row r="199" hidden="1" s="346">
      <c r="A199" s="62" t="n">
        <v>197</v>
      </c>
      <c r="B199" s="178" t="inlineStr">
        <is>
          <t>Balis Perijinan / BAPETEN</t>
        </is>
      </c>
      <c r="C199" s="178" t="inlineStr">
        <is>
          <t>Aplikasi untuk mengurus erijinan Alat-alat Radiologi dengan sumber radiasi pengion ke BAPETEN</t>
        </is>
      </c>
      <c r="D199" s="178" t="inlineStr">
        <is>
          <t>Peraturan Badan Pengawas Tenaga Nuklir Nomor 4 Tahun 2024 tentang Izin Bekerja Petugas pada Fasilitas Radiasi dan/atau Kegiatan Pemanfaatan Sumber Radiasi Pengion</t>
        </is>
      </c>
      <c r="E199" s="288" t="n"/>
      <c r="F199" s="184" t="inlineStr">
        <is>
          <t>INFORMASI DAN DIPLOMASI PUBLIK</t>
        </is>
      </c>
      <c r="G199" s="184" t="inlineStr">
        <is>
          <t>Pelaku Bisnis</t>
        </is>
      </c>
      <c r="H199" s="184" t="inlineStr">
        <is>
          <t>Data-data persyaratan perijinan alat dengan sumber radiasi pengion</t>
        </is>
      </c>
      <c r="I199" s="184" t="inlineStr">
        <is>
          <t>Sertifikat ijin alat oleh BAPETEN</t>
        </is>
      </c>
      <c r="J199" s="184" t="inlineStr">
        <is>
          <t>Terbatas</t>
        </is>
      </c>
      <c r="K199" s="184" t="inlineStr">
        <is>
          <t>Terdapat</t>
        </is>
      </c>
      <c r="L199" s="184" t="inlineStr">
        <is>
          <t>Lainnya</t>
        </is>
      </c>
      <c r="M199" s="68" t="inlineStr">
        <is>
          <t>BALIS BAPETEN</t>
        </is>
      </c>
      <c r="N199" s="184" t="inlineStr">
        <is>
          <t>Pusat</t>
        </is>
      </c>
      <c r="O199" s="184" t="inlineStr">
        <is>
          <t>Pusat</t>
        </is>
      </c>
      <c r="P199" s="184" t="inlineStr">
        <is>
          <t>Website</t>
        </is>
      </c>
      <c r="Q199" s="276" t="inlineStr">
        <is>
          <t>https://balis.bapeten.go.id/frontend2/public/panel/dashboard</t>
        </is>
      </c>
      <c r="R199" s="184" t="inlineStr">
        <is>
          <t>Secara Online</t>
        </is>
      </c>
      <c r="S199" s="184" t="inlineStr">
        <is>
          <t>Transaksi</t>
        </is>
      </c>
      <c r="T199" s="184" t="n">
        <v>2025</v>
      </c>
      <c r="U199" s="184" t="inlineStr">
        <is>
          <t>Aktif</t>
        </is>
      </c>
      <c r="V199" s="184" t="inlineStr">
        <is>
          <t>Ya</t>
        </is>
      </c>
      <c r="W199" s="184" t="inlineStr">
        <is>
          <t>OSS</t>
        </is>
      </c>
      <c r="X199" s="184" t="inlineStr">
        <is>
          <t>API</t>
        </is>
      </c>
      <c r="Y199" s="184" t="inlineStr">
        <is>
          <t>Realtime</t>
        </is>
      </c>
      <c r="Z199" s="184" t="inlineStr">
        <is>
          <t>OSS</t>
        </is>
      </c>
      <c r="AA199" s="184" t="inlineStr">
        <is>
          <t>DPMPTSP</t>
        </is>
      </c>
      <c r="AB199" s="184" t="inlineStr">
        <is>
          <t>Ari Nurhayati, AMR</t>
        </is>
      </c>
      <c r="AC199" s="184" t="n">
        <v>81220186484</v>
      </c>
      <c r="AD199" s="184" t="inlineStr">
        <is>
          <t>radiologirsba01@gmail.com</t>
        </is>
      </c>
      <c r="AE199" s="288" t="n"/>
      <c r="AF199" s="68" t="inlineStr">
        <is>
          <t>Insidentil</t>
        </is>
      </c>
      <c r="AG199" s="284" t="n"/>
      <c r="AH199" s="284" t="n"/>
      <c r="AI199" s="284" t="n"/>
      <c r="AJ199" s="284" t="n"/>
      <c r="AK199" s="284" t="n"/>
      <c r="AL199" s="284" t="n"/>
      <c r="AM199" s="284" t="n"/>
      <c r="AN199" s="284" t="n"/>
      <c r="AO199" s="284" t="n"/>
      <c r="AP199" s="284" t="n"/>
      <c r="AQ199" s="284" t="n"/>
      <c r="AR199" s="284" t="n"/>
    </row>
    <row r="200" hidden="1" s="346">
      <c r="A200" s="62" t="n">
        <v>198</v>
      </c>
      <c r="B200" s="178" t="inlineStr">
        <is>
          <t>E MESO</t>
        </is>
      </c>
      <c r="C200" s="277" t="inlineStr">
        <is>
          <t>Layanan e-MESO bertujuan untuk melaporkan dan memantau efek samping obat secara nasional sehingga dapat meningkatkan keamanan penggunaan obat dan keselamatan pasien melalui sistem pelaporan elektronik.</t>
        </is>
      </c>
      <c r="D200" s="292" t="inlineStr">
        <is>
          <t>Undang undang no 17 Tahun 2023 tentang Kesehatan,Peraturan BPOM No. 15 Tahun 2022 tentang Penerapan Farmakovigilans,Keputusan Kepala BPOM Tahun 2024 tentang Pusat Farmakovigilans/MESO Nasional</t>
        </is>
      </c>
      <c r="E200" s="288" t="n"/>
      <c r="F200" s="184" t="inlineStr">
        <is>
          <t>PENGELOLAAN PELAYANAN KESEHATAN</t>
        </is>
      </c>
      <c r="G200" s="184" t="inlineStr">
        <is>
          <t>Masyarakat</t>
        </is>
      </c>
      <c r="H200" s="178" t="inlineStr">
        <is>
          <t>Data Pasien,Data Obat yang diduga menyebabkan efeksamping,Data efek samping obat,Tindakan yang dilakukan ,Data pelapor</t>
        </is>
      </c>
      <c r="I200" s="196" t="inlineStr">
        <is>
          <t>laporan efek samping obat, rekap laporan nasional, serta analisis keamanan obat untuk mendukung kebijakan pengawasan obat.</t>
        </is>
      </c>
      <c r="J200" s="184" t="inlineStr">
        <is>
          <t>Terbatas</t>
        </is>
      </c>
      <c r="K200" s="184" t="inlineStr">
        <is>
          <t>Terdapat</t>
        </is>
      </c>
      <c r="L200" s="184" t="inlineStr">
        <is>
          <t>Lainnya</t>
        </is>
      </c>
      <c r="M200" s="68" t="inlineStr">
        <is>
          <t>E-MESO</t>
        </is>
      </c>
      <c r="N200" s="184" t="inlineStr">
        <is>
          <t>Pusat</t>
        </is>
      </c>
      <c r="O200" s="184" t="inlineStr">
        <is>
          <t>Pusat</t>
        </is>
      </c>
      <c r="P200" s="184" t="inlineStr">
        <is>
          <t>Website</t>
        </is>
      </c>
      <c r="Q200" s="279" t="inlineStr">
        <is>
          <t>https://e-meso.pom.go.id/ADR</t>
        </is>
      </c>
      <c r="R200" s="184" t="inlineStr">
        <is>
          <t>Secara Online</t>
        </is>
      </c>
      <c r="S200" s="288" t="n"/>
      <c r="T200" s="184" t="n">
        <v>2025</v>
      </c>
      <c r="U200" s="184" t="inlineStr">
        <is>
          <t>Aktif</t>
        </is>
      </c>
      <c r="V200" s="184" t="inlineStr">
        <is>
          <t>Tidak</t>
        </is>
      </c>
      <c r="W200" s="288" t="n"/>
      <c r="X200" s="184" t="inlineStr">
        <is>
          <t>Tidak Terintegrasi</t>
        </is>
      </c>
      <c r="Y200" s="184" t="inlineStr">
        <is>
          <t>Lainnya</t>
        </is>
      </c>
      <c r="Z200" s="288" t="n"/>
      <c r="AA200" s="184" t="inlineStr">
        <is>
          <t>Dinkes</t>
        </is>
      </c>
      <c r="AB200" s="184" t="inlineStr">
        <is>
          <t>Komariah S,Si,Apt</t>
        </is>
      </c>
      <c r="AC200" s="184" t="n">
        <v>82117621571</v>
      </c>
      <c r="AD200" s="184" t="inlineStr">
        <is>
          <t>rsudbedasarjasari@gmail.com</t>
        </is>
      </c>
      <c r="AE200" s="68" t="n">
        <v>8</v>
      </c>
      <c r="AF200" s="68" t="inlineStr">
        <is>
          <t>Insidentil</t>
        </is>
      </c>
      <c r="AG200" s="284" t="n"/>
      <c r="AH200" s="284" t="n"/>
      <c r="AI200" s="284" t="n"/>
      <c r="AJ200" s="284" t="n"/>
      <c r="AK200" s="284" t="n"/>
      <c r="AL200" s="284" t="n"/>
      <c r="AM200" s="284" t="n"/>
      <c r="AN200" s="284" t="n"/>
      <c r="AO200" s="284" t="n"/>
      <c r="AP200" s="284" t="n"/>
      <c r="AQ200" s="284" t="n"/>
      <c r="AR200" s="284" t="n"/>
    </row>
    <row r="201" hidden="1" s="346">
      <c r="A201" s="62" t="n">
        <v>199</v>
      </c>
      <c r="B201" s="178" t="inlineStr">
        <is>
          <t>SIMONA</t>
        </is>
      </c>
      <c r="C201" s="67" t="inlineStr">
        <is>
          <t>Layanan SIMONA berfungsi sebagai sistem pemantauan ketersediaan obat secara nasional yang membantu pemerintah dan fasilitas kesehatan dalam mengendalikan stok obat, mencegah kekosongan obat, dan meningkatkan efisiensi pengelolaan obat.</t>
        </is>
      </c>
      <c r="D201" s="76" t="inlineStr">
        <is>
          <t>UU Kesehatan, PP tentang Pekerjaan Kefarmasian, serta Permenkes tentang standar pelayanan kefarmasian, yang mengamanatkan pemantauan dan pengelolaan ketersediaan obat secara sistematis di fasilitas kesehatan</t>
        </is>
      </c>
      <c r="E201" s="288" t="n"/>
      <c r="F201" s="184" t="inlineStr">
        <is>
          <t>PENGELOLAAN PELAYANAN KESEHATAN</t>
        </is>
      </c>
      <c r="G201" s="184" t="inlineStr">
        <is>
          <t>Instansi Pemerintah Lainnya</t>
        </is>
      </c>
      <c r="H201" s="196" t="inlineStr">
        <is>
          <t>Identitas fasilitas kesehatan, data obat, data stok obat (stok awal, penerimaan, penggunaan, rusak, stok akhir), serta periode pelaporan</t>
        </is>
      </c>
      <c r="I201" s="196" t="inlineStr">
        <is>
          <t>laporan ketersediaan obat, laporan kekosongan obat, rekap stok obat, dan analisis monitoring obat secara nasional.</t>
        </is>
      </c>
      <c r="J201" s="184" t="inlineStr">
        <is>
          <t>Terbatas</t>
        </is>
      </c>
      <c r="K201" s="184" t="inlineStr">
        <is>
          <t>Tidak terdapat</t>
        </is>
      </c>
      <c r="L201" s="184" t="inlineStr">
        <is>
          <t>Bulanan</t>
        </is>
      </c>
      <c r="M201" s="68" t="inlineStr">
        <is>
          <t>SIMONA</t>
        </is>
      </c>
      <c r="N201" s="184" t="inlineStr">
        <is>
          <t>Pusat</t>
        </is>
      </c>
      <c r="O201" s="184" t="inlineStr">
        <is>
          <t>Pusat</t>
        </is>
      </c>
      <c r="P201" s="184" t="inlineStr">
        <is>
          <t>Website dan Mobile</t>
        </is>
      </c>
      <c r="Q201" s="280" t="inlineStr">
        <is>
          <t>https://simona.kemkes.go.id.</t>
        </is>
      </c>
      <c r="R201" s="184" t="inlineStr">
        <is>
          <t>Secara Online</t>
        </is>
      </c>
      <c r="S201" s="184" t="inlineStr">
        <is>
          <t>Informasi</t>
        </is>
      </c>
      <c r="T201" s="184" t="n">
        <v>2025</v>
      </c>
      <c r="U201" s="184" t="inlineStr">
        <is>
          <t>Non Aktif</t>
        </is>
      </c>
      <c r="V201" s="184" t="inlineStr">
        <is>
          <t>Tidak</t>
        </is>
      </c>
      <c r="W201" s="288" t="n"/>
      <c r="X201" s="184" t="inlineStr">
        <is>
          <t>Tidak Terintegrasi</t>
        </is>
      </c>
      <c r="Y201" s="184" t="inlineStr">
        <is>
          <t>Tidak Terintegrasi</t>
        </is>
      </c>
      <c r="Z201" s="288" t="n"/>
      <c r="AA201" s="184" t="inlineStr">
        <is>
          <t>Dinkes</t>
        </is>
      </c>
      <c r="AB201" s="131" t="inlineStr">
        <is>
          <t>Komariah S.Si,Apt</t>
        </is>
      </c>
      <c r="AC201" s="184" t="n">
        <v>82117621571</v>
      </c>
      <c r="AD201" s="184" t="inlineStr">
        <is>
          <t>rsudbedasarjasari@gmail.com</t>
        </is>
      </c>
      <c r="AE201" s="68" t="n">
        <v>8</v>
      </c>
      <c r="AF201" s="68" t="inlineStr">
        <is>
          <t>Bulanan</t>
        </is>
      </c>
      <c r="AG201" s="284" t="n"/>
      <c r="AH201" s="284" t="n"/>
      <c r="AI201" s="284" t="n"/>
      <c r="AJ201" s="284" t="n"/>
      <c r="AK201" s="284" t="n"/>
      <c r="AL201" s="284" t="n"/>
      <c r="AM201" s="284" t="n"/>
      <c r="AN201" s="284" t="n"/>
      <c r="AO201" s="284" t="n"/>
      <c r="AP201" s="284" t="n"/>
      <c r="AQ201" s="284" t="n"/>
      <c r="AR201" s="284" t="n"/>
    </row>
    <row r="202" hidden="1" s="346">
      <c r="A202" s="62" t="n">
        <v>200</v>
      </c>
      <c r="B202" s="184" t="inlineStr">
        <is>
          <t>Layanan manajemen data fasilitas kesehatan</t>
        </is>
      </c>
      <c r="C202" s="67" t="inlineStr">
        <is>
          <t>database dan sistem manajemen data fasilitas kesehatan yang bekerja sama dengan BPJS Kesehatan untuk mendukung pelayanan peserta BPJS</t>
        </is>
      </c>
      <c r="D202" s="178" t="inlineStr">
        <is>
          <t>1. Undang-Undang Nomor 40 Tahun 2004 tentang Sistem Jaminan Sosial Nasional
 2. Undang-Undang Nomor 24 Tahun 2011 tentang Badan Penyelenggara Jaminan Sosial
 3. Peraturan Presiden Nomor 82 Tahun 2018 tentang Jaminan Kesehatan
 4. Peraturan BPJS Kesehatan Nomor 7 Tahun 2019 tentang Petunjuk Pelaksanaan Kerja Sama dengan Fasilitas Kesehatan</t>
        </is>
      </c>
      <c r="E202" s="288" t="n"/>
      <c r="F202" s="184" t="inlineStr">
        <is>
          <t>PENGELOLAAN PELAYANAN KESEHATAN</t>
        </is>
      </c>
      <c r="G202" s="184" t="inlineStr">
        <is>
          <t>Instansi Pemerintah Lainnya</t>
        </is>
      </c>
      <c r="H202" s="178" t="inlineStr">
        <is>
          <t>1. Data Identitas Fasilitas Kesehatan
 2. Data Perizinan dan Legalitas
 3. Data Tenaga Kesehatan
 4. Data Sarana dan Prasarana
 5. Data Jenis Layanan Kesehatan
 6. Data Kapasitas Pelayanan
 7. Data Kerja Sama dengan BPJS
 8. Dokumen Pendukung</t>
        </is>
      </c>
      <c r="I202" s="178" t="inlineStr">
        <is>
          <t>1. Profil Fasilitas Kesehatan
 2. Data Sebaran Fasilitas Kesehatan
 3. Data Tenaga Kesehatan
 4. Data Sarana dan Prasarana
 5. Data Jenis dan Kapasitas Layanan
 6. Status dan Riwayat Kerja Sama
 7. Laporan dan Monitoring Fasilitas Kesehatan</t>
        </is>
      </c>
      <c r="J202" s="184" t="inlineStr">
        <is>
          <t>Terbatas</t>
        </is>
      </c>
      <c r="K202" s="184" t="inlineStr">
        <is>
          <t>Terdapat</t>
        </is>
      </c>
      <c r="L202" s="184" t="inlineStr">
        <is>
          <t>Lainnya</t>
        </is>
      </c>
      <c r="M202" s="184" t="inlineStr">
        <is>
          <t>HFIS BPJS</t>
        </is>
      </c>
      <c r="N202" s="184" t="inlineStr">
        <is>
          <t>Pusat</t>
        </is>
      </c>
      <c r="O202" s="184" t="inlineStr">
        <is>
          <t>Pusat</t>
        </is>
      </c>
      <c r="P202" s="184" t="inlineStr">
        <is>
          <t>Website</t>
        </is>
      </c>
      <c r="Q202" s="223" t="inlineStr">
        <is>
          <t>:Health Facilities Information System (H.F.I.S):</t>
        </is>
      </c>
      <c r="R202" s="184" t="inlineStr">
        <is>
          <t>Secara Online</t>
        </is>
      </c>
      <c r="S202" s="184" t="inlineStr">
        <is>
          <t>Informasi</t>
        </is>
      </c>
      <c r="T202" s="288" t="n"/>
      <c r="U202" s="184" t="inlineStr">
        <is>
          <t>Aktif</t>
        </is>
      </c>
      <c r="V202" s="184" t="inlineStr">
        <is>
          <t>Ya</t>
        </is>
      </c>
      <c r="W202" s="184" t="inlineStr">
        <is>
          <t>Mobile JKN</t>
        </is>
      </c>
      <c r="X202" s="184" t="inlineStr">
        <is>
          <t>Database to Database</t>
        </is>
      </c>
      <c r="Y202" s="184" t="inlineStr">
        <is>
          <t>Realtime</t>
        </is>
      </c>
      <c r="Z202" s="184" t="inlineStr">
        <is>
          <t>Bidang Pelayanan Medik</t>
        </is>
      </c>
      <c r="AA202" s="184" t="inlineStr">
        <is>
          <t>Dinkes</t>
        </is>
      </c>
      <c r="AB202" s="288" t="n"/>
      <c r="AC202" s="288" t="n"/>
      <c r="AD202" s="288" t="n"/>
      <c r="AE202" s="288" t="n"/>
      <c r="AF202" s="184" t="inlineStr">
        <is>
          <t>Insidentil</t>
        </is>
      </c>
      <c r="AG202" s="284" t="n"/>
      <c r="AH202" s="284" t="n"/>
      <c r="AI202" s="284" t="n"/>
      <c r="AJ202" s="284" t="n"/>
      <c r="AK202" s="284" t="n"/>
      <c r="AL202" s="284" t="n"/>
      <c r="AM202" s="284" t="n"/>
      <c r="AN202" s="284" t="n"/>
      <c r="AO202" s="284" t="n"/>
      <c r="AP202" s="284" t="n"/>
      <c r="AQ202" s="284" t="n"/>
      <c r="AR202" s="284" t="n"/>
    </row>
    <row r="203">
      <c r="A203" s="62" t="n">
        <v>201</v>
      </c>
      <c r="B203" s="178" t="inlineStr">
        <is>
          <t>Layanan Daftar Hadir elekto</t>
        </is>
      </c>
      <c r="C203" s="67" t="inlineStr">
        <is>
          <t>Untuk memudahkan pencatatan dan pengelolaan kehadiran secara digital sehingga lebih cepat, akurat, serta meningkatkan disiplin dan pengawasan terhadap kehadiran pegawai.</t>
        </is>
      </c>
      <c r="D203" s="67" t="inlineStr">
        <is>
          <t>Peraturan Bupati Bandung Nomor 108 Tahun 2019</t>
        </is>
      </c>
      <c r="E203" s="288" t="n"/>
      <c r="F203" s="184" t="inlineStr">
        <is>
          <t>PENINGKATAN KUALITAS PELAYANAN PUBLIK</t>
        </is>
      </c>
      <c r="G203" s="184" t="inlineStr">
        <is>
          <t>Pegawai</t>
        </is>
      </c>
      <c r="H203" s="184" t="inlineStr">
        <is>
          <t>Kehadiran</t>
        </is>
      </c>
      <c r="I203" s="184" t="inlineStr">
        <is>
          <t>Rekap kehadiran</t>
        </is>
      </c>
      <c r="J203" s="184" t="inlineStr">
        <is>
          <t>Rahasia</t>
        </is>
      </c>
      <c r="K203" s="184" t="inlineStr">
        <is>
          <t>Terdapat</t>
        </is>
      </c>
      <c r="L203" s="184" t="inlineStr">
        <is>
          <t>Bulanan</t>
        </is>
      </c>
      <c r="M203" s="68" t="inlineStr">
        <is>
          <t>DHE PHL</t>
        </is>
      </c>
      <c r="N203" s="184" t="inlineStr">
        <is>
          <t>Diskominfo</t>
        </is>
      </c>
      <c r="O203" s="184" t="inlineStr">
        <is>
          <t>Kab. Bandung</t>
        </is>
      </c>
      <c r="P203" s="184" t="inlineStr">
        <is>
          <t>Website dan Mobile</t>
        </is>
      </c>
      <c r="Q203" s="131" t="inlineStr">
        <is>
          <t>https://dhephl.bandungkab.go.id/</t>
        </is>
      </c>
      <c r="R203" s="184" t="inlineStr">
        <is>
          <t>Secara Online</t>
        </is>
      </c>
      <c r="S203" s="184" t="inlineStr">
        <is>
          <t>Informasi</t>
        </is>
      </c>
      <c r="T203" s="288" t="n"/>
      <c r="U203" s="184" t="inlineStr">
        <is>
          <t>Aktif</t>
        </is>
      </c>
      <c r="V203" s="184" t="inlineStr">
        <is>
          <t>Tidak</t>
        </is>
      </c>
      <c r="W203" s="288" t="n"/>
      <c r="X203" s="184" t="inlineStr">
        <is>
          <t>Tidak Terintegrasi</t>
        </is>
      </c>
      <c r="Y203" s="184" t="inlineStr">
        <is>
          <t>Tidak Terintegrasi</t>
        </is>
      </c>
      <c r="Z203" s="288" t="n"/>
      <c r="AA203" s="184" t="inlineStr">
        <is>
          <t>Diskominfo</t>
        </is>
      </c>
      <c r="AB203" s="288" t="n"/>
      <c r="AC203" s="288" t="n"/>
      <c r="AD203" s="288" t="n"/>
      <c r="AE203" s="288" t="n"/>
      <c r="AF203" s="68" t="inlineStr">
        <is>
          <t>Bulanan</t>
        </is>
      </c>
      <c r="AG203" s="284" t="n"/>
      <c r="AH203" s="284" t="n"/>
      <c r="AI203" s="284" t="n"/>
      <c r="AJ203" s="284" t="n"/>
      <c r="AK203" s="284" t="n"/>
      <c r="AL203" s="284" t="n"/>
      <c r="AM203" s="284" t="n"/>
      <c r="AN203" s="284" t="n"/>
      <c r="AO203" s="284" t="n"/>
      <c r="AP203" s="284" t="n"/>
      <c r="AQ203" s="284" t="n"/>
      <c r="AR203" s="284" t="n"/>
    </row>
    <row r="204" hidden="1" s="346">
      <c r="A204" s="62" t="n">
        <v>202</v>
      </c>
      <c r="B204" s="178" t="inlineStr">
        <is>
          <t>Dashboard Pemantauan aliran Data Satu sehat</t>
        </is>
      </c>
      <c r="C204" s="178" t="inlineStr">
        <is>
          <t>Pemantauan aliran data satu sehat</t>
        </is>
      </c>
      <c r="D204" s="273" t="inlineStr">
        <is>
          <t>UU No. 17 Tahun 2023 tentang Kesehatan (pengelolaan data nasional) dan UU No. 27 Tahun 2022 tentang Pelindungan Data Pribadi (dasar pemrosesan data)</t>
        </is>
      </c>
      <c r="E204" s="131" t="inlineStr">
        <is>
          <t>https://drive.google.com/drive/u/1/folders/1BMJeHVe0f6zjx97q_TOFnGkZBTxNZTBd</t>
        </is>
      </c>
      <c r="F204" s="184" t="inlineStr">
        <is>
          <t>PENINGKATAN KUALITAS PELAYANAN PUBLIK</t>
        </is>
      </c>
      <c r="G204" s="184" t="inlineStr">
        <is>
          <t>Instansi Pemerintah Lainnya</t>
        </is>
      </c>
      <c r="H204" s="184" t="inlineStr">
        <is>
          <t>Encounter - Aliran Data Satu Sehat</t>
        </is>
      </c>
      <c r="I204" s="184" t="inlineStr">
        <is>
          <t>Persentase - Aliran Data Satu Sehat</t>
        </is>
      </c>
      <c r="J204" s="184" t="inlineStr">
        <is>
          <t>Terbuka</t>
        </is>
      </c>
      <c r="K204" s="184" t="inlineStr">
        <is>
          <t>Tidak terdapat</t>
        </is>
      </c>
      <c r="L204" s="184" t="inlineStr">
        <is>
          <t>Mingguan</t>
        </is>
      </c>
      <c r="M204" s="184" t="inlineStr">
        <is>
          <t>SIMRS PACIRA</t>
        </is>
      </c>
      <c r="N204" s="184" t="inlineStr">
        <is>
          <t>Pusat</t>
        </is>
      </c>
      <c r="O204" s="184" t="inlineStr">
        <is>
          <t>Pusat</t>
        </is>
      </c>
      <c r="P204" s="184" t="inlineStr">
        <is>
          <t>Website</t>
        </is>
      </c>
      <c r="Q204" s="75" t="inlineStr">
        <is>
          <t>Workbook: Dashboard Pemantauan Aliran Data SATUSEHAT</t>
        </is>
      </c>
      <c r="R204" s="184" t="inlineStr">
        <is>
          <t>Secara Online</t>
        </is>
      </c>
      <c r="S204" s="184" t="inlineStr">
        <is>
          <t>Informasi</t>
        </is>
      </c>
      <c r="T204" s="184" t="n">
        <v>2024</v>
      </c>
      <c r="U204" s="184" t="inlineStr">
        <is>
          <t>Aktif</t>
        </is>
      </c>
      <c r="V204" s="184" t="inlineStr">
        <is>
          <t>Ya</t>
        </is>
      </c>
      <c r="W204" s="184" t="inlineStr">
        <is>
          <t>SIMRS</t>
        </is>
      </c>
      <c r="X204" s="184" t="inlineStr">
        <is>
          <t>API</t>
        </is>
      </c>
      <c r="Y204" s="184" t="inlineStr">
        <is>
          <t>Realtime</t>
        </is>
      </c>
      <c r="Z204" s="184" t="inlineStr">
        <is>
          <t>Instalasi Rekam Medis dan Instalasi SIMRS</t>
        </is>
      </c>
      <c r="AA204" s="184" t="inlineStr">
        <is>
          <t>Diskominfo</t>
        </is>
      </c>
      <c r="AB204" s="184" t="inlineStr">
        <is>
          <t>Ammar Zhorif, S.Kom</t>
        </is>
      </c>
      <c r="AC204" s="184" t="n">
        <v>82324066724</v>
      </c>
      <c r="AD204" s="184" t="inlineStr">
        <is>
          <t>rsudpacira.official@gmail.com</t>
        </is>
      </c>
      <c r="AE204" s="68" t="inlineStr">
        <is>
          <t>-</t>
        </is>
      </c>
      <c r="AF204" s="68" t="inlineStr">
        <is>
          <t>Setiap Saat</t>
        </is>
      </c>
      <c r="AG204" s="284" t="n"/>
      <c r="AH204" s="284" t="n"/>
      <c r="AI204" s="284" t="n"/>
      <c r="AJ204" s="284" t="n"/>
      <c r="AK204" s="284" t="n"/>
      <c r="AL204" s="284" t="n"/>
      <c r="AM204" s="284" t="n"/>
      <c r="AN204" s="284" t="n"/>
      <c r="AO204" s="284" t="n"/>
      <c r="AP204" s="284" t="n"/>
      <c r="AQ204" s="284" t="n"/>
      <c r="AR204" s="284" t="n"/>
    </row>
  </sheetData>
  <autoFilter ref="$A$1:$AR$204">
    <filterColumn colId="14" hiddenButton="0" showButton="1">
      <filters>
        <filter val="Kab. Bandung"/>
      </filters>
    </filterColumn>
    <filterColumn colId="20" hiddenButton="0" showButton="1">
      <filters blank="1">
        <filter val="Aktif"/>
        <filter val="2018"/>
        <filter val="Maintenance"/>
        <filter val="21"/>
      </filters>
    </filterColumn>
  </autoFilter>
  <mergeCells count="4">
    <mergeCell ref="AG33:AR33"/>
    <mergeCell ref="AG82:AH82"/>
    <mergeCell ref="AG123:AH123"/>
    <mergeCell ref="AG44:AI44"/>
  </mergeCells>
  <dataValidations count="16">
    <dataValidation sqref="O3:O204" showDropDown="0" showInputMessage="0" showErrorMessage="1" allowBlank="1" type="list">
      <formula1>Ref!$O$2:$O$5</formula1>
    </dataValidation>
    <dataValidation sqref="R3:R204" showDropDown="0" showInputMessage="0" showErrorMessage="1" allowBlank="1" type="list">
      <formula1>Ref!$R$2:$R$3</formula1>
    </dataValidation>
    <dataValidation sqref="F3:F204" showDropDown="0" showInputMessage="0" showErrorMessage="1" allowBlank="1" type="list">
      <formula1>Ref!$F$2:$F$307</formula1>
    </dataValidation>
    <dataValidation sqref="N3:N204" showDropDown="0" showInputMessage="0" showErrorMessage="1" allowBlank="1" type="list">
      <formula1>Ref!$N$2:$N$6</formula1>
    </dataValidation>
    <dataValidation sqref="AA3:AA204" showDropDown="0" showInputMessage="0" showErrorMessage="1" allowBlank="1" type="list">
      <formula1>Ref!$AA$2:$AA$33</formula1>
    </dataValidation>
    <dataValidation sqref="X3:X204" showDropDown="0" showInputMessage="0" showErrorMessage="1" allowBlank="1" type="list">
      <formula1>Ref!$X$2:$X$6</formula1>
    </dataValidation>
    <dataValidation sqref="Y3:Y204" showDropDown="0" showInputMessage="0" showErrorMessage="1" allowBlank="1" type="list">
      <formula1>Ref!$Y$2:$Y$8</formula1>
    </dataValidation>
    <dataValidation sqref="G3:G204" showDropDown="0" showInputMessage="0" showErrorMessage="1" allowBlank="1" type="list">
      <formula1>Ref!$G$2:$G$5</formula1>
    </dataValidation>
    <dataValidation sqref="K3:K204" showDropDown="0" showInputMessage="0" showErrorMessage="1" allowBlank="1" type="list">
      <formula1>Ref!$K$2:$K$3</formula1>
    </dataValidation>
    <dataValidation sqref="S3:S204" showDropDown="0" showInputMessage="0" showErrorMessage="1" allowBlank="1" type="list">
      <formula1>Ref!$S$2:$S$3</formula1>
    </dataValidation>
    <dataValidation sqref="V3:V204" showDropDown="0" showInputMessage="0" showErrorMessage="1" allowBlank="1" type="list">
      <formula1>Ref!$V$2:$V$3</formula1>
    </dataValidation>
    <dataValidation sqref="P3:P204" showDropDown="0" showInputMessage="0" showErrorMessage="1" allowBlank="1" type="list">
      <formula1>Ref!$P$2:$P$5</formula1>
    </dataValidation>
    <dataValidation sqref="M4:M5" showDropDown="0" showInputMessage="0" showErrorMessage="0" allowBlank="1" type="list">
      <formula1>#REF!</formula1>
    </dataValidation>
    <dataValidation sqref="J3:J204" showDropDown="0" showInputMessage="0" showErrorMessage="1" allowBlank="1" type="list">
      <formula1>Ref!$J$2:$J$5</formula1>
    </dataValidation>
    <dataValidation sqref="U3:U204" showDropDown="0" showInputMessage="0" showErrorMessage="1" allowBlank="1" type="list">
      <formula1>Ref!$U$2:$U$4</formula1>
    </dataValidation>
    <dataValidation sqref="L3:L204" showDropDown="0" showInputMessage="0" showErrorMessage="1" allowBlank="1" type="list">
      <formula1>Ref!$L$2:$L$6</formula1>
    </dataValidation>
  </dataValidations>
  <hyperlinks>
    <hyperlink xmlns:r="http://schemas.openxmlformats.org/officeDocument/2006/relationships" ref="Q3" r:id="rId1"/>
    <hyperlink xmlns:r="http://schemas.openxmlformats.org/officeDocument/2006/relationships" ref="Q5" r:id="rId2"/>
    <hyperlink xmlns:r="http://schemas.openxmlformats.org/officeDocument/2006/relationships" ref="Q6" r:id="rId3"/>
    <hyperlink xmlns:r="http://schemas.openxmlformats.org/officeDocument/2006/relationships" ref="Q7" r:id="rId4"/>
    <hyperlink xmlns:r="http://schemas.openxmlformats.org/officeDocument/2006/relationships" ref="Q8" r:id="rId5"/>
    <hyperlink xmlns:r="http://schemas.openxmlformats.org/officeDocument/2006/relationships" ref="Q9" r:id="rId6"/>
    <hyperlink xmlns:r="http://schemas.openxmlformats.org/officeDocument/2006/relationships" ref="Q10" r:id="rId7"/>
    <hyperlink xmlns:r="http://schemas.openxmlformats.org/officeDocument/2006/relationships" ref="Q11" r:id="rId8"/>
    <hyperlink xmlns:r="http://schemas.openxmlformats.org/officeDocument/2006/relationships" ref="Q12" r:id="rId9"/>
    <hyperlink xmlns:r="http://schemas.openxmlformats.org/officeDocument/2006/relationships" ref="Q14" r:id="rId10"/>
    <hyperlink xmlns:r="http://schemas.openxmlformats.org/officeDocument/2006/relationships" ref="Q15" r:id="rId11"/>
    <hyperlink xmlns:r="http://schemas.openxmlformats.org/officeDocument/2006/relationships" ref="Q16" r:id="rId12"/>
    <hyperlink xmlns:r="http://schemas.openxmlformats.org/officeDocument/2006/relationships" ref="Q17" r:id="rId13"/>
    <hyperlink xmlns:r="http://schemas.openxmlformats.org/officeDocument/2006/relationships" ref="Q18" r:id="rId14"/>
    <hyperlink xmlns:r="http://schemas.openxmlformats.org/officeDocument/2006/relationships" ref="Q19" r:id="rId15"/>
    <hyperlink xmlns:r="http://schemas.openxmlformats.org/officeDocument/2006/relationships" ref="Q20" r:id="rId16"/>
    <hyperlink xmlns:r="http://schemas.openxmlformats.org/officeDocument/2006/relationships" ref="Q21" r:id="rId17"/>
    <hyperlink xmlns:r="http://schemas.openxmlformats.org/officeDocument/2006/relationships" ref="AB21" r:id="rId18"/>
    <hyperlink xmlns:r="http://schemas.openxmlformats.org/officeDocument/2006/relationships" ref="Q22" r:id="rId19"/>
    <hyperlink xmlns:r="http://schemas.openxmlformats.org/officeDocument/2006/relationships" ref="AB22" r:id="rId20"/>
    <hyperlink xmlns:r="http://schemas.openxmlformats.org/officeDocument/2006/relationships" ref="Q23" r:id="rId21"/>
    <hyperlink xmlns:r="http://schemas.openxmlformats.org/officeDocument/2006/relationships" ref="Q24" r:id="rId22"/>
    <hyperlink xmlns:r="http://schemas.openxmlformats.org/officeDocument/2006/relationships" ref="AB24" r:id="rId23"/>
    <hyperlink xmlns:r="http://schemas.openxmlformats.org/officeDocument/2006/relationships" ref="Q25" r:id="rId24"/>
    <hyperlink xmlns:r="http://schemas.openxmlformats.org/officeDocument/2006/relationships" ref="Q27" r:id="rId25"/>
    <hyperlink xmlns:r="http://schemas.openxmlformats.org/officeDocument/2006/relationships" ref="AB27" r:id="rId26"/>
    <hyperlink xmlns:r="http://schemas.openxmlformats.org/officeDocument/2006/relationships" ref="Q28" r:id="rId27"/>
    <hyperlink xmlns:r="http://schemas.openxmlformats.org/officeDocument/2006/relationships" ref="AB28" r:id="rId28"/>
    <hyperlink xmlns:r="http://schemas.openxmlformats.org/officeDocument/2006/relationships" ref="Q29" r:id="rId29"/>
    <hyperlink xmlns:r="http://schemas.openxmlformats.org/officeDocument/2006/relationships" ref="AB29" r:id="rId30"/>
    <hyperlink xmlns:r="http://schemas.openxmlformats.org/officeDocument/2006/relationships" ref="Q30" r:id="rId31"/>
    <hyperlink xmlns:r="http://schemas.openxmlformats.org/officeDocument/2006/relationships" ref="Q31" r:id="rId32"/>
    <hyperlink xmlns:r="http://schemas.openxmlformats.org/officeDocument/2006/relationships" ref="Q32" r:id="rId33"/>
    <hyperlink xmlns:r="http://schemas.openxmlformats.org/officeDocument/2006/relationships" ref="Q33" r:id="rId34"/>
    <hyperlink xmlns:r="http://schemas.openxmlformats.org/officeDocument/2006/relationships" ref="Q34" r:id="rId35"/>
    <hyperlink xmlns:r="http://schemas.openxmlformats.org/officeDocument/2006/relationships" ref="Q35" r:id="rId36"/>
    <hyperlink xmlns:r="http://schemas.openxmlformats.org/officeDocument/2006/relationships" ref="Q36" r:id="rId37"/>
    <hyperlink xmlns:r="http://schemas.openxmlformats.org/officeDocument/2006/relationships" ref="Q37" r:id="rId38"/>
    <hyperlink xmlns:r="http://schemas.openxmlformats.org/officeDocument/2006/relationships" ref="Q38" r:id="rId39"/>
    <hyperlink xmlns:r="http://schemas.openxmlformats.org/officeDocument/2006/relationships" ref="Q39" r:id="rId40"/>
    <hyperlink xmlns:r="http://schemas.openxmlformats.org/officeDocument/2006/relationships" ref="Q40" r:id="rId41"/>
    <hyperlink xmlns:r="http://schemas.openxmlformats.org/officeDocument/2006/relationships" ref="E41" r:id="rId42"/>
    <hyperlink xmlns:r="http://schemas.openxmlformats.org/officeDocument/2006/relationships" ref="Q41" r:id="rId43"/>
    <hyperlink xmlns:r="http://schemas.openxmlformats.org/officeDocument/2006/relationships" ref="Q42" r:id="rId44"/>
    <hyperlink xmlns:r="http://schemas.openxmlformats.org/officeDocument/2006/relationships" ref="E43" r:id="rId45"/>
    <hyperlink xmlns:r="http://schemas.openxmlformats.org/officeDocument/2006/relationships" ref="Q43" r:id="rId46"/>
    <hyperlink xmlns:r="http://schemas.openxmlformats.org/officeDocument/2006/relationships" ref="Q44" r:id="rId47"/>
    <hyperlink xmlns:r="http://schemas.openxmlformats.org/officeDocument/2006/relationships" ref="AB44" r:id="rId48"/>
    <hyperlink xmlns:r="http://schemas.openxmlformats.org/officeDocument/2006/relationships" ref="Q45" location="appName=DBHCHTApp-787771102-23-06-21&amp;vss=H4sIAAAAAAAAA6WPwU4CMRCG32XOhTRlIaFX9WAMHIR4kHqodNY07Lab7aCSTd-dqUI03NDj_DPfNzMDvHv8WJHd7kBvhp_qAQ-gYTCwPnRoQBu4iYH62BgQBpa2_Q5XSOTDWzKQIb-IM0-YQA_X4fp_2wV4h4F87bEvrkKy48Rxu1AcnBnIAto92dcGvw4uzGn4clLAY4zESR37lqtbS5aZtuNISVWN5GykqrVUulJ6KsdzOZ3MZ5PnclO6D3fO0yI6Vta2SZgzb67jdp_QPfHDf3i0SD87G9xv7RGGjFddywEAAA==&amp;view=Settings" r:id="rId49"/>
    <hyperlink xmlns:r="http://schemas.openxmlformats.org/officeDocument/2006/relationships" ref="AB45" r:id="rId50"/>
    <hyperlink xmlns:r="http://schemas.openxmlformats.org/officeDocument/2006/relationships" ref="E46" r:id="rId51"/>
    <hyperlink xmlns:r="http://schemas.openxmlformats.org/officeDocument/2006/relationships" ref="Q47" r:id="rId52"/>
    <hyperlink xmlns:r="http://schemas.openxmlformats.org/officeDocument/2006/relationships" ref="Q48" r:id="rId53"/>
    <hyperlink xmlns:r="http://schemas.openxmlformats.org/officeDocument/2006/relationships" ref="E49" r:id="rId54"/>
    <hyperlink xmlns:r="http://schemas.openxmlformats.org/officeDocument/2006/relationships" ref="Q49" r:id="rId55"/>
    <hyperlink xmlns:r="http://schemas.openxmlformats.org/officeDocument/2006/relationships" ref="E50" r:id="rId56"/>
    <hyperlink xmlns:r="http://schemas.openxmlformats.org/officeDocument/2006/relationships" ref="M50" r:id="rId57"/>
    <hyperlink xmlns:r="http://schemas.openxmlformats.org/officeDocument/2006/relationships" ref="Q50" r:id="rId58"/>
    <hyperlink xmlns:r="http://schemas.openxmlformats.org/officeDocument/2006/relationships" ref="Q52" r:id="rId59"/>
    <hyperlink xmlns:r="http://schemas.openxmlformats.org/officeDocument/2006/relationships" ref="Q53" r:id="rId60"/>
    <hyperlink xmlns:r="http://schemas.openxmlformats.org/officeDocument/2006/relationships" ref="Q54" r:id="rId61"/>
    <hyperlink xmlns:r="http://schemas.openxmlformats.org/officeDocument/2006/relationships" ref="Q55" r:id="rId62"/>
    <hyperlink xmlns:r="http://schemas.openxmlformats.org/officeDocument/2006/relationships" ref="Q56" r:id="rId63"/>
    <hyperlink xmlns:r="http://schemas.openxmlformats.org/officeDocument/2006/relationships" ref="Q58" r:id="rId64"/>
    <hyperlink xmlns:r="http://schemas.openxmlformats.org/officeDocument/2006/relationships" ref="Q59" r:id="rId65"/>
    <hyperlink xmlns:r="http://schemas.openxmlformats.org/officeDocument/2006/relationships" ref="Q60" r:id="rId66"/>
    <hyperlink xmlns:r="http://schemas.openxmlformats.org/officeDocument/2006/relationships" ref="Q61" r:id="rId67"/>
    <hyperlink xmlns:r="http://schemas.openxmlformats.org/officeDocument/2006/relationships" ref="Q63" r:id="rId68"/>
    <hyperlink xmlns:r="http://schemas.openxmlformats.org/officeDocument/2006/relationships" ref="Q64" r:id="rId69"/>
    <hyperlink xmlns:r="http://schemas.openxmlformats.org/officeDocument/2006/relationships" ref="Q65" r:id="rId70"/>
    <hyperlink xmlns:r="http://schemas.openxmlformats.org/officeDocument/2006/relationships" ref="Q67" r:id="rId71"/>
    <hyperlink xmlns:r="http://schemas.openxmlformats.org/officeDocument/2006/relationships" ref="Q71" r:id="rId72"/>
    <hyperlink xmlns:r="http://schemas.openxmlformats.org/officeDocument/2006/relationships" ref="Q72" r:id="rId73"/>
    <hyperlink xmlns:r="http://schemas.openxmlformats.org/officeDocument/2006/relationships" ref="E73" r:id="rId74"/>
    <hyperlink xmlns:r="http://schemas.openxmlformats.org/officeDocument/2006/relationships" ref="Q73" r:id="rId75"/>
    <hyperlink xmlns:r="http://schemas.openxmlformats.org/officeDocument/2006/relationships" ref="E74" r:id="rId76"/>
    <hyperlink xmlns:r="http://schemas.openxmlformats.org/officeDocument/2006/relationships" ref="Q74" r:id="rId77"/>
    <hyperlink xmlns:r="http://schemas.openxmlformats.org/officeDocument/2006/relationships" ref="Q75" r:id="rId78"/>
    <hyperlink xmlns:r="http://schemas.openxmlformats.org/officeDocument/2006/relationships" ref="E76" r:id="rId79"/>
    <hyperlink xmlns:r="http://schemas.openxmlformats.org/officeDocument/2006/relationships" ref="Q76" r:id="rId80"/>
    <hyperlink xmlns:r="http://schemas.openxmlformats.org/officeDocument/2006/relationships" ref="E77" r:id="rId81"/>
    <hyperlink xmlns:r="http://schemas.openxmlformats.org/officeDocument/2006/relationships" ref="Q77" r:id="rId82"/>
    <hyperlink xmlns:r="http://schemas.openxmlformats.org/officeDocument/2006/relationships" ref="Q78" r:id="rId83"/>
    <hyperlink xmlns:r="http://schemas.openxmlformats.org/officeDocument/2006/relationships" ref="E79" r:id="rId84"/>
    <hyperlink xmlns:r="http://schemas.openxmlformats.org/officeDocument/2006/relationships" ref="Q79" r:id="rId85"/>
    <hyperlink xmlns:r="http://schemas.openxmlformats.org/officeDocument/2006/relationships" ref="E80" r:id="rId86"/>
    <hyperlink xmlns:r="http://schemas.openxmlformats.org/officeDocument/2006/relationships" ref="Q80" r:id="rId87"/>
    <hyperlink xmlns:r="http://schemas.openxmlformats.org/officeDocument/2006/relationships" ref="E81" r:id="rId88"/>
    <hyperlink xmlns:r="http://schemas.openxmlformats.org/officeDocument/2006/relationships" ref="Q81" r:id="rId89"/>
    <hyperlink xmlns:r="http://schemas.openxmlformats.org/officeDocument/2006/relationships" ref="W81" r:id="rId90"/>
    <hyperlink xmlns:r="http://schemas.openxmlformats.org/officeDocument/2006/relationships" ref="Q82" r:id="rId91"/>
    <hyperlink xmlns:r="http://schemas.openxmlformats.org/officeDocument/2006/relationships" ref="W82" r:id="rId92"/>
    <hyperlink xmlns:r="http://schemas.openxmlformats.org/officeDocument/2006/relationships" ref="Q83" r:id="rId93"/>
    <hyperlink xmlns:r="http://schemas.openxmlformats.org/officeDocument/2006/relationships" ref="E84" r:id="rId94"/>
    <hyperlink xmlns:r="http://schemas.openxmlformats.org/officeDocument/2006/relationships" ref="Q84" r:id="rId95"/>
    <hyperlink xmlns:r="http://schemas.openxmlformats.org/officeDocument/2006/relationships" ref="E85" r:id="rId96"/>
    <hyperlink xmlns:r="http://schemas.openxmlformats.org/officeDocument/2006/relationships" ref="Q85" r:id="rId97"/>
    <hyperlink xmlns:r="http://schemas.openxmlformats.org/officeDocument/2006/relationships" ref="Q86" r:id="rId98"/>
    <hyperlink xmlns:r="http://schemas.openxmlformats.org/officeDocument/2006/relationships" ref="E87" r:id="rId99"/>
    <hyperlink xmlns:r="http://schemas.openxmlformats.org/officeDocument/2006/relationships" ref="Q87" r:id="rId100"/>
    <hyperlink xmlns:r="http://schemas.openxmlformats.org/officeDocument/2006/relationships" ref="E88" r:id="rId101"/>
    <hyperlink xmlns:r="http://schemas.openxmlformats.org/officeDocument/2006/relationships" ref="Q88" r:id="rId102"/>
    <hyperlink xmlns:r="http://schemas.openxmlformats.org/officeDocument/2006/relationships" ref="Q89" r:id="rId103"/>
    <hyperlink xmlns:r="http://schemas.openxmlformats.org/officeDocument/2006/relationships" ref="Q90" r:id="rId104"/>
    <hyperlink xmlns:r="http://schemas.openxmlformats.org/officeDocument/2006/relationships" ref="Q91" r:id="rId105"/>
    <hyperlink xmlns:r="http://schemas.openxmlformats.org/officeDocument/2006/relationships" ref="Q92" r:id="rId106"/>
    <hyperlink xmlns:r="http://schemas.openxmlformats.org/officeDocument/2006/relationships" ref="Q93" r:id="rId107"/>
    <hyperlink xmlns:r="http://schemas.openxmlformats.org/officeDocument/2006/relationships" ref="Q94" r:id="rId108"/>
    <hyperlink xmlns:r="http://schemas.openxmlformats.org/officeDocument/2006/relationships" ref="E95" r:id="rId109"/>
    <hyperlink xmlns:r="http://schemas.openxmlformats.org/officeDocument/2006/relationships" ref="Q95" r:id="rId110"/>
    <hyperlink xmlns:r="http://schemas.openxmlformats.org/officeDocument/2006/relationships" ref="Q96" r:id="rId111"/>
    <hyperlink xmlns:r="http://schemas.openxmlformats.org/officeDocument/2006/relationships" ref="E97" r:id="rId112"/>
    <hyperlink xmlns:r="http://schemas.openxmlformats.org/officeDocument/2006/relationships" ref="Q97" r:id="rId113"/>
    <hyperlink xmlns:r="http://schemas.openxmlformats.org/officeDocument/2006/relationships" ref="Q98" location="/" r:id="rId114"/>
    <hyperlink xmlns:r="http://schemas.openxmlformats.org/officeDocument/2006/relationships" ref="Q99" location="/home/login" r:id="rId115"/>
    <hyperlink xmlns:r="http://schemas.openxmlformats.org/officeDocument/2006/relationships" ref="Q100" r:id="rId116"/>
    <hyperlink xmlns:r="http://schemas.openxmlformats.org/officeDocument/2006/relationships" ref="Q101" r:id="rId117"/>
    <hyperlink xmlns:r="http://schemas.openxmlformats.org/officeDocument/2006/relationships" ref="E102" r:id="rId118"/>
    <hyperlink xmlns:r="http://schemas.openxmlformats.org/officeDocument/2006/relationships" ref="Q102" r:id="rId119"/>
    <hyperlink xmlns:r="http://schemas.openxmlformats.org/officeDocument/2006/relationships" ref="E103" r:id="rId120"/>
    <hyperlink xmlns:r="http://schemas.openxmlformats.org/officeDocument/2006/relationships" ref="Q103" r:id="rId121"/>
    <hyperlink xmlns:r="http://schemas.openxmlformats.org/officeDocument/2006/relationships" ref="E104" r:id="rId122"/>
    <hyperlink xmlns:r="http://schemas.openxmlformats.org/officeDocument/2006/relationships" ref="Q104" r:id="rId123"/>
    <hyperlink xmlns:r="http://schemas.openxmlformats.org/officeDocument/2006/relationships" ref="F105" r:id="rId124"/>
    <hyperlink xmlns:r="http://schemas.openxmlformats.org/officeDocument/2006/relationships" ref="Q106" r:id="rId125"/>
    <hyperlink xmlns:r="http://schemas.openxmlformats.org/officeDocument/2006/relationships" ref="Q107" r:id="rId126"/>
    <hyperlink xmlns:r="http://schemas.openxmlformats.org/officeDocument/2006/relationships" ref="Q108" r:id="rId127"/>
    <hyperlink xmlns:r="http://schemas.openxmlformats.org/officeDocument/2006/relationships" ref="Q109" r:id="rId128"/>
    <hyperlink xmlns:r="http://schemas.openxmlformats.org/officeDocument/2006/relationships" ref="Q110" r:id="rId129"/>
    <hyperlink xmlns:r="http://schemas.openxmlformats.org/officeDocument/2006/relationships" ref="Q111" r:id="rId130"/>
    <hyperlink xmlns:r="http://schemas.openxmlformats.org/officeDocument/2006/relationships" ref="Q112" r:id="rId131"/>
    <hyperlink xmlns:r="http://schemas.openxmlformats.org/officeDocument/2006/relationships" ref="Q113" r:id="rId132"/>
    <hyperlink xmlns:r="http://schemas.openxmlformats.org/officeDocument/2006/relationships" ref="Q115" r:id="rId133"/>
    <hyperlink xmlns:r="http://schemas.openxmlformats.org/officeDocument/2006/relationships" ref="E116" r:id="rId134"/>
    <hyperlink xmlns:r="http://schemas.openxmlformats.org/officeDocument/2006/relationships" ref="E117" r:id="rId135"/>
    <hyperlink xmlns:r="http://schemas.openxmlformats.org/officeDocument/2006/relationships" ref="Q117" r:id="rId136"/>
    <hyperlink xmlns:r="http://schemas.openxmlformats.org/officeDocument/2006/relationships" ref="E118" r:id="rId137"/>
    <hyperlink xmlns:r="http://schemas.openxmlformats.org/officeDocument/2006/relationships" ref="Q118" r:id="rId138"/>
    <hyperlink xmlns:r="http://schemas.openxmlformats.org/officeDocument/2006/relationships" ref="E119" r:id="rId139"/>
    <hyperlink xmlns:r="http://schemas.openxmlformats.org/officeDocument/2006/relationships" ref="Q119" r:id="rId140"/>
    <hyperlink xmlns:r="http://schemas.openxmlformats.org/officeDocument/2006/relationships" ref="E120" r:id="rId141"/>
    <hyperlink xmlns:r="http://schemas.openxmlformats.org/officeDocument/2006/relationships" ref="M120" r:id="rId142"/>
    <hyperlink xmlns:r="http://schemas.openxmlformats.org/officeDocument/2006/relationships" ref="Q120" r:id="rId143"/>
    <hyperlink xmlns:r="http://schemas.openxmlformats.org/officeDocument/2006/relationships" ref="Q121" r:id="rId144"/>
    <hyperlink xmlns:r="http://schemas.openxmlformats.org/officeDocument/2006/relationships" ref="Q122" r:id="rId145"/>
    <hyperlink xmlns:r="http://schemas.openxmlformats.org/officeDocument/2006/relationships" ref="E123" r:id="rId146"/>
    <hyperlink xmlns:r="http://schemas.openxmlformats.org/officeDocument/2006/relationships" ref="Q123" r:id="rId147"/>
    <hyperlink xmlns:r="http://schemas.openxmlformats.org/officeDocument/2006/relationships" ref="E124" r:id="rId148"/>
    <hyperlink xmlns:r="http://schemas.openxmlformats.org/officeDocument/2006/relationships" ref="Q124" r:id="rId149"/>
    <hyperlink xmlns:r="http://schemas.openxmlformats.org/officeDocument/2006/relationships" ref="E125" r:id="rId150"/>
    <hyperlink xmlns:r="http://schemas.openxmlformats.org/officeDocument/2006/relationships" ref="Q125" r:id="rId151"/>
    <hyperlink xmlns:r="http://schemas.openxmlformats.org/officeDocument/2006/relationships" ref="Q126" r:id="rId152"/>
    <hyperlink xmlns:r="http://schemas.openxmlformats.org/officeDocument/2006/relationships" ref="E127" r:id="rId153"/>
    <hyperlink xmlns:r="http://schemas.openxmlformats.org/officeDocument/2006/relationships" ref="Q127" r:id="rId154"/>
    <hyperlink xmlns:r="http://schemas.openxmlformats.org/officeDocument/2006/relationships" ref="E128" r:id="rId155"/>
    <hyperlink xmlns:r="http://schemas.openxmlformats.org/officeDocument/2006/relationships" ref="Q128" r:id="rId156"/>
    <hyperlink xmlns:r="http://schemas.openxmlformats.org/officeDocument/2006/relationships" ref="E129" r:id="rId157"/>
    <hyperlink xmlns:r="http://schemas.openxmlformats.org/officeDocument/2006/relationships" ref="Q129" r:id="rId158"/>
    <hyperlink xmlns:r="http://schemas.openxmlformats.org/officeDocument/2006/relationships" ref="E130" r:id="rId159"/>
    <hyperlink xmlns:r="http://schemas.openxmlformats.org/officeDocument/2006/relationships" ref="Q130" r:id="rId160"/>
    <hyperlink xmlns:r="http://schemas.openxmlformats.org/officeDocument/2006/relationships" ref="E131" r:id="rId161"/>
    <hyperlink xmlns:r="http://schemas.openxmlformats.org/officeDocument/2006/relationships" ref="Q131" r:id="rId162"/>
    <hyperlink xmlns:r="http://schemas.openxmlformats.org/officeDocument/2006/relationships" ref="E132" r:id="rId163"/>
    <hyperlink xmlns:r="http://schemas.openxmlformats.org/officeDocument/2006/relationships" ref="Q132" r:id="rId164"/>
    <hyperlink xmlns:r="http://schemas.openxmlformats.org/officeDocument/2006/relationships" ref="Q133" r:id="rId165"/>
    <hyperlink xmlns:r="http://schemas.openxmlformats.org/officeDocument/2006/relationships" ref="Q134" r:id="rId166"/>
    <hyperlink xmlns:r="http://schemas.openxmlformats.org/officeDocument/2006/relationships" ref="AB134" r:id="rId167"/>
    <hyperlink xmlns:r="http://schemas.openxmlformats.org/officeDocument/2006/relationships" ref="Q135" r:id="rId168"/>
    <hyperlink xmlns:r="http://schemas.openxmlformats.org/officeDocument/2006/relationships" ref="Q136" r:id="rId169"/>
    <hyperlink xmlns:r="http://schemas.openxmlformats.org/officeDocument/2006/relationships" ref="AB136" r:id="rId170"/>
    <hyperlink xmlns:r="http://schemas.openxmlformats.org/officeDocument/2006/relationships" ref="E137" r:id="rId171"/>
    <hyperlink xmlns:r="http://schemas.openxmlformats.org/officeDocument/2006/relationships" ref="Q137" r:id="rId172"/>
    <hyperlink xmlns:r="http://schemas.openxmlformats.org/officeDocument/2006/relationships" ref="AB137" r:id="rId173"/>
    <hyperlink xmlns:r="http://schemas.openxmlformats.org/officeDocument/2006/relationships" ref="E138" r:id="rId174"/>
    <hyperlink xmlns:r="http://schemas.openxmlformats.org/officeDocument/2006/relationships" ref="Q138" r:id="rId175"/>
    <hyperlink xmlns:r="http://schemas.openxmlformats.org/officeDocument/2006/relationships" ref="Q139" r:id="rId176"/>
    <hyperlink xmlns:r="http://schemas.openxmlformats.org/officeDocument/2006/relationships" ref="Q140" r:id="rId177"/>
    <hyperlink xmlns:r="http://schemas.openxmlformats.org/officeDocument/2006/relationships" ref="Q141" r:id="rId178"/>
    <hyperlink xmlns:r="http://schemas.openxmlformats.org/officeDocument/2006/relationships" ref="E142" r:id="rId179"/>
    <hyperlink xmlns:r="http://schemas.openxmlformats.org/officeDocument/2006/relationships" ref="Q142" r:id="rId180"/>
    <hyperlink xmlns:r="http://schemas.openxmlformats.org/officeDocument/2006/relationships" ref="E143" r:id="rId181"/>
    <hyperlink xmlns:r="http://schemas.openxmlformats.org/officeDocument/2006/relationships" ref="Q143" r:id="rId182"/>
    <hyperlink xmlns:r="http://schemas.openxmlformats.org/officeDocument/2006/relationships" ref="E144" r:id="rId183"/>
    <hyperlink xmlns:r="http://schemas.openxmlformats.org/officeDocument/2006/relationships" ref="Q144" r:id="rId184"/>
    <hyperlink xmlns:r="http://schemas.openxmlformats.org/officeDocument/2006/relationships" ref="E145" r:id="rId185"/>
    <hyperlink xmlns:r="http://schemas.openxmlformats.org/officeDocument/2006/relationships" ref="Q145" r:id="rId186"/>
    <hyperlink xmlns:r="http://schemas.openxmlformats.org/officeDocument/2006/relationships" ref="Q146" r:id="rId187"/>
    <hyperlink xmlns:r="http://schemas.openxmlformats.org/officeDocument/2006/relationships" ref="E147" r:id="rId188"/>
    <hyperlink xmlns:r="http://schemas.openxmlformats.org/officeDocument/2006/relationships" ref="Q147" r:id="rId189"/>
    <hyperlink xmlns:r="http://schemas.openxmlformats.org/officeDocument/2006/relationships" ref="AD147" r:id="rId190"/>
    <hyperlink xmlns:r="http://schemas.openxmlformats.org/officeDocument/2006/relationships" ref="Q148" r:id="rId191"/>
    <hyperlink xmlns:r="http://schemas.openxmlformats.org/officeDocument/2006/relationships" ref="E149" r:id="rId192"/>
    <hyperlink xmlns:r="http://schemas.openxmlformats.org/officeDocument/2006/relationships" ref="Q149" r:id="rId193"/>
    <hyperlink xmlns:r="http://schemas.openxmlformats.org/officeDocument/2006/relationships" ref="Q150" r:id="rId194"/>
    <hyperlink xmlns:r="http://schemas.openxmlformats.org/officeDocument/2006/relationships" ref="Q151" r:id="rId195"/>
    <hyperlink xmlns:r="http://schemas.openxmlformats.org/officeDocument/2006/relationships" ref="E152" r:id="rId196"/>
    <hyperlink xmlns:r="http://schemas.openxmlformats.org/officeDocument/2006/relationships" ref="Q152" location="pembukuan" r:id="rId197"/>
    <hyperlink xmlns:r="http://schemas.openxmlformats.org/officeDocument/2006/relationships" ref="E153" r:id="rId198"/>
    <hyperlink xmlns:r="http://schemas.openxmlformats.org/officeDocument/2006/relationships" ref="Q153" r:id="rId199"/>
    <hyperlink xmlns:r="http://schemas.openxmlformats.org/officeDocument/2006/relationships" ref="E154" r:id="rId200"/>
    <hyperlink xmlns:r="http://schemas.openxmlformats.org/officeDocument/2006/relationships" ref="Q154" r:id="rId201"/>
    <hyperlink xmlns:r="http://schemas.openxmlformats.org/officeDocument/2006/relationships" ref="Q155" r:id="rId202"/>
    <hyperlink xmlns:r="http://schemas.openxmlformats.org/officeDocument/2006/relationships" ref="Q156" r:id="rId203"/>
    <hyperlink xmlns:r="http://schemas.openxmlformats.org/officeDocument/2006/relationships" ref="E157" r:id="rId204"/>
    <hyperlink xmlns:r="http://schemas.openxmlformats.org/officeDocument/2006/relationships" ref="Q157" r:id="rId205"/>
    <hyperlink xmlns:r="http://schemas.openxmlformats.org/officeDocument/2006/relationships" ref="E158" r:id="rId206"/>
    <hyperlink xmlns:r="http://schemas.openxmlformats.org/officeDocument/2006/relationships" ref="E159" r:id="rId207"/>
    <hyperlink xmlns:r="http://schemas.openxmlformats.org/officeDocument/2006/relationships" ref="Q159" r:id="rId208"/>
    <hyperlink xmlns:r="http://schemas.openxmlformats.org/officeDocument/2006/relationships" ref="E160" r:id="rId209"/>
    <hyperlink xmlns:r="http://schemas.openxmlformats.org/officeDocument/2006/relationships" ref="Q160" r:id="rId210"/>
    <hyperlink xmlns:r="http://schemas.openxmlformats.org/officeDocument/2006/relationships" ref="Q161" r:id="rId211"/>
    <hyperlink xmlns:r="http://schemas.openxmlformats.org/officeDocument/2006/relationships" ref="E162" r:id="rId212"/>
    <hyperlink xmlns:r="http://schemas.openxmlformats.org/officeDocument/2006/relationships" ref="Q162" r:id="rId213"/>
    <hyperlink xmlns:r="http://schemas.openxmlformats.org/officeDocument/2006/relationships" ref="AD162" r:id="rId214"/>
    <hyperlink xmlns:r="http://schemas.openxmlformats.org/officeDocument/2006/relationships" ref="E163" r:id="rId215"/>
    <hyperlink xmlns:r="http://schemas.openxmlformats.org/officeDocument/2006/relationships" ref="Q163" r:id="rId216"/>
    <hyperlink xmlns:r="http://schemas.openxmlformats.org/officeDocument/2006/relationships" ref="E164" r:id="rId217"/>
    <hyperlink xmlns:r="http://schemas.openxmlformats.org/officeDocument/2006/relationships" ref="Q164" r:id="rId218"/>
    <hyperlink xmlns:r="http://schemas.openxmlformats.org/officeDocument/2006/relationships" ref="E165" r:id="rId219"/>
    <hyperlink xmlns:r="http://schemas.openxmlformats.org/officeDocument/2006/relationships" ref="Q165" r:id="rId220"/>
    <hyperlink xmlns:r="http://schemas.openxmlformats.org/officeDocument/2006/relationships" ref="E166" r:id="rId221"/>
    <hyperlink xmlns:r="http://schemas.openxmlformats.org/officeDocument/2006/relationships" ref="E167" r:id="rId222"/>
    <hyperlink xmlns:r="http://schemas.openxmlformats.org/officeDocument/2006/relationships" ref="Q167" r:id="rId223"/>
    <hyperlink xmlns:r="http://schemas.openxmlformats.org/officeDocument/2006/relationships" ref="Q168" r:id="rId224"/>
    <hyperlink xmlns:r="http://schemas.openxmlformats.org/officeDocument/2006/relationships" ref="Q169" r:id="rId225"/>
    <hyperlink xmlns:r="http://schemas.openxmlformats.org/officeDocument/2006/relationships" ref="Q170" r:id="rId226"/>
    <hyperlink xmlns:r="http://schemas.openxmlformats.org/officeDocument/2006/relationships" ref="AB170" r:id="rId227"/>
    <hyperlink xmlns:r="http://schemas.openxmlformats.org/officeDocument/2006/relationships" ref="Q171" r:id="rId228"/>
    <hyperlink xmlns:r="http://schemas.openxmlformats.org/officeDocument/2006/relationships" ref="Q173" r:id="rId229"/>
    <hyperlink xmlns:r="http://schemas.openxmlformats.org/officeDocument/2006/relationships" ref="Q174" r:id="rId230"/>
    <hyperlink xmlns:r="http://schemas.openxmlformats.org/officeDocument/2006/relationships" ref="Q175" r:id="rId231"/>
    <hyperlink xmlns:r="http://schemas.openxmlformats.org/officeDocument/2006/relationships" ref="Q176" r:id="rId232"/>
    <hyperlink xmlns:r="http://schemas.openxmlformats.org/officeDocument/2006/relationships" ref="Q177" r:id="rId233"/>
    <hyperlink xmlns:r="http://schemas.openxmlformats.org/officeDocument/2006/relationships" ref="Q178" r:id="rId234"/>
    <hyperlink xmlns:r="http://schemas.openxmlformats.org/officeDocument/2006/relationships" ref="AB178" r:id="rId235"/>
    <hyperlink xmlns:r="http://schemas.openxmlformats.org/officeDocument/2006/relationships" ref="Q179" r:id="rId236"/>
    <hyperlink xmlns:r="http://schemas.openxmlformats.org/officeDocument/2006/relationships" ref="E180" r:id="rId237"/>
    <hyperlink xmlns:r="http://schemas.openxmlformats.org/officeDocument/2006/relationships" ref="Q182" r:id="rId238"/>
    <hyperlink xmlns:r="http://schemas.openxmlformats.org/officeDocument/2006/relationships" ref="E183" r:id="rId239"/>
    <hyperlink xmlns:r="http://schemas.openxmlformats.org/officeDocument/2006/relationships" ref="Q184" r:id="rId240"/>
    <hyperlink xmlns:r="http://schemas.openxmlformats.org/officeDocument/2006/relationships" ref="Q185" r:id="rId241"/>
    <hyperlink xmlns:r="http://schemas.openxmlformats.org/officeDocument/2006/relationships" ref="Q189" r:id="rId242"/>
    <hyperlink xmlns:r="http://schemas.openxmlformats.org/officeDocument/2006/relationships" ref="W189" r:id="rId243"/>
    <hyperlink xmlns:r="http://schemas.openxmlformats.org/officeDocument/2006/relationships" ref="AB189" r:id="rId244"/>
    <hyperlink xmlns:r="http://schemas.openxmlformats.org/officeDocument/2006/relationships" ref="E191" r:id="rId245"/>
    <hyperlink xmlns:r="http://schemas.openxmlformats.org/officeDocument/2006/relationships" ref="Q192" r:id="rId246"/>
    <hyperlink xmlns:r="http://schemas.openxmlformats.org/officeDocument/2006/relationships" ref="Q193" r:id="rId247"/>
    <hyperlink xmlns:r="http://schemas.openxmlformats.org/officeDocument/2006/relationships" ref="E195" r:id="rId248"/>
    <hyperlink xmlns:r="http://schemas.openxmlformats.org/officeDocument/2006/relationships" ref="Q195" r:id="rId249"/>
    <hyperlink xmlns:r="http://schemas.openxmlformats.org/officeDocument/2006/relationships" ref="Q196" r:id="rId250"/>
    <hyperlink xmlns:r="http://schemas.openxmlformats.org/officeDocument/2006/relationships" ref="D197" r:id="rId251"/>
    <hyperlink xmlns:r="http://schemas.openxmlformats.org/officeDocument/2006/relationships" ref="E197" r:id="rId252"/>
    <hyperlink xmlns:r="http://schemas.openxmlformats.org/officeDocument/2006/relationships" ref="Q197" r:id="rId253"/>
    <hyperlink xmlns:r="http://schemas.openxmlformats.org/officeDocument/2006/relationships" ref="Q198" r:id="rId254"/>
    <hyperlink xmlns:r="http://schemas.openxmlformats.org/officeDocument/2006/relationships" ref="Q199" r:id="rId255"/>
    <hyperlink xmlns:r="http://schemas.openxmlformats.org/officeDocument/2006/relationships" ref="Q200" r:id="rId256"/>
    <hyperlink xmlns:r="http://schemas.openxmlformats.org/officeDocument/2006/relationships" ref="AB201" r:id="rId257"/>
    <hyperlink xmlns:r="http://schemas.openxmlformats.org/officeDocument/2006/relationships" ref="Q202" r:id="rId258"/>
    <hyperlink xmlns:r="http://schemas.openxmlformats.org/officeDocument/2006/relationships" ref="Q203" r:id="rId259"/>
    <hyperlink xmlns:r="http://schemas.openxmlformats.org/officeDocument/2006/relationships" ref="D204" r:id="rId260"/>
    <hyperlink xmlns:r="http://schemas.openxmlformats.org/officeDocument/2006/relationships" ref="E204" r:id="rId261"/>
    <hyperlink xmlns:r="http://schemas.openxmlformats.org/officeDocument/2006/relationships" ref="Q204" r:id="rId262"/>
  </hyperlinks>
  <pageMargins left="0.75" right="0.75" top="1" bottom="1" header="0.5" footer="0.5"/>
</worksheet>
</file>

<file path=xl/worksheets/sheet6.xml><?xml version="1.0" encoding="utf-8"?>
<worksheet xmlns="http://schemas.openxmlformats.org/spreadsheetml/2006/main">
  <sheetPr>
    <tabColor rgb="FFEA9999"/>
    <outlinePr summaryBelow="0" summaryRight="0"/>
    <pageSetUpPr/>
  </sheetPr>
  <dimension ref="A1:J208"/>
  <sheetViews>
    <sheetView workbookViewId="0">
      <selection activeCell="A1" sqref="A1"/>
    </sheetView>
  </sheetViews>
  <sheetFormatPr baseColWidth="8" defaultColWidth="12.63" defaultRowHeight="15.75" customHeight="1"/>
  <cols>
    <col width="5.88" customWidth="1" style="346" min="1" max="1"/>
    <col width="50" customWidth="1" style="346" min="2" max="2"/>
    <col width="20.63" customWidth="1" style="346" min="3" max="3"/>
    <col width="22.25" customWidth="1" style="346" min="4" max="4"/>
    <col width="14.25" customWidth="1" style="346" min="5" max="5"/>
    <col width="40" customWidth="1" style="346" min="8" max="8"/>
    <col width="15.88" customWidth="1" style="346" min="9" max="9"/>
    <col width="15.5" customWidth="1" style="346" min="10" max="10"/>
  </cols>
  <sheetData>
    <row r="1">
      <c r="A1" s="293" t="inlineStr">
        <is>
          <t>DAFTAR APLIKASI</t>
        </is>
      </c>
      <c r="D1" s="293" t="n"/>
    </row>
    <row r="2">
      <c r="A2" s="294" t="inlineStr">
        <is>
          <t>No</t>
        </is>
      </c>
      <c r="B2" s="296" t="inlineStr">
        <is>
          <t>Aplikasi</t>
        </is>
      </c>
      <c r="C2" s="296" t="inlineStr">
        <is>
          <t>Status</t>
        </is>
      </c>
      <c r="D2" s="296" t="inlineStr">
        <is>
          <t>Pemilik</t>
        </is>
      </c>
      <c r="E2" s="296" t="inlineStr">
        <is>
          <t>Pengembang</t>
        </is>
      </c>
      <c r="G2" s="297" t="inlineStr">
        <is>
          <t xml:space="preserve">Total: 202 aplikasi tercatat (inc. apk non aktif (7)) </t>
        </is>
      </c>
    </row>
    <row r="3">
      <c r="A3" s="307" t="n">
        <v>1</v>
      </c>
      <c r="B3" s="307">
        <f>Kertaskerja_Final!M:M</f>
        <v/>
      </c>
      <c r="C3" s="307">
        <f>Kertaskerja_Final!U:U</f>
        <v/>
      </c>
      <c r="D3" s="307">
        <f>Kertaskerja_Final!O:O</f>
        <v/>
      </c>
      <c r="E3" s="332">
        <f>Kertaskerja_Final!N:N</f>
        <v/>
      </c>
      <c r="G3" s="26" t="inlineStr">
        <is>
          <t>**216 aplikasi (inc. microsoft office, google form, dan form manual (14))</t>
        </is>
      </c>
    </row>
    <row r="4">
      <c r="A4" s="307" t="n">
        <v>2</v>
      </c>
      <c r="B4" s="307">
        <f>Kertaskerja_Final!M:M</f>
        <v/>
      </c>
      <c r="C4" s="307">
        <f>Kertaskerja_Final!U:U</f>
        <v/>
      </c>
      <c r="D4" s="307">
        <f>Kertaskerja_Final!O:O</f>
        <v/>
      </c>
      <c r="E4" s="332">
        <f>Kertaskerja_Final!N:N</f>
        <v/>
      </c>
    </row>
    <row r="5">
      <c r="A5" s="307" t="n">
        <v>3</v>
      </c>
      <c r="B5" s="307">
        <f>Kertaskerja_Final!M:M</f>
        <v/>
      </c>
      <c r="C5" s="307">
        <f>Kertaskerja_Final!U:U</f>
        <v/>
      </c>
      <c r="D5" s="307">
        <f>Kertaskerja_Final!O:O</f>
        <v/>
      </c>
      <c r="E5" s="332">
        <f>Kertaskerja_Final!N:N</f>
        <v/>
      </c>
      <c r="G5" s="293" t="inlineStr">
        <is>
          <t>REKAP (exc. form, ms office)</t>
        </is>
      </c>
      <c r="I5" s="26" t="inlineStr">
        <is>
          <t>(+ aplikasi non aktif)</t>
        </is>
      </c>
      <c r="J5" s="26" t="inlineStr">
        <is>
          <t>(- aplikasi non aktif)</t>
        </is>
      </c>
    </row>
    <row r="6">
      <c r="A6" s="307" t="n">
        <v>4</v>
      </c>
      <c r="B6" s="307">
        <f>Kertaskerja_Final!M:M</f>
        <v/>
      </c>
      <c r="C6" s="307">
        <f>Kertaskerja_Final!U:U</f>
        <v/>
      </c>
      <c r="D6" s="307">
        <f>Kertaskerja_Final!O:O</f>
        <v/>
      </c>
      <c r="E6" s="332">
        <f>Kertaskerja_Final!N:N</f>
        <v/>
      </c>
      <c r="H6" s="26" t="inlineStr">
        <is>
          <t>•⁠  Total aplikasi</t>
        </is>
      </c>
      <c r="I6" s="300" t="n">
        <v>202</v>
      </c>
      <c r="J6" s="300" t="n">
        <v>195</v>
      </c>
    </row>
    <row r="7">
      <c r="A7" s="307" t="n">
        <v>5</v>
      </c>
      <c r="B7" s="307">
        <f>Kertaskerja_Final!M:M</f>
        <v/>
      </c>
      <c r="C7" s="307">
        <f>Kertaskerja_Final!U:U</f>
        <v/>
      </c>
      <c r="D7" s="307">
        <f>Kertaskerja_Final!O:O</f>
        <v/>
      </c>
      <c r="E7" s="332">
        <f>Kertaskerja_Final!N:N</f>
        <v/>
      </c>
      <c r="H7" s="26" t="inlineStr">
        <is>
          <t>•⁠  Pusat</t>
        </is>
      </c>
      <c r="I7" s="301" t="n">
        <v>72</v>
      </c>
      <c r="J7" s="301" t="n">
        <v>70</v>
      </c>
    </row>
    <row r="8">
      <c r="A8" s="307" t="n">
        <v>6</v>
      </c>
      <c r="B8" s="307">
        <f>Kertaskerja_Final!M:M</f>
        <v/>
      </c>
      <c r="C8" s="307">
        <f>Kertaskerja_Final!U:U</f>
        <v/>
      </c>
      <c r="D8" s="307">
        <f>Kertaskerja_Final!O:O</f>
        <v/>
      </c>
      <c r="E8" s="332">
        <f>Kertaskerja_Final!N:N</f>
        <v/>
      </c>
      <c r="H8" s="26" t="inlineStr">
        <is>
          <t>•⁠  Provinsi</t>
        </is>
      </c>
      <c r="I8" s="301" t="n">
        <v>6</v>
      </c>
      <c r="J8" s="301" t="n">
        <v>6</v>
      </c>
    </row>
    <row r="9">
      <c r="A9" s="307" t="n">
        <v>7</v>
      </c>
      <c r="B9" s="307">
        <f>Kertaskerja_Final!M:M</f>
        <v/>
      </c>
      <c r="C9" s="307">
        <f>Kertaskerja_Final!U:U</f>
        <v/>
      </c>
      <c r="D9" s="307">
        <f>Kertaskerja_Final!O:O</f>
        <v/>
      </c>
      <c r="E9" s="332">
        <f>Kertaskerja_Final!N:N</f>
        <v/>
      </c>
      <c r="H9" s="302" t="inlineStr">
        <is>
          <t>•⁠  Kab. Bandung</t>
        </is>
      </c>
      <c r="I9" s="303" t="n">
        <v>103</v>
      </c>
      <c r="J9" s="303" t="n">
        <v>98</v>
      </c>
    </row>
    <row r="10">
      <c r="A10" s="307" t="n">
        <v>8</v>
      </c>
      <c r="B10" s="307">
        <f>Kertaskerja_Final!M:M</f>
        <v/>
      </c>
      <c r="C10" s="307">
        <f>Kertaskerja_Final!U:U</f>
        <v/>
      </c>
      <c r="D10" s="307">
        <f>Kertaskerja_Final!O:O</f>
        <v/>
      </c>
      <c r="E10" s="332">
        <f>Kertaskerja_Final!N:N</f>
        <v/>
      </c>
      <c r="H10" s="26" t="inlineStr">
        <is>
          <t>• ⁠ Pihak Ketiga</t>
        </is>
      </c>
      <c r="I10" s="26" t="n">
        <v>12</v>
      </c>
      <c r="J10" s="26" t="n">
        <v>12</v>
      </c>
    </row>
    <row r="11">
      <c r="A11" s="307" t="n">
        <v>9</v>
      </c>
      <c r="B11" s="307">
        <f>Kertaskerja_Final!M:M</f>
        <v/>
      </c>
      <c r="C11" s="307">
        <f>Kertaskerja_Final!U:U</f>
        <v/>
      </c>
      <c r="D11" s="307">
        <f>Kertaskerja_Final!O:O</f>
        <v/>
      </c>
      <c r="E11" s="332">
        <f>Kertaskerja_Final!N:N</f>
        <v/>
      </c>
      <c r="H11" s="26" t="inlineStr">
        <is>
          <t>•⁠  Tidak ada keterangan</t>
        </is>
      </c>
      <c r="I11" s="26" t="n">
        <v>9</v>
      </c>
      <c r="J11" s="26" t="n">
        <v>9</v>
      </c>
    </row>
    <row r="12">
      <c r="A12" s="307" t="n">
        <v>10</v>
      </c>
      <c r="B12" s="307">
        <f>Kertaskerja_Final!M:M</f>
        <v/>
      </c>
      <c r="C12" s="307">
        <f>Kertaskerja_Final!U:U</f>
        <v/>
      </c>
      <c r="D12" s="307">
        <f>Kertaskerja_Final!O:O</f>
        <v/>
      </c>
      <c r="E12" s="332">
        <f>Kertaskerja_Final!N:N</f>
        <v/>
      </c>
    </row>
    <row r="13">
      <c r="A13" s="307" t="n">
        <v>11</v>
      </c>
      <c r="B13" s="307">
        <f>Kertaskerja_Final!M:M</f>
        <v/>
      </c>
      <c r="C13" s="307">
        <f>Kertaskerja_Final!U:U</f>
        <v/>
      </c>
      <c r="D13" s="307">
        <f>Kertaskerja_Final!O:O</f>
        <v/>
      </c>
      <c r="E13" s="332">
        <f>Kertaskerja_Final!N:N</f>
        <v/>
      </c>
      <c r="G13" s="293" t="inlineStr">
        <is>
          <t>Rekap dari aplikasi kab.bandung</t>
        </is>
      </c>
    </row>
    <row r="14">
      <c r="A14" s="307" t="n">
        <v>12</v>
      </c>
      <c r="B14" s="307">
        <f>Kertaskerja_Final!M:M</f>
        <v/>
      </c>
      <c r="C14" s="307">
        <f>Kertaskerja_Final!U:U</f>
        <v/>
      </c>
      <c r="D14" s="307">
        <f>Kertaskerja_Final!O:O</f>
        <v/>
      </c>
      <c r="E14" s="332">
        <f>Kertaskerja_Final!N:N</f>
        <v/>
      </c>
      <c r="H14" s="26" t="inlineStr">
        <is>
          <t>•⁠  ⁠dikembangkan diskominfo :</t>
        </is>
      </c>
      <c r="I14" s="26" t="n">
        <v>40</v>
      </c>
      <c r="J14" s="26" t="n">
        <v>37</v>
      </c>
    </row>
    <row r="15">
      <c r="A15" s="307" t="n">
        <v>13</v>
      </c>
      <c r="B15" s="307">
        <f>Kertaskerja_Final!M:M</f>
        <v/>
      </c>
      <c r="C15" s="307">
        <f>Kertaskerja_Final!U:U</f>
        <v/>
      </c>
      <c r="D15" s="307">
        <f>Kertaskerja_Final!O:O</f>
        <v/>
      </c>
      <c r="E15" s="332">
        <f>Kertaskerja_Final!N:N</f>
        <v/>
      </c>
      <c r="H15" s="26" t="inlineStr">
        <is>
          <t>•⁠  ⁠dikembangkan opd :</t>
        </is>
      </c>
      <c r="I15" s="26" t="n">
        <v>32</v>
      </c>
      <c r="J15" s="26" t="n">
        <v>31</v>
      </c>
    </row>
    <row r="16">
      <c r="A16" s="307" t="n">
        <v>14</v>
      </c>
      <c r="B16" s="307">
        <f>Kertaskerja_Final!M:M</f>
        <v/>
      </c>
      <c r="C16" s="307">
        <f>Kertaskerja_Final!U:U</f>
        <v/>
      </c>
      <c r="D16" s="307">
        <f>Kertaskerja_Final!O:O</f>
        <v/>
      </c>
      <c r="E16" s="332">
        <f>Kertaskerja_Final!N:N</f>
        <v/>
      </c>
      <c r="H16" s="26" t="inlineStr">
        <is>
          <t>•⁠  ⁠lisensi / pihak ke 3 :</t>
        </is>
      </c>
      <c r="I16" s="26" t="n">
        <v>31</v>
      </c>
      <c r="J16" s="26" t="n">
        <v>30</v>
      </c>
    </row>
    <row r="17">
      <c r="A17" s="307" t="n">
        <v>15</v>
      </c>
      <c r="B17" s="307">
        <f>Kertaskerja_Final!M:M</f>
        <v/>
      </c>
      <c r="C17" s="307">
        <f>Kertaskerja_Final!U:U</f>
        <v/>
      </c>
      <c r="D17" s="307">
        <f>Kertaskerja_Final!O:O</f>
        <v/>
      </c>
      <c r="E17" s="332">
        <f>Kertaskerja_Final!N:N</f>
        <v/>
      </c>
    </row>
    <row r="18">
      <c r="A18" s="307" t="n">
        <v>16</v>
      </c>
      <c r="B18" s="307">
        <f>Kertaskerja_Final!M:M</f>
        <v/>
      </c>
      <c r="C18" s="307">
        <f>Kertaskerja_Final!U:U</f>
        <v/>
      </c>
      <c r="D18" s="307">
        <f>Kertaskerja_Final!O:O</f>
        <v/>
      </c>
      <c r="E18" s="332">
        <f>Kertaskerja_Final!N:N</f>
        <v/>
      </c>
    </row>
    <row r="19">
      <c r="A19" s="307" t="n">
        <v>17</v>
      </c>
      <c r="B19" s="307">
        <f>Kertaskerja_Final!M:M</f>
        <v/>
      </c>
      <c r="C19" s="307">
        <f>Kertaskerja_Final!U:U</f>
        <v/>
      </c>
      <c r="D19" s="307">
        <f>Kertaskerja_Final!O:O</f>
        <v/>
      </c>
      <c r="E19" s="332">
        <f>Kertaskerja_Final!N:N</f>
        <v/>
      </c>
    </row>
    <row r="20">
      <c r="A20" s="307" t="n">
        <v>18</v>
      </c>
      <c r="B20" s="307">
        <f>Kertaskerja_Final!M:M</f>
        <v/>
      </c>
      <c r="C20" s="307">
        <f>Kertaskerja_Final!U:U</f>
        <v/>
      </c>
      <c r="D20" s="307">
        <f>Kertaskerja_Final!O:O</f>
        <v/>
      </c>
      <c r="E20" s="332">
        <f>Kertaskerja_Final!N:N</f>
        <v/>
      </c>
    </row>
    <row r="21">
      <c r="A21" s="307" t="n">
        <v>19</v>
      </c>
      <c r="B21" s="307">
        <f>Kertaskerja_Final!M:M</f>
        <v/>
      </c>
      <c r="C21" s="307">
        <f>Kertaskerja_Final!U:U</f>
        <v/>
      </c>
      <c r="D21" s="307">
        <f>Kertaskerja_Final!O:O</f>
        <v/>
      </c>
      <c r="E21" s="332">
        <f>Kertaskerja_Final!N:N</f>
        <v/>
      </c>
    </row>
    <row r="22">
      <c r="A22" s="307" t="n">
        <v>20</v>
      </c>
      <c r="B22" s="307">
        <f>Kertaskerja_Final!M:M</f>
        <v/>
      </c>
      <c r="C22" s="307">
        <f>Kertaskerja_Final!U:U</f>
        <v/>
      </c>
      <c r="D22" s="307">
        <f>Kertaskerja_Final!O:O</f>
        <v/>
      </c>
      <c r="E22" s="332">
        <f>Kertaskerja_Final!N:N</f>
        <v/>
      </c>
    </row>
    <row r="23">
      <c r="A23" s="307" t="n">
        <v>21</v>
      </c>
      <c r="B23" s="307">
        <f>Kertaskerja_Final!M:M</f>
        <v/>
      </c>
      <c r="C23" s="307">
        <f>Kertaskerja_Final!U:U</f>
        <v/>
      </c>
      <c r="D23" s="307">
        <f>Kertaskerja_Final!O:O</f>
        <v/>
      </c>
      <c r="E23" s="332">
        <f>Kertaskerja_Final!N:N</f>
        <v/>
      </c>
    </row>
    <row r="24">
      <c r="A24" s="307" t="n">
        <v>22</v>
      </c>
      <c r="B24" s="307">
        <f>Kertaskerja_Final!M:M</f>
        <v/>
      </c>
      <c r="C24" s="307">
        <f>Kertaskerja_Final!U:U</f>
        <v/>
      </c>
      <c r="D24" s="307">
        <f>Kertaskerja_Final!O:O</f>
        <v/>
      </c>
      <c r="E24" s="332">
        <f>Kertaskerja_Final!N:N</f>
        <v/>
      </c>
    </row>
    <row r="25">
      <c r="A25" s="307" t="n">
        <v>23</v>
      </c>
      <c r="B25" s="307">
        <f>Kertaskerja_Final!M:M</f>
        <v/>
      </c>
      <c r="C25" s="307">
        <f>Kertaskerja_Final!U:U</f>
        <v/>
      </c>
      <c r="D25" s="307">
        <f>Kertaskerja_Final!O:O</f>
        <v/>
      </c>
      <c r="E25" s="332">
        <f>Kertaskerja_Final!N:N</f>
        <v/>
      </c>
    </row>
    <row r="26">
      <c r="A26" s="307" t="n">
        <v>24</v>
      </c>
      <c r="B26" s="304">
        <f>Kertaskerja_Final!M:M</f>
        <v/>
      </c>
      <c r="C26" s="304">
        <f>Kertaskerja_Final!U:U</f>
        <v/>
      </c>
      <c r="D26" s="304">
        <f>Kertaskerja_Final!O:O</f>
        <v/>
      </c>
      <c r="E26" s="305">
        <f>Kertaskerja_Final!N:N</f>
        <v/>
      </c>
    </row>
    <row r="27">
      <c r="A27" s="307" t="n">
        <v>25</v>
      </c>
      <c r="B27" s="307">
        <f>Kertaskerja_Final!M:M</f>
        <v/>
      </c>
      <c r="C27" s="307">
        <f>Kertaskerja_Final!U:U</f>
        <v/>
      </c>
      <c r="D27" s="307">
        <f>Kertaskerja_Final!O:O</f>
        <v/>
      </c>
      <c r="E27" s="332">
        <f>Kertaskerja_Final!N:N</f>
        <v/>
      </c>
    </row>
    <row r="28">
      <c r="A28" s="307" t="n">
        <v>26</v>
      </c>
      <c r="B28" s="307">
        <f>Kertaskerja_Final!M:M</f>
        <v/>
      </c>
      <c r="C28" s="307">
        <f>Kertaskerja_Final!U:U</f>
        <v/>
      </c>
      <c r="D28" s="307">
        <f>Kertaskerja_Final!O:O</f>
        <v/>
      </c>
      <c r="E28" s="332">
        <f>Kertaskerja_Final!N:N</f>
        <v/>
      </c>
    </row>
    <row r="29">
      <c r="A29" s="307" t="n">
        <v>27</v>
      </c>
      <c r="B29" s="307">
        <f>Kertaskerja_Final!M:M</f>
        <v/>
      </c>
      <c r="C29" s="307">
        <f>Kertaskerja_Final!U:U</f>
        <v/>
      </c>
      <c r="D29" s="307">
        <f>Kertaskerja_Final!O:O</f>
        <v/>
      </c>
      <c r="E29" s="332">
        <f>Kertaskerja_Final!N:N</f>
        <v/>
      </c>
    </row>
    <row r="30">
      <c r="A30" s="307" t="n">
        <v>28</v>
      </c>
      <c r="B30" s="307">
        <f>Kertaskerja_Final!M:M</f>
        <v/>
      </c>
      <c r="C30" s="307">
        <f>Kertaskerja_Final!U:U</f>
        <v/>
      </c>
      <c r="D30" s="307">
        <f>Kertaskerja_Final!O:O</f>
        <v/>
      </c>
      <c r="E30" s="332">
        <f>Kertaskerja_Final!N:N</f>
        <v/>
      </c>
    </row>
    <row r="31">
      <c r="A31" s="307" t="n">
        <v>29</v>
      </c>
      <c r="B31" s="307">
        <f>Kertaskerja_Final!M:M</f>
        <v/>
      </c>
      <c r="C31" s="307">
        <f>Kertaskerja_Final!U:U</f>
        <v/>
      </c>
      <c r="D31" s="307">
        <f>Kertaskerja_Final!O:O</f>
        <v/>
      </c>
      <c r="E31" s="332">
        <f>Kertaskerja_Final!N:N</f>
        <v/>
      </c>
    </row>
    <row r="32">
      <c r="A32" s="307" t="n">
        <v>30</v>
      </c>
      <c r="B32" s="307">
        <f>Kertaskerja_Final!M:M</f>
        <v/>
      </c>
      <c r="C32" s="307">
        <f>Kertaskerja_Final!U:U</f>
        <v/>
      </c>
      <c r="D32" s="307">
        <f>Kertaskerja_Final!O:O</f>
        <v/>
      </c>
      <c r="E32" s="332">
        <f>Kertaskerja_Final!N:N</f>
        <v/>
      </c>
    </row>
    <row r="33">
      <c r="A33" s="307" t="n">
        <v>31</v>
      </c>
      <c r="B33" s="307">
        <f>Kertaskerja_Final!M:M</f>
        <v/>
      </c>
      <c r="C33" s="307">
        <f>Kertaskerja_Final!U:U</f>
        <v/>
      </c>
      <c r="D33" s="307">
        <f>Kertaskerja_Final!O:O</f>
        <v/>
      </c>
      <c r="E33" s="332">
        <f>Kertaskerja_Final!N:N</f>
        <v/>
      </c>
    </row>
    <row r="34">
      <c r="A34" s="307" t="n">
        <v>32</v>
      </c>
      <c r="B34" s="307">
        <f>Kertaskerja_Final!M:M</f>
        <v/>
      </c>
      <c r="C34" s="307">
        <f>Kertaskerja_Final!U:U</f>
        <v/>
      </c>
      <c r="D34" s="307">
        <f>Kertaskerja_Final!O:O</f>
        <v/>
      </c>
      <c r="E34" s="332">
        <f>Kertaskerja_Final!N:N</f>
        <v/>
      </c>
    </row>
    <row r="35">
      <c r="A35" s="307" t="n">
        <v>33</v>
      </c>
      <c r="B35" s="307">
        <f>Kertaskerja_Final!M:M</f>
        <v/>
      </c>
      <c r="C35" s="307">
        <f>Kertaskerja_Final!U:U</f>
        <v/>
      </c>
      <c r="D35" s="307">
        <f>Kertaskerja_Final!O:O</f>
        <v/>
      </c>
      <c r="E35" s="332">
        <f>Kertaskerja_Final!N:N</f>
        <v/>
      </c>
    </row>
    <row r="36">
      <c r="A36" s="307" t="n">
        <v>34</v>
      </c>
      <c r="B36" s="307">
        <f>Kertaskerja_Final!M:M</f>
        <v/>
      </c>
      <c r="C36" s="307">
        <f>Kertaskerja_Final!U:U</f>
        <v/>
      </c>
      <c r="D36" s="307">
        <f>Kertaskerja_Final!O:O</f>
        <v/>
      </c>
      <c r="E36" s="332">
        <f>Kertaskerja_Final!N:N</f>
        <v/>
      </c>
    </row>
    <row r="37">
      <c r="A37" s="307" t="n">
        <v>35</v>
      </c>
      <c r="B37" s="307">
        <f>Kertaskerja_Final!M:M</f>
        <v/>
      </c>
      <c r="C37" s="307">
        <f>Kertaskerja_Final!U:U</f>
        <v/>
      </c>
      <c r="D37" s="307">
        <f>Kertaskerja_Final!O:O</f>
        <v/>
      </c>
      <c r="E37" s="332">
        <f>Kertaskerja_Final!N:N</f>
        <v/>
      </c>
    </row>
    <row r="38">
      <c r="A38" s="307" t="n">
        <v>36</v>
      </c>
      <c r="B38" s="307">
        <f>Kertaskerja_Final!M:M</f>
        <v/>
      </c>
      <c r="C38" s="307">
        <f>Kertaskerja_Final!U:U</f>
        <v/>
      </c>
      <c r="D38" s="307">
        <f>Kertaskerja_Final!O:O</f>
        <v/>
      </c>
      <c r="E38" s="332">
        <f>Kertaskerja_Final!N:N</f>
        <v/>
      </c>
    </row>
    <row r="39">
      <c r="A39" s="307" t="n">
        <v>37</v>
      </c>
      <c r="B39" s="307">
        <f>Kertaskerja_Final!M:M</f>
        <v/>
      </c>
      <c r="C39" s="307">
        <f>Kertaskerja_Final!U:U</f>
        <v/>
      </c>
      <c r="D39" s="307">
        <f>Kertaskerja_Final!O:O</f>
        <v/>
      </c>
      <c r="E39" s="332">
        <f>Kertaskerja_Final!N:N</f>
        <v/>
      </c>
    </row>
    <row r="40">
      <c r="A40" s="307" t="n">
        <v>38</v>
      </c>
      <c r="B40" s="307">
        <f>Kertaskerja_Final!M:M</f>
        <v/>
      </c>
      <c r="C40" s="307">
        <f>Kertaskerja_Final!U:U</f>
        <v/>
      </c>
      <c r="D40" s="307">
        <f>Kertaskerja_Final!O:O</f>
        <v/>
      </c>
      <c r="E40" s="332">
        <f>Kertaskerja_Final!N:N</f>
        <v/>
      </c>
    </row>
    <row r="41">
      <c r="A41" s="307" t="n">
        <v>39</v>
      </c>
      <c r="B41" s="307">
        <f>Kertaskerja_Final!M:M</f>
        <v/>
      </c>
      <c r="C41" s="307">
        <f>Kertaskerja_Final!U:U</f>
        <v/>
      </c>
      <c r="D41" s="307">
        <f>Kertaskerja_Final!O:O</f>
        <v/>
      </c>
      <c r="E41" s="332">
        <f>Kertaskerja_Final!N:N</f>
        <v/>
      </c>
    </row>
    <row r="42">
      <c r="A42" s="307" t="n">
        <v>40</v>
      </c>
      <c r="B42" s="307">
        <f>Kertaskerja_Final!M:M</f>
        <v/>
      </c>
      <c r="C42" s="307">
        <f>Kertaskerja_Final!U:U</f>
        <v/>
      </c>
      <c r="D42" s="307">
        <f>Kertaskerja_Final!O:O</f>
        <v/>
      </c>
      <c r="E42" s="332">
        <f>Kertaskerja_Final!N:N</f>
        <v/>
      </c>
    </row>
    <row r="43">
      <c r="A43" s="307" t="n">
        <v>41</v>
      </c>
      <c r="B43" s="307">
        <f>Kertaskerja_Final!M:M</f>
        <v/>
      </c>
      <c r="C43" s="307">
        <f>Kertaskerja_Final!U:U</f>
        <v/>
      </c>
      <c r="D43" s="307">
        <f>Kertaskerja_Final!O:O</f>
        <v/>
      </c>
      <c r="E43" s="332">
        <f>Kertaskerja_Final!N:N</f>
        <v/>
      </c>
    </row>
    <row r="44">
      <c r="A44" s="307" t="n">
        <v>42</v>
      </c>
      <c r="B44" s="307">
        <f>Kertaskerja_Final!M:M</f>
        <v/>
      </c>
      <c r="C44" s="307">
        <f>Kertaskerja_Final!U:U</f>
        <v/>
      </c>
      <c r="D44" s="307">
        <f>Kertaskerja_Final!O:O</f>
        <v/>
      </c>
      <c r="E44" s="332">
        <f>Kertaskerja_Final!N:N</f>
        <v/>
      </c>
    </row>
    <row r="45">
      <c r="A45" s="307" t="n">
        <v>43</v>
      </c>
      <c r="B45" s="307">
        <f>Kertaskerja_Final!M:M</f>
        <v/>
      </c>
      <c r="C45" s="307">
        <f>Kertaskerja_Final!U:U</f>
        <v/>
      </c>
      <c r="D45" s="307">
        <f>Kertaskerja_Final!O:O</f>
        <v/>
      </c>
      <c r="E45" s="332">
        <f>Kertaskerja_Final!N:N</f>
        <v/>
      </c>
    </row>
    <row r="46">
      <c r="A46" s="307" t="n">
        <v>44</v>
      </c>
      <c r="B46" s="307">
        <f>Kertaskerja_Final!M:M</f>
        <v/>
      </c>
      <c r="C46" s="307">
        <f>Kertaskerja_Final!U:U</f>
        <v/>
      </c>
      <c r="D46" s="307">
        <f>Kertaskerja_Final!O:O</f>
        <v/>
      </c>
      <c r="E46" s="332">
        <f>Kertaskerja_Final!N:N</f>
        <v/>
      </c>
    </row>
    <row r="47">
      <c r="A47" s="307" t="n">
        <v>45</v>
      </c>
      <c r="B47" s="307">
        <f>Kertaskerja_Final!M:M</f>
        <v/>
      </c>
      <c r="C47" s="307">
        <f>Kertaskerja_Final!U:U</f>
        <v/>
      </c>
      <c r="D47" s="307">
        <f>Kertaskerja_Final!O:O</f>
        <v/>
      </c>
      <c r="E47" s="332">
        <f>Kertaskerja_Final!N:N</f>
        <v/>
      </c>
    </row>
    <row r="48">
      <c r="A48" s="307" t="n">
        <v>46</v>
      </c>
      <c r="B48" s="307">
        <f>Kertaskerja_Final!M:M</f>
        <v/>
      </c>
      <c r="C48" s="307">
        <f>Kertaskerja_Final!U:U</f>
        <v/>
      </c>
      <c r="D48" s="307">
        <f>Kertaskerja_Final!O:O</f>
        <v/>
      </c>
      <c r="E48" s="332">
        <f>Kertaskerja_Final!N:N</f>
        <v/>
      </c>
    </row>
    <row r="49">
      <c r="A49" s="307" t="n">
        <v>47</v>
      </c>
      <c r="B49" s="307">
        <f>Kertaskerja_Final!M:M</f>
        <v/>
      </c>
      <c r="C49" s="307">
        <f>Kertaskerja_Final!U:U</f>
        <v/>
      </c>
      <c r="D49" s="307">
        <f>Kertaskerja_Final!O:O</f>
        <v/>
      </c>
      <c r="E49" s="332">
        <f>Kertaskerja_Final!N:N</f>
        <v/>
      </c>
    </row>
    <row r="50">
      <c r="A50" s="307" t="n">
        <v>48</v>
      </c>
      <c r="B50" s="306">
        <f>Kertaskerja_Final!M:M</f>
        <v/>
      </c>
      <c r="C50" s="307">
        <f>Kertaskerja_Final!U:U</f>
        <v/>
      </c>
      <c r="D50" s="307">
        <f>Kertaskerja_Final!O:O</f>
        <v/>
      </c>
      <c r="E50" s="332">
        <f>Kertaskerja_Final!N:N</f>
        <v/>
      </c>
    </row>
    <row r="51">
      <c r="A51" s="307" t="n">
        <v>49</v>
      </c>
      <c r="B51" s="304">
        <f>Kertaskerja_Final!M:M</f>
        <v/>
      </c>
      <c r="C51" s="304">
        <f>Kertaskerja_Final!U:U</f>
        <v/>
      </c>
      <c r="D51" s="304">
        <f>Kertaskerja_Final!O:O</f>
        <v/>
      </c>
      <c r="E51" s="305">
        <f>Kertaskerja_Final!N:N</f>
        <v/>
      </c>
    </row>
    <row r="52">
      <c r="A52" s="307" t="n">
        <v>50</v>
      </c>
      <c r="B52" s="307">
        <f>Kertaskerja_Final!M:M</f>
        <v/>
      </c>
      <c r="C52" s="307">
        <f>Kertaskerja_Final!U:U</f>
        <v/>
      </c>
      <c r="D52" s="307">
        <f>Kertaskerja_Final!O:O</f>
        <v/>
      </c>
      <c r="E52" s="332">
        <f>Kertaskerja_Final!N:N</f>
        <v/>
      </c>
    </row>
    <row r="53">
      <c r="A53" s="307" t="n">
        <v>51</v>
      </c>
      <c r="B53" s="307">
        <f>Kertaskerja_Final!M:M</f>
        <v/>
      </c>
      <c r="C53" s="307">
        <f>Kertaskerja_Final!U:U</f>
        <v/>
      </c>
      <c r="D53" s="307">
        <f>Kertaskerja_Final!O:O</f>
        <v/>
      </c>
      <c r="E53" s="332">
        <f>Kertaskerja_Final!N:N</f>
        <v/>
      </c>
    </row>
    <row r="54">
      <c r="A54" s="307" t="n">
        <v>52</v>
      </c>
      <c r="B54" s="307">
        <f>Kertaskerja_Final!M:M</f>
        <v/>
      </c>
      <c r="C54" s="307">
        <f>Kertaskerja_Final!U:U</f>
        <v/>
      </c>
      <c r="D54" s="307">
        <f>Kertaskerja_Final!O:O</f>
        <v/>
      </c>
      <c r="E54" s="332">
        <f>Kertaskerja_Final!N:N</f>
        <v/>
      </c>
    </row>
    <row r="55">
      <c r="A55" s="307" t="n">
        <v>53</v>
      </c>
      <c r="B55" s="307">
        <f>Kertaskerja_Final!M:M</f>
        <v/>
      </c>
      <c r="C55" s="307">
        <f>Kertaskerja_Final!U:U</f>
        <v/>
      </c>
      <c r="D55" s="307">
        <f>Kertaskerja_Final!O:O</f>
        <v/>
      </c>
      <c r="E55" s="332">
        <f>Kertaskerja_Final!N:N</f>
        <v/>
      </c>
    </row>
    <row r="56">
      <c r="A56" s="307" t="n">
        <v>54</v>
      </c>
      <c r="B56" s="307">
        <f>Kertaskerja_Final!M:M</f>
        <v/>
      </c>
      <c r="C56" s="307">
        <f>Kertaskerja_Final!U:U</f>
        <v/>
      </c>
      <c r="D56" s="307">
        <f>Kertaskerja_Final!O:O</f>
        <v/>
      </c>
      <c r="E56" s="332">
        <f>Kertaskerja_Final!N:N</f>
        <v/>
      </c>
    </row>
    <row r="57">
      <c r="A57" s="307" t="n">
        <v>55</v>
      </c>
      <c r="B57" s="307">
        <f>Kertaskerja_Final!M:M</f>
        <v/>
      </c>
      <c r="C57" s="307">
        <f>Kertaskerja_Final!U:U</f>
        <v/>
      </c>
      <c r="D57" s="307">
        <f>Kertaskerja_Final!O:O</f>
        <v/>
      </c>
      <c r="E57" s="332">
        <f>Kertaskerja_Final!N:N</f>
        <v/>
      </c>
    </row>
    <row r="58">
      <c r="A58" s="307" t="n">
        <v>56</v>
      </c>
      <c r="B58" s="307">
        <f>Kertaskerja_Final!M:M</f>
        <v/>
      </c>
      <c r="C58" s="307">
        <f>Kertaskerja_Final!U:U</f>
        <v/>
      </c>
      <c r="D58" s="307">
        <f>Kertaskerja_Final!O:O</f>
        <v/>
      </c>
      <c r="E58" s="332">
        <f>Kertaskerja_Final!N:N</f>
        <v/>
      </c>
    </row>
    <row r="59">
      <c r="A59" s="307" t="n">
        <v>57</v>
      </c>
      <c r="B59" s="304">
        <f>Kertaskerja_Final!M:M</f>
        <v/>
      </c>
      <c r="C59" s="304">
        <f>Kertaskerja_Final!U:U</f>
        <v/>
      </c>
      <c r="D59" s="304">
        <f>Kertaskerja_Final!O:O</f>
        <v/>
      </c>
      <c r="E59" s="305">
        <f>Kertaskerja_Final!N:N</f>
        <v/>
      </c>
    </row>
    <row r="60">
      <c r="A60" s="307" t="n">
        <v>58</v>
      </c>
      <c r="B60" s="307">
        <f>Kertaskerja_Final!M:M</f>
        <v/>
      </c>
      <c r="C60" s="307">
        <f>Kertaskerja_Final!U:U</f>
        <v/>
      </c>
      <c r="D60" s="307">
        <f>Kertaskerja_Final!O:O</f>
        <v/>
      </c>
      <c r="E60" s="332">
        <f>Kertaskerja_Final!N:N</f>
        <v/>
      </c>
    </row>
    <row r="61">
      <c r="A61" s="307" t="n">
        <v>59</v>
      </c>
      <c r="B61" s="307">
        <f>Kertaskerja_Final!M:M</f>
        <v/>
      </c>
      <c r="C61" s="307">
        <f>Kertaskerja_Final!U:U</f>
        <v/>
      </c>
      <c r="D61" s="307">
        <f>Kertaskerja_Final!O:O</f>
        <v/>
      </c>
      <c r="E61" s="332">
        <f>Kertaskerja_Final!N:N</f>
        <v/>
      </c>
    </row>
    <row r="62">
      <c r="A62" s="307" t="n">
        <v>60</v>
      </c>
      <c r="B62" s="307">
        <f>Kertaskerja_Final!M:M</f>
        <v/>
      </c>
      <c r="C62" s="307">
        <f>Kertaskerja_Final!U:U</f>
        <v/>
      </c>
      <c r="D62" s="307">
        <f>Kertaskerja_Final!O:O</f>
        <v/>
      </c>
      <c r="E62" s="332">
        <f>Kertaskerja_Final!N:N</f>
        <v/>
      </c>
    </row>
    <row r="63">
      <c r="A63" s="307" t="n">
        <v>61</v>
      </c>
      <c r="B63" s="307">
        <f>Kertaskerja_Final!M:M</f>
        <v/>
      </c>
      <c r="C63" s="307">
        <f>Kertaskerja_Final!U:U</f>
        <v/>
      </c>
      <c r="D63" s="307">
        <f>Kertaskerja_Final!O:O</f>
        <v/>
      </c>
      <c r="E63" s="332">
        <f>Kertaskerja_Final!N:N</f>
        <v/>
      </c>
    </row>
    <row r="64">
      <c r="A64" s="307" t="n">
        <v>62</v>
      </c>
      <c r="B64" s="307">
        <f>Kertaskerja_Final!M:M</f>
        <v/>
      </c>
      <c r="C64" s="307">
        <f>Kertaskerja_Final!U:U</f>
        <v/>
      </c>
      <c r="D64" s="307">
        <f>Kertaskerja_Final!O:O</f>
        <v/>
      </c>
      <c r="E64" s="332">
        <f>Kertaskerja_Final!N:N</f>
        <v/>
      </c>
    </row>
    <row r="65">
      <c r="A65" s="307" t="n">
        <v>63</v>
      </c>
      <c r="B65" s="307">
        <f>Kertaskerja_Final!M:M</f>
        <v/>
      </c>
      <c r="C65" s="307">
        <f>Kertaskerja_Final!U:U</f>
        <v/>
      </c>
      <c r="D65" s="307">
        <f>Kertaskerja_Final!O:O</f>
        <v/>
      </c>
      <c r="E65" s="332">
        <f>Kertaskerja_Final!N:N</f>
        <v/>
      </c>
    </row>
    <row r="66">
      <c r="A66" s="307" t="n">
        <v>64</v>
      </c>
      <c r="B66" s="307">
        <f>Kertaskerja_Final!M:M</f>
        <v/>
      </c>
      <c r="C66" s="307">
        <f>Kertaskerja_Final!U:U</f>
        <v/>
      </c>
      <c r="D66" s="307">
        <f>Kertaskerja_Final!O:O</f>
        <v/>
      </c>
      <c r="E66" s="332">
        <f>Kertaskerja_Final!N:N</f>
        <v/>
      </c>
    </row>
    <row r="67">
      <c r="A67" s="307" t="n">
        <v>65</v>
      </c>
      <c r="B67" s="307">
        <f>Kertaskerja_Final!M:M</f>
        <v/>
      </c>
      <c r="C67" s="307">
        <f>Kertaskerja_Final!U:U</f>
        <v/>
      </c>
      <c r="D67" s="307">
        <f>Kertaskerja_Final!O:O</f>
        <v/>
      </c>
      <c r="E67" s="332">
        <f>Kertaskerja_Final!N:N</f>
        <v/>
      </c>
    </row>
    <row r="68">
      <c r="A68" s="307" t="n">
        <v>66</v>
      </c>
      <c r="B68" s="307">
        <f>Kertaskerja_Final!M:M</f>
        <v/>
      </c>
      <c r="C68" s="307">
        <f>Kertaskerja_Final!U:U</f>
        <v/>
      </c>
      <c r="D68" s="307">
        <f>Kertaskerja_Final!O:O</f>
        <v/>
      </c>
      <c r="E68" s="332">
        <f>Kertaskerja_Final!N:N</f>
        <v/>
      </c>
    </row>
    <row r="69">
      <c r="A69" s="307" t="n">
        <v>67</v>
      </c>
      <c r="B69" s="307">
        <f>Kertaskerja_Final!M:M</f>
        <v/>
      </c>
      <c r="C69" s="307">
        <f>Kertaskerja_Final!U:U</f>
        <v/>
      </c>
      <c r="D69" s="307">
        <f>Kertaskerja_Final!O:O</f>
        <v/>
      </c>
      <c r="E69" s="332">
        <f>Kertaskerja_Final!N:N</f>
        <v/>
      </c>
    </row>
    <row r="70">
      <c r="A70" s="307" t="n">
        <v>68</v>
      </c>
      <c r="B70" s="307">
        <f>Kertaskerja_Final!M:M</f>
        <v/>
      </c>
      <c r="C70" s="307">
        <f>Kertaskerja_Final!U:U</f>
        <v/>
      </c>
      <c r="D70" s="307">
        <f>Kertaskerja_Final!O:O</f>
        <v/>
      </c>
      <c r="E70" s="332">
        <f>Kertaskerja_Final!N:N</f>
        <v/>
      </c>
    </row>
    <row r="71">
      <c r="A71" s="307" t="n">
        <v>69</v>
      </c>
      <c r="B71" s="307">
        <f>Kertaskerja_Final!M:M</f>
        <v/>
      </c>
      <c r="C71" s="307">
        <f>Kertaskerja_Final!U:U</f>
        <v/>
      </c>
      <c r="D71" s="307">
        <f>Kertaskerja_Final!O:O</f>
        <v/>
      </c>
      <c r="E71" s="332">
        <f>Kertaskerja_Final!N:N</f>
        <v/>
      </c>
    </row>
    <row r="72">
      <c r="A72" s="307" t="n">
        <v>70</v>
      </c>
      <c r="B72" s="307">
        <f>Kertaskerja_Final!M:M</f>
        <v/>
      </c>
      <c r="C72" s="307">
        <f>Kertaskerja_Final!U:U</f>
        <v/>
      </c>
      <c r="D72" s="307">
        <f>Kertaskerja_Final!O:O</f>
        <v/>
      </c>
      <c r="E72" s="332">
        <f>Kertaskerja_Final!N:N</f>
        <v/>
      </c>
    </row>
    <row r="73">
      <c r="A73" s="307" t="n">
        <v>71</v>
      </c>
      <c r="B73" s="307">
        <f>Kertaskerja_Final!M:M</f>
        <v/>
      </c>
      <c r="C73" s="307">
        <f>Kertaskerja_Final!U:U</f>
        <v/>
      </c>
      <c r="D73" s="307">
        <f>Kertaskerja_Final!O:O</f>
        <v/>
      </c>
      <c r="E73" s="332">
        <f>Kertaskerja_Final!N:N</f>
        <v/>
      </c>
    </row>
    <row r="74">
      <c r="A74" s="307" t="n">
        <v>72</v>
      </c>
      <c r="B74" s="307">
        <f>Kertaskerja_Final!M:M</f>
        <v/>
      </c>
      <c r="C74" s="307">
        <f>Kertaskerja_Final!U:U</f>
        <v/>
      </c>
      <c r="D74" s="307">
        <f>Kertaskerja_Final!O:O</f>
        <v/>
      </c>
      <c r="E74" s="332">
        <f>Kertaskerja_Final!N:N</f>
        <v/>
      </c>
    </row>
    <row r="75">
      <c r="A75" s="307" t="n">
        <v>73</v>
      </c>
      <c r="B75" s="307">
        <f>Kertaskerja_Final!M:M</f>
        <v/>
      </c>
      <c r="C75" s="307">
        <f>Kertaskerja_Final!U:U</f>
        <v/>
      </c>
      <c r="D75" s="307">
        <f>Kertaskerja_Final!O:O</f>
        <v/>
      </c>
      <c r="E75" s="332">
        <f>Kertaskerja_Final!N:N</f>
        <v/>
      </c>
    </row>
    <row r="76">
      <c r="A76" s="307" t="n">
        <v>74</v>
      </c>
      <c r="B76" s="307">
        <f>Kertaskerja_Final!M:M</f>
        <v/>
      </c>
      <c r="C76" s="307">
        <f>Kertaskerja_Final!U:U</f>
        <v/>
      </c>
      <c r="D76" s="307">
        <f>Kertaskerja_Final!O:O</f>
        <v/>
      </c>
      <c r="E76" s="332">
        <f>Kertaskerja_Final!N:N</f>
        <v/>
      </c>
    </row>
    <row r="77">
      <c r="A77" s="307" t="n">
        <v>75</v>
      </c>
      <c r="B77" s="307">
        <f>Kertaskerja_Final!M:M</f>
        <v/>
      </c>
      <c r="C77" s="307">
        <f>Kertaskerja_Final!U:U</f>
        <v/>
      </c>
      <c r="D77" s="307">
        <f>Kertaskerja_Final!O:O</f>
        <v/>
      </c>
      <c r="E77" s="332">
        <f>Kertaskerja_Final!N:N</f>
        <v/>
      </c>
    </row>
    <row r="78">
      <c r="A78" s="307" t="n">
        <v>76</v>
      </c>
      <c r="B78" s="307">
        <f>Kertaskerja_Final!M:M</f>
        <v/>
      </c>
      <c r="C78" s="307">
        <f>Kertaskerja_Final!U:U</f>
        <v/>
      </c>
      <c r="D78" s="307">
        <f>Kertaskerja_Final!O:O</f>
        <v/>
      </c>
      <c r="E78" s="332">
        <f>Kertaskerja_Final!N:N</f>
        <v/>
      </c>
    </row>
    <row r="79">
      <c r="A79" s="307" t="n">
        <v>77</v>
      </c>
      <c r="B79" s="307">
        <f>Kertaskerja_Final!M:M</f>
        <v/>
      </c>
      <c r="C79" s="307">
        <f>Kertaskerja_Final!U:U</f>
        <v/>
      </c>
      <c r="D79" s="307">
        <f>Kertaskerja_Final!O:O</f>
        <v/>
      </c>
      <c r="E79" s="332">
        <f>Kertaskerja_Final!N:N</f>
        <v/>
      </c>
    </row>
    <row r="80">
      <c r="A80" s="307" t="n">
        <v>78</v>
      </c>
      <c r="B80" s="307">
        <f>Kertaskerja_Final!M:M</f>
        <v/>
      </c>
      <c r="C80" s="307">
        <f>Kertaskerja_Final!U:U</f>
        <v/>
      </c>
      <c r="D80" s="307">
        <f>Kertaskerja_Final!O:O</f>
        <v/>
      </c>
      <c r="E80" s="332">
        <f>Kertaskerja_Final!N:N</f>
        <v/>
      </c>
    </row>
    <row r="81">
      <c r="A81" s="307" t="n">
        <v>79</v>
      </c>
      <c r="B81" s="307">
        <f>Kertaskerja_Final!M:M</f>
        <v/>
      </c>
      <c r="C81" s="307">
        <f>Kertaskerja_Final!U:U</f>
        <v/>
      </c>
      <c r="D81" s="307">
        <f>Kertaskerja_Final!O:O</f>
        <v/>
      </c>
      <c r="E81" s="332">
        <f>Kertaskerja_Final!N:N</f>
        <v/>
      </c>
    </row>
    <row r="82">
      <c r="A82" s="307" t="n">
        <v>80</v>
      </c>
      <c r="B82" s="307">
        <f>Kertaskerja_Final!M:M</f>
        <v/>
      </c>
      <c r="C82" s="307">
        <f>Kertaskerja_Final!U:U</f>
        <v/>
      </c>
      <c r="D82" s="307">
        <f>Kertaskerja_Final!O:O</f>
        <v/>
      </c>
      <c r="E82" s="332">
        <f>Kertaskerja_Final!N:N</f>
        <v/>
      </c>
    </row>
    <row r="83">
      <c r="A83" s="307" t="n">
        <v>81</v>
      </c>
      <c r="B83" s="307">
        <f>Kertaskerja_Final!M:M</f>
        <v/>
      </c>
      <c r="C83" s="307">
        <f>Kertaskerja_Final!U:U</f>
        <v/>
      </c>
      <c r="D83" s="307">
        <f>Kertaskerja_Final!O:O</f>
        <v/>
      </c>
      <c r="E83" s="332">
        <f>Kertaskerja_Final!N:N</f>
        <v/>
      </c>
    </row>
    <row r="84">
      <c r="A84" s="307" t="n">
        <v>82</v>
      </c>
      <c r="B84" s="307">
        <f>Kertaskerja_Final!M:M</f>
        <v/>
      </c>
      <c r="C84" s="307">
        <f>Kertaskerja_Final!U:U</f>
        <v/>
      </c>
      <c r="D84" s="307">
        <f>Kertaskerja_Final!O:O</f>
        <v/>
      </c>
      <c r="E84" s="332">
        <f>Kertaskerja_Final!N:N</f>
        <v/>
      </c>
    </row>
    <row r="85">
      <c r="A85" s="307" t="n">
        <v>83</v>
      </c>
      <c r="B85" s="307">
        <f>Kertaskerja_Final!M:M</f>
        <v/>
      </c>
      <c r="C85" s="307">
        <f>Kertaskerja_Final!U:U</f>
        <v/>
      </c>
      <c r="D85" s="307">
        <f>Kertaskerja_Final!O:O</f>
        <v/>
      </c>
      <c r="E85" s="332">
        <f>Kertaskerja_Final!N:N</f>
        <v/>
      </c>
    </row>
    <row r="86">
      <c r="A86" s="307" t="n">
        <v>84</v>
      </c>
      <c r="B86" s="307">
        <f>Kertaskerja_Final!M:M</f>
        <v/>
      </c>
      <c r="C86" s="307">
        <f>Kertaskerja_Final!U:U</f>
        <v/>
      </c>
      <c r="D86" s="307">
        <f>Kertaskerja_Final!O:O</f>
        <v/>
      </c>
      <c r="E86" s="332">
        <f>Kertaskerja_Final!N:N</f>
        <v/>
      </c>
    </row>
    <row r="87">
      <c r="A87" s="307" t="n">
        <v>85</v>
      </c>
      <c r="B87" s="307">
        <f>Kertaskerja_Final!M:M</f>
        <v/>
      </c>
      <c r="C87" s="307">
        <f>Kertaskerja_Final!U:U</f>
        <v/>
      </c>
      <c r="D87" s="307">
        <f>Kertaskerja_Final!O:O</f>
        <v/>
      </c>
      <c r="E87" s="332">
        <f>Kertaskerja_Final!N:N</f>
        <v/>
      </c>
    </row>
    <row r="88">
      <c r="A88" s="307" t="n">
        <v>86</v>
      </c>
      <c r="B88" s="307">
        <f>Kertaskerja_Final!M:M</f>
        <v/>
      </c>
      <c r="C88" s="307">
        <f>Kertaskerja_Final!U:U</f>
        <v/>
      </c>
      <c r="D88" s="307">
        <f>Kertaskerja_Final!O:O</f>
        <v/>
      </c>
      <c r="E88" s="332">
        <f>Kertaskerja_Final!N:N</f>
        <v/>
      </c>
    </row>
    <row r="89">
      <c r="A89" s="307" t="n">
        <v>87</v>
      </c>
      <c r="B89" s="307">
        <f>Kertaskerja_Final!M:M</f>
        <v/>
      </c>
      <c r="C89" s="307">
        <f>Kertaskerja_Final!U:U</f>
        <v/>
      </c>
      <c r="D89" s="307">
        <f>Kertaskerja_Final!O:O</f>
        <v/>
      </c>
      <c r="E89" s="332">
        <f>Kertaskerja_Final!N:N</f>
        <v/>
      </c>
    </row>
    <row r="90">
      <c r="A90" s="307" t="n">
        <v>88</v>
      </c>
      <c r="B90" s="307">
        <f>Kertaskerja_Final!M:M</f>
        <v/>
      </c>
      <c r="C90" s="307">
        <f>Kertaskerja_Final!U:U</f>
        <v/>
      </c>
      <c r="D90" s="307">
        <f>Kertaskerja_Final!O:O</f>
        <v/>
      </c>
      <c r="E90" s="332">
        <f>Kertaskerja_Final!N:N</f>
        <v/>
      </c>
    </row>
    <row r="91">
      <c r="A91" s="307" t="n">
        <v>89</v>
      </c>
      <c r="B91" s="307">
        <f>Kertaskerja_Final!M:M</f>
        <v/>
      </c>
      <c r="C91" s="307">
        <f>Kertaskerja_Final!U:U</f>
        <v/>
      </c>
      <c r="D91" s="307">
        <f>Kertaskerja_Final!O:O</f>
        <v/>
      </c>
      <c r="E91" s="332">
        <f>Kertaskerja_Final!N:N</f>
        <v/>
      </c>
    </row>
    <row r="92">
      <c r="A92" s="307" t="n">
        <v>90</v>
      </c>
      <c r="B92" s="307">
        <f>Kertaskerja_Final!M:M</f>
        <v/>
      </c>
      <c r="C92" s="307">
        <f>Kertaskerja_Final!U:U</f>
        <v/>
      </c>
      <c r="D92" s="307">
        <f>Kertaskerja_Final!O:O</f>
        <v/>
      </c>
      <c r="E92" s="332">
        <f>Kertaskerja_Final!N:N</f>
        <v/>
      </c>
    </row>
    <row r="93">
      <c r="A93" s="307" t="n">
        <v>91</v>
      </c>
      <c r="B93" s="307">
        <f>Kertaskerja_Final!M:M</f>
        <v/>
      </c>
      <c r="C93" s="307">
        <f>Kertaskerja_Final!U:U</f>
        <v/>
      </c>
      <c r="D93" s="307">
        <f>Kertaskerja_Final!O:O</f>
        <v/>
      </c>
      <c r="E93" s="332">
        <f>Kertaskerja_Final!N:N</f>
        <v/>
      </c>
    </row>
    <row r="94">
      <c r="A94" s="307" t="n">
        <v>92</v>
      </c>
      <c r="B94" s="307">
        <f>Kertaskerja_Final!M:M</f>
        <v/>
      </c>
      <c r="C94" s="307">
        <f>Kertaskerja_Final!U:U</f>
        <v/>
      </c>
      <c r="D94" s="307">
        <f>Kertaskerja_Final!O:O</f>
        <v/>
      </c>
      <c r="E94" s="332">
        <f>Kertaskerja_Final!N:N</f>
        <v/>
      </c>
    </row>
    <row r="95">
      <c r="A95" s="307" t="n">
        <v>93</v>
      </c>
      <c r="B95" s="307">
        <f>Kertaskerja_Final!M:M</f>
        <v/>
      </c>
      <c r="C95" s="307">
        <f>Kertaskerja_Final!U:U</f>
        <v/>
      </c>
      <c r="D95" s="307">
        <f>Kertaskerja_Final!O:O</f>
        <v/>
      </c>
      <c r="E95" s="332">
        <f>Kertaskerja_Final!N:N</f>
        <v/>
      </c>
    </row>
    <row r="96">
      <c r="A96" s="307" t="n">
        <v>94</v>
      </c>
      <c r="B96" s="307">
        <f>Kertaskerja_Final!M:M</f>
        <v/>
      </c>
      <c r="C96" s="307">
        <f>Kertaskerja_Final!U:U</f>
        <v/>
      </c>
      <c r="D96" s="307">
        <f>Kertaskerja_Final!O:O</f>
        <v/>
      </c>
      <c r="E96" s="332">
        <f>Kertaskerja_Final!N:N</f>
        <v/>
      </c>
    </row>
    <row r="97">
      <c r="A97" s="307" t="n">
        <v>95</v>
      </c>
      <c r="B97" s="304">
        <f>Kertaskerja_Final!M:M</f>
        <v/>
      </c>
      <c r="C97" s="304">
        <f>Kertaskerja_Final!U:U</f>
        <v/>
      </c>
      <c r="D97" s="304">
        <f>Kertaskerja_Final!O:O</f>
        <v/>
      </c>
      <c r="E97" s="305">
        <f>Kertaskerja_Final!N:N</f>
        <v/>
      </c>
    </row>
    <row r="98">
      <c r="A98" s="307" t="n">
        <v>96</v>
      </c>
      <c r="B98" s="307">
        <f>Kertaskerja_Final!M:M</f>
        <v/>
      </c>
      <c r="C98" s="307">
        <f>Kertaskerja_Final!U:U</f>
        <v/>
      </c>
      <c r="D98" s="307">
        <f>Kertaskerja_Final!O:O</f>
        <v/>
      </c>
      <c r="E98" s="332">
        <f>Kertaskerja_Final!N:N</f>
        <v/>
      </c>
    </row>
    <row r="99">
      <c r="A99" s="307" t="n">
        <v>97</v>
      </c>
      <c r="B99" s="307">
        <f>Kertaskerja_Final!M:M</f>
        <v/>
      </c>
      <c r="C99" s="307">
        <f>Kertaskerja_Final!U:U</f>
        <v/>
      </c>
      <c r="D99" s="307">
        <f>Kertaskerja_Final!O:O</f>
        <v/>
      </c>
      <c r="E99" s="332">
        <f>Kertaskerja_Final!N:N</f>
        <v/>
      </c>
    </row>
    <row r="100">
      <c r="A100" s="307" t="n">
        <v>98</v>
      </c>
      <c r="B100" s="307">
        <f>Kertaskerja_Final!M:M</f>
        <v/>
      </c>
      <c r="C100" s="307">
        <f>Kertaskerja_Final!U:U</f>
        <v/>
      </c>
      <c r="D100" s="307">
        <f>Kertaskerja_Final!O:O</f>
        <v/>
      </c>
      <c r="E100" s="332">
        <f>Kertaskerja_Final!N:N</f>
        <v/>
      </c>
    </row>
    <row r="101">
      <c r="A101" s="307" t="n">
        <v>99</v>
      </c>
      <c r="B101" s="307">
        <f>Kertaskerja_Final!M:M</f>
        <v/>
      </c>
      <c r="C101" s="307">
        <f>Kertaskerja_Final!U:U</f>
        <v/>
      </c>
      <c r="D101" s="307">
        <f>Kertaskerja_Final!O:O</f>
        <v/>
      </c>
      <c r="E101" s="332">
        <f>Kertaskerja_Final!N:N</f>
        <v/>
      </c>
    </row>
    <row r="102">
      <c r="A102" s="307" t="n">
        <v>100</v>
      </c>
      <c r="B102" s="307">
        <f>Kertaskerja_Final!M:M</f>
        <v/>
      </c>
      <c r="C102" s="307">
        <f>Kertaskerja_Final!U:U</f>
        <v/>
      </c>
      <c r="D102" s="307">
        <f>Kertaskerja_Final!O:O</f>
        <v/>
      </c>
      <c r="E102" s="332">
        <f>Kertaskerja_Final!N:N</f>
        <v/>
      </c>
    </row>
    <row r="103">
      <c r="A103" s="307" t="n">
        <v>101</v>
      </c>
      <c r="B103" s="307">
        <f>Kertaskerja_Final!M:M</f>
        <v/>
      </c>
      <c r="C103" s="307">
        <f>Kertaskerja_Final!U:U</f>
        <v/>
      </c>
      <c r="D103" s="307">
        <f>Kertaskerja_Final!O:O</f>
        <v/>
      </c>
      <c r="E103" s="332">
        <f>Kertaskerja_Final!N:N</f>
        <v/>
      </c>
    </row>
    <row r="104">
      <c r="A104" s="307" t="n">
        <v>102</v>
      </c>
      <c r="B104" s="307">
        <f>Kertaskerja_Final!M:M</f>
        <v/>
      </c>
      <c r="C104" s="307">
        <f>Kertaskerja_Final!U:U</f>
        <v/>
      </c>
      <c r="D104" s="307">
        <f>Kertaskerja_Final!O:O</f>
        <v/>
      </c>
      <c r="E104" s="332">
        <f>Kertaskerja_Final!N:N</f>
        <v/>
      </c>
    </row>
    <row r="105">
      <c r="A105" s="307" t="n">
        <v>103</v>
      </c>
      <c r="B105" s="307">
        <f>Kertaskerja_Final!M:M</f>
        <v/>
      </c>
      <c r="C105" s="307">
        <f>Kertaskerja_Final!U:U</f>
        <v/>
      </c>
      <c r="D105" s="307">
        <f>Kertaskerja_Final!O:O</f>
        <v/>
      </c>
      <c r="E105" s="332">
        <f>Kertaskerja_Final!N:N</f>
        <v/>
      </c>
    </row>
    <row r="106">
      <c r="A106" s="307" t="n">
        <v>104</v>
      </c>
      <c r="B106" s="307">
        <f>Kertaskerja_Final!M:M</f>
        <v/>
      </c>
      <c r="C106" s="307">
        <f>Kertaskerja_Final!U:U</f>
        <v/>
      </c>
      <c r="D106" s="307">
        <f>Kertaskerja_Final!O:O</f>
        <v/>
      </c>
      <c r="E106" s="332">
        <f>Kertaskerja_Final!N:N</f>
        <v/>
      </c>
    </row>
    <row r="107">
      <c r="A107" s="307" t="n">
        <v>105</v>
      </c>
      <c r="B107" s="307">
        <f>Kertaskerja_Final!M:M</f>
        <v/>
      </c>
      <c r="C107" s="307">
        <f>Kertaskerja_Final!U:U</f>
        <v/>
      </c>
      <c r="D107" s="307">
        <f>Kertaskerja_Final!O:O</f>
        <v/>
      </c>
      <c r="E107" s="332">
        <f>Kertaskerja_Final!N:N</f>
        <v/>
      </c>
    </row>
    <row r="108">
      <c r="A108" s="307" t="n">
        <v>106</v>
      </c>
      <c r="B108" s="307">
        <f>Kertaskerja_Final!M:M</f>
        <v/>
      </c>
      <c r="C108" s="307">
        <f>Kertaskerja_Final!U:U</f>
        <v/>
      </c>
      <c r="D108" s="307">
        <f>Kertaskerja_Final!O:O</f>
        <v/>
      </c>
      <c r="E108" s="332">
        <f>Kertaskerja_Final!N:N</f>
        <v/>
      </c>
    </row>
    <row r="109">
      <c r="A109" s="307" t="n">
        <v>107</v>
      </c>
      <c r="B109" s="307">
        <f>Kertaskerja_Final!M:M</f>
        <v/>
      </c>
      <c r="C109" s="307">
        <f>Kertaskerja_Final!U:U</f>
        <v/>
      </c>
      <c r="D109" s="307">
        <f>Kertaskerja_Final!O:O</f>
        <v/>
      </c>
      <c r="E109" s="332">
        <f>Kertaskerja_Final!N:N</f>
        <v/>
      </c>
    </row>
    <row r="110">
      <c r="A110" s="307" t="n">
        <v>108</v>
      </c>
      <c r="B110" s="307">
        <f>Kertaskerja_Final!M:M</f>
        <v/>
      </c>
      <c r="C110" s="307">
        <f>Kertaskerja_Final!U:U</f>
        <v/>
      </c>
      <c r="D110" s="307">
        <f>Kertaskerja_Final!O:O</f>
        <v/>
      </c>
      <c r="E110" s="332">
        <f>Kertaskerja_Final!N:N</f>
        <v/>
      </c>
    </row>
    <row r="111">
      <c r="A111" s="307" t="n">
        <v>109</v>
      </c>
      <c r="B111" s="307">
        <f>Kertaskerja_Final!M:M</f>
        <v/>
      </c>
      <c r="C111" s="307">
        <f>Kertaskerja_Final!U:U</f>
        <v/>
      </c>
      <c r="D111" s="307">
        <f>Kertaskerja_Final!O:O</f>
        <v/>
      </c>
      <c r="E111" s="332">
        <f>Kertaskerja_Final!N:N</f>
        <v/>
      </c>
    </row>
    <row r="112">
      <c r="A112" s="307" t="n">
        <v>110</v>
      </c>
      <c r="B112" s="307">
        <f>Kertaskerja_Final!M:M</f>
        <v/>
      </c>
      <c r="C112" s="307">
        <f>Kertaskerja_Final!U:U</f>
        <v/>
      </c>
      <c r="D112" s="307">
        <f>Kertaskerja_Final!O:O</f>
        <v/>
      </c>
      <c r="E112" s="332">
        <f>Kertaskerja_Final!N:N</f>
        <v/>
      </c>
    </row>
    <row r="113">
      <c r="A113" s="307" t="n">
        <v>111</v>
      </c>
      <c r="B113" s="307">
        <f>Kertaskerja_Final!M:M</f>
        <v/>
      </c>
      <c r="C113" s="307">
        <f>Kertaskerja_Final!U:U</f>
        <v/>
      </c>
      <c r="D113" s="307">
        <f>Kertaskerja_Final!O:O</f>
        <v/>
      </c>
      <c r="E113" s="332">
        <f>Kertaskerja_Final!N:N</f>
        <v/>
      </c>
    </row>
    <row r="114">
      <c r="A114" s="307" t="n">
        <v>112</v>
      </c>
      <c r="B114" s="307">
        <f>Kertaskerja_Final!M:M</f>
        <v/>
      </c>
      <c r="C114" s="307">
        <f>Kertaskerja_Final!U:U</f>
        <v/>
      </c>
      <c r="D114" s="307">
        <f>Kertaskerja_Final!O:O</f>
        <v/>
      </c>
      <c r="E114" s="332">
        <f>Kertaskerja_Final!N:N</f>
        <v/>
      </c>
    </row>
    <row r="115">
      <c r="A115" s="307" t="n">
        <v>113</v>
      </c>
      <c r="B115" s="304">
        <f>Kertaskerja_Final!M:M</f>
        <v/>
      </c>
      <c r="C115" s="304">
        <f>Kertaskerja_Final!U:U</f>
        <v/>
      </c>
      <c r="D115" s="304">
        <f>Kertaskerja_Final!O:O</f>
        <v/>
      </c>
      <c r="E115" s="305">
        <f>Kertaskerja_Final!N:N</f>
        <v/>
      </c>
    </row>
    <row r="116">
      <c r="A116" s="307" t="n">
        <v>114</v>
      </c>
      <c r="B116" s="307">
        <f>Kertaskerja_Final!M:M</f>
        <v/>
      </c>
      <c r="C116" s="307">
        <f>Kertaskerja_Final!U:U</f>
        <v/>
      </c>
      <c r="D116" s="307">
        <f>Kertaskerja_Final!O:O</f>
        <v/>
      </c>
      <c r="E116" s="332">
        <f>Kertaskerja_Final!N:N</f>
        <v/>
      </c>
    </row>
    <row r="117">
      <c r="A117" s="307" t="n">
        <v>115</v>
      </c>
      <c r="B117" s="307">
        <f>Kertaskerja_Final!M:M</f>
        <v/>
      </c>
      <c r="C117" s="307">
        <f>Kertaskerja_Final!U:U</f>
        <v/>
      </c>
      <c r="D117" s="307">
        <f>Kertaskerja_Final!O:O</f>
        <v/>
      </c>
      <c r="E117" s="332">
        <f>Kertaskerja_Final!N:N</f>
        <v/>
      </c>
    </row>
    <row r="118">
      <c r="A118" s="307" t="n">
        <v>116</v>
      </c>
      <c r="B118" s="307">
        <f>Kertaskerja_Final!M:M</f>
        <v/>
      </c>
      <c r="C118" s="307">
        <f>Kertaskerja_Final!U:U</f>
        <v/>
      </c>
      <c r="D118" s="307">
        <f>Kertaskerja_Final!O:O</f>
        <v/>
      </c>
      <c r="E118" s="332">
        <f>Kertaskerja_Final!N:N</f>
        <v/>
      </c>
    </row>
    <row r="119">
      <c r="A119" s="307" t="n">
        <v>117</v>
      </c>
      <c r="B119" s="307">
        <f>Kertaskerja_Final!M:M</f>
        <v/>
      </c>
      <c r="C119" s="307">
        <f>Kertaskerja_Final!U:U</f>
        <v/>
      </c>
      <c r="D119" s="307">
        <f>Kertaskerja_Final!O:O</f>
        <v/>
      </c>
      <c r="E119" s="332">
        <f>Kertaskerja_Final!N:N</f>
        <v/>
      </c>
    </row>
    <row r="120">
      <c r="A120" s="307" t="n">
        <v>118</v>
      </c>
      <c r="B120" s="306">
        <f>Kertaskerja_Final!M:M</f>
        <v/>
      </c>
      <c r="C120" s="307">
        <f>Kertaskerja_Final!U:U</f>
        <v/>
      </c>
      <c r="D120" s="307">
        <f>Kertaskerja_Final!O:O</f>
        <v/>
      </c>
      <c r="E120" s="332">
        <f>Kertaskerja_Final!N:N</f>
        <v/>
      </c>
    </row>
    <row r="121">
      <c r="A121" s="307" t="n">
        <v>119</v>
      </c>
      <c r="B121" s="307">
        <f>Kertaskerja_Final!M:M</f>
        <v/>
      </c>
      <c r="C121" s="307">
        <f>Kertaskerja_Final!U:U</f>
        <v/>
      </c>
      <c r="D121" s="307">
        <f>Kertaskerja_Final!O:O</f>
        <v/>
      </c>
      <c r="E121" s="332">
        <f>Kertaskerja_Final!N:N</f>
        <v/>
      </c>
    </row>
    <row r="122">
      <c r="A122" s="307" t="n">
        <v>120</v>
      </c>
      <c r="B122" s="307">
        <f>Kertaskerja_Final!M:M</f>
        <v/>
      </c>
      <c r="C122" s="307">
        <f>Kertaskerja_Final!U:U</f>
        <v/>
      </c>
      <c r="D122" s="307">
        <f>Kertaskerja_Final!O:O</f>
        <v/>
      </c>
      <c r="E122" s="332">
        <f>Kertaskerja_Final!N:N</f>
        <v/>
      </c>
    </row>
    <row r="123">
      <c r="A123" s="307" t="n">
        <v>121</v>
      </c>
      <c r="B123" s="307">
        <f>Kertaskerja_Final!M:M</f>
        <v/>
      </c>
      <c r="C123" s="307">
        <f>Kertaskerja_Final!U:U</f>
        <v/>
      </c>
      <c r="D123" s="307">
        <f>Kertaskerja_Final!O:O</f>
        <v/>
      </c>
      <c r="E123" s="332">
        <f>Kertaskerja_Final!N:N</f>
        <v/>
      </c>
    </row>
    <row r="124">
      <c r="A124" s="307" t="n">
        <v>122</v>
      </c>
      <c r="B124" s="307">
        <f>Kertaskerja_Final!M:M</f>
        <v/>
      </c>
      <c r="C124" s="307">
        <f>Kertaskerja_Final!U:U</f>
        <v/>
      </c>
      <c r="D124" s="307">
        <f>Kertaskerja_Final!O:O</f>
        <v/>
      </c>
      <c r="E124" s="332">
        <f>Kertaskerja_Final!N:N</f>
        <v/>
      </c>
    </row>
    <row r="125">
      <c r="A125" s="307" t="n">
        <v>123</v>
      </c>
      <c r="B125" s="307">
        <f>Kertaskerja_Final!M:M</f>
        <v/>
      </c>
      <c r="C125" s="307">
        <f>Kertaskerja_Final!U:U</f>
        <v/>
      </c>
      <c r="D125" s="307">
        <f>Kertaskerja_Final!O:O</f>
        <v/>
      </c>
      <c r="E125" s="332">
        <f>Kertaskerja_Final!N:N</f>
        <v/>
      </c>
    </row>
    <row r="126">
      <c r="A126" s="307" t="n">
        <v>124</v>
      </c>
      <c r="B126" s="307">
        <f>Kertaskerja_Final!M:M</f>
        <v/>
      </c>
      <c r="C126" s="307">
        <f>Kertaskerja_Final!U:U</f>
        <v/>
      </c>
      <c r="D126" s="307">
        <f>Kertaskerja_Final!O:O</f>
        <v/>
      </c>
      <c r="E126" s="332">
        <f>Kertaskerja_Final!N:N</f>
        <v/>
      </c>
    </row>
    <row r="127">
      <c r="A127" s="307" t="n">
        <v>125</v>
      </c>
      <c r="B127" s="307">
        <f>Kertaskerja_Final!M:M</f>
        <v/>
      </c>
      <c r="C127" s="307">
        <f>Kertaskerja_Final!U:U</f>
        <v/>
      </c>
      <c r="D127" s="307">
        <f>Kertaskerja_Final!O:O</f>
        <v/>
      </c>
      <c r="E127" s="332">
        <f>Kertaskerja_Final!N:N</f>
        <v/>
      </c>
    </row>
    <row r="128">
      <c r="A128" s="307" t="n">
        <v>126</v>
      </c>
      <c r="B128" s="307">
        <f>Kertaskerja_Final!M:M</f>
        <v/>
      </c>
      <c r="C128" s="307">
        <f>Kertaskerja_Final!U:U</f>
        <v/>
      </c>
      <c r="D128" s="307">
        <f>Kertaskerja_Final!O:O</f>
        <v/>
      </c>
      <c r="E128" s="332">
        <f>Kertaskerja_Final!N:N</f>
        <v/>
      </c>
    </row>
    <row r="129">
      <c r="A129" s="307" t="n">
        <v>127</v>
      </c>
      <c r="B129" s="307">
        <f>Kertaskerja_Final!M:M</f>
        <v/>
      </c>
      <c r="C129" s="307">
        <f>Kertaskerja_Final!U:U</f>
        <v/>
      </c>
      <c r="D129" s="307">
        <f>Kertaskerja_Final!O:O</f>
        <v/>
      </c>
      <c r="E129" s="332">
        <f>Kertaskerja_Final!N:N</f>
        <v/>
      </c>
    </row>
    <row r="130">
      <c r="A130" s="307" t="n">
        <v>128</v>
      </c>
      <c r="B130" s="307">
        <f>Kertaskerja_Final!M:M</f>
        <v/>
      </c>
      <c r="C130" s="307">
        <f>Kertaskerja_Final!U:U</f>
        <v/>
      </c>
      <c r="D130" s="307">
        <f>Kertaskerja_Final!O:O</f>
        <v/>
      </c>
      <c r="E130" s="332">
        <f>Kertaskerja_Final!N:N</f>
        <v/>
      </c>
    </row>
    <row r="131">
      <c r="A131" s="307" t="n">
        <v>129</v>
      </c>
      <c r="B131" s="307">
        <f>Kertaskerja_Final!M:M</f>
        <v/>
      </c>
      <c r="C131" s="307">
        <f>Kertaskerja_Final!U:U</f>
        <v/>
      </c>
      <c r="D131" s="307">
        <f>Kertaskerja_Final!O:O</f>
        <v/>
      </c>
      <c r="E131" s="332">
        <f>Kertaskerja_Final!N:N</f>
        <v/>
      </c>
    </row>
    <row r="132">
      <c r="A132" s="307" t="n">
        <v>130</v>
      </c>
      <c r="B132" s="307">
        <f>Kertaskerja_Final!M:M</f>
        <v/>
      </c>
      <c r="C132" s="307">
        <f>Kertaskerja_Final!U:U</f>
        <v/>
      </c>
      <c r="D132" s="307">
        <f>Kertaskerja_Final!O:O</f>
        <v/>
      </c>
      <c r="E132" s="332">
        <f>Kertaskerja_Final!N:N</f>
        <v/>
      </c>
    </row>
    <row r="133">
      <c r="A133" s="307" t="n">
        <v>131</v>
      </c>
      <c r="B133" s="307">
        <f>Kertaskerja_Final!M:M</f>
        <v/>
      </c>
      <c r="C133" s="307">
        <f>Kertaskerja_Final!U:U</f>
        <v/>
      </c>
      <c r="D133" s="307">
        <f>Kertaskerja_Final!O:O</f>
        <v/>
      </c>
      <c r="E133" s="332">
        <f>Kertaskerja_Final!N:N</f>
        <v/>
      </c>
    </row>
    <row r="134">
      <c r="A134" s="307" t="n">
        <v>132</v>
      </c>
      <c r="B134" s="307">
        <f>Kertaskerja_Final!M:M</f>
        <v/>
      </c>
      <c r="C134" s="307">
        <f>Kertaskerja_Final!U:U</f>
        <v/>
      </c>
      <c r="D134" s="307">
        <f>Kertaskerja_Final!O:O</f>
        <v/>
      </c>
      <c r="E134" s="332">
        <f>Kertaskerja_Final!N:N</f>
        <v/>
      </c>
    </row>
    <row r="135">
      <c r="A135" s="307" t="n">
        <v>133</v>
      </c>
      <c r="B135" s="307">
        <f>Kertaskerja_Final!M:M</f>
        <v/>
      </c>
      <c r="C135" s="307">
        <f>Kertaskerja_Final!U:U</f>
        <v/>
      </c>
      <c r="D135" s="307">
        <f>Kertaskerja_Final!O:O</f>
        <v/>
      </c>
      <c r="E135" s="332">
        <f>Kertaskerja_Final!N:N</f>
        <v/>
      </c>
    </row>
    <row r="136">
      <c r="A136" s="307" t="n">
        <v>134</v>
      </c>
      <c r="B136" s="307">
        <f>Kertaskerja_Final!M:M</f>
        <v/>
      </c>
      <c r="C136" s="307">
        <f>Kertaskerja_Final!U:U</f>
        <v/>
      </c>
      <c r="D136" s="307">
        <f>Kertaskerja_Final!O:O</f>
        <v/>
      </c>
      <c r="E136" s="332">
        <f>Kertaskerja_Final!N:N</f>
        <v/>
      </c>
    </row>
    <row r="137">
      <c r="A137" s="307" t="n">
        <v>135</v>
      </c>
      <c r="B137" s="307">
        <f>Kertaskerja_Final!M:M</f>
        <v/>
      </c>
      <c r="C137" s="307">
        <f>Kertaskerja_Final!U:U</f>
        <v/>
      </c>
      <c r="D137" s="307">
        <f>Kertaskerja_Final!O:O</f>
        <v/>
      </c>
      <c r="E137" s="332">
        <f>Kertaskerja_Final!N:N</f>
        <v/>
      </c>
    </row>
    <row r="138">
      <c r="A138" s="307" t="n">
        <v>136</v>
      </c>
      <c r="B138" s="307">
        <f>Kertaskerja_Final!M:M</f>
        <v/>
      </c>
      <c r="C138" s="307">
        <f>Kertaskerja_Final!U:U</f>
        <v/>
      </c>
      <c r="D138" s="307">
        <f>Kertaskerja_Final!O:O</f>
        <v/>
      </c>
      <c r="E138" s="332">
        <f>Kertaskerja_Final!N:N</f>
        <v/>
      </c>
    </row>
    <row r="139">
      <c r="A139" s="307" t="n">
        <v>137</v>
      </c>
      <c r="B139" s="307">
        <f>Kertaskerja_Final!M:M</f>
        <v/>
      </c>
      <c r="C139" s="307">
        <f>Kertaskerja_Final!U:U</f>
        <v/>
      </c>
      <c r="D139" s="307">
        <f>Kertaskerja_Final!O:O</f>
        <v/>
      </c>
      <c r="E139" s="332">
        <f>Kertaskerja_Final!N:N</f>
        <v/>
      </c>
    </row>
    <row r="140">
      <c r="A140" s="307" t="n">
        <v>138</v>
      </c>
      <c r="B140" s="307">
        <f>Kertaskerja_Final!M:M</f>
        <v/>
      </c>
      <c r="C140" s="307">
        <f>Kertaskerja_Final!U:U</f>
        <v/>
      </c>
      <c r="D140" s="307">
        <f>Kertaskerja_Final!O:O</f>
        <v/>
      </c>
      <c r="E140" s="332">
        <f>Kertaskerja_Final!N:N</f>
        <v/>
      </c>
    </row>
    <row r="141">
      <c r="A141" s="307" t="n">
        <v>139</v>
      </c>
      <c r="B141" s="307">
        <f>Kertaskerja_Final!M:M</f>
        <v/>
      </c>
      <c r="C141" s="307">
        <f>Kertaskerja_Final!U:U</f>
        <v/>
      </c>
      <c r="D141" s="307">
        <f>Kertaskerja_Final!O:O</f>
        <v/>
      </c>
      <c r="E141" s="332">
        <f>Kertaskerja_Final!N:N</f>
        <v/>
      </c>
    </row>
    <row r="142">
      <c r="A142" s="307" t="n">
        <v>140</v>
      </c>
      <c r="B142" s="307">
        <f>Kertaskerja_Final!M:M</f>
        <v/>
      </c>
      <c r="C142" s="307">
        <f>Kertaskerja_Final!U:U</f>
        <v/>
      </c>
      <c r="D142" s="307">
        <f>Kertaskerja_Final!O:O</f>
        <v/>
      </c>
      <c r="E142" s="332">
        <f>Kertaskerja_Final!N:N</f>
        <v/>
      </c>
    </row>
    <row r="143">
      <c r="A143" s="307" t="n">
        <v>141</v>
      </c>
      <c r="B143" s="307">
        <f>Kertaskerja_Final!M:M</f>
        <v/>
      </c>
      <c r="C143" s="307">
        <f>Kertaskerja_Final!U:U</f>
        <v/>
      </c>
      <c r="D143" s="307">
        <f>Kertaskerja_Final!O:O</f>
        <v/>
      </c>
      <c r="E143" s="332">
        <f>Kertaskerja_Final!N:N</f>
        <v/>
      </c>
    </row>
    <row r="144">
      <c r="A144" s="307" t="n">
        <v>142</v>
      </c>
      <c r="B144" s="307">
        <f>Kertaskerja_Final!M:M</f>
        <v/>
      </c>
      <c r="C144" s="307">
        <f>Kertaskerja_Final!U:U</f>
        <v/>
      </c>
      <c r="D144" s="307">
        <f>Kertaskerja_Final!O:O</f>
        <v/>
      </c>
      <c r="E144" s="332">
        <f>Kertaskerja_Final!N:N</f>
        <v/>
      </c>
    </row>
    <row r="145">
      <c r="A145" s="307" t="n">
        <v>143</v>
      </c>
      <c r="B145" s="307">
        <f>Kertaskerja_Final!M:M</f>
        <v/>
      </c>
      <c r="C145" s="307">
        <f>Kertaskerja_Final!U:U</f>
        <v/>
      </c>
      <c r="D145" s="307">
        <f>Kertaskerja_Final!O:O</f>
        <v/>
      </c>
      <c r="E145" s="332">
        <f>Kertaskerja_Final!N:N</f>
        <v/>
      </c>
    </row>
    <row r="146">
      <c r="A146" s="307" t="n">
        <v>144</v>
      </c>
      <c r="B146" s="307">
        <f>Kertaskerja_Final!M:M</f>
        <v/>
      </c>
      <c r="C146" s="307">
        <f>Kertaskerja_Final!U:U</f>
        <v/>
      </c>
      <c r="D146" s="307">
        <f>Kertaskerja_Final!O:O</f>
        <v/>
      </c>
      <c r="E146" s="332">
        <f>Kertaskerja_Final!N:N</f>
        <v/>
      </c>
    </row>
    <row r="147">
      <c r="A147" s="307" t="n">
        <v>145</v>
      </c>
      <c r="B147" s="307">
        <f>Kertaskerja_Final!M:M</f>
        <v/>
      </c>
      <c r="C147" s="307">
        <f>Kertaskerja_Final!U:U</f>
        <v/>
      </c>
      <c r="D147" s="307">
        <f>Kertaskerja_Final!O:O</f>
        <v/>
      </c>
      <c r="E147" s="332">
        <f>Kertaskerja_Final!N:N</f>
        <v/>
      </c>
    </row>
    <row r="148">
      <c r="A148" s="307" t="n">
        <v>146</v>
      </c>
      <c r="B148" s="307">
        <f>Kertaskerja_Final!M:M</f>
        <v/>
      </c>
      <c r="C148" s="307">
        <f>Kertaskerja_Final!U:U</f>
        <v/>
      </c>
      <c r="D148" s="307">
        <f>Kertaskerja_Final!O:O</f>
        <v/>
      </c>
      <c r="E148" s="332">
        <f>Kertaskerja_Final!N:N</f>
        <v/>
      </c>
    </row>
    <row r="149">
      <c r="A149" s="307" t="n">
        <v>147</v>
      </c>
      <c r="B149" s="307">
        <f>Kertaskerja_Final!M:M</f>
        <v/>
      </c>
      <c r="C149" s="307">
        <f>Kertaskerja_Final!U:U</f>
        <v/>
      </c>
      <c r="D149" s="307">
        <f>Kertaskerja_Final!O:O</f>
        <v/>
      </c>
      <c r="E149" s="332">
        <f>Kertaskerja_Final!N:N</f>
        <v/>
      </c>
    </row>
    <row r="150">
      <c r="A150" s="307" t="n">
        <v>148</v>
      </c>
      <c r="B150" s="307">
        <f>Kertaskerja_Final!M:M</f>
        <v/>
      </c>
      <c r="C150" s="307">
        <f>Kertaskerja_Final!U:U</f>
        <v/>
      </c>
      <c r="D150" s="307">
        <f>Kertaskerja_Final!O:O</f>
        <v/>
      </c>
      <c r="E150" s="332">
        <f>Kertaskerja_Final!N:N</f>
        <v/>
      </c>
    </row>
    <row r="151">
      <c r="A151" s="307" t="n">
        <v>149</v>
      </c>
      <c r="B151" s="307">
        <f>Kertaskerja_Final!M:M</f>
        <v/>
      </c>
      <c r="C151" s="307">
        <f>Kertaskerja_Final!U:U</f>
        <v/>
      </c>
      <c r="D151" s="307">
        <f>Kertaskerja_Final!O:O</f>
        <v/>
      </c>
      <c r="E151" s="332">
        <f>Kertaskerja_Final!N:N</f>
        <v/>
      </c>
    </row>
    <row r="152">
      <c r="A152" s="307" t="n">
        <v>150</v>
      </c>
      <c r="B152" s="307">
        <f>Kertaskerja_Final!M:M</f>
        <v/>
      </c>
      <c r="C152" s="307">
        <f>Kertaskerja_Final!U:U</f>
        <v/>
      </c>
      <c r="D152" s="307">
        <f>Kertaskerja_Final!O:O</f>
        <v/>
      </c>
      <c r="E152" s="332">
        <f>Kertaskerja_Final!N:N</f>
        <v/>
      </c>
    </row>
    <row r="153">
      <c r="A153" s="307" t="n">
        <v>151</v>
      </c>
      <c r="B153" s="307">
        <f>Kertaskerja_Final!M:M</f>
        <v/>
      </c>
      <c r="C153" s="307">
        <f>Kertaskerja_Final!U:U</f>
        <v/>
      </c>
      <c r="D153" s="307">
        <f>Kertaskerja_Final!O:O</f>
        <v/>
      </c>
      <c r="E153" s="332">
        <f>Kertaskerja_Final!N:N</f>
        <v/>
      </c>
    </row>
    <row r="154">
      <c r="A154" s="307" t="n">
        <v>152</v>
      </c>
      <c r="B154" s="307">
        <f>Kertaskerja_Final!M:M</f>
        <v/>
      </c>
      <c r="C154" s="307">
        <f>Kertaskerja_Final!U:U</f>
        <v/>
      </c>
      <c r="D154" s="307">
        <f>Kertaskerja_Final!O:O</f>
        <v/>
      </c>
      <c r="E154" s="332">
        <f>Kertaskerja_Final!N:N</f>
        <v/>
      </c>
    </row>
    <row r="155">
      <c r="A155" s="307" t="n">
        <v>153</v>
      </c>
      <c r="B155" s="307">
        <f>Kertaskerja_Final!M:M</f>
        <v/>
      </c>
      <c r="C155" s="307">
        <f>Kertaskerja_Final!U:U</f>
        <v/>
      </c>
      <c r="D155" s="307">
        <f>Kertaskerja_Final!O:O</f>
        <v/>
      </c>
      <c r="E155" s="332">
        <f>Kertaskerja_Final!N:N</f>
        <v/>
      </c>
    </row>
    <row r="156">
      <c r="A156" s="307" t="n">
        <v>154</v>
      </c>
      <c r="B156" s="307">
        <f>Kertaskerja_Final!M:M</f>
        <v/>
      </c>
      <c r="C156" s="307">
        <f>Kertaskerja_Final!U:U</f>
        <v/>
      </c>
      <c r="D156" s="307">
        <f>Kertaskerja_Final!O:O</f>
        <v/>
      </c>
      <c r="E156" s="332">
        <f>Kertaskerja_Final!N:N</f>
        <v/>
      </c>
    </row>
    <row r="157">
      <c r="A157" s="307" t="n">
        <v>155</v>
      </c>
      <c r="B157" s="307">
        <f>Kertaskerja_Final!M:M</f>
        <v/>
      </c>
      <c r="C157" s="307">
        <f>Kertaskerja_Final!U:U</f>
        <v/>
      </c>
      <c r="D157" s="307">
        <f>Kertaskerja_Final!O:O</f>
        <v/>
      </c>
      <c r="E157" s="332">
        <f>Kertaskerja_Final!N:N</f>
        <v/>
      </c>
    </row>
    <row r="158">
      <c r="A158" s="307" t="n">
        <v>156</v>
      </c>
      <c r="B158" s="307">
        <f>Kertaskerja_Final!M:M</f>
        <v/>
      </c>
      <c r="C158" s="307">
        <f>Kertaskerja_Final!U:U</f>
        <v/>
      </c>
      <c r="D158" s="307">
        <f>Kertaskerja_Final!O:O</f>
        <v/>
      </c>
      <c r="E158" s="332">
        <f>Kertaskerja_Final!N:N</f>
        <v/>
      </c>
    </row>
    <row r="159">
      <c r="A159" s="307" t="n">
        <v>157</v>
      </c>
      <c r="B159" s="307">
        <f>Kertaskerja_Final!M:M</f>
        <v/>
      </c>
      <c r="C159" s="307">
        <f>Kertaskerja_Final!U:U</f>
        <v/>
      </c>
      <c r="D159" s="307">
        <f>Kertaskerja_Final!O:O</f>
        <v/>
      </c>
      <c r="E159" s="332">
        <f>Kertaskerja_Final!N:N</f>
        <v/>
      </c>
    </row>
    <row r="160">
      <c r="A160" s="307" t="n">
        <v>158</v>
      </c>
      <c r="B160" s="307">
        <f>Kertaskerja_Final!M:M</f>
        <v/>
      </c>
      <c r="C160" s="307">
        <f>Kertaskerja_Final!U:U</f>
        <v/>
      </c>
      <c r="D160" s="307">
        <f>Kertaskerja_Final!O:O</f>
        <v/>
      </c>
      <c r="E160" s="332">
        <f>Kertaskerja_Final!N:N</f>
        <v/>
      </c>
    </row>
    <row r="161">
      <c r="A161" s="307" t="n">
        <v>159</v>
      </c>
      <c r="B161" s="307">
        <f>Kertaskerja_Final!M:M</f>
        <v/>
      </c>
      <c r="C161" s="307">
        <f>Kertaskerja_Final!U:U</f>
        <v/>
      </c>
      <c r="D161" s="307">
        <f>Kertaskerja_Final!O:O</f>
        <v/>
      </c>
      <c r="E161" s="332">
        <f>Kertaskerja_Final!N:N</f>
        <v/>
      </c>
    </row>
    <row r="162">
      <c r="A162" s="307" t="n">
        <v>160</v>
      </c>
      <c r="B162" s="307">
        <f>Kertaskerja_Final!M:M</f>
        <v/>
      </c>
      <c r="C162" s="307">
        <f>Kertaskerja_Final!U:U</f>
        <v/>
      </c>
      <c r="D162" s="307">
        <f>Kertaskerja_Final!O:O</f>
        <v/>
      </c>
      <c r="E162" s="332">
        <f>Kertaskerja_Final!N:N</f>
        <v/>
      </c>
    </row>
    <row r="163">
      <c r="A163" s="307" t="n">
        <v>161</v>
      </c>
      <c r="B163" s="304">
        <f>Kertaskerja_Final!M:M</f>
        <v/>
      </c>
      <c r="C163" s="304">
        <f>Kertaskerja_Final!U:U</f>
        <v/>
      </c>
      <c r="D163" s="304">
        <f>Kertaskerja_Final!O:O</f>
        <v/>
      </c>
      <c r="E163" s="305">
        <f>Kertaskerja_Final!N:N</f>
        <v/>
      </c>
    </row>
    <row r="164">
      <c r="A164" s="307" t="n">
        <v>162</v>
      </c>
      <c r="B164" s="307">
        <f>Kertaskerja_Final!M:M</f>
        <v/>
      </c>
      <c r="C164" s="307">
        <f>Kertaskerja_Final!U:U</f>
        <v/>
      </c>
      <c r="D164" s="307">
        <f>Kertaskerja_Final!O:O</f>
        <v/>
      </c>
      <c r="E164" s="332">
        <f>Kertaskerja_Final!N:N</f>
        <v/>
      </c>
    </row>
    <row r="165">
      <c r="A165" s="307" t="n">
        <v>163</v>
      </c>
      <c r="B165" s="307">
        <f>Kertaskerja_Final!M:M</f>
        <v/>
      </c>
      <c r="C165" s="307">
        <f>Kertaskerja_Final!U:U</f>
        <v/>
      </c>
      <c r="D165" s="307">
        <f>Kertaskerja_Final!O:O</f>
        <v/>
      </c>
      <c r="E165" s="332">
        <f>Kertaskerja_Final!N:N</f>
        <v/>
      </c>
    </row>
    <row r="166">
      <c r="A166" s="307" t="n">
        <v>164</v>
      </c>
      <c r="B166" s="307">
        <f>Kertaskerja_Final!M:M</f>
        <v/>
      </c>
      <c r="C166" s="307">
        <f>Kertaskerja_Final!U:U</f>
        <v/>
      </c>
      <c r="D166" s="307">
        <f>Kertaskerja_Final!O:O</f>
        <v/>
      </c>
      <c r="E166" s="332">
        <f>Kertaskerja_Final!N:N</f>
        <v/>
      </c>
    </row>
    <row r="167">
      <c r="A167" s="307" t="n">
        <v>165</v>
      </c>
      <c r="B167" s="307">
        <f>Kertaskerja_Final!M:M</f>
        <v/>
      </c>
      <c r="C167" s="307">
        <f>Kertaskerja_Final!U:U</f>
        <v/>
      </c>
      <c r="D167" s="307">
        <f>Kertaskerja_Final!O:O</f>
        <v/>
      </c>
      <c r="E167" s="332">
        <f>Kertaskerja_Final!N:N</f>
        <v/>
      </c>
    </row>
    <row r="168">
      <c r="A168" s="307" t="n">
        <v>166</v>
      </c>
      <c r="B168" s="307">
        <f>Kertaskerja_Final!M:M</f>
        <v/>
      </c>
      <c r="C168" s="307">
        <f>Kertaskerja_Final!U:U</f>
        <v/>
      </c>
      <c r="D168" s="307">
        <f>Kertaskerja_Final!O:O</f>
        <v/>
      </c>
      <c r="E168" s="332">
        <f>Kertaskerja_Final!N:N</f>
        <v/>
      </c>
    </row>
    <row r="169">
      <c r="A169" s="307" t="n">
        <v>167</v>
      </c>
      <c r="B169" s="307">
        <f>Kertaskerja_Final!M:M</f>
        <v/>
      </c>
      <c r="C169" s="307">
        <f>Kertaskerja_Final!U:U</f>
        <v/>
      </c>
      <c r="D169" s="307">
        <f>Kertaskerja_Final!O:O</f>
        <v/>
      </c>
      <c r="E169" s="332">
        <f>Kertaskerja_Final!N:N</f>
        <v/>
      </c>
    </row>
    <row r="170">
      <c r="A170" s="307" t="n">
        <v>168</v>
      </c>
      <c r="B170" s="307">
        <f>Kertaskerja_Final!M:M</f>
        <v/>
      </c>
      <c r="C170" s="307">
        <f>Kertaskerja_Final!U:U</f>
        <v/>
      </c>
      <c r="D170" s="307">
        <f>Kertaskerja_Final!O:O</f>
        <v/>
      </c>
      <c r="E170" s="332">
        <f>Kertaskerja_Final!N:N</f>
        <v/>
      </c>
    </row>
    <row r="171">
      <c r="A171" s="307" t="n">
        <v>169</v>
      </c>
      <c r="B171" s="307">
        <f>Kertaskerja_Final!M:M</f>
        <v/>
      </c>
      <c r="C171" s="307">
        <f>Kertaskerja_Final!U:U</f>
        <v/>
      </c>
      <c r="D171" s="307">
        <f>Kertaskerja_Final!O:O</f>
        <v/>
      </c>
      <c r="E171" s="332">
        <f>Kertaskerja_Final!N:N</f>
        <v/>
      </c>
    </row>
    <row r="172">
      <c r="A172" s="307" t="n">
        <v>170</v>
      </c>
      <c r="B172" s="307">
        <f>Kertaskerja_Final!M:M</f>
        <v/>
      </c>
      <c r="C172" s="307">
        <f>Kertaskerja_Final!U:U</f>
        <v/>
      </c>
      <c r="D172" s="307">
        <f>Kertaskerja_Final!O:O</f>
        <v/>
      </c>
      <c r="E172" s="332">
        <f>Kertaskerja_Final!N:N</f>
        <v/>
      </c>
    </row>
    <row r="173">
      <c r="A173" s="307" t="n">
        <v>171</v>
      </c>
      <c r="B173" s="307">
        <f>Kertaskerja_Final!M:M</f>
        <v/>
      </c>
      <c r="C173" s="307">
        <f>Kertaskerja_Final!U:U</f>
        <v/>
      </c>
      <c r="D173" s="307">
        <f>Kertaskerja_Final!O:O</f>
        <v/>
      </c>
      <c r="E173" s="332">
        <f>Kertaskerja_Final!N:N</f>
        <v/>
      </c>
    </row>
    <row r="174">
      <c r="A174" s="307" t="n">
        <v>172</v>
      </c>
      <c r="B174" s="307">
        <f>Kertaskerja_Final!M:M</f>
        <v/>
      </c>
      <c r="C174" s="307">
        <f>Kertaskerja_Final!U:U</f>
        <v/>
      </c>
      <c r="D174" s="307">
        <f>Kertaskerja_Final!O:O</f>
        <v/>
      </c>
      <c r="E174" s="332">
        <f>Kertaskerja_Final!N:N</f>
        <v/>
      </c>
    </row>
    <row r="175">
      <c r="A175" s="307" t="n">
        <v>173</v>
      </c>
      <c r="B175" s="307">
        <f>Kertaskerja_Final!M:M</f>
        <v/>
      </c>
      <c r="C175" s="307">
        <f>Kertaskerja_Final!U:U</f>
        <v/>
      </c>
      <c r="D175" s="307">
        <f>Kertaskerja_Final!O:O</f>
        <v/>
      </c>
      <c r="E175" s="332">
        <f>Kertaskerja_Final!N:N</f>
        <v/>
      </c>
    </row>
    <row r="176">
      <c r="A176" s="307" t="n">
        <v>174</v>
      </c>
      <c r="B176" s="307">
        <f>Kertaskerja_Final!M:M</f>
        <v/>
      </c>
      <c r="C176" s="307">
        <f>Kertaskerja_Final!U:U</f>
        <v/>
      </c>
      <c r="D176" s="307">
        <f>Kertaskerja_Final!O:O</f>
        <v/>
      </c>
      <c r="E176" s="332">
        <f>Kertaskerja_Final!N:N</f>
        <v/>
      </c>
    </row>
    <row r="177">
      <c r="A177" s="307" t="n">
        <v>175</v>
      </c>
      <c r="B177" s="307">
        <f>Kertaskerja_Final!M:M</f>
        <v/>
      </c>
      <c r="C177" s="307">
        <f>Kertaskerja_Final!U:U</f>
        <v/>
      </c>
      <c r="D177" s="307">
        <f>Kertaskerja_Final!O:O</f>
        <v/>
      </c>
      <c r="E177" s="332">
        <f>Kertaskerja_Final!N:N</f>
        <v/>
      </c>
    </row>
    <row r="178">
      <c r="A178" s="307" t="n">
        <v>176</v>
      </c>
      <c r="B178" s="307">
        <f>Kertaskerja_Final!M:M</f>
        <v/>
      </c>
      <c r="C178" s="307">
        <f>Kertaskerja_Final!U:U</f>
        <v/>
      </c>
      <c r="D178" s="307">
        <f>Kertaskerja_Final!O:O</f>
        <v/>
      </c>
      <c r="E178" s="332">
        <f>Kertaskerja_Final!N:N</f>
        <v/>
      </c>
    </row>
    <row r="179">
      <c r="A179" s="307" t="n">
        <v>177</v>
      </c>
      <c r="B179" s="307">
        <f>Kertaskerja_Final!M:M</f>
        <v/>
      </c>
      <c r="C179" s="307">
        <f>Kertaskerja_Final!U:U</f>
        <v/>
      </c>
      <c r="D179" s="307">
        <f>Kertaskerja_Final!O:O</f>
        <v/>
      </c>
      <c r="E179" s="332">
        <f>Kertaskerja_Final!N:N</f>
        <v/>
      </c>
    </row>
    <row r="180">
      <c r="A180" s="307" t="n">
        <v>178</v>
      </c>
      <c r="B180" s="307">
        <f>Kertaskerja_Final!M:M</f>
        <v/>
      </c>
      <c r="C180" s="307">
        <f>Kertaskerja_Final!U:U</f>
        <v/>
      </c>
      <c r="D180" s="307">
        <f>Kertaskerja_Final!O:O</f>
        <v/>
      </c>
      <c r="E180" s="332">
        <f>Kertaskerja_Final!N:N</f>
        <v/>
      </c>
    </row>
    <row r="181">
      <c r="A181" s="307" t="n">
        <v>179</v>
      </c>
      <c r="B181" s="307">
        <f>Kertaskerja_Final!M:M</f>
        <v/>
      </c>
      <c r="C181" s="307">
        <f>Kertaskerja_Final!U:U</f>
        <v/>
      </c>
      <c r="D181" s="307">
        <f>Kertaskerja_Final!O:O</f>
        <v/>
      </c>
      <c r="E181" s="332">
        <f>Kertaskerja_Final!N:N</f>
        <v/>
      </c>
    </row>
    <row r="182">
      <c r="A182" s="307" t="n">
        <v>180</v>
      </c>
      <c r="B182" s="307">
        <f>Kertaskerja_Final!M:M</f>
        <v/>
      </c>
      <c r="C182" s="307">
        <f>Kertaskerja_Final!U:U</f>
        <v/>
      </c>
      <c r="D182" s="307">
        <f>Kertaskerja_Final!O:O</f>
        <v/>
      </c>
      <c r="E182" s="332">
        <f>Kertaskerja_Final!N:N</f>
        <v/>
      </c>
    </row>
    <row r="183">
      <c r="A183" s="307" t="n">
        <v>181</v>
      </c>
      <c r="B183" s="307">
        <f>Kertaskerja_Final!M:M</f>
        <v/>
      </c>
      <c r="C183" s="307">
        <f>Kertaskerja_Final!U:U</f>
        <v/>
      </c>
      <c r="D183" s="307">
        <f>Kertaskerja_Final!O:O</f>
        <v/>
      </c>
      <c r="E183" s="332">
        <f>Kertaskerja_Final!N:N</f>
        <v/>
      </c>
    </row>
    <row r="184">
      <c r="A184" s="307" t="n">
        <v>182</v>
      </c>
      <c r="B184" s="307">
        <f>Kertaskerja_Final!M:M</f>
        <v/>
      </c>
      <c r="C184" s="307">
        <f>Kertaskerja_Final!U:U</f>
        <v/>
      </c>
      <c r="D184" s="307">
        <f>Kertaskerja_Final!O:O</f>
        <v/>
      </c>
      <c r="E184" s="332">
        <f>Kertaskerja_Final!N:N</f>
        <v/>
      </c>
    </row>
    <row r="185">
      <c r="A185" s="307" t="n">
        <v>183</v>
      </c>
      <c r="B185" s="307">
        <f>Kertaskerja_Final!M:M</f>
        <v/>
      </c>
      <c r="C185" s="307">
        <f>Kertaskerja_Final!U:U</f>
        <v/>
      </c>
      <c r="D185" s="307">
        <f>Kertaskerja_Final!O:O</f>
        <v/>
      </c>
      <c r="E185" s="332">
        <f>Kertaskerja_Final!N:N</f>
        <v/>
      </c>
    </row>
    <row r="186">
      <c r="A186" s="307" t="n">
        <v>184</v>
      </c>
      <c r="B186" s="307">
        <f>Kertaskerja_Final!M:M</f>
        <v/>
      </c>
      <c r="C186" s="307">
        <f>Kertaskerja_Final!U:U</f>
        <v/>
      </c>
      <c r="D186" s="307">
        <f>Kertaskerja_Final!O:O</f>
        <v/>
      </c>
      <c r="E186" s="332">
        <f>Kertaskerja_Final!N:N</f>
        <v/>
      </c>
    </row>
    <row r="187">
      <c r="A187" s="307" t="n">
        <v>185</v>
      </c>
      <c r="B187" s="307">
        <f>Kertaskerja_Final!M:M</f>
        <v/>
      </c>
      <c r="C187" s="307">
        <f>Kertaskerja_Final!U:U</f>
        <v/>
      </c>
      <c r="D187" s="307">
        <f>Kertaskerja_Final!O:O</f>
        <v/>
      </c>
      <c r="E187" s="332">
        <f>Kertaskerja_Final!N:N</f>
        <v/>
      </c>
    </row>
    <row r="188">
      <c r="A188" s="307" t="n">
        <v>186</v>
      </c>
      <c r="B188" s="307">
        <f>Kertaskerja_Final!M:M</f>
        <v/>
      </c>
      <c r="C188" s="307">
        <f>Kertaskerja_Final!U:U</f>
        <v/>
      </c>
      <c r="D188" s="307">
        <f>Kertaskerja_Final!O:O</f>
        <v/>
      </c>
      <c r="E188" s="332">
        <f>Kertaskerja_Final!N:N</f>
        <v/>
      </c>
    </row>
    <row r="189">
      <c r="A189" s="307" t="n">
        <v>187</v>
      </c>
      <c r="B189" s="307">
        <f>Kertaskerja_Final!M:M</f>
        <v/>
      </c>
      <c r="C189" s="307">
        <f>Kertaskerja_Final!U:U</f>
        <v/>
      </c>
      <c r="D189" s="307">
        <f>Kertaskerja_Final!O:O</f>
        <v/>
      </c>
      <c r="E189" s="332">
        <f>Kertaskerja_Final!N:N</f>
        <v/>
      </c>
    </row>
    <row r="190">
      <c r="A190" s="307" t="n">
        <v>188</v>
      </c>
      <c r="B190" s="307">
        <f>Kertaskerja_Final!M:M</f>
        <v/>
      </c>
      <c r="C190" s="307">
        <f>Kertaskerja_Final!U:U</f>
        <v/>
      </c>
      <c r="D190" s="307">
        <f>Kertaskerja_Final!O:O</f>
        <v/>
      </c>
      <c r="E190" s="332">
        <f>Kertaskerja_Final!N:N</f>
        <v/>
      </c>
    </row>
    <row r="191">
      <c r="A191" s="307" t="n">
        <v>189</v>
      </c>
      <c r="B191" s="307">
        <f>Kertaskerja_Final!M:M</f>
        <v/>
      </c>
      <c r="C191" s="307">
        <f>Kertaskerja_Final!U:U</f>
        <v/>
      </c>
      <c r="D191" s="307">
        <f>Kertaskerja_Final!O:O</f>
        <v/>
      </c>
      <c r="E191" s="332">
        <f>Kertaskerja_Final!N:N</f>
        <v/>
      </c>
    </row>
    <row r="192">
      <c r="A192" s="307" t="n">
        <v>190</v>
      </c>
      <c r="B192" s="307">
        <f>Kertaskerja_Final!M:M</f>
        <v/>
      </c>
      <c r="C192" s="307">
        <f>Kertaskerja_Final!U:U</f>
        <v/>
      </c>
      <c r="D192" s="307">
        <f>Kertaskerja_Final!O:O</f>
        <v/>
      </c>
      <c r="E192" s="332">
        <f>Kertaskerja_Final!N:N</f>
        <v/>
      </c>
    </row>
    <row r="193">
      <c r="A193" s="307" t="n">
        <v>191</v>
      </c>
      <c r="B193" s="307">
        <f>Kertaskerja_Final!M:M</f>
        <v/>
      </c>
      <c r="C193" s="307">
        <f>Kertaskerja_Final!U:U</f>
        <v/>
      </c>
      <c r="D193" s="307">
        <f>Kertaskerja_Final!O:O</f>
        <v/>
      </c>
      <c r="E193" s="332">
        <f>Kertaskerja_Final!N:N</f>
        <v/>
      </c>
    </row>
    <row r="194">
      <c r="A194" s="307" t="n">
        <v>192</v>
      </c>
      <c r="B194" s="307">
        <f>Kertaskerja_Final!M:M</f>
        <v/>
      </c>
      <c r="C194" s="307">
        <f>Kertaskerja_Final!U:U</f>
        <v/>
      </c>
      <c r="D194" s="307">
        <f>Kertaskerja_Final!O:O</f>
        <v/>
      </c>
      <c r="E194" s="332">
        <f>Kertaskerja_Final!N:N</f>
        <v/>
      </c>
    </row>
    <row r="195">
      <c r="A195" s="307" t="n">
        <v>193</v>
      </c>
      <c r="B195" s="307">
        <f>Kertaskerja_Final!M:M</f>
        <v/>
      </c>
      <c r="C195" s="307">
        <f>Kertaskerja_Final!U:U</f>
        <v/>
      </c>
      <c r="D195" s="307">
        <f>Kertaskerja_Final!O:O</f>
        <v/>
      </c>
      <c r="E195" s="332">
        <f>Kertaskerja_Final!N:N</f>
        <v/>
      </c>
    </row>
    <row r="196">
      <c r="A196" s="307" t="n">
        <v>194</v>
      </c>
      <c r="B196" s="307">
        <f>Kertaskerja_Final!M:M</f>
        <v/>
      </c>
      <c r="C196" s="307">
        <f>Kertaskerja_Final!U:U</f>
        <v/>
      </c>
      <c r="D196" s="307">
        <f>Kertaskerja_Final!O:O</f>
        <v/>
      </c>
      <c r="E196" s="332">
        <f>Kertaskerja_Final!N:N</f>
        <v/>
      </c>
    </row>
    <row r="197">
      <c r="A197" s="307" t="n">
        <v>195</v>
      </c>
      <c r="B197" s="307">
        <f>Kertaskerja_Final!M:M</f>
        <v/>
      </c>
      <c r="C197" s="307">
        <f>Kertaskerja_Final!U:U</f>
        <v/>
      </c>
      <c r="D197" s="307">
        <f>Kertaskerja_Final!O:O</f>
        <v/>
      </c>
      <c r="E197" s="332">
        <f>Kertaskerja_Final!N:N</f>
        <v/>
      </c>
    </row>
    <row r="198">
      <c r="A198" s="307" t="n">
        <v>196</v>
      </c>
      <c r="B198" s="307">
        <f>Kertaskerja_Final!M:M</f>
        <v/>
      </c>
      <c r="C198" s="307">
        <f>Kertaskerja_Final!U:U</f>
        <v/>
      </c>
      <c r="D198" s="307">
        <f>Kertaskerja_Final!O:O</f>
        <v/>
      </c>
      <c r="E198" s="332">
        <f>Kertaskerja_Final!N:N</f>
        <v/>
      </c>
    </row>
    <row r="199">
      <c r="A199" s="307" t="n">
        <v>197</v>
      </c>
      <c r="B199" s="307">
        <f>Kertaskerja_Final!M:M</f>
        <v/>
      </c>
      <c r="C199" s="307">
        <f>Kertaskerja_Final!U:U</f>
        <v/>
      </c>
      <c r="D199" s="307">
        <f>Kertaskerja_Final!O:O</f>
        <v/>
      </c>
      <c r="E199" s="332">
        <f>Kertaskerja_Final!N:N</f>
        <v/>
      </c>
    </row>
    <row r="200">
      <c r="A200" s="307" t="n">
        <v>198</v>
      </c>
      <c r="B200" s="307">
        <f>Kertaskerja_Final!M:M</f>
        <v/>
      </c>
      <c r="C200" s="307">
        <f>Kertaskerja_Final!U:U</f>
        <v/>
      </c>
      <c r="D200" s="307">
        <f>Kertaskerja_Final!O:O</f>
        <v/>
      </c>
      <c r="E200" s="332">
        <f>Kertaskerja_Final!N:N</f>
        <v/>
      </c>
    </row>
    <row r="201">
      <c r="A201" s="307" t="n">
        <v>199</v>
      </c>
      <c r="B201" s="304">
        <f>Kertaskerja_Final!M:M</f>
        <v/>
      </c>
      <c r="C201" s="304">
        <f>Kertaskerja_Final!U:U</f>
        <v/>
      </c>
      <c r="D201" s="304">
        <f>Kertaskerja_Final!O:O</f>
        <v/>
      </c>
      <c r="E201" s="305">
        <f>Kertaskerja_Final!N:N</f>
        <v/>
      </c>
    </row>
    <row r="202">
      <c r="A202" s="307" t="n">
        <v>200</v>
      </c>
      <c r="B202" s="307">
        <f>Kertaskerja_Final!M:M</f>
        <v/>
      </c>
      <c r="C202" s="307">
        <f>Kertaskerja_Final!U:U</f>
        <v/>
      </c>
      <c r="D202" s="307">
        <f>Kertaskerja_Final!O:O</f>
        <v/>
      </c>
      <c r="E202" s="332">
        <f>Kertaskerja_Final!N:N</f>
        <v/>
      </c>
    </row>
    <row r="203">
      <c r="A203" s="307" t="n">
        <v>201</v>
      </c>
      <c r="B203" s="307">
        <f>Kertaskerja_Final!M:M</f>
        <v/>
      </c>
      <c r="C203" s="307">
        <f>Kertaskerja_Final!U:U</f>
        <v/>
      </c>
      <c r="D203" s="307">
        <f>Kertaskerja_Final!O:O</f>
        <v/>
      </c>
      <c r="E203" s="332">
        <f>Kertaskerja_Final!N:N</f>
        <v/>
      </c>
    </row>
    <row r="204">
      <c r="A204" s="307" t="n">
        <v>202</v>
      </c>
      <c r="B204" s="307">
        <f>Kertaskerja_Final!M:M</f>
        <v/>
      </c>
      <c r="C204" s="307">
        <f>Kertaskerja_Final!U:U</f>
        <v/>
      </c>
      <c r="D204" s="307">
        <f>Kertaskerja_Final!O:O</f>
        <v/>
      </c>
      <c r="E204" s="332">
        <f>Kertaskerja_Final!N:N</f>
        <v/>
      </c>
    </row>
    <row r="205">
      <c r="A205" s="307" t="n">
        <v>203</v>
      </c>
      <c r="B205" s="308" t="inlineStr">
        <is>
          <t>Microsoft Excel (1)</t>
        </is>
      </c>
      <c r="C205" s="309" t="inlineStr">
        <is>
          <t>-</t>
        </is>
      </c>
      <c r="D205" s="310" t="inlineStr">
        <is>
          <t>Kab. Bandung</t>
        </is>
      </c>
      <c r="E205" s="309" t="inlineStr">
        <is>
          <t>-</t>
        </is>
      </c>
    </row>
    <row r="206">
      <c r="A206" s="307" t="n">
        <v>204</v>
      </c>
      <c r="B206" s="308" t="inlineStr">
        <is>
          <t>Google Formulir (7)</t>
        </is>
      </c>
      <c r="C206" s="309" t="inlineStr">
        <is>
          <t>-</t>
        </is>
      </c>
      <c r="D206" s="310" t="inlineStr">
        <is>
          <t>Kab. Bandung (6) - Pusat (1)</t>
        </is>
      </c>
      <c r="E206" s="309" t="inlineStr">
        <is>
          <t>-</t>
        </is>
      </c>
    </row>
    <row r="207">
      <c r="A207" s="307" t="n">
        <v>211</v>
      </c>
      <c r="B207" s="308" t="inlineStr">
        <is>
          <t>Microsoft Office (1)</t>
        </is>
      </c>
      <c r="C207" s="309" t="inlineStr">
        <is>
          <t>-</t>
        </is>
      </c>
      <c r="D207" s="310" t="inlineStr">
        <is>
          <t>Kab. Bandung</t>
        </is>
      </c>
      <c r="E207" s="309" t="inlineStr">
        <is>
          <t>-</t>
        </is>
      </c>
    </row>
    <row r="208">
      <c r="A208" s="307" t="n">
        <v>216</v>
      </c>
      <c r="B208" s="308" t="inlineStr">
        <is>
          <t>Form manual (5)</t>
        </is>
      </c>
      <c r="C208" s="309" t="inlineStr">
        <is>
          <t>-</t>
        </is>
      </c>
      <c r="D208" s="310" t="inlineStr">
        <is>
          <t>Kab. Bandung</t>
        </is>
      </c>
      <c r="E208" s="309" t="inlineStr">
        <is>
          <t>-</t>
        </is>
      </c>
    </row>
  </sheetData>
  <autoFilter ref="$A$2:$E$208"/>
  <mergeCells count="4">
    <mergeCell ref="A1:C1"/>
    <mergeCell ref="G2:H2"/>
    <mergeCell ref="G5:H5"/>
    <mergeCell ref="G13:H13"/>
  </mergeCells>
  <pageMargins left="0.75" right="0.75" top="1" bottom="1" header="0.5" footer="0.5"/>
</worksheet>
</file>

<file path=xl/worksheets/sheet7.xml><?xml version="1.0" encoding="utf-8"?>
<worksheet xmlns="http://schemas.openxmlformats.org/spreadsheetml/2006/main">
  <sheetPr>
    <tabColor rgb="FFC27BA0"/>
    <outlinePr summaryBelow="0" summaryRight="0"/>
    <pageSetUpPr/>
  </sheetPr>
  <dimension ref="A1:D53"/>
  <sheetViews>
    <sheetView workbookViewId="0">
      <selection activeCell="A1" sqref="A1"/>
    </sheetView>
  </sheetViews>
  <sheetFormatPr baseColWidth="8" defaultColWidth="12.63" defaultRowHeight="15.75" customHeight="1"/>
  <cols>
    <col width="46" customWidth="1" style="346" min="2" max="2"/>
    <col width="30.63" customWidth="1" style="346" min="4" max="4"/>
  </cols>
  <sheetData>
    <row r="1">
      <c r="A1" s="293" t="inlineStr">
        <is>
          <t>REKAP LAYANAN KESELURUHAN DI KABUPATEN BANDUNG</t>
        </is>
      </c>
    </row>
    <row r="3">
      <c r="A3" s="312" t="inlineStr">
        <is>
          <t>REKAP I: Layanan Keseluruhan (OPD)</t>
        </is>
      </c>
      <c r="C3" s="312" t="inlineStr">
        <is>
          <t>Jumlah</t>
        </is>
      </c>
      <c r="D3" s="26" t="inlineStr">
        <is>
          <t>catatan</t>
        </is>
      </c>
    </row>
    <row r="4">
      <c r="A4" s="319" t="n"/>
      <c r="B4" s="312" t="inlineStr">
        <is>
          <t>•⁠  Jumlah Layanan Total</t>
        </is>
      </c>
      <c r="C4" s="313" t="n">
        <v>111</v>
      </c>
    </row>
    <row r="5">
      <c r="A5" s="319" t="n"/>
      <c r="B5" s="314" t="inlineStr">
        <is>
          <t>•⁠  Jumlah Layanan Elektronik (dengan aplikasi)</t>
        </is>
      </c>
      <c r="C5" s="315" t="n">
        <v>98</v>
      </c>
    </row>
    <row r="6">
      <c r="A6" s="319" t="n"/>
      <c r="B6" s="316" t="inlineStr">
        <is>
          <t>•⁠  Jumlah Layanan Belum Elektronik</t>
        </is>
      </c>
      <c r="C6" s="317" t="n">
        <v>13</v>
      </c>
    </row>
    <row r="7">
      <c r="A7" s="319" t="n"/>
      <c r="B7" s="316" t="inlineStr">
        <is>
          <t>•⁠  Jumlah Layanan Tidak Diketahui Pemiliknya</t>
        </is>
      </c>
      <c r="C7" s="320" t="n">
        <v>9</v>
      </c>
    </row>
    <row r="8">
      <c r="A8" s="319" t="n"/>
      <c r="B8" s="319" t="n"/>
      <c r="C8" s="319" t="n"/>
    </row>
    <row r="9">
      <c r="A9" s="312" t="inlineStr">
        <is>
          <t>REKAP II: Layanan Elektronik</t>
        </is>
      </c>
      <c r="C9" s="319" t="n"/>
    </row>
    <row r="10">
      <c r="A10" s="319" t="n"/>
      <c r="B10" s="319" t="inlineStr">
        <is>
          <t>•⁠  Jumlah Layanan Publik</t>
        </is>
      </c>
      <c r="C10" s="313" t="n">
        <v>52</v>
      </c>
      <c r="D10" s="26" t="inlineStr">
        <is>
          <t>1 tidak ada keterangan terintegrasi/tidak</t>
        </is>
      </c>
    </row>
    <row r="11">
      <c r="A11" s="319" t="n"/>
      <c r="B11" s="319" t="inlineStr">
        <is>
          <t>•⁠  Jumlah Layanan Publik Yang Terintegrasi</t>
        </is>
      </c>
      <c r="C11" s="320" t="n">
        <v>21</v>
      </c>
    </row>
    <row r="12">
      <c r="A12" s="319" t="n"/>
      <c r="B12" s="319" t="inlineStr">
        <is>
          <t>•⁠  Jumlah Layanan Publik Yang Belum Terintegrasi</t>
        </is>
      </c>
      <c r="C12" s="317" t="n">
        <v>30</v>
      </c>
    </row>
    <row r="13">
      <c r="A13" s="319" t="n"/>
      <c r="B13" s="319" t="inlineStr">
        <is>
          <t>•⁠  Jumlah Layanan Administrasi</t>
        </is>
      </c>
      <c r="C13" s="313" t="n">
        <v>46</v>
      </c>
      <c r="D13" s="26" t="inlineStr">
        <is>
          <t>3 tidak ada keterangan terintegrasi/tidak</t>
        </is>
      </c>
    </row>
    <row r="14">
      <c r="A14" s="319" t="n"/>
      <c r="B14" s="319" t="inlineStr">
        <is>
          <t>•⁠  Jumlah Layanan Administrasi Yang Terintegrasi</t>
        </is>
      </c>
      <c r="C14" s="320" t="n">
        <v>22</v>
      </c>
    </row>
    <row r="15">
      <c r="A15" s="319" t="n"/>
      <c r="B15" s="319" t="inlineStr">
        <is>
          <t>•⁠  Jumlah Layanan Administrasi Yang Belum Terintegrasi</t>
        </is>
      </c>
      <c r="C15" s="320" t="n">
        <v>21</v>
      </c>
    </row>
    <row r="16">
      <c r="A16" s="319" t="n"/>
      <c r="B16" s="319" t="n"/>
      <c r="C16" s="319" t="n"/>
    </row>
    <row r="17">
      <c r="A17" s="312" t="inlineStr">
        <is>
          <t>REKAP III: Layanan Yang Terintegrasi</t>
        </is>
      </c>
      <c r="C17" s="319" t="n"/>
    </row>
    <row r="18">
      <c r="A18" s="319" t="n"/>
      <c r="B18" s="319" t="inlineStr">
        <is>
          <t>•⁠  Jumlah Layanan Terintegrasi dengan BDS</t>
        </is>
      </c>
      <c r="C18" s="320" t="n">
        <v>98</v>
      </c>
    </row>
    <row r="19">
      <c r="A19" s="319" t="n"/>
      <c r="B19" s="319" t="inlineStr">
        <is>
          <t>•⁠  Jumlah Layanan Terintegrasi dengan SSO</t>
        </is>
      </c>
      <c r="C19" s="320" t="n">
        <v>0</v>
      </c>
    </row>
    <row r="20">
      <c r="A20" s="319" t="n"/>
      <c r="B20" s="319" t="n"/>
      <c r="C20" s="320" t="n"/>
    </row>
    <row r="21">
      <c r="A21" s="312" t="inlineStr">
        <is>
          <t>REKAP IV: Layanan Yang Ada di Kecamatan</t>
        </is>
      </c>
    </row>
    <row r="22">
      <c r="B22" s="312" t="inlineStr">
        <is>
          <t>•⁠  Jumlah Layanan Tambahan di Kecamatan</t>
        </is>
      </c>
      <c r="C22" s="293" t="n">
        <v>14</v>
      </c>
    </row>
    <row r="23">
      <c r="B23" s="312" t="inlineStr">
        <is>
          <t>•⁠  Jumlah Layanan Publik</t>
        </is>
      </c>
      <c r="C23" s="293" t="n">
        <v>1</v>
      </c>
    </row>
    <row r="24">
      <c r="B24" s="319" t="inlineStr">
        <is>
          <t>•⁠  Jumlah Layanan Publik Yang Terintegrasi</t>
        </is>
      </c>
      <c r="C24" s="26" t="n">
        <v>1</v>
      </c>
    </row>
    <row r="25">
      <c r="B25" s="319" t="inlineStr">
        <is>
          <t>•⁠  Jumlah Layanan Publik Yang Belum Terintegrasi</t>
        </is>
      </c>
      <c r="C25" s="26" t="n">
        <v>0</v>
      </c>
    </row>
    <row r="26">
      <c r="B26" s="312" t="inlineStr">
        <is>
          <t>•⁠  Jumlah Layanan Administrasi</t>
        </is>
      </c>
      <c r="C26" s="293" t="n">
        <v>13</v>
      </c>
    </row>
    <row r="27">
      <c r="B27" s="319" t="inlineStr">
        <is>
          <t>•⁠  Jumlah Layanan Administrasi Yang Terintegrasi</t>
        </is>
      </c>
      <c r="C27" s="26" t="n">
        <v>0</v>
      </c>
    </row>
    <row r="28">
      <c r="B28" s="319" t="inlineStr">
        <is>
          <t>•⁠  Jumlah Layanan Administrasi Yang Belum Terintegrasi</t>
        </is>
      </c>
      <c r="C28" s="26" t="n">
        <v>13</v>
      </c>
    </row>
    <row r="30">
      <c r="B30" s="293" t="inlineStr">
        <is>
          <t>Desa</t>
        </is>
      </c>
    </row>
    <row r="31">
      <c r="B31" s="312" t="inlineStr">
        <is>
          <t>•⁠  Jumlah Layanan Tambahan di Desa</t>
        </is>
      </c>
      <c r="C31" s="293" t="n">
        <v>4</v>
      </c>
    </row>
    <row r="32">
      <c r="B32" s="312" t="inlineStr">
        <is>
          <t>•⁠  Jumlah Layanan Publik</t>
        </is>
      </c>
      <c r="C32" s="293" t="n">
        <v>1</v>
      </c>
    </row>
    <row r="33">
      <c r="B33" s="319" t="inlineStr">
        <is>
          <t>•⁠  Jumlah Layanan Publik Yang Terintegrasi</t>
        </is>
      </c>
      <c r="C33" s="26" t="n">
        <v>1</v>
      </c>
    </row>
    <row r="34">
      <c r="B34" s="319" t="inlineStr">
        <is>
          <t>•⁠  Jumlah Layanan Publik Yang Belum Terintegrasi</t>
        </is>
      </c>
      <c r="C34" s="26" t="n">
        <v>3</v>
      </c>
    </row>
    <row r="35">
      <c r="B35" s="312" t="inlineStr">
        <is>
          <t>•⁠  Jumlah Layanan Administrasi</t>
        </is>
      </c>
      <c r="C35" s="293" t="n">
        <v>3</v>
      </c>
    </row>
    <row r="36">
      <c r="B36" s="319" t="inlineStr">
        <is>
          <t>•⁠  Jumlah Layanan Administrasi Yang Terintegrasi</t>
        </is>
      </c>
      <c r="C36" s="26" t="n">
        <v>0</v>
      </c>
    </row>
    <row r="37">
      <c r="B37" s="319" t="inlineStr">
        <is>
          <t>•⁠  Jumlah Layanan Administrasi Yang Belum Terintegrasi</t>
        </is>
      </c>
      <c r="C37" s="26" t="n">
        <v>3</v>
      </c>
    </row>
    <row r="39">
      <c r="B39" s="293" t="inlineStr">
        <is>
          <t>Kelurahan</t>
        </is>
      </c>
    </row>
    <row r="40">
      <c r="B40" s="312" t="inlineStr">
        <is>
          <t>•⁠  Jumlah Layanan Tambahan di Kelurahan</t>
        </is>
      </c>
      <c r="C40" s="293" t="n">
        <v>3</v>
      </c>
    </row>
    <row r="41">
      <c r="B41" s="312" t="inlineStr">
        <is>
          <t>•⁠  Jumlah Layanan Publik</t>
        </is>
      </c>
      <c r="C41" s="293" t="n">
        <v>2</v>
      </c>
      <c r="D41" s="26" t="inlineStr">
        <is>
          <t>1 tidak ada keterangan terintegrasi/tidak</t>
        </is>
      </c>
    </row>
    <row r="42">
      <c r="B42" s="319" t="inlineStr">
        <is>
          <t>•⁠  Jumlah Layanan Publik Yang Terintegrasi</t>
        </is>
      </c>
      <c r="C42" s="26" t="n">
        <v>1</v>
      </c>
    </row>
    <row r="43">
      <c r="B43" s="319" t="inlineStr">
        <is>
          <t>•⁠  Jumlah Layanan Publik Yang Belum Terintegrasi</t>
        </is>
      </c>
      <c r="C43" s="26" t="n">
        <v>0</v>
      </c>
    </row>
    <row r="44">
      <c r="B44" s="312" t="inlineStr">
        <is>
          <t>•⁠  Jumlah Layanan Administrasi</t>
        </is>
      </c>
      <c r="C44" s="293" t="n">
        <v>1</v>
      </c>
    </row>
    <row r="45">
      <c r="B45" s="319" t="inlineStr">
        <is>
          <t>•⁠  Jumlah Layanan Administrasi Yang Terintegrasi</t>
        </is>
      </c>
      <c r="C45" s="26" t="n">
        <v>0</v>
      </c>
    </row>
    <row r="46">
      <c r="B46" s="319" t="inlineStr">
        <is>
          <t>•⁠  Jumlah Layanan Administrasi Yang Belum Terintegrasi</t>
        </is>
      </c>
      <c r="C46" s="26" t="n">
        <v>1</v>
      </c>
    </row>
    <row r="48">
      <c r="A48" s="293" t="inlineStr">
        <is>
          <t>REKAP V: Aplikasi yang memiliki data pribadi</t>
        </is>
      </c>
    </row>
    <row r="49">
      <c r="B49" s="26" t="inlineStr">
        <is>
          <t>All</t>
        </is>
      </c>
      <c r="C49" s="26" t="n">
        <v>100</v>
      </c>
    </row>
    <row r="50">
      <c r="B50" s="26" t="inlineStr">
        <is>
          <t>Pusat</t>
        </is>
      </c>
      <c r="C50" s="26" t="n">
        <v>37</v>
      </c>
    </row>
    <row r="51">
      <c r="B51" s="26" t="inlineStr">
        <is>
          <t>Provinsi</t>
        </is>
      </c>
      <c r="C51" s="26" t="n">
        <v>2</v>
      </c>
    </row>
    <row r="52">
      <c r="B52" s="26" t="inlineStr">
        <is>
          <t>Kab Bandung</t>
        </is>
      </c>
      <c r="C52" s="293" t="n">
        <v>53</v>
      </c>
    </row>
    <row r="53">
      <c r="B53" s="26" t="inlineStr">
        <is>
          <t>Pihak ke 3</t>
        </is>
      </c>
      <c r="C53" s="26" t="n">
        <v>8</v>
      </c>
    </row>
  </sheetData>
  <mergeCells count="5">
    <mergeCell ref="A21:B21"/>
    <mergeCell ref="A1:B1"/>
    <mergeCell ref="A17:B17"/>
    <mergeCell ref="A9:B9"/>
    <mergeCell ref="A3:B3"/>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6" customWidth="1" style="346" min="1" max="1"/>
    <col width="17" customWidth="1" style="346" min="2" max="3"/>
    <col width="79.13" customWidth="1" style="346" min="7" max="7"/>
    <col width="17" customWidth="1" style="346" min="9" max="9"/>
    <col width="14.75" customWidth="1" style="346" min="10" max="10"/>
    <col width="13.63" customWidth="1" style="346" min="11" max="11"/>
  </cols>
  <sheetData>
    <row r="1">
      <c r="A1" s="312" t="inlineStr">
        <is>
          <t>Total OPD</t>
        </is>
      </c>
      <c r="B1" s="319" t="n"/>
      <c r="C1" s="319" t="n">
        <v>51</v>
      </c>
      <c r="D1" s="320" t="inlineStr">
        <is>
          <t>Persentase</t>
        </is>
      </c>
      <c r="E1" s="319" t="n"/>
      <c r="F1" s="319" t="n"/>
      <c r="G1" s="319" t="n"/>
      <c r="H1" s="319" t="n"/>
      <c r="I1" s="319" t="n"/>
      <c r="J1" s="319" t="n"/>
      <c r="K1" s="319" t="n"/>
      <c r="L1" s="319" t="n"/>
      <c r="M1" s="319" t="n"/>
      <c r="N1" s="319" t="n"/>
      <c r="O1" s="319" t="n"/>
      <c r="P1" s="319" t="n"/>
      <c r="Q1" s="319" t="n"/>
      <c r="R1" s="319" t="n"/>
      <c r="S1" s="319" t="n"/>
      <c r="T1" s="319" t="n"/>
      <c r="U1" s="319" t="n"/>
      <c r="V1" s="319" t="n"/>
      <c r="W1" s="319" t="n"/>
      <c r="X1" s="319" t="n"/>
      <c r="Y1" s="319" t="n"/>
      <c r="Z1" s="319" t="n"/>
    </row>
    <row r="2">
      <c r="A2" s="312" t="n"/>
      <c r="B2" s="319" t="n"/>
      <c r="C2" s="319" t="n"/>
      <c r="F2" s="319" t="n"/>
      <c r="G2" s="319" t="n"/>
      <c r="H2" s="319" t="n"/>
      <c r="I2" s="319" t="n"/>
      <c r="J2" s="319" t="n"/>
      <c r="K2" s="319" t="n"/>
      <c r="L2" s="319" t="n"/>
      <c r="M2" s="319" t="n"/>
      <c r="N2" s="319" t="n"/>
      <c r="O2" s="319" t="n"/>
      <c r="P2" s="319" t="n"/>
      <c r="Q2" s="319" t="n"/>
      <c r="R2" s="319" t="n"/>
      <c r="S2" s="319" t="n"/>
      <c r="T2" s="319" t="n"/>
      <c r="U2" s="319" t="n"/>
      <c r="V2" s="319" t="n"/>
      <c r="W2" s="319" t="n"/>
      <c r="X2" s="319" t="n"/>
      <c r="Y2" s="319" t="n"/>
      <c r="Z2" s="319" t="n"/>
    </row>
    <row r="3">
      <c r="A3" s="312" t="inlineStr">
        <is>
          <t>Presensi</t>
        </is>
      </c>
      <c r="B3" s="319" t="inlineStr">
        <is>
          <t>Hadir</t>
        </is>
      </c>
      <c r="C3" s="319">
        <f>COUNTIF(H5:H55,"Hadir")</f>
        <v/>
      </c>
      <c r="D3" s="321">
        <f>C3/C1</f>
        <v/>
      </c>
      <c r="F3" s="319" t="n"/>
      <c r="G3" s="319" t="n"/>
      <c r="H3" s="319" t="n"/>
      <c r="I3" s="319" t="n"/>
      <c r="J3" s="319" t="n"/>
      <c r="K3" s="319" t="n"/>
      <c r="L3" s="319" t="n"/>
      <c r="M3" s="319" t="n"/>
      <c r="N3" s="319" t="n"/>
      <c r="O3" s="319" t="n"/>
      <c r="P3" s="319" t="n"/>
      <c r="Q3" s="319" t="n"/>
      <c r="R3" s="319" t="n"/>
      <c r="S3" s="319" t="n"/>
      <c r="T3" s="319" t="n"/>
      <c r="U3" s="319" t="n"/>
      <c r="V3" s="319" t="n"/>
      <c r="W3" s="319" t="n"/>
      <c r="X3" s="319" t="n"/>
      <c r="Y3" s="319" t="n"/>
      <c r="Z3" s="319" t="n"/>
    </row>
    <row r="4">
      <c r="A4" s="319" t="n"/>
      <c r="B4" s="319" t="inlineStr">
        <is>
          <t>Tidak Hadir</t>
        </is>
      </c>
      <c r="C4" s="319">
        <f>COUNTIF(H5:H55,"Tidak Hadir")</f>
        <v/>
      </c>
      <c r="D4" s="321">
        <f>C4/C1</f>
        <v/>
      </c>
      <c r="F4" s="323" t="inlineStr">
        <is>
          <t>No</t>
        </is>
      </c>
      <c r="G4" s="323" t="inlineStr">
        <is>
          <t>OPD</t>
        </is>
      </c>
      <c r="H4" s="323" t="inlineStr">
        <is>
          <t>Presensi</t>
        </is>
      </c>
      <c r="I4" s="323" t="inlineStr">
        <is>
          <t>Pengisian</t>
        </is>
      </c>
      <c r="J4" s="323" t="inlineStr">
        <is>
          <t>PIC</t>
        </is>
      </c>
      <c r="K4" s="323" t="inlineStr">
        <is>
          <t>Keterengan</t>
        </is>
      </c>
      <c r="L4" s="319" t="n"/>
      <c r="M4" s="319" t="n"/>
      <c r="N4" s="319" t="n"/>
      <c r="O4" s="319" t="n"/>
      <c r="P4" s="319" t="n"/>
      <c r="Q4" s="319" t="n"/>
      <c r="R4" s="319" t="n"/>
      <c r="S4" s="319" t="n"/>
      <c r="T4" s="319" t="n"/>
      <c r="U4" s="319" t="n"/>
      <c r="V4" s="319" t="n"/>
      <c r="W4" s="319" t="n"/>
      <c r="X4" s="319" t="n"/>
      <c r="Y4" s="319" t="n"/>
      <c r="Z4" s="319" t="n"/>
    </row>
    <row r="5">
      <c r="A5" s="319" t="n"/>
      <c r="B5" s="319" t="n"/>
      <c r="C5" s="319" t="n"/>
      <c r="D5" s="319" t="n"/>
      <c r="F5" s="325" t="n">
        <v>1</v>
      </c>
      <c r="G5" s="325" t="inlineStr">
        <is>
          <t>Sekretariat Dewan Perwakilan Rakyat Daerah</t>
        </is>
      </c>
      <c r="H5" s="325" t="inlineStr">
        <is>
          <t>Hadir</t>
        </is>
      </c>
      <c r="I5" s="325" t="inlineStr">
        <is>
          <t>Selesai</t>
        </is>
      </c>
      <c r="J5" s="325" t="inlineStr">
        <is>
          <t>Ilham</t>
        </is>
      </c>
      <c r="K5" s="325" t="n"/>
      <c r="L5" s="319" t="n"/>
      <c r="M5" s="319" t="n"/>
      <c r="N5" s="319" t="n"/>
      <c r="O5" s="319" t="n"/>
      <c r="P5" s="319" t="n"/>
      <c r="Q5" s="319" t="n"/>
      <c r="R5" s="319" t="n"/>
      <c r="S5" s="319" t="n"/>
      <c r="T5" s="319" t="n"/>
      <c r="U5" s="319" t="n"/>
      <c r="V5" s="319" t="n"/>
      <c r="W5" s="319" t="n"/>
      <c r="X5" s="319" t="n"/>
      <c r="Y5" s="319" t="n"/>
      <c r="Z5" s="319" t="n"/>
    </row>
    <row r="6">
      <c r="A6" s="319" t="n"/>
      <c r="B6" s="319" t="n"/>
      <c r="C6" s="319" t="n"/>
      <c r="D6" s="319" t="n"/>
      <c r="F6" s="325" t="n">
        <v>2</v>
      </c>
      <c r="G6" s="325" t="inlineStr">
        <is>
          <t>Inspektorat Daerah</t>
        </is>
      </c>
      <c r="H6" s="325" t="inlineStr">
        <is>
          <t>Hadir</t>
        </is>
      </c>
      <c r="I6" s="325" t="inlineStr">
        <is>
          <t>Selesai</t>
        </is>
      </c>
      <c r="J6" s="325" t="inlineStr">
        <is>
          <t>Hilmy</t>
        </is>
      </c>
      <c r="K6" s="325" t="n"/>
      <c r="L6" s="319" t="n"/>
      <c r="M6" s="319" t="n"/>
      <c r="N6" s="319" t="n"/>
      <c r="O6" s="319" t="n"/>
      <c r="P6" s="319" t="n"/>
      <c r="Q6" s="319" t="n"/>
      <c r="R6" s="319" t="n"/>
      <c r="S6" s="319" t="n"/>
      <c r="T6" s="319" t="n"/>
      <c r="U6" s="319" t="n"/>
      <c r="V6" s="319" t="n"/>
      <c r="W6" s="319" t="n"/>
      <c r="X6" s="319" t="n"/>
      <c r="Y6" s="319" t="n"/>
      <c r="Z6" s="319" t="n"/>
    </row>
    <row r="7">
      <c r="A7" s="312" t="inlineStr">
        <is>
          <t>Pengisian</t>
        </is>
      </c>
      <c r="B7" s="319" t="inlineStr">
        <is>
          <t>Progress</t>
        </is>
      </c>
      <c r="C7" s="319">
        <f>COUNTIF(I5:I55,"Progress")</f>
        <v/>
      </c>
      <c r="D7" s="321">
        <f>C7/C1</f>
        <v/>
      </c>
      <c r="F7" s="327" t="n">
        <v>3</v>
      </c>
      <c r="G7" s="327" t="inlineStr">
        <is>
          <t>Dinas Pendidikan</t>
        </is>
      </c>
      <c r="H7" s="327" t="inlineStr">
        <is>
          <t>Tidak Hadir</t>
        </is>
      </c>
      <c r="I7" s="328" t="inlineStr">
        <is>
          <t>Progress</t>
        </is>
      </c>
      <c r="J7" s="327" t="inlineStr">
        <is>
          <t>Andri Nurul</t>
        </is>
      </c>
      <c r="K7" s="327" t="inlineStr">
        <is>
          <t>pakai yang lama</t>
        </is>
      </c>
      <c r="L7" s="319" t="n"/>
      <c r="M7" s="319" t="n"/>
      <c r="N7" s="319" t="n"/>
      <c r="O7" s="319" t="n"/>
      <c r="P7" s="319" t="n"/>
      <c r="Q7" s="319" t="n"/>
      <c r="R7" s="319" t="n"/>
      <c r="S7" s="319" t="n"/>
      <c r="T7" s="319" t="n"/>
      <c r="U7" s="319" t="n"/>
      <c r="V7" s="319" t="n"/>
      <c r="W7" s="319" t="n"/>
      <c r="X7" s="319" t="n"/>
      <c r="Y7" s="319" t="n"/>
      <c r="Z7" s="319" t="n"/>
    </row>
    <row r="8">
      <c r="A8" s="319" t="n"/>
      <c r="B8" s="319" t="inlineStr">
        <is>
          <t>Selesai</t>
        </is>
      </c>
      <c r="C8" s="319">
        <f>COUNTIF(I5:I55,"Selesai")</f>
        <v/>
      </c>
      <c r="D8" s="329">
        <f>C8/C1</f>
        <v/>
      </c>
      <c r="F8" s="325" t="n">
        <v>4</v>
      </c>
      <c r="G8" s="325" t="inlineStr">
        <is>
          <t>Dinas Kesehatan</t>
        </is>
      </c>
      <c r="H8" s="325" t="inlineStr">
        <is>
          <t>Hadir</t>
        </is>
      </c>
      <c r="I8" s="325" t="inlineStr">
        <is>
          <t>Progress</t>
        </is>
      </c>
      <c r="J8" s="325" t="inlineStr">
        <is>
          <t>Taufik Rida</t>
        </is>
      </c>
      <c r="K8" s="325" t="n"/>
      <c r="L8" s="319" t="n"/>
      <c r="M8" s="319" t="n"/>
      <c r="N8" s="319" t="n"/>
      <c r="O8" s="319" t="n"/>
      <c r="P8" s="319" t="n"/>
      <c r="Q8" s="319" t="n"/>
      <c r="R8" s="319" t="n"/>
      <c r="S8" s="319" t="n"/>
      <c r="T8" s="319" t="n"/>
      <c r="U8" s="319" t="n"/>
      <c r="V8" s="319" t="n"/>
      <c r="W8" s="319" t="n"/>
      <c r="X8" s="319" t="n"/>
      <c r="Y8" s="319" t="n"/>
      <c r="Z8" s="319" t="n"/>
    </row>
    <row r="9">
      <c r="A9" s="319" t="n"/>
      <c r="B9" s="319" t="inlineStr">
        <is>
          <t>Tidak ada keterangan</t>
        </is>
      </c>
      <c r="C9" s="319">
        <f>COUNTIF(I5:I55,"Tidak ada keterangan")</f>
        <v/>
      </c>
      <c r="D9" s="321">
        <f>C9/C1</f>
        <v/>
      </c>
      <c r="F9" s="325" t="n">
        <v>5</v>
      </c>
      <c r="G9" s="325" t="inlineStr">
        <is>
          <t>Dinas Pekerjaan Umum dan Tata Ruang</t>
        </is>
      </c>
      <c r="H9" s="325" t="inlineStr">
        <is>
          <t>Hadir</t>
        </is>
      </c>
      <c r="I9" s="325" t="inlineStr">
        <is>
          <t>Selesai</t>
        </is>
      </c>
      <c r="J9" s="325" t="inlineStr">
        <is>
          <t>Demas</t>
        </is>
      </c>
      <c r="K9" s="325" t="n"/>
      <c r="L9" s="319" t="n"/>
      <c r="M9" s="319" t="n"/>
      <c r="N9" s="319" t="n"/>
      <c r="O9" s="319" t="n"/>
      <c r="P9" s="319" t="n"/>
      <c r="Q9" s="319" t="n"/>
      <c r="R9" s="319" t="n"/>
      <c r="S9" s="319" t="n"/>
      <c r="T9" s="319" t="n"/>
      <c r="U9" s="319" t="n"/>
      <c r="V9" s="319" t="n"/>
      <c r="W9" s="319" t="n"/>
      <c r="X9" s="319" t="n"/>
      <c r="Y9" s="319" t="n"/>
      <c r="Z9" s="319" t="n"/>
    </row>
    <row r="10">
      <c r="A10" s="319" t="n"/>
      <c r="B10" s="319" t="n"/>
      <c r="C10" s="319" t="n"/>
      <c r="D10" s="319" t="n"/>
      <c r="F10" s="325" t="n">
        <v>6</v>
      </c>
      <c r="G10" s="325" t="inlineStr">
        <is>
          <t>Dinas Perumahan, Kawasan Permukiman dan Pertanahan</t>
        </is>
      </c>
      <c r="H10" s="325" t="inlineStr">
        <is>
          <t>Hadir</t>
        </is>
      </c>
      <c r="I10" s="325" t="inlineStr">
        <is>
          <t>Selesai</t>
        </is>
      </c>
      <c r="J10" s="325" t="inlineStr">
        <is>
          <t>Mugi</t>
        </is>
      </c>
      <c r="K10" s="325" t="n"/>
      <c r="L10" s="319" t="n"/>
      <c r="M10" s="319" t="n"/>
      <c r="N10" s="319" t="n"/>
      <c r="O10" s="319" t="n"/>
      <c r="P10" s="319" t="n"/>
      <c r="Q10" s="319" t="n"/>
      <c r="R10" s="319" t="n"/>
      <c r="S10" s="319" t="n"/>
      <c r="T10" s="319" t="n"/>
      <c r="U10" s="319" t="n"/>
      <c r="V10" s="319" t="n"/>
      <c r="W10" s="319" t="n"/>
      <c r="X10" s="319" t="n"/>
      <c r="Y10" s="319" t="n"/>
      <c r="Z10" s="319" t="n"/>
    </row>
    <row r="11">
      <c r="A11" s="319" t="n"/>
      <c r="B11" s="319" t="n"/>
      <c r="C11" s="319" t="n"/>
      <c r="D11" s="319" t="n"/>
      <c r="F11" s="325" t="n">
        <v>7</v>
      </c>
      <c r="G11" s="325" t="inlineStr">
        <is>
          <t>Dinas Sosial</t>
        </is>
      </c>
      <c r="H11" s="325" t="inlineStr">
        <is>
          <t>Hadir</t>
        </is>
      </c>
      <c r="I11" s="325" t="inlineStr">
        <is>
          <t>Selesai</t>
        </is>
      </c>
      <c r="J11" s="325" t="inlineStr">
        <is>
          <t>Ricky</t>
        </is>
      </c>
      <c r="K11" s="325" t="n"/>
      <c r="L11" s="319" t="n"/>
      <c r="M11" s="319" t="n"/>
      <c r="N11" s="319" t="n"/>
      <c r="O11" s="319" t="n"/>
      <c r="P11" s="319" t="n"/>
      <c r="Q11" s="319" t="n"/>
      <c r="R11" s="319" t="n"/>
      <c r="S11" s="319" t="n"/>
      <c r="T11" s="319" t="n"/>
      <c r="U11" s="319" t="n"/>
      <c r="V11" s="319" t="n"/>
      <c r="W11" s="319" t="n"/>
      <c r="X11" s="319" t="n"/>
      <c r="Y11" s="319" t="n"/>
      <c r="Z11" s="319" t="n"/>
    </row>
    <row r="12">
      <c r="A12" s="312" t="n"/>
      <c r="B12" s="312" t="n"/>
      <c r="C12" s="312" t="n"/>
      <c r="F12" s="325" t="n">
        <v>8</v>
      </c>
      <c r="G12" s="325" t="inlineStr">
        <is>
          <t>Dinas Ketenagakerjaan</t>
        </is>
      </c>
      <c r="H12" s="325" t="inlineStr">
        <is>
          <t>Hadir</t>
        </is>
      </c>
      <c r="I12" s="325" t="inlineStr">
        <is>
          <t>Selesai</t>
        </is>
      </c>
      <c r="J12" s="325" t="inlineStr">
        <is>
          <t>Mugi</t>
        </is>
      </c>
      <c r="K12" s="325" t="n"/>
      <c r="L12" s="319" t="n"/>
      <c r="M12" s="319" t="n"/>
      <c r="N12" s="319" t="n"/>
      <c r="O12" s="319" t="n"/>
      <c r="P12" s="319" t="n"/>
      <c r="Q12" s="319" t="n"/>
      <c r="R12" s="319" t="n"/>
      <c r="S12" s="319" t="n"/>
      <c r="T12" s="319" t="n"/>
      <c r="U12" s="319" t="n"/>
      <c r="V12" s="319" t="n"/>
      <c r="W12" s="319" t="n"/>
      <c r="X12" s="319" t="n"/>
      <c r="Y12" s="319" t="n"/>
      <c r="Z12" s="319" t="n"/>
    </row>
    <row r="13">
      <c r="C13" s="319" t="n"/>
      <c r="E13" s="319" t="n"/>
      <c r="F13" s="325" t="n">
        <v>9</v>
      </c>
      <c r="G13" s="325" t="inlineStr">
        <is>
          <t>Dinas Pengendalian Penduduk, Keluarga Berencana, Pemberdayaan Perempuan dan Perlindungan Anak</t>
        </is>
      </c>
      <c r="H13" s="325" t="inlineStr">
        <is>
          <t>Hadir</t>
        </is>
      </c>
      <c r="I13" s="325" t="inlineStr">
        <is>
          <t>Selesai</t>
        </is>
      </c>
      <c r="J13" s="325" t="inlineStr">
        <is>
          <t>Hilmy</t>
        </is>
      </c>
      <c r="K13" s="325" t="n"/>
      <c r="L13" s="319" t="n"/>
      <c r="M13" s="319" t="n"/>
      <c r="N13" s="319" t="n"/>
      <c r="O13" s="319" t="n"/>
      <c r="P13" s="319" t="n"/>
      <c r="Q13" s="319" t="n"/>
      <c r="R13" s="319" t="n"/>
      <c r="S13" s="319" t="n"/>
      <c r="T13" s="319" t="n"/>
      <c r="U13" s="319" t="n"/>
      <c r="V13" s="319" t="n"/>
      <c r="W13" s="319" t="n"/>
      <c r="X13" s="319" t="n"/>
      <c r="Y13" s="319" t="n"/>
      <c r="Z13" s="319" t="n"/>
    </row>
    <row r="14">
      <c r="A14" s="29" t="n"/>
      <c r="B14" s="29" t="n"/>
      <c r="C14" s="319" t="n"/>
      <c r="E14" s="319" t="n"/>
      <c r="F14" s="325" t="n">
        <v>10</v>
      </c>
      <c r="G14" s="325" t="inlineStr">
        <is>
          <t>Dinas Lingkungan Hidup</t>
        </is>
      </c>
      <c r="H14" s="325" t="inlineStr">
        <is>
          <t>Hadir</t>
        </is>
      </c>
      <c r="I14" s="325" t="inlineStr">
        <is>
          <t>Selesai</t>
        </is>
      </c>
      <c r="J14" s="325" t="inlineStr">
        <is>
          <t>Taopik</t>
        </is>
      </c>
      <c r="K14" s="325" t="n"/>
      <c r="L14" s="319" t="n"/>
      <c r="M14" s="319" t="n"/>
      <c r="N14" s="319" t="n"/>
      <c r="O14" s="319" t="n"/>
      <c r="P14" s="319" t="n"/>
      <c r="Q14" s="319" t="n"/>
      <c r="R14" s="319" t="n"/>
      <c r="S14" s="319" t="n"/>
      <c r="T14" s="319" t="n"/>
      <c r="U14" s="319" t="n"/>
      <c r="V14" s="319" t="n"/>
      <c r="W14" s="319" t="n"/>
      <c r="X14" s="319" t="n"/>
      <c r="Y14" s="319" t="n"/>
      <c r="Z14" s="319" t="n"/>
    </row>
    <row r="15">
      <c r="A15" s="29" t="n"/>
      <c r="B15" s="29" t="n"/>
      <c r="C15" s="319" t="n"/>
      <c r="D15" s="319" t="n"/>
      <c r="E15" s="319" t="n"/>
      <c r="F15" s="325" t="n">
        <v>11</v>
      </c>
      <c r="G15" s="325" t="inlineStr">
        <is>
          <t>Dinas Kependudukan dan Pencatatan Sipil</t>
        </is>
      </c>
      <c r="H15" s="325" t="inlineStr">
        <is>
          <t>Hadir</t>
        </is>
      </c>
      <c r="I15" s="325" t="inlineStr">
        <is>
          <t>Selesai</t>
        </is>
      </c>
      <c r="J15" s="325" t="inlineStr">
        <is>
          <t>Firman</t>
        </is>
      </c>
      <c r="K15" s="325" t="n"/>
      <c r="L15" s="319" t="n"/>
      <c r="M15" s="319" t="n"/>
      <c r="N15" s="319" t="n"/>
      <c r="O15" s="319" t="n"/>
      <c r="P15" s="319" t="n"/>
      <c r="Q15" s="319" t="n"/>
      <c r="R15" s="319" t="n"/>
      <c r="S15" s="319" t="n"/>
      <c r="T15" s="319" t="n"/>
      <c r="U15" s="319" t="n"/>
      <c r="V15" s="319" t="n"/>
      <c r="W15" s="319" t="n"/>
      <c r="X15" s="319" t="n"/>
      <c r="Y15" s="319" t="n"/>
      <c r="Z15" s="319" t="n"/>
    </row>
    <row r="16">
      <c r="B16" s="29" t="n"/>
      <c r="C16" s="319" t="n"/>
      <c r="D16" s="319" t="n"/>
      <c r="E16" s="319" t="n"/>
      <c r="F16" s="325" t="n">
        <v>12</v>
      </c>
      <c r="G16" s="325" t="inlineStr">
        <is>
          <t>Dinas Pemberdayaan Masyarakat dan Desa</t>
        </is>
      </c>
      <c r="H16" s="325" t="inlineStr">
        <is>
          <t>Hadir</t>
        </is>
      </c>
      <c r="I16" s="325" t="inlineStr">
        <is>
          <t>Selesai</t>
        </is>
      </c>
      <c r="J16" s="325" t="inlineStr">
        <is>
          <t>Mugi</t>
        </is>
      </c>
      <c r="K16" s="325" t="n"/>
      <c r="L16" s="319" t="n"/>
      <c r="M16" s="319" t="n"/>
      <c r="N16" s="319" t="n"/>
      <c r="O16" s="319" t="n"/>
      <c r="P16" s="319" t="n"/>
      <c r="Q16" s="319" t="n"/>
      <c r="R16" s="319" t="n"/>
      <c r="S16" s="319" t="n"/>
      <c r="T16" s="319" t="n"/>
      <c r="U16" s="319" t="n"/>
      <c r="V16" s="319" t="n"/>
      <c r="W16" s="319" t="n"/>
      <c r="X16" s="319" t="n"/>
      <c r="Y16" s="319" t="n"/>
      <c r="Z16" s="319" t="n"/>
    </row>
    <row r="17">
      <c r="B17" s="319" t="n"/>
      <c r="C17" s="319" t="n"/>
      <c r="D17" s="319" t="n"/>
      <c r="E17" s="319" t="n"/>
      <c r="F17" s="325" t="n">
        <v>13</v>
      </c>
      <c r="G17" s="325" t="inlineStr">
        <is>
          <t>Dinas Perhubungan</t>
        </is>
      </c>
      <c r="H17" s="325" t="inlineStr">
        <is>
          <t>Hadir</t>
        </is>
      </c>
      <c r="I17" s="325" t="inlineStr">
        <is>
          <t>Progress</t>
        </is>
      </c>
      <c r="J17" s="325" t="inlineStr">
        <is>
          <t>Firman</t>
        </is>
      </c>
      <c r="K17" s="325" t="n"/>
      <c r="L17" s="319" t="n"/>
      <c r="M17" s="319" t="n"/>
      <c r="N17" s="319" t="n"/>
      <c r="O17" s="319" t="n"/>
      <c r="P17" s="319" t="n"/>
      <c r="Q17" s="319" t="n"/>
      <c r="R17" s="319" t="n"/>
      <c r="S17" s="319" t="n"/>
      <c r="T17" s="319" t="n"/>
      <c r="U17" s="319" t="n"/>
      <c r="V17" s="319" t="n"/>
      <c r="W17" s="319" t="n"/>
      <c r="X17" s="319" t="n"/>
      <c r="Y17" s="319" t="n"/>
      <c r="Z17" s="319" t="n"/>
    </row>
    <row r="18">
      <c r="B18" s="319" t="n"/>
      <c r="C18" s="319" t="n"/>
      <c r="D18" s="319" t="n"/>
      <c r="E18" s="319" t="n"/>
      <c r="F18" s="325" t="n">
        <v>14</v>
      </c>
      <c r="G18" s="325" t="inlineStr">
        <is>
          <t>Dinas Komunikasi dan Informatika, Statistik dan Persandian</t>
        </is>
      </c>
      <c r="H18" s="325" t="inlineStr">
        <is>
          <t>Hadir</t>
        </is>
      </c>
      <c r="I18" s="325" t="inlineStr">
        <is>
          <t>Progress</t>
        </is>
      </c>
      <c r="J18" s="325" t="inlineStr">
        <is>
          <t>Rohayanti Rahayu</t>
        </is>
      </c>
      <c r="K18" s="325" t="n"/>
      <c r="L18" s="319" t="n"/>
      <c r="M18" s="319" t="n"/>
      <c r="N18" s="319" t="n"/>
      <c r="O18" s="319" t="n"/>
      <c r="P18" s="319" t="n"/>
      <c r="Q18" s="319" t="n"/>
      <c r="R18" s="319" t="n"/>
      <c r="S18" s="319" t="n"/>
      <c r="T18" s="319" t="n"/>
      <c r="U18" s="319" t="n"/>
      <c r="V18" s="319" t="n"/>
      <c r="W18" s="319" t="n"/>
      <c r="X18" s="319" t="n"/>
      <c r="Y18" s="319" t="n"/>
      <c r="Z18" s="319" t="n"/>
    </row>
    <row r="19">
      <c r="B19" s="319" t="n"/>
      <c r="C19" s="319" t="n"/>
      <c r="D19" s="319" t="n"/>
      <c r="E19" s="319" t="n"/>
      <c r="F19" s="325" t="n">
        <v>15</v>
      </c>
      <c r="G19" s="325" t="inlineStr">
        <is>
          <t>Dinas Penanaman Modal dan Pelayanan Terpadu Satu Pintu</t>
        </is>
      </c>
      <c r="H19" s="325" t="inlineStr">
        <is>
          <t>Hadir</t>
        </is>
      </c>
      <c r="I19" s="325" t="inlineStr">
        <is>
          <t>Selesai</t>
        </is>
      </c>
      <c r="J19" s="325" t="inlineStr">
        <is>
          <t>Ilham</t>
        </is>
      </c>
      <c r="K19" s="325" t="n"/>
      <c r="L19" s="319" t="n"/>
      <c r="M19" s="319" t="n"/>
      <c r="N19" s="319" t="n"/>
      <c r="O19" s="319" t="n"/>
      <c r="P19" s="319" t="n"/>
      <c r="Q19" s="319" t="n"/>
      <c r="R19" s="319" t="n"/>
      <c r="S19" s="319" t="n"/>
      <c r="T19" s="319" t="n"/>
      <c r="U19" s="319" t="n"/>
      <c r="V19" s="319" t="n"/>
      <c r="W19" s="319" t="n"/>
      <c r="X19" s="319" t="n"/>
      <c r="Y19" s="319" t="n"/>
      <c r="Z19" s="319" t="n"/>
    </row>
    <row r="20">
      <c r="A20" s="319" t="n"/>
      <c r="B20" s="319" t="n"/>
      <c r="C20" s="319" t="n"/>
      <c r="D20" s="319" t="n"/>
      <c r="E20" s="319" t="n"/>
      <c r="F20" s="325" t="n">
        <v>16</v>
      </c>
      <c r="G20" s="325" t="inlineStr">
        <is>
          <t>Dinas Pemuda dan Olahraga</t>
        </is>
      </c>
      <c r="H20" s="325" t="inlineStr">
        <is>
          <t>Hadir</t>
        </is>
      </c>
      <c r="I20" s="325" t="inlineStr">
        <is>
          <t>Selesai</t>
        </is>
      </c>
      <c r="J20" s="325" t="inlineStr">
        <is>
          <t>Taopik</t>
        </is>
      </c>
      <c r="K20" s="325" t="n"/>
      <c r="L20" s="319" t="n"/>
      <c r="M20" s="319" t="n"/>
      <c r="N20" s="319" t="n"/>
      <c r="O20" s="319" t="n"/>
      <c r="P20" s="319" t="n"/>
      <c r="Q20" s="319" t="n"/>
      <c r="R20" s="319" t="n"/>
      <c r="S20" s="319" t="n"/>
      <c r="T20" s="319" t="n"/>
      <c r="U20" s="319" t="n"/>
      <c r="V20" s="319" t="n"/>
      <c r="W20" s="319" t="n"/>
      <c r="X20" s="319" t="n"/>
      <c r="Y20" s="319" t="n"/>
      <c r="Z20" s="319" t="n"/>
    </row>
    <row r="21">
      <c r="A21" s="319" t="n"/>
      <c r="B21" s="319" t="n"/>
      <c r="C21" s="319" t="n"/>
      <c r="D21" s="319" t="n"/>
      <c r="E21" s="319" t="n"/>
      <c r="F21" s="327" t="n">
        <v>17</v>
      </c>
      <c r="G21" s="327" t="inlineStr">
        <is>
          <t>Dinas Perdagangan dan Perindustrian</t>
        </is>
      </c>
      <c r="H21" s="327" t="inlineStr">
        <is>
          <t>Tidak Hadir</t>
        </is>
      </c>
      <c r="I21" s="327" t="inlineStr">
        <is>
          <t>Progress</t>
        </is>
      </c>
      <c r="J21" s="327" t="inlineStr">
        <is>
          <t>Hilmy</t>
        </is>
      </c>
      <c r="K21" s="327" t="inlineStr">
        <is>
          <t>pakai yang lama</t>
        </is>
      </c>
      <c r="L21" s="319" t="n"/>
      <c r="M21" s="319" t="n"/>
      <c r="N21" s="319" t="n"/>
      <c r="O21" s="319" t="n"/>
      <c r="P21" s="319" t="n"/>
      <c r="Q21" s="319" t="n"/>
      <c r="R21" s="319" t="n"/>
      <c r="S21" s="319" t="n"/>
      <c r="T21" s="319" t="n"/>
      <c r="U21" s="319" t="n"/>
      <c r="V21" s="319" t="n"/>
      <c r="W21" s="319" t="n"/>
      <c r="X21" s="319" t="n"/>
      <c r="Y21" s="319" t="n"/>
      <c r="Z21" s="319" t="n"/>
    </row>
    <row r="22">
      <c r="A22" s="319" t="n"/>
      <c r="B22" s="319" t="n"/>
      <c r="C22" s="319" t="n"/>
      <c r="D22" s="319" t="n"/>
      <c r="E22" s="319" t="n"/>
      <c r="F22" s="325" t="n">
        <v>18</v>
      </c>
      <c r="G22" s="325" t="inlineStr">
        <is>
          <t>Dinas Pertanian</t>
        </is>
      </c>
      <c r="H22" s="325" t="inlineStr">
        <is>
          <t>Hadir</t>
        </is>
      </c>
      <c r="I22" s="325" t="inlineStr">
        <is>
          <t>Selesai</t>
        </is>
      </c>
      <c r="J22" s="325" t="inlineStr">
        <is>
          <t>Arly</t>
        </is>
      </c>
      <c r="K22" s="325" t="n"/>
      <c r="L22" s="319" t="n"/>
      <c r="M22" s="319" t="n"/>
      <c r="N22" s="319" t="n"/>
      <c r="O22" s="319" t="n"/>
      <c r="P22" s="319" t="n"/>
      <c r="Q22" s="319" t="n"/>
      <c r="R22" s="319" t="n"/>
      <c r="S22" s="319" t="n"/>
      <c r="T22" s="319" t="n"/>
      <c r="U22" s="319" t="n"/>
      <c r="V22" s="319" t="n"/>
      <c r="W22" s="319" t="n"/>
      <c r="X22" s="319" t="n"/>
      <c r="Y22" s="319" t="n"/>
      <c r="Z22" s="319" t="n"/>
    </row>
    <row r="23">
      <c r="A23" s="319" t="n"/>
      <c r="B23" s="319" t="n"/>
      <c r="C23" s="319" t="n"/>
      <c r="D23" s="319" t="n"/>
      <c r="E23" s="319" t="n"/>
      <c r="F23" s="325" t="n">
        <v>19</v>
      </c>
      <c r="G23" s="325" t="inlineStr">
        <is>
          <t>Dinas Ketahanan Pangan dan Perikanan</t>
        </is>
      </c>
      <c r="H23" s="325" t="inlineStr">
        <is>
          <t>Hadir</t>
        </is>
      </c>
      <c r="I23" s="325" t="inlineStr">
        <is>
          <t>Selesai</t>
        </is>
      </c>
      <c r="J23" s="325" t="inlineStr">
        <is>
          <t>Andri Nurul</t>
        </is>
      </c>
      <c r="K23" s="325" t="n"/>
      <c r="L23" s="319" t="n"/>
      <c r="M23" s="319" t="n"/>
      <c r="N23" s="319" t="n"/>
      <c r="O23" s="319" t="n"/>
      <c r="P23" s="319" t="n"/>
      <c r="Q23" s="319" t="n"/>
      <c r="R23" s="319" t="n"/>
      <c r="S23" s="319" t="n"/>
      <c r="T23" s="319" t="n"/>
      <c r="U23" s="319" t="n"/>
      <c r="V23" s="319" t="n"/>
      <c r="W23" s="319" t="n"/>
      <c r="X23" s="319" t="n"/>
      <c r="Y23" s="319" t="n"/>
      <c r="Z23" s="319" t="n"/>
    </row>
    <row r="24">
      <c r="A24" s="319" t="n"/>
      <c r="B24" s="319" t="n"/>
      <c r="C24" s="319" t="n"/>
      <c r="D24" s="319" t="n"/>
      <c r="E24" s="319" t="n"/>
      <c r="F24" s="325" t="n">
        <v>20</v>
      </c>
      <c r="G24" s="325" t="inlineStr">
        <is>
          <t>Dinas Kebudayaan</t>
        </is>
      </c>
      <c r="H24" s="325" t="inlineStr">
        <is>
          <t>Hadir</t>
        </is>
      </c>
      <c r="I24" s="325" t="inlineStr">
        <is>
          <t>Selesai</t>
        </is>
      </c>
      <c r="J24" s="325" t="inlineStr">
        <is>
          <t>Arly</t>
        </is>
      </c>
      <c r="K24" s="325" t="n"/>
      <c r="L24" s="319" t="n"/>
      <c r="M24" s="319" t="n"/>
      <c r="N24" s="319" t="n"/>
      <c r="O24" s="319" t="n"/>
      <c r="P24" s="319" t="n"/>
      <c r="Q24" s="319" t="n"/>
      <c r="R24" s="319" t="n"/>
      <c r="S24" s="319" t="n"/>
      <c r="T24" s="319" t="n"/>
      <c r="U24" s="319" t="n"/>
      <c r="V24" s="319" t="n"/>
      <c r="W24" s="319" t="n"/>
      <c r="X24" s="319" t="n"/>
      <c r="Y24" s="319" t="n"/>
      <c r="Z24" s="319" t="n"/>
    </row>
    <row r="25">
      <c r="A25" s="319" t="n"/>
      <c r="B25" s="319" t="n"/>
      <c r="C25" s="319" t="n"/>
      <c r="D25" s="319" t="n"/>
      <c r="E25" s="319" t="n"/>
      <c r="F25" s="325" t="n">
        <v>21</v>
      </c>
      <c r="G25" s="325" t="inlineStr">
        <is>
          <t>Dinas Koperasi dan Usaha Kecil dan Menengah</t>
        </is>
      </c>
      <c r="H25" s="325" t="inlineStr">
        <is>
          <t>Hadir</t>
        </is>
      </c>
      <c r="I25" s="325" t="inlineStr">
        <is>
          <t>Selesai</t>
        </is>
      </c>
      <c r="J25" s="325" t="inlineStr">
        <is>
          <t>Arly</t>
        </is>
      </c>
      <c r="K25" s="325" t="n"/>
      <c r="L25" s="319" t="n"/>
      <c r="M25" s="319" t="n"/>
      <c r="N25" s="319" t="n"/>
      <c r="O25" s="319" t="n"/>
      <c r="P25" s="319" t="n"/>
      <c r="Q25" s="319" t="n"/>
      <c r="R25" s="319" t="n"/>
      <c r="S25" s="319" t="n"/>
      <c r="T25" s="319" t="n"/>
      <c r="U25" s="319" t="n"/>
      <c r="V25" s="319" t="n"/>
      <c r="W25" s="319" t="n"/>
      <c r="X25" s="319" t="n"/>
      <c r="Y25" s="319" t="n"/>
      <c r="Z25" s="319" t="n"/>
    </row>
    <row r="26">
      <c r="A26" s="319" t="n"/>
      <c r="B26" s="319" t="n"/>
      <c r="C26" s="319" t="n"/>
      <c r="D26" s="319" t="n"/>
      <c r="E26" s="319" t="n"/>
      <c r="F26" s="325" t="n">
        <v>22</v>
      </c>
      <c r="G26" s="325" t="inlineStr">
        <is>
          <t>Dinas Perpustakaan dan Arsip</t>
        </is>
      </c>
      <c r="H26" s="325" t="inlineStr">
        <is>
          <t>Tidak Hadir</t>
        </is>
      </c>
      <c r="I26" s="330" t="inlineStr">
        <is>
          <t>Selesai</t>
        </is>
      </c>
      <c r="J26" s="325" t="inlineStr">
        <is>
          <t>Rohayanti Rahayu</t>
        </is>
      </c>
      <c r="K26" s="325" t="n"/>
      <c r="L26" s="319" t="n"/>
      <c r="M26" s="319" t="n"/>
      <c r="N26" s="319" t="n"/>
      <c r="O26" s="319" t="n"/>
      <c r="P26" s="319" t="n"/>
      <c r="Q26" s="319" t="n"/>
      <c r="R26" s="319" t="n"/>
      <c r="S26" s="319" t="n"/>
      <c r="T26" s="319" t="n"/>
      <c r="U26" s="319" t="n"/>
      <c r="V26" s="319" t="n"/>
      <c r="W26" s="319" t="n"/>
      <c r="X26" s="319" t="n"/>
      <c r="Y26" s="319" t="n"/>
      <c r="Z26" s="319" t="n"/>
    </row>
    <row r="27">
      <c r="A27" s="319" t="n"/>
      <c r="B27" s="319" t="n"/>
      <c r="C27" s="319" t="n"/>
      <c r="D27" s="319" t="n"/>
      <c r="E27" s="319" t="n"/>
      <c r="F27" s="325" t="n">
        <v>23</v>
      </c>
      <c r="G27" s="325" t="inlineStr">
        <is>
          <t>Dinas Pemadam Kebakaran dan Penyelamatan</t>
        </is>
      </c>
      <c r="H27" s="325" t="inlineStr">
        <is>
          <t>Hadir</t>
        </is>
      </c>
      <c r="I27" s="325" t="inlineStr">
        <is>
          <t>Progress</t>
        </is>
      </c>
      <c r="J27" s="325" t="inlineStr">
        <is>
          <t>Firman</t>
        </is>
      </c>
      <c r="K27" s="325" t="n"/>
      <c r="L27" s="319" t="n"/>
      <c r="M27" s="319" t="n"/>
      <c r="N27" s="319" t="n"/>
      <c r="O27" s="319" t="n"/>
      <c r="P27" s="319" t="n"/>
      <c r="Q27" s="319" t="n"/>
      <c r="R27" s="319" t="n"/>
      <c r="S27" s="319" t="n"/>
      <c r="T27" s="319" t="n"/>
      <c r="U27" s="319" t="n"/>
      <c r="V27" s="319" t="n"/>
      <c r="W27" s="319" t="n"/>
      <c r="X27" s="319" t="n"/>
      <c r="Y27" s="319" t="n"/>
      <c r="Z27" s="319" t="n"/>
    </row>
    <row r="28">
      <c r="A28" s="319" t="n"/>
      <c r="B28" s="319" t="n"/>
      <c r="C28" s="319" t="n"/>
      <c r="D28" s="319" t="n"/>
      <c r="E28" s="319" t="n"/>
      <c r="F28" s="325" t="n">
        <v>24</v>
      </c>
      <c r="G28" s="325" t="inlineStr">
        <is>
          <t>Dinas Pariwisata dan Ekonomi Kreatif</t>
        </is>
      </c>
      <c r="H28" s="325" t="inlineStr">
        <is>
          <t>Hadir</t>
        </is>
      </c>
      <c r="I28" s="325" t="inlineStr">
        <is>
          <t>Progress</t>
        </is>
      </c>
      <c r="J28" s="325" t="inlineStr">
        <is>
          <t>Rohayanti Rahayu</t>
        </is>
      </c>
      <c r="K28" s="325" t="n"/>
      <c r="L28" s="319" t="n"/>
      <c r="M28" s="319" t="n"/>
      <c r="N28" s="319" t="n"/>
      <c r="O28" s="319" t="n"/>
      <c r="P28" s="319" t="n"/>
      <c r="Q28" s="319" t="n"/>
      <c r="R28" s="319" t="n"/>
      <c r="S28" s="319" t="n"/>
      <c r="T28" s="319" t="n"/>
      <c r="U28" s="319" t="n"/>
      <c r="V28" s="319" t="n"/>
      <c r="W28" s="319" t="n"/>
      <c r="X28" s="319" t="n"/>
      <c r="Y28" s="319" t="n"/>
      <c r="Z28" s="319" t="n"/>
    </row>
    <row r="29">
      <c r="A29" s="319" t="n"/>
      <c r="B29" s="319" t="n"/>
      <c r="C29" s="319" t="n"/>
      <c r="D29" s="319" t="n"/>
      <c r="E29" s="319" t="n"/>
      <c r="F29" s="325" t="n">
        <v>25</v>
      </c>
      <c r="G29" s="325" t="inlineStr">
        <is>
          <t>Satuan Polisi Pamong Praja</t>
        </is>
      </c>
      <c r="H29" s="325" t="inlineStr">
        <is>
          <t>Tidak Hadir</t>
        </is>
      </c>
      <c r="I29" s="325" t="inlineStr">
        <is>
          <t>Progress</t>
        </is>
      </c>
      <c r="J29" s="325" t="inlineStr">
        <is>
          <t>Ricky</t>
        </is>
      </c>
      <c r="K29" s="325" t="n"/>
      <c r="L29" s="319" t="n"/>
      <c r="M29" s="319" t="n"/>
      <c r="N29" s="319" t="n"/>
      <c r="O29" s="319" t="n"/>
      <c r="P29" s="319" t="n"/>
      <c r="Q29" s="319" t="n"/>
      <c r="R29" s="319" t="n"/>
      <c r="S29" s="319" t="n"/>
      <c r="T29" s="319" t="n"/>
      <c r="U29" s="319" t="n"/>
      <c r="V29" s="319" t="n"/>
      <c r="W29" s="319" t="n"/>
      <c r="X29" s="319" t="n"/>
      <c r="Y29" s="319" t="n"/>
      <c r="Z29" s="319" t="n"/>
    </row>
    <row r="30">
      <c r="A30" s="319" t="n"/>
      <c r="B30" s="319" t="n"/>
      <c r="C30" s="319" t="n"/>
      <c r="D30" s="319" t="n"/>
      <c r="E30" s="319" t="n"/>
      <c r="F30" s="325" t="n">
        <v>26</v>
      </c>
      <c r="G30" s="325" t="inlineStr">
        <is>
          <t>Badan Perencanaan Pembangunan, Riset dan Inovasi Daerah</t>
        </is>
      </c>
      <c r="H30" s="325" t="inlineStr">
        <is>
          <t>Hadir</t>
        </is>
      </c>
      <c r="I30" s="325" t="inlineStr">
        <is>
          <t>Selesai</t>
        </is>
      </c>
      <c r="J30" s="325" t="inlineStr">
        <is>
          <t>Firman</t>
        </is>
      </c>
      <c r="K30" s="325" t="n"/>
      <c r="L30" s="319" t="n"/>
      <c r="M30" s="319" t="n"/>
      <c r="N30" s="319" t="n"/>
      <c r="O30" s="319" t="n"/>
      <c r="P30" s="319" t="n"/>
      <c r="Q30" s="319" t="n"/>
      <c r="R30" s="319" t="n"/>
      <c r="S30" s="319" t="n"/>
      <c r="T30" s="319" t="n"/>
      <c r="U30" s="319" t="n"/>
      <c r="V30" s="319" t="n"/>
      <c r="W30" s="319" t="n"/>
      <c r="X30" s="319" t="n"/>
      <c r="Y30" s="319" t="n"/>
      <c r="Z30" s="319" t="n"/>
    </row>
    <row r="31">
      <c r="A31" s="319" t="n"/>
      <c r="B31" s="319" t="n"/>
      <c r="C31" s="319" t="n"/>
      <c r="D31" s="319" t="n"/>
      <c r="E31" s="319" t="n"/>
      <c r="F31" s="325" t="n">
        <v>27</v>
      </c>
      <c r="G31" s="325" t="inlineStr">
        <is>
          <t>Badan Keuangan dan Aset Daerah</t>
        </is>
      </c>
      <c r="H31" s="325" t="inlineStr">
        <is>
          <t>Hadir</t>
        </is>
      </c>
      <c r="I31" s="325" t="inlineStr">
        <is>
          <t>Progress</t>
        </is>
      </c>
      <c r="J31" s="325" t="inlineStr">
        <is>
          <t>Taufik Rida</t>
        </is>
      </c>
      <c r="K31" s="325" t="n"/>
      <c r="L31" s="319" t="n"/>
      <c r="M31" s="319" t="n"/>
      <c r="N31" s="319" t="n"/>
      <c r="O31" s="319" t="n"/>
      <c r="P31" s="319" t="n"/>
      <c r="Q31" s="319" t="n"/>
      <c r="R31" s="319" t="n"/>
      <c r="S31" s="319" t="n"/>
      <c r="T31" s="319" t="n"/>
      <c r="U31" s="319" t="n"/>
      <c r="V31" s="319" t="n"/>
      <c r="W31" s="319" t="n"/>
      <c r="X31" s="319" t="n"/>
      <c r="Y31" s="319" t="n"/>
      <c r="Z31" s="319" t="n"/>
    </row>
    <row r="32">
      <c r="A32" s="319" t="n"/>
      <c r="B32" s="319" t="n"/>
      <c r="C32" s="319" t="n"/>
      <c r="D32" s="319" t="n"/>
      <c r="E32" s="319" t="n"/>
      <c r="F32" s="327" t="n">
        <v>28</v>
      </c>
      <c r="G32" s="327" t="inlineStr">
        <is>
          <t>Badan Pendapatan Daerah</t>
        </is>
      </c>
      <c r="H32" s="327" t="inlineStr">
        <is>
          <t>Tidak Hadir</t>
        </is>
      </c>
      <c r="I32" s="327" t="inlineStr">
        <is>
          <t>Progress</t>
        </is>
      </c>
      <c r="J32" s="327" t="inlineStr">
        <is>
          <t>Mugi</t>
        </is>
      </c>
      <c r="K32" s="327" t="inlineStr">
        <is>
          <t>pakai yang lama</t>
        </is>
      </c>
      <c r="L32" s="319" t="n"/>
      <c r="M32" s="319" t="n"/>
      <c r="N32" s="319" t="n"/>
      <c r="O32" s="319" t="n"/>
      <c r="P32" s="319" t="n"/>
      <c r="Q32" s="319" t="n"/>
      <c r="R32" s="319" t="n"/>
      <c r="S32" s="319" t="n"/>
      <c r="T32" s="319" t="n"/>
      <c r="U32" s="319" t="n"/>
      <c r="V32" s="319" t="n"/>
      <c r="W32" s="319" t="n"/>
      <c r="X32" s="319" t="n"/>
      <c r="Y32" s="319" t="n"/>
      <c r="Z32" s="319" t="n"/>
    </row>
    <row r="33">
      <c r="A33" s="319" t="n"/>
      <c r="B33" s="319" t="n"/>
      <c r="C33" s="319" t="n"/>
      <c r="D33" s="319" t="n"/>
      <c r="E33" s="319" t="n"/>
      <c r="F33" s="327" t="n">
        <v>29</v>
      </c>
      <c r="G33" s="327" t="inlineStr">
        <is>
          <t>Badan Kepegawaian dan Pengembangan Sumber Daya Manusia</t>
        </is>
      </c>
      <c r="H33" s="327" t="inlineStr">
        <is>
          <t>Tidak Hadir</t>
        </is>
      </c>
      <c r="I33" s="328" t="inlineStr">
        <is>
          <t>Progress</t>
        </is>
      </c>
      <c r="J33" s="327" t="inlineStr">
        <is>
          <t>Andri Nurul</t>
        </is>
      </c>
      <c r="K33" s="327" t="inlineStr">
        <is>
          <t>pakai yang lama</t>
        </is>
      </c>
      <c r="L33" s="319" t="n"/>
      <c r="M33" s="319" t="n"/>
      <c r="N33" s="319" t="n"/>
      <c r="O33" s="319" t="n"/>
      <c r="P33" s="319" t="n"/>
      <c r="Q33" s="319" t="n"/>
      <c r="R33" s="319" t="n"/>
      <c r="S33" s="319" t="n"/>
      <c r="T33" s="319" t="n"/>
      <c r="U33" s="319" t="n"/>
      <c r="V33" s="319" t="n"/>
      <c r="W33" s="319" t="n"/>
      <c r="X33" s="319" t="n"/>
      <c r="Y33" s="319" t="n"/>
      <c r="Z33" s="319" t="n"/>
    </row>
    <row r="34">
      <c r="A34" s="319" t="n"/>
      <c r="B34" s="319" t="n"/>
      <c r="C34" s="319" t="n"/>
      <c r="D34" s="319" t="n"/>
      <c r="E34" s="319" t="n"/>
      <c r="F34" s="325" t="n">
        <v>30</v>
      </c>
      <c r="G34" s="325" t="inlineStr">
        <is>
          <t>Badan Kesatuan Bangsa dan Politik</t>
        </is>
      </c>
      <c r="H34" s="325" t="inlineStr">
        <is>
          <t>Hadir</t>
        </is>
      </c>
      <c r="I34" s="325" t="inlineStr">
        <is>
          <t>Selesai</t>
        </is>
      </c>
      <c r="J34" s="325" t="inlineStr">
        <is>
          <t>Ricky</t>
        </is>
      </c>
      <c r="K34" s="325" t="n"/>
      <c r="L34" s="319" t="n"/>
      <c r="M34" s="319" t="n"/>
      <c r="N34" s="319" t="n"/>
      <c r="O34" s="319" t="n"/>
      <c r="P34" s="319" t="n"/>
      <c r="Q34" s="319" t="n"/>
      <c r="R34" s="319" t="n"/>
      <c r="S34" s="319" t="n"/>
      <c r="T34" s="319" t="n"/>
      <c r="U34" s="319" t="n"/>
      <c r="V34" s="319" t="n"/>
      <c r="W34" s="319" t="n"/>
      <c r="X34" s="319" t="n"/>
      <c r="Y34" s="319" t="n"/>
      <c r="Z34" s="319" t="n"/>
    </row>
    <row r="35">
      <c r="A35" s="319" t="n"/>
      <c r="B35" s="319" t="n"/>
      <c r="C35" s="319" t="n"/>
      <c r="D35" s="319" t="n"/>
      <c r="E35" s="319" t="n"/>
      <c r="F35" s="325" t="n">
        <v>31</v>
      </c>
      <c r="G35" s="325" t="inlineStr">
        <is>
          <t>Badan Penanggulangan Bencana Daerah</t>
        </is>
      </c>
      <c r="H35" s="325" t="inlineStr">
        <is>
          <t>Hadir</t>
        </is>
      </c>
      <c r="I35" s="325" t="inlineStr">
        <is>
          <t>Selesai</t>
        </is>
      </c>
      <c r="J35" s="325" t="inlineStr">
        <is>
          <t>Ilham</t>
        </is>
      </c>
      <c r="K35" s="325" t="n"/>
      <c r="L35" s="319" t="n"/>
      <c r="M35" s="319" t="n"/>
      <c r="N35" s="319" t="n"/>
      <c r="O35" s="319" t="n"/>
      <c r="P35" s="319" t="n"/>
      <c r="Q35" s="319" t="n"/>
      <c r="R35" s="319" t="n"/>
      <c r="S35" s="319" t="n"/>
      <c r="T35" s="319" t="n"/>
      <c r="U35" s="319" t="n"/>
      <c r="V35" s="319" t="n"/>
      <c r="W35" s="319" t="n"/>
      <c r="X35" s="319" t="n"/>
      <c r="Y35" s="319" t="n"/>
      <c r="Z35" s="319" t="n"/>
    </row>
    <row r="36">
      <c r="A36" s="319" t="n"/>
      <c r="B36" s="319" t="n"/>
      <c r="C36" s="319" t="n"/>
      <c r="D36" s="319" t="n"/>
      <c r="E36" s="319" t="n"/>
      <c r="F36" s="325" t="n">
        <v>32</v>
      </c>
      <c r="G36" s="325" t="inlineStr">
        <is>
          <t>Setda Bag. Sumber Daya Alam</t>
        </is>
      </c>
      <c r="H36" s="325" t="inlineStr">
        <is>
          <t>Hadir</t>
        </is>
      </c>
      <c r="I36" s="325" t="inlineStr">
        <is>
          <t>Selesai</t>
        </is>
      </c>
      <c r="J36" s="325" t="inlineStr">
        <is>
          <t>Hilmy</t>
        </is>
      </c>
      <c r="K36" s="325" t="n"/>
      <c r="L36" s="319" t="n"/>
      <c r="M36" s="319" t="n"/>
      <c r="N36" s="319" t="n"/>
      <c r="O36" s="319" t="n"/>
      <c r="P36" s="319" t="n"/>
      <c r="Q36" s="319" t="n"/>
      <c r="R36" s="319" t="n"/>
      <c r="S36" s="319" t="n"/>
      <c r="T36" s="319" t="n"/>
      <c r="U36" s="319" t="n"/>
      <c r="V36" s="319" t="n"/>
      <c r="W36" s="319" t="n"/>
      <c r="X36" s="319" t="n"/>
      <c r="Y36" s="319" t="n"/>
      <c r="Z36" s="319" t="n"/>
    </row>
    <row r="37">
      <c r="A37" s="319" t="n"/>
      <c r="B37" s="319" t="n"/>
      <c r="C37" s="319" t="n"/>
      <c r="D37" s="319" t="n"/>
      <c r="E37" s="319" t="n"/>
      <c r="F37" s="325" t="n">
        <v>33</v>
      </c>
      <c r="G37" s="325" t="inlineStr">
        <is>
          <t>Setda Bag. Organisasi</t>
        </is>
      </c>
      <c r="H37" s="325" t="inlineStr">
        <is>
          <t>Tidak Hadir</t>
        </is>
      </c>
      <c r="I37" s="325" t="inlineStr">
        <is>
          <t>Selesai</t>
        </is>
      </c>
      <c r="J37" s="325" t="inlineStr">
        <is>
          <t>Demas</t>
        </is>
      </c>
      <c r="K37" s="325" t="n"/>
      <c r="L37" s="319" t="n"/>
      <c r="M37" s="319" t="n"/>
      <c r="N37" s="319" t="n"/>
      <c r="O37" s="319" t="n"/>
      <c r="P37" s="319" t="n"/>
      <c r="Q37" s="319" t="n"/>
      <c r="R37" s="319" t="n"/>
      <c r="S37" s="319" t="n"/>
      <c r="T37" s="319" t="n"/>
      <c r="U37" s="319" t="n"/>
      <c r="V37" s="319" t="n"/>
      <c r="W37" s="319" t="n"/>
      <c r="X37" s="319" t="n"/>
      <c r="Y37" s="319" t="n"/>
      <c r="Z37" s="319" t="n"/>
    </row>
    <row r="38">
      <c r="A38" s="319" t="n"/>
      <c r="B38" s="319" t="n"/>
      <c r="C38" s="319" t="n"/>
      <c r="D38" s="319" t="n"/>
      <c r="E38" s="319" t="n"/>
      <c r="F38" s="325" t="n">
        <v>34</v>
      </c>
      <c r="G38" s="325" t="inlineStr">
        <is>
          <t>Setda Bag. Pengadaan Barang dan Jasa</t>
        </is>
      </c>
      <c r="H38" s="325" t="inlineStr">
        <is>
          <t>Tidak Hadir</t>
        </is>
      </c>
      <c r="I38" s="325" t="inlineStr">
        <is>
          <t>Selesai</t>
        </is>
      </c>
      <c r="J38" s="325" t="inlineStr">
        <is>
          <t>Andri Nurul</t>
        </is>
      </c>
      <c r="K38" s="325" t="n"/>
      <c r="L38" s="319" t="n"/>
      <c r="M38" s="319" t="n"/>
      <c r="N38" s="319" t="n"/>
      <c r="O38" s="319" t="n"/>
      <c r="P38" s="319" t="n"/>
      <c r="Q38" s="319" t="n"/>
      <c r="R38" s="319" t="n"/>
      <c r="S38" s="319" t="n"/>
      <c r="T38" s="319" t="n"/>
      <c r="U38" s="319" t="n"/>
      <c r="V38" s="319" t="n"/>
      <c r="W38" s="319" t="n"/>
      <c r="X38" s="319" t="n"/>
      <c r="Y38" s="319" t="n"/>
      <c r="Z38" s="319" t="n"/>
    </row>
    <row r="39">
      <c r="A39" s="319" t="n"/>
      <c r="B39" s="319" t="n"/>
      <c r="C39" s="319" t="n"/>
      <c r="D39" s="319" t="n"/>
      <c r="E39" s="319" t="n"/>
      <c r="F39" s="327" t="n">
        <v>35</v>
      </c>
      <c r="G39" s="327" t="inlineStr">
        <is>
          <t>Setda Bag. Ekonomi</t>
        </is>
      </c>
      <c r="H39" s="327" t="inlineStr">
        <is>
          <t>Tidak Hadir</t>
        </is>
      </c>
      <c r="I39" s="327" t="inlineStr">
        <is>
          <t>Tidak ada keterangan</t>
        </is>
      </c>
      <c r="J39" s="327" t="inlineStr">
        <is>
          <t>Ilham</t>
        </is>
      </c>
      <c r="K39" s="327" t="inlineStr">
        <is>
          <t>pakai yang lama</t>
        </is>
      </c>
      <c r="L39" s="319" t="n"/>
      <c r="M39" s="319" t="n"/>
      <c r="N39" s="319" t="n"/>
      <c r="O39" s="319" t="n"/>
      <c r="P39" s="319" t="n"/>
      <c r="Q39" s="319" t="n"/>
      <c r="R39" s="319" t="n"/>
      <c r="S39" s="319" t="n"/>
      <c r="T39" s="319" t="n"/>
      <c r="U39" s="319" t="n"/>
      <c r="V39" s="319" t="n"/>
      <c r="W39" s="319" t="n"/>
      <c r="X39" s="319" t="n"/>
      <c r="Y39" s="319" t="n"/>
      <c r="Z39" s="319" t="n"/>
    </row>
    <row r="40">
      <c r="A40" s="319" t="n"/>
      <c r="B40" s="319" t="n"/>
      <c r="C40" s="319" t="n"/>
      <c r="D40" s="319" t="n"/>
      <c r="E40" s="319" t="n"/>
      <c r="F40" s="325" t="n">
        <v>36</v>
      </c>
      <c r="G40" s="325" t="inlineStr">
        <is>
          <t>Setda Bag. Administrasi Pembangunan</t>
        </is>
      </c>
      <c r="H40" s="325" t="inlineStr">
        <is>
          <t>Hadir</t>
        </is>
      </c>
      <c r="I40" s="325" t="inlineStr">
        <is>
          <t>Selesai</t>
        </is>
      </c>
      <c r="J40" s="325" t="inlineStr">
        <is>
          <t>Mugi</t>
        </is>
      </c>
      <c r="K40" s="325" t="n"/>
      <c r="L40" s="319" t="n"/>
      <c r="M40" s="319" t="n"/>
      <c r="N40" s="319" t="n"/>
      <c r="O40" s="319" t="n"/>
      <c r="P40" s="319" t="n"/>
      <c r="Q40" s="319" t="n"/>
      <c r="R40" s="319" t="n"/>
      <c r="S40" s="319" t="n"/>
      <c r="T40" s="319" t="n"/>
      <c r="U40" s="319" t="n"/>
      <c r="V40" s="319" t="n"/>
      <c r="W40" s="319" t="n"/>
      <c r="X40" s="319" t="n"/>
      <c r="Y40" s="319" t="n"/>
      <c r="Z40" s="319" t="n"/>
    </row>
    <row r="41">
      <c r="A41" s="319" t="n"/>
      <c r="B41" s="319" t="n"/>
      <c r="C41" s="319" t="n"/>
      <c r="D41" s="319" t="n"/>
      <c r="E41" s="319" t="n"/>
      <c r="F41" s="325" t="n">
        <v>37</v>
      </c>
      <c r="G41" s="325" t="inlineStr">
        <is>
          <t>Setda Bag. Umum</t>
        </is>
      </c>
      <c r="H41" s="325" t="inlineStr">
        <is>
          <t>Hadir</t>
        </is>
      </c>
      <c r="I41" s="325" t="inlineStr">
        <is>
          <t>Selesai</t>
        </is>
      </c>
      <c r="J41" s="325" t="inlineStr">
        <is>
          <t>Topik</t>
        </is>
      </c>
      <c r="K41" s="325" t="n"/>
      <c r="L41" s="319" t="n"/>
      <c r="M41" s="319" t="n"/>
      <c r="N41" s="319" t="n"/>
      <c r="O41" s="319" t="n"/>
      <c r="P41" s="319" t="n"/>
      <c r="Q41" s="319" t="n"/>
      <c r="R41" s="319" t="n"/>
      <c r="S41" s="319" t="n"/>
      <c r="T41" s="319" t="n"/>
      <c r="U41" s="319" t="n"/>
      <c r="V41" s="319" t="n"/>
      <c r="W41" s="319" t="n"/>
      <c r="X41" s="319" t="n"/>
      <c r="Y41" s="319" t="n"/>
      <c r="Z41" s="319" t="n"/>
    </row>
    <row r="42">
      <c r="A42" s="319" t="n"/>
      <c r="B42" s="319" t="n"/>
      <c r="C42" s="319" t="n"/>
      <c r="D42" s="319" t="n"/>
      <c r="E42" s="319" t="n"/>
      <c r="F42" s="325" t="n">
        <v>38</v>
      </c>
      <c r="G42" s="325" t="inlineStr">
        <is>
          <t>Setda Bag. Kerjasama</t>
        </is>
      </c>
      <c r="H42" s="325" t="inlineStr">
        <is>
          <t>Hadir</t>
        </is>
      </c>
      <c r="I42" s="325" t="inlineStr">
        <is>
          <t>Selesai</t>
        </is>
      </c>
      <c r="J42" s="325" t="inlineStr">
        <is>
          <t>Rohayanti Rahayu</t>
        </is>
      </c>
      <c r="K42" s="325" t="n"/>
      <c r="L42" s="319" t="n"/>
      <c r="M42" s="319" t="n"/>
      <c r="N42" s="319" t="n"/>
      <c r="O42" s="319" t="n"/>
      <c r="P42" s="319" t="n"/>
      <c r="Q42" s="319" t="n"/>
      <c r="R42" s="319" t="n"/>
      <c r="S42" s="319" t="n"/>
      <c r="T42" s="319" t="n"/>
      <c r="U42" s="319" t="n"/>
      <c r="V42" s="319" t="n"/>
      <c r="W42" s="319" t="n"/>
      <c r="X42" s="319" t="n"/>
      <c r="Y42" s="319" t="n"/>
      <c r="Z42" s="319" t="n"/>
    </row>
    <row r="43">
      <c r="A43" s="319" t="n"/>
      <c r="B43" s="319" t="n"/>
      <c r="C43" s="319" t="n"/>
      <c r="D43" s="319" t="n"/>
      <c r="E43" s="319" t="n"/>
      <c r="F43" s="327" t="n">
        <v>39</v>
      </c>
      <c r="G43" s="327" t="inlineStr">
        <is>
          <t>Setda Bag. Tata Pemerintahan</t>
        </is>
      </c>
      <c r="H43" s="327" t="inlineStr">
        <is>
          <t>Tidak Hadir</t>
        </is>
      </c>
      <c r="I43" s="327" t="inlineStr">
        <is>
          <t>Tidak ada keterangan</t>
        </is>
      </c>
      <c r="J43" s="327" t="inlineStr">
        <is>
          <t>Demas</t>
        </is>
      </c>
      <c r="K43" s="327" t="inlineStr">
        <is>
          <t>pakai yang lama</t>
        </is>
      </c>
      <c r="L43" s="319" t="n"/>
      <c r="M43" s="319" t="n"/>
      <c r="N43" s="319" t="n"/>
      <c r="O43" s="319" t="n"/>
      <c r="P43" s="319" t="n"/>
      <c r="Q43" s="319" t="n"/>
      <c r="R43" s="319" t="n"/>
      <c r="S43" s="319" t="n"/>
      <c r="T43" s="319" t="n"/>
      <c r="U43" s="319" t="n"/>
      <c r="V43" s="319" t="n"/>
      <c r="W43" s="319" t="n"/>
      <c r="X43" s="319" t="n"/>
      <c r="Y43" s="319" t="n"/>
      <c r="Z43" s="319" t="n"/>
    </row>
    <row r="44">
      <c r="A44" s="319" t="n"/>
      <c r="B44" s="319" t="n"/>
      <c r="C44" s="319" t="n"/>
      <c r="D44" s="319" t="n"/>
      <c r="E44" s="319" t="n"/>
      <c r="F44" s="327" t="n">
        <v>40</v>
      </c>
      <c r="G44" s="327" t="inlineStr">
        <is>
          <t>Setda Bag. Kesejahteraan Rakyat</t>
        </is>
      </c>
      <c r="H44" s="327" t="inlineStr">
        <is>
          <t>Tidak Hadir</t>
        </is>
      </c>
      <c r="I44" s="327" t="inlineStr">
        <is>
          <t>Tidak ada keterangan</t>
        </is>
      </c>
      <c r="J44" s="327" t="inlineStr">
        <is>
          <t>Mugi</t>
        </is>
      </c>
      <c r="K44" s="327" t="inlineStr">
        <is>
          <t>pakai yang lama</t>
        </is>
      </c>
      <c r="L44" s="319" t="n"/>
      <c r="M44" s="319" t="n"/>
      <c r="N44" s="319" t="n"/>
      <c r="O44" s="319" t="n"/>
      <c r="P44" s="319" t="n"/>
      <c r="Q44" s="319" t="n"/>
      <c r="R44" s="319" t="n"/>
      <c r="S44" s="319" t="n"/>
      <c r="T44" s="319" t="n"/>
      <c r="U44" s="319" t="n"/>
      <c r="V44" s="319" t="n"/>
      <c r="W44" s="319" t="n"/>
      <c r="X44" s="319" t="n"/>
      <c r="Y44" s="319" t="n"/>
      <c r="Z44" s="319" t="n"/>
    </row>
    <row r="45">
      <c r="A45" s="319" t="n"/>
      <c r="B45" s="319" t="n"/>
      <c r="C45" s="319" t="n"/>
      <c r="D45" s="319" t="n"/>
      <c r="E45" s="319" t="n"/>
      <c r="F45" s="325" t="n">
        <v>41</v>
      </c>
      <c r="G45" s="325" t="inlineStr">
        <is>
          <t>Setda Bag. Perencanaan dan Keuangan</t>
        </is>
      </c>
      <c r="H45" s="325" t="inlineStr">
        <is>
          <t>Hadir</t>
        </is>
      </c>
      <c r="I45" s="325" t="inlineStr">
        <is>
          <t>Selesai</t>
        </is>
      </c>
      <c r="J45" s="325" t="inlineStr">
        <is>
          <t>Hilmy</t>
        </is>
      </c>
      <c r="K45" s="325" t="n"/>
      <c r="L45" s="319" t="n"/>
      <c r="M45" s="319" t="n"/>
      <c r="N45" s="319" t="n"/>
      <c r="O45" s="319" t="n"/>
      <c r="P45" s="319" t="n"/>
      <c r="Q45" s="319" t="n"/>
      <c r="R45" s="319" t="n"/>
      <c r="S45" s="319" t="n"/>
      <c r="T45" s="319" t="n"/>
      <c r="U45" s="319" t="n"/>
      <c r="V45" s="319" t="n"/>
      <c r="W45" s="319" t="n"/>
      <c r="X45" s="319" t="n"/>
      <c r="Y45" s="319" t="n"/>
      <c r="Z45" s="319" t="n"/>
    </row>
    <row r="46">
      <c r="A46" s="319" t="n"/>
      <c r="B46" s="319" t="n"/>
      <c r="C46" s="319" t="n"/>
      <c r="D46" s="319" t="n"/>
      <c r="E46" s="319" t="n"/>
      <c r="F46" s="325" t="n">
        <v>42</v>
      </c>
      <c r="G46" s="325" t="inlineStr">
        <is>
          <t>Setda Bag. Hukum</t>
        </is>
      </c>
      <c r="H46" s="325" t="inlineStr">
        <is>
          <t>Tidak Hadir</t>
        </is>
      </c>
      <c r="I46" s="325" t="inlineStr">
        <is>
          <t>Selesai</t>
        </is>
      </c>
      <c r="J46" s="325" t="inlineStr">
        <is>
          <t>Firman</t>
        </is>
      </c>
      <c r="K46" s="325" t="n"/>
      <c r="L46" s="319" t="n"/>
      <c r="M46" s="319" t="n"/>
      <c r="N46" s="319" t="n"/>
      <c r="O46" s="319" t="n"/>
      <c r="P46" s="319" t="n"/>
      <c r="Q46" s="319" t="n"/>
      <c r="R46" s="319" t="n"/>
      <c r="S46" s="319" t="n"/>
      <c r="T46" s="319" t="n"/>
      <c r="U46" s="319" t="n"/>
      <c r="V46" s="319" t="n"/>
      <c r="W46" s="319" t="n"/>
      <c r="X46" s="319" t="n"/>
      <c r="Y46" s="319" t="n"/>
      <c r="Z46" s="319" t="n"/>
    </row>
    <row r="47">
      <c r="A47" s="319" t="n"/>
      <c r="B47" s="319" t="n"/>
      <c r="C47" s="319" t="n"/>
      <c r="D47" s="319" t="n"/>
      <c r="E47" s="319" t="n"/>
      <c r="F47" s="325" t="n">
        <v>43</v>
      </c>
      <c r="G47" s="325" t="inlineStr">
        <is>
          <t>Setda Bag. Protokol dan Komunikasi Pimpinan</t>
        </is>
      </c>
      <c r="H47" s="325" t="inlineStr">
        <is>
          <t>Hadir</t>
        </is>
      </c>
      <c r="I47" s="325" t="inlineStr">
        <is>
          <t>Selesai</t>
        </is>
      </c>
      <c r="J47" s="325" t="inlineStr">
        <is>
          <t>Hilmy</t>
        </is>
      </c>
      <c r="K47" s="325" t="n"/>
      <c r="L47" s="319" t="n"/>
      <c r="M47" s="319" t="n"/>
      <c r="N47" s="319" t="n"/>
      <c r="O47" s="319" t="n"/>
      <c r="P47" s="319" t="n"/>
      <c r="Q47" s="319" t="n"/>
      <c r="R47" s="319" t="n"/>
      <c r="S47" s="319" t="n"/>
      <c r="T47" s="319" t="n"/>
      <c r="U47" s="319" t="n"/>
      <c r="V47" s="319" t="n"/>
      <c r="W47" s="319" t="n"/>
      <c r="X47" s="319" t="n"/>
      <c r="Y47" s="319" t="n"/>
      <c r="Z47" s="319" t="n"/>
    </row>
    <row r="48">
      <c r="A48" s="319" t="n"/>
      <c r="B48" s="319" t="n"/>
      <c r="C48" s="319" t="n"/>
      <c r="D48" s="319" t="n"/>
      <c r="E48" s="319" t="n"/>
      <c r="F48" s="325" t="n">
        <v>44</v>
      </c>
      <c r="G48" s="325" t="inlineStr">
        <is>
          <t>Rumah Sakit Umum Daerah Majalaya</t>
        </is>
      </c>
      <c r="H48" s="325" t="inlineStr">
        <is>
          <t>Hadir</t>
        </is>
      </c>
      <c r="I48" s="325" t="inlineStr">
        <is>
          <t>Selesai</t>
        </is>
      </c>
      <c r="J48" s="325" t="inlineStr">
        <is>
          <t>shahnaz</t>
        </is>
      </c>
      <c r="K48" s="325" t="n"/>
      <c r="L48" s="319" t="n"/>
      <c r="M48" s="319" t="n"/>
      <c r="N48" s="319" t="n"/>
      <c r="O48" s="319" t="n"/>
      <c r="P48" s="319" t="n"/>
      <c r="Q48" s="319" t="n"/>
      <c r="R48" s="319" t="n"/>
      <c r="S48" s="319" t="n"/>
      <c r="T48" s="319" t="n"/>
      <c r="U48" s="319" t="n"/>
      <c r="V48" s="319" t="n"/>
      <c r="W48" s="319" t="n"/>
      <c r="X48" s="319" t="n"/>
      <c r="Y48" s="319" t="n"/>
      <c r="Z48" s="319" t="n"/>
    </row>
    <row r="49">
      <c r="A49" s="319" t="n"/>
      <c r="B49" s="319" t="n"/>
      <c r="C49" s="319" t="n"/>
      <c r="D49" s="319" t="n"/>
      <c r="E49" s="319" t="n"/>
      <c r="F49" s="325" t="n">
        <v>45</v>
      </c>
      <c r="G49" s="325" t="inlineStr">
        <is>
          <t>Rumah Sakit Umum Daerah Oto Iskandar Di Nata</t>
        </is>
      </c>
      <c r="H49" s="325" t="inlineStr">
        <is>
          <t>Hadir</t>
        </is>
      </c>
      <c r="I49" s="325" t="inlineStr">
        <is>
          <t>Selesai</t>
        </is>
      </c>
      <c r="J49" s="325" t="inlineStr">
        <is>
          <t>shahnaz</t>
        </is>
      </c>
      <c r="K49" s="325" t="n"/>
      <c r="L49" s="319" t="n"/>
      <c r="M49" s="319" t="n"/>
      <c r="N49" s="319" t="n"/>
      <c r="O49" s="319" t="n"/>
      <c r="P49" s="319" t="n"/>
      <c r="Q49" s="319" t="n"/>
      <c r="R49" s="319" t="n"/>
      <c r="S49" s="319" t="n"/>
      <c r="T49" s="319" t="n"/>
      <c r="U49" s="319" t="n"/>
      <c r="V49" s="319" t="n"/>
      <c r="W49" s="319" t="n"/>
      <c r="X49" s="319" t="n"/>
      <c r="Y49" s="319" t="n"/>
      <c r="Z49" s="319" t="n"/>
    </row>
    <row r="50">
      <c r="A50" s="319" t="n"/>
      <c r="B50" s="319" t="n"/>
      <c r="C50" s="319" t="n"/>
      <c r="D50" s="319" t="n"/>
      <c r="E50" s="319" t="n"/>
      <c r="F50" s="325" t="n">
        <v>46</v>
      </c>
      <c r="G50" s="325" t="inlineStr">
        <is>
          <t>Rumah Sakit Umum Daerah Cicalengka</t>
        </is>
      </c>
      <c r="H50" s="325" t="inlineStr">
        <is>
          <t>Hadir</t>
        </is>
      </c>
      <c r="I50" s="325" t="inlineStr">
        <is>
          <t>Selesai</t>
        </is>
      </c>
      <c r="J50" s="325" t="inlineStr">
        <is>
          <t>shahnaz</t>
        </is>
      </c>
      <c r="K50" s="325" t="n"/>
      <c r="L50" s="319" t="n"/>
      <c r="M50" s="319" t="n"/>
      <c r="N50" s="319" t="n"/>
      <c r="O50" s="319" t="n"/>
      <c r="P50" s="319" t="n"/>
      <c r="Q50" s="319" t="n"/>
      <c r="R50" s="319" t="n"/>
      <c r="S50" s="319" t="n"/>
      <c r="T50" s="319" t="n"/>
      <c r="U50" s="319" t="n"/>
      <c r="V50" s="319" t="n"/>
      <c r="W50" s="319" t="n"/>
      <c r="X50" s="319" t="n"/>
      <c r="Y50" s="319" t="n"/>
      <c r="Z50" s="319" t="n"/>
    </row>
    <row r="51">
      <c r="A51" s="319" t="n"/>
      <c r="B51" s="319" t="n"/>
      <c r="C51" s="319" t="n"/>
      <c r="D51" s="319" t="n"/>
      <c r="E51" s="319" t="n"/>
      <c r="F51" s="325" t="n">
        <v>47</v>
      </c>
      <c r="G51" s="325" t="inlineStr">
        <is>
          <t>Rumah Sakit Umum Daerah Bedas Cimaung</t>
        </is>
      </c>
      <c r="H51" s="325" t="inlineStr">
        <is>
          <t>Hadir</t>
        </is>
      </c>
      <c r="I51" s="325" t="inlineStr">
        <is>
          <t>Selesai</t>
        </is>
      </c>
      <c r="J51" s="325" t="inlineStr">
        <is>
          <t>shahnaz</t>
        </is>
      </c>
      <c r="K51" s="325" t="n"/>
      <c r="L51" s="319" t="n"/>
      <c r="M51" s="319" t="n"/>
      <c r="N51" s="319" t="n"/>
      <c r="O51" s="319" t="n"/>
      <c r="P51" s="319" t="n"/>
      <c r="Q51" s="319" t="n"/>
      <c r="R51" s="319" t="n"/>
      <c r="S51" s="319" t="n"/>
      <c r="T51" s="319" t="n"/>
      <c r="U51" s="319" t="n"/>
      <c r="V51" s="319" t="n"/>
      <c r="W51" s="319" t="n"/>
      <c r="X51" s="319" t="n"/>
      <c r="Y51" s="319" t="n"/>
      <c r="Z51" s="319" t="n"/>
    </row>
    <row r="52">
      <c r="A52" s="319" t="n"/>
      <c r="B52" s="319" t="n"/>
      <c r="C52" s="319" t="n"/>
      <c r="D52" s="319" t="n"/>
      <c r="E52" s="319" t="n"/>
      <c r="F52" s="325" t="n">
        <v>48</v>
      </c>
      <c r="G52" s="325" t="inlineStr">
        <is>
          <t>Rumah Sakit Umum Daerah Bedas Kertasari</t>
        </is>
      </c>
      <c r="H52" s="325" t="inlineStr">
        <is>
          <t>Hadir</t>
        </is>
      </c>
      <c r="I52" s="325" t="inlineStr">
        <is>
          <t>Selesai</t>
        </is>
      </c>
      <c r="J52" s="325" t="inlineStr">
        <is>
          <t>shahnaz</t>
        </is>
      </c>
      <c r="K52" s="325" t="n"/>
      <c r="L52" s="319" t="n"/>
      <c r="M52" s="319" t="n"/>
      <c r="N52" s="319" t="n"/>
      <c r="O52" s="319" t="n"/>
      <c r="P52" s="319" t="n"/>
      <c r="Q52" s="319" t="n"/>
      <c r="R52" s="319" t="n"/>
      <c r="S52" s="319" t="n"/>
      <c r="T52" s="319" t="n"/>
      <c r="U52" s="319" t="n"/>
      <c r="V52" s="319" t="n"/>
      <c r="W52" s="319" t="n"/>
      <c r="X52" s="319" t="n"/>
      <c r="Y52" s="319" t="n"/>
      <c r="Z52" s="319" t="n"/>
    </row>
    <row r="53">
      <c r="A53" s="319" t="n"/>
      <c r="B53" s="319" t="n"/>
      <c r="C53" s="319" t="n"/>
      <c r="D53" s="319" t="n"/>
      <c r="E53" s="319" t="n"/>
      <c r="F53" s="325" t="n">
        <v>49</v>
      </c>
      <c r="G53" s="325" t="inlineStr">
        <is>
          <t>Rumah Sakit Umum Daerah Bedas Arjasari</t>
        </is>
      </c>
      <c r="H53" s="325" t="inlineStr">
        <is>
          <t>Hadir</t>
        </is>
      </c>
      <c r="I53" s="325" t="inlineStr">
        <is>
          <t>Selesai</t>
        </is>
      </c>
      <c r="J53" s="325" t="inlineStr">
        <is>
          <t>shahnaz</t>
        </is>
      </c>
      <c r="K53" s="325" t="n"/>
      <c r="L53" s="319" t="n"/>
      <c r="M53" s="319" t="n"/>
      <c r="N53" s="319" t="n"/>
      <c r="O53" s="319" t="n"/>
      <c r="P53" s="319" t="n"/>
      <c r="Q53" s="319" t="n"/>
      <c r="R53" s="319" t="n"/>
      <c r="S53" s="319" t="n"/>
      <c r="T53" s="319" t="n"/>
      <c r="U53" s="319" t="n"/>
      <c r="V53" s="319" t="n"/>
      <c r="W53" s="319" t="n"/>
      <c r="X53" s="319" t="n"/>
      <c r="Y53" s="319" t="n"/>
      <c r="Z53" s="319" t="n"/>
    </row>
    <row r="54">
      <c r="A54" s="319" t="n"/>
      <c r="B54" s="319" t="n"/>
      <c r="C54" s="319" t="n"/>
      <c r="D54" s="319" t="n"/>
      <c r="E54" s="319" t="n"/>
      <c r="F54" s="325" t="n">
        <v>50</v>
      </c>
      <c r="G54" s="325" t="inlineStr">
        <is>
          <t>Rumah Sakit Umum Daerah Bedas Tegalluar</t>
        </is>
      </c>
      <c r="H54" s="325" t="inlineStr">
        <is>
          <t>Hadir</t>
        </is>
      </c>
      <c r="I54" s="325" t="inlineStr">
        <is>
          <t>Selesai</t>
        </is>
      </c>
      <c r="J54" s="325" t="inlineStr">
        <is>
          <t>shahnaz</t>
        </is>
      </c>
      <c r="K54" s="325" t="n"/>
      <c r="L54" s="319" t="n"/>
      <c r="M54" s="319" t="n"/>
      <c r="N54" s="319" t="n"/>
      <c r="O54" s="319" t="n"/>
      <c r="P54" s="319" t="n"/>
      <c r="Q54" s="319" t="n"/>
      <c r="R54" s="319" t="n"/>
      <c r="S54" s="319" t="n"/>
      <c r="T54" s="319" t="n"/>
      <c r="U54" s="319" t="n"/>
      <c r="V54" s="319" t="n"/>
      <c r="W54" s="319" t="n"/>
      <c r="X54" s="319" t="n"/>
      <c r="Y54" s="319" t="n"/>
      <c r="Z54" s="319" t="n"/>
    </row>
    <row r="55">
      <c r="A55" s="319" t="n"/>
      <c r="B55" s="319" t="n"/>
      <c r="C55" s="319" t="n"/>
      <c r="D55" s="319" t="n"/>
      <c r="E55" s="319" t="n"/>
      <c r="F55" s="325" t="n">
        <v>51</v>
      </c>
      <c r="G55" s="325" t="inlineStr">
        <is>
          <t>Rumah Sakit Umum Daerah Bedas Pacira</t>
        </is>
      </c>
      <c r="H55" s="325" t="inlineStr">
        <is>
          <t>Hadir</t>
        </is>
      </c>
      <c r="I55" s="325" t="inlineStr">
        <is>
          <t>Selesai</t>
        </is>
      </c>
      <c r="J55" s="325" t="inlineStr">
        <is>
          <t>shahnaz</t>
        </is>
      </c>
      <c r="K55" s="325" t="n"/>
      <c r="L55" s="319" t="n"/>
      <c r="M55" s="319" t="n"/>
      <c r="N55" s="319" t="n"/>
      <c r="O55" s="319" t="n"/>
      <c r="P55" s="319" t="n"/>
      <c r="Q55" s="319" t="n"/>
      <c r="R55" s="319" t="n"/>
      <c r="S55" s="319" t="n"/>
      <c r="T55" s="319" t="n"/>
      <c r="U55" s="319" t="n"/>
      <c r="V55" s="319" t="n"/>
      <c r="W55" s="319" t="n"/>
      <c r="X55" s="319" t="n"/>
      <c r="Y55" s="319" t="n"/>
      <c r="Z55" s="319" t="n"/>
    </row>
    <row r="56">
      <c r="A56" s="319" t="n"/>
      <c r="B56" s="319" t="n"/>
      <c r="C56" s="319" t="n"/>
      <c r="D56" s="319" t="n"/>
      <c r="E56" s="319" t="n"/>
      <c r="F56" s="319" t="n"/>
      <c r="G56" s="319" t="n"/>
      <c r="H56" s="319" t="n"/>
      <c r="I56" s="319" t="n"/>
      <c r="J56" s="319" t="n"/>
      <c r="K56" s="319" t="n"/>
      <c r="L56" s="319" t="n"/>
      <c r="M56" s="319" t="n"/>
      <c r="N56" s="319" t="n"/>
      <c r="O56" s="319" t="n"/>
      <c r="P56" s="319" t="n"/>
      <c r="Q56" s="319" t="n"/>
      <c r="R56" s="319" t="n"/>
      <c r="S56" s="319" t="n"/>
      <c r="T56" s="319" t="n"/>
      <c r="U56" s="319" t="n"/>
      <c r="V56" s="319" t="n"/>
      <c r="W56" s="319" t="n"/>
      <c r="X56" s="319" t="n"/>
      <c r="Y56" s="319" t="n"/>
      <c r="Z56" s="319" t="n"/>
    </row>
    <row r="57">
      <c r="A57" s="319" t="n"/>
      <c r="B57" s="319" t="n"/>
      <c r="C57" s="319" t="n"/>
      <c r="D57" s="319" t="n"/>
      <c r="E57" s="319" t="n"/>
      <c r="F57" s="319" t="n"/>
      <c r="G57" s="319" t="n"/>
      <c r="H57" s="319" t="n"/>
      <c r="I57" s="319" t="n"/>
      <c r="J57" s="319" t="n"/>
      <c r="K57" s="319" t="n"/>
      <c r="L57" s="319" t="n"/>
      <c r="M57" s="319" t="n"/>
      <c r="N57" s="319" t="n"/>
      <c r="O57" s="319" t="n"/>
      <c r="P57" s="319" t="n"/>
      <c r="Q57" s="319" t="n"/>
      <c r="R57" s="319" t="n"/>
      <c r="S57" s="319" t="n"/>
      <c r="T57" s="319" t="n"/>
      <c r="U57" s="319" t="n"/>
      <c r="V57" s="319" t="n"/>
      <c r="W57" s="319" t="n"/>
      <c r="X57" s="319" t="n"/>
      <c r="Y57" s="319" t="n"/>
      <c r="Z57" s="319" t="n"/>
    </row>
    <row r="58">
      <c r="A58" s="319" t="n"/>
      <c r="B58" s="319" t="n"/>
      <c r="C58" s="319" t="n"/>
      <c r="D58" s="319" t="n"/>
      <c r="E58" s="319" t="n"/>
      <c r="F58" s="319" t="n"/>
      <c r="G58" s="319" t="n"/>
      <c r="H58" s="319" t="n"/>
      <c r="I58" s="319" t="n"/>
      <c r="J58" s="319" t="n"/>
      <c r="K58" s="319" t="n"/>
      <c r="L58" s="319" t="n"/>
      <c r="M58" s="319" t="n"/>
      <c r="N58" s="319" t="n"/>
      <c r="O58" s="319" t="n"/>
      <c r="P58" s="319" t="n"/>
      <c r="Q58" s="319" t="n"/>
      <c r="R58" s="319" t="n"/>
      <c r="S58" s="319" t="n"/>
      <c r="T58" s="319" t="n"/>
      <c r="U58" s="319" t="n"/>
      <c r="V58" s="319" t="n"/>
      <c r="W58" s="319" t="n"/>
      <c r="X58" s="319" t="n"/>
      <c r="Y58" s="319" t="n"/>
      <c r="Z58" s="319" t="n"/>
    </row>
    <row r="59">
      <c r="A59" s="319" t="n"/>
      <c r="B59" s="319" t="n"/>
      <c r="C59" s="319" t="n"/>
      <c r="D59" s="319" t="n"/>
      <c r="E59" s="319" t="n"/>
      <c r="F59" s="319" t="n"/>
      <c r="G59" s="319" t="n"/>
      <c r="H59" s="319" t="n"/>
      <c r="I59" s="319" t="n"/>
      <c r="J59" s="319" t="n"/>
      <c r="K59" s="319" t="n"/>
      <c r="L59" s="319" t="n"/>
      <c r="M59" s="319" t="n"/>
      <c r="N59" s="319" t="n"/>
      <c r="O59" s="319" t="n"/>
      <c r="P59" s="319" t="n"/>
      <c r="Q59" s="319" t="n"/>
      <c r="R59" s="319" t="n"/>
      <c r="S59" s="319" t="n"/>
      <c r="T59" s="319" t="n"/>
      <c r="U59" s="319" t="n"/>
      <c r="V59" s="319" t="n"/>
      <c r="W59" s="319" t="n"/>
      <c r="X59" s="319" t="n"/>
      <c r="Y59" s="319" t="n"/>
      <c r="Z59" s="319" t="n"/>
    </row>
    <row r="60">
      <c r="A60" s="319" t="n"/>
      <c r="B60" s="319" t="n"/>
      <c r="C60" s="319" t="n"/>
      <c r="D60" s="319" t="n"/>
      <c r="E60" s="319" t="n"/>
      <c r="F60" s="319" t="n"/>
      <c r="G60" s="319" t="n"/>
      <c r="H60" s="319" t="n"/>
      <c r="I60" s="319" t="n"/>
      <c r="J60" s="319" t="n"/>
      <c r="K60" s="319" t="n"/>
      <c r="L60" s="319" t="n"/>
      <c r="M60" s="319" t="n"/>
      <c r="N60" s="319" t="n"/>
      <c r="O60" s="319" t="n"/>
      <c r="P60" s="319" t="n"/>
      <c r="Q60" s="319" t="n"/>
      <c r="R60" s="319" t="n"/>
      <c r="S60" s="319" t="n"/>
      <c r="T60" s="319" t="n"/>
      <c r="U60" s="319" t="n"/>
      <c r="V60" s="319" t="n"/>
      <c r="W60" s="319" t="n"/>
      <c r="X60" s="319" t="n"/>
      <c r="Y60" s="319" t="n"/>
      <c r="Z60" s="319" t="n"/>
    </row>
    <row r="61">
      <c r="A61" s="319" t="n"/>
      <c r="B61" s="319" t="n"/>
      <c r="C61" s="319" t="n"/>
      <c r="D61" s="319" t="n"/>
      <c r="E61" s="319" t="n"/>
      <c r="F61" s="319" t="n"/>
      <c r="G61" s="319" t="n"/>
      <c r="H61" s="319" t="n"/>
      <c r="I61" s="319" t="n"/>
      <c r="J61" s="319" t="n"/>
      <c r="K61" s="319" t="n"/>
      <c r="L61" s="319" t="n"/>
      <c r="M61" s="319" t="n"/>
      <c r="N61" s="319" t="n"/>
      <c r="O61" s="319" t="n"/>
      <c r="P61" s="319" t="n"/>
      <c r="Q61" s="319" t="n"/>
      <c r="R61" s="319" t="n"/>
      <c r="S61" s="319" t="n"/>
      <c r="T61" s="319" t="n"/>
      <c r="U61" s="319" t="n"/>
      <c r="V61" s="319" t="n"/>
      <c r="W61" s="319" t="n"/>
      <c r="X61" s="319" t="n"/>
      <c r="Y61" s="319" t="n"/>
      <c r="Z61" s="319" t="n"/>
    </row>
    <row r="62">
      <c r="A62" s="319" t="n"/>
      <c r="B62" s="319" t="n"/>
      <c r="C62" s="319" t="n"/>
      <c r="D62" s="319" t="n"/>
      <c r="E62" s="319" t="n"/>
      <c r="F62" s="319" t="n"/>
      <c r="G62" s="319" t="n"/>
      <c r="H62" s="319" t="n"/>
      <c r="I62" s="319" t="n"/>
      <c r="J62" s="319" t="n"/>
      <c r="K62" s="319" t="n"/>
      <c r="L62" s="319" t="n"/>
      <c r="M62" s="319" t="n"/>
      <c r="N62" s="319" t="n"/>
      <c r="O62" s="319" t="n"/>
      <c r="P62" s="319" t="n"/>
      <c r="Q62" s="319" t="n"/>
      <c r="R62" s="319" t="n"/>
      <c r="S62" s="319" t="n"/>
      <c r="T62" s="319" t="n"/>
      <c r="U62" s="319" t="n"/>
      <c r="V62" s="319" t="n"/>
      <c r="W62" s="319" t="n"/>
      <c r="X62" s="319" t="n"/>
      <c r="Y62" s="319" t="n"/>
      <c r="Z62" s="319" t="n"/>
    </row>
    <row r="63">
      <c r="A63" s="319" t="n"/>
      <c r="B63" s="319" t="n"/>
      <c r="C63" s="319" t="n"/>
      <c r="D63" s="319" t="n"/>
      <c r="E63" s="319" t="n"/>
      <c r="F63" s="319" t="n"/>
      <c r="G63" s="319" t="n"/>
      <c r="H63" s="319" t="n"/>
      <c r="I63" s="319" t="n"/>
      <c r="J63" s="319" t="n"/>
      <c r="K63" s="319" t="n"/>
      <c r="L63" s="319" t="n"/>
      <c r="M63" s="319" t="n"/>
      <c r="N63" s="319" t="n"/>
      <c r="O63" s="319" t="n"/>
      <c r="P63" s="319" t="n"/>
      <c r="Q63" s="319" t="n"/>
      <c r="R63" s="319" t="n"/>
      <c r="S63" s="319" t="n"/>
      <c r="T63" s="319" t="n"/>
      <c r="U63" s="319" t="n"/>
      <c r="V63" s="319" t="n"/>
      <c r="W63" s="319" t="n"/>
      <c r="X63" s="319" t="n"/>
      <c r="Y63" s="319" t="n"/>
      <c r="Z63" s="319" t="n"/>
    </row>
    <row r="64">
      <c r="A64" s="319" t="n"/>
      <c r="B64" s="319" t="n"/>
      <c r="C64" s="319" t="n"/>
      <c r="D64" s="319" t="n"/>
      <c r="E64" s="319" t="n"/>
      <c r="F64" s="319" t="n"/>
      <c r="G64" s="319" t="n"/>
      <c r="H64" s="319" t="n"/>
      <c r="I64" s="319" t="n"/>
      <c r="J64" s="319" t="n"/>
      <c r="K64" s="319" t="n"/>
      <c r="L64" s="319" t="n"/>
      <c r="M64" s="319" t="n"/>
      <c r="N64" s="319" t="n"/>
      <c r="O64" s="319" t="n"/>
      <c r="P64" s="319" t="n"/>
      <c r="Q64" s="319" t="n"/>
      <c r="R64" s="319" t="n"/>
      <c r="S64" s="319" t="n"/>
      <c r="T64" s="319" t="n"/>
      <c r="U64" s="319" t="n"/>
      <c r="V64" s="319" t="n"/>
      <c r="W64" s="319" t="n"/>
      <c r="X64" s="319" t="n"/>
      <c r="Y64" s="319" t="n"/>
      <c r="Z64" s="319" t="n"/>
    </row>
    <row r="65">
      <c r="A65" s="319" t="n"/>
      <c r="B65" s="319" t="n"/>
      <c r="C65" s="319" t="n"/>
      <c r="D65" s="319" t="n"/>
      <c r="E65" s="319" t="n"/>
      <c r="F65" s="319" t="n"/>
      <c r="G65" s="319" t="n"/>
      <c r="H65" s="319" t="n"/>
      <c r="I65" s="319" t="n"/>
      <c r="J65" s="319" t="n"/>
      <c r="K65" s="319" t="n"/>
      <c r="L65" s="319" t="n"/>
      <c r="M65" s="319" t="n"/>
      <c r="N65" s="319" t="n"/>
      <c r="O65" s="319" t="n"/>
      <c r="P65" s="319" t="n"/>
      <c r="Q65" s="319" t="n"/>
      <c r="R65" s="319" t="n"/>
      <c r="S65" s="319" t="n"/>
      <c r="T65" s="319" t="n"/>
      <c r="U65" s="319" t="n"/>
      <c r="V65" s="319" t="n"/>
      <c r="W65" s="319" t="n"/>
      <c r="X65" s="319" t="n"/>
      <c r="Y65" s="319" t="n"/>
      <c r="Z65" s="319" t="n"/>
    </row>
    <row r="66">
      <c r="A66" s="319" t="n"/>
      <c r="B66" s="319" t="n"/>
      <c r="C66" s="319" t="n"/>
      <c r="D66" s="319" t="n"/>
      <c r="E66" s="319" t="n"/>
      <c r="F66" s="319" t="n"/>
      <c r="G66" s="319" t="n"/>
      <c r="H66" s="319" t="n"/>
      <c r="I66" s="319" t="n"/>
      <c r="J66" s="319" t="n"/>
      <c r="K66" s="319" t="n"/>
      <c r="L66" s="319" t="n"/>
      <c r="M66" s="319" t="n"/>
      <c r="N66" s="319" t="n"/>
      <c r="O66" s="319" t="n"/>
      <c r="P66" s="319" t="n"/>
      <c r="Q66" s="319" t="n"/>
      <c r="R66" s="319" t="n"/>
      <c r="S66" s="319" t="n"/>
      <c r="T66" s="319" t="n"/>
      <c r="U66" s="319" t="n"/>
      <c r="V66" s="319" t="n"/>
      <c r="W66" s="319" t="n"/>
      <c r="X66" s="319" t="n"/>
      <c r="Y66" s="319" t="n"/>
      <c r="Z66" s="319" t="n"/>
    </row>
    <row r="67">
      <c r="A67" s="319" t="n"/>
      <c r="B67" s="319" t="n"/>
      <c r="C67" s="319" t="n"/>
      <c r="D67" s="319" t="n"/>
      <c r="E67" s="319" t="n"/>
      <c r="F67" s="319" t="n"/>
      <c r="G67" s="319" t="n"/>
      <c r="H67" s="319" t="n"/>
      <c r="I67" s="319" t="n"/>
      <c r="J67" s="319" t="n"/>
      <c r="K67" s="319" t="n"/>
      <c r="L67" s="319" t="n"/>
      <c r="M67" s="319" t="n"/>
      <c r="N67" s="319" t="n"/>
      <c r="O67" s="319" t="n"/>
      <c r="P67" s="319" t="n"/>
      <c r="Q67" s="319" t="n"/>
      <c r="R67" s="319" t="n"/>
      <c r="S67" s="319" t="n"/>
      <c r="T67" s="319" t="n"/>
      <c r="U67" s="319" t="n"/>
      <c r="V67" s="319" t="n"/>
      <c r="W67" s="319" t="n"/>
      <c r="X67" s="319" t="n"/>
      <c r="Y67" s="319" t="n"/>
      <c r="Z67" s="319" t="n"/>
    </row>
    <row r="68">
      <c r="A68" s="319" t="n"/>
      <c r="B68" s="319" t="n"/>
      <c r="C68" s="319" t="n"/>
      <c r="D68" s="319" t="n"/>
      <c r="E68" s="319" t="n"/>
      <c r="F68" s="319" t="n"/>
      <c r="G68" s="319" t="n"/>
      <c r="H68" s="319" t="n"/>
      <c r="I68" s="319" t="n"/>
      <c r="J68" s="319" t="n"/>
      <c r="K68" s="319" t="n"/>
      <c r="L68" s="319" t="n"/>
      <c r="M68" s="319" t="n"/>
      <c r="N68" s="319" t="n"/>
      <c r="O68" s="319" t="n"/>
      <c r="P68" s="319" t="n"/>
      <c r="Q68" s="319" t="n"/>
      <c r="R68" s="319" t="n"/>
      <c r="S68" s="319" t="n"/>
      <c r="T68" s="319" t="n"/>
      <c r="U68" s="319" t="n"/>
      <c r="V68" s="319" t="n"/>
      <c r="W68" s="319" t="n"/>
      <c r="X68" s="319" t="n"/>
      <c r="Y68" s="319" t="n"/>
      <c r="Z68" s="319" t="n"/>
    </row>
    <row r="69">
      <c r="A69" s="319" t="n"/>
      <c r="B69" s="319" t="n"/>
      <c r="C69" s="319" t="n"/>
      <c r="D69" s="319" t="n"/>
      <c r="E69" s="319" t="n"/>
      <c r="F69" s="319" t="n"/>
      <c r="G69" s="319" t="n"/>
      <c r="H69" s="319" t="n"/>
      <c r="I69" s="319" t="n"/>
      <c r="J69" s="319" t="n"/>
      <c r="K69" s="319" t="n"/>
      <c r="L69" s="319" t="n"/>
      <c r="M69" s="319" t="n"/>
      <c r="N69" s="319" t="n"/>
      <c r="O69" s="319" t="n"/>
      <c r="P69" s="319" t="n"/>
      <c r="Q69" s="319" t="n"/>
      <c r="R69" s="319" t="n"/>
      <c r="S69" s="319" t="n"/>
      <c r="T69" s="319" t="n"/>
      <c r="U69" s="319" t="n"/>
      <c r="V69" s="319" t="n"/>
      <c r="W69" s="319" t="n"/>
      <c r="X69" s="319" t="n"/>
      <c r="Y69" s="319" t="n"/>
      <c r="Z69" s="319" t="n"/>
    </row>
    <row r="70">
      <c r="A70" s="319" t="n"/>
      <c r="B70" s="319" t="n"/>
      <c r="C70" s="319" t="n"/>
      <c r="D70" s="319" t="n"/>
      <c r="E70" s="319" t="n"/>
      <c r="F70" s="319" t="n"/>
      <c r="G70" s="319" t="n"/>
      <c r="H70" s="319" t="n"/>
      <c r="I70" s="319" t="n"/>
      <c r="J70" s="319" t="n"/>
      <c r="K70" s="319" t="n"/>
      <c r="L70" s="319" t="n"/>
      <c r="M70" s="319" t="n"/>
      <c r="N70" s="319" t="n"/>
      <c r="O70" s="319" t="n"/>
      <c r="P70" s="319" t="n"/>
      <c r="Q70" s="319" t="n"/>
      <c r="R70" s="319" t="n"/>
      <c r="S70" s="319" t="n"/>
      <c r="T70" s="319" t="n"/>
      <c r="U70" s="319" t="n"/>
      <c r="V70" s="319" t="n"/>
      <c r="W70" s="319" t="n"/>
      <c r="X70" s="319" t="n"/>
      <c r="Y70" s="319" t="n"/>
      <c r="Z70" s="319" t="n"/>
    </row>
    <row r="71">
      <c r="A71" s="319" t="n"/>
      <c r="B71" s="319" t="n"/>
      <c r="C71" s="319" t="n"/>
      <c r="D71" s="319" t="n"/>
      <c r="E71" s="319" t="n"/>
      <c r="F71" s="319" t="n"/>
      <c r="G71" s="319" t="n"/>
      <c r="H71" s="319" t="n"/>
      <c r="I71" s="319" t="n"/>
      <c r="J71" s="319" t="n"/>
      <c r="K71" s="319" t="n"/>
      <c r="L71" s="319" t="n"/>
      <c r="M71" s="319" t="n"/>
      <c r="N71" s="319" t="n"/>
      <c r="O71" s="319" t="n"/>
      <c r="P71" s="319" t="n"/>
      <c r="Q71" s="319" t="n"/>
      <c r="R71" s="319" t="n"/>
      <c r="S71" s="319" t="n"/>
      <c r="T71" s="319" t="n"/>
      <c r="U71" s="319" t="n"/>
      <c r="V71" s="319" t="n"/>
      <c r="W71" s="319" t="n"/>
      <c r="X71" s="319" t="n"/>
      <c r="Y71" s="319" t="n"/>
      <c r="Z71" s="319" t="n"/>
    </row>
    <row r="72">
      <c r="A72" s="319" t="n"/>
      <c r="B72" s="319" t="n"/>
      <c r="C72" s="319" t="n"/>
      <c r="D72" s="319" t="n"/>
      <c r="E72" s="319" t="n"/>
      <c r="F72" s="319" t="n"/>
      <c r="G72" s="319" t="n"/>
      <c r="H72" s="319" t="n"/>
      <c r="I72" s="319" t="n"/>
      <c r="J72" s="319" t="n"/>
      <c r="K72" s="319" t="n"/>
      <c r="L72" s="319" t="n"/>
      <c r="M72" s="319" t="n"/>
      <c r="N72" s="319" t="n"/>
      <c r="O72" s="319" t="n"/>
      <c r="P72" s="319" t="n"/>
      <c r="Q72" s="319" t="n"/>
      <c r="R72" s="319" t="n"/>
      <c r="S72" s="319" t="n"/>
      <c r="T72" s="319" t="n"/>
      <c r="U72" s="319" t="n"/>
      <c r="V72" s="319" t="n"/>
      <c r="W72" s="319" t="n"/>
      <c r="X72" s="319" t="n"/>
      <c r="Y72" s="319" t="n"/>
      <c r="Z72" s="319" t="n"/>
    </row>
    <row r="73">
      <c r="A73" s="319" t="n"/>
      <c r="B73" s="319" t="n"/>
      <c r="C73" s="319" t="n"/>
      <c r="D73" s="319" t="n"/>
      <c r="E73" s="319" t="n"/>
      <c r="F73" s="319" t="n"/>
      <c r="G73" s="319" t="n"/>
      <c r="H73" s="319" t="n"/>
      <c r="I73" s="319" t="n"/>
      <c r="J73" s="319" t="n"/>
      <c r="K73" s="319" t="n"/>
      <c r="L73" s="319" t="n"/>
      <c r="M73" s="319" t="n"/>
      <c r="N73" s="319" t="n"/>
      <c r="O73" s="319" t="n"/>
      <c r="P73" s="319" t="n"/>
      <c r="Q73" s="319" t="n"/>
      <c r="R73" s="319" t="n"/>
      <c r="S73" s="319" t="n"/>
      <c r="T73" s="319" t="n"/>
      <c r="U73" s="319" t="n"/>
      <c r="V73" s="319" t="n"/>
      <c r="W73" s="319" t="n"/>
      <c r="X73" s="319" t="n"/>
      <c r="Y73" s="319" t="n"/>
      <c r="Z73" s="319" t="n"/>
    </row>
    <row r="74">
      <c r="A74" s="319" t="n"/>
      <c r="B74" s="319" t="n"/>
      <c r="C74" s="319" t="n"/>
      <c r="D74" s="319" t="n"/>
      <c r="E74" s="319" t="n"/>
      <c r="F74" s="319" t="n"/>
      <c r="G74" s="319" t="n"/>
      <c r="H74" s="319" t="n"/>
      <c r="I74" s="319" t="n"/>
      <c r="J74" s="319" t="n"/>
      <c r="K74" s="319" t="n"/>
      <c r="L74" s="319" t="n"/>
      <c r="M74" s="319" t="n"/>
      <c r="N74" s="319" t="n"/>
      <c r="O74" s="319" t="n"/>
      <c r="P74" s="319" t="n"/>
      <c r="Q74" s="319" t="n"/>
      <c r="R74" s="319" t="n"/>
      <c r="S74" s="319" t="n"/>
      <c r="T74" s="319" t="n"/>
      <c r="U74" s="319" t="n"/>
      <c r="V74" s="319" t="n"/>
      <c r="W74" s="319" t="n"/>
      <c r="X74" s="319" t="n"/>
      <c r="Y74" s="319" t="n"/>
      <c r="Z74" s="319" t="n"/>
    </row>
    <row r="75">
      <c r="A75" s="319" t="n"/>
      <c r="B75" s="319" t="n"/>
      <c r="C75" s="319" t="n"/>
      <c r="D75" s="319" t="n"/>
      <c r="E75" s="319" t="n"/>
      <c r="F75" s="319" t="n"/>
      <c r="G75" s="319" t="n"/>
      <c r="H75" s="319" t="n"/>
      <c r="I75" s="319" t="n"/>
      <c r="J75" s="319" t="n"/>
      <c r="K75" s="319" t="n"/>
      <c r="L75" s="319" t="n"/>
      <c r="M75" s="319" t="n"/>
      <c r="N75" s="319" t="n"/>
      <c r="O75" s="319" t="n"/>
      <c r="P75" s="319" t="n"/>
      <c r="Q75" s="319" t="n"/>
      <c r="R75" s="319" t="n"/>
      <c r="S75" s="319" t="n"/>
      <c r="T75" s="319" t="n"/>
      <c r="U75" s="319" t="n"/>
      <c r="V75" s="319" t="n"/>
      <c r="W75" s="319" t="n"/>
      <c r="X75" s="319" t="n"/>
      <c r="Y75" s="319" t="n"/>
      <c r="Z75" s="319" t="n"/>
    </row>
    <row r="76">
      <c r="A76" s="319" t="n"/>
      <c r="B76" s="319" t="n"/>
      <c r="C76" s="319" t="n"/>
      <c r="D76" s="319" t="n"/>
      <c r="E76" s="319" t="n"/>
      <c r="F76" s="319" t="n"/>
      <c r="G76" s="319" t="n"/>
      <c r="H76" s="319" t="n"/>
      <c r="I76" s="319" t="n"/>
      <c r="J76" s="319" t="n"/>
      <c r="K76" s="319" t="n"/>
      <c r="L76" s="319" t="n"/>
      <c r="M76" s="319" t="n"/>
      <c r="N76" s="319" t="n"/>
      <c r="O76" s="319" t="n"/>
      <c r="P76" s="319" t="n"/>
      <c r="Q76" s="319" t="n"/>
      <c r="R76" s="319" t="n"/>
      <c r="S76" s="319" t="n"/>
      <c r="T76" s="319" t="n"/>
      <c r="U76" s="319" t="n"/>
      <c r="V76" s="319" t="n"/>
      <c r="W76" s="319" t="n"/>
      <c r="X76" s="319" t="n"/>
      <c r="Y76" s="319" t="n"/>
      <c r="Z76" s="319" t="n"/>
    </row>
    <row r="77">
      <c r="A77" s="319" t="n"/>
      <c r="B77" s="319" t="n"/>
      <c r="C77" s="319" t="n"/>
      <c r="D77" s="319" t="n"/>
      <c r="E77" s="319" t="n"/>
      <c r="F77" s="319" t="n"/>
      <c r="G77" s="319" t="n"/>
      <c r="H77" s="319" t="n"/>
      <c r="I77" s="319" t="n"/>
      <c r="J77" s="319" t="n"/>
      <c r="K77" s="319" t="n"/>
      <c r="L77" s="319" t="n"/>
      <c r="M77" s="319" t="n"/>
      <c r="N77" s="319" t="n"/>
      <c r="O77" s="319" t="n"/>
      <c r="P77" s="319" t="n"/>
      <c r="Q77" s="319" t="n"/>
      <c r="R77" s="319" t="n"/>
      <c r="S77" s="319" t="n"/>
      <c r="T77" s="319" t="n"/>
      <c r="U77" s="319" t="n"/>
      <c r="V77" s="319" t="n"/>
      <c r="W77" s="319" t="n"/>
      <c r="X77" s="319" t="n"/>
      <c r="Y77" s="319" t="n"/>
      <c r="Z77" s="319" t="n"/>
    </row>
    <row r="78">
      <c r="A78" s="319" t="n"/>
      <c r="B78" s="319" t="n"/>
      <c r="C78" s="319" t="n"/>
      <c r="D78" s="319" t="n"/>
      <c r="E78" s="319" t="n"/>
      <c r="F78" s="319" t="n"/>
      <c r="G78" s="319" t="n"/>
      <c r="H78" s="319" t="n"/>
      <c r="I78" s="319" t="n"/>
      <c r="J78" s="319" t="n"/>
      <c r="K78" s="319" t="n"/>
      <c r="L78" s="319" t="n"/>
      <c r="M78" s="319" t="n"/>
      <c r="N78" s="319" t="n"/>
      <c r="O78" s="319" t="n"/>
      <c r="P78" s="319" t="n"/>
      <c r="Q78" s="319" t="n"/>
      <c r="R78" s="319" t="n"/>
      <c r="S78" s="319" t="n"/>
      <c r="T78" s="319" t="n"/>
      <c r="U78" s="319" t="n"/>
      <c r="V78" s="319" t="n"/>
      <c r="W78" s="319" t="n"/>
      <c r="X78" s="319" t="n"/>
      <c r="Y78" s="319" t="n"/>
      <c r="Z78" s="319" t="n"/>
    </row>
    <row r="79">
      <c r="A79" s="319" t="n"/>
      <c r="B79" s="319" t="n"/>
      <c r="C79" s="319" t="n"/>
      <c r="D79" s="319" t="n"/>
      <c r="E79" s="319" t="n"/>
      <c r="F79" s="319" t="n"/>
      <c r="G79" s="319" t="n"/>
      <c r="H79" s="319" t="n"/>
      <c r="I79" s="319" t="n"/>
      <c r="J79" s="319" t="n"/>
      <c r="K79" s="319" t="n"/>
      <c r="L79" s="319" t="n"/>
      <c r="M79" s="319" t="n"/>
      <c r="N79" s="319" t="n"/>
      <c r="O79" s="319" t="n"/>
      <c r="P79" s="319" t="n"/>
      <c r="Q79" s="319" t="n"/>
      <c r="R79" s="319" t="n"/>
      <c r="S79" s="319" t="n"/>
      <c r="T79" s="319" t="n"/>
      <c r="U79" s="319" t="n"/>
      <c r="V79" s="319" t="n"/>
      <c r="W79" s="319" t="n"/>
      <c r="X79" s="319" t="n"/>
      <c r="Y79" s="319" t="n"/>
      <c r="Z79" s="319" t="n"/>
    </row>
    <row r="80">
      <c r="A80" s="319" t="n"/>
      <c r="B80" s="319" t="n"/>
      <c r="C80" s="319" t="n"/>
      <c r="D80" s="319" t="n"/>
      <c r="E80" s="319" t="n"/>
      <c r="F80" s="319" t="n"/>
      <c r="G80" s="319" t="n"/>
      <c r="H80" s="319" t="n"/>
      <c r="I80" s="319" t="n"/>
      <c r="J80" s="319" t="n"/>
      <c r="K80" s="319" t="n"/>
      <c r="L80" s="319" t="n"/>
      <c r="M80" s="319" t="n"/>
      <c r="N80" s="319" t="n"/>
      <c r="O80" s="319" t="n"/>
      <c r="P80" s="319" t="n"/>
      <c r="Q80" s="319" t="n"/>
      <c r="R80" s="319" t="n"/>
      <c r="S80" s="319" t="n"/>
      <c r="T80" s="319" t="n"/>
      <c r="U80" s="319" t="n"/>
      <c r="V80" s="319" t="n"/>
      <c r="W80" s="319" t="n"/>
      <c r="X80" s="319" t="n"/>
      <c r="Y80" s="319" t="n"/>
      <c r="Z80" s="319" t="n"/>
    </row>
    <row r="81">
      <c r="A81" s="319" t="n"/>
      <c r="B81" s="319" t="n"/>
      <c r="C81" s="319" t="n"/>
      <c r="D81" s="319" t="n"/>
      <c r="E81" s="319" t="n"/>
      <c r="F81" s="319" t="n"/>
      <c r="G81" s="319" t="n"/>
      <c r="H81" s="319" t="n"/>
      <c r="I81" s="319" t="n"/>
      <c r="J81" s="319" t="n"/>
      <c r="K81" s="319" t="n"/>
      <c r="L81" s="319" t="n"/>
      <c r="M81" s="319" t="n"/>
      <c r="N81" s="319" t="n"/>
      <c r="O81" s="319" t="n"/>
      <c r="P81" s="319" t="n"/>
      <c r="Q81" s="319" t="n"/>
      <c r="R81" s="319" t="n"/>
      <c r="S81" s="319" t="n"/>
      <c r="T81" s="319" t="n"/>
      <c r="U81" s="319" t="n"/>
      <c r="V81" s="319" t="n"/>
      <c r="W81" s="319" t="n"/>
      <c r="X81" s="319" t="n"/>
      <c r="Y81" s="319" t="n"/>
      <c r="Z81" s="319" t="n"/>
    </row>
    <row r="82">
      <c r="A82" s="319" t="n"/>
      <c r="B82" s="319" t="n"/>
      <c r="C82" s="319" t="n"/>
      <c r="D82" s="319" t="n"/>
      <c r="E82" s="319" t="n"/>
      <c r="F82" s="319" t="n"/>
      <c r="G82" s="319" t="n"/>
      <c r="H82" s="319" t="n"/>
      <c r="I82" s="319" t="n"/>
      <c r="J82" s="319" t="n"/>
      <c r="K82" s="319" t="n"/>
      <c r="L82" s="319" t="n"/>
      <c r="M82" s="319" t="n"/>
      <c r="N82" s="319" t="n"/>
      <c r="O82" s="319" t="n"/>
      <c r="P82" s="319" t="n"/>
      <c r="Q82" s="319" t="n"/>
      <c r="R82" s="319" t="n"/>
      <c r="S82" s="319" t="n"/>
      <c r="T82" s="319" t="n"/>
      <c r="U82" s="319" t="n"/>
      <c r="V82" s="319" t="n"/>
      <c r="W82" s="319" t="n"/>
      <c r="X82" s="319" t="n"/>
      <c r="Y82" s="319" t="n"/>
      <c r="Z82" s="319" t="n"/>
    </row>
    <row r="83">
      <c r="A83" s="319" t="n"/>
      <c r="B83" s="319" t="n"/>
      <c r="C83" s="319" t="n"/>
      <c r="D83" s="319" t="n"/>
      <c r="E83" s="319" t="n"/>
      <c r="F83" s="319" t="n"/>
      <c r="G83" s="319" t="n"/>
      <c r="H83" s="319" t="n"/>
      <c r="I83" s="319" t="n"/>
      <c r="J83" s="319" t="n"/>
      <c r="K83" s="319" t="n"/>
      <c r="L83" s="319" t="n"/>
      <c r="M83" s="319" t="n"/>
      <c r="N83" s="319" t="n"/>
      <c r="O83" s="319" t="n"/>
      <c r="P83" s="319" t="n"/>
      <c r="Q83" s="319" t="n"/>
      <c r="R83" s="319" t="n"/>
      <c r="S83" s="319" t="n"/>
      <c r="T83" s="319" t="n"/>
      <c r="U83" s="319" t="n"/>
      <c r="V83" s="319" t="n"/>
      <c r="W83" s="319" t="n"/>
      <c r="X83" s="319" t="n"/>
      <c r="Y83" s="319" t="n"/>
      <c r="Z83" s="319" t="n"/>
    </row>
    <row r="84">
      <c r="A84" s="319" t="n"/>
      <c r="B84" s="319" t="n"/>
      <c r="C84" s="319" t="n"/>
      <c r="D84" s="319" t="n"/>
      <c r="E84" s="319" t="n"/>
      <c r="F84" s="319" t="n"/>
      <c r="G84" s="319" t="n"/>
      <c r="H84" s="319" t="n"/>
      <c r="I84" s="319" t="n"/>
      <c r="J84" s="319" t="n"/>
      <c r="K84" s="319" t="n"/>
      <c r="L84" s="319" t="n"/>
      <c r="M84" s="319" t="n"/>
      <c r="N84" s="319" t="n"/>
      <c r="O84" s="319" t="n"/>
      <c r="P84" s="319" t="n"/>
      <c r="Q84" s="319" t="n"/>
      <c r="R84" s="319" t="n"/>
      <c r="S84" s="319" t="n"/>
      <c r="T84" s="319" t="n"/>
      <c r="U84" s="319" t="n"/>
      <c r="V84" s="319" t="n"/>
      <c r="W84" s="319" t="n"/>
      <c r="X84" s="319" t="n"/>
      <c r="Y84" s="319" t="n"/>
      <c r="Z84" s="319" t="n"/>
    </row>
    <row r="85">
      <c r="A85" s="319" t="n"/>
      <c r="B85" s="319" t="n"/>
      <c r="C85" s="319" t="n"/>
      <c r="D85" s="319" t="n"/>
      <c r="E85" s="319" t="n"/>
      <c r="F85" s="319" t="n"/>
      <c r="G85" s="319" t="n"/>
      <c r="H85" s="319" t="n"/>
      <c r="I85" s="319" t="n"/>
      <c r="J85" s="319" t="n"/>
      <c r="K85" s="319" t="n"/>
      <c r="L85" s="319" t="n"/>
      <c r="M85" s="319" t="n"/>
      <c r="N85" s="319" t="n"/>
      <c r="O85" s="319" t="n"/>
      <c r="P85" s="319" t="n"/>
      <c r="Q85" s="319" t="n"/>
      <c r="R85" s="319" t="n"/>
      <c r="S85" s="319" t="n"/>
      <c r="T85" s="319" t="n"/>
      <c r="U85" s="319" t="n"/>
      <c r="V85" s="319" t="n"/>
      <c r="W85" s="319" t="n"/>
      <c r="X85" s="319" t="n"/>
      <c r="Y85" s="319" t="n"/>
      <c r="Z85" s="319" t="n"/>
    </row>
    <row r="86">
      <c r="A86" s="319" t="n"/>
      <c r="B86" s="319" t="n"/>
      <c r="C86" s="319" t="n"/>
      <c r="D86" s="319" t="n"/>
      <c r="E86" s="319" t="n"/>
      <c r="F86" s="319" t="n"/>
      <c r="G86" s="319" t="n"/>
      <c r="H86" s="319" t="n"/>
      <c r="I86" s="319" t="n"/>
      <c r="J86" s="319" t="n"/>
      <c r="K86" s="319" t="n"/>
      <c r="L86" s="319" t="n"/>
      <c r="M86" s="319" t="n"/>
      <c r="N86" s="319" t="n"/>
      <c r="O86" s="319" t="n"/>
      <c r="P86" s="319" t="n"/>
      <c r="Q86" s="319" t="n"/>
      <c r="R86" s="319" t="n"/>
      <c r="S86" s="319" t="n"/>
      <c r="T86" s="319" t="n"/>
      <c r="U86" s="319" t="n"/>
      <c r="V86" s="319" t="n"/>
      <c r="W86" s="319" t="n"/>
      <c r="X86" s="319" t="n"/>
      <c r="Y86" s="319" t="n"/>
      <c r="Z86" s="319" t="n"/>
    </row>
    <row r="87">
      <c r="A87" s="319" t="n"/>
      <c r="B87" s="319" t="n"/>
      <c r="C87" s="319" t="n"/>
      <c r="D87" s="319" t="n"/>
      <c r="E87" s="319" t="n"/>
      <c r="F87" s="319" t="n"/>
      <c r="G87" s="319" t="n"/>
      <c r="H87" s="319" t="n"/>
      <c r="I87" s="319" t="n"/>
      <c r="J87" s="319" t="n"/>
      <c r="K87" s="319" t="n"/>
      <c r="L87" s="319" t="n"/>
      <c r="M87" s="319" t="n"/>
      <c r="N87" s="319" t="n"/>
      <c r="O87" s="319" t="n"/>
      <c r="P87" s="319" t="n"/>
      <c r="Q87" s="319" t="n"/>
      <c r="R87" s="319" t="n"/>
      <c r="S87" s="319" t="n"/>
      <c r="T87" s="319" t="n"/>
      <c r="U87" s="319" t="n"/>
      <c r="V87" s="319" t="n"/>
      <c r="W87" s="319" t="n"/>
      <c r="X87" s="319" t="n"/>
      <c r="Y87" s="319" t="n"/>
      <c r="Z87" s="319" t="n"/>
    </row>
    <row r="88">
      <c r="A88" s="319" t="n"/>
      <c r="B88" s="319" t="n"/>
      <c r="C88" s="319" t="n"/>
      <c r="D88" s="319" t="n"/>
      <c r="E88" s="319" t="n"/>
      <c r="F88" s="319" t="n"/>
      <c r="G88" s="319" t="n"/>
      <c r="H88" s="319" t="n"/>
      <c r="I88" s="319" t="n"/>
      <c r="J88" s="319" t="n"/>
      <c r="K88" s="319" t="n"/>
      <c r="L88" s="319" t="n"/>
      <c r="M88" s="319" t="n"/>
      <c r="N88" s="319" t="n"/>
      <c r="O88" s="319" t="n"/>
      <c r="P88" s="319" t="n"/>
      <c r="Q88" s="319" t="n"/>
      <c r="R88" s="319" t="n"/>
      <c r="S88" s="319" t="n"/>
      <c r="T88" s="319" t="n"/>
      <c r="U88" s="319" t="n"/>
      <c r="V88" s="319" t="n"/>
      <c r="W88" s="319" t="n"/>
      <c r="X88" s="319" t="n"/>
      <c r="Y88" s="319" t="n"/>
      <c r="Z88" s="319" t="n"/>
    </row>
    <row r="89">
      <c r="A89" s="319" t="n"/>
      <c r="B89" s="319" t="n"/>
      <c r="C89" s="319" t="n"/>
      <c r="D89" s="319" t="n"/>
      <c r="E89" s="319" t="n"/>
      <c r="F89" s="319" t="n"/>
      <c r="G89" s="319" t="n"/>
      <c r="H89" s="319" t="n"/>
      <c r="I89" s="319" t="n"/>
      <c r="J89" s="319" t="n"/>
      <c r="K89" s="319" t="n"/>
      <c r="L89" s="319" t="n"/>
      <c r="M89" s="319" t="n"/>
      <c r="N89" s="319" t="n"/>
      <c r="O89" s="319" t="n"/>
      <c r="P89" s="319" t="n"/>
      <c r="Q89" s="319" t="n"/>
      <c r="R89" s="319" t="n"/>
      <c r="S89" s="319" t="n"/>
      <c r="T89" s="319" t="n"/>
      <c r="U89" s="319" t="n"/>
      <c r="V89" s="319" t="n"/>
      <c r="W89" s="319" t="n"/>
      <c r="X89" s="319" t="n"/>
      <c r="Y89" s="319" t="n"/>
      <c r="Z89" s="319" t="n"/>
    </row>
    <row r="90">
      <c r="A90" s="319" t="n"/>
      <c r="B90" s="319" t="n"/>
      <c r="C90" s="319" t="n"/>
      <c r="D90" s="319" t="n"/>
      <c r="E90" s="319" t="n"/>
      <c r="F90" s="319" t="n"/>
      <c r="G90" s="319" t="n"/>
      <c r="H90" s="319" t="n"/>
      <c r="I90" s="319" t="n"/>
      <c r="J90" s="319" t="n"/>
      <c r="K90" s="319" t="n"/>
      <c r="L90" s="319" t="n"/>
      <c r="M90" s="319" t="n"/>
      <c r="N90" s="319" t="n"/>
      <c r="O90" s="319" t="n"/>
      <c r="P90" s="319" t="n"/>
      <c r="Q90" s="319" t="n"/>
      <c r="R90" s="319" t="n"/>
      <c r="S90" s="319" t="n"/>
      <c r="T90" s="319" t="n"/>
      <c r="U90" s="319" t="n"/>
      <c r="V90" s="319" t="n"/>
      <c r="W90" s="319" t="n"/>
      <c r="X90" s="319" t="n"/>
      <c r="Y90" s="319" t="n"/>
      <c r="Z90" s="319" t="n"/>
    </row>
    <row r="91">
      <c r="A91" s="319" t="n"/>
      <c r="B91" s="319" t="n"/>
      <c r="C91" s="319" t="n"/>
      <c r="D91" s="319" t="n"/>
      <c r="E91" s="319" t="n"/>
      <c r="F91" s="319" t="n"/>
      <c r="G91" s="319" t="n"/>
      <c r="H91" s="319" t="n"/>
      <c r="I91" s="319" t="n"/>
      <c r="J91" s="319" t="n"/>
      <c r="K91" s="319" t="n"/>
      <c r="L91" s="319" t="n"/>
      <c r="M91" s="319" t="n"/>
      <c r="N91" s="319" t="n"/>
      <c r="O91" s="319" t="n"/>
      <c r="P91" s="319" t="n"/>
      <c r="Q91" s="319" t="n"/>
      <c r="R91" s="319" t="n"/>
      <c r="S91" s="319" t="n"/>
      <c r="T91" s="319" t="n"/>
      <c r="U91" s="319" t="n"/>
      <c r="V91" s="319" t="n"/>
      <c r="W91" s="319" t="n"/>
      <c r="X91" s="319" t="n"/>
      <c r="Y91" s="319" t="n"/>
      <c r="Z91" s="319" t="n"/>
    </row>
    <row r="92">
      <c r="A92" s="319" t="n"/>
      <c r="B92" s="319" t="n"/>
      <c r="C92" s="319" t="n"/>
      <c r="D92" s="319" t="n"/>
      <c r="E92" s="319" t="n"/>
      <c r="F92" s="319" t="n"/>
      <c r="G92" s="319" t="n"/>
      <c r="H92" s="319" t="n"/>
      <c r="I92" s="319" t="n"/>
      <c r="J92" s="319" t="n"/>
      <c r="K92" s="319" t="n"/>
      <c r="L92" s="319" t="n"/>
      <c r="M92" s="319" t="n"/>
      <c r="N92" s="319" t="n"/>
      <c r="O92" s="319" t="n"/>
      <c r="P92" s="319" t="n"/>
      <c r="Q92" s="319" t="n"/>
      <c r="R92" s="319" t="n"/>
      <c r="S92" s="319" t="n"/>
      <c r="T92" s="319" t="n"/>
      <c r="U92" s="319" t="n"/>
      <c r="V92" s="319" t="n"/>
      <c r="W92" s="319" t="n"/>
      <c r="X92" s="319" t="n"/>
      <c r="Y92" s="319" t="n"/>
      <c r="Z92" s="319" t="n"/>
    </row>
    <row r="93">
      <c r="A93" s="319" t="n"/>
      <c r="B93" s="319" t="n"/>
      <c r="C93" s="319" t="n"/>
      <c r="D93" s="319" t="n"/>
      <c r="E93" s="319" t="n"/>
      <c r="F93" s="319" t="n"/>
      <c r="G93" s="319" t="n"/>
      <c r="H93" s="319" t="n"/>
      <c r="I93" s="319" t="n"/>
      <c r="J93" s="319" t="n"/>
      <c r="K93" s="319" t="n"/>
      <c r="L93" s="319" t="n"/>
      <c r="M93" s="319" t="n"/>
      <c r="N93" s="319" t="n"/>
      <c r="O93" s="319" t="n"/>
      <c r="P93" s="319" t="n"/>
      <c r="Q93" s="319" t="n"/>
      <c r="R93" s="319" t="n"/>
      <c r="S93" s="319" t="n"/>
      <c r="T93" s="319" t="n"/>
      <c r="U93" s="319" t="n"/>
      <c r="V93" s="319" t="n"/>
      <c r="W93" s="319" t="n"/>
      <c r="X93" s="319" t="n"/>
      <c r="Y93" s="319" t="n"/>
      <c r="Z93" s="319" t="n"/>
    </row>
    <row r="94">
      <c r="A94" s="319" t="n"/>
      <c r="B94" s="319" t="n"/>
      <c r="C94" s="319" t="n"/>
      <c r="D94" s="319" t="n"/>
      <c r="E94" s="319" t="n"/>
      <c r="F94" s="319" t="n"/>
      <c r="G94" s="319" t="n"/>
      <c r="H94" s="319" t="n"/>
      <c r="I94" s="319" t="n"/>
      <c r="J94" s="319" t="n"/>
      <c r="K94" s="319" t="n"/>
      <c r="L94" s="319" t="n"/>
      <c r="M94" s="319" t="n"/>
      <c r="N94" s="319" t="n"/>
      <c r="O94" s="319" t="n"/>
      <c r="P94" s="319" t="n"/>
      <c r="Q94" s="319" t="n"/>
      <c r="R94" s="319" t="n"/>
      <c r="S94" s="319" t="n"/>
      <c r="T94" s="319" t="n"/>
      <c r="U94" s="319" t="n"/>
      <c r="V94" s="319" t="n"/>
      <c r="W94" s="319" t="n"/>
      <c r="X94" s="319" t="n"/>
      <c r="Y94" s="319" t="n"/>
      <c r="Z94" s="319" t="n"/>
    </row>
    <row r="95">
      <c r="A95" s="319" t="n"/>
      <c r="B95" s="319" t="n"/>
      <c r="C95" s="319" t="n"/>
      <c r="D95" s="319" t="n"/>
      <c r="E95" s="319" t="n"/>
      <c r="F95" s="319" t="n"/>
      <c r="G95" s="319" t="n"/>
      <c r="H95" s="319" t="n"/>
      <c r="I95" s="319" t="n"/>
      <c r="J95" s="319" t="n"/>
      <c r="K95" s="319" t="n"/>
      <c r="L95" s="319" t="n"/>
      <c r="M95" s="319" t="n"/>
      <c r="N95" s="319" t="n"/>
      <c r="O95" s="319" t="n"/>
      <c r="P95" s="319" t="n"/>
      <c r="Q95" s="319" t="n"/>
      <c r="R95" s="319" t="n"/>
      <c r="S95" s="319" t="n"/>
      <c r="T95" s="319" t="n"/>
      <c r="U95" s="319" t="n"/>
      <c r="V95" s="319" t="n"/>
      <c r="W95" s="319" t="n"/>
      <c r="X95" s="319" t="n"/>
      <c r="Y95" s="319" t="n"/>
      <c r="Z95" s="319" t="n"/>
    </row>
    <row r="96">
      <c r="A96" s="319" t="n"/>
      <c r="B96" s="319" t="n"/>
      <c r="C96" s="319" t="n"/>
      <c r="D96" s="319" t="n"/>
      <c r="E96" s="319" t="n"/>
      <c r="F96" s="319" t="n"/>
      <c r="G96" s="319" t="n"/>
      <c r="H96" s="319" t="n"/>
      <c r="I96" s="319" t="n"/>
      <c r="J96" s="319" t="n"/>
      <c r="K96" s="319" t="n"/>
      <c r="L96" s="319" t="n"/>
      <c r="M96" s="319" t="n"/>
      <c r="N96" s="319" t="n"/>
      <c r="O96" s="319" t="n"/>
      <c r="P96" s="319" t="n"/>
      <c r="Q96" s="319" t="n"/>
      <c r="R96" s="319" t="n"/>
      <c r="S96" s="319" t="n"/>
      <c r="T96" s="319" t="n"/>
      <c r="U96" s="319" t="n"/>
      <c r="V96" s="319" t="n"/>
      <c r="W96" s="319" t="n"/>
      <c r="X96" s="319" t="n"/>
      <c r="Y96" s="319" t="n"/>
      <c r="Z96" s="319" t="n"/>
    </row>
    <row r="97">
      <c r="A97" s="319" t="n"/>
      <c r="B97" s="319" t="n"/>
      <c r="C97" s="319" t="n"/>
      <c r="D97" s="319" t="n"/>
      <c r="E97" s="319" t="n"/>
      <c r="F97" s="319" t="n"/>
      <c r="G97" s="319" t="n"/>
      <c r="H97" s="319" t="n"/>
      <c r="I97" s="319" t="n"/>
      <c r="J97" s="319" t="n"/>
      <c r="K97" s="319" t="n"/>
      <c r="L97" s="319" t="n"/>
      <c r="M97" s="319" t="n"/>
      <c r="N97" s="319" t="n"/>
      <c r="O97" s="319" t="n"/>
      <c r="P97" s="319" t="n"/>
      <c r="Q97" s="319" t="n"/>
      <c r="R97" s="319" t="n"/>
      <c r="S97" s="319" t="n"/>
      <c r="T97" s="319" t="n"/>
      <c r="U97" s="319" t="n"/>
      <c r="V97" s="319" t="n"/>
      <c r="W97" s="319" t="n"/>
      <c r="X97" s="319" t="n"/>
      <c r="Y97" s="319" t="n"/>
      <c r="Z97" s="319" t="n"/>
    </row>
    <row r="98">
      <c r="A98" s="319" t="n"/>
      <c r="B98" s="319" t="n"/>
      <c r="C98" s="319" t="n"/>
      <c r="D98" s="319" t="n"/>
      <c r="E98" s="319" t="n"/>
      <c r="F98" s="319" t="n"/>
      <c r="G98" s="319" t="n"/>
      <c r="H98" s="319" t="n"/>
      <c r="I98" s="319" t="n"/>
      <c r="J98" s="319" t="n"/>
      <c r="K98" s="319" t="n"/>
      <c r="L98" s="319" t="n"/>
      <c r="M98" s="319" t="n"/>
      <c r="N98" s="319" t="n"/>
      <c r="O98" s="319" t="n"/>
      <c r="P98" s="319" t="n"/>
      <c r="Q98" s="319" t="n"/>
      <c r="R98" s="319" t="n"/>
      <c r="S98" s="319" t="n"/>
      <c r="T98" s="319" t="n"/>
      <c r="U98" s="319" t="n"/>
      <c r="V98" s="319" t="n"/>
      <c r="W98" s="319" t="n"/>
      <c r="X98" s="319" t="n"/>
      <c r="Y98" s="319" t="n"/>
      <c r="Z98" s="319" t="n"/>
    </row>
    <row r="99">
      <c r="A99" s="319" t="n"/>
      <c r="B99" s="319" t="n"/>
      <c r="C99" s="319" t="n"/>
      <c r="D99" s="319" t="n"/>
      <c r="E99" s="319" t="n"/>
      <c r="F99" s="319" t="n"/>
      <c r="G99" s="319" t="n"/>
      <c r="H99" s="319" t="n"/>
      <c r="I99" s="319" t="n"/>
      <c r="J99" s="319" t="n"/>
      <c r="K99" s="319" t="n"/>
      <c r="L99" s="319" t="n"/>
      <c r="M99" s="319" t="n"/>
      <c r="N99" s="319" t="n"/>
      <c r="O99" s="319" t="n"/>
      <c r="P99" s="319" t="n"/>
      <c r="Q99" s="319" t="n"/>
      <c r="R99" s="319" t="n"/>
      <c r="S99" s="319" t="n"/>
      <c r="T99" s="319" t="n"/>
      <c r="U99" s="319" t="n"/>
      <c r="V99" s="319" t="n"/>
      <c r="W99" s="319" t="n"/>
      <c r="X99" s="319" t="n"/>
      <c r="Y99" s="319" t="n"/>
      <c r="Z99" s="319" t="n"/>
    </row>
    <row r="100">
      <c r="A100" s="319" t="n"/>
      <c r="B100" s="319" t="n"/>
      <c r="C100" s="319" t="n"/>
      <c r="D100" s="319" t="n"/>
      <c r="E100" s="319" t="n"/>
      <c r="F100" s="319" t="n"/>
      <c r="G100" s="319" t="n"/>
      <c r="H100" s="319" t="n"/>
      <c r="I100" s="319" t="n"/>
      <c r="J100" s="319" t="n"/>
      <c r="K100" s="319" t="n"/>
      <c r="L100" s="319" t="n"/>
      <c r="M100" s="319" t="n"/>
      <c r="N100" s="319" t="n"/>
      <c r="O100" s="319" t="n"/>
      <c r="P100" s="319" t="n"/>
      <c r="Q100" s="319" t="n"/>
      <c r="R100" s="319" t="n"/>
      <c r="S100" s="319" t="n"/>
      <c r="T100" s="319" t="n"/>
      <c r="U100" s="319" t="n"/>
      <c r="V100" s="319" t="n"/>
      <c r="W100" s="319" t="n"/>
      <c r="X100" s="319" t="n"/>
      <c r="Y100" s="319" t="n"/>
      <c r="Z100" s="319" t="n"/>
    </row>
    <row r="101">
      <c r="A101" s="319" t="n"/>
      <c r="B101" s="319" t="n"/>
      <c r="C101" s="319" t="n"/>
      <c r="D101" s="319" t="n"/>
      <c r="E101" s="319" t="n"/>
      <c r="F101" s="319" t="n"/>
      <c r="G101" s="319" t="n"/>
      <c r="H101" s="319" t="n"/>
      <c r="I101" s="319" t="n"/>
      <c r="J101" s="319" t="n"/>
      <c r="K101" s="319" t="n"/>
      <c r="L101" s="319" t="n"/>
      <c r="M101" s="319" t="n"/>
      <c r="N101" s="319" t="n"/>
      <c r="O101" s="319" t="n"/>
      <c r="P101" s="319" t="n"/>
      <c r="Q101" s="319" t="n"/>
      <c r="R101" s="319" t="n"/>
      <c r="S101" s="319" t="n"/>
      <c r="T101" s="319" t="n"/>
      <c r="U101" s="319" t="n"/>
      <c r="V101" s="319" t="n"/>
      <c r="W101" s="319" t="n"/>
      <c r="X101" s="319" t="n"/>
      <c r="Y101" s="319" t="n"/>
      <c r="Z101" s="319" t="n"/>
    </row>
    <row r="102">
      <c r="A102" s="319" t="n"/>
      <c r="B102" s="319" t="n"/>
      <c r="C102" s="319" t="n"/>
      <c r="D102" s="319" t="n"/>
      <c r="E102" s="319" t="n"/>
      <c r="F102" s="319" t="n"/>
      <c r="G102" s="319" t="n"/>
      <c r="H102" s="319" t="n"/>
      <c r="I102" s="319" t="n"/>
      <c r="J102" s="319" t="n"/>
      <c r="K102" s="319" t="n"/>
      <c r="L102" s="319" t="n"/>
      <c r="M102" s="319" t="n"/>
      <c r="N102" s="319" t="n"/>
      <c r="O102" s="319" t="n"/>
      <c r="P102" s="319" t="n"/>
      <c r="Q102" s="319" t="n"/>
      <c r="R102" s="319" t="n"/>
      <c r="S102" s="319" t="n"/>
      <c r="T102" s="319" t="n"/>
      <c r="U102" s="319" t="n"/>
      <c r="V102" s="319" t="n"/>
      <c r="W102" s="319" t="n"/>
      <c r="X102" s="319" t="n"/>
      <c r="Y102" s="319" t="n"/>
      <c r="Z102" s="319" t="n"/>
    </row>
    <row r="103">
      <c r="A103" s="319" t="n"/>
      <c r="B103" s="319" t="n"/>
      <c r="C103" s="319" t="n"/>
      <c r="D103" s="319" t="n"/>
      <c r="E103" s="319" t="n"/>
      <c r="F103" s="319" t="n"/>
      <c r="G103" s="319" t="n"/>
      <c r="H103" s="319" t="n"/>
      <c r="I103" s="319" t="n"/>
      <c r="J103" s="319" t="n"/>
      <c r="K103" s="319" t="n"/>
      <c r="L103" s="319" t="n"/>
      <c r="M103" s="319" t="n"/>
      <c r="N103" s="319" t="n"/>
      <c r="O103" s="319" t="n"/>
      <c r="P103" s="319" t="n"/>
      <c r="Q103" s="319" t="n"/>
      <c r="R103" s="319" t="n"/>
      <c r="S103" s="319" t="n"/>
      <c r="T103" s="319" t="n"/>
      <c r="U103" s="319" t="n"/>
      <c r="V103" s="319" t="n"/>
      <c r="W103" s="319" t="n"/>
      <c r="X103" s="319" t="n"/>
      <c r="Y103" s="319" t="n"/>
      <c r="Z103" s="319" t="n"/>
    </row>
    <row r="104">
      <c r="A104" s="319" t="n"/>
      <c r="B104" s="319" t="n"/>
      <c r="C104" s="319" t="n"/>
      <c r="D104" s="319" t="n"/>
      <c r="E104" s="319" t="n"/>
      <c r="F104" s="319" t="n"/>
      <c r="G104" s="319" t="n"/>
      <c r="H104" s="319" t="n"/>
      <c r="I104" s="319" t="n"/>
      <c r="J104" s="319" t="n"/>
      <c r="K104" s="319" t="n"/>
      <c r="L104" s="319" t="n"/>
      <c r="M104" s="319" t="n"/>
      <c r="N104" s="319" t="n"/>
      <c r="O104" s="319" t="n"/>
      <c r="P104" s="319" t="n"/>
      <c r="Q104" s="319" t="n"/>
      <c r="R104" s="319" t="n"/>
      <c r="S104" s="319" t="n"/>
      <c r="T104" s="319" t="n"/>
      <c r="U104" s="319" t="n"/>
      <c r="V104" s="319" t="n"/>
      <c r="W104" s="319" t="n"/>
      <c r="X104" s="319" t="n"/>
      <c r="Y104" s="319" t="n"/>
      <c r="Z104" s="319" t="n"/>
    </row>
    <row r="105">
      <c r="A105" s="319" t="n"/>
      <c r="B105" s="319" t="n"/>
      <c r="C105" s="319" t="n"/>
      <c r="D105" s="319" t="n"/>
      <c r="E105" s="319" t="n"/>
      <c r="F105" s="319" t="n"/>
      <c r="G105" s="319" t="n"/>
      <c r="H105" s="319" t="n"/>
      <c r="I105" s="319" t="n"/>
      <c r="J105" s="319" t="n"/>
      <c r="K105" s="319" t="n"/>
      <c r="L105" s="319" t="n"/>
      <c r="M105" s="319" t="n"/>
      <c r="N105" s="319" t="n"/>
      <c r="O105" s="319" t="n"/>
      <c r="P105" s="319" t="n"/>
      <c r="Q105" s="319" t="n"/>
      <c r="R105" s="319" t="n"/>
      <c r="S105" s="319" t="n"/>
      <c r="T105" s="319" t="n"/>
      <c r="U105" s="319" t="n"/>
      <c r="V105" s="319" t="n"/>
      <c r="W105" s="319" t="n"/>
      <c r="X105" s="319" t="n"/>
      <c r="Y105" s="319" t="n"/>
      <c r="Z105" s="319" t="n"/>
    </row>
    <row r="106">
      <c r="A106" s="319" t="n"/>
      <c r="B106" s="319" t="n"/>
      <c r="C106" s="319" t="n"/>
      <c r="D106" s="319" t="n"/>
      <c r="E106" s="319" t="n"/>
      <c r="F106" s="319" t="n"/>
      <c r="G106" s="319" t="n"/>
      <c r="H106" s="319" t="n"/>
      <c r="I106" s="319" t="n"/>
      <c r="J106" s="319" t="n"/>
      <c r="K106" s="319" t="n"/>
      <c r="L106" s="319" t="n"/>
      <c r="M106" s="319" t="n"/>
      <c r="N106" s="319" t="n"/>
      <c r="O106" s="319" t="n"/>
      <c r="P106" s="319" t="n"/>
      <c r="Q106" s="319" t="n"/>
      <c r="R106" s="319" t="n"/>
      <c r="S106" s="319" t="n"/>
      <c r="T106" s="319" t="n"/>
      <c r="U106" s="319" t="n"/>
      <c r="V106" s="319" t="n"/>
      <c r="W106" s="319" t="n"/>
      <c r="X106" s="319" t="n"/>
      <c r="Y106" s="319" t="n"/>
      <c r="Z106" s="319" t="n"/>
    </row>
    <row r="107">
      <c r="A107" s="319" t="n"/>
      <c r="B107" s="319" t="n"/>
      <c r="C107" s="319" t="n"/>
      <c r="D107" s="319" t="n"/>
      <c r="E107" s="319" t="n"/>
      <c r="F107" s="319" t="n"/>
      <c r="G107" s="319" t="n"/>
      <c r="H107" s="319" t="n"/>
      <c r="I107" s="319" t="n"/>
      <c r="J107" s="319" t="n"/>
      <c r="K107" s="319" t="n"/>
      <c r="L107" s="319" t="n"/>
      <c r="M107" s="319" t="n"/>
      <c r="N107" s="319" t="n"/>
      <c r="O107" s="319" t="n"/>
      <c r="P107" s="319" t="n"/>
      <c r="Q107" s="319" t="n"/>
      <c r="R107" s="319" t="n"/>
      <c r="S107" s="319" t="n"/>
      <c r="T107" s="319" t="n"/>
      <c r="U107" s="319" t="n"/>
      <c r="V107" s="319" t="n"/>
      <c r="W107" s="319" t="n"/>
      <c r="X107" s="319" t="n"/>
      <c r="Y107" s="319" t="n"/>
      <c r="Z107" s="319" t="n"/>
    </row>
    <row r="108">
      <c r="A108" s="319" t="n"/>
      <c r="B108" s="319" t="n"/>
      <c r="C108" s="319" t="n"/>
      <c r="D108" s="319" t="n"/>
      <c r="E108" s="319" t="n"/>
      <c r="F108" s="319" t="n"/>
      <c r="G108" s="319" t="n"/>
      <c r="H108" s="319" t="n"/>
      <c r="I108" s="319" t="n"/>
      <c r="J108" s="319" t="n"/>
      <c r="K108" s="319" t="n"/>
      <c r="L108" s="319" t="n"/>
      <c r="M108" s="319" t="n"/>
      <c r="N108" s="319" t="n"/>
      <c r="O108" s="319" t="n"/>
      <c r="P108" s="319" t="n"/>
      <c r="Q108" s="319" t="n"/>
      <c r="R108" s="319" t="n"/>
      <c r="S108" s="319" t="n"/>
      <c r="T108" s="319" t="n"/>
      <c r="U108" s="319" t="n"/>
      <c r="V108" s="319" t="n"/>
      <c r="W108" s="319" t="n"/>
      <c r="X108" s="319" t="n"/>
      <c r="Y108" s="319" t="n"/>
      <c r="Z108" s="319" t="n"/>
    </row>
    <row r="109">
      <c r="A109" s="319" t="n"/>
      <c r="B109" s="319" t="n"/>
      <c r="C109" s="319" t="n"/>
      <c r="D109" s="319" t="n"/>
      <c r="E109" s="319" t="n"/>
      <c r="F109" s="319" t="n"/>
      <c r="G109" s="319" t="n"/>
      <c r="H109" s="319" t="n"/>
      <c r="I109" s="319" t="n"/>
      <c r="J109" s="319" t="n"/>
      <c r="K109" s="319" t="n"/>
      <c r="L109" s="319" t="n"/>
      <c r="M109" s="319" t="n"/>
      <c r="N109" s="319" t="n"/>
      <c r="O109" s="319" t="n"/>
      <c r="P109" s="319" t="n"/>
      <c r="Q109" s="319" t="n"/>
      <c r="R109" s="319" t="n"/>
      <c r="S109" s="319" t="n"/>
      <c r="T109" s="319" t="n"/>
      <c r="U109" s="319" t="n"/>
      <c r="V109" s="319" t="n"/>
      <c r="W109" s="319" t="n"/>
      <c r="X109" s="319" t="n"/>
      <c r="Y109" s="319" t="n"/>
      <c r="Z109" s="319" t="n"/>
    </row>
    <row r="110">
      <c r="A110" s="319" t="n"/>
      <c r="B110" s="319" t="n"/>
      <c r="C110" s="319" t="n"/>
      <c r="D110" s="319" t="n"/>
      <c r="E110" s="319" t="n"/>
      <c r="F110" s="319" t="n"/>
      <c r="G110" s="319" t="n"/>
      <c r="H110" s="319" t="n"/>
      <c r="I110" s="319" t="n"/>
      <c r="J110" s="319" t="n"/>
      <c r="K110" s="319" t="n"/>
      <c r="L110" s="319" t="n"/>
      <c r="M110" s="319" t="n"/>
      <c r="N110" s="319" t="n"/>
      <c r="O110" s="319" t="n"/>
      <c r="P110" s="319" t="n"/>
      <c r="Q110" s="319" t="n"/>
      <c r="R110" s="319" t="n"/>
      <c r="S110" s="319" t="n"/>
      <c r="T110" s="319" t="n"/>
      <c r="U110" s="319" t="n"/>
      <c r="V110" s="319" t="n"/>
      <c r="W110" s="319" t="n"/>
      <c r="X110" s="319" t="n"/>
      <c r="Y110" s="319" t="n"/>
      <c r="Z110" s="319" t="n"/>
    </row>
    <row r="111">
      <c r="A111" s="319" t="n"/>
      <c r="B111" s="319" t="n"/>
      <c r="C111" s="319" t="n"/>
      <c r="D111" s="319" t="n"/>
      <c r="E111" s="319" t="n"/>
      <c r="F111" s="319" t="n"/>
      <c r="G111" s="319" t="n"/>
      <c r="H111" s="319" t="n"/>
      <c r="I111" s="319" t="n"/>
      <c r="J111" s="319" t="n"/>
      <c r="K111" s="319" t="n"/>
      <c r="L111" s="319" t="n"/>
      <c r="M111" s="319" t="n"/>
      <c r="N111" s="319" t="n"/>
      <c r="O111" s="319" t="n"/>
      <c r="P111" s="319" t="n"/>
      <c r="Q111" s="319" t="n"/>
      <c r="R111" s="319" t="n"/>
      <c r="S111" s="319" t="n"/>
      <c r="T111" s="319" t="n"/>
      <c r="U111" s="319" t="n"/>
      <c r="V111" s="319" t="n"/>
      <c r="W111" s="319" t="n"/>
      <c r="X111" s="319" t="n"/>
      <c r="Y111" s="319" t="n"/>
      <c r="Z111" s="319" t="n"/>
    </row>
    <row r="112">
      <c r="A112" s="319" t="n"/>
      <c r="B112" s="319" t="n"/>
      <c r="C112" s="319" t="n"/>
      <c r="D112" s="319" t="n"/>
      <c r="E112" s="319" t="n"/>
      <c r="F112" s="319" t="n"/>
      <c r="G112" s="319" t="n"/>
      <c r="H112" s="319" t="n"/>
      <c r="I112" s="319" t="n"/>
      <c r="J112" s="319" t="n"/>
      <c r="K112" s="319" t="n"/>
      <c r="L112" s="319" t="n"/>
      <c r="M112" s="319" t="n"/>
      <c r="N112" s="319" t="n"/>
      <c r="O112" s="319" t="n"/>
      <c r="P112" s="319" t="n"/>
      <c r="Q112" s="319" t="n"/>
      <c r="R112" s="319" t="n"/>
      <c r="S112" s="319" t="n"/>
      <c r="T112" s="319" t="n"/>
      <c r="U112" s="319" t="n"/>
      <c r="V112" s="319" t="n"/>
      <c r="W112" s="319" t="n"/>
      <c r="X112" s="319" t="n"/>
      <c r="Y112" s="319" t="n"/>
      <c r="Z112" s="319" t="n"/>
    </row>
    <row r="113">
      <c r="A113" s="319" t="n"/>
      <c r="B113" s="319" t="n"/>
      <c r="C113" s="319" t="n"/>
      <c r="D113" s="319" t="n"/>
      <c r="E113" s="319" t="n"/>
      <c r="F113" s="319" t="n"/>
      <c r="G113" s="319" t="n"/>
      <c r="H113" s="319" t="n"/>
      <c r="I113" s="319" t="n"/>
      <c r="J113" s="319" t="n"/>
      <c r="K113" s="319" t="n"/>
      <c r="L113" s="319" t="n"/>
      <c r="M113" s="319" t="n"/>
      <c r="N113" s="319" t="n"/>
      <c r="O113" s="319" t="n"/>
      <c r="P113" s="319" t="n"/>
      <c r="Q113" s="319" t="n"/>
      <c r="R113" s="319" t="n"/>
      <c r="S113" s="319" t="n"/>
      <c r="T113" s="319" t="n"/>
      <c r="U113" s="319" t="n"/>
      <c r="V113" s="319" t="n"/>
      <c r="W113" s="319" t="n"/>
      <c r="X113" s="319" t="n"/>
      <c r="Y113" s="319" t="n"/>
      <c r="Z113" s="319" t="n"/>
    </row>
    <row r="114">
      <c r="A114" s="319" t="n"/>
      <c r="B114" s="319" t="n"/>
      <c r="C114" s="319" t="n"/>
      <c r="D114" s="319" t="n"/>
      <c r="E114" s="319" t="n"/>
      <c r="F114" s="319" t="n"/>
      <c r="G114" s="319" t="n"/>
      <c r="H114" s="319" t="n"/>
      <c r="I114" s="319" t="n"/>
      <c r="J114" s="319" t="n"/>
      <c r="K114" s="319" t="n"/>
      <c r="L114" s="319" t="n"/>
      <c r="M114" s="319" t="n"/>
      <c r="N114" s="319" t="n"/>
      <c r="O114" s="319" t="n"/>
      <c r="P114" s="319" t="n"/>
      <c r="Q114" s="319" t="n"/>
      <c r="R114" s="319" t="n"/>
      <c r="S114" s="319" t="n"/>
      <c r="T114" s="319" t="n"/>
      <c r="U114" s="319" t="n"/>
      <c r="V114" s="319" t="n"/>
      <c r="W114" s="319" t="n"/>
      <c r="X114" s="319" t="n"/>
      <c r="Y114" s="319" t="n"/>
      <c r="Z114" s="319" t="n"/>
    </row>
    <row r="115">
      <c r="A115" s="319" t="n"/>
      <c r="B115" s="319" t="n"/>
      <c r="C115" s="319" t="n"/>
      <c r="D115" s="319" t="n"/>
      <c r="E115" s="319" t="n"/>
      <c r="F115" s="319" t="n"/>
      <c r="G115" s="319" t="n"/>
      <c r="H115" s="319" t="n"/>
      <c r="I115" s="319" t="n"/>
      <c r="J115" s="319" t="n"/>
      <c r="K115" s="319" t="n"/>
      <c r="L115" s="319" t="n"/>
      <c r="M115" s="319" t="n"/>
      <c r="N115" s="319" t="n"/>
      <c r="O115" s="319" t="n"/>
      <c r="P115" s="319" t="n"/>
      <c r="Q115" s="319" t="n"/>
      <c r="R115" s="319" t="n"/>
      <c r="S115" s="319" t="n"/>
      <c r="T115" s="319" t="n"/>
      <c r="U115" s="319" t="n"/>
      <c r="V115" s="319" t="n"/>
      <c r="W115" s="319" t="n"/>
      <c r="X115" s="319" t="n"/>
      <c r="Y115" s="319" t="n"/>
      <c r="Z115" s="319" t="n"/>
    </row>
    <row r="116">
      <c r="A116" s="319" t="n"/>
      <c r="B116" s="319" t="n"/>
      <c r="C116" s="319" t="n"/>
      <c r="D116" s="319" t="n"/>
      <c r="E116" s="319" t="n"/>
      <c r="F116" s="319" t="n"/>
      <c r="G116" s="319" t="n"/>
      <c r="H116" s="319" t="n"/>
      <c r="I116" s="319" t="n"/>
      <c r="J116" s="319" t="n"/>
      <c r="K116" s="319" t="n"/>
      <c r="L116" s="319" t="n"/>
      <c r="M116" s="319" t="n"/>
      <c r="N116" s="319" t="n"/>
      <c r="O116" s="319" t="n"/>
      <c r="P116" s="319" t="n"/>
      <c r="Q116" s="319" t="n"/>
      <c r="R116" s="319" t="n"/>
      <c r="S116" s="319" t="n"/>
      <c r="T116" s="319" t="n"/>
      <c r="U116" s="319" t="n"/>
      <c r="V116" s="319" t="n"/>
      <c r="W116" s="319" t="n"/>
      <c r="X116" s="319" t="n"/>
      <c r="Y116" s="319" t="n"/>
      <c r="Z116" s="319" t="n"/>
    </row>
    <row r="117">
      <c r="A117" s="319" t="n"/>
      <c r="B117" s="319" t="n"/>
      <c r="C117" s="319" t="n"/>
      <c r="D117" s="319" t="n"/>
      <c r="E117" s="319" t="n"/>
      <c r="F117" s="319" t="n"/>
      <c r="G117" s="319" t="n"/>
      <c r="H117" s="319" t="n"/>
      <c r="I117" s="319" t="n"/>
      <c r="J117" s="319" t="n"/>
      <c r="K117" s="319" t="n"/>
      <c r="L117" s="319" t="n"/>
      <c r="M117" s="319" t="n"/>
      <c r="N117" s="319" t="n"/>
      <c r="O117" s="319" t="n"/>
      <c r="P117" s="319" t="n"/>
      <c r="Q117" s="319" t="n"/>
      <c r="R117" s="319" t="n"/>
      <c r="S117" s="319" t="n"/>
      <c r="T117" s="319" t="n"/>
      <c r="U117" s="319" t="n"/>
      <c r="V117" s="319" t="n"/>
      <c r="W117" s="319" t="n"/>
      <c r="X117" s="319" t="n"/>
      <c r="Y117" s="319" t="n"/>
      <c r="Z117" s="319" t="n"/>
    </row>
    <row r="118">
      <c r="A118" s="319" t="n"/>
      <c r="B118" s="319" t="n"/>
      <c r="C118" s="319" t="n"/>
      <c r="D118" s="319" t="n"/>
      <c r="E118" s="319" t="n"/>
      <c r="F118" s="319" t="n"/>
      <c r="G118" s="319" t="n"/>
      <c r="H118" s="319" t="n"/>
      <c r="I118" s="319" t="n"/>
      <c r="J118" s="319" t="n"/>
      <c r="K118" s="319" t="n"/>
      <c r="L118" s="319" t="n"/>
      <c r="M118" s="319" t="n"/>
      <c r="N118" s="319" t="n"/>
      <c r="O118" s="319" t="n"/>
      <c r="P118" s="319" t="n"/>
      <c r="Q118" s="319" t="n"/>
      <c r="R118" s="319" t="n"/>
      <c r="S118" s="319" t="n"/>
      <c r="T118" s="319" t="n"/>
      <c r="U118" s="319" t="n"/>
      <c r="V118" s="319" t="n"/>
      <c r="W118" s="319" t="n"/>
      <c r="X118" s="319" t="n"/>
      <c r="Y118" s="319" t="n"/>
      <c r="Z118" s="319" t="n"/>
    </row>
    <row r="119">
      <c r="A119" s="319" t="n"/>
      <c r="B119" s="319" t="n"/>
      <c r="C119" s="319" t="n"/>
      <c r="D119" s="319" t="n"/>
      <c r="E119" s="319" t="n"/>
      <c r="F119" s="319" t="n"/>
      <c r="G119" s="319" t="n"/>
      <c r="H119" s="319" t="n"/>
      <c r="I119" s="319" t="n"/>
      <c r="J119" s="319" t="n"/>
      <c r="K119" s="319" t="n"/>
      <c r="L119" s="319" t="n"/>
      <c r="M119" s="319" t="n"/>
      <c r="N119" s="319" t="n"/>
      <c r="O119" s="319" t="n"/>
      <c r="P119" s="319" t="n"/>
      <c r="Q119" s="319" t="n"/>
      <c r="R119" s="319" t="n"/>
      <c r="S119" s="319" t="n"/>
      <c r="T119" s="319" t="n"/>
      <c r="U119" s="319" t="n"/>
      <c r="V119" s="319" t="n"/>
      <c r="W119" s="319" t="n"/>
      <c r="X119" s="319" t="n"/>
      <c r="Y119" s="319" t="n"/>
      <c r="Z119" s="319" t="n"/>
    </row>
    <row r="120">
      <c r="A120" s="319" t="n"/>
      <c r="B120" s="319" t="n"/>
      <c r="C120" s="319" t="n"/>
      <c r="D120" s="319" t="n"/>
      <c r="E120" s="319" t="n"/>
      <c r="F120" s="319" t="n"/>
      <c r="G120" s="319" t="n"/>
      <c r="H120" s="319" t="n"/>
      <c r="I120" s="319" t="n"/>
      <c r="J120" s="319" t="n"/>
      <c r="K120" s="319" t="n"/>
      <c r="L120" s="319" t="n"/>
      <c r="M120" s="319" t="n"/>
      <c r="N120" s="319" t="n"/>
      <c r="O120" s="319" t="n"/>
      <c r="P120" s="319" t="n"/>
      <c r="Q120" s="319" t="n"/>
      <c r="R120" s="319" t="n"/>
      <c r="S120" s="319" t="n"/>
      <c r="T120" s="319" t="n"/>
      <c r="U120" s="319" t="n"/>
      <c r="V120" s="319" t="n"/>
      <c r="W120" s="319" t="n"/>
      <c r="X120" s="319" t="n"/>
      <c r="Y120" s="319" t="n"/>
      <c r="Z120" s="319" t="n"/>
    </row>
    <row r="121">
      <c r="A121" s="319" t="n"/>
      <c r="B121" s="319" t="n"/>
      <c r="C121" s="319" t="n"/>
      <c r="D121" s="319" t="n"/>
      <c r="E121" s="319" t="n"/>
      <c r="F121" s="319" t="n"/>
      <c r="G121" s="319" t="n"/>
      <c r="H121" s="319" t="n"/>
      <c r="I121" s="319" t="n"/>
      <c r="J121" s="319" t="n"/>
      <c r="K121" s="319" t="n"/>
      <c r="L121" s="319" t="n"/>
      <c r="M121" s="319" t="n"/>
      <c r="N121" s="319" t="n"/>
      <c r="O121" s="319" t="n"/>
      <c r="P121" s="319" t="n"/>
      <c r="Q121" s="319" t="n"/>
      <c r="R121" s="319" t="n"/>
      <c r="S121" s="319" t="n"/>
      <c r="T121" s="319" t="n"/>
      <c r="U121" s="319" t="n"/>
      <c r="V121" s="319" t="n"/>
      <c r="W121" s="319" t="n"/>
      <c r="X121" s="319" t="n"/>
      <c r="Y121" s="319" t="n"/>
      <c r="Z121" s="319" t="n"/>
    </row>
    <row r="122">
      <c r="A122" s="319" t="n"/>
      <c r="B122" s="319" t="n"/>
      <c r="C122" s="319" t="n"/>
      <c r="D122" s="319" t="n"/>
      <c r="E122" s="319" t="n"/>
      <c r="F122" s="319" t="n"/>
      <c r="G122" s="319" t="n"/>
      <c r="H122" s="319" t="n"/>
      <c r="I122" s="319" t="n"/>
      <c r="J122" s="319" t="n"/>
      <c r="K122" s="319" t="n"/>
      <c r="L122" s="319" t="n"/>
      <c r="M122" s="319" t="n"/>
      <c r="N122" s="319" t="n"/>
      <c r="O122" s="319" t="n"/>
      <c r="P122" s="319" t="n"/>
      <c r="Q122" s="319" t="n"/>
      <c r="R122" s="319" t="n"/>
      <c r="S122" s="319" t="n"/>
      <c r="T122" s="319" t="n"/>
      <c r="U122" s="319" t="n"/>
      <c r="V122" s="319" t="n"/>
      <c r="W122" s="319" t="n"/>
      <c r="X122" s="319" t="n"/>
      <c r="Y122" s="319" t="n"/>
      <c r="Z122" s="319" t="n"/>
    </row>
    <row r="123">
      <c r="A123" s="319" t="n"/>
      <c r="B123" s="319" t="n"/>
      <c r="C123" s="319" t="n"/>
      <c r="D123" s="319" t="n"/>
      <c r="E123" s="319" t="n"/>
      <c r="F123" s="319" t="n"/>
      <c r="G123" s="319" t="n"/>
      <c r="H123" s="319" t="n"/>
      <c r="I123" s="319" t="n"/>
      <c r="J123" s="319" t="n"/>
      <c r="K123" s="319" t="n"/>
      <c r="L123" s="319" t="n"/>
      <c r="M123" s="319" t="n"/>
      <c r="N123" s="319" t="n"/>
      <c r="O123" s="319" t="n"/>
      <c r="P123" s="319" t="n"/>
      <c r="Q123" s="319" t="n"/>
      <c r="R123" s="319" t="n"/>
      <c r="S123" s="319" t="n"/>
      <c r="T123" s="319" t="n"/>
      <c r="U123" s="319" t="n"/>
      <c r="V123" s="319" t="n"/>
      <c r="W123" s="319" t="n"/>
      <c r="X123" s="319" t="n"/>
      <c r="Y123" s="319" t="n"/>
      <c r="Z123" s="319" t="n"/>
    </row>
    <row r="124">
      <c r="A124" s="319" t="n"/>
      <c r="B124" s="319" t="n"/>
      <c r="C124" s="319" t="n"/>
      <c r="D124" s="319" t="n"/>
      <c r="E124" s="319" t="n"/>
      <c r="F124" s="319" t="n"/>
      <c r="G124" s="319" t="n"/>
      <c r="H124" s="319" t="n"/>
      <c r="I124" s="319" t="n"/>
      <c r="J124" s="319" t="n"/>
      <c r="K124" s="319" t="n"/>
      <c r="L124" s="319" t="n"/>
      <c r="M124" s="319" t="n"/>
      <c r="N124" s="319" t="n"/>
      <c r="O124" s="319" t="n"/>
      <c r="P124" s="319" t="n"/>
      <c r="Q124" s="319" t="n"/>
      <c r="R124" s="319" t="n"/>
      <c r="S124" s="319" t="n"/>
      <c r="T124" s="319" t="n"/>
      <c r="U124" s="319" t="n"/>
      <c r="V124" s="319" t="n"/>
      <c r="W124" s="319" t="n"/>
      <c r="X124" s="319" t="n"/>
      <c r="Y124" s="319" t="n"/>
      <c r="Z124" s="319" t="n"/>
    </row>
    <row r="125">
      <c r="A125" s="319" t="n"/>
      <c r="B125" s="319" t="n"/>
      <c r="C125" s="319" t="n"/>
      <c r="D125" s="319" t="n"/>
      <c r="E125" s="319" t="n"/>
      <c r="F125" s="319" t="n"/>
      <c r="G125" s="319" t="n"/>
      <c r="H125" s="319" t="n"/>
      <c r="I125" s="319" t="n"/>
      <c r="J125" s="319" t="n"/>
      <c r="K125" s="319" t="n"/>
      <c r="L125" s="319" t="n"/>
      <c r="M125" s="319" t="n"/>
      <c r="N125" s="319" t="n"/>
      <c r="O125" s="319" t="n"/>
      <c r="P125" s="319" t="n"/>
      <c r="Q125" s="319" t="n"/>
      <c r="R125" s="319" t="n"/>
      <c r="S125" s="319" t="n"/>
      <c r="T125" s="319" t="n"/>
      <c r="U125" s="319" t="n"/>
      <c r="V125" s="319" t="n"/>
      <c r="W125" s="319" t="n"/>
      <c r="X125" s="319" t="n"/>
      <c r="Y125" s="319" t="n"/>
      <c r="Z125" s="319" t="n"/>
    </row>
    <row r="126">
      <c r="A126" s="319" t="n"/>
      <c r="B126" s="319" t="n"/>
      <c r="C126" s="319" t="n"/>
      <c r="D126" s="319" t="n"/>
      <c r="E126" s="319" t="n"/>
      <c r="F126" s="319" t="n"/>
      <c r="G126" s="319" t="n"/>
      <c r="H126" s="319" t="n"/>
      <c r="I126" s="319" t="n"/>
      <c r="J126" s="319" t="n"/>
      <c r="K126" s="319" t="n"/>
      <c r="L126" s="319" t="n"/>
      <c r="M126" s="319" t="n"/>
      <c r="N126" s="319" t="n"/>
      <c r="O126" s="319" t="n"/>
      <c r="P126" s="319" t="n"/>
      <c r="Q126" s="319" t="n"/>
      <c r="R126" s="319" t="n"/>
      <c r="S126" s="319" t="n"/>
      <c r="T126" s="319" t="n"/>
      <c r="U126" s="319" t="n"/>
      <c r="V126" s="319" t="n"/>
      <c r="W126" s="319" t="n"/>
      <c r="X126" s="319" t="n"/>
      <c r="Y126" s="319" t="n"/>
      <c r="Z126" s="319" t="n"/>
    </row>
    <row r="127">
      <c r="A127" s="319" t="n"/>
      <c r="B127" s="319" t="n"/>
      <c r="C127" s="319" t="n"/>
      <c r="D127" s="319" t="n"/>
      <c r="E127" s="319" t="n"/>
      <c r="F127" s="319" t="n"/>
      <c r="G127" s="319" t="n"/>
      <c r="H127" s="319" t="n"/>
      <c r="I127" s="319" t="n"/>
      <c r="J127" s="319" t="n"/>
      <c r="K127" s="319" t="n"/>
      <c r="L127" s="319" t="n"/>
      <c r="M127" s="319" t="n"/>
      <c r="N127" s="319" t="n"/>
      <c r="O127" s="319" t="n"/>
      <c r="P127" s="319" t="n"/>
      <c r="Q127" s="319" t="n"/>
      <c r="R127" s="319" t="n"/>
      <c r="S127" s="319" t="n"/>
      <c r="T127" s="319" t="n"/>
      <c r="U127" s="319" t="n"/>
      <c r="V127" s="319" t="n"/>
      <c r="W127" s="319" t="n"/>
      <c r="X127" s="319" t="n"/>
      <c r="Y127" s="319" t="n"/>
      <c r="Z127" s="319" t="n"/>
    </row>
    <row r="128">
      <c r="A128" s="319" t="n"/>
      <c r="B128" s="319" t="n"/>
      <c r="C128" s="319" t="n"/>
      <c r="D128" s="319" t="n"/>
      <c r="E128" s="319" t="n"/>
      <c r="F128" s="319" t="n"/>
      <c r="G128" s="319" t="n"/>
      <c r="H128" s="319" t="n"/>
      <c r="I128" s="319" t="n"/>
      <c r="J128" s="319" t="n"/>
      <c r="K128" s="319" t="n"/>
      <c r="L128" s="319" t="n"/>
      <c r="M128" s="319" t="n"/>
      <c r="N128" s="319" t="n"/>
      <c r="O128" s="319" t="n"/>
      <c r="P128" s="319" t="n"/>
      <c r="Q128" s="319" t="n"/>
      <c r="R128" s="319" t="n"/>
      <c r="S128" s="319" t="n"/>
      <c r="T128" s="319" t="n"/>
      <c r="U128" s="319" t="n"/>
      <c r="V128" s="319" t="n"/>
      <c r="W128" s="319" t="n"/>
      <c r="X128" s="319" t="n"/>
      <c r="Y128" s="319" t="n"/>
      <c r="Z128" s="319" t="n"/>
    </row>
    <row r="129">
      <c r="A129" s="319" t="n"/>
      <c r="B129" s="319" t="n"/>
      <c r="C129" s="319" t="n"/>
      <c r="D129" s="319" t="n"/>
      <c r="E129" s="319" t="n"/>
      <c r="F129" s="319" t="n"/>
      <c r="G129" s="319" t="n"/>
      <c r="H129" s="319" t="n"/>
      <c r="I129" s="319" t="n"/>
      <c r="J129" s="319" t="n"/>
      <c r="K129" s="319" t="n"/>
      <c r="L129" s="319" t="n"/>
      <c r="M129" s="319" t="n"/>
      <c r="N129" s="319" t="n"/>
      <c r="O129" s="319" t="n"/>
      <c r="P129" s="319" t="n"/>
      <c r="Q129" s="319" t="n"/>
      <c r="R129" s="319" t="n"/>
      <c r="S129" s="319" t="n"/>
      <c r="T129" s="319" t="n"/>
      <c r="U129" s="319" t="n"/>
      <c r="V129" s="319" t="n"/>
      <c r="W129" s="319" t="n"/>
      <c r="X129" s="319" t="n"/>
      <c r="Y129" s="319" t="n"/>
      <c r="Z129" s="319" t="n"/>
    </row>
    <row r="130">
      <c r="A130" s="319" t="n"/>
      <c r="B130" s="319" t="n"/>
      <c r="C130" s="319" t="n"/>
      <c r="D130" s="319" t="n"/>
      <c r="E130" s="319" t="n"/>
      <c r="F130" s="319" t="n"/>
      <c r="G130" s="319" t="n"/>
      <c r="H130" s="319" t="n"/>
      <c r="I130" s="319" t="n"/>
      <c r="J130" s="319" t="n"/>
      <c r="K130" s="319" t="n"/>
      <c r="L130" s="319" t="n"/>
      <c r="M130" s="319" t="n"/>
      <c r="N130" s="319" t="n"/>
      <c r="O130" s="319" t="n"/>
      <c r="P130" s="319" t="n"/>
      <c r="Q130" s="319" t="n"/>
      <c r="R130" s="319" t="n"/>
      <c r="S130" s="319" t="n"/>
      <c r="T130" s="319" t="n"/>
      <c r="U130" s="319" t="n"/>
      <c r="V130" s="319" t="n"/>
      <c r="W130" s="319" t="n"/>
      <c r="X130" s="319" t="n"/>
      <c r="Y130" s="319" t="n"/>
      <c r="Z130" s="319" t="n"/>
    </row>
    <row r="131">
      <c r="A131" s="319" t="n"/>
      <c r="B131" s="319" t="n"/>
      <c r="C131" s="319" t="n"/>
      <c r="D131" s="319" t="n"/>
      <c r="E131" s="319" t="n"/>
      <c r="F131" s="319" t="n"/>
      <c r="G131" s="319" t="n"/>
      <c r="H131" s="319" t="n"/>
      <c r="I131" s="319" t="n"/>
      <c r="J131" s="319" t="n"/>
      <c r="K131" s="319" t="n"/>
      <c r="L131" s="319" t="n"/>
      <c r="M131" s="319" t="n"/>
      <c r="N131" s="319" t="n"/>
      <c r="O131" s="319" t="n"/>
      <c r="P131" s="319" t="n"/>
      <c r="Q131" s="319" t="n"/>
      <c r="R131" s="319" t="n"/>
      <c r="S131" s="319" t="n"/>
      <c r="T131" s="319" t="n"/>
      <c r="U131" s="319" t="n"/>
      <c r="V131" s="319" t="n"/>
      <c r="W131" s="319" t="n"/>
      <c r="X131" s="319" t="n"/>
      <c r="Y131" s="319" t="n"/>
      <c r="Z131" s="319" t="n"/>
    </row>
    <row r="132">
      <c r="A132" s="319" t="n"/>
      <c r="B132" s="319" t="n"/>
      <c r="C132" s="319" t="n"/>
      <c r="D132" s="319" t="n"/>
      <c r="E132" s="319" t="n"/>
      <c r="F132" s="319" t="n"/>
      <c r="G132" s="319" t="n"/>
      <c r="H132" s="319" t="n"/>
      <c r="I132" s="319" t="n"/>
      <c r="J132" s="319" t="n"/>
      <c r="K132" s="319" t="n"/>
      <c r="L132" s="319" t="n"/>
      <c r="M132" s="319" t="n"/>
      <c r="N132" s="319" t="n"/>
      <c r="O132" s="319" t="n"/>
      <c r="P132" s="319" t="n"/>
      <c r="Q132" s="319" t="n"/>
      <c r="R132" s="319" t="n"/>
      <c r="S132" s="319" t="n"/>
      <c r="T132" s="319" t="n"/>
      <c r="U132" s="319" t="n"/>
      <c r="V132" s="319" t="n"/>
      <c r="W132" s="319" t="n"/>
      <c r="X132" s="319" t="n"/>
      <c r="Y132" s="319" t="n"/>
      <c r="Z132" s="319" t="n"/>
    </row>
    <row r="133">
      <c r="A133" s="319" t="n"/>
      <c r="B133" s="319" t="n"/>
      <c r="C133" s="319" t="n"/>
      <c r="D133" s="319" t="n"/>
      <c r="E133" s="319" t="n"/>
      <c r="F133" s="319" t="n"/>
      <c r="G133" s="319" t="n"/>
      <c r="H133" s="319" t="n"/>
      <c r="I133" s="319" t="n"/>
      <c r="J133" s="319" t="n"/>
      <c r="K133" s="319" t="n"/>
      <c r="L133" s="319" t="n"/>
      <c r="M133" s="319" t="n"/>
      <c r="N133" s="319" t="n"/>
      <c r="O133" s="319" t="n"/>
      <c r="P133" s="319" t="n"/>
      <c r="Q133" s="319" t="n"/>
      <c r="R133" s="319" t="n"/>
      <c r="S133" s="319" t="n"/>
      <c r="T133" s="319" t="n"/>
      <c r="U133" s="319" t="n"/>
      <c r="V133" s="319" t="n"/>
      <c r="W133" s="319" t="n"/>
      <c r="X133" s="319" t="n"/>
      <c r="Y133" s="319" t="n"/>
      <c r="Z133" s="319" t="n"/>
    </row>
    <row r="134">
      <c r="A134" s="319" t="n"/>
      <c r="B134" s="319" t="n"/>
      <c r="C134" s="319" t="n"/>
      <c r="D134" s="319" t="n"/>
      <c r="E134" s="319" t="n"/>
      <c r="F134" s="319" t="n"/>
      <c r="G134" s="319" t="n"/>
      <c r="H134" s="319" t="n"/>
      <c r="I134" s="319" t="n"/>
      <c r="J134" s="319" t="n"/>
      <c r="K134" s="319" t="n"/>
      <c r="L134" s="319" t="n"/>
      <c r="M134" s="319" t="n"/>
      <c r="N134" s="319" t="n"/>
      <c r="O134" s="319" t="n"/>
      <c r="P134" s="319" t="n"/>
      <c r="Q134" s="319" t="n"/>
      <c r="R134" s="319" t="n"/>
      <c r="S134" s="319" t="n"/>
      <c r="T134" s="319" t="n"/>
      <c r="U134" s="319" t="n"/>
      <c r="V134" s="319" t="n"/>
      <c r="W134" s="319" t="n"/>
      <c r="X134" s="319" t="n"/>
      <c r="Y134" s="319" t="n"/>
      <c r="Z134" s="319" t="n"/>
    </row>
    <row r="135">
      <c r="A135" s="319" t="n"/>
      <c r="B135" s="319" t="n"/>
      <c r="C135" s="319" t="n"/>
      <c r="D135" s="319" t="n"/>
      <c r="E135" s="319" t="n"/>
      <c r="F135" s="319" t="n"/>
      <c r="G135" s="319" t="n"/>
      <c r="H135" s="319" t="n"/>
      <c r="I135" s="319" t="n"/>
      <c r="J135" s="319" t="n"/>
      <c r="K135" s="319" t="n"/>
      <c r="L135" s="319" t="n"/>
      <c r="M135" s="319" t="n"/>
      <c r="N135" s="319" t="n"/>
      <c r="O135" s="319" t="n"/>
      <c r="P135" s="319" t="n"/>
      <c r="Q135" s="319" t="n"/>
      <c r="R135" s="319" t="n"/>
      <c r="S135" s="319" t="n"/>
      <c r="T135" s="319" t="n"/>
      <c r="U135" s="319" t="n"/>
      <c r="V135" s="319" t="n"/>
      <c r="W135" s="319" t="n"/>
      <c r="X135" s="319" t="n"/>
      <c r="Y135" s="319" t="n"/>
      <c r="Z135" s="319" t="n"/>
    </row>
    <row r="136">
      <c r="A136" s="319" t="n"/>
      <c r="B136" s="319" t="n"/>
      <c r="C136" s="319" t="n"/>
      <c r="D136" s="319" t="n"/>
      <c r="E136" s="319" t="n"/>
      <c r="F136" s="319" t="n"/>
      <c r="G136" s="319" t="n"/>
      <c r="H136" s="319" t="n"/>
      <c r="I136" s="319" t="n"/>
      <c r="J136" s="319" t="n"/>
      <c r="K136" s="319" t="n"/>
      <c r="L136" s="319" t="n"/>
      <c r="M136" s="319" t="n"/>
      <c r="N136" s="319" t="n"/>
      <c r="O136" s="319" t="n"/>
      <c r="P136" s="319" t="n"/>
      <c r="Q136" s="319" t="n"/>
      <c r="R136" s="319" t="n"/>
      <c r="S136" s="319" t="n"/>
      <c r="T136" s="319" t="n"/>
      <c r="U136" s="319" t="n"/>
      <c r="V136" s="319" t="n"/>
      <c r="W136" s="319" t="n"/>
      <c r="X136" s="319" t="n"/>
      <c r="Y136" s="319" t="n"/>
      <c r="Z136" s="319" t="n"/>
    </row>
    <row r="137">
      <c r="A137" s="319" t="n"/>
      <c r="B137" s="319" t="n"/>
      <c r="C137" s="319" t="n"/>
      <c r="D137" s="319" t="n"/>
      <c r="E137" s="319" t="n"/>
      <c r="F137" s="319" t="n"/>
      <c r="G137" s="319" t="n"/>
      <c r="H137" s="319" t="n"/>
      <c r="I137" s="319" t="n"/>
      <c r="J137" s="319" t="n"/>
      <c r="K137" s="319" t="n"/>
      <c r="L137" s="319" t="n"/>
      <c r="M137" s="319" t="n"/>
      <c r="N137" s="319" t="n"/>
      <c r="O137" s="319" t="n"/>
      <c r="P137" s="319" t="n"/>
      <c r="Q137" s="319" t="n"/>
      <c r="R137" s="319" t="n"/>
      <c r="S137" s="319" t="n"/>
      <c r="T137" s="319" t="n"/>
      <c r="U137" s="319" t="n"/>
      <c r="V137" s="319" t="n"/>
      <c r="W137" s="319" t="n"/>
      <c r="X137" s="319" t="n"/>
      <c r="Y137" s="319" t="n"/>
      <c r="Z137" s="319" t="n"/>
    </row>
    <row r="138">
      <c r="A138" s="319" t="n"/>
      <c r="B138" s="319" t="n"/>
      <c r="C138" s="319" t="n"/>
      <c r="D138" s="319" t="n"/>
      <c r="E138" s="319" t="n"/>
      <c r="F138" s="319" t="n"/>
      <c r="G138" s="319" t="n"/>
      <c r="H138" s="319" t="n"/>
      <c r="I138" s="319" t="n"/>
      <c r="J138" s="319" t="n"/>
      <c r="K138" s="319" t="n"/>
      <c r="L138" s="319" t="n"/>
      <c r="M138" s="319" t="n"/>
      <c r="N138" s="319" t="n"/>
      <c r="O138" s="319" t="n"/>
      <c r="P138" s="319" t="n"/>
      <c r="Q138" s="319" t="n"/>
      <c r="R138" s="319" t="n"/>
      <c r="S138" s="319" t="n"/>
      <c r="T138" s="319" t="n"/>
      <c r="U138" s="319" t="n"/>
      <c r="V138" s="319" t="n"/>
      <c r="W138" s="319" t="n"/>
      <c r="X138" s="319" t="n"/>
      <c r="Y138" s="319" t="n"/>
      <c r="Z138" s="319" t="n"/>
    </row>
    <row r="139">
      <c r="A139" s="319" t="n"/>
      <c r="B139" s="319" t="n"/>
      <c r="C139" s="319" t="n"/>
      <c r="D139" s="319" t="n"/>
      <c r="E139" s="319" t="n"/>
      <c r="F139" s="319" t="n"/>
      <c r="G139" s="319" t="n"/>
      <c r="H139" s="319" t="n"/>
      <c r="I139" s="319" t="n"/>
      <c r="J139" s="319" t="n"/>
      <c r="K139" s="319" t="n"/>
      <c r="L139" s="319" t="n"/>
      <c r="M139" s="319" t="n"/>
      <c r="N139" s="319" t="n"/>
      <c r="O139" s="319" t="n"/>
      <c r="P139" s="319" t="n"/>
      <c r="Q139" s="319" t="n"/>
      <c r="R139" s="319" t="n"/>
      <c r="S139" s="319" t="n"/>
      <c r="T139" s="319" t="n"/>
      <c r="U139" s="319" t="n"/>
      <c r="V139" s="319" t="n"/>
      <c r="W139" s="319" t="n"/>
      <c r="X139" s="319" t="n"/>
      <c r="Y139" s="319" t="n"/>
      <c r="Z139" s="319" t="n"/>
    </row>
    <row r="140">
      <c r="A140" s="319" t="n"/>
      <c r="B140" s="319" t="n"/>
      <c r="C140" s="319" t="n"/>
      <c r="D140" s="319" t="n"/>
      <c r="E140" s="319" t="n"/>
      <c r="F140" s="319" t="n"/>
      <c r="G140" s="319" t="n"/>
      <c r="H140" s="319" t="n"/>
      <c r="I140" s="319" t="n"/>
      <c r="J140" s="319" t="n"/>
      <c r="K140" s="319" t="n"/>
      <c r="L140" s="319" t="n"/>
      <c r="M140" s="319" t="n"/>
      <c r="N140" s="319" t="n"/>
      <c r="O140" s="319" t="n"/>
      <c r="P140" s="319" t="n"/>
      <c r="Q140" s="319" t="n"/>
      <c r="R140" s="319" t="n"/>
      <c r="S140" s="319" t="n"/>
      <c r="T140" s="319" t="n"/>
      <c r="U140" s="319" t="n"/>
      <c r="V140" s="319" t="n"/>
      <c r="W140" s="319" t="n"/>
      <c r="X140" s="319" t="n"/>
      <c r="Y140" s="319" t="n"/>
      <c r="Z140" s="319" t="n"/>
    </row>
    <row r="141">
      <c r="A141" s="319" t="n"/>
      <c r="B141" s="319" t="n"/>
      <c r="C141" s="319" t="n"/>
      <c r="D141" s="319" t="n"/>
      <c r="E141" s="319" t="n"/>
      <c r="F141" s="319" t="n"/>
      <c r="G141" s="319" t="n"/>
      <c r="H141" s="319" t="n"/>
      <c r="I141" s="319" t="n"/>
      <c r="J141" s="319" t="n"/>
      <c r="K141" s="319" t="n"/>
      <c r="L141" s="319" t="n"/>
      <c r="M141" s="319" t="n"/>
      <c r="N141" s="319" t="n"/>
      <c r="O141" s="319" t="n"/>
      <c r="P141" s="319" t="n"/>
      <c r="Q141" s="319" t="n"/>
      <c r="R141" s="319" t="n"/>
      <c r="S141" s="319" t="n"/>
      <c r="T141" s="319" t="n"/>
      <c r="U141" s="319" t="n"/>
      <c r="V141" s="319" t="n"/>
      <c r="W141" s="319" t="n"/>
      <c r="X141" s="319" t="n"/>
      <c r="Y141" s="319" t="n"/>
      <c r="Z141" s="319" t="n"/>
    </row>
    <row r="142">
      <c r="A142" s="319" t="n"/>
      <c r="B142" s="319" t="n"/>
      <c r="C142" s="319" t="n"/>
      <c r="D142" s="319" t="n"/>
      <c r="E142" s="319" t="n"/>
      <c r="F142" s="319" t="n"/>
      <c r="G142" s="319" t="n"/>
      <c r="H142" s="319" t="n"/>
      <c r="I142" s="319" t="n"/>
      <c r="J142" s="319" t="n"/>
      <c r="K142" s="319" t="n"/>
      <c r="L142" s="319" t="n"/>
      <c r="M142" s="319" t="n"/>
      <c r="N142" s="319" t="n"/>
      <c r="O142" s="319" t="n"/>
      <c r="P142" s="319" t="n"/>
      <c r="Q142" s="319" t="n"/>
      <c r="R142" s="319" t="n"/>
      <c r="S142" s="319" t="n"/>
      <c r="T142" s="319" t="n"/>
      <c r="U142" s="319" t="n"/>
      <c r="V142" s="319" t="n"/>
      <c r="W142" s="319" t="n"/>
      <c r="X142" s="319" t="n"/>
      <c r="Y142" s="319" t="n"/>
      <c r="Z142" s="319" t="n"/>
    </row>
    <row r="143">
      <c r="A143" s="319" t="n"/>
      <c r="B143" s="319" t="n"/>
      <c r="C143" s="319" t="n"/>
      <c r="D143" s="319" t="n"/>
      <c r="E143" s="319" t="n"/>
      <c r="F143" s="319" t="n"/>
      <c r="G143" s="319" t="n"/>
      <c r="H143" s="319" t="n"/>
      <c r="I143" s="319" t="n"/>
      <c r="J143" s="319" t="n"/>
      <c r="K143" s="319" t="n"/>
      <c r="L143" s="319" t="n"/>
      <c r="M143" s="319" t="n"/>
      <c r="N143" s="319" t="n"/>
      <c r="O143" s="319" t="n"/>
      <c r="P143" s="319" t="n"/>
      <c r="Q143" s="319" t="n"/>
      <c r="R143" s="319" t="n"/>
      <c r="S143" s="319" t="n"/>
      <c r="T143" s="319" t="n"/>
      <c r="U143" s="319" t="n"/>
      <c r="V143" s="319" t="n"/>
      <c r="W143" s="319" t="n"/>
      <c r="X143" s="319" t="n"/>
      <c r="Y143" s="319" t="n"/>
      <c r="Z143" s="319" t="n"/>
    </row>
    <row r="144">
      <c r="A144" s="319" t="n"/>
      <c r="B144" s="319" t="n"/>
      <c r="C144" s="319" t="n"/>
      <c r="D144" s="319" t="n"/>
      <c r="E144" s="319" t="n"/>
      <c r="F144" s="319" t="n"/>
      <c r="G144" s="319" t="n"/>
      <c r="H144" s="319" t="n"/>
      <c r="I144" s="319" t="n"/>
      <c r="J144" s="319" t="n"/>
      <c r="K144" s="319" t="n"/>
      <c r="L144" s="319" t="n"/>
      <c r="M144" s="319" t="n"/>
      <c r="N144" s="319" t="n"/>
      <c r="O144" s="319" t="n"/>
      <c r="P144" s="319" t="n"/>
      <c r="Q144" s="319" t="n"/>
      <c r="R144" s="319" t="n"/>
      <c r="S144" s="319" t="n"/>
      <c r="T144" s="319" t="n"/>
      <c r="U144" s="319" t="n"/>
      <c r="V144" s="319" t="n"/>
      <c r="W144" s="319" t="n"/>
      <c r="X144" s="319" t="n"/>
      <c r="Y144" s="319" t="n"/>
      <c r="Z144" s="319" t="n"/>
    </row>
    <row r="145">
      <c r="A145" s="319" t="n"/>
      <c r="B145" s="319" t="n"/>
      <c r="C145" s="319" t="n"/>
      <c r="D145" s="319" t="n"/>
      <c r="E145" s="319" t="n"/>
      <c r="F145" s="319" t="n"/>
      <c r="G145" s="319" t="n"/>
      <c r="H145" s="319" t="n"/>
      <c r="I145" s="319" t="n"/>
      <c r="J145" s="319" t="n"/>
      <c r="K145" s="319" t="n"/>
      <c r="L145" s="319" t="n"/>
      <c r="M145" s="319" t="n"/>
      <c r="N145" s="319" t="n"/>
      <c r="O145" s="319" t="n"/>
      <c r="P145" s="319" t="n"/>
      <c r="Q145" s="319" t="n"/>
      <c r="R145" s="319" t="n"/>
      <c r="S145" s="319" t="n"/>
      <c r="T145" s="319" t="n"/>
      <c r="U145" s="319" t="n"/>
      <c r="V145" s="319" t="n"/>
      <c r="W145" s="319" t="n"/>
      <c r="X145" s="319" t="n"/>
      <c r="Y145" s="319" t="n"/>
      <c r="Z145" s="319" t="n"/>
    </row>
    <row r="146">
      <c r="A146" s="319" t="n"/>
      <c r="B146" s="319" t="n"/>
      <c r="C146" s="319" t="n"/>
      <c r="D146" s="319" t="n"/>
      <c r="E146" s="319" t="n"/>
      <c r="F146" s="319" t="n"/>
      <c r="G146" s="319" t="n"/>
      <c r="H146" s="319" t="n"/>
      <c r="I146" s="319" t="n"/>
      <c r="J146" s="319" t="n"/>
      <c r="K146" s="319" t="n"/>
      <c r="L146" s="319" t="n"/>
      <c r="M146" s="319" t="n"/>
      <c r="N146" s="319" t="n"/>
      <c r="O146" s="319" t="n"/>
      <c r="P146" s="319" t="n"/>
      <c r="Q146" s="319" t="n"/>
      <c r="R146" s="319" t="n"/>
      <c r="S146" s="319" t="n"/>
      <c r="T146" s="319" t="n"/>
      <c r="U146" s="319" t="n"/>
      <c r="V146" s="319" t="n"/>
      <c r="W146" s="319" t="n"/>
      <c r="X146" s="319" t="n"/>
      <c r="Y146" s="319" t="n"/>
      <c r="Z146" s="319" t="n"/>
    </row>
    <row r="147">
      <c r="A147" s="319" t="n"/>
      <c r="B147" s="319" t="n"/>
      <c r="C147" s="319" t="n"/>
      <c r="D147" s="319" t="n"/>
      <c r="E147" s="319" t="n"/>
      <c r="F147" s="319" t="n"/>
      <c r="G147" s="319" t="n"/>
      <c r="H147" s="319" t="n"/>
      <c r="I147" s="319" t="n"/>
      <c r="J147" s="319" t="n"/>
      <c r="K147" s="319" t="n"/>
      <c r="L147" s="319" t="n"/>
      <c r="M147" s="319" t="n"/>
      <c r="N147" s="319" t="n"/>
      <c r="O147" s="319" t="n"/>
      <c r="P147" s="319" t="n"/>
      <c r="Q147" s="319" t="n"/>
      <c r="R147" s="319" t="n"/>
      <c r="S147" s="319" t="n"/>
      <c r="T147" s="319" t="n"/>
      <c r="U147" s="319" t="n"/>
      <c r="V147" s="319" t="n"/>
      <c r="W147" s="319" t="n"/>
      <c r="X147" s="319" t="n"/>
      <c r="Y147" s="319" t="n"/>
      <c r="Z147" s="319" t="n"/>
    </row>
    <row r="148">
      <c r="A148" s="319" t="n"/>
      <c r="B148" s="319" t="n"/>
      <c r="C148" s="319" t="n"/>
      <c r="D148" s="319" t="n"/>
      <c r="E148" s="319" t="n"/>
      <c r="F148" s="319" t="n"/>
      <c r="G148" s="319" t="n"/>
      <c r="H148" s="319" t="n"/>
      <c r="I148" s="319" t="n"/>
      <c r="J148" s="319" t="n"/>
      <c r="K148" s="319" t="n"/>
      <c r="L148" s="319" t="n"/>
      <c r="M148" s="319" t="n"/>
      <c r="N148" s="319" t="n"/>
      <c r="O148" s="319" t="n"/>
      <c r="P148" s="319" t="n"/>
      <c r="Q148" s="319" t="n"/>
      <c r="R148" s="319" t="n"/>
      <c r="S148" s="319" t="n"/>
      <c r="T148" s="319" t="n"/>
      <c r="U148" s="319" t="n"/>
      <c r="V148" s="319" t="n"/>
      <c r="W148" s="319" t="n"/>
      <c r="X148" s="319" t="n"/>
      <c r="Y148" s="319" t="n"/>
      <c r="Z148" s="319" t="n"/>
    </row>
    <row r="149">
      <c r="A149" s="319" t="n"/>
      <c r="B149" s="319" t="n"/>
      <c r="C149" s="319" t="n"/>
      <c r="D149" s="319" t="n"/>
      <c r="E149" s="319" t="n"/>
      <c r="F149" s="319" t="n"/>
      <c r="G149" s="319" t="n"/>
      <c r="H149" s="319" t="n"/>
      <c r="I149" s="319" t="n"/>
      <c r="J149" s="319" t="n"/>
      <c r="K149" s="319" t="n"/>
      <c r="L149" s="319" t="n"/>
      <c r="M149" s="319" t="n"/>
      <c r="N149" s="319" t="n"/>
      <c r="O149" s="319" t="n"/>
      <c r="P149" s="319" t="n"/>
      <c r="Q149" s="319" t="n"/>
      <c r="R149" s="319" t="n"/>
      <c r="S149" s="319" t="n"/>
      <c r="T149" s="319" t="n"/>
      <c r="U149" s="319" t="n"/>
      <c r="V149" s="319" t="n"/>
      <c r="W149" s="319" t="n"/>
      <c r="X149" s="319" t="n"/>
      <c r="Y149" s="319" t="n"/>
      <c r="Z149" s="319" t="n"/>
    </row>
    <row r="150">
      <c r="A150" s="319" t="n"/>
      <c r="B150" s="319" t="n"/>
      <c r="C150" s="319" t="n"/>
      <c r="D150" s="319" t="n"/>
      <c r="E150" s="319" t="n"/>
      <c r="F150" s="319" t="n"/>
      <c r="G150" s="319" t="n"/>
      <c r="H150" s="319" t="n"/>
      <c r="I150" s="319" t="n"/>
      <c r="J150" s="319" t="n"/>
      <c r="K150" s="319" t="n"/>
      <c r="L150" s="319" t="n"/>
      <c r="M150" s="319" t="n"/>
      <c r="N150" s="319" t="n"/>
      <c r="O150" s="319" t="n"/>
      <c r="P150" s="319" t="n"/>
      <c r="Q150" s="319" t="n"/>
      <c r="R150" s="319" t="n"/>
      <c r="S150" s="319" t="n"/>
      <c r="T150" s="319" t="n"/>
      <c r="U150" s="319" t="n"/>
      <c r="V150" s="319" t="n"/>
      <c r="W150" s="319" t="n"/>
      <c r="X150" s="319" t="n"/>
      <c r="Y150" s="319" t="n"/>
      <c r="Z150" s="319" t="n"/>
    </row>
    <row r="151">
      <c r="A151" s="319" t="n"/>
      <c r="B151" s="319" t="n"/>
      <c r="C151" s="319" t="n"/>
      <c r="D151" s="319" t="n"/>
      <c r="E151" s="319" t="n"/>
      <c r="F151" s="319" t="n"/>
      <c r="G151" s="319" t="n"/>
      <c r="H151" s="319" t="n"/>
      <c r="I151" s="319" t="n"/>
      <c r="J151" s="319" t="n"/>
      <c r="K151" s="319" t="n"/>
      <c r="L151" s="319" t="n"/>
      <c r="M151" s="319" t="n"/>
      <c r="N151" s="319" t="n"/>
      <c r="O151" s="319" t="n"/>
      <c r="P151" s="319" t="n"/>
      <c r="Q151" s="319" t="n"/>
      <c r="R151" s="319" t="n"/>
      <c r="S151" s="319" t="n"/>
      <c r="T151" s="319" t="n"/>
      <c r="U151" s="319" t="n"/>
      <c r="V151" s="319" t="n"/>
      <c r="W151" s="319" t="n"/>
      <c r="X151" s="319" t="n"/>
      <c r="Y151" s="319" t="n"/>
      <c r="Z151" s="319" t="n"/>
    </row>
    <row r="152">
      <c r="A152" s="319" t="n"/>
      <c r="B152" s="319" t="n"/>
      <c r="C152" s="319" t="n"/>
      <c r="D152" s="319" t="n"/>
      <c r="E152" s="319" t="n"/>
      <c r="F152" s="319" t="n"/>
      <c r="G152" s="319" t="n"/>
      <c r="H152" s="319" t="n"/>
      <c r="I152" s="319" t="n"/>
      <c r="J152" s="319" t="n"/>
      <c r="K152" s="319" t="n"/>
      <c r="L152" s="319" t="n"/>
      <c r="M152" s="319" t="n"/>
      <c r="N152" s="319" t="n"/>
      <c r="O152" s="319" t="n"/>
      <c r="P152" s="319" t="n"/>
      <c r="Q152" s="319" t="n"/>
      <c r="R152" s="319" t="n"/>
      <c r="S152" s="319" t="n"/>
      <c r="T152" s="319" t="n"/>
      <c r="U152" s="319" t="n"/>
      <c r="V152" s="319" t="n"/>
      <c r="W152" s="319" t="n"/>
      <c r="X152" s="319" t="n"/>
      <c r="Y152" s="319" t="n"/>
      <c r="Z152" s="319" t="n"/>
    </row>
    <row r="153">
      <c r="A153" s="319" t="n"/>
      <c r="B153" s="319" t="n"/>
      <c r="C153" s="319" t="n"/>
      <c r="D153" s="319" t="n"/>
      <c r="E153" s="319" t="n"/>
      <c r="F153" s="319" t="n"/>
      <c r="G153" s="319" t="n"/>
      <c r="H153" s="319" t="n"/>
      <c r="I153" s="319" t="n"/>
      <c r="J153" s="319" t="n"/>
      <c r="K153" s="319" t="n"/>
      <c r="L153" s="319" t="n"/>
      <c r="M153" s="319" t="n"/>
      <c r="N153" s="319" t="n"/>
      <c r="O153" s="319" t="n"/>
      <c r="P153" s="319" t="n"/>
      <c r="Q153" s="319" t="n"/>
      <c r="R153" s="319" t="n"/>
      <c r="S153" s="319" t="n"/>
      <c r="T153" s="319" t="n"/>
      <c r="U153" s="319" t="n"/>
      <c r="V153" s="319" t="n"/>
      <c r="W153" s="319" t="n"/>
      <c r="X153" s="319" t="n"/>
      <c r="Y153" s="319" t="n"/>
      <c r="Z153" s="319" t="n"/>
    </row>
    <row r="154">
      <c r="A154" s="319" t="n"/>
      <c r="B154" s="319" t="n"/>
      <c r="C154" s="319" t="n"/>
      <c r="D154" s="319" t="n"/>
      <c r="E154" s="319" t="n"/>
      <c r="F154" s="319" t="n"/>
      <c r="G154" s="319" t="n"/>
      <c r="H154" s="319" t="n"/>
      <c r="I154" s="319" t="n"/>
      <c r="J154" s="319" t="n"/>
      <c r="K154" s="319" t="n"/>
      <c r="L154" s="319" t="n"/>
      <c r="M154" s="319" t="n"/>
      <c r="N154" s="319" t="n"/>
      <c r="O154" s="319" t="n"/>
      <c r="P154" s="319" t="n"/>
      <c r="Q154" s="319" t="n"/>
      <c r="R154" s="319" t="n"/>
      <c r="S154" s="319" t="n"/>
      <c r="T154" s="319" t="n"/>
      <c r="U154" s="319" t="n"/>
      <c r="V154" s="319" t="n"/>
      <c r="W154" s="319" t="n"/>
      <c r="X154" s="319" t="n"/>
      <c r="Y154" s="319" t="n"/>
      <c r="Z154" s="319" t="n"/>
    </row>
    <row r="155">
      <c r="A155" s="319" t="n"/>
      <c r="B155" s="319" t="n"/>
      <c r="C155" s="319" t="n"/>
      <c r="D155" s="319" t="n"/>
      <c r="E155" s="319" t="n"/>
      <c r="F155" s="319" t="n"/>
      <c r="G155" s="319" t="n"/>
      <c r="H155" s="319" t="n"/>
      <c r="I155" s="319" t="n"/>
      <c r="J155" s="319" t="n"/>
      <c r="K155" s="319" t="n"/>
      <c r="L155" s="319" t="n"/>
      <c r="M155" s="319" t="n"/>
      <c r="N155" s="319" t="n"/>
      <c r="O155" s="319" t="n"/>
      <c r="P155" s="319" t="n"/>
      <c r="Q155" s="319" t="n"/>
      <c r="R155" s="319" t="n"/>
      <c r="S155" s="319" t="n"/>
      <c r="T155" s="319" t="n"/>
      <c r="U155" s="319" t="n"/>
      <c r="V155" s="319" t="n"/>
      <c r="W155" s="319" t="n"/>
      <c r="X155" s="319" t="n"/>
      <c r="Y155" s="319" t="n"/>
      <c r="Z155" s="319" t="n"/>
    </row>
    <row r="156">
      <c r="A156" s="319" t="n"/>
      <c r="B156" s="319" t="n"/>
      <c r="C156" s="319" t="n"/>
      <c r="D156" s="319" t="n"/>
      <c r="E156" s="319" t="n"/>
      <c r="F156" s="319" t="n"/>
      <c r="G156" s="319" t="n"/>
      <c r="H156" s="319" t="n"/>
      <c r="I156" s="319" t="n"/>
      <c r="J156" s="319" t="n"/>
      <c r="K156" s="319" t="n"/>
      <c r="L156" s="319" t="n"/>
      <c r="M156" s="319" t="n"/>
      <c r="N156" s="319" t="n"/>
      <c r="O156" s="319" t="n"/>
      <c r="P156" s="319" t="n"/>
      <c r="Q156" s="319" t="n"/>
      <c r="R156" s="319" t="n"/>
      <c r="S156" s="319" t="n"/>
      <c r="T156" s="319" t="n"/>
      <c r="U156" s="319" t="n"/>
      <c r="V156" s="319" t="n"/>
      <c r="W156" s="319" t="n"/>
      <c r="X156" s="319" t="n"/>
      <c r="Y156" s="319" t="n"/>
      <c r="Z156" s="319" t="n"/>
    </row>
    <row r="157">
      <c r="A157" s="319" t="n"/>
      <c r="B157" s="319" t="n"/>
      <c r="C157" s="319" t="n"/>
      <c r="D157" s="319" t="n"/>
      <c r="E157" s="319" t="n"/>
      <c r="F157" s="319" t="n"/>
      <c r="G157" s="319" t="n"/>
      <c r="H157" s="319" t="n"/>
      <c r="I157" s="319" t="n"/>
      <c r="J157" s="319" t="n"/>
      <c r="K157" s="319" t="n"/>
      <c r="L157" s="319" t="n"/>
      <c r="M157" s="319" t="n"/>
      <c r="N157" s="319" t="n"/>
      <c r="O157" s="319" t="n"/>
      <c r="P157" s="319" t="n"/>
      <c r="Q157" s="319" t="n"/>
      <c r="R157" s="319" t="n"/>
      <c r="S157" s="319" t="n"/>
      <c r="T157" s="319" t="n"/>
      <c r="U157" s="319" t="n"/>
      <c r="V157" s="319" t="n"/>
      <c r="W157" s="319" t="n"/>
      <c r="X157" s="319" t="n"/>
      <c r="Y157" s="319" t="n"/>
      <c r="Z157" s="319" t="n"/>
    </row>
    <row r="158">
      <c r="A158" s="319" t="n"/>
      <c r="B158" s="319" t="n"/>
      <c r="C158" s="319" t="n"/>
      <c r="D158" s="319" t="n"/>
      <c r="E158" s="319" t="n"/>
      <c r="F158" s="319" t="n"/>
      <c r="G158" s="319" t="n"/>
      <c r="H158" s="319" t="n"/>
      <c r="I158" s="319" t="n"/>
      <c r="J158" s="319" t="n"/>
      <c r="K158" s="319" t="n"/>
      <c r="L158" s="319" t="n"/>
      <c r="M158" s="319" t="n"/>
      <c r="N158" s="319" t="n"/>
      <c r="O158" s="319" t="n"/>
      <c r="P158" s="319" t="n"/>
      <c r="Q158" s="319" t="n"/>
      <c r="R158" s="319" t="n"/>
      <c r="S158" s="319" t="n"/>
      <c r="T158" s="319" t="n"/>
      <c r="U158" s="319" t="n"/>
      <c r="V158" s="319" t="n"/>
      <c r="W158" s="319" t="n"/>
      <c r="X158" s="319" t="n"/>
      <c r="Y158" s="319" t="n"/>
      <c r="Z158" s="319" t="n"/>
    </row>
    <row r="159">
      <c r="A159" s="319" t="n"/>
      <c r="B159" s="319" t="n"/>
      <c r="C159" s="319" t="n"/>
      <c r="D159" s="319" t="n"/>
      <c r="E159" s="319" t="n"/>
      <c r="F159" s="319" t="n"/>
      <c r="G159" s="319" t="n"/>
      <c r="H159" s="319" t="n"/>
      <c r="I159" s="319" t="n"/>
      <c r="J159" s="319" t="n"/>
      <c r="K159" s="319" t="n"/>
      <c r="L159" s="319" t="n"/>
      <c r="M159" s="319" t="n"/>
      <c r="N159" s="319" t="n"/>
      <c r="O159" s="319" t="n"/>
      <c r="P159" s="319" t="n"/>
      <c r="Q159" s="319" t="n"/>
      <c r="R159" s="319" t="n"/>
      <c r="S159" s="319" t="n"/>
      <c r="T159" s="319" t="n"/>
      <c r="U159" s="319" t="n"/>
      <c r="V159" s="319" t="n"/>
      <c r="W159" s="319" t="n"/>
      <c r="X159" s="319" t="n"/>
      <c r="Y159" s="319" t="n"/>
      <c r="Z159" s="319" t="n"/>
    </row>
    <row r="160">
      <c r="A160" s="319" t="n"/>
      <c r="B160" s="319" t="n"/>
      <c r="C160" s="319" t="n"/>
      <c r="D160" s="319" t="n"/>
      <c r="E160" s="319" t="n"/>
      <c r="F160" s="319" t="n"/>
      <c r="G160" s="319" t="n"/>
      <c r="H160" s="319" t="n"/>
      <c r="I160" s="319" t="n"/>
      <c r="J160" s="319" t="n"/>
      <c r="K160" s="319" t="n"/>
      <c r="L160" s="319" t="n"/>
      <c r="M160" s="319" t="n"/>
      <c r="N160" s="319" t="n"/>
      <c r="O160" s="319" t="n"/>
      <c r="P160" s="319" t="n"/>
      <c r="Q160" s="319" t="n"/>
      <c r="R160" s="319" t="n"/>
      <c r="S160" s="319" t="n"/>
      <c r="T160" s="319" t="n"/>
      <c r="U160" s="319" t="n"/>
      <c r="V160" s="319" t="n"/>
      <c r="W160" s="319" t="n"/>
      <c r="X160" s="319" t="n"/>
      <c r="Y160" s="319" t="n"/>
      <c r="Z160" s="319" t="n"/>
    </row>
    <row r="161">
      <c r="A161" s="319" t="n"/>
      <c r="B161" s="319" t="n"/>
      <c r="C161" s="319" t="n"/>
      <c r="D161" s="319" t="n"/>
      <c r="E161" s="319" t="n"/>
      <c r="F161" s="319" t="n"/>
      <c r="G161" s="319" t="n"/>
      <c r="H161" s="319" t="n"/>
      <c r="I161" s="319" t="n"/>
      <c r="J161" s="319" t="n"/>
      <c r="K161" s="319" t="n"/>
      <c r="L161" s="319" t="n"/>
      <c r="M161" s="319" t="n"/>
      <c r="N161" s="319" t="n"/>
      <c r="O161" s="319" t="n"/>
      <c r="P161" s="319" t="n"/>
      <c r="Q161" s="319" t="n"/>
      <c r="R161" s="319" t="n"/>
      <c r="S161" s="319" t="n"/>
      <c r="T161" s="319" t="n"/>
      <c r="U161" s="319" t="n"/>
      <c r="V161" s="319" t="n"/>
      <c r="W161" s="319" t="n"/>
      <c r="X161" s="319" t="n"/>
      <c r="Y161" s="319" t="n"/>
      <c r="Z161" s="319" t="n"/>
    </row>
    <row r="162">
      <c r="A162" s="319" t="n"/>
      <c r="B162" s="319" t="n"/>
      <c r="C162" s="319" t="n"/>
      <c r="D162" s="319" t="n"/>
      <c r="E162" s="319" t="n"/>
      <c r="F162" s="319" t="n"/>
      <c r="G162" s="319" t="n"/>
      <c r="H162" s="319" t="n"/>
      <c r="I162" s="319" t="n"/>
      <c r="J162" s="319" t="n"/>
      <c r="K162" s="319" t="n"/>
      <c r="L162" s="319" t="n"/>
      <c r="M162" s="319" t="n"/>
      <c r="N162" s="319" t="n"/>
      <c r="O162" s="319" t="n"/>
      <c r="P162" s="319" t="n"/>
      <c r="Q162" s="319" t="n"/>
      <c r="R162" s="319" t="n"/>
      <c r="S162" s="319" t="n"/>
      <c r="T162" s="319" t="n"/>
      <c r="U162" s="319" t="n"/>
      <c r="V162" s="319" t="n"/>
      <c r="W162" s="319" t="n"/>
      <c r="X162" s="319" t="n"/>
      <c r="Y162" s="319" t="n"/>
      <c r="Z162" s="319" t="n"/>
    </row>
    <row r="163">
      <c r="A163" s="319" t="n"/>
      <c r="B163" s="319" t="n"/>
      <c r="C163" s="319" t="n"/>
      <c r="D163" s="319" t="n"/>
      <c r="E163" s="319" t="n"/>
      <c r="F163" s="319" t="n"/>
      <c r="G163" s="319" t="n"/>
      <c r="H163" s="319" t="n"/>
      <c r="I163" s="319" t="n"/>
      <c r="J163" s="319" t="n"/>
      <c r="K163" s="319" t="n"/>
      <c r="L163" s="319" t="n"/>
      <c r="M163" s="319" t="n"/>
      <c r="N163" s="319" t="n"/>
      <c r="O163" s="319" t="n"/>
      <c r="P163" s="319" t="n"/>
      <c r="Q163" s="319" t="n"/>
      <c r="R163" s="319" t="n"/>
      <c r="S163" s="319" t="n"/>
      <c r="T163" s="319" t="n"/>
      <c r="U163" s="319" t="n"/>
      <c r="V163" s="319" t="n"/>
      <c r="W163" s="319" t="n"/>
      <c r="X163" s="319" t="n"/>
      <c r="Y163" s="319" t="n"/>
      <c r="Z163" s="319" t="n"/>
    </row>
    <row r="164">
      <c r="A164" s="319" t="n"/>
      <c r="B164" s="319" t="n"/>
      <c r="C164" s="319" t="n"/>
      <c r="D164" s="319" t="n"/>
      <c r="E164" s="319" t="n"/>
      <c r="F164" s="319" t="n"/>
      <c r="G164" s="319" t="n"/>
      <c r="H164" s="319" t="n"/>
      <c r="I164" s="319" t="n"/>
      <c r="J164" s="319" t="n"/>
      <c r="K164" s="319" t="n"/>
      <c r="L164" s="319" t="n"/>
      <c r="M164" s="319" t="n"/>
      <c r="N164" s="319" t="n"/>
      <c r="O164" s="319" t="n"/>
      <c r="P164" s="319" t="n"/>
      <c r="Q164" s="319" t="n"/>
      <c r="R164" s="319" t="n"/>
      <c r="S164" s="319" t="n"/>
      <c r="T164" s="319" t="n"/>
      <c r="U164" s="319" t="n"/>
      <c r="V164" s="319" t="n"/>
      <c r="W164" s="319" t="n"/>
      <c r="X164" s="319" t="n"/>
      <c r="Y164" s="319" t="n"/>
      <c r="Z164" s="319" t="n"/>
    </row>
    <row r="165">
      <c r="A165" s="319" t="n"/>
      <c r="B165" s="319" t="n"/>
      <c r="C165" s="319" t="n"/>
      <c r="D165" s="319" t="n"/>
      <c r="E165" s="319" t="n"/>
      <c r="F165" s="319" t="n"/>
      <c r="G165" s="319" t="n"/>
      <c r="H165" s="319" t="n"/>
      <c r="I165" s="319" t="n"/>
      <c r="J165" s="319" t="n"/>
      <c r="K165" s="319" t="n"/>
      <c r="L165" s="319" t="n"/>
      <c r="M165" s="319" t="n"/>
      <c r="N165" s="319" t="n"/>
      <c r="O165" s="319" t="n"/>
      <c r="P165" s="319" t="n"/>
      <c r="Q165" s="319" t="n"/>
      <c r="R165" s="319" t="n"/>
      <c r="S165" s="319" t="n"/>
      <c r="T165" s="319" t="n"/>
      <c r="U165" s="319" t="n"/>
      <c r="V165" s="319" t="n"/>
      <c r="W165" s="319" t="n"/>
      <c r="X165" s="319" t="n"/>
      <c r="Y165" s="319" t="n"/>
      <c r="Z165" s="319" t="n"/>
    </row>
    <row r="166">
      <c r="A166" s="319" t="n"/>
      <c r="B166" s="319" t="n"/>
      <c r="C166" s="319" t="n"/>
      <c r="D166" s="319" t="n"/>
      <c r="E166" s="319" t="n"/>
      <c r="F166" s="319" t="n"/>
      <c r="G166" s="319" t="n"/>
      <c r="H166" s="319" t="n"/>
      <c r="I166" s="319" t="n"/>
      <c r="J166" s="319" t="n"/>
      <c r="K166" s="319" t="n"/>
      <c r="L166" s="319" t="n"/>
      <c r="M166" s="319" t="n"/>
      <c r="N166" s="319" t="n"/>
      <c r="O166" s="319" t="n"/>
      <c r="P166" s="319" t="n"/>
      <c r="Q166" s="319" t="n"/>
      <c r="R166" s="319" t="n"/>
      <c r="S166" s="319" t="n"/>
      <c r="T166" s="319" t="n"/>
      <c r="U166" s="319" t="n"/>
      <c r="V166" s="319" t="n"/>
      <c r="W166" s="319" t="n"/>
      <c r="X166" s="319" t="n"/>
      <c r="Y166" s="319" t="n"/>
      <c r="Z166" s="319" t="n"/>
    </row>
    <row r="167">
      <c r="A167" s="319" t="n"/>
      <c r="B167" s="319" t="n"/>
      <c r="C167" s="319" t="n"/>
      <c r="D167" s="319" t="n"/>
      <c r="E167" s="319" t="n"/>
      <c r="F167" s="319" t="n"/>
      <c r="G167" s="319" t="n"/>
      <c r="H167" s="319" t="n"/>
      <c r="I167" s="319" t="n"/>
      <c r="J167" s="319" t="n"/>
      <c r="K167" s="319" t="n"/>
      <c r="L167" s="319" t="n"/>
      <c r="M167" s="319" t="n"/>
      <c r="N167" s="319" t="n"/>
      <c r="O167" s="319" t="n"/>
      <c r="P167" s="319" t="n"/>
      <c r="Q167" s="319" t="n"/>
      <c r="R167" s="319" t="n"/>
      <c r="S167" s="319" t="n"/>
      <c r="T167" s="319" t="n"/>
      <c r="U167" s="319" t="n"/>
      <c r="V167" s="319" t="n"/>
      <c r="W167" s="319" t="n"/>
      <c r="X167" s="319" t="n"/>
      <c r="Y167" s="319" t="n"/>
      <c r="Z167" s="319" t="n"/>
    </row>
    <row r="168">
      <c r="A168" s="319" t="n"/>
      <c r="B168" s="319" t="n"/>
      <c r="C168" s="319" t="n"/>
      <c r="D168" s="319" t="n"/>
      <c r="E168" s="319" t="n"/>
      <c r="F168" s="319" t="n"/>
      <c r="G168" s="319" t="n"/>
      <c r="H168" s="319" t="n"/>
      <c r="I168" s="319" t="n"/>
      <c r="J168" s="319" t="n"/>
      <c r="K168" s="319" t="n"/>
      <c r="L168" s="319" t="n"/>
      <c r="M168" s="319" t="n"/>
      <c r="N168" s="319" t="n"/>
      <c r="O168" s="319" t="n"/>
      <c r="P168" s="319" t="n"/>
      <c r="Q168" s="319" t="n"/>
      <c r="R168" s="319" t="n"/>
      <c r="S168" s="319" t="n"/>
      <c r="T168" s="319" t="n"/>
      <c r="U168" s="319" t="n"/>
      <c r="V168" s="319" t="n"/>
      <c r="W168" s="319" t="n"/>
      <c r="X168" s="319" t="n"/>
      <c r="Y168" s="319" t="n"/>
      <c r="Z168" s="319" t="n"/>
    </row>
    <row r="169">
      <c r="A169" s="319" t="n"/>
      <c r="B169" s="319" t="n"/>
      <c r="C169" s="319" t="n"/>
      <c r="D169" s="319" t="n"/>
      <c r="E169" s="319" t="n"/>
      <c r="F169" s="319" t="n"/>
      <c r="G169" s="319" t="n"/>
      <c r="H169" s="319" t="n"/>
      <c r="I169" s="319" t="n"/>
      <c r="J169" s="319" t="n"/>
      <c r="K169" s="319" t="n"/>
      <c r="L169" s="319" t="n"/>
      <c r="M169" s="319" t="n"/>
      <c r="N169" s="319" t="n"/>
      <c r="O169" s="319" t="n"/>
      <c r="P169" s="319" t="n"/>
      <c r="Q169" s="319" t="n"/>
      <c r="R169" s="319" t="n"/>
      <c r="S169" s="319" t="n"/>
      <c r="T169" s="319" t="n"/>
      <c r="U169" s="319" t="n"/>
      <c r="V169" s="319" t="n"/>
      <c r="W169" s="319" t="n"/>
      <c r="X169" s="319" t="n"/>
      <c r="Y169" s="319" t="n"/>
      <c r="Z169" s="319" t="n"/>
    </row>
    <row r="170">
      <c r="A170" s="319" t="n"/>
      <c r="B170" s="319" t="n"/>
      <c r="C170" s="319" t="n"/>
      <c r="D170" s="319" t="n"/>
      <c r="E170" s="319" t="n"/>
      <c r="F170" s="319" t="n"/>
      <c r="G170" s="319" t="n"/>
      <c r="H170" s="319" t="n"/>
      <c r="I170" s="319" t="n"/>
      <c r="J170" s="319" t="n"/>
      <c r="K170" s="319" t="n"/>
      <c r="L170" s="319" t="n"/>
      <c r="M170" s="319" t="n"/>
      <c r="N170" s="319" t="n"/>
      <c r="O170" s="319" t="n"/>
      <c r="P170" s="319" t="n"/>
      <c r="Q170" s="319" t="n"/>
      <c r="R170" s="319" t="n"/>
      <c r="S170" s="319" t="n"/>
      <c r="T170" s="319" t="n"/>
      <c r="U170" s="319" t="n"/>
      <c r="V170" s="319" t="n"/>
      <c r="W170" s="319" t="n"/>
      <c r="X170" s="319" t="n"/>
      <c r="Y170" s="319" t="n"/>
      <c r="Z170" s="319" t="n"/>
    </row>
    <row r="171">
      <c r="A171" s="319" t="n"/>
      <c r="B171" s="319" t="n"/>
      <c r="C171" s="319" t="n"/>
      <c r="D171" s="319" t="n"/>
      <c r="E171" s="319" t="n"/>
      <c r="F171" s="319" t="n"/>
      <c r="G171" s="319" t="n"/>
      <c r="H171" s="319" t="n"/>
      <c r="I171" s="319" t="n"/>
      <c r="J171" s="319" t="n"/>
      <c r="K171" s="319" t="n"/>
      <c r="L171" s="319" t="n"/>
      <c r="M171" s="319" t="n"/>
      <c r="N171" s="319" t="n"/>
      <c r="O171" s="319" t="n"/>
      <c r="P171" s="319" t="n"/>
      <c r="Q171" s="319" t="n"/>
      <c r="R171" s="319" t="n"/>
      <c r="S171" s="319" t="n"/>
      <c r="T171" s="319" t="n"/>
      <c r="U171" s="319" t="n"/>
      <c r="V171" s="319" t="n"/>
      <c r="W171" s="319" t="n"/>
      <c r="X171" s="319" t="n"/>
      <c r="Y171" s="319" t="n"/>
      <c r="Z171" s="319" t="n"/>
    </row>
    <row r="172">
      <c r="A172" s="319" t="n"/>
      <c r="B172" s="319" t="n"/>
      <c r="C172" s="319" t="n"/>
      <c r="D172" s="319" t="n"/>
      <c r="E172" s="319" t="n"/>
      <c r="F172" s="319" t="n"/>
      <c r="G172" s="319" t="n"/>
      <c r="H172" s="319" t="n"/>
      <c r="I172" s="319" t="n"/>
      <c r="J172" s="319" t="n"/>
      <c r="K172" s="319" t="n"/>
      <c r="L172" s="319" t="n"/>
      <c r="M172" s="319" t="n"/>
      <c r="N172" s="319" t="n"/>
      <c r="O172" s="319" t="n"/>
      <c r="P172" s="319" t="n"/>
      <c r="Q172" s="319" t="n"/>
      <c r="R172" s="319" t="n"/>
      <c r="S172" s="319" t="n"/>
      <c r="T172" s="319" t="n"/>
      <c r="U172" s="319" t="n"/>
      <c r="V172" s="319" t="n"/>
      <c r="W172" s="319" t="n"/>
      <c r="X172" s="319" t="n"/>
      <c r="Y172" s="319" t="n"/>
      <c r="Z172" s="319" t="n"/>
    </row>
    <row r="173">
      <c r="A173" s="319" t="n"/>
      <c r="B173" s="319" t="n"/>
      <c r="C173" s="319" t="n"/>
      <c r="D173" s="319" t="n"/>
      <c r="E173" s="319" t="n"/>
      <c r="F173" s="319" t="n"/>
      <c r="G173" s="319" t="n"/>
      <c r="H173" s="319" t="n"/>
      <c r="I173" s="319" t="n"/>
      <c r="J173" s="319" t="n"/>
      <c r="K173" s="319" t="n"/>
      <c r="L173" s="319" t="n"/>
      <c r="M173" s="319" t="n"/>
      <c r="N173" s="319" t="n"/>
      <c r="O173" s="319" t="n"/>
      <c r="P173" s="319" t="n"/>
      <c r="Q173" s="319" t="n"/>
      <c r="R173" s="319" t="n"/>
      <c r="S173" s="319" t="n"/>
      <c r="T173" s="319" t="n"/>
      <c r="U173" s="319" t="n"/>
      <c r="V173" s="319" t="n"/>
      <c r="W173" s="319" t="n"/>
      <c r="X173" s="319" t="n"/>
      <c r="Y173" s="319" t="n"/>
      <c r="Z173" s="319" t="n"/>
    </row>
    <row r="174">
      <c r="A174" s="319" t="n"/>
      <c r="B174" s="319" t="n"/>
      <c r="C174" s="319" t="n"/>
      <c r="D174" s="319" t="n"/>
      <c r="E174" s="319" t="n"/>
      <c r="F174" s="319" t="n"/>
      <c r="G174" s="319" t="n"/>
      <c r="H174" s="319" t="n"/>
      <c r="I174" s="319" t="n"/>
      <c r="J174" s="319" t="n"/>
      <c r="K174" s="319" t="n"/>
      <c r="L174" s="319" t="n"/>
      <c r="M174" s="319" t="n"/>
      <c r="N174" s="319" t="n"/>
      <c r="O174" s="319" t="n"/>
      <c r="P174" s="319" t="n"/>
      <c r="Q174" s="319" t="n"/>
      <c r="R174" s="319" t="n"/>
      <c r="S174" s="319" t="n"/>
      <c r="T174" s="319" t="n"/>
      <c r="U174" s="319" t="n"/>
      <c r="V174" s="319" t="n"/>
      <c r="W174" s="319" t="n"/>
      <c r="X174" s="319" t="n"/>
      <c r="Y174" s="319" t="n"/>
      <c r="Z174" s="319" t="n"/>
    </row>
    <row r="175">
      <c r="A175" s="319" t="n"/>
      <c r="B175" s="319" t="n"/>
      <c r="C175" s="319" t="n"/>
      <c r="D175" s="319" t="n"/>
      <c r="E175" s="319" t="n"/>
      <c r="F175" s="319" t="n"/>
      <c r="G175" s="319" t="n"/>
      <c r="H175" s="319" t="n"/>
      <c r="I175" s="319" t="n"/>
      <c r="J175" s="319" t="n"/>
      <c r="K175" s="319" t="n"/>
      <c r="L175" s="319" t="n"/>
      <c r="M175" s="319" t="n"/>
      <c r="N175" s="319" t="n"/>
      <c r="O175" s="319" t="n"/>
      <c r="P175" s="319" t="n"/>
      <c r="Q175" s="319" t="n"/>
      <c r="R175" s="319" t="n"/>
      <c r="S175" s="319" t="n"/>
      <c r="T175" s="319" t="n"/>
      <c r="U175" s="319" t="n"/>
      <c r="V175" s="319" t="n"/>
      <c r="W175" s="319" t="n"/>
      <c r="X175" s="319" t="n"/>
      <c r="Y175" s="319" t="n"/>
      <c r="Z175" s="319" t="n"/>
    </row>
    <row r="176">
      <c r="A176" s="319" t="n"/>
      <c r="B176" s="319" t="n"/>
      <c r="C176" s="319" t="n"/>
      <c r="D176" s="319" t="n"/>
      <c r="E176" s="319" t="n"/>
      <c r="F176" s="319" t="n"/>
      <c r="G176" s="319" t="n"/>
      <c r="H176" s="319" t="n"/>
      <c r="I176" s="319" t="n"/>
      <c r="J176" s="319" t="n"/>
      <c r="K176" s="319" t="n"/>
      <c r="L176" s="319" t="n"/>
      <c r="M176" s="319" t="n"/>
      <c r="N176" s="319" t="n"/>
      <c r="O176" s="319" t="n"/>
      <c r="P176" s="319" t="n"/>
      <c r="Q176" s="319" t="n"/>
      <c r="R176" s="319" t="n"/>
      <c r="S176" s="319" t="n"/>
      <c r="T176" s="319" t="n"/>
      <c r="U176" s="319" t="n"/>
      <c r="V176" s="319" t="n"/>
      <c r="W176" s="319" t="n"/>
      <c r="X176" s="319" t="n"/>
      <c r="Y176" s="319" t="n"/>
      <c r="Z176" s="319" t="n"/>
    </row>
    <row r="177">
      <c r="A177" s="319" t="n"/>
      <c r="B177" s="319" t="n"/>
      <c r="C177" s="319" t="n"/>
      <c r="D177" s="319" t="n"/>
      <c r="E177" s="319" t="n"/>
      <c r="F177" s="319" t="n"/>
      <c r="G177" s="319" t="n"/>
      <c r="H177" s="319" t="n"/>
      <c r="I177" s="319" t="n"/>
      <c r="J177" s="319" t="n"/>
      <c r="K177" s="319" t="n"/>
      <c r="L177" s="319" t="n"/>
      <c r="M177" s="319" t="n"/>
      <c r="N177" s="319" t="n"/>
      <c r="O177" s="319" t="n"/>
      <c r="P177" s="319" t="n"/>
      <c r="Q177" s="319" t="n"/>
      <c r="R177" s="319" t="n"/>
      <c r="S177" s="319" t="n"/>
      <c r="T177" s="319" t="n"/>
      <c r="U177" s="319" t="n"/>
      <c r="V177" s="319" t="n"/>
      <c r="W177" s="319" t="n"/>
      <c r="X177" s="319" t="n"/>
      <c r="Y177" s="319" t="n"/>
      <c r="Z177" s="319" t="n"/>
    </row>
    <row r="178">
      <c r="A178" s="319" t="n"/>
      <c r="B178" s="319" t="n"/>
      <c r="C178" s="319" t="n"/>
      <c r="D178" s="319" t="n"/>
      <c r="E178" s="319" t="n"/>
      <c r="F178" s="319" t="n"/>
      <c r="G178" s="319" t="n"/>
      <c r="H178" s="319" t="n"/>
      <c r="I178" s="319" t="n"/>
      <c r="J178" s="319" t="n"/>
      <c r="K178" s="319" t="n"/>
      <c r="L178" s="319" t="n"/>
      <c r="M178" s="319" t="n"/>
      <c r="N178" s="319" t="n"/>
      <c r="O178" s="319" t="n"/>
      <c r="P178" s="319" t="n"/>
      <c r="Q178" s="319" t="n"/>
      <c r="R178" s="319" t="n"/>
      <c r="S178" s="319" t="n"/>
      <c r="T178" s="319" t="n"/>
      <c r="U178" s="319" t="n"/>
      <c r="V178" s="319" t="n"/>
      <c r="W178" s="319" t="n"/>
      <c r="X178" s="319" t="n"/>
      <c r="Y178" s="319" t="n"/>
      <c r="Z178" s="319" t="n"/>
    </row>
    <row r="179">
      <c r="A179" s="319" t="n"/>
      <c r="B179" s="319" t="n"/>
      <c r="C179" s="319" t="n"/>
      <c r="D179" s="319" t="n"/>
      <c r="E179" s="319" t="n"/>
      <c r="F179" s="319" t="n"/>
      <c r="G179" s="319" t="n"/>
      <c r="H179" s="319" t="n"/>
      <c r="I179" s="319" t="n"/>
      <c r="J179" s="319" t="n"/>
      <c r="K179" s="319" t="n"/>
      <c r="L179" s="319" t="n"/>
      <c r="M179" s="319" t="n"/>
      <c r="N179" s="319" t="n"/>
      <c r="O179" s="319" t="n"/>
      <c r="P179" s="319" t="n"/>
      <c r="Q179" s="319" t="n"/>
      <c r="R179" s="319" t="n"/>
      <c r="S179" s="319" t="n"/>
      <c r="T179" s="319" t="n"/>
      <c r="U179" s="319" t="n"/>
      <c r="V179" s="319" t="n"/>
      <c r="W179" s="319" t="n"/>
      <c r="X179" s="319" t="n"/>
      <c r="Y179" s="319" t="n"/>
      <c r="Z179" s="319" t="n"/>
    </row>
    <row r="180">
      <c r="A180" s="319" t="n"/>
      <c r="B180" s="319" t="n"/>
      <c r="C180" s="319" t="n"/>
      <c r="D180" s="319" t="n"/>
      <c r="E180" s="319" t="n"/>
      <c r="F180" s="319" t="n"/>
      <c r="G180" s="319" t="n"/>
      <c r="H180" s="319" t="n"/>
      <c r="I180" s="319" t="n"/>
      <c r="J180" s="319" t="n"/>
      <c r="K180" s="319" t="n"/>
      <c r="L180" s="319" t="n"/>
      <c r="M180" s="319" t="n"/>
      <c r="N180" s="319" t="n"/>
      <c r="O180" s="319" t="n"/>
      <c r="P180" s="319" t="n"/>
      <c r="Q180" s="319" t="n"/>
      <c r="R180" s="319" t="n"/>
      <c r="S180" s="319" t="n"/>
      <c r="T180" s="319" t="n"/>
      <c r="U180" s="319" t="n"/>
      <c r="V180" s="319" t="n"/>
      <c r="W180" s="319" t="n"/>
      <c r="X180" s="319" t="n"/>
      <c r="Y180" s="319" t="n"/>
      <c r="Z180" s="319" t="n"/>
    </row>
    <row r="181">
      <c r="A181" s="319" t="n"/>
      <c r="B181" s="319" t="n"/>
      <c r="C181" s="319" t="n"/>
      <c r="D181" s="319" t="n"/>
      <c r="E181" s="319" t="n"/>
      <c r="F181" s="319" t="n"/>
      <c r="G181" s="319" t="n"/>
      <c r="H181" s="319" t="n"/>
      <c r="I181" s="319" t="n"/>
      <c r="J181" s="319" t="n"/>
      <c r="K181" s="319" t="n"/>
      <c r="L181" s="319" t="n"/>
      <c r="M181" s="319" t="n"/>
      <c r="N181" s="319" t="n"/>
      <c r="O181" s="319" t="n"/>
      <c r="P181" s="319" t="n"/>
      <c r="Q181" s="319" t="n"/>
      <c r="R181" s="319" t="n"/>
      <c r="S181" s="319" t="n"/>
      <c r="T181" s="319" t="n"/>
      <c r="U181" s="319" t="n"/>
      <c r="V181" s="319" t="n"/>
      <c r="W181" s="319" t="n"/>
      <c r="X181" s="319" t="n"/>
      <c r="Y181" s="319" t="n"/>
      <c r="Z181" s="319" t="n"/>
    </row>
    <row r="182">
      <c r="A182" s="319" t="n"/>
      <c r="B182" s="319" t="n"/>
      <c r="C182" s="319" t="n"/>
      <c r="D182" s="319" t="n"/>
      <c r="E182" s="319" t="n"/>
      <c r="F182" s="319" t="n"/>
      <c r="G182" s="319" t="n"/>
      <c r="H182" s="319" t="n"/>
      <c r="I182" s="319" t="n"/>
      <c r="J182" s="319" t="n"/>
      <c r="K182" s="319" t="n"/>
      <c r="L182" s="319" t="n"/>
      <c r="M182" s="319" t="n"/>
      <c r="N182" s="319" t="n"/>
      <c r="O182" s="319" t="n"/>
      <c r="P182" s="319" t="n"/>
      <c r="Q182" s="319" t="n"/>
      <c r="R182" s="319" t="n"/>
      <c r="S182" s="319" t="n"/>
      <c r="T182" s="319" t="n"/>
      <c r="U182" s="319" t="n"/>
      <c r="V182" s="319" t="n"/>
      <c r="W182" s="319" t="n"/>
      <c r="X182" s="319" t="n"/>
      <c r="Y182" s="319" t="n"/>
      <c r="Z182" s="319" t="n"/>
    </row>
    <row r="183">
      <c r="A183" s="319" t="n"/>
      <c r="B183" s="319" t="n"/>
      <c r="C183" s="319" t="n"/>
      <c r="D183" s="319" t="n"/>
      <c r="E183" s="319" t="n"/>
      <c r="F183" s="319" t="n"/>
      <c r="G183" s="319" t="n"/>
      <c r="H183" s="319" t="n"/>
      <c r="I183" s="319" t="n"/>
      <c r="J183" s="319" t="n"/>
      <c r="K183" s="319" t="n"/>
      <c r="L183" s="319" t="n"/>
      <c r="M183" s="319" t="n"/>
      <c r="N183" s="319" t="n"/>
      <c r="O183" s="319" t="n"/>
      <c r="P183" s="319" t="n"/>
      <c r="Q183" s="319" t="n"/>
      <c r="R183" s="319" t="n"/>
      <c r="S183" s="319" t="n"/>
      <c r="T183" s="319" t="n"/>
      <c r="U183" s="319" t="n"/>
      <c r="V183" s="319" t="n"/>
      <c r="W183" s="319" t="n"/>
      <c r="X183" s="319" t="n"/>
      <c r="Y183" s="319" t="n"/>
      <c r="Z183" s="319" t="n"/>
    </row>
    <row r="184">
      <c r="A184" s="319" t="n"/>
      <c r="B184" s="319" t="n"/>
      <c r="C184" s="319" t="n"/>
      <c r="D184" s="319" t="n"/>
      <c r="E184" s="319" t="n"/>
      <c r="F184" s="319" t="n"/>
      <c r="G184" s="319" t="n"/>
      <c r="H184" s="319" t="n"/>
      <c r="I184" s="319" t="n"/>
      <c r="J184" s="319" t="n"/>
      <c r="K184" s="319" t="n"/>
      <c r="L184" s="319" t="n"/>
      <c r="M184" s="319" t="n"/>
      <c r="N184" s="319" t="n"/>
      <c r="O184" s="319" t="n"/>
      <c r="P184" s="319" t="n"/>
      <c r="Q184" s="319" t="n"/>
      <c r="R184" s="319" t="n"/>
      <c r="S184" s="319" t="n"/>
      <c r="T184" s="319" t="n"/>
      <c r="U184" s="319" t="n"/>
      <c r="V184" s="319" t="n"/>
      <c r="W184" s="319" t="n"/>
      <c r="X184" s="319" t="n"/>
      <c r="Y184" s="319" t="n"/>
      <c r="Z184" s="319" t="n"/>
    </row>
    <row r="185">
      <c r="A185" s="319" t="n"/>
      <c r="B185" s="319" t="n"/>
      <c r="C185" s="319" t="n"/>
      <c r="D185" s="319" t="n"/>
      <c r="E185" s="319" t="n"/>
      <c r="F185" s="319" t="n"/>
      <c r="G185" s="319" t="n"/>
      <c r="H185" s="319" t="n"/>
      <c r="I185" s="319" t="n"/>
      <c r="J185" s="319" t="n"/>
      <c r="K185" s="319" t="n"/>
      <c r="L185" s="319" t="n"/>
      <c r="M185" s="319" t="n"/>
      <c r="N185" s="319" t="n"/>
      <c r="O185" s="319" t="n"/>
      <c r="P185" s="319" t="n"/>
      <c r="Q185" s="319" t="n"/>
      <c r="R185" s="319" t="n"/>
      <c r="S185" s="319" t="n"/>
      <c r="T185" s="319" t="n"/>
      <c r="U185" s="319" t="n"/>
      <c r="V185" s="319" t="n"/>
      <c r="W185" s="319" t="n"/>
      <c r="X185" s="319" t="n"/>
      <c r="Y185" s="319" t="n"/>
      <c r="Z185" s="319" t="n"/>
    </row>
    <row r="186">
      <c r="A186" s="319" t="n"/>
      <c r="B186" s="319" t="n"/>
      <c r="C186" s="319" t="n"/>
      <c r="D186" s="319" t="n"/>
      <c r="E186" s="319" t="n"/>
      <c r="F186" s="319" t="n"/>
      <c r="G186" s="319" t="n"/>
      <c r="H186" s="319" t="n"/>
      <c r="I186" s="319" t="n"/>
      <c r="J186" s="319" t="n"/>
      <c r="K186" s="319" t="n"/>
      <c r="L186" s="319" t="n"/>
      <c r="M186" s="319" t="n"/>
      <c r="N186" s="319" t="n"/>
      <c r="O186" s="319" t="n"/>
      <c r="P186" s="319" t="n"/>
      <c r="Q186" s="319" t="n"/>
      <c r="R186" s="319" t="n"/>
      <c r="S186" s="319" t="n"/>
      <c r="T186" s="319" t="n"/>
      <c r="U186" s="319" t="n"/>
      <c r="V186" s="319" t="n"/>
      <c r="W186" s="319" t="n"/>
      <c r="X186" s="319" t="n"/>
      <c r="Y186" s="319" t="n"/>
      <c r="Z186" s="319" t="n"/>
    </row>
    <row r="187">
      <c r="A187" s="319" t="n"/>
      <c r="B187" s="319" t="n"/>
      <c r="C187" s="319" t="n"/>
      <c r="D187" s="319" t="n"/>
      <c r="E187" s="319" t="n"/>
      <c r="F187" s="319" t="n"/>
      <c r="G187" s="319" t="n"/>
      <c r="H187" s="319" t="n"/>
      <c r="I187" s="319" t="n"/>
      <c r="J187" s="319" t="n"/>
      <c r="K187" s="319" t="n"/>
      <c r="L187" s="319" t="n"/>
      <c r="M187" s="319" t="n"/>
      <c r="N187" s="319" t="n"/>
      <c r="O187" s="319" t="n"/>
      <c r="P187" s="319" t="n"/>
      <c r="Q187" s="319" t="n"/>
      <c r="R187" s="319" t="n"/>
      <c r="S187" s="319" t="n"/>
      <c r="T187" s="319" t="n"/>
      <c r="U187" s="319" t="n"/>
      <c r="V187" s="319" t="n"/>
      <c r="W187" s="319" t="n"/>
      <c r="X187" s="319" t="n"/>
      <c r="Y187" s="319" t="n"/>
      <c r="Z187" s="319" t="n"/>
    </row>
    <row r="188">
      <c r="A188" s="319" t="n"/>
      <c r="B188" s="319" t="n"/>
      <c r="C188" s="319" t="n"/>
      <c r="D188" s="319" t="n"/>
      <c r="E188" s="319" t="n"/>
      <c r="F188" s="319" t="n"/>
      <c r="G188" s="319" t="n"/>
      <c r="H188" s="319" t="n"/>
      <c r="I188" s="319" t="n"/>
      <c r="J188" s="319" t="n"/>
      <c r="K188" s="319" t="n"/>
      <c r="L188" s="319" t="n"/>
      <c r="M188" s="319" t="n"/>
      <c r="N188" s="319" t="n"/>
      <c r="O188" s="319" t="n"/>
      <c r="P188" s="319" t="n"/>
      <c r="Q188" s="319" t="n"/>
      <c r="R188" s="319" t="n"/>
      <c r="S188" s="319" t="n"/>
      <c r="T188" s="319" t="n"/>
      <c r="U188" s="319" t="n"/>
      <c r="V188" s="319" t="n"/>
      <c r="W188" s="319" t="n"/>
      <c r="X188" s="319" t="n"/>
      <c r="Y188" s="319" t="n"/>
      <c r="Z188" s="319" t="n"/>
    </row>
    <row r="189">
      <c r="A189" s="319" t="n"/>
      <c r="B189" s="319" t="n"/>
      <c r="C189" s="319" t="n"/>
      <c r="D189" s="319" t="n"/>
      <c r="E189" s="319" t="n"/>
      <c r="F189" s="319" t="n"/>
      <c r="G189" s="319" t="n"/>
      <c r="H189" s="319" t="n"/>
      <c r="I189" s="319" t="n"/>
      <c r="J189" s="319" t="n"/>
      <c r="K189" s="319" t="n"/>
      <c r="L189" s="319" t="n"/>
      <c r="M189" s="319" t="n"/>
      <c r="N189" s="319" t="n"/>
      <c r="O189" s="319" t="n"/>
      <c r="P189" s="319" t="n"/>
      <c r="Q189" s="319" t="n"/>
      <c r="R189" s="319" t="n"/>
      <c r="S189" s="319" t="n"/>
      <c r="T189" s="319" t="n"/>
      <c r="U189" s="319" t="n"/>
      <c r="V189" s="319" t="n"/>
      <c r="W189" s="319" t="n"/>
      <c r="X189" s="319" t="n"/>
      <c r="Y189" s="319" t="n"/>
      <c r="Z189" s="319" t="n"/>
    </row>
    <row r="190">
      <c r="A190" s="319" t="n"/>
      <c r="B190" s="319" t="n"/>
      <c r="C190" s="319" t="n"/>
      <c r="D190" s="319" t="n"/>
      <c r="E190" s="319" t="n"/>
      <c r="F190" s="319" t="n"/>
      <c r="G190" s="319" t="n"/>
      <c r="H190" s="319" t="n"/>
      <c r="I190" s="319" t="n"/>
      <c r="J190" s="319" t="n"/>
      <c r="K190" s="319" t="n"/>
      <c r="L190" s="319" t="n"/>
      <c r="M190" s="319" t="n"/>
      <c r="N190" s="319" t="n"/>
      <c r="O190" s="319" t="n"/>
      <c r="P190" s="319" t="n"/>
      <c r="Q190" s="319" t="n"/>
      <c r="R190" s="319" t="n"/>
      <c r="S190" s="319" t="n"/>
      <c r="T190" s="319" t="n"/>
      <c r="U190" s="319" t="n"/>
      <c r="V190" s="319" t="n"/>
      <c r="W190" s="319" t="n"/>
      <c r="X190" s="319" t="n"/>
      <c r="Y190" s="319" t="n"/>
      <c r="Z190" s="319" t="n"/>
    </row>
    <row r="191">
      <c r="A191" s="319" t="n"/>
      <c r="B191" s="319" t="n"/>
      <c r="C191" s="319" t="n"/>
      <c r="D191" s="319" t="n"/>
      <c r="E191" s="319" t="n"/>
      <c r="F191" s="319" t="n"/>
      <c r="G191" s="319" t="n"/>
      <c r="H191" s="319" t="n"/>
      <c r="I191" s="319" t="n"/>
      <c r="J191" s="319" t="n"/>
      <c r="K191" s="319" t="n"/>
      <c r="L191" s="319" t="n"/>
      <c r="M191" s="319" t="n"/>
      <c r="N191" s="319" t="n"/>
      <c r="O191" s="319" t="n"/>
      <c r="P191" s="319" t="n"/>
      <c r="Q191" s="319" t="n"/>
      <c r="R191" s="319" t="n"/>
      <c r="S191" s="319" t="n"/>
      <c r="T191" s="319" t="n"/>
      <c r="U191" s="319" t="n"/>
      <c r="V191" s="319" t="n"/>
      <c r="W191" s="319" t="n"/>
      <c r="X191" s="319" t="n"/>
      <c r="Y191" s="319" t="n"/>
      <c r="Z191" s="319" t="n"/>
    </row>
    <row r="192">
      <c r="A192" s="319" t="n"/>
      <c r="B192" s="319" t="n"/>
      <c r="C192" s="319" t="n"/>
      <c r="D192" s="319" t="n"/>
      <c r="E192" s="319" t="n"/>
      <c r="F192" s="319" t="n"/>
      <c r="G192" s="319" t="n"/>
      <c r="H192" s="319" t="n"/>
      <c r="I192" s="319" t="n"/>
      <c r="J192" s="319" t="n"/>
      <c r="K192" s="319" t="n"/>
      <c r="L192" s="319" t="n"/>
      <c r="M192" s="319" t="n"/>
      <c r="N192" s="319" t="n"/>
      <c r="O192" s="319" t="n"/>
      <c r="P192" s="319" t="n"/>
      <c r="Q192" s="319" t="n"/>
      <c r="R192" s="319" t="n"/>
      <c r="S192" s="319" t="n"/>
      <c r="T192" s="319" t="n"/>
      <c r="U192" s="319" t="n"/>
      <c r="V192" s="319" t="n"/>
      <c r="W192" s="319" t="n"/>
      <c r="X192" s="319" t="n"/>
      <c r="Y192" s="319" t="n"/>
      <c r="Z192" s="319" t="n"/>
    </row>
    <row r="193">
      <c r="A193" s="319" t="n"/>
      <c r="B193" s="319" t="n"/>
      <c r="C193" s="319" t="n"/>
      <c r="D193" s="319" t="n"/>
      <c r="E193" s="319" t="n"/>
      <c r="F193" s="319" t="n"/>
      <c r="G193" s="319" t="n"/>
      <c r="H193" s="319" t="n"/>
      <c r="I193" s="319" t="n"/>
      <c r="J193" s="319" t="n"/>
      <c r="K193" s="319" t="n"/>
      <c r="L193" s="319" t="n"/>
      <c r="M193" s="319" t="n"/>
      <c r="N193" s="319" t="n"/>
      <c r="O193" s="319" t="n"/>
      <c r="P193" s="319" t="n"/>
      <c r="Q193" s="319" t="n"/>
      <c r="R193" s="319" t="n"/>
      <c r="S193" s="319" t="n"/>
      <c r="T193" s="319" t="n"/>
      <c r="U193" s="319" t="n"/>
      <c r="V193" s="319" t="n"/>
      <c r="W193" s="319" t="n"/>
      <c r="X193" s="319" t="n"/>
      <c r="Y193" s="319" t="n"/>
      <c r="Z193" s="319" t="n"/>
    </row>
    <row r="194">
      <c r="A194" s="319" t="n"/>
      <c r="B194" s="319" t="n"/>
      <c r="C194" s="319" t="n"/>
      <c r="D194" s="319" t="n"/>
      <c r="E194" s="319" t="n"/>
      <c r="F194" s="319" t="n"/>
      <c r="G194" s="319" t="n"/>
      <c r="H194" s="319" t="n"/>
      <c r="I194" s="319" t="n"/>
      <c r="J194" s="319" t="n"/>
      <c r="K194" s="319" t="n"/>
      <c r="L194" s="319" t="n"/>
      <c r="M194" s="319" t="n"/>
      <c r="N194" s="319" t="n"/>
      <c r="O194" s="319" t="n"/>
      <c r="P194" s="319" t="n"/>
      <c r="Q194" s="319" t="n"/>
      <c r="R194" s="319" t="n"/>
      <c r="S194" s="319" t="n"/>
      <c r="T194" s="319" t="n"/>
      <c r="U194" s="319" t="n"/>
      <c r="V194" s="319" t="n"/>
      <c r="W194" s="319" t="n"/>
      <c r="X194" s="319" t="n"/>
      <c r="Y194" s="319" t="n"/>
      <c r="Z194" s="319" t="n"/>
    </row>
    <row r="195">
      <c r="A195" s="319" t="n"/>
      <c r="B195" s="319" t="n"/>
      <c r="C195" s="319" t="n"/>
      <c r="D195" s="319" t="n"/>
      <c r="E195" s="319" t="n"/>
      <c r="F195" s="319" t="n"/>
      <c r="G195" s="319" t="n"/>
      <c r="H195" s="319" t="n"/>
      <c r="I195" s="319" t="n"/>
      <c r="J195" s="319" t="n"/>
      <c r="K195" s="319" t="n"/>
      <c r="L195" s="319" t="n"/>
      <c r="M195" s="319" t="n"/>
      <c r="N195" s="319" t="n"/>
      <c r="O195" s="319" t="n"/>
      <c r="P195" s="319" t="n"/>
      <c r="Q195" s="319" t="n"/>
      <c r="R195" s="319" t="n"/>
      <c r="S195" s="319" t="n"/>
      <c r="T195" s="319" t="n"/>
      <c r="U195" s="319" t="n"/>
      <c r="V195" s="319" t="n"/>
      <c r="W195" s="319" t="n"/>
      <c r="X195" s="319" t="n"/>
      <c r="Y195" s="319" t="n"/>
      <c r="Z195" s="319" t="n"/>
    </row>
    <row r="196">
      <c r="A196" s="319" t="n"/>
      <c r="B196" s="319" t="n"/>
      <c r="C196" s="319" t="n"/>
      <c r="D196" s="319" t="n"/>
      <c r="E196" s="319" t="n"/>
      <c r="F196" s="319" t="n"/>
      <c r="G196" s="319" t="n"/>
      <c r="H196" s="319" t="n"/>
      <c r="I196" s="319" t="n"/>
      <c r="J196" s="319" t="n"/>
      <c r="K196" s="319" t="n"/>
      <c r="L196" s="319" t="n"/>
      <c r="M196" s="319" t="n"/>
      <c r="N196" s="319" t="n"/>
      <c r="O196" s="319" t="n"/>
      <c r="P196" s="319" t="n"/>
      <c r="Q196" s="319" t="n"/>
      <c r="R196" s="319" t="n"/>
      <c r="S196" s="319" t="n"/>
      <c r="T196" s="319" t="n"/>
      <c r="U196" s="319" t="n"/>
      <c r="V196" s="319" t="n"/>
      <c r="W196" s="319" t="n"/>
      <c r="X196" s="319" t="n"/>
      <c r="Y196" s="319" t="n"/>
      <c r="Z196" s="319" t="n"/>
    </row>
    <row r="197">
      <c r="A197" s="319" t="n"/>
      <c r="B197" s="319" t="n"/>
      <c r="C197" s="319" t="n"/>
      <c r="D197" s="319" t="n"/>
      <c r="E197" s="319" t="n"/>
      <c r="F197" s="319" t="n"/>
      <c r="G197" s="319" t="n"/>
      <c r="H197" s="319" t="n"/>
      <c r="I197" s="319" t="n"/>
      <c r="J197" s="319" t="n"/>
      <c r="K197" s="319" t="n"/>
      <c r="L197" s="319" t="n"/>
      <c r="M197" s="319" t="n"/>
      <c r="N197" s="319" t="n"/>
      <c r="O197" s="319" t="n"/>
      <c r="P197" s="319" t="n"/>
      <c r="Q197" s="319" t="n"/>
      <c r="R197" s="319" t="n"/>
      <c r="S197" s="319" t="n"/>
      <c r="T197" s="319" t="n"/>
      <c r="U197" s="319" t="n"/>
      <c r="V197" s="319" t="n"/>
      <c r="W197" s="319" t="n"/>
      <c r="X197" s="319" t="n"/>
      <c r="Y197" s="319" t="n"/>
      <c r="Z197" s="319" t="n"/>
    </row>
    <row r="198">
      <c r="A198" s="319" t="n"/>
      <c r="B198" s="319" t="n"/>
      <c r="C198" s="319" t="n"/>
      <c r="D198" s="319" t="n"/>
      <c r="E198" s="319" t="n"/>
      <c r="F198" s="319" t="n"/>
      <c r="G198" s="319" t="n"/>
      <c r="H198" s="319" t="n"/>
      <c r="I198" s="319" t="n"/>
      <c r="J198" s="319" t="n"/>
      <c r="K198" s="319" t="n"/>
      <c r="L198" s="319" t="n"/>
      <c r="M198" s="319" t="n"/>
      <c r="N198" s="319" t="n"/>
      <c r="O198" s="319" t="n"/>
      <c r="P198" s="319" t="n"/>
      <c r="Q198" s="319" t="n"/>
      <c r="R198" s="319" t="n"/>
      <c r="S198" s="319" t="n"/>
      <c r="T198" s="319" t="n"/>
      <c r="U198" s="319" t="n"/>
      <c r="V198" s="319" t="n"/>
      <c r="W198" s="319" t="n"/>
      <c r="X198" s="319" t="n"/>
      <c r="Y198" s="319" t="n"/>
      <c r="Z198" s="319" t="n"/>
    </row>
    <row r="199">
      <c r="A199" s="319" t="n"/>
      <c r="B199" s="319" t="n"/>
      <c r="C199" s="319" t="n"/>
      <c r="D199" s="319" t="n"/>
      <c r="E199" s="319" t="n"/>
      <c r="F199" s="319" t="n"/>
      <c r="G199" s="319" t="n"/>
      <c r="H199" s="319" t="n"/>
      <c r="I199" s="319" t="n"/>
      <c r="J199" s="319" t="n"/>
      <c r="K199" s="319" t="n"/>
      <c r="L199" s="319" t="n"/>
      <c r="M199" s="319" t="n"/>
      <c r="N199" s="319" t="n"/>
      <c r="O199" s="319" t="n"/>
      <c r="P199" s="319" t="n"/>
      <c r="Q199" s="319" t="n"/>
      <c r="R199" s="319" t="n"/>
      <c r="S199" s="319" t="n"/>
      <c r="T199" s="319" t="n"/>
      <c r="U199" s="319" t="n"/>
      <c r="V199" s="319" t="n"/>
      <c r="W199" s="319" t="n"/>
      <c r="X199" s="319" t="n"/>
      <c r="Y199" s="319" t="n"/>
      <c r="Z199" s="319" t="n"/>
    </row>
    <row r="200">
      <c r="A200" s="319" t="n"/>
      <c r="B200" s="319" t="n"/>
      <c r="C200" s="319" t="n"/>
      <c r="D200" s="319" t="n"/>
      <c r="E200" s="319" t="n"/>
      <c r="F200" s="319" t="n"/>
      <c r="G200" s="319" t="n"/>
      <c r="H200" s="319" t="n"/>
      <c r="I200" s="319" t="n"/>
      <c r="J200" s="319" t="n"/>
      <c r="K200" s="319" t="n"/>
      <c r="L200" s="319" t="n"/>
      <c r="M200" s="319" t="n"/>
      <c r="N200" s="319" t="n"/>
      <c r="O200" s="319" t="n"/>
      <c r="P200" s="319" t="n"/>
      <c r="Q200" s="319" t="n"/>
      <c r="R200" s="319" t="n"/>
      <c r="S200" s="319" t="n"/>
      <c r="T200" s="319" t="n"/>
      <c r="U200" s="319" t="n"/>
      <c r="V200" s="319" t="n"/>
      <c r="W200" s="319" t="n"/>
      <c r="X200" s="319" t="n"/>
      <c r="Y200" s="319" t="n"/>
      <c r="Z200" s="319" t="n"/>
    </row>
    <row r="201">
      <c r="A201" s="319" t="n"/>
      <c r="B201" s="319" t="n"/>
      <c r="C201" s="319" t="n"/>
      <c r="D201" s="319" t="n"/>
      <c r="E201" s="319" t="n"/>
      <c r="F201" s="319" t="n"/>
      <c r="G201" s="319" t="n"/>
      <c r="H201" s="319" t="n"/>
      <c r="I201" s="319" t="n"/>
      <c r="J201" s="319" t="n"/>
      <c r="K201" s="319" t="n"/>
      <c r="L201" s="319" t="n"/>
      <c r="M201" s="319" t="n"/>
      <c r="N201" s="319" t="n"/>
      <c r="O201" s="319" t="n"/>
      <c r="P201" s="319" t="n"/>
      <c r="Q201" s="319" t="n"/>
      <c r="R201" s="319" t="n"/>
      <c r="S201" s="319" t="n"/>
      <c r="T201" s="319" t="n"/>
      <c r="U201" s="319" t="n"/>
      <c r="V201" s="319" t="n"/>
      <c r="W201" s="319" t="n"/>
      <c r="X201" s="319" t="n"/>
      <c r="Y201" s="319" t="n"/>
      <c r="Z201" s="319" t="n"/>
    </row>
    <row r="202">
      <c r="A202" s="319" t="n"/>
      <c r="B202" s="319" t="n"/>
      <c r="C202" s="319" t="n"/>
      <c r="D202" s="319" t="n"/>
      <c r="E202" s="319" t="n"/>
      <c r="F202" s="319" t="n"/>
      <c r="G202" s="319" t="n"/>
      <c r="H202" s="319" t="n"/>
      <c r="I202" s="319" t="n"/>
      <c r="J202" s="319" t="n"/>
      <c r="K202" s="319" t="n"/>
      <c r="L202" s="319" t="n"/>
      <c r="M202" s="319" t="n"/>
      <c r="N202" s="319" t="n"/>
      <c r="O202" s="319" t="n"/>
      <c r="P202" s="319" t="n"/>
      <c r="Q202" s="319" t="n"/>
      <c r="R202" s="319" t="n"/>
      <c r="S202" s="319" t="n"/>
      <c r="T202" s="319" t="n"/>
      <c r="U202" s="319" t="n"/>
      <c r="V202" s="319" t="n"/>
      <c r="W202" s="319" t="n"/>
      <c r="X202" s="319" t="n"/>
      <c r="Y202" s="319" t="n"/>
      <c r="Z202" s="319" t="n"/>
    </row>
    <row r="203">
      <c r="A203" s="319" t="n"/>
      <c r="B203" s="319" t="n"/>
      <c r="C203" s="319" t="n"/>
      <c r="D203" s="319" t="n"/>
      <c r="E203" s="319" t="n"/>
      <c r="F203" s="319" t="n"/>
      <c r="G203" s="319" t="n"/>
      <c r="H203" s="319" t="n"/>
      <c r="I203" s="319" t="n"/>
      <c r="J203" s="319" t="n"/>
      <c r="K203" s="319" t="n"/>
      <c r="L203" s="319" t="n"/>
      <c r="M203" s="319" t="n"/>
      <c r="N203" s="319" t="n"/>
      <c r="O203" s="319" t="n"/>
      <c r="P203" s="319" t="n"/>
      <c r="Q203" s="319" t="n"/>
      <c r="R203" s="319" t="n"/>
      <c r="S203" s="319" t="n"/>
      <c r="T203" s="319" t="n"/>
      <c r="U203" s="319" t="n"/>
      <c r="V203" s="319" t="n"/>
      <c r="W203" s="319" t="n"/>
      <c r="X203" s="319" t="n"/>
      <c r="Y203" s="319" t="n"/>
      <c r="Z203" s="319" t="n"/>
    </row>
    <row r="204">
      <c r="A204" s="319" t="n"/>
      <c r="B204" s="319" t="n"/>
      <c r="C204" s="319" t="n"/>
      <c r="D204" s="319" t="n"/>
      <c r="E204" s="319" t="n"/>
      <c r="F204" s="319" t="n"/>
      <c r="G204" s="319" t="n"/>
      <c r="H204" s="319" t="n"/>
      <c r="I204" s="319" t="n"/>
      <c r="J204" s="319" t="n"/>
      <c r="K204" s="319" t="n"/>
      <c r="L204" s="319" t="n"/>
      <c r="M204" s="319" t="n"/>
      <c r="N204" s="319" t="n"/>
      <c r="O204" s="319" t="n"/>
      <c r="P204" s="319" t="n"/>
      <c r="Q204" s="319" t="n"/>
      <c r="R204" s="319" t="n"/>
      <c r="S204" s="319" t="n"/>
      <c r="T204" s="319" t="n"/>
      <c r="U204" s="319" t="n"/>
      <c r="V204" s="319" t="n"/>
      <c r="W204" s="319" t="n"/>
      <c r="X204" s="319" t="n"/>
      <c r="Y204" s="319" t="n"/>
      <c r="Z204" s="319" t="n"/>
    </row>
    <row r="205">
      <c r="A205" s="319" t="n"/>
      <c r="B205" s="319" t="n"/>
      <c r="C205" s="319" t="n"/>
      <c r="D205" s="319" t="n"/>
      <c r="E205" s="319" t="n"/>
      <c r="F205" s="319" t="n"/>
      <c r="G205" s="319" t="n"/>
      <c r="H205" s="319" t="n"/>
      <c r="I205" s="319" t="n"/>
      <c r="J205" s="319" t="n"/>
      <c r="K205" s="319" t="n"/>
      <c r="L205" s="319" t="n"/>
      <c r="M205" s="319" t="n"/>
      <c r="N205" s="319" t="n"/>
      <c r="O205" s="319" t="n"/>
      <c r="P205" s="319" t="n"/>
      <c r="Q205" s="319" t="n"/>
      <c r="R205" s="319" t="n"/>
      <c r="S205" s="319" t="n"/>
      <c r="T205" s="319" t="n"/>
      <c r="U205" s="319" t="n"/>
      <c r="V205" s="319" t="n"/>
      <c r="W205" s="319" t="n"/>
      <c r="X205" s="319" t="n"/>
      <c r="Y205" s="319" t="n"/>
      <c r="Z205" s="319" t="n"/>
    </row>
    <row r="206">
      <c r="A206" s="319" t="n"/>
      <c r="B206" s="319" t="n"/>
      <c r="C206" s="319" t="n"/>
      <c r="D206" s="319" t="n"/>
      <c r="E206" s="319" t="n"/>
      <c r="F206" s="319" t="n"/>
      <c r="G206" s="319" t="n"/>
      <c r="H206" s="319" t="n"/>
      <c r="I206" s="319" t="n"/>
      <c r="J206" s="319" t="n"/>
      <c r="K206" s="319" t="n"/>
      <c r="L206" s="319" t="n"/>
      <c r="M206" s="319" t="n"/>
      <c r="N206" s="319" t="n"/>
      <c r="O206" s="319" t="n"/>
      <c r="P206" s="319" t="n"/>
      <c r="Q206" s="319" t="n"/>
      <c r="R206" s="319" t="n"/>
      <c r="S206" s="319" t="n"/>
      <c r="T206" s="319" t="n"/>
      <c r="U206" s="319" t="n"/>
      <c r="V206" s="319" t="n"/>
      <c r="W206" s="319" t="n"/>
      <c r="X206" s="319" t="n"/>
      <c r="Y206" s="319" t="n"/>
      <c r="Z206" s="319" t="n"/>
    </row>
    <row r="207">
      <c r="A207" s="319" t="n"/>
      <c r="B207" s="319" t="n"/>
      <c r="C207" s="319" t="n"/>
      <c r="D207" s="319" t="n"/>
      <c r="E207" s="319" t="n"/>
      <c r="F207" s="319" t="n"/>
      <c r="G207" s="319" t="n"/>
      <c r="H207" s="319" t="n"/>
      <c r="I207" s="319" t="n"/>
      <c r="J207" s="319" t="n"/>
      <c r="K207" s="319" t="n"/>
      <c r="L207" s="319" t="n"/>
      <c r="M207" s="319" t="n"/>
      <c r="N207" s="319" t="n"/>
      <c r="O207" s="319" t="n"/>
      <c r="P207" s="319" t="n"/>
      <c r="Q207" s="319" t="n"/>
      <c r="R207" s="319" t="n"/>
      <c r="S207" s="319" t="n"/>
      <c r="T207" s="319" t="n"/>
      <c r="U207" s="319" t="n"/>
      <c r="V207" s="319" t="n"/>
      <c r="W207" s="319" t="n"/>
      <c r="X207" s="319" t="n"/>
      <c r="Y207" s="319" t="n"/>
      <c r="Z207" s="319" t="n"/>
    </row>
    <row r="208">
      <c r="A208" s="319" t="n"/>
      <c r="B208" s="319" t="n"/>
      <c r="C208" s="319" t="n"/>
      <c r="D208" s="319" t="n"/>
      <c r="E208" s="319" t="n"/>
      <c r="F208" s="319" t="n"/>
      <c r="G208" s="319" t="n"/>
      <c r="H208" s="319" t="n"/>
      <c r="I208" s="319" t="n"/>
      <c r="J208" s="319" t="n"/>
      <c r="K208" s="319" t="n"/>
      <c r="L208" s="319" t="n"/>
      <c r="M208" s="319" t="n"/>
      <c r="N208" s="319" t="n"/>
      <c r="O208" s="319" t="n"/>
      <c r="P208" s="319" t="n"/>
      <c r="Q208" s="319" t="n"/>
      <c r="R208" s="319" t="n"/>
      <c r="S208" s="319" t="n"/>
      <c r="T208" s="319" t="n"/>
      <c r="U208" s="319" t="n"/>
      <c r="V208" s="319" t="n"/>
      <c r="W208" s="319" t="n"/>
      <c r="X208" s="319" t="n"/>
      <c r="Y208" s="319" t="n"/>
      <c r="Z208" s="319" t="n"/>
    </row>
    <row r="209">
      <c r="A209" s="319" t="n"/>
      <c r="B209" s="319" t="n"/>
      <c r="C209" s="319" t="n"/>
      <c r="D209" s="319" t="n"/>
      <c r="E209" s="319" t="n"/>
      <c r="F209" s="319" t="n"/>
      <c r="G209" s="319" t="n"/>
      <c r="H209" s="319" t="n"/>
      <c r="I209" s="319" t="n"/>
      <c r="J209" s="319" t="n"/>
      <c r="K209" s="319" t="n"/>
      <c r="L209" s="319" t="n"/>
      <c r="M209" s="319" t="n"/>
      <c r="N209" s="319" t="n"/>
      <c r="O209" s="319" t="n"/>
      <c r="P209" s="319" t="n"/>
      <c r="Q209" s="319" t="n"/>
      <c r="R209" s="319" t="n"/>
      <c r="S209" s="319" t="n"/>
      <c r="T209" s="319" t="n"/>
      <c r="U209" s="319" t="n"/>
      <c r="V209" s="319" t="n"/>
      <c r="W209" s="319" t="n"/>
      <c r="X209" s="319" t="n"/>
      <c r="Y209" s="319" t="n"/>
      <c r="Z209" s="319" t="n"/>
    </row>
    <row r="210">
      <c r="A210" s="319" t="n"/>
      <c r="B210" s="319" t="n"/>
      <c r="C210" s="319" t="n"/>
      <c r="D210" s="319" t="n"/>
      <c r="E210" s="319" t="n"/>
      <c r="F210" s="319" t="n"/>
      <c r="G210" s="319" t="n"/>
      <c r="H210" s="319" t="n"/>
      <c r="I210" s="319" t="n"/>
      <c r="J210" s="319" t="n"/>
      <c r="K210" s="319" t="n"/>
      <c r="L210" s="319" t="n"/>
      <c r="M210" s="319" t="n"/>
      <c r="N210" s="319" t="n"/>
      <c r="O210" s="319" t="n"/>
      <c r="P210" s="319" t="n"/>
      <c r="Q210" s="319" t="n"/>
      <c r="R210" s="319" t="n"/>
      <c r="S210" s="319" t="n"/>
      <c r="T210" s="319" t="n"/>
      <c r="U210" s="319" t="n"/>
      <c r="V210" s="319" t="n"/>
      <c r="W210" s="319" t="n"/>
      <c r="X210" s="319" t="n"/>
      <c r="Y210" s="319" t="n"/>
      <c r="Z210" s="319" t="n"/>
    </row>
    <row r="211">
      <c r="A211" s="319" t="n"/>
      <c r="B211" s="319" t="n"/>
      <c r="C211" s="319" t="n"/>
      <c r="D211" s="319" t="n"/>
      <c r="E211" s="319" t="n"/>
      <c r="F211" s="319" t="n"/>
      <c r="G211" s="319" t="n"/>
      <c r="H211" s="319" t="n"/>
      <c r="I211" s="319" t="n"/>
      <c r="J211" s="319" t="n"/>
      <c r="K211" s="319" t="n"/>
      <c r="L211" s="319" t="n"/>
      <c r="M211" s="319" t="n"/>
      <c r="N211" s="319" t="n"/>
      <c r="O211" s="319" t="n"/>
      <c r="P211" s="319" t="n"/>
      <c r="Q211" s="319" t="n"/>
      <c r="R211" s="319" t="n"/>
      <c r="S211" s="319" t="n"/>
      <c r="T211" s="319" t="n"/>
      <c r="U211" s="319" t="n"/>
      <c r="V211" s="319" t="n"/>
      <c r="W211" s="319" t="n"/>
      <c r="X211" s="319" t="n"/>
      <c r="Y211" s="319" t="n"/>
      <c r="Z211" s="319" t="n"/>
    </row>
    <row r="212">
      <c r="A212" s="319" t="n"/>
      <c r="B212" s="319" t="n"/>
      <c r="C212" s="319" t="n"/>
      <c r="D212" s="319" t="n"/>
      <c r="E212" s="319" t="n"/>
      <c r="F212" s="319" t="n"/>
      <c r="G212" s="319" t="n"/>
      <c r="H212" s="319" t="n"/>
      <c r="I212" s="319" t="n"/>
      <c r="J212" s="319" t="n"/>
      <c r="K212" s="319" t="n"/>
      <c r="L212" s="319" t="n"/>
      <c r="M212" s="319" t="n"/>
      <c r="N212" s="319" t="n"/>
      <c r="O212" s="319" t="n"/>
      <c r="P212" s="319" t="n"/>
      <c r="Q212" s="319" t="n"/>
      <c r="R212" s="319" t="n"/>
      <c r="S212" s="319" t="n"/>
      <c r="T212" s="319" t="n"/>
      <c r="U212" s="319" t="n"/>
      <c r="V212" s="319" t="n"/>
      <c r="W212" s="319" t="n"/>
      <c r="X212" s="319" t="n"/>
      <c r="Y212" s="319" t="n"/>
      <c r="Z212" s="319" t="n"/>
    </row>
    <row r="213">
      <c r="A213" s="319" t="n"/>
      <c r="B213" s="319" t="n"/>
      <c r="C213" s="319" t="n"/>
      <c r="D213" s="319" t="n"/>
      <c r="E213" s="319" t="n"/>
      <c r="F213" s="319" t="n"/>
      <c r="G213" s="319" t="n"/>
      <c r="H213" s="319" t="n"/>
      <c r="I213" s="319" t="n"/>
      <c r="J213" s="319" t="n"/>
      <c r="K213" s="319" t="n"/>
      <c r="L213" s="319" t="n"/>
      <c r="M213" s="319" t="n"/>
      <c r="N213" s="319" t="n"/>
      <c r="O213" s="319" t="n"/>
      <c r="P213" s="319" t="n"/>
      <c r="Q213" s="319" t="n"/>
      <c r="R213" s="319" t="n"/>
      <c r="S213" s="319" t="n"/>
      <c r="T213" s="319" t="n"/>
      <c r="U213" s="319" t="n"/>
      <c r="V213" s="319" t="n"/>
      <c r="W213" s="319" t="n"/>
      <c r="X213" s="319" t="n"/>
      <c r="Y213" s="319" t="n"/>
      <c r="Z213" s="319" t="n"/>
    </row>
    <row r="214">
      <c r="A214" s="319" t="n"/>
      <c r="B214" s="319" t="n"/>
      <c r="C214" s="319" t="n"/>
      <c r="D214" s="319" t="n"/>
      <c r="E214" s="319" t="n"/>
      <c r="F214" s="319" t="n"/>
      <c r="G214" s="319" t="n"/>
      <c r="H214" s="319" t="n"/>
      <c r="I214" s="319" t="n"/>
      <c r="J214" s="319" t="n"/>
      <c r="K214" s="319" t="n"/>
      <c r="L214" s="319" t="n"/>
      <c r="M214" s="319" t="n"/>
      <c r="N214" s="319" t="n"/>
      <c r="O214" s="319" t="n"/>
      <c r="P214" s="319" t="n"/>
      <c r="Q214" s="319" t="n"/>
      <c r="R214" s="319" t="n"/>
      <c r="S214" s="319" t="n"/>
      <c r="T214" s="319" t="n"/>
      <c r="U214" s="319" t="n"/>
      <c r="V214" s="319" t="n"/>
      <c r="W214" s="319" t="n"/>
      <c r="X214" s="319" t="n"/>
      <c r="Y214" s="319" t="n"/>
      <c r="Z214" s="319" t="n"/>
    </row>
    <row r="215">
      <c r="A215" s="319" t="n"/>
      <c r="B215" s="319" t="n"/>
      <c r="C215" s="319" t="n"/>
      <c r="D215" s="319" t="n"/>
      <c r="E215" s="319" t="n"/>
      <c r="F215" s="319" t="n"/>
      <c r="G215" s="319" t="n"/>
      <c r="H215" s="319" t="n"/>
      <c r="I215" s="319" t="n"/>
      <c r="J215" s="319" t="n"/>
      <c r="K215" s="319" t="n"/>
      <c r="L215" s="319" t="n"/>
      <c r="M215" s="319" t="n"/>
      <c r="N215" s="319" t="n"/>
      <c r="O215" s="319" t="n"/>
      <c r="P215" s="319" t="n"/>
      <c r="Q215" s="319" t="n"/>
      <c r="R215" s="319" t="n"/>
      <c r="S215" s="319" t="n"/>
      <c r="T215" s="319" t="n"/>
      <c r="U215" s="319" t="n"/>
      <c r="V215" s="319" t="n"/>
      <c r="W215" s="319" t="n"/>
      <c r="X215" s="319" t="n"/>
      <c r="Y215" s="319" t="n"/>
      <c r="Z215" s="319" t="n"/>
    </row>
    <row r="216">
      <c r="A216" s="319" t="n"/>
      <c r="B216" s="319" t="n"/>
      <c r="C216" s="319" t="n"/>
      <c r="D216" s="319" t="n"/>
      <c r="E216" s="319" t="n"/>
      <c r="F216" s="319" t="n"/>
      <c r="G216" s="319" t="n"/>
      <c r="H216" s="319" t="n"/>
      <c r="I216" s="319" t="n"/>
      <c r="J216" s="319" t="n"/>
      <c r="K216" s="319" t="n"/>
      <c r="L216" s="319" t="n"/>
      <c r="M216" s="319" t="n"/>
      <c r="N216" s="319" t="n"/>
      <c r="O216" s="319" t="n"/>
      <c r="P216" s="319" t="n"/>
      <c r="Q216" s="319" t="n"/>
      <c r="R216" s="319" t="n"/>
      <c r="S216" s="319" t="n"/>
      <c r="T216" s="319" t="n"/>
      <c r="U216" s="319" t="n"/>
      <c r="V216" s="319" t="n"/>
      <c r="W216" s="319" t="n"/>
      <c r="X216" s="319" t="n"/>
      <c r="Y216" s="319" t="n"/>
      <c r="Z216" s="319" t="n"/>
    </row>
    <row r="217">
      <c r="A217" s="319" t="n"/>
      <c r="B217" s="319" t="n"/>
      <c r="C217" s="319" t="n"/>
      <c r="D217" s="319" t="n"/>
      <c r="E217" s="319" t="n"/>
      <c r="F217" s="319" t="n"/>
      <c r="G217" s="319" t="n"/>
      <c r="H217" s="319" t="n"/>
      <c r="I217" s="319" t="n"/>
      <c r="J217" s="319" t="n"/>
      <c r="K217" s="319" t="n"/>
      <c r="L217" s="319" t="n"/>
      <c r="M217" s="319" t="n"/>
      <c r="N217" s="319" t="n"/>
      <c r="O217" s="319" t="n"/>
      <c r="P217" s="319" t="n"/>
      <c r="Q217" s="319" t="n"/>
      <c r="R217" s="319" t="n"/>
      <c r="S217" s="319" t="n"/>
      <c r="T217" s="319" t="n"/>
      <c r="U217" s="319" t="n"/>
      <c r="V217" s="319" t="n"/>
      <c r="W217" s="319" t="n"/>
      <c r="X217" s="319" t="n"/>
      <c r="Y217" s="319" t="n"/>
      <c r="Z217" s="319" t="n"/>
    </row>
    <row r="218">
      <c r="A218" s="319" t="n"/>
      <c r="B218" s="319" t="n"/>
      <c r="C218" s="319" t="n"/>
      <c r="D218" s="319" t="n"/>
      <c r="E218" s="319" t="n"/>
      <c r="F218" s="319" t="n"/>
      <c r="G218" s="319" t="n"/>
      <c r="H218" s="319" t="n"/>
      <c r="I218" s="319" t="n"/>
      <c r="J218" s="319" t="n"/>
      <c r="K218" s="319" t="n"/>
      <c r="L218" s="319" t="n"/>
      <c r="M218" s="319" t="n"/>
      <c r="N218" s="319" t="n"/>
      <c r="O218" s="319" t="n"/>
      <c r="P218" s="319" t="n"/>
      <c r="Q218" s="319" t="n"/>
      <c r="R218" s="319" t="n"/>
      <c r="S218" s="319" t="n"/>
      <c r="T218" s="319" t="n"/>
      <c r="U218" s="319" t="n"/>
      <c r="V218" s="319" t="n"/>
      <c r="W218" s="319" t="n"/>
      <c r="X218" s="319" t="n"/>
      <c r="Y218" s="319" t="n"/>
      <c r="Z218" s="319" t="n"/>
    </row>
    <row r="219">
      <c r="A219" s="319" t="n"/>
      <c r="B219" s="319" t="n"/>
      <c r="C219" s="319" t="n"/>
      <c r="D219" s="319" t="n"/>
      <c r="E219" s="319" t="n"/>
      <c r="F219" s="319" t="n"/>
      <c r="G219" s="319" t="n"/>
      <c r="H219" s="319" t="n"/>
      <c r="I219" s="319" t="n"/>
      <c r="J219" s="319" t="n"/>
      <c r="K219" s="319" t="n"/>
      <c r="L219" s="319" t="n"/>
      <c r="M219" s="319" t="n"/>
      <c r="N219" s="319" t="n"/>
      <c r="O219" s="319" t="n"/>
      <c r="P219" s="319" t="n"/>
      <c r="Q219" s="319" t="n"/>
      <c r="R219" s="319" t="n"/>
      <c r="S219" s="319" t="n"/>
      <c r="T219" s="319" t="n"/>
      <c r="U219" s="319" t="n"/>
      <c r="V219" s="319" t="n"/>
      <c r="W219" s="319" t="n"/>
      <c r="X219" s="319" t="n"/>
      <c r="Y219" s="319" t="n"/>
      <c r="Z219" s="319" t="n"/>
    </row>
    <row r="220">
      <c r="A220" s="319" t="n"/>
      <c r="B220" s="319" t="n"/>
      <c r="C220" s="319" t="n"/>
      <c r="D220" s="319" t="n"/>
      <c r="E220" s="319" t="n"/>
      <c r="F220" s="319" t="n"/>
      <c r="G220" s="319" t="n"/>
      <c r="H220" s="319" t="n"/>
      <c r="I220" s="319" t="n"/>
      <c r="J220" s="319" t="n"/>
      <c r="K220" s="319" t="n"/>
      <c r="L220" s="319" t="n"/>
      <c r="M220" s="319" t="n"/>
      <c r="N220" s="319" t="n"/>
      <c r="O220" s="319" t="n"/>
      <c r="P220" s="319" t="n"/>
      <c r="Q220" s="319" t="n"/>
      <c r="R220" s="319" t="n"/>
      <c r="S220" s="319" t="n"/>
      <c r="T220" s="319" t="n"/>
      <c r="U220" s="319" t="n"/>
      <c r="V220" s="319" t="n"/>
      <c r="W220" s="319" t="n"/>
      <c r="X220" s="319" t="n"/>
      <c r="Y220" s="319" t="n"/>
      <c r="Z220" s="319" t="n"/>
    </row>
    <row r="221">
      <c r="A221" s="319" t="n"/>
      <c r="B221" s="319" t="n"/>
      <c r="C221" s="319" t="n"/>
      <c r="D221" s="319" t="n"/>
      <c r="E221" s="319" t="n"/>
      <c r="F221" s="319" t="n"/>
      <c r="G221" s="319" t="n"/>
      <c r="H221" s="319" t="n"/>
      <c r="I221" s="319" t="n"/>
      <c r="J221" s="319" t="n"/>
      <c r="K221" s="319" t="n"/>
      <c r="L221" s="319" t="n"/>
      <c r="M221" s="319" t="n"/>
      <c r="N221" s="319" t="n"/>
      <c r="O221" s="319" t="n"/>
      <c r="P221" s="319" t="n"/>
      <c r="Q221" s="319" t="n"/>
      <c r="R221" s="319" t="n"/>
      <c r="S221" s="319" t="n"/>
      <c r="T221" s="319" t="n"/>
      <c r="U221" s="319" t="n"/>
      <c r="V221" s="319" t="n"/>
      <c r="W221" s="319" t="n"/>
      <c r="X221" s="319" t="n"/>
      <c r="Y221" s="319" t="n"/>
      <c r="Z221" s="319" t="n"/>
    </row>
    <row r="222">
      <c r="A222" s="319" t="n"/>
      <c r="B222" s="319" t="n"/>
      <c r="C222" s="319" t="n"/>
      <c r="D222" s="319" t="n"/>
      <c r="E222" s="319" t="n"/>
      <c r="F222" s="319" t="n"/>
      <c r="G222" s="319" t="n"/>
      <c r="H222" s="319" t="n"/>
      <c r="I222" s="319" t="n"/>
      <c r="J222" s="319" t="n"/>
      <c r="K222" s="319" t="n"/>
      <c r="L222" s="319" t="n"/>
      <c r="M222" s="319" t="n"/>
      <c r="N222" s="319" t="n"/>
      <c r="O222" s="319" t="n"/>
      <c r="P222" s="319" t="n"/>
      <c r="Q222" s="319" t="n"/>
      <c r="R222" s="319" t="n"/>
      <c r="S222" s="319" t="n"/>
      <c r="T222" s="319" t="n"/>
      <c r="U222" s="319" t="n"/>
      <c r="V222" s="319" t="n"/>
      <c r="W222" s="319" t="n"/>
      <c r="X222" s="319" t="n"/>
      <c r="Y222" s="319" t="n"/>
      <c r="Z222" s="319" t="n"/>
    </row>
    <row r="223">
      <c r="A223" s="319" t="n"/>
      <c r="B223" s="319" t="n"/>
      <c r="C223" s="319" t="n"/>
      <c r="D223" s="319" t="n"/>
      <c r="E223" s="319" t="n"/>
      <c r="F223" s="319" t="n"/>
      <c r="G223" s="319" t="n"/>
      <c r="H223" s="319" t="n"/>
      <c r="I223" s="319" t="n"/>
      <c r="J223" s="319" t="n"/>
      <c r="K223" s="319" t="n"/>
      <c r="L223" s="319" t="n"/>
      <c r="M223" s="319" t="n"/>
      <c r="N223" s="319" t="n"/>
      <c r="O223" s="319" t="n"/>
      <c r="P223" s="319" t="n"/>
      <c r="Q223" s="319" t="n"/>
      <c r="R223" s="319" t="n"/>
      <c r="S223" s="319" t="n"/>
      <c r="T223" s="319" t="n"/>
      <c r="U223" s="319" t="n"/>
      <c r="V223" s="319" t="n"/>
      <c r="W223" s="319" t="n"/>
      <c r="X223" s="319" t="n"/>
      <c r="Y223" s="319" t="n"/>
      <c r="Z223" s="319" t="n"/>
    </row>
    <row r="224">
      <c r="A224" s="319" t="n"/>
      <c r="B224" s="319" t="n"/>
      <c r="C224" s="319" t="n"/>
      <c r="D224" s="319" t="n"/>
      <c r="E224" s="319" t="n"/>
      <c r="F224" s="319" t="n"/>
      <c r="G224" s="319" t="n"/>
      <c r="H224" s="319" t="n"/>
      <c r="I224" s="319" t="n"/>
      <c r="J224" s="319" t="n"/>
      <c r="K224" s="319" t="n"/>
      <c r="L224" s="319" t="n"/>
      <c r="M224" s="319" t="n"/>
      <c r="N224" s="319" t="n"/>
      <c r="O224" s="319" t="n"/>
      <c r="P224" s="319" t="n"/>
      <c r="Q224" s="319" t="n"/>
      <c r="R224" s="319" t="n"/>
      <c r="S224" s="319" t="n"/>
      <c r="T224" s="319" t="n"/>
      <c r="U224" s="319" t="n"/>
      <c r="V224" s="319" t="n"/>
      <c r="W224" s="319" t="n"/>
      <c r="X224" s="319" t="n"/>
      <c r="Y224" s="319" t="n"/>
      <c r="Z224" s="319" t="n"/>
    </row>
    <row r="225">
      <c r="A225" s="319" t="n"/>
      <c r="B225" s="319" t="n"/>
      <c r="C225" s="319" t="n"/>
      <c r="D225" s="319" t="n"/>
      <c r="E225" s="319" t="n"/>
      <c r="F225" s="319" t="n"/>
      <c r="G225" s="319" t="n"/>
      <c r="H225" s="319" t="n"/>
      <c r="I225" s="319" t="n"/>
      <c r="J225" s="319" t="n"/>
      <c r="K225" s="319" t="n"/>
      <c r="L225" s="319" t="n"/>
      <c r="M225" s="319" t="n"/>
      <c r="N225" s="319" t="n"/>
      <c r="O225" s="319" t="n"/>
      <c r="P225" s="319" t="n"/>
      <c r="Q225" s="319" t="n"/>
      <c r="R225" s="319" t="n"/>
      <c r="S225" s="319" t="n"/>
      <c r="T225" s="319" t="n"/>
      <c r="U225" s="319" t="n"/>
      <c r="V225" s="319" t="n"/>
      <c r="W225" s="319" t="n"/>
      <c r="X225" s="319" t="n"/>
      <c r="Y225" s="319" t="n"/>
      <c r="Z225" s="319" t="n"/>
    </row>
    <row r="226">
      <c r="A226" s="319" t="n"/>
      <c r="B226" s="319" t="n"/>
      <c r="C226" s="319" t="n"/>
      <c r="D226" s="319" t="n"/>
      <c r="E226" s="319" t="n"/>
      <c r="F226" s="319" t="n"/>
      <c r="G226" s="319" t="n"/>
      <c r="H226" s="319" t="n"/>
      <c r="I226" s="319" t="n"/>
      <c r="J226" s="319" t="n"/>
      <c r="K226" s="319" t="n"/>
      <c r="L226" s="319" t="n"/>
      <c r="M226" s="319" t="n"/>
      <c r="N226" s="319" t="n"/>
      <c r="O226" s="319" t="n"/>
      <c r="P226" s="319" t="n"/>
      <c r="Q226" s="319" t="n"/>
      <c r="R226" s="319" t="n"/>
      <c r="S226" s="319" t="n"/>
      <c r="T226" s="319" t="n"/>
      <c r="U226" s="319" t="n"/>
      <c r="V226" s="319" t="n"/>
      <c r="W226" s="319" t="n"/>
      <c r="X226" s="319" t="n"/>
      <c r="Y226" s="319" t="n"/>
      <c r="Z226" s="319" t="n"/>
    </row>
    <row r="227">
      <c r="A227" s="319" t="n"/>
      <c r="B227" s="319" t="n"/>
      <c r="C227" s="319" t="n"/>
      <c r="D227" s="319" t="n"/>
      <c r="E227" s="319" t="n"/>
      <c r="F227" s="319" t="n"/>
      <c r="G227" s="319" t="n"/>
      <c r="H227" s="319" t="n"/>
      <c r="I227" s="319" t="n"/>
      <c r="J227" s="319" t="n"/>
      <c r="K227" s="319" t="n"/>
      <c r="L227" s="319" t="n"/>
      <c r="M227" s="319" t="n"/>
      <c r="N227" s="319" t="n"/>
      <c r="O227" s="319" t="n"/>
      <c r="P227" s="319" t="n"/>
      <c r="Q227" s="319" t="n"/>
      <c r="R227" s="319" t="n"/>
      <c r="S227" s="319" t="n"/>
      <c r="T227" s="319" t="n"/>
      <c r="U227" s="319" t="n"/>
      <c r="V227" s="319" t="n"/>
      <c r="W227" s="319" t="n"/>
      <c r="X227" s="319" t="n"/>
      <c r="Y227" s="319" t="n"/>
      <c r="Z227" s="319" t="n"/>
    </row>
    <row r="228">
      <c r="A228" s="319" t="n"/>
      <c r="B228" s="319" t="n"/>
      <c r="C228" s="319" t="n"/>
      <c r="D228" s="319" t="n"/>
      <c r="E228" s="319" t="n"/>
      <c r="F228" s="319" t="n"/>
      <c r="G228" s="319" t="n"/>
      <c r="H228" s="319" t="n"/>
      <c r="I228" s="319" t="n"/>
      <c r="J228" s="319" t="n"/>
      <c r="K228" s="319" t="n"/>
      <c r="L228" s="319" t="n"/>
      <c r="M228" s="319" t="n"/>
      <c r="N228" s="319" t="n"/>
      <c r="O228" s="319" t="n"/>
      <c r="P228" s="319" t="n"/>
      <c r="Q228" s="319" t="n"/>
      <c r="R228" s="319" t="n"/>
      <c r="S228" s="319" t="n"/>
      <c r="T228" s="319" t="n"/>
      <c r="U228" s="319" t="n"/>
      <c r="V228" s="319" t="n"/>
      <c r="W228" s="319" t="n"/>
      <c r="X228" s="319" t="n"/>
      <c r="Y228" s="319" t="n"/>
      <c r="Z228" s="319" t="n"/>
    </row>
    <row r="229">
      <c r="A229" s="319" t="n"/>
      <c r="B229" s="319" t="n"/>
      <c r="C229" s="319" t="n"/>
      <c r="D229" s="319" t="n"/>
      <c r="E229" s="319" t="n"/>
      <c r="F229" s="319" t="n"/>
      <c r="G229" s="319" t="n"/>
      <c r="H229" s="319" t="n"/>
      <c r="I229" s="319" t="n"/>
      <c r="J229" s="319" t="n"/>
      <c r="K229" s="319" t="n"/>
      <c r="L229" s="319" t="n"/>
      <c r="M229" s="319" t="n"/>
      <c r="N229" s="319" t="n"/>
      <c r="O229" s="319" t="n"/>
      <c r="P229" s="319" t="n"/>
      <c r="Q229" s="319" t="n"/>
      <c r="R229" s="319" t="n"/>
      <c r="S229" s="319" t="n"/>
      <c r="T229" s="319" t="n"/>
      <c r="U229" s="319" t="n"/>
      <c r="V229" s="319" t="n"/>
      <c r="W229" s="319" t="n"/>
      <c r="X229" s="319" t="n"/>
      <c r="Y229" s="319" t="n"/>
      <c r="Z229" s="319" t="n"/>
    </row>
    <row r="230">
      <c r="A230" s="319" t="n"/>
      <c r="B230" s="319" t="n"/>
      <c r="C230" s="319" t="n"/>
      <c r="D230" s="319" t="n"/>
      <c r="E230" s="319" t="n"/>
      <c r="F230" s="319" t="n"/>
      <c r="G230" s="319" t="n"/>
      <c r="H230" s="319" t="n"/>
      <c r="I230" s="319" t="n"/>
      <c r="J230" s="319" t="n"/>
      <c r="K230" s="319" t="n"/>
      <c r="L230" s="319" t="n"/>
      <c r="M230" s="319" t="n"/>
      <c r="N230" s="319" t="n"/>
      <c r="O230" s="319" t="n"/>
      <c r="P230" s="319" t="n"/>
      <c r="Q230" s="319" t="n"/>
      <c r="R230" s="319" t="n"/>
      <c r="S230" s="319" t="n"/>
      <c r="T230" s="319" t="n"/>
      <c r="U230" s="319" t="n"/>
      <c r="V230" s="319" t="n"/>
      <c r="W230" s="319" t="n"/>
      <c r="X230" s="319" t="n"/>
      <c r="Y230" s="319" t="n"/>
      <c r="Z230" s="319" t="n"/>
    </row>
    <row r="231">
      <c r="A231" s="319" t="n"/>
      <c r="B231" s="319" t="n"/>
      <c r="C231" s="319" t="n"/>
      <c r="D231" s="319" t="n"/>
      <c r="E231" s="319" t="n"/>
      <c r="F231" s="319" t="n"/>
      <c r="G231" s="319" t="n"/>
      <c r="H231" s="319" t="n"/>
      <c r="I231" s="319" t="n"/>
      <c r="J231" s="319" t="n"/>
      <c r="K231" s="319" t="n"/>
      <c r="L231" s="319" t="n"/>
      <c r="M231" s="319" t="n"/>
      <c r="N231" s="319" t="n"/>
      <c r="O231" s="319" t="n"/>
      <c r="P231" s="319" t="n"/>
      <c r="Q231" s="319" t="n"/>
      <c r="R231" s="319" t="n"/>
      <c r="S231" s="319" t="n"/>
      <c r="T231" s="319" t="n"/>
      <c r="U231" s="319" t="n"/>
      <c r="V231" s="319" t="n"/>
      <c r="W231" s="319" t="n"/>
      <c r="X231" s="319" t="n"/>
      <c r="Y231" s="319" t="n"/>
      <c r="Z231" s="319" t="n"/>
    </row>
    <row r="232">
      <c r="A232" s="319" t="n"/>
      <c r="B232" s="319" t="n"/>
      <c r="C232" s="319" t="n"/>
      <c r="D232" s="319" t="n"/>
      <c r="E232" s="319" t="n"/>
      <c r="F232" s="319" t="n"/>
      <c r="G232" s="319" t="n"/>
      <c r="H232" s="319" t="n"/>
      <c r="I232" s="319" t="n"/>
      <c r="J232" s="319" t="n"/>
      <c r="K232" s="319" t="n"/>
      <c r="L232" s="319" t="n"/>
      <c r="M232" s="319" t="n"/>
      <c r="N232" s="319" t="n"/>
      <c r="O232" s="319" t="n"/>
      <c r="P232" s="319" t="n"/>
      <c r="Q232" s="319" t="n"/>
      <c r="R232" s="319" t="n"/>
      <c r="S232" s="319" t="n"/>
      <c r="T232" s="319" t="n"/>
      <c r="U232" s="319" t="n"/>
      <c r="V232" s="319" t="n"/>
      <c r="W232" s="319" t="n"/>
      <c r="X232" s="319" t="n"/>
      <c r="Y232" s="319" t="n"/>
      <c r="Z232" s="319" t="n"/>
    </row>
    <row r="233">
      <c r="A233" s="319" t="n"/>
      <c r="B233" s="319" t="n"/>
      <c r="C233" s="319" t="n"/>
      <c r="D233" s="319" t="n"/>
      <c r="E233" s="319" t="n"/>
      <c r="F233" s="319" t="n"/>
      <c r="G233" s="319" t="n"/>
      <c r="H233" s="319" t="n"/>
      <c r="I233" s="319" t="n"/>
      <c r="J233" s="319" t="n"/>
      <c r="K233" s="319" t="n"/>
      <c r="L233" s="319" t="n"/>
      <c r="M233" s="319" t="n"/>
      <c r="N233" s="319" t="n"/>
      <c r="O233" s="319" t="n"/>
      <c r="P233" s="319" t="n"/>
      <c r="Q233" s="319" t="n"/>
      <c r="R233" s="319" t="n"/>
      <c r="S233" s="319" t="n"/>
      <c r="T233" s="319" t="n"/>
      <c r="U233" s="319" t="n"/>
      <c r="V233" s="319" t="n"/>
      <c r="W233" s="319" t="n"/>
      <c r="X233" s="319" t="n"/>
      <c r="Y233" s="319" t="n"/>
      <c r="Z233" s="319" t="n"/>
    </row>
    <row r="234">
      <c r="A234" s="319" t="n"/>
      <c r="B234" s="319" t="n"/>
      <c r="C234" s="319" t="n"/>
      <c r="D234" s="319" t="n"/>
      <c r="E234" s="319" t="n"/>
      <c r="F234" s="319" t="n"/>
      <c r="G234" s="319" t="n"/>
      <c r="H234" s="319" t="n"/>
      <c r="I234" s="319" t="n"/>
      <c r="J234" s="319" t="n"/>
      <c r="K234" s="319" t="n"/>
      <c r="L234" s="319" t="n"/>
      <c r="M234" s="319" t="n"/>
      <c r="N234" s="319" t="n"/>
      <c r="O234" s="319" t="n"/>
      <c r="P234" s="319" t="n"/>
      <c r="Q234" s="319" t="n"/>
      <c r="R234" s="319" t="n"/>
      <c r="S234" s="319" t="n"/>
      <c r="T234" s="319" t="n"/>
      <c r="U234" s="319" t="n"/>
      <c r="V234" s="319" t="n"/>
      <c r="W234" s="319" t="n"/>
      <c r="X234" s="319" t="n"/>
      <c r="Y234" s="319" t="n"/>
      <c r="Z234" s="319" t="n"/>
    </row>
    <row r="235">
      <c r="A235" s="319" t="n"/>
      <c r="B235" s="319" t="n"/>
      <c r="C235" s="319" t="n"/>
      <c r="D235" s="319" t="n"/>
      <c r="E235" s="319" t="n"/>
      <c r="F235" s="319" t="n"/>
      <c r="G235" s="319" t="n"/>
      <c r="H235" s="319" t="n"/>
      <c r="I235" s="319" t="n"/>
      <c r="J235" s="319" t="n"/>
      <c r="K235" s="319" t="n"/>
      <c r="L235" s="319" t="n"/>
      <c r="M235" s="319" t="n"/>
      <c r="N235" s="319" t="n"/>
      <c r="O235" s="319" t="n"/>
      <c r="P235" s="319" t="n"/>
      <c r="Q235" s="319" t="n"/>
      <c r="R235" s="319" t="n"/>
      <c r="S235" s="319" t="n"/>
      <c r="T235" s="319" t="n"/>
      <c r="U235" s="319" t="n"/>
      <c r="V235" s="319" t="n"/>
      <c r="W235" s="319" t="n"/>
      <c r="X235" s="319" t="n"/>
      <c r="Y235" s="319" t="n"/>
      <c r="Z235" s="319" t="n"/>
    </row>
    <row r="236">
      <c r="A236" s="319" t="n"/>
      <c r="B236" s="319" t="n"/>
      <c r="C236" s="319" t="n"/>
      <c r="D236" s="319" t="n"/>
      <c r="E236" s="319" t="n"/>
      <c r="F236" s="319" t="n"/>
      <c r="G236" s="319" t="n"/>
      <c r="H236" s="319" t="n"/>
      <c r="I236" s="319" t="n"/>
      <c r="J236" s="319" t="n"/>
      <c r="K236" s="319" t="n"/>
      <c r="L236" s="319" t="n"/>
      <c r="M236" s="319" t="n"/>
      <c r="N236" s="319" t="n"/>
      <c r="O236" s="319" t="n"/>
      <c r="P236" s="319" t="n"/>
      <c r="Q236" s="319" t="n"/>
      <c r="R236" s="319" t="n"/>
      <c r="S236" s="319" t="n"/>
      <c r="T236" s="319" t="n"/>
      <c r="U236" s="319" t="n"/>
      <c r="V236" s="319" t="n"/>
      <c r="W236" s="319" t="n"/>
      <c r="X236" s="319" t="n"/>
      <c r="Y236" s="319" t="n"/>
      <c r="Z236" s="319" t="n"/>
    </row>
    <row r="237">
      <c r="A237" s="319" t="n"/>
      <c r="B237" s="319" t="n"/>
      <c r="C237" s="319" t="n"/>
      <c r="D237" s="319" t="n"/>
      <c r="E237" s="319" t="n"/>
      <c r="F237" s="319" t="n"/>
      <c r="G237" s="319" t="n"/>
      <c r="H237" s="319" t="n"/>
      <c r="I237" s="319" t="n"/>
      <c r="J237" s="319" t="n"/>
      <c r="K237" s="319" t="n"/>
      <c r="L237" s="319" t="n"/>
      <c r="M237" s="319" t="n"/>
      <c r="N237" s="319" t="n"/>
      <c r="O237" s="319" t="n"/>
      <c r="P237" s="319" t="n"/>
      <c r="Q237" s="319" t="n"/>
      <c r="R237" s="319" t="n"/>
      <c r="S237" s="319" t="n"/>
      <c r="T237" s="319" t="n"/>
      <c r="U237" s="319" t="n"/>
      <c r="V237" s="319" t="n"/>
      <c r="W237" s="319" t="n"/>
      <c r="X237" s="319" t="n"/>
      <c r="Y237" s="319" t="n"/>
      <c r="Z237" s="319" t="n"/>
    </row>
    <row r="238">
      <c r="A238" s="319" t="n"/>
      <c r="B238" s="319" t="n"/>
      <c r="C238" s="319" t="n"/>
      <c r="D238" s="319" t="n"/>
      <c r="E238" s="319" t="n"/>
      <c r="F238" s="319" t="n"/>
      <c r="G238" s="319" t="n"/>
      <c r="H238" s="319" t="n"/>
      <c r="I238" s="319" t="n"/>
      <c r="J238" s="319" t="n"/>
      <c r="K238" s="319" t="n"/>
      <c r="L238" s="319" t="n"/>
      <c r="M238" s="319" t="n"/>
      <c r="N238" s="319" t="n"/>
      <c r="O238" s="319" t="n"/>
      <c r="P238" s="319" t="n"/>
      <c r="Q238" s="319" t="n"/>
      <c r="R238" s="319" t="n"/>
      <c r="S238" s="319" t="n"/>
      <c r="T238" s="319" t="n"/>
      <c r="U238" s="319" t="n"/>
      <c r="V238" s="319" t="n"/>
      <c r="W238" s="319" t="n"/>
      <c r="X238" s="319" t="n"/>
      <c r="Y238" s="319" t="n"/>
      <c r="Z238" s="319" t="n"/>
    </row>
    <row r="239">
      <c r="A239" s="319" t="n"/>
      <c r="B239" s="319" t="n"/>
      <c r="C239" s="319" t="n"/>
      <c r="D239" s="319" t="n"/>
      <c r="E239" s="319" t="n"/>
      <c r="F239" s="319" t="n"/>
      <c r="G239" s="319" t="n"/>
      <c r="H239" s="319" t="n"/>
      <c r="I239" s="319" t="n"/>
      <c r="J239" s="319" t="n"/>
      <c r="K239" s="319" t="n"/>
      <c r="L239" s="319" t="n"/>
      <c r="M239" s="319" t="n"/>
      <c r="N239" s="319" t="n"/>
      <c r="O239" s="319" t="n"/>
      <c r="P239" s="319" t="n"/>
      <c r="Q239" s="319" t="n"/>
      <c r="R239" s="319" t="n"/>
      <c r="S239" s="319" t="n"/>
      <c r="T239" s="319" t="n"/>
      <c r="U239" s="319" t="n"/>
      <c r="V239" s="319" t="n"/>
      <c r="W239" s="319" t="n"/>
      <c r="X239" s="319" t="n"/>
      <c r="Y239" s="319" t="n"/>
      <c r="Z239" s="319" t="n"/>
    </row>
    <row r="240">
      <c r="A240" s="319" t="n"/>
      <c r="B240" s="319" t="n"/>
      <c r="C240" s="319" t="n"/>
      <c r="D240" s="319" t="n"/>
      <c r="E240" s="319" t="n"/>
      <c r="F240" s="319" t="n"/>
      <c r="G240" s="319" t="n"/>
      <c r="H240" s="319" t="n"/>
      <c r="I240" s="319" t="n"/>
      <c r="J240" s="319" t="n"/>
      <c r="K240" s="319" t="n"/>
      <c r="L240" s="319" t="n"/>
      <c r="M240" s="319" t="n"/>
      <c r="N240" s="319" t="n"/>
      <c r="O240" s="319" t="n"/>
      <c r="P240" s="319" t="n"/>
      <c r="Q240" s="319" t="n"/>
      <c r="R240" s="319" t="n"/>
      <c r="S240" s="319" t="n"/>
      <c r="T240" s="319" t="n"/>
      <c r="U240" s="319" t="n"/>
      <c r="V240" s="319" t="n"/>
      <c r="W240" s="319" t="n"/>
      <c r="X240" s="319" t="n"/>
      <c r="Y240" s="319" t="n"/>
      <c r="Z240" s="319" t="n"/>
    </row>
    <row r="241">
      <c r="A241" s="319" t="n"/>
      <c r="B241" s="319" t="n"/>
      <c r="C241" s="319" t="n"/>
      <c r="D241" s="319" t="n"/>
      <c r="E241" s="319" t="n"/>
      <c r="F241" s="319" t="n"/>
      <c r="G241" s="319" t="n"/>
      <c r="H241" s="319" t="n"/>
      <c r="I241" s="319" t="n"/>
      <c r="J241" s="319" t="n"/>
      <c r="K241" s="319" t="n"/>
      <c r="L241" s="319" t="n"/>
      <c r="M241" s="319" t="n"/>
      <c r="N241" s="319" t="n"/>
      <c r="O241" s="319" t="n"/>
      <c r="P241" s="319" t="n"/>
      <c r="Q241" s="319" t="n"/>
      <c r="R241" s="319" t="n"/>
      <c r="S241" s="319" t="n"/>
      <c r="T241" s="319" t="n"/>
      <c r="U241" s="319" t="n"/>
      <c r="V241" s="319" t="n"/>
      <c r="W241" s="319" t="n"/>
      <c r="X241" s="319" t="n"/>
      <c r="Y241" s="319" t="n"/>
      <c r="Z241" s="319" t="n"/>
    </row>
    <row r="242">
      <c r="A242" s="319" t="n"/>
      <c r="B242" s="319" t="n"/>
      <c r="C242" s="319" t="n"/>
      <c r="D242" s="319" t="n"/>
      <c r="E242" s="319" t="n"/>
      <c r="F242" s="319" t="n"/>
      <c r="G242" s="319" t="n"/>
      <c r="H242" s="319" t="n"/>
      <c r="I242" s="319" t="n"/>
      <c r="J242" s="319" t="n"/>
      <c r="K242" s="319" t="n"/>
      <c r="L242" s="319" t="n"/>
      <c r="M242" s="319" t="n"/>
      <c r="N242" s="319" t="n"/>
      <c r="O242" s="319" t="n"/>
      <c r="P242" s="319" t="n"/>
      <c r="Q242" s="319" t="n"/>
      <c r="R242" s="319" t="n"/>
      <c r="S242" s="319" t="n"/>
      <c r="T242" s="319" t="n"/>
      <c r="U242" s="319" t="n"/>
      <c r="V242" s="319" t="n"/>
      <c r="W242" s="319" t="n"/>
      <c r="X242" s="319" t="n"/>
      <c r="Y242" s="319" t="n"/>
      <c r="Z242" s="319" t="n"/>
    </row>
    <row r="243">
      <c r="A243" s="319" t="n"/>
      <c r="B243" s="319" t="n"/>
      <c r="C243" s="319" t="n"/>
      <c r="D243" s="319" t="n"/>
      <c r="E243" s="319" t="n"/>
      <c r="F243" s="319" t="n"/>
      <c r="G243" s="319" t="n"/>
      <c r="H243" s="319" t="n"/>
      <c r="I243" s="319" t="n"/>
      <c r="J243" s="319" t="n"/>
      <c r="K243" s="319" t="n"/>
      <c r="L243" s="319" t="n"/>
      <c r="M243" s="319" t="n"/>
      <c r="N243" s="319" t="n"/>
      <c r="O243" s="319" t="n"/>
      <c r="P243" s="319" t="n"/>
      <c r="Q243" s="319" t="n"/>
      <c r="R243" s="319" t="n"/>
      <c r="S243" s="319" t="n"/>
      <c r="T243" s="319" t="n"/>
      <c r="U243" s="319" t="n"/>
      <c r="V243" s="319" t="n"/>
      <c r="W243" s="319" t="n"/>
      <c r="X243" s="319" t="n"/>
      <c r="Y243" s="319" t="n"/>
      <c r="Z243" s="319" t="n"/>
    </row>
    <row r="244">
      <c r="A244" s="319" t="n"/>
      <c r="B244" s="319" t="n"/>
      <c r="C244" s="319" t="n"/>
      <c r="D244" s="319" t="n"/>
      <c r="E244" s="319" t="n"/>
      <c r="F244" s="319" t="n"/>
      <c r="G244" s="319" t="n"/>
      <c r="H244" s="319" t="n"/>
      <c r="I244" s="319" t="n"/>
      <c r="J244" s="319" t="n"/>
      <c r="K244" s="319" t="n"/>
      <c r="L244" s="319" t="n"/>
      <c r="M244" s="319" t="n"/>
      <c r="N244" s="319" t="n"/>
      <c r="O244" s="319" t="n"/>
      <c r="P244" s="319" t="n"/>
      <c r="Q244" s="319" t="n"/>
      <c r="R244" s="319" t="n"/>
      <c r="S244" s="319" t="n"/>
      <c r="T244" s="319" t="n"/>
      <c r="U244" s="319" t="n"/>
      <c r="V244" s="319" t="n"/>
      <c r="W244" s="319" t="n"/>
      <c r="X244" s="319" t="n"/>
      <c r="Y244" s="319" t="n"/>
      <c r="Z244" s="319" t="n"/>
    </row>
    <row r="245">
      <c r="A245" s="319" t="n"/>
      <c r="B245" s="319" t="n"/>
      <c r="C245" s="319" t="n"/>
      <c r="D245" s="319" t="n"/>
      <c r="E245" s="319" t="n"/>
      <c r="F245" s="319" t="n"/>
      <c r="G245" s="319" t="n"/>
      <c r="H245" s="319" t="n"/>
      <c r="I245" s="319" t="n"/>
      <c r="J245" s="319" t="n"/>
      <c r="K245" s="319" t="n"/>
      <c r="L245" s="319" t="n"/>
      <c r="M245" s="319" t="n"/>
      <c r="N245" s="319" t="n"/>
      <c r="O245" s="319" t="n"/>
      <c r="P245" s="319" t="n"/>
      <c r="Q245" s="319" t="n"/>
      <c r="R245" s="319" t="n"/>
      <c r="S245" s="319" t="n"/>
      <c r="T245" s="319" t="n"/>
      <c r="U245" s="319" t="n"/>
      <c r="V245" s="319" t="n"/>
      <c r="W245" s="319" t="n"/>
      <c r="X245" s="319" t="n"/>
      <c r="Y245" s="319" t="n"/>
      <c r="Z245" s="319" t="n"/>
    </row>
    <row r="246">
      <c r="A246" s="319" t="n"/>
      <c r="B246" s="319" t="n"/>
      <c r="C246" s="319" t="n"/>
      <c r="D246" s="319" t="n"/>
      <c r="E246" s="319" t="n"/>
      <c r="F246" s="319" t="n"/>
      <c r="G246" s="319" t="n"/>
      <c r="H246" s="319" t="n"/>
      <c r="I246" s="319" t="n"/>
      <c r="J246" s="319" t="n"/>
      <c r="K246" s="319" t="n"/>
      <c r="L246" s="319" t="n"/>
      <c r="M246" s="319" t="n"/>
      <c r="N246" s="319" t="n"/>
      <c r="O246" s="319" t="n"/>
      <c r="P246" s="319" t="n"/>
      <c r="Q246" s="319" t="n"/>
      <c r="R246" s="319" t="n"/>
      <c r="S246" s="319" t="n"/>
      <c r="T246" s="319" t="n"/>
      <c r="U246" s="319" t="n"/>
      <c r="V246" s="319" t="n"/>
      <c r="W246" s="319" t="n"/>
      <c r="X246" s="319" t="n"/>
      <c r="Y246" s="319" t="n"/>
      <c r="Z246" s="319" t="n"/>
    </row>
    <row r="247">
      <c r="A247" s="319" t="n"/>
      <c r="B247" s="319" t="n"/>
      <c r="C247" s="319" t="n"/>
      <c r="D247" s="319" t="n"/>
      <c r="E247" s="319" t="n"/>
      <c r="F247" s="319" t="n"/>
      <c r="G247" s="319" t="n"/>
      <c r="H247" s="319" t="n"/>
      <c r="I247" s="319" t="n"/>
      <c r="J247" s="319" t="n"/>
      <c r="K247" s="319" t="n"/>
      <c r="L247" s="319" t="n"/>
      <c r="M247" s="319" t="n"/>
      <c r="N247" s="319" t="n"/>
      <c r="O247" s="319" t="n"/>
      <c r="P247" s="319" t="n"/>
      <c r="Q247" s="319" t="n"/>
      <c r="R247" s="319" t="n"/>
      <c r="S247" s="319" t="n"/>
      <c r="T247" s="319" t="n"/>
      <c r="U247" s="319" t="n"/>
      <c r="V247" s="319" t="n"/>
      <c r="W247" s="319" t="n"/>
      <c r="X247" s="319" t="n"/>
      <c r="Y247" s="319" t="n"/>
      <c r="Z247" s="319" t="n"/>
    </row>
    <row r="248">
      <c r="A248" s="319" t="n"/>
      <c r="B248" s="319" t="n"/>
      <c r="C248" s="319" t="n"/>
      <c r="D248" s="319" t="n"/>
      <c r="E248" s="319" t="n"/>
      <c r="F248" s="319" t="n"/>
      <c r="G248" s="319" t="n"/>
      <c r="H248" s="319" t="n"/>
      <c r="I248" s="319" t="n"/>
      <c r="J248" s="319" t="n"/>
      <c r="K248" s="319" t="n"/>
      <c r="L248" s="319" t="n"/>
      <c r="M248" s="319" t="n"/>
      <c r="N248" s="319" t="n"/>
      <c r="O248" s="319" t="n"/>
      <c r="P248" s="319" t="n"/>
      <c r="Q248" s="319" t="n"/>
      <c r="R248" s="319" t="n"/>
      <c r="S248" s="319" t="n"/>
      <c r="T248" s="319" t="n"/>
      <c r="U248" s="319" t="n"/>
      <c r="V248" s="319" t="n"/>
      <c r="W248" s="319" t="n"/>
      <c r="X248" s="319" t="n"/>
      <c r="Y248" s="319" t="n"/>
      <c r="Z248" s="319" t="n"/>
    </row>
    <row r="249">
      <c r="A249" s="319" t="n"/>
      <c r="B249" s="319" t="n"/>
      <c r="C249" s="319" t="n"/>
      <c r="D249" s="319" t="n"/>
      <c r="E249" s="319" t="n"/>
      <c r="F249" s="319" t="n"/>
      <c r="G249" s="319" t="n"/>
      <c r="H249" s="319" t="n"/>
      <c r="I249" s="319" t="n"/>
      <c r="J249" s="319" t="n"/>
      <c r="K249" s="319" t="n"/>
      <c r="L249" s="319" t="n"/>
      <c r="M249" s="319" t="n"/>
      <c r="N249" s="319" t="n"/>
      <c r="O249" s="319" t="n"/>
      <c r="P249" s="319" t="n"/>
      <c r="Q249" s="319" t="n"/>
      <c r="R249" s="319" t="n"/>
      <c r="S249" s="319" t="n"/>
      <c r="T249" s="319" t="n"/>
      <c r="U249" s="319" t="n"/>
      <c r="V249" s="319" t="n"/>
      <c r="W249" s="319" t="n"/>
      <c r="X249" s="319" t="n"/>
      <c r="Y249" s="319" t="n"/>
      <c r="Z249" s="319" t="n"/>
    </row>
    <row r="250">
      <c r="A250" s="319" t="n"/>
      <c r="B250" s="319" t="n"/>
      <c r="C250" s="319" t="n"/>
      <c r="D250" s="319" t="n"/>
      <c r="E250" s="319" t="n"/>
      <c r="F250" s="319" t="n"/>
      <c r="G250" s="319" t="n"/>
      <c r="H250" s="319" t="n"/>
      <c r="I250" s="319" t="n"/>
      <c r="J250" s="319" t="n"/>
      <c r="K250" s="319" t="n"/>
      <c r="L250" s="319" t="n"/>
      <c r="M250" s="319" t="n"/>
      <c r="N250" s="319" t="n"/>
      <c r="O250" s="319" t="n"/>
      <c r="P250" s="319" t="n"/>
      <c r="Q250" s="319" t="n"/>
      <c r="R250" s="319" t="n"/>
      <c r="S250" s="319" t="n"/>
      <c r="T250" s="319" t="n"/>
      <c r="U250" s="319" t="n"/>
      <c r="V250" s="319" t="n"/>
      <c r="W250" s="319" t="n"/>
      <c r="X250" s="319" t="n"/>
      <c r="Y250" s="319" t="n"/>
      <c r="Z250" s="319" t="n"/>
    </row>
    <row r="251">
      <c r="A251" s="319" t="n"/>
      <c r="B251" s="319" t="n"/>
      <c r="C251" s="319" t="n"/>
      <c r="D251" s="319" t="n"/>
      <c r="E251" s="319" t="n"/>
      <c r="F251" s="319" t="n"/>
      <c r="G251" s="319" t="n"/>
      <c r="H251" s="319" t="n"/>
      <c r="I251" s="319" t="n"/>
      <c r="J251" s="319" t="n"/>
      <c r="K251" s="319" t="n"/>
      <c r="L251" s="319" t="n"/>
      <c r="M251" s="319" t="n"/>
      <c r="N251" s="319" t="n"/>
      <c r="O251" s="319" t="n"/>
      <c r="P251" s="319" t="n"/>
      <c r="Q251" s="319" t="n"/>
      <c r="R251" s="319" t="n"/>
      <c r="S251" s="319" t="n"/>
      <c r="T251" s="319" t="n"/>
      <c r="U251" s="319" t="n"/>
      <c r="V251" s="319" t="n"/>
      <c r="W251" s="319" t="n"/>
      <c r="X251" s="319" t="n"/>
      <c r="Y251" s="319" t="n"/>
      <c r="Z251" s="319" t="n"/>
    </row>
    <row r="252">
      <c r="A252" s="319" t="n"/>
      <c r="B252" s="319" t="n"/>
      <c r="C252" s="319" t="n"/>
      <c r="D252" s="319" t="n"/>
      <c r="E252" s="319" t="n"/>
      <c r="F252" s="319" t="n"/>
      <c r="G252" s="319" t="n"/>
      <c r="H252" s="319" t="n"/>
      <c r="I252" s="319" t="n"/>
      <c r="J252" s="319" t="n"/>
      <c r="K252" s="319" t="n"/>
      <c r="L252" s="319" t="n"/>
      <c r="M252" s="319" t="n"/>
      <c r="N252" s="319" t="n"/>
      <c r="O252" s="319" t="n"/>
      <c r="P252" s="319" t="n"/>
      <c r="Q252" s="319" t="n"/>
      <c r="R252" s="319" t="n"/>
      <c r="S252" s="319" t="n"/>
      <c r="T252" s="319" t="n"/>
      <c r="U252" s="319" t="n"/>
      <c r="V252" s="319" t="n"/>
      <c r="W252" s="319" t="n"/>
      <c r="X252" s="319" t="n"/>
      <c r="Y252" s="319" t="n"/>
      <c r="Z252" s="319" t="n"/>
    </row>
    <row r="253">
      <c r="A253" s="319" t="n"/>
      <c r="B253" s="319" t="n"/>
      <c r="C253" s="319" t="n"/>
      <c r="D253" s="319" t="n"/>
      <c r="E253" s="319" t="n"/>
      <c r="F253" s="319" t="n"/>
      <c r="G253" s="319" t="n"/>
      <c r="H253" s="319" t="n"/>
      <c r="I253" s="319" t="n"/>
      <c r="J253" s="319" t="n"/>
      <c r="K253" s="319" t="n"/>
      <c r="L253" s="319" t="n"/>
      <c r="M253" s="319" t="n"/>
      <c r="N253" s="319" t="n"/>
      <c r="O253" s="319" t="n"/>
      <c r="P253" s="319" t="n"/>
      <c r="Q253" s="319" t="n"/>
      <c r="R253" s="319" t="n"/>
      <c r="S253" s="319" t="n"/>
      <c r="T253" s="319" t="n"/>
      <c r="U253" s="319" t="n"/>
      <c r="V253" s="319" t="n"/>
      <c r="W253" s="319" t="n"/>
      <c r="X253" s="319" t="n"/>
      <c r="Y253" s="319" t="n"/>
      <c r="Z253" s="319" t="n"/>
    </row>
    <row r="254">
      <c r="A254" s="319" t="n"/>
      <c r="B254" s="319" t="n"/>
      <c r="C254" s="319" t="n"/>
      <c r="D254" s="319" t="n"/>
      <c r="E254" s="319" t="n"/>
      <c r="F254" s="319" t="n"/>
      <c r="G254" s="319" t="n"/>
      <c r="H254" s="319" t="n"/>
      <c r="I254" s="319" t="n"/>
      <c r="J254" s="319" t="n"/>
      <c r="K254" s="319" t="n"/>
      <c r="L254" s="319" t="n"/>
      <c r="M254" s="319" t="n"/>
      <c r="N254" s="319" t="n"/>
      <c r="O254" s="319" t="n"/>
      <c r="P254" s="319" t="n"/>
      <c r="Q254" s="319" t="n"/>
      <c r="R254" s="319" t="n"/>
      <c r="S254" s="319" t="n"/>
      <c r="T254" s="319" t="n"/>
      <c r="U254" s="319" t="n"/>
      <c r="V254" s="319" t="n"/>
      <c r="W254" s="319" t="n"/>
      <c r="X254" s="319" t="n"/>
      <c r="Y254" s="319" t="n"/>
      <c r="Z254" s="319" t="n"/>
    </row>
    <row r="255">
      <c r="A255" s="319" t="n"/>
      <c r="B255" s="319" t="n"/>
      <c r="C255" s="319" t="n"/>
      <c r="D255" s="319" t="n"/>
      <c r="E255" s="319" t="n"/>
      <c r="F255" s="319" t="n"/>
      <c r="G255" s="319" t="n"/>
      <c r="H255" s="319" t="n"/>
      <c r="I255" s="319" t="n"/>
      <c r="J255" s="319" t="n"/>
      <c r="K255" s="319" t="n"/>
      <c r="L255" s="319" t="n"/>
      <c r="M255" s="319" t="n"/>
      <c r="N255" s="319" t="n"/>
      <c r="O255" s="319" t="n"/>
      <c r="P255" s="319" t="n"/>
      <c r="Q255" s="319" t="n"/>
      <c r="R255" s="319" t="n"/>
      <c r="S255" s="319" t="n"/>
      <c r="T255" s="319" t="n"/>
      <c r="U255" s="319" t="n"/>
      <c r="V255" s="319" t="n"/>
      <c r="W255" s="319" t="n"/>
      <c r="X255" s="319" t="n"/>
      <c r="Y255" s="319" t="n"/>
      <c r="Z255" s="319" t="n"/>
    </row>
    <row r="256">
      <c r="A256" s="319" t="n"/>
      <c r="B256" s="319" t="n"/>
      <c r="C256" s="319" t="n"/>
      <c r="D256" s="319" t="n"/>
      <c r="E256" s="319" t="n"/>
      <c r="F256" s="319" t="n"/>
      <c r="G256" s="319" t="n"/>
      <c r="H256" s="319" t="n"/>
      <c r="I256" s="319" t="n"/>
      <c r="J256" s="319" t="n"/>
      <c r="K256" s="319" t="n"/>
      <c r="L256" s="319" t="n"/>
      <c r="M256" s="319" t="n"/>
      <c r="N256" s="319" t="n"/>
      <c r="O256" s="319" t="n"/>
      <c r="P256" s="319" t="n"/>
      <c r="Q256" s="319" t="n"/>
      <c r="R256" s="319" t="n"/>
      <c r="S256" s="319" t="n"/>
      <c r="T256" s="319" t="n"/>
      <c r="U256" s="319" t="n"/>
      <c r="V256" s="319" t="n"/>
      <c r="W256" s="319" t="n"/>
      <c r="X256" s="319" t="n"/>
      <c r="Y256" s="319" t="n"/>
      <c r="Z256" s="319" t="n"/>
    </row>
    <row r="257">
      <c r="A257" s="319" t="n"/>
      <c r="B257" s="319" t="n"/>
      <c r="C257" s="319" t="n"/>
      <c r="D257" s="319" t="n"/>
      <c r="E257" s="319" t="n"/>
      <c r="F257" s="319" t="n"/>
      <c r="G257" s="319" t="n"/>
      <c r="H257" s="319" t="n"/>
      <c r="I257" s="319" t="n"/>
      <c r="J257" s="319" t="n"/>
      <c r="K257" s="319" t="n"/>
      <c r="L257" s="319" t="n"/>
      <c r="M257" s="319" t="n"/>
      <c r="N257" s="319" t="n"/>
      <c r="O257" s="319" t="n"/>
      <c r="P257" s="319" t="n"/>
      <c r="Q257" s="319" t="n"/>
      <c r="R257" s="319" t="n"/>
      <c r="S257" s="319" t="n"/>
      <c r="T257" s="319" t="n"/>
      <c r="U257" s="319" t="n"/>
      <c r="V257" s="319" t="n"/>
      <c r="W257" s="319" t="n"/>
      <c r="X257" s="319" t="n"/>
      <c r="Y257" s="319" t="n"/>
      <c r="Z257" s="319" t="n"/>
    </row>
    <row r="258">
      <c r="A258" s="319" t="n"/>
      <c r="B258" s="319" t="n"/>
      <c r="C258" s="319" t="n"/>
      <c r="D258" s="319" t="n"/>
      <c r="E258" s="319" t="n"/>
      <c r="F258" s="319" t="n"/>
      <c r="G258" s="319" t="n"/>
      <c r="H258" s="319" t="n"/>
      <c r="I258" s="319" t="n"/>
      <c r="J258" s="319" t="n"/>
      <c r="K258" s="319" t="n"/>
      <c r="L258" s="319" t="n"/>
      <c r="M258" s="319" t="n"/>
      <c r="N258" s="319" t="n"/>
      <c r="O258" s="319" t="n"/>
      <c r="P258" s="319" t="n"/>
      <c r="Q258" s="319" t="n"/>
      <c r="R258" s="319" t="n"/>
      <c r="S258" s="319" t="n"/>
      <c r="T258" s="319" t="n"/>
      <c r="U258" s="319" t="n"/>
      <c r="V258" s="319" t="n"/>
      <c r="W258" s="319" t="n"/>
      <c r="X258" s="319" t="n"/>
      <c r="Y258" s="319" t="n"/>
      <c r="Z258" s="319" t="n"/>
    </row>
    <row r="259">
      <c r="A259" s="319" t="n"/>
      <c r="B259" s="319" t="n"/>
      <c r="C259" s="319" t="n"/>
      <c r="D259" s="319" t="n"/>
      <c r="E259" s="319" t="n"/>
      <c r="F259" s="319" t="n"/>
      <c r="G259" s="319" t="n"/>
      <c r="H259" s="319" t="n"/>
      <c r="I259" s="319" t="n"/>
      <c r="J259" s="319" t="n"/>
      <c r="K259" s="319" t="n"/>
      <c r="L259" s="319" t="n"/>
      <c r="M259" s="319" t="n"/>
      <c r="N259" s="319" t="n"/>
      <c r="O259" s="319" t="n"/>
      <c r="P259" s="319" t="n"/>
      <c r="Q259" s="319" t="n"/>
      <c r="R259" s="319" t="n"/>
      <c r="S259" s="319" t="n"/>
      <c r="T259" s="319" t="n"/>
      <c r="U259" s="319" t="n"/>
      <c r="V259" s="319" t="n"/>
      <c r="W259" s="319" t="n"/>
      <c r="X259" s="319" t="n"/>
      <c r="Y259" s="319" t="n"/>
      <c r="Z259" s="319" t="n"/>
    </row>
    <row r="260">
      <c r="A260" s="319" t="n"/>
      <c r="B260" s="319" t="n"/>
      <c r="C260" s="319" t="n"/>
      <c r="D260" s="319" t="n"/>
      <c r="E260" s="319" t="n"/>
      <c r="F260" s="319" t="n"/>
      <c r="G260" s="319" t="n"/>
      <c r="H260" s="319" t="n"/>
      <c r="I260" s="319" t="n"/>
      <c r="J260" s="319" t="n"/>
      <c r="K260" s="319" t="n"/>
      <c r="L260" s="319" t="n"/>
      <c r="M260" s="319" t="n"/>
      <c r="N260" s="319" t="n"/>
      <c r="O260" s="319" t="n"/>
      <c r="P260" s="319" t="n"/>
      <c r="Q260" s="319" t="n"/>
      <c r="R260" s="319" t="n"/>
      <c r="S260" s="319" t="n"/>
      <c r="T260" s="319" t="n"/>
      <c r="U260" s="319" t="n"/>
      <c r="V260" s="319" t="n"/>
      <c r="W260" s="319" t="n"/>
      <c r="X260" s="319" t="n"/>
      <c r="Y260" s="319" t="n"/>
      <c r="Z260" s="319" t="n"/>
    </row>
    <row r="261">
      <c r="A261" s="319" t="n"/>
      <c r="B261" s="319" t="n"/>
      <c r="C261" s="319" t="n"/>
      <c r="D261" s="319" t="n"/>
      <c r="E261" s="319" t="n"/>
      <c r="F261" s="319" t="n"/>
      <c r="G261" s="319" t="n"/>
      <c r="H261" s="319" t="n"/>
      <c r="I261" s="319" t="n"/>
      <c r="J261" s="319" t="n"/>
      <c r="K261" s="319" t="n"/>
      <c r="L261" s="319" t="n"/>
      <c r="M261" s="319" t="n"/>
      <c r="N261" s="319" t="n"/>
      <c r="O261" s="319" t="n"/>
      <c r="P261" s="319" t="n"/>
      <c r="Q261" s="319" t="n"/>
      <c r="R261" s="319" t="n"/>
      <c r="S261" s="319" t="n"/>
      <c r="T261" s="319" t="n"/>
      <c r="U261" s="319" t="n"/>
      <c r="V261" s="319" t="n"/>
      <c r="W261" s="319" t="n"/>
      <c r="X261" s="319" t="n"/>
      <c r="Y261" s="319" t="n"/>
      <c r="Z261" s="319" t="n"/>
    </row>
    <row r="262">
      <c r="A262" s="319" t="n"/>
      <c r="B262" s="319" t="n"/>
      <c r="C262" s="319" t="n"/>
      <c r="D262" s="319" t="n"/>
      <c r="E262" s="319" t="n"/>
      <c r="F262" s="319" t="n"/>
      <c r="G262" s="319" t="n"/>
      <c r="H262" s="319" t="n"/>
      <c r="I262" s="319" t="n"/>
      <c r="J262" s="319" t="n"/>
      <c r="K262" s="319" t="n"/>
      <c r="L262" s="319" t="n"/>
      <c r="M262" s="319" t="n"/>
      <c r="N262" s="319" t="n"/>
      <c r="O262" s="319" t="n"/>
      <c r="P262" s="319" t="n"/>
      <c r="Q262" s="319" t="n"/>
      <c r="R262" s="319" t="n"/>
      <c r="S262" s="319" t="n"/>
      <c r="T262" s="319" t="n"/>
      <c r="U262" s="319" t="n"/>
      <c r="V262" s="319" t="n"/>
      <c r="W262" s="319" t="n"/>
      <c r="X262" s="319" t="n"/>
      <c r="Y262" s="319" t="n"/>
      <c r="Z262" s="319" t="n"/>
    </row>
    <row r="263">
      <c r="A263" s="319" t="n"/>
      <c r="B263" s="319" t="n"/>
      <c r="C263" s="319" t="n"/>
      <c r="D263" s="319" t="n"/>
      <c r="E263" s="319" t="n"/>
      <c r="F263" s="319" t="n"/>
      <c r="G263" s="319" t="n"/>
      <c r="H263" s="319" t="n"/>
      <c r="I263" s="319" t="n"/>
      <c r="J263" s="319" t="n"/>
      <c r="K263" s="319" t="n"/>
      <c r="L263" s="319" t="n"/>
      <c r="M263" s="319" t="n"/>
      <c r="N263" s="319" t="n"/>
      <c r="O263" s="319" t="n"/>
      <c r="P263" s="319" t="n"/>
      <c r="Q263" s="319" t="n"/>
      <c r="R263" s="319" t="n"/>
      <c r="S263" s="319" t="n"/>
      <c r="T263" s="319" t="n"/>
      <c r="U263" s="319" t="n"/>
      <c r="V263" s="319" t="n"/>
      <c r="W263" s="319" t="n"/>
      <c r="X263" s="319" t="n"/>
      <c r="Y263" s="319" t="n"/>
      <c r="Z263" s="319" t="n"/>
    </row>
    <row r="264">
      <c r="A264" s="319" t="n"/>
      <c r="B264" s="319" t="n"/>
      <c r="C264" s="319" t="n"/>
      <c r="D264" s="319" t="n"/>
      <c r="E264" s="319" t="n"/>
      <c r="F264" s="319" t="n"/>
      <c r="G264" s="319" t="n"/>
      <c r="H264" s="319" t="n"/>
      <c r="I264" s="319" t="n"/>
      <c r="J264" s="319" t="n"/>
      <c r="K264" s="319" t="n"/>
      <c r="L264" s="319" t="n"/>
      <c r="M264" s="319" t="n"/>
      <c r="N264" s="319" t="n"/>
      <c r="O264" s="319" t="n"/>
      <c r="P264" s="319" t="n"/>
      <c r="Q264" s="319" t="n"/>
      <c r="R264" s="319" t="n"/>
      <c r="S264" s="319" t="n"/>
      <c r="T264" s="319" t="n"/>
      <c r="U264" s="319" t="n"/>
      <c r="V264" s="319" t="n"/>
      <c r="W264" s="319" t="n"/>
      <c r="X264" s="319" t="n"/>
      <c r="Y264" s="319" t="n"/>
      <c r="Z264" s="319" t="n"/>
    </row>
    <row r="265">
      <c r="A265" s="319" t="n"/>
      <c r="B265" s="319" t="n"/>
      <c r="C265" s="319" t="n"/>
      <c r="D265" s="319" t="n"/>
      <c r="E265" s="319" t="n"/>
      <c r="F265" s="319" t="n"/>
      <c r="G265" s="319" t="n"/>
      <c r="H265" s="319" t="n"/>
      <c r="I265" s="319" t="n"/>
      <c r="J265" s="319" t="n"/>
      <c r="K265" s="319" t="n"/>
      <c r="L265" s="319" t="n"/>
      <c r="M265" s="319" t="n"/>
      <c r="N265" s="319" t="n"/>
      <c r="O265" s="319" t="n"/>
      <c r="P265" s="319" t="n"/>
      <c r="Q265" s="319" t="n"/>
      <c r="R265" s="319" t="n"/>
      <c r="S265" s="319" t="n"/>
      <c r="T265" s="319" t="n"/>
      <c r="U265" s="319" t="n"/>
      <c r="V265" s="319" t="n"/>
      <c r="W265" s="319" t="n"/>
      <c r="X265" s="319" t="n"/>
      <c r="Y265" s="319" t="n"/>
      <c r="Z265" s="319" t="n"/>
    </row>
    <row r="266">
      <c r="A266" s="319" t="n"/>
      <c r="B266" s="319" t="n"/>
      <c r="C266" s="319" t="n"/>
      <c r="D266" s="319" t="n"/>
      <c r="E266" s="319" t="n"/>
      <c r="F266" s="319" t="n"/>
      <c r="G266" s="319" t="n"/>
      <c r="H266" s="319" t="n"/>
      <c r="I266" s="319" t="n"/>
      <c r="J266" s="319" t="n"/>
      <c r="K266" s="319" t="n"/>
      <c r="L266" s="319" t="n"/>
      <c r="M266" s="319" t="n"/>
      <c r="N266" s="319" t="n"/>
      <c r="O266" s="319" t="n"/>
      <c r="P266" s="319" t="n"/>
      <c r="Q266" s="319" t="n"/>
      <c r="R266" s="319" t="n"/>
      <c r="S266" s="319" t="n"/>
      <c r="T266" s="319" t="n"/>
      <c r="U266" s="319" t="n"/>
      <c r="V266" s="319" t="n"/>
      <c r="W266" s="319" t="n"/>
      <c r="X266" s="319" t="n"/>
      <c r="Y266" s="319" t="n"/>
      <c r="Z266" s="319" t="n"/>
    </row>
    <row r="267">
      <c r="A267" s="319" t="n"/>
      <c r="B267" s="319" t="n"/>
      <c r="C267" s="319" t="n"/>
      <c r="D267" s="319" t="n"/>
      <c r="E267" s="319" t="n"/>
      <c r="F267" s="319" t="n"/>
      <c r="G267" s="319" t="n"/>
      <c r="H267" s="319" t="n"/>
      <c r="I267" s="319" t="n"/>
      <c r="J267" s="319" t="n"/>
      <c r="K267" s="319" t="n"/>
      <c r="L267" s="319" t="n"/>
      <c r="M267" s="319" t="n"/>
      <c r="N267" s="319" t="n"/>
      <c r="O267" s="319" t="n"/>
      <c r="P267" s="319" t="n"/>
      <c r="Q267" s="319" t="n"/>
      <c r="R267" s="319" t="n"/>
      <c r="S267" s="319" t="n"/>
      <c r="T267" s="319" t="n"/>
      <c r="U267" s="319" t="n"/>
      <c r="V267" s="319" t="n"/>
      <c r="W267" s="319" t="n"/>
      <c r="X267" s="319" t="n"/>
      <c r="Y267" s="319" t="n"/>
      <c r="Z267" s="319" t="n"/>
    </row>
    <row r="268">
      <c r="A268" s="319" t="n"/>
      <c r="B268" s="319" t="n"/>
      <c r="C268" s="319" t="n"/>
      <c r="D268" s="319" t="n"/>
      <c r="E268" s="319" t="n"/>
      <c r="F268" s="319" t="n"/>
      <c r="G268" s="319" t="n"/>
      <c r="H268" s="319" t="n"/>
      <c r="I268" s="319" t="n"/>
      <c r="J268" s="319" t="n"/>
      <c r="K268" s="319" t="n"/>
      <c r="L268" s="319" t="n"/>
      <c r="M268" s="319" t="n"/>
      <c r="N268" s="319" t="n"/>
      <c r="O268" s="319" t="n"/>
      <c r="P268" s="319" t="n"/>
      <c r="Q268" s="319" t="n"/>
      <c r="R268" s="319" t="n"/>
      <c r="S268" s="319" t="n"/>
      <c r="T268" s="319" t="n"/>
      <c r="U268" s="319" t="n"/>
      <c r="V268" s="319" t="n"/>
      <c r="W268" s="319" t="n"/>
      <c r="X268" s="319" t="n"/>
      <c r="Y268" s="319" t="n"/>
      <c r="Z268" s="319" t="n"/>
    </row>
    <row r="269">
      <c r="A269" s="319" t="n"/>
      <c r="B269" s="319" t="n"/>
      <c r="C269" s="319" t="n"/>
      <c r="D269" s="319" t="n"/>
      <c r="E269" s="319" t="n"/>
      <c r="F269" s="319" t="n"/>
      <c r="G269" s="319" t="n"/>
      <c r="H269" s="319" t="n"/>
      <c r="I269" s="319" t="n"/>
      <c r="J269" s="319" t="n"/>
      <c r="K269" s="319" t="n"/>
      <c r="L269" s="319" t="n"/>
      <c r="M269" s="319" t="n"/>
      <c r="N269" s="319" t="n"/>
      <c r="O269" s="319" t="n"/>
      <c r="P269" s="319" t="n"/>
      <c r="Q269" s="319" t="n"/>
      <c r="R269" s="319" t="n"/>
      <c r="S269" s="319" t="n"/>
      <c r="T269" s="319" t="n"/>
      <c r="U269" s="319" t="n"/>
      <c r="V269" s="319" t="n"/>
      <c r="W269" s="319" t="n"/>
      <c r="X269" s="319" t="n"/>
      <c r="Y269" s="319" t="n"/>
      <c r="Z269" s="319" t="n"/>
    </row>
    <row r="270">
      <c r="A270" s="319" t="n"/>
      <c r="B270" s="319" t="n"/>
      <c r="C270" s="319" t="n"/>
      <c r="D270" s="319" t="n"/>
      <c r="E270" s="319" t="n"/>
      <c r="F270" s="319" t="n"/>
      <c r="G270" s="319" t="n"/>
      <c r="H270" s="319" t="n"/>
      <c r="I270" s="319" t="n"/>
      <c r="J270" s="319" t="n"/>
      <c r="K270" s="319" t="n"/>
      <c r="L270" s="319" t="n"/>
      <c r="M270" s="319" t="n"/>
      <c r="N270" s="319" t="n"/>
      <c r="O270" s="319" t="n"/>
      <c r="P270" s="319" t="n"/>
      <c r="Q270" s="319" t="n"/>
      <c r="R270" s="319" t="n"/>
      <c r="S270" s="319" t="n"/>
      <c r="T270" s="319" t="n"/>
      <c r="U270" s="319" t="n"/>
      <c r="V270" s="319" t="n"/>
      <c r="W270" s="319" t="n"/>
      <c r="X270" s="319" t="n"/>
      <c r="Y270" s="319" t="n"/>
      <c r="Z270" s="319" t="n"/>
    </row>
    <row r="271">
      <c r="A271" s="319" t="n"/>
      <c r="B271" s="319" t="n"/>
      <c r="C271" s="319" t="n"/>
      <c r="D271" s="319" t="n"/>
      <c r="E271" s="319" t="n"/>
      <c r="F271" s="319" t="n"/>
      <c r="G271" s="319" t="n"/>
      <c r="H271" s="319" t="n"/>
      <c r="I271" s="319" t="n"/>
      <c r="J271" s="319" t="n"/>
      <c r="K271" s="319" t="n"/>
      <c r="L271" s="319" t="n"/>
      <c r="M271" s="319" t="n"/>
      <c r="N271" s="319" t="n"/>
      <c r="O271" s="319" t="n"/>
      <c r="P271" s="319" t="n"/>
      <c r="Q271" s="319" t="n"/>
      <c r="R271" s="319" t="n"/>
      <c r="S271" s="319" t="n"/>
      <c r="T271" s="319" t="n"/>
      <c r="U271" s="319" t="n"/>
      <c r="V271" s="319" t="n"/>
      <c r="W271" s="319" t="n"/>
      <c r="X271" s="319" t="n"/>
      <c r="Y271" s="319" t="n"/>
      <c r="Z271" s="319" t="n"/>
    </row>
    <row r="272">
      <c r="A272" s="319" t="n"/>
      <c r="B272" s="319" t="n"/>
      <c r="C272" s="319" t="n"/>
      <c r="D272" s="319" t="n"/>
      <c r="E272" s="319" t="n"/>
      <c r="F272" s="319" t="n"/>
      <c r="G272" s="319" t="n"/>
      <c r="H272" s="319" t="n"/>
      <c r="I272" s="319" t="n"/>
      <c r="J272" s="319" t="n"/>
      <c r="K272" s="319" t="n"/>
      <c r="L272" s="319" t="n"/>
      <c r="M272" s="319" t="n"/>
      <c r="N272" s="319" t="n"/>
      <c r="O272" s="319" t="n"/>
      <c r="P272" s="319" t="n"/>
      <c r="Q272" s="319" t="n"/>
      <c r="R272" s="319" t="n"/>
      <c r="S272" s="319" t="n"/>
      <c r="T272" s="319" t="n"/>
      <c r="U272" s="319" t="n"/>
      <c r="V272" s="319" t="n"/>
      <c r="W272" s="319" t="n"/>
      <c r="X272" s="319" t="n"/>
      <c r="Y272" s="319" t="n"/>
      <c r="Z272" s="319" t="n"/>
    </row>
    <row r="273">
      <c r="A273" s="319" t="n"/>
      <c r="B273" s="319" t="n"/>
      <c r="C273" s="319" t="n"/>
      <c r="D273" s="319" t="n"/>
      <c r="E273" s="319" t="n"/>
      <c r="F273" s="319" t="n"/>
      <c r="G273" s="319" t="n"/>
      <c r="H273" s="319" t="n"/>
      <c r="I273" s="319" t="n"/>
      <c r="J273" s="319" t="n"/>
      <c r="K273" s="319" t="n"/>
      <c r="L273" s="319" t="n"/>
      <c r="M273" s="319" t="n"/>
      <c r="N273" s="319" t="n"/>
      <c r="O273" s="319" t="n"/>
      <c r="P273" s="319" t="n"/>
      <c r="Q273" s="319" t="n"/>
      <c r="R273" s="319" t="n"/>
      <c r="S273" s="319" t="n"/>
      <c r="T273" s="319" t="n"/>
      <c r="U273" s="319" t="n"/>
      <c r="V273" s="319" t="n"/>
      <c r="W273" s="319" t="n"/>
      <c r="X273" s="319" t="n"/>
      <c r="Y273" s="319" t="n"/>
      <c r="Z273" s="319" t="n"/>
    </row>
    <row r="274">
      <c r="A274" s="319" t="n"/>
      <c r="B274" s="319" t="n"/>
      <c r="C274" s="319" t="n"/>
      <c r="D274" s="319" t="n"/>
      <c r="E274" s="319" t="n"/>
      <c r="F274" s="319" t="n"/>
      <c r="G274" s="319" t="n"/>
      <c r="H274" s="319" t="n"/>
      <c r="I274" s="319" t="n"/>
      <c r="J274" s="319" t="n"/>
      <c r="K274" s="319" t="n"/>
      <c r="L274" s="319" t="n"/>
      <c r="M274" s="319" t="n"/>
      <c r="N274" s="319" t="n"/>
      <c r="O274" s="319" t="n"/>
      <c r="P274" s="319" t="n"/>
      <c r="Q274" s="319" t="n"/>
      <c r="R274" s="319" t="n"/>
      <c r="S274" s="319" t="n"/>
      <c r="T274" s="319" t="n"/>
      <c r="U274" s="319" t="n"/>
      <c r="V274" s="319" t="n"/>
      <c r="W274" s="319" t="n"/>
      <c r="X274" s="319" t="n"/>
      <c r="Y274" s="319" t="n"/>
      <c r="Z274" s="319" t="n"/>
    </row>
    <row r="275">
      <c r="A275" s="319" t="n"/>
      <c r="B275" s="319" t="n"/>
      <c r="C275" s="319" t="n"/>
      <c r="D275" s="319" t="n"/>
      <c r="E275" s="319" t="n"/>
      <c r="F275" s="319" t="n"/>
      <c r="G275" s="319" t="n"/>
      <c r="H275" s="319" t="n"/>
      <c r="I275" s="319" t="n"/>
      <c r="J275" s="319" t="n"/>
      <c r="K275" s="319" t="n"/>
      <c r="L275" s="319" t="n"/>
      <c r="M275" s="319" t="n"/>
      <c r="N275" s="319" t="n"/>
      <c r="O275" s="319" t="n"/>
      <c r="P275" s="319" t="n"/>
      <c r="Q275" s="319" t="n"/>
      <c r="R275" s="319" t="n"/>
      <c r="S275" s="319" t="n"/>
      <c r="T275" s="319" t="n"/>
      <c r="U275" s="319" t="n"/>
      <c r="V275" s="319" t="n"/>
      <c r="W275" s="319" t="n"/>
      <c r="X275" s="319" t="n"/>
      <c r="Y275" s="319" t="n"/>
      <c r="Z275" s="319" t="n"/>
    </row>
    <row r="276">
      <c r="A276" s="319" t="n"/>
      <c r="B276" s="319" t="n"/>
      <c r="C276" s="319" t="n"/>
      <c r="D276" s="319" t="n"/>
      <c r="E276" s="319" t="n"/>
      <c r="F276" s="319" t="n"/>
      <c r="G276" s="319" t="n"/>
      <c r="H276" s="319" t="n"/>
      <c r="I276" s="319" t="n"/>
      <c r="J276" s="319" t="n"/>
      <c r="K276" s="319" t="n"/>
      <c r="L276" s="319" t="n"/>
      <c r="M276" s="319" t="n"/>
      <c r="N276" s="319" t="n"/>
      <c r="O276" s="319" t="n"/>
      <c r="P276" s="319" t="n"/>
      <c r="Q276" s="319" t="n"/>
      <c r="R276" s="319" t="n"/>
      <c r="S276" s="319" t="n"/>
      <c r="T276" s="319" t="n"/>
      <c r="U276" s="319" t="n"/>
      <c r="V276" s="319" t="n"/>
      <c r="W276" s="319" t="n"/>
      <c r="X276" s="319" t="n"/>
      <c r="Y276" s="319" t="n"/>
      <c r="Z276" s="319" t="n"/>
    </row>
    <row r="277">
      <c r="A277" s="319" t="n"/>
      <c r="B277" s="319" t="n"/>
      <c r="C277" s="319" t="n"/>
      <c r="D277" s="319" t="n"/>
      <c r="E277" s="319" t="n"/>
      <c r="F277" s="319" t="n"/>
      <c r="G277" s="319" t="n"/>
      <c r="H277" s="319" t="n"/>
      <c r="I277" s="319" t="n"/>
      <c r="J277" s="319" t="n"/>
      <c r="K277" s="319" t="n"/>
      <c r="L277" s="319" t="n"/>
      <c r="M277" s="319" t="n"/>
      <c r="N277" s="319" t="n"/>
      <c r="O277" s="319" t="n"/>
      <c r="P277" s="319" t="n"/>
      <c r="Q277" s="319" t="n"/>
      <c r="R277" s="319" t="n"/>
      <c r="S277" s="319" t="n"/>
      <c r="T277" s="319" t="n"/>
      <c r="U277" s="319" t="n"/>
      <c r="V277" s="319" t="n"/>
      <c r="W277" s="319" t="n"/>
      <c r="X277" s="319" t="n"/>
      <c r="Y277" s="319" t="n"/>
      <c r="Z277" s="319" t="n"/>
    </row>
    <row r="278">
      <c r="A278" s="319" t="n"/>
      <c r="B278" s="319" t="n"/>
      <c r="C278" s="319" t="n"/>
      <c r="D278" s="319" t="n"/>
      <c r="E278" s="319" t="n"/>
      <c r="F278" s="319" t="n"/>
      <c r="G278" s="319" t="n"/>
      <c r="H278" s="319" t="n"/>
      <c r="I278" s="319" t="n"/>
      <c r="J278" s="319" t="n"/>
      <c r="K278" s="319" t="n"/>
      <c r="L278" s="319" t="n"/>
      <c r="M278" s="319" t="n"/>
      <c r="N278" s="319" t="n"/>
      <c r="O278" s="319" t="n"/>
      <c r="P278" s="319" t="n"/>
      <c r="Q278" s="319" t="n"/>
      <c r="R278" s="319" t="n"/>
      <c r="S278" s="319" t="n"/>
      <c r="T278" s="319" t="n"/>
      <c r="U278" s="319" t="n"/>
      <c r="V278" s="319" t="n"/>
      <c r="W278" s="319" t="n"/>
      <c r="X278" s="319" t="n"/>
      <c r="Y278" s="319" t="n"/>
      <c r="Z278" s="319" t="n"/>
    </row>
    <row r="279">
      <c r="A279" s="319" t="n"/>
      <c r="B279" s="319" t="n"/>
      <c r="C279" s="319" t="n"/>
      <c r="D279" s="319" t="n"/>
      <c r="E279" s="319" t="n"/>
      <c r="F279" s="319" t="n"/>
      <c r="G279" s="319" t="n"/>
      <c r="H279" s="319" t="n"/>
      <c r="I279" s="319" t="n"/>
      <c r="J279" s="319" t="n"/>
      <c r="K279" s="319" t="n"/>
      <c r="L279" s="319" t="n"/>
      <c r="M279" s="319" t="n"/>
      <c r="N279" s="319" t="n"/>
      <c r="O279" s="319" t="n"/>
      <c r="P279" s="319" t="n"/>
      <c r="Q279" s="319" t="n"/>
      <c r="R279" s="319" t="n"/>
      <c r="S279" s="319" t="n"/>
      <c r="T279" s="319" t="n"/>
      <c r="U279" s="319" t="n"/>
      <c r="V279" s="319" t="n"/>
      <c r="W279" s="319" t="n"/>
      <c r="X279" s="319" t="n"/>
      <c r="Y279" s="319" t="n"/>
      <c r="Z279" s="319" t="n"/>
    </row>
    <row r="280">
      <c r="A280" s="319" t="n"/>
      <c r="B280" s="319" t="n"/>
      <c r="C280" s="319" t="n"/>
      <c r="D280" s="319" t="n"/>
      <c r="E280" s="319" t="n"/>
      <c r="F280" s="319" t="n"/>
      <c r="G280" s="319" t="n"/>
      <c r="H280" s="319" t="n"/>
      <c r="I280" s="319" t="n"/>
      <c r="J280" s="319" t="n"/>
      <c r="K280" s="319" t="n"/>
      <c r="L280" s="319" t="n"/>
      <c r="M280" s="319" t="n"/>
      <c r="N280" s="319" t="n"/>
      <c r="O280" s="319" t="n"/>
      <c r="P280" s="319" t="n"/>
      <c r="Q280" s="319" t="n"/>
      <c r="R280" s="319" t="n"/>
      <c r="S280" s="319" t="n"/>
      <c r="T280" s="319" t="n"/>
      <c r="U280" s="319" t="n"/>
      <c r="V280" s="319" t="n"/>
      <c r="W280" s="319" t="n"/>
      <c r="X280" s="319" t="n"/>
      <c r="Y280" s="319" t="n"/>
      <c r="Z280" s="319" t="n"/>
    </row>
    <row r="281">
      <c r="A281" s="319" t="n"/>
      <c r="B281" s="319" t="n"/>
      <c r="C281" s="319" t="n"/>
      <c r="D281" s="319" t="n"/>
      <c r="E281" s="319" t="n"/>
      <c r="F281" s="319" t="n"/>
      <c r="G281" s="319" t="n"/>
      <c r="H281" s="319" t="n"/>
      <c r="I281" s="319" t="n"/>
      <c r="J281" s="319" t="n"/>
      <c r="K281" s="319" t="n"/>
      <c r="L281" s="319" t="n"/>
      <c r="M281" s="319" t="n"/>
      <c r="N281" s="319" t="n"/>
      <c r="O281" s="319" t="n"/>
      <c r="P281" s="319" t="n"/>
      <c r="Q281" s="319" t="n"/>
      <c r="R281" s="319" t="n"/>
      <c r="S281" s="319" t="n"/>
      <c r="T281" s="319" t="n"/>
      <c r="U281" s="319" t="n"/>
      <c r="V281" s="319" t="n"/>
      <c r="W281" s="319" t="n"/>
      <c r="X281" s="319" t="n"/>
      <c r="Y281" s="319" t="n"/>
      <c r="Z281" s="319" t="n"/>
    </row>
    <row r="282">
      <c r="A282" s="319" t="n"/>
      <c r="B282" s="319" t="n"/>
      <c r="C282" s="319" t="n"/>
      <c r="D282" s="319" t="n"/>
      <c r="E282" s="319" t="n"/>
      <c r="F282" s="319" t="n"/>
      <c r="G282" s="319" t="n"/>
      <c r="H282" s="319" t="n"/>
      <c r="I282" s="319" t="n"/>
      <c r="J282" s="319" t="n"/>
      <c r="K282" s="319" t="n"/>
      <c r="L282" s="319" t="n"/>
      <c r="M282" s="319" t="n"/>
      <c r="N282" s="319" t="n"/>
      <c r="O282" s="319" t="n"/>
      <c r="P282" s="319" t="n"/>
      <c r="Q282" s="319" t="n"/>
      <c r="R282" s="319" t="n"/>
      <c r="S282" s="319" t="n"/>
      <c r="T282" s="319" t="n"/>
      <c r="U282" s="319" t="n"/>
      <c r="V282" s="319" t="n"/>
      <c r="W282" s="319" t="n"/>
      <c r="X282" s="319" t="n"/>
      <c r="Y282" s="319" t="n"/>
      <c r="Z282" s="319" t="n"/>
    </row>
    <row r="283">
      <c r="A283" s="319" t="n"/>
      <c r="B283" s="319" t="n"/>
      <c r="C283" s="319" t="n"/>
      <c r="D283" s="319" t="n"/>
      <c r="E283" s="319" t="n"/>
      <c r="F283" s="319" t="n"/>
      <c r="G283" s="319" t="n"/>
      <c r="H283" s="319" t="n"/>
      <c r="I283" s="319" t="n"/>
      <c r="J283" s="319" t="n"/>
      <c r="K283" s="319" t="n"/>
      <c r="L283" s="319" t="n"/>
      <c r="M283" s="319" t="n"/>
      <c r="N283" s="319" t="n"/>
      <c r="O283" s="319" t="n"/>
      <c r="P283" s="319" t="n"/>
      <c r="Q283" s="319" t="n"/>
      <c r="R283" s="319" t="n"/>
      <c r="S283" s="319" t="n"/>
      <c r="T283" s="319" t="n"/>
      <c r="U283" s="319" t="n"/>
      <c r="V283" s="319" t="n"/>
      <c r="W283" s="319" t="n"/>
      <c r="X283" s="319" t="n"/>
      <c r="Y283" s="319" t="n"/>
      <c r="Z283" s="319" t="n"/>
    </row>
    <row r="284">
      <c r="A284" s="319" t="n"/>
      <c r="B284" s="319" t="n"/>
      <c r="C284" s="319" t="n"/>
      <c r="D284" s="319" t="n"/>
      <c r="E284" s="319" t="n"/>
      <c r="F284" s="319" t="n"/>
      <c r="G284" s="319" t="n"/>
      <c r="H284" s="319" t="n"/>
      <c r="I284" s="319" t="n"/>
      <c r="J284" s="319" t="n"/>
      <c r="K284" s="319" t="n"/>
      <c r="L284" s="319" t="n"/>
      <c r="M284" s="319" t="n"/>
      <c r="N284" s="319" t="n"/>
      <c r="O284" s="319" t="n"/>
      <c r="P284" s="319" t="n"/>
      <c r="Q284" s="319" t="n"/>
      <c r="R284" s="319" t="n"/>
      <c r="S284" s="319" t="n"/>
      <c r="T284" s="319" t="n"/>
      <c r="U284" s="319" t="n"/>
      <c r="V284" s="319" t="n"/>
      <c r="W284" s="319" t="n"/>
      <c r="X284" s="319" t="n"/>
      <c r="Y284" s="319" t="n"/>
      <c r="Z284" s="319" t="n"/>
    </row>
    <row r="285">
      <c r="A285" s="319" t="n"/>
      <c r="B285" s="319" t="n"/>
      <c r="C285" s="319" t="n"/>
      <c r="D285" s="319" t="n"/>
      <c r="E285" s="319" t="n"/>
      <c r="F285" s="319" t="n"/>
      <c r="G285" s="319" t="n"/>
      <c r="H285" s="319" t="n"/>
      <c r="I285" s="319" t="n"/>
      <c r="J285" s="319" t="n"/>
      <c r="K285" s="319" t="n"/>
      <c r="L285" s="319" t="n"/>
      <c r="M285" s="319" t="n"/>
      <c r="N285" s="319" t="n"/>
      <c r="O285" s="319" t="n"/>
      <c r="P285" s="319" t="n"/>
      <c r="Q285" s="319" t="n"/>
      <c r="R285" s="319" t="n"/>
      <c r="S285" s="319" t="n"/>
      <c r="T285" s="319" t="n"/>
      <c r="U285" s="319" t="n"/>
      <c r="V285" s="319" t="n"/>
      <c r="W285" s="319" t="n"/>
      <c r="X285" s="319" t="n"/>
      <c r="Y285" s="319" t="n"/>
      <c r="Z285" s="319" t="n"/>
    </row>
    <row r="286">
      <c r="A286" s="319" t="n"/>
      <c r="B286" s="319" t="n"/>
      <c r="C286" s="319" t="n"/>
      <c r="D286" s="319" t="n"/>
      <c r="E286" s="319" t="n"/>
      <c r="F286" s="319" t="n"/>
      <c r="G286" s="319" t="n"/>
      <c r="H286" s="319" t="n"/>
      <c r="I286" s="319" t="n"/>
      <c r="J286" s="319" t="n"/>
      <c r="K286" s="319" t="n"/>
      <c r="L286" s="319" t="n"/>
      <c r="M286" s="319" t="n"/>
      <c r="N286" s="319" t="n"/>
      <c r="O286" s="319" t="n"/>
      <c r="P286" s="319" t="n"/>
      <c r="Q286" s="319" t="n"/>
      <c r="R286" s="319" t="n"/>
      <c r="S286" s="319" t="n"/>
      <c r="T286" s="319" t="n"/>
      <c r="U286" s="319" t="n"/>
      <c r="V286" s="319" t="n"/>
      <c r="W286" s="319" t="n"/>
      <c r="X286" s="319" t="n"/>
      <c r="Y286" s="319" t="n"/>
      <c r="Z286" s="319" t="n"/>
    </row>
    <row r="287">
      <c r="A287" s="319" t="n"/>
      <c r="B287" s="319" t="n"/>
      <c r="C287" s="319" t="n"/>
      <c r="D287" s="319" t="n"/>
      <c r="E287" s="319" t="n"/>
      <c r="F287" s="319" t="n"/>
      <c r="G287" s="319" t="n"/>
      <c r="H287" s="319" t="n"/>
      <c r="I287" s="319" t="n"/>
      <c r="J287" s="319" t="n"/>
      <c r="K287" s="319" t="n"/>
      <c r="L287" s="319" t="n"/>
      <c r="M287" s="319" t="n"/>
      <c r="N287" s="319" t="n"/>
      <c r="O287" s="319" t="n"/>
      <c r="P287" s="319" t="n"/>
      <c r="Q287" s="319" t="n"/>
      <c r="R287" s="319" t="n"/>
      <c r="S287" s="319" t="n"/>
      <c r="T287" s="319" t="n"/>
      <c r="U287" s="319" t="n"/>
      <c r="V287" s="319" t="n"/>
      <c r="W287" s="319" t="n"/>
      <c r="X287" s="319" t="n"/>
      <c r="Y287" s="319" t="n"/>
      <c r="Z287" s="319" t="n"/>
    </row>
    <row r="288">
      <c r="A288" s="319" t="n"/>
      <c r="B288" s="319" t="n"/>
      <c r="C288" s="319" t="n"/>
      <c r="D288" s="319" t="n"/>
      <c r="E288" s="319" t="n"/>
      <c r="F288" s="319" t="n"/>
      <c r="G288" s="319" t="n"/>
      <c r="H288" s="319" t="n"/>
      <c r="I288" s="319" t="n"/>
      <c r="J288" s="319" t="n"/>
      <c r="K288" s="319" t="n"/>
      <c r="L288" s="319" t="n"/>
      <c r="M288" s="319" t="n"/>
      <c r="N288" s="319" t="n"/>
      <c r="O288" s="319" t="n"/>
      <c r="P288" s="319" t="n"/>
      <c r="Q288" s="319" t="n"/>
      <c r="R288" s="319" t="n"/>
      <c r="S288" s="319" t="n"/>
      <c r="T288" s="319" t="n"/>
      <c r="U288" s="319" t="n"/>
      <c r="V288" s="319" t="n"/>
      <c r="W288" s="319" t="n"/>
      <c r="X288" s="319" t="n"/>
      <c r="Y288" s="319" t="n"/>
      <c r="Z288" s="319" t="n"/>
    </row>
    <row r="289">
      <c r="A289" s="319" t="n"/>
      <c r="B289" s="319" t="n"/>
      <c r="C289" s="319" t="n"/>
      <c r="D289" s="319" t="n"/>
      <c r="E289" s="319" t="n"/>
      <c r="F289" s="319" t="n"/>
      <c r="G289" s="319" t="n"/>
      <c r="H289" s="319" t="n"/>
      <c r="I289" s="319" t="n"/>
      <c r="J289" s="319" t="n"/>
      <c r="K289" s="319" t="n"/>
      <c r="L289" s="319" t="n"/>
      <c r="M289" s="319" t="n"/>
      <c r="N289" s="319" t="n"/>
      <c r="O289" s="319" t="n"/>
      <c r="P289" s="319" t="n"/>
      <c r="Q289" s="319" t="n"/>
      <c r="R289" s="319" t="n"/>
      <c r="S289" s="319" t="n"/>
      <c r="T289" s="319" t="n"/>
      <c r="U289" s="319" t="n"/>
      <c r="V289" s="319" t="n"/>
      <c r="W289" s="319" t="n"/>
      <c r="X289" s="319" t="n"/>
      <c r="Y289" s="319" t="n"/>
      <c r="Z289" s="319" t="n"/>
    </row>
    <row r="290">
      <c r="A290" s="319" t="n"/>
      <c r="B290" s="319" t="n"/>
      <c r="C290" s="319" t="n"/>
      <c r="D290" s="319" t="n"/>
      <c r="E290" s="319" t="n"/>
      <c r="F290" s="319" t="n"/>
      <c r="G290" s="319" t="n"/>
      <c r="H290" s="319" t="n"/>
      <c r="I290" s="319" t="n"/>
      <c r="J290" s="319" t="n"/>
      <c r="K290" s="319" t="n"/>
      <c r="L290" s="319" t="n"/>
      <c r="M290" s="319" t="n"/>
      <c r="N290" s="319" t="n"/>
      <c r="O290" s="319" t="n"/>
      <c r="P290" s="319" t="n"/>
      <c r="Q290" s="319" t="n"/>
      <c r="R290" s="319" t="n"/>
      <c r="S290" s="319" t="n"/>
      <c r="T290" s="319" t="n"/>
      <c r="U290" s="319" t="n"/>
      <c r="V290" s="319" t="n"/>
      <c r="W290" s="319" t="n"/>
      <c r="X290" s="319" t="n"/>
      <c r="Y290" s="319" t="n"/>
      <c r="Z290" s="319" t="n"/>
    </row>
    <row r="291">
      <c r="A291" s="319" t="n"/>
      <c r="B291" s="319" t="n"/>
      <c r="C291" s="319" t="n"/>
      <c r="D291" s="319" t="n"/>
      <c r="E291" s="319" t="n"/>
      <c r="F291" s="319" t="n"/>
      <c r="G291" s="319" t="n"/>
      <c r="H291" s="319" t="n"/>
      <c r="I291" s="319" t="n"/>
      <c r="J291" s="319" t="n"/>
      <c r="K291" s="319" t="n"/>
      <c r="L291" s="319" t="n"/>
      <c r="M291" s="319" t="n"/>
      <c r="N291" s="319" t="n"/>
      <c r="O291" s="319" t="n"/>
      <c r="P291" s="319" t="n"/>
      <c r="Q291" s="319" t="n"/>
      <c r="R291" s="319" t="n"/>
      <c r="S291" s="319" t="n"/>
      <c r="T291" s="319" t="n"/>
      <c r="U291" s="319" t="n"/>
      <c r="V291" s="319" t="n"/>
      <c r="W291" s="319" t="n"/>
      <c r="X291" s="319" t="n"/>
      <c r="Y291" s="319" t="n"/>
      <c r="Z291" s="319" t="n"/>
    </row>
    <row r="292">
      <c r="A292" s="319" t="n"/>
      <c r="B292" s="319" t="n"/>
      <c r="C292" s="319" t="n"/>
      <c r="D292" s="319" t="n"/>
      <c r="E292" s="319" t="n"/>
      <c r="F292" s="319" t="n"/>
      <c r="G292" s="319" t="n"/>
      <c r="H292" s="319" t="n"/>
      <c r="I292" s="319" t="n"/>
      <c r="J292" s="319" t="n"/>
      <c r="K292" s="319" t="n"/>
      <c r="L292" s="319" t="n"/>
      <c r="M292" s="319" t="n"/>
      <c r="N292" s="319" t="n"/>
      <c r="O292" s="319" t="n"/>
      <c r="P292" s="319" t="n"/>
      <c r="Q292" s="319" t="n"/>
      <c r="R292" s="319" t="n"/>
      <c r="S292" s="319" t="n"/>
      <c r="T292" s="319" t="n"/>
      <c r="U292" s="319" t="n"/>
      <c r="V292" s="319" t="n"/>
      <c r="W292" s="319" t="n"/>
      <c r="X292" s="319" t="n"/>
      <c r="Y292" s="319" t="n"/>
      <c r="Z292" s="319" t="n"/>
    </row>
    <row r="293">
      <c r="A293" s="319" t="n"/>
      <c r="B293" s="319" t="n"/>
      <c r="C293" s="319" t="n"/>
      <c r="D293" s="319" t="n"/>
      <c r="E293" s="319" t="n"/>
      <c r="F293" s="319" t="n"/>
      <c r="G293" s="319" t="n"/>
      <c r="H293" s="319" t="n"/>
      <c r="I293" s="319" t="n"/>
      <c r="J293" s="319" t="n"/>
      <c r="K293" s="319" t="n"/>
      <c r="L293" s="319" t="n"/>
      <c r="M293" s="319" t="n"/>
      <c r="N293" s="319" t="n"/>
      <c r="O293" s="319" t="n"/>
      <c r="P293" s="319" t="n"/>
      <c r="Q293" s="319" t="n"/>
      <c r="R293" s="319" t="n"/>
      <c r="S293" s="319" t="n"/>
      <c r="T293" s="319" t="n"/>
      <c r="U293" s="319" t="n"/>
      <c r="V293" s="319" t="n"/>
      <c r="W293" s="319" t="n"/>
      <c r="X293" s="319" t="n"/>
      <c r="Y293" s="319" t="n"/>
      <c r="Z293" s="319" t="n"/>
    </row>
    <row r="294">
      <c r="A294" s="319" t="n"/>
      <c r="B294" s="319" t="n"/>
      <c r="C294" s="319" t="n"/>
      <c r="D294" s="319" t="n"/>
      <c r="E294" s="319" t="n"/>
      <c r="F294" s="319" t="n"/>
      <c r="G294" s="319" t="n"/>
      <c r="H294" s="319" t="n"/>
      <c r="I294" s="319" t="n"/>
      <c r="J294" s="319" t="n"/>
      <c r="K294" s="319" t="n"/>
      <c r="L294" s="319" t="n"/>
      <c r="M294" s="319" t="n"/>
      <c r="N294" s="319" t="n"/>
      <c r="O294" s="319" t="n"/>
      <c r="P294" s="319" t="n"/>
      <c r="Q294" s="319" t="n"/>
      <c r="R294" s="319" t="n"/>
      <c r="S294" s="319" t="n"/>
      <c r="T294" s="319" t="n"/>
      <c r="U294" s="319" t="n"/>
      <c r="V294" s="319" t="n"/>
      <c r="W294" s="319" t="n"/>
      <c r="X294" s="319" t="n"/>
      <c r="Y294" s="319" t="n"/>
      <c r="Z294" s="319" t="n"/>
    </row>
    <row r="295">
      <c r="A295" s="319" t="n"/>
      <c r="B295" s="319" t="n"/>
      <c r="C295" s="319" t="n"/>
      <c r="D295" s="319" t="n"/>
      <c r="E295" s="319" t="n"/>
      <c r="F295" s="319" t="n"/>
      <c r="G295" s="319" t="n"/>
      <c r="H295" s="319" t="n"/>
      <c r="I295" s="319" t="n"/>
      <c r="J295" s="319" t="n"/>
      <c r="K295" s="319" t="n"/>
      <c r="L295" s="319" t="n"/>
      <c r="M295" s="319" t="n"/>
      <c r="N295" s="319" t="n"/>
      <c r="O295" s="319" t="n"/>
      <c r="P295" s="319" t="n"/>
      <c r="Q295" s="319" t="n"/>
      <c r="R295" s="319" t="n"/>
      <c r="S295" s="319" t="n"/>
      <c r="T295" s="319" t="n"/>
      <c r="U295" s="319" t="n"/>
      <c r="V295" s="319" t="n"/>
      <c r="W295" s="319" t="n"/>
      <c r="X295" s="319" t="n"/>
      <c r="Y295" s="319" t="n"/>
      <c r="Z295" s="319" t="n"/>
    </row>
    <row r="296">
      <c r="A296" s="319" t="n"/>
      <c r="B296" s="319" t="n"/>
      <c r="C296" s="319" t="n"/>
      <c r="D296" s="319" t="n"/>
      <c r="E296" s="319" t="n"/>
      <c r="F296" s="319" t="n"/>
      <c r="G296" s="319" t="n"/>
      <c r="H296" s="319" t="n"/>
      <c r="I296" s="319" t="n"/>
      <c r="J296" s="319" t="n"/>
      <c r="K296" s="319" t="n"/>
      <c r="L296" s="319" t="n"/>
      <c r="M296" s="319" t="n"/>
      <c r="N296" s="319" t="n"/>
      <c r="O296" s="319" t="n"/>
      <c r="P296" s="319" t="n"/>
      <c r="Q296" s="319" t="n"/>
      <c r="R296" s="319" t="n"/>
      <c r="S296" s="319" t="n"/>
      <c r="T296" s="319" t="n"/>
      <c r="U296" s="319" t="n"/>
      <c r="V296" s="319" t="n"/>
      <c r="W296" s="319" t="n"/>
      <c r="X296" s="319" t="n"/>
      <c r="Y296" s="319" t="n"/>
      <c r="Z296" s="319" t="n"/>
    </row>
    <row r="297">
      <c r="A297" s="319" t="n"/>
      <c r="B297" s="319" t="n"/>
      <c r="C297" s="319" t="n"/>
      <c r="D297" s="319" t="n"/>
      <c r="E297" s="319" t="n"/>
      <c r="F297" s="319" t="n"/>
      <c r="G297" s="319" t="n"/>
      <c r="H297" s="319" t="n"/>
      <c r="I297" s="319" t="n"/>
      <c r="J297" s="319" t="n"/>
      <c r="K297" s="319" t="n"/>
      <c r="L297" s="319" t="n"/>
      <c r="M297" s="319" t="n"/>
      <c r="N297" s="319" t="n"/>
      <c r="O297" s="319" t="n"/>
      <c r="P297" s="319" t="n"/>
      <c r="Q297" s="319" t="n"/>
      <c r="R297" s="319" t="n"/>
      <c r="S297" s="319" t="n"/>
      <c r="T297" s="319" t="n"/>
      <c r="U297" s="319" t="n"/>
      <c r="V297" s="319" t="n"/>
      <c r="W297" s="319" t="n"/>
      <c r="X297" s="319" t="n"/>
      <c r="Y297" s="319" t="n"/>
      <c r="Z297" s="319" t="n"/>
    </row>
    <row r="298">
      <c r="A298" s="319" t="n"/>
      <c r="B298" s="319" t="n"/>
      <c r="C298" s="319" t="n"/>
      <c r="D298" s="319" t="n"/>
      <c r="E298" s="319" t="n"/>
      <c r="F298" s="319" t="n"/>
      <c r="G298" s="319" t="n"/>
      <c r="H298" s="319" t="n"/>
      <c r="I298" s="319" t="n"/>
      <c r="J298" s="319" t="n"/>
      <c r="K298" s="319" t="n"/>
      <c r="L298" s="319" t="n"/>
      <c r="M298" s="319" t="n"/>
      <c r="N298" s="319" t="n"/>
      <c r="O298" s="319" t="n"/>
      <c r="P298" s="319" t="n"/>
      <c r="Q298" s="319" t="n"/>
      <c r="R298" s="319" t="n"/>
      <c r="S298" s="319" t="n"/>
      <c r="T298" s="319" t="n"/>
      <c r="U298" s="319" t="n"/>
      <c r="V298" s="319" t="n"/>
      <c r="W298" s="319" t="n"/>
      <c r="X298" s="319" t="n"/>
      <c r="Y298" s="319" t="n"/>
      <c r="Z298" s="319" t="n"/>
    </row>
    <row r="299">
      <c r="A299" s="319" t="n"/>
      <c r="B299" s="319" t="n"/>
      <c r="C299" s="319" t="n"/>
      <c r="D299" s="319" t="n"/>
      <c r="E299" s="319" t="n"/>
      <c r="F299" s="319" t="n"/>
      <c r="G299" s="319" t="n"/>
      <c r="H299" s="319" t="n"/>
      <c r="I299" s="319" t="n"/>
      <c r="J299" s="319" t="n"/>
      <c r="K299" s="319" t="n"/>
      <c r="L299" s="319" t="n"/>
      <c r="M299" s="319" t="n"/>
      <c r="N299" s="319" t="n"/>
      <c r="O299" s="319" t="n"/>
      <c r="P299" s="319" t="n"/>
      <c r="Q299" s="319" t="n"/>
      <c r="R299" s="319" t="n"/>
      <c r="S299" s="319" t="n"/>
      <c r="T299" s="319" t="n"/>
      <c r="U299" s="319" t="n"/>
      <c r="V299" s="319" t="n"/>
      <c r="W299" s="319" t="n"/>
      <c r="X299" s="319" t="n"/>
      <c r="Y299" s="319" t="n"/>
      <c r="Z299" s="319" t="n"/>
    </row>
    <row r="300">
      <c r="A300" s="319" t="n"/>
      <c r="B300" s="319" t="n"/>
      <c r="C300" s="319" t="n"/>
      <c r="D300" s="319" t="n"/>
      <c r="E300" s="319" t="n"/>
      <c r="F300" s="319" t="n"/>
      <c r="G300" s="319" t="n"/>
      <c r="H300" s="319" t="n"/>
      <c r="I300" s="319" t="n"/>
      <c r="J300" s="319" t="n"/>
      <c r="K300" s="319" t="n"/>
      <c r="L300" s="319" t="n"/>
      <c r="M300" s="319" t="n"/>
      <c r="N300" s="319" t="n"/>
      <c r="O300" s="319" t="n"/>
      <c r="P300" s="319" t="n"/>
      <c r="Q300" s="319" t="n"/>
      <c r="R300" s="319" t="n"/>
      <c r="S300" s="319" t="n"/>
      <c r="T300" s="319" t="n"/>
      <c r="U300" s="319" t="n"/>
      <c r="V300" s="319" t="n"/>
      <c r="W300" s="319" t="n"/>
      <c r="X300" s="319" t="n"/>
      <c r="Y300" s="319" t="n"/>
      <c r="Z300" s="319" t="n"/>
    </row>
    <row r="301">
      <c r="A301" s="319" t="n"/>
      <c r="B301" s="319" t="n"/>
      <c r="C301" s="319" t="n"/>
      <c r="D301" s="319" t="n"/>
      <c r="E301" s="319" t="n"/>
      <c r="F301" s="319" t="n"/>
      <c r="G301" s="319" t="n"/>
      <c r="H301" s="319" t="n"/>
      <c r="I301" s="319" t="n"/>
      <c r="J301" s="319" t="n"/>
      <c r="K301" s="319" t="n"/>
      <c r="L301" s="319" t="n"/>
      <c r="M301" s="319" t="n"/>
      <c r="N301" s="319" t="n"/>
      <c r="O301" s="319" t="n"/>
      <c r="P301" s="319" t="n"/>
      <c r="Q301" s="319" t="n"/>
      <c r="R301" s="319" t="n"/>
      <c r="S301" s="319" t="n"/>
      <c r="T301" s="319" t="n"/>
      <c r="U301" s="319" t="n"/>
      <c r="V301" s="319" t="n"/>
      <c r="W301" s="319" t="n"/>
      <c r="X301" s="319" t="n"/>
      <c r="Y301" s="319" t="n"/>
      <c r="Z301" s="319" t="n"/>
    </row>
    <row r="302">
      <c r="A302" s="319" t="n"/>
      <c r="B302" s="319" t="n"/>
      <c r="C302" s="319" t="n"/>
      <c r="D302" s="319" t="n"/>
      <c r="E302" s="319" t="n"/>
      <c r="F302" s="319" t="n"/>
      <c r="G302" s="319" t="n"/>
      <c r="H302" s="319" t="n"/>
      <c r="I302" s="319" t="n"/>
      <c r="J302" s="319" t="n"/>
      <c r="K302" s="319" t="n"/>
      <c r="L302" s="319" t="n"/>
      <c r="M302" s="319" t="n"/>
      <c r="N302" s="319" t="n"/>
      <c r="O302" s="319" t="n"/>
      <c r="P302" s="319" t="n"/>
      <c r="Q302" s="319" t="n"/>
      <c r="R302" s="319" t="n"/>
      <c r="S302" s="319" t="n"/>
      <c r="T302" s="319" t="n"/>
      <c r="U302" s="319" t="n"/>
      <c r="V302" s="319" t="n"/>
      <c r="W302" s="319" t="n"/>
      <c r="X302" s="319" t="n"/>
      <c r="Y302" s="319" t="n"/>
      <c r="Z302" s="319" t="n"/>
    </row>
    <row r="303">
      <c r="A303" s="319" t="n"/>
      <c r="B303" s="319" t="n"/>
      <c r="C303" s="319" t="n"/>
      <c r="D303" s="319" t="n"/>
      <c r="E303" s="319" t="n"/>
      <c r="F303" s="319" t="n"/>
      <c r="G303" s="319" t="n"/>
      <c r="H303" s="319" t="n"/>
      <c r="I303" s="319" t="n"/>
      <c r="J303" s="319" t="n"/>
      <c r="K303" s="319" t="n"/>
      <c r="L303" s="319" t="n"/>
      <c r="M303" s="319" t="n"/>
      <c r="N303" s="319" t="n"/>
      <c r="O303" s="319" t="n"/>
      <c r="P303" s="319" t="n"/>
      <c r="Q303" s="319" t="n"/>
      <c r="R303" s="319" t="n"/>
      <c r="S303" s="319" t="n"/>
      <c r="T303" s="319" t="n"/>
      <c r="U303" s="319" t="n"/>
      <c r="V303" s="319" t="n"/>
      <c r="W303" s="319" t="n"/>
      <c r="X303" s="319" t="n"/>
      <c r="Y303" s="319" t="n"/>
      <c r="Z303" s="319" t="n"/>
    </row>
    <row r="304">
      <c r="A304" s="319" t="n"/>
      <c r="B304" s="319" t="n"/>
      <c r="C304" s="319" t="n"/>
      <c r="D304" s="319" t="n"/>
      <c r="E304" s="319" t="n"/>
      <c r="F304" s="319" t="n"/>
      <c r="G304" s="319" t="n"/>
      <c r="H304" s="319" t="n"/>
      <c r="I304" s="319" t="n"/>
      <c r="J304" s="319" t="n"/>
      <c r="K304" s="319" t="n"/>
      <c r="L304" s="319" t="n"/>
      <c r="M304" s="319" t="n"/>
      <c r="N304" s="319" t="n"/>
      <c r="O304" s="319" t="n"/>
      <c r="P304" s="319" t="n"/>
      <c r="Q304" s="319" t="n"/>
      <c r="R304" s="319" t="n"/>
      <c r="S304" s="319" t="n"/>
      <c r="T304" s="319" t="n"/>
      <c r="U304" s="319" t="n"/>
      <c r="V304" s="319" t="n"/>
      <c r="W304" s="319" t="n"/>
      <c r="X304" s="319" t="n"/>
      <c r="Y304" s="319" t="n"/>
      <c r="Z304" s="319" t="n"/>
    </row>
    <row r="305">
      <c r="A305" s="319" t="n"/>
      <c r="B305" s="319" t="n"/>
      <c r="C305" s="319" t="n"/>
      <c r="D305" s="319" t="n"/>
      <c r="E305" s="319" t="n"/>
      <c r="F305" s="319" t="n"/>
      <c r="G305" s="319" t="n"/>
      <c r="H305" s="319" t="n"/>
      <c r="I305" s="319" t="n"/>
      <c r="J305" s="319" t="n"/>
      <c r="K305" s="319" t="n"/>
      <c r="L305" s="319" t="n"/>
      <c r="M305" s="319" t="n"/>
      <c r="N305" s="319" t="n"/>
      <c r="O305" s="319" t="n"/>
      <c r="P305" s="319" t="n"/>
      <c r="Q305" s="319" t="n"/>
      <c r="R305" s="319" t="n"/>
      <c r="S305" s="319" t="n"/>
      <c r="T305" s="319" t="n"/>
      <c r="U305" s="319" t="n"/>
      <c r="V305" s="319" t="n"/>
      <c r="W305" s="319" t="n"/>
      <c r="X305" s="319" t="n"/>
      <c r="Y305" s="319" t="n"/>
      <c r="Z305" s="319" t="n"/>
    </row>
    <row r="306">
      <c r="A306" s="319" t="n"/>
      <c r="B306" s="319" t="n"/>
      <c r="C306" s="319" t="n"/>
      <c r="D306" s="319" t="n"/>
      <c r="E306" s="319" t="n"/>
      <c r="F306" s="319" t="n"/>
      <c r="G306" s="319" t="n"/>
      <c r="H306" s="319" t="n"/>
      <c r="I306" s="319" t="n"/>
      <c r="J306" s="319" t="n"/>
      <c r="K306" s="319" t="n"/>
      <c r="L306" s="319" t="n"/>
      <c r="M306" s="319" t="n"/>
      <c r="N306" s="319" t="n"/>
      <c r="O306" s="319" t="n"/>
      <c r="P306" s="319" t="n"/>
      <c r="Q306" s="319" t="n"/>
      <c r="R306" s="319" t="n"/>
      <c r="S306" s="319" t="n"/>
      <c r="T306" s="319" t="n"/>
      <c r="U306" s="319" t="n"/>
      <c r="V306" s="319" t="n"/>
      <c r="W306" s="319" t="n"/>
      <c r="X306" s="319" t="n"/>
      <c r="Y306" s="319" t="n"/>
      <c r="Z306" s="319" t="n"/>
    </row>
    <row r="307">
      <c r="A307" s="319" t="n"/>
      <c r="B307" s="319" t="n"/>
      <c r="C307" s="319" t="n"/>
      <c r="D307" s="319" t="n"/>
      <c r="E307" s="319" t="n"/>
      <c r="F307" s="319" t="n"/>
      <c r="G307" s="319" t="n"/>
      <c r="H307" s="319" t="n"/>
      <c r="I307" s="319" t="n"/>
      <c r="J307" s="319" t="n"/>
      <c r="K307" s="319" t="n"/>
      <c r="L307" s="319" t="n"/>
      <c r="M307" s="319" t="n"/>
      <c r="N307" s="319" t="n"/>
      <c r="O307" s="319" t="n"/>
      <c r="P307" s="319" t="n"/>
      <c r="Q307" s="319" t="n"/>
      <c r="R307" s="319" t="n"/>
      <c r="S307" s="319" t="n"/>
      <c r="T307" s="319" t="n"/>
      <c r="U307" s="319" t="n"/>
      <c r="V307" s="319" t="n"/>
      <c r="W307" s="319" t="n"/>
      <c r="X307" s="319" t="n"/>
      <c r="Y307" s="319" t="n"/>
      <c r="Z307" s="319" t="n"/>
    </row>
    <row r="308">
      <c r="A308" s="319" t="n"/>
      <c r="B308" s="319" t="n"/>
      <c r="C308" s="319" t="n"/>
      <c r="D308" s="319" t="n"/>
      <c r="E308" s="319" t="n"/>
      <c r="F308" s="319" t="n"/>
      <c r="G308" s="319" t="n"/>
      <c r="H308" s="319" t="n"/>
      <c r="I308" s="319" t="n"/>
      <c r="J308" s="319" t="n"/>
      <c r="K308" s="319" t="n"/>
      <c r="L308" s="319" t="n"/>
      <c r="M308" s="319" t="n"/>
      <c r="N308" s="319" t="n"/>
      <c r="O308" s="319" t="n"/>
      <c r="P308" s="319" t="n"/>
      <c r="Q308" s="319" t="n"/>
      <c r="R308" s="319" t="n"/>
      <c r="S308" s="319" t="n"/>
      <c r="T308" s="319" t="n"/>
      <c r="U308" s="319" t="n"/>
      <c r="V308" s="319" t="n"/>
      <c r="W308" s="319" t="n"/>
      <c r="X308" s="319" t="n"/>
      <c r="Y308" s="319" t="n"/>
      <c r="Z308" s="319" t="n"/>
    </row>
    <row r="309">
      <c r="A309" s="319" t="n"/>
      <c r="B309" s="319" t="n"/>
      <c r="C309" s="319" t="n"/>
      <c r="D309" s="319" t="n"/>
      <c r="E309" s="319" t="n"/>
      <c r="F309" s="319" t="n"/>
      <c r="G309" s="319" t="n"/>
      <c r="H309" s="319" t="n"/>
      <c r="I309" s="319" t="n"/>
      <c r="J309" s="319" t="n"/>
      <c r="K309" s="319" t="n"/>
      <c r="L309" s="319" t="n"/>
      <c r="M309" s="319" t="n"/>
      <c r="N309" s="319" t="n"/>
      <c r="O309" s="319" t="n"/>
      <c r="P309" s="319" t="n"/>
      <c r="Q309" s="319" t="n"/>
      <c r="R309" s="319" t="n"/>
      <c r="S309" s="319" t="n"/>
      <c r="T309" s="319" t="n"/>
      <c r="U309" s="319" t="n"/>
      <c r="V309" s="319" t="n"/>
      <c r="W309" s="319" t="n"/>
      <c r="X309" s="319" t="n"/>
      <c r="Y309" s="319" t="n"/>
      <c r="Z309" s="319" t="n"/>
    </row>
    <row r="310">
      <c r="A310" s="319" t="n"/>
      <c r="B310" s="319" t="n"/>
      <c r="C310" s="319" t="n"/>
      <c r="D310" s="319" t="n"/>
      <c r="E310" s="319" t="n"/>
      <c r="F310" s="319" t="n"/>
      <c r="G310" s="319" t="n"/>
      <c r="H310" s="319" t="n"/>
      <c r="I310" s="319" t="n"/>
      <c r="J310" s="319" t="n"/>
      <c r="K310" s="319" t="n"/>
      <c r="L310" s="319" t="n"/>
      <c r="M310" s="319" t="n"/>
      <c r="N310" s="319" t="n"/>
      <c r="O310" s="319" t="n"/>
      <c r="P310" s="319" t="n"/>
      <c r="Q310" s="319" t="n"/>
      <c r="R310" s="319" t="n"/>
      <c r="S310" s="319" t="n"/>
      <c r="T310" s="319" t="n"/>
      <c r="U310" s="319" t="n"/>
      <c r="V310" s="319" t="n"/>
      <c r="W310" s="319" t="n"/>
      <c r="X310" s="319" t="n"/>
      <c r="Y310" s="319" t="n"/>
      <c r="Z310" s="319" t="n"/>
    </row>
    <row r="311">
      <c r="A311" s="319" t="n"/>
      <c r="B311" s="319" t="n"/>
      <c r="C311" s="319" t="n"/>
      <c r="D311" s="319" t="n"/>
      <c r="E311" s="319" t="n"/>
      <c r="F311" s="319" t="n"/>
      <c r="G311" s="319" t="n"/>
      <c r="H311" s="319" t="n"/>
      <c r="I311" s="319" t="n"/>
      <c r="J311" s="319" t="n"/>
      <c r="K311" s="319" t="n"/>
      <c r="L311" s="319" t="n"/>
      <c r="M311" s="319" t="n"/>
      <c r="N311" s="319" t="n"/>
      <c r="O311" s="319" t="n"/>
      <c r="P311" s="319" t="n"/>
      <c r="Q311" s="319" t="n"/>
      <c r="R311" s="319" t="n"/>
      <c r="S311" s="319" t="n"/>
      <c r="T311" s="319" t="n"/>
      <c r="U311" s="319" t="n"/>
      <c r="V311" s="319" t="n"/>
      <c r="W311" s="319" t="n"/>
      <c r="X311" s="319" t="n"/>
      <c r="Y311" s="319" t="n"/>
      <c r="Z311" s="319" t="n"/>
    </row>
    <row r="312">
      <c r="A312" s="319" t="n"/>
      <c r="B312" s="319" t="n"/>
      <c r="C312" s="319" t="n"/>
      <c r="D312" s="319" t="n"/>
      <c r="E312" s="319" t="n"/>
      <c r="F312" s="319" t="n"/>
      <c r="G312" s="319" t="n"/>
      <c r="H312" s="319" t="n"/>
      <c r="I312" s="319" t="n"/>
      <c r="J312" s="319" t="n"/>
      <c r="K312" s="319" t="n"/>
      <c r="L312" s="319" t="n"/>
      <c r="M312" s="319" t="n"/>
      <c r="N312" s="319" t="n"/>
      <c r="O312" s="319" t="n"/>
      <c r="P312" s="319" t="n"/>
      <c r="Q312" s="319" t="n"/>
      <c r="R312" s="319" t="n"/>
      <c r="S312" s="319" t="n"/>
      <c r="T312" s="319" t="n"/>
      <c r="U312" s="319" t="n"/>
      <c r="V312" s="319" t="n"/>
      <c r="W312" s="319" t="n"/>
      <c r="X312" s="319" t="n"/>
      <c r="Y312" s="319" t="n"/>
      <c r="Z312" s="319" t="n"/>
    </row>
    <row r="313">
      <c r="A313" s="319" t="n"/>
      <c r="B313" s="319" t="n"/>
      <c r="C313" s="319" t="n"/>
      <c r="D313" s="319" t="n"/>
      <c r="E313" s="319" t="n"/>
      <c r="F313" s="319" t="n"/>
      <c r="G313" s="319" t="n"/>
      <c r="H313" s="319" t="n"/>
      <c r="I313" s="319" t="n"/>
      <c r="J313" s="319" t="n"/>
      <c r="K313" s="319" t="n"/>
      <c r="L313" s="319" t="n"/>
      <c r="M313" s="319" t="n"/>
      <c r="N313" s="319" t="n"/>
      <c r="O313" s="319" t="n"/>
      <c r="P313" s="319" t="n"/>
      <c r="Q313" s="319" t="n"/>
      <c r="R313" s="319" t="n"/>
      <c r="S313" s="319" t="n"/>
      <c r="T313" s="319" t="n"/>
      <c r="U313" s="319" t="n"/>
      <c r="V313" s="319" t="n"/>
      <c r="W313" s="319" t="n"/>
      <c r="X313" s="319" t="n"/>
      <c r="Y313" s="319" t="n"/>
      <c r="Z313" s="319" t="n"/>
    </row>
    <row r="314">
      <c r="A314" s="319" t="n"/>
      <c r="B314" s="319" t="n"/>
      <c r="C314" s="319" t="n"/>
      <c r="D314" s="319" t="n"/>
      <c r="E314" s="319" t="n"/>
      <c r="F314" s="319" t="n"/>
      <c r="G314" s="319" t="n"/>
      <c r="H314" s="319" t="n"/>
      <c r="I314" s="319" t="n"/>
      <c r="J314" s="319" t="n"/>
      <c r="K314" s="319" t="n"/>
      <c r="L314" s="319" t="n"/>
      <c r="M314" s="319" t="n"/>
      <c r="N314" s="319" t="n"/>
      <c r="O314" s="319" t="n"/>
      <c r="P314" s="319" t="n"/>
      <c r="Q314" s="319" t="n"/>
      <c r="R314" s="319" t="n"/>
      <c r="S314" s="319" t="n"/>
      <c r="T314" s="319" t="n"/>
      <c r="U314" s="319" t="n"/>
      <c r="V314" s="319" t="n"/>
      <c r="W314" s="319" t="n"/>
      <c r="X314" s="319" t="n"/>
      <c r="Y314" s="319" t="n"/>
      <c r="Z314" s="319" t="n"/>
    </row>
    <row r="315">
      <c r="A315" s="319" t="n"/>
      <c r="B315" s="319" t="n"/>
      <c r="C315" s="319" t="n"/>
      <c r="D315" s="319" t="n"/>
      <c r="E315" s="319" t="n"/>
      <c r="F315" s="319" t="n"/>
      <c r="G315" s="319" t="n"/>
      <c r="H315" s="319" t="n"/>
      <c r="I315" s="319" t="n"/>
      <c r="J315" s="319" t="n"/>
      <c r="K315" s="319" t="n"/>
      <c r="L315" s="319" t="n"/>
      <c r="M315" s="319" t="n"/>
      <c r="N315" s="319" t="n"/>
      <c r="O315" s="319" t="n"/>
      <c r="P315" s="319" t="n"/>
      <c r="Q315" s="319" t="n"/>
      <c r="R315" s="319" t="n"/>
      <c r="S315" s="319" t="n"/>
      <c r="T315" s="319" t="n"/>
      <c r="U315" s="319" t="n"/>
      <c r="V315" s="319" t="n"/>
      <c r="W315" s="319" t="n"/>
      <c r="X315" s="319" t="n"/>
      <c r="Y315" s="319" t="n"/>
      <c r="Z315" s="319" t="n"/>
    </row>
    <row r="316">
      <c r="A316" s="319" t="n"/>
      <c r="B316" s="319" t="n"/>
      <c r="C316" s="319" t="n"/>
      <c r="D316" s="319" t="n"/>
      <c r="E316" s="319" t="n"/>
      <c r="F316" s="319" t="n"/>
      <c r="G316" s="319" t="n"/>
      <c r="H316" s="319" t="n"/>
      <c r="I316" s="319" t="n"/>
      <c r="J316" s="319" t="n"/>
      <c r="K316" s="319" t="n"/>
      <c r="L316" s="319" t="n"/>
      <c r="M316" s="319" t="n"/>
      <c r="N316" s="319" t="n"/>
      <c r="O316" s="319" t="n"/>
      <c r="P316" s="319" t="n"/>
      <c r="Q316" s="319" t="n"/>
      <c r="R316" s="319" t="n"/>
      <c r="S316" s="319" t="n"/>
      <c r="T316" s="319" t="n"/>
      <c r="U316" s="319" t="n"/>
      <c r="V316" s="319" t="n"/>
      <c r="W316" s="319" t="n"/>
      <c r="X316" s="319" t="n"/>
      <c r="Y316" s="319" t="n"/>
      <c r="Z316" s="319" t="n"/>
    </row>
    <row r="317">
      <c r="A317" s="319" t="n"/>
      <c r="B317" s="319" t="n"/>
      <c r="C317" s="319" t="n"/>
      <c r="D317" s="319" t="n"/>
      <c r="E317" s="319" t="n"/>
      <c r="F317" s="319" t="n"/>
      <c r="G317" s="319" t="n"/>
      <c r="H317" s="319" t="n"/>
      <c r="I317" s="319" t="n"/>
      <c r="J317" s="319" t="n"/>
      <c r="K317" s="319" t="n"/>
      <c r="L317" s="319" t="n"/>
      <c r="M317" s="319" t="n"/>
      <c r="N317" s="319" t="n"/>
      <c r="O317" s="319" t="n"/>
      <c r="P317" s="319" t="n"/>
      <c r="Q317" s="319" t="n"/>
      <c r="R317" s="319" t="n"/>
      <c r="S317" s="319" t="n"/>
      <c r="T317" s="319" t="n"/>
      <c r="U317" s="319" t="n"/>
      <c r="V317" s="319" t="n"/>
      <c r="W317" s="319" t="n"/>
      <c r="X317" s="319" t="n"/>
      <c r="Y317" s="319" t="n"/>
      <c r="Z317" s="319" t="n"/>
    </row>
    <row r="318">
      <c r="A318" s="319" t="n"/>
      <c r="B318" s="319" t="n"/>
      <c r="C318" s="319" t="n"/>
      <c r="D318" s="319" t="n"/>
      <c r="E318" s="319" t="n"/>
      <c r="F318" s="319" t="n"/>
      <c r="G318" s="319" t="n"/>
      <c r="H318" s="319" t="n"/>
      <c r="I318" s="319" t="n"/>
      <c r="J318" s="319" t="n"/>
      <c r="K318" s="319" t="n"/>
      <c r="L318" s="319" t="n"/>
      <c r="M318" s="319" t="n"/>
      <c r="N318" s="319" t="n"/>
      <c r="O318" s="319" t="n"/>
      <c r="P318" s="319" t="n"/>
      <c r="Q318" s="319" t="n"/>
      <c r="R318" s="319" t="n"/>
      <c r="S318" s="319" t="n"/>
      <c r="T318" s="319" t="n"/>
      <c r="U318" s="319" t="n"/>
      <c r="V318" s="319" t="n"/>
      <c r="W318" s="319" t="n"/>
      <c r="X318" s="319" t="n"/>
      <c r="Y318" s="319" t="n"/>
      <c r="Z318" s="319" t="n"/>
    </row>
    <row r="319">
      <c r="A319" s="319" t="n"/>
      <c r="B319" s="319" t="n"/>
      <c r="C319" s="319" t="n"/>
      <c r="D319" s="319" t="n"/>
      <c r="E319" s="319" t="n"/>
      <c r="F319" s="319" t="n"/>
      <c r="G319" s="319" t="n"/>
      <c r="H319" s="319" t="n"/>
      <c r="I319" s="319" t="n"/>
      <c r="J319" s="319" t="n"/>
      <c r="K319" s="319" t="n"/>
      <c r="L319" s="319" t="n"/>
      <c r="M319" s="319" t="n"/>
      <c r="N319" s="319" t="n"/>
      <c r="O319" s="319" t="n"/>
      <c r="P319" s="319" t="n"/>
      <c r="Q319" s="319" t="n"/>
      <c r="R319" s="319" t="n"/>
      <c r="S319" s="319" t="n"/>
      <c r="T319" s="319" t="n"/>
      <c r="U319" s="319" t="n"/>
      <c r="V319" s="319" t="n"/>
      <c r="W319" s="319" t="n"/>
      <c r="X319" s="319" t="n"/>
      <c r="Y319" s="319" t="n"/>
      <c r="Z319" s="319" t="n"/>
    </row>
    <row r="320">
      <c r="A320" s="319" t="n"/>
      <c r="B320" s="319" t="n"/>
      <c r="C320" s="319" t="n"/>
      <c r="D320" s="319" t="n"/>
      <c r="E320" s="319" t="n"/>
      <c r="F320" s="319" t="n"/>
      <c r="G320" s="319" t="n"/>
      <c r="H320" s="319" t="n"/>
      <c r="I320" s="319" t="n"/>
      <c r="J320" s="319" t="n"/>
      <c r="K320" s="319" t="n"/>
      <c r="L320" s="319" t="n"/>
      <c r="M320" s="319" t="n"/>
      <c r="N320" s="319" t="n"/>
      <c r="O320" s="319" t="n"/>
      <c r="P320" s="319" t="n"/>
      <c r="Q320" s="319" t="n"/>
      <c r="R320" s="319" t="n"/>
      <c r="S320" s="319" t="n"/>
      <c r="T320" s="319" t="n"/>
      <c r="U320" s="319" t="n"/>
      <c r="V320" s="319" t="n"/>
      <c r="W320" s="319" t="n"/>
      <c r="X320" s="319" t="n"/>
      <c r="Y320" s="319" t="n"/>
      <c r="Z320" s="319" t="n"/>
    </row>
    <row r="321">
      <c r="A321" s="319" t="n"/>
      <c r="B321" s="319" t="n"/>
      <c r="C321" s="319" t="n"/>
      <c r="D321" s="319" t="n"/>
      <c r="E321" s="319" t="n"/>
      <c r="F321" s="319" t="n"/>
      <c r="G321" s="319" t="n"/>
      <c r="H321" s="319" t="n"/>
      <c r="I321" s="319" t="n"/>
      <c r="J321" s="319" t="n"/>
      <c r="K321" s="319" t="n"/>
      <c r="L321" s="319" t="n"/>
      <c r="M321" s="319" t="n"/>
      <c r="N321" s="319" t="n"/>
      <c r="O321" s="319" t="n"/>
      <c r="P321" s="319" t="n"/>
      <c r="Q321" s="319" t="n"/>
      <c r="R321" s="319" t="n"/>
      <c r="S321" s="319" t="n"/>
      <c r="T321" s="319" t="n"/>
      <c r="U321" s="319" t="n"/>
      <c r="V321" s="319" t="n"/>
      <c r="W321" s="319" t="n"/>
      <c r="X321" s="319" t="n"/>
      <c r="Y321" s="319" t="n"/>
      <c r="Z321" s="319" t="n"/>
    </row>
    <row r="322">
      <c r="A322" s="319" t="n"/>
      <c r="B322" s="319" t="n"/>
      <c r="C322" s="319" t="n"/>
      <c r="D322" s="319" t="n"/>
      <c r="E322" s="319" t="n"/>
      <c r="F322" s="319" t="n"/>
      <c r="G322" s="319" t="n"/>
      <c r="H322" s="319" t="n"/>
      <c r="I322" s="319" t="n"/>
      <c r="J322" s="319" t="n"/>
      <c r="K322" s="319" t="n"/>
      <c r="L322" s="319" t="n"/>
      <c r="M322" s="319" t="n"/>
      <c r="N322" s="319" t="n"/>
      <c r="O322" s="319" t="n"/>
      <c r="P322" s="319" t="n"/>
      <c r="Q322" s="319" t="n"/>
      <c r="R322" s="319" t="n"/>
      <c r="S322" s="319" t="n"/>
      <c r="T322" s="319" t="n"/>
      <c r="U322" s="319" t="n"/>
      <c r="V322" s="319" t="n"/>
      <c r="W322" s="319" t="n"/>
      <c r="X322" s="319" t="n"/>
      <c r="Y322" s="319" t="n"/>
      <c r="Z322" s="319" t="n"/>
    </row>
    <row r="323">
      <c r="A323" s="319" t="n"/>
      <c r="B323" s="319" t="n"/>
      <c r="C323" s="319" t="n"/>
      <c r="D323" s="319" t="n"/>
      <c r="E323" s="319" t="n"/>
      <c r="F323" s="319" t="n"/>
      <c r="G323" s="319" t="n"/>
      <c r="H323" s="319" t="n"/>
      <c r="I323" s="319" t="n"/>
      <c r="J323" s="319" t="n"/>
      <c r="K323" s="319" t="n"/>
      <c r="L323" s="319" t="n"/>
      <c r="M323" s="319" t="n"/>
      <c r="N323" s="319" t="n"/>
      <c r="O323" s="319" t="n"/>
      <c r="P323" s="319" t="n"/>
      <c r="Q323" s="319" t="n"/>
      <c r="R323" s="319" t="n"/>
      <c r="S323" s="319" t="n"/>
      <c r="T323" s="319" t="n"/>
      <c r="U323" s="319" t="n"/>
      <c r="V323" s="319" t="n"/>
      <c r="W323" s="319" t="n"/>
      <c r="X323" s="319" t="n"/>
      <c r="Y323" s="319" t="n"/>
      <c r="Z323" s="319" t="n"/>
    </row>
    <row r="324">
      <c r="A324" s="319" t="n"/>
      <c r="B324" s="319" t="n"/>
      <c r="C324" s="319" t="n"/>
      <c r="D324" s="319" t="n"/>
      <c r="E324" s="319" t="n"/>
      <c r="F324" s="319" t="n"/>
      <c r="G324" s="319" t="n"/>
      <c r="H324" s="319" t="n"/>
      <c r="I324" s="319" t="n"/>
      <c r="J324" s="319" t="n"/>
      <c r="K324" s="319" t="n"/>
      <c r="L324" s="319" t="n"/>
      <c r="M324" s="319" t="n"/>
      <c r="N324" s="319" t="n"/>
      <c r="O324" s="319" t="n"/>
      <c r="P324" s="319" t="n"/>
      <c r="Q324" s="319" t="n"/>
      <c r="R324" s="319" t="n"/>
      <c r="S324" s="319" t="n"/>
      <c r="T324" s="319" t="n"/>
      <c r="U324" s="319" t="n"/>
      <c r="V324" s="319" t="n"/>
      <c r="W324" s="319" t="n"/>
      <c r="X324" s="319" t="n"/>
      <c r="Y324" s="319" t="n"/>
      <c r="Z324" s="319" t="n"/>
    </row>
    <row r="325">
      <c r="A325" s="319" t="n"/>
      <c r="B325" s="319" t="n"/>
      <c r="C325" s="319" t="n"/>
      <c r="D325" s="319" t="n"/>
      <c r="E325" s="319" t="n"/>
      <c r="F325" s="319" t="n"/>
      <c r="G325" s="319" t="n"/>
      <c r="H325" s="319" t="n"/>
      <c r="I325" s="319" t="n"/>
      <c r="J325" s="319" t="n"/>
      <c r="K325" s="319" t="n"/>
      <c r="L325" s="319" t="n"/>
      <c r="M325" s="319" t="n"/>
      <c r="N325" s="319" t="n"/>
      <c r="O325" s="319" t="n"/>
      <c r="P325" s="319" t="n"/>
      <c r="Q325" s="319" t="n"/>
      <c r="R325" s="319" t="n"/>
      <c r="S325" s="319" t="n"/>
      <c r="T325" s="319" t="n"/>
      <c r="U325" s="319" t="n"/>
      <c r="V325" s="319" t="n"/>
      <c r="W325" s="319" t="n"/>
      <c r="X325" s="319" t="n"/>
      <c r="Y325" s="319" t="n"/>
      <c r="Z325" s="319" t="n"/>
    </row>
    <row r="326">
      <c r="A326" s="319" t="n"/>
      <c r="B326" s="319" t="n"/>
      <c r="C326" s="319" t="n"/>
      <c r="D326" s="319" t="n"/>
      <c r="E326" s="319" t="n"/>
      <c r="F326" s="319" t="n"/>
      <c r="G326" s="319" t="n"/>
      <c r="H326" s="319" t="n"/>
      <c r="I326" s="319" t="n"/>
      <c r="J326" s="319" t="n"/>
      <c r="K326" s="319" t="n"/>
      <c r="L326" s="319" t="n"/>
      <c r="M326" s="319" t="n"/>
      <c r="N326" s="319" t="n"/>
      <c r="O326" s="319" t="n"/>
      <c r="P326" s="319" t="n"/>
      <c r="Q326" s="319" t="n"/>
      <c r="R326" s="319" t="n"/>
      <c r="S326" s="319" t="n"/>
      <c r="T326" s="319" t="n"/>
      <c r="U326" s="319" t="n"/>
      <c r="V326" s="319" t="n"/>
      <c r="W326" s="319" t="n"/>
      <c r="X326" s="319" t="n"/>
      <c r="Y326" s="319" t="n"/>
      <c r="Z326" s="319" t="n"/>
    </row>
    <row r="327">
      <c r="A327" s="319" t="n"/>
      <c r="B327" s="319" t="n"/>
      <c r="C327" s="319" t="n"/>
      <c r="D327" s="319" t="n"/>
      <c r="E327" s="319" t="n"/>
      <c r="F327" s="319" t="n"/>
      <c r="G327" s="319" t="n"/>
      <c r="H327" s="319" t="n"/>
      <c r="I327" s="319" t="n"/>
      <c r="J327" s="319" t="n"/>
      <c r="K327" s="319" t="n"/>
      <c r="L327" s="319" t="n"/>
      <c r="M327" s="319" t="n"/>
      <c r="N327" s="319" t="n"/>
      <c r="O327" s="319" t="n"/>
      <c r="P327" s="319" t="n"/>
      <c r="Q327" s="319" t="n"/>
      <c r="R327" s="319" t="n"/>
      <c r="S327" s="319" t="n"/>
      <c r="T327" s="319" t="n"/>
      <c r="U327" s="319" t="n"/>
      <c r="V327" s="319" t="n"/>
      <c r="W327" s="319" t="n"/>
      <c r="X327" s="319" t="n"/>
      <c r="Y327" s="319" t="n"/>
      <c r="Z327" s="319" t="n"/>
    </row>
    <row r="328">
      <c r="A328" s="319" t="n"/>
      <c r="B328" s="319" t="n"/>
      <c r="C328" s="319" t="n"/>
      <c r="D328" s="319" t="n"/>
      <c r="E328" s="319" t="n"/>
      <c r="F328" s="319" t="n"/>
      <c r="G328" s="319" t="n"/>
      <c r="H328" s="319" t="n"/>
      <c r="I328" s="319" t="n"/>
      <c r="J328" s="319" t="n"/>
      <c r="K328" s="319" t="n"/>
      <c r="L328" s="319" t="n"/>
      <c r="M328" s="319" t="n"/>
      <c r="N328" s="319" t="n"/>
      <c r="O328" s="319" t="n"/>
      <c r="P328" s="319" t="n"/>
      <c r="Q328" s="319" t="n"/>
      <c r="R328" s="319" t="n"/>
      <c r="S328" s="319" t="n"/>
      <c r="T328" s="319" t="n"/>
      <c r="U328" s="319" t="n"/>
      <c r="V328" s="319" t="n"/>
      <c r="W328" s="319" t="n"/>
      <c r="X328" s="319" t="n"/>
      <c r="Y328" s="319" t="n"/>
      <c r="Z328" s="319" t="n"/>
    </row>
    <row r="329">
      <c r="A329" s="319" t="n"/>
      <c r="B329" s="319" t="n"/>
      <c r="C329" s="319" t="n"/>
      <c r="D329" s="319" t="n"/>
      <c r="E329" s="319" t="n"/>
      <c r="F329" s="319" t="n"/>
      <c r="G329" s="319" t="n"/>
      <c r="H329" s="319" t="n"/>
      <c r="I329" s="319" t="n"/>
      <c r="J329" s="319" t="n"/>
      <c r="K329" s="319" t="n"/>
      <c r="L329" s="319" t="n"/>
      <c r="M329" s="319" t="n"/>
      <c r="N329" s="319" t="n"/>
      <c r="O329" s="319" t="n"/>
      <c r="P329" s="319" t="n"/>
      <c r="Q329" s="319" t="n"/>
      <c r="R329" s="319" t="n"/>
      <c r="S329" s="319" t="n"/>
      <c r="T329" s="319" t="n"/>
      <c r="U329" s="319" t="n"/>
      <c r="V329" s="319" t="n"/>
      <c r="W329" s="319" t="n"/>
      <c r="X329" s="319" t="n"/>
      <c r="Y329" s="319" t="n"/>
      <c r="Z329" s="319" t="n"/>
    </row>
    <row r="330">
      <c r="A330" s="319" t="n"/>
      <c r="B330" s="319" t="n"/>
      <c r="C330" s="319" t="n"/>
      <c r="D330" s="319" t="n"/>
      <c r="E330" s="319" t="n"/>
      <c r="F330" s="319" t="n"/>
      <c r="G330" s="319" t="n"/>
      <c r="H330" s="319" t="n"/>
      <c r="I330" s="319" t="n"/>
      <c r="J330" s="319" t="n"/>
      <c r="K330" s="319" t="n"/>
      <c r="L330" s="319" t="n"/>
      <c r="M330" s="319" t="n"/>
      <c r="N330" s="319" t="n"/>
      <c r="O330" s="319" t="n"/>
      <c r="P330" s="319" t="n"/>
      <c r="Q330" s="319" t="n"/>
      <c r="R330" s="319" t="n"/>
      <c r="S330" s="319" t="n"/>
      <c r="T330" s="319" t="n"/>
      <c r="U330" s="319" t="n"/>
      <c r="V330" s="319" t="n"/>
      <c r="W330" s="319" t="n"/>
      <c r="X330" s="319" t="n"/>
      <c r="Y330" s="319" t="n"/>
      <c r="Z330" s="319" t="n"/>
    </row>
    <row r="331">
      <c r="A331" s="319" t="n"/>
      <c r="B331" s="319" t="n"/>
      <c r="C331" s="319" t="n"/>
      <c r="D331" s="319" t="n"/>
      <c r="E331" s="319" t="n"/>
      <c r="F331" s="319" t="n"/>
      <c r="G331" s="319" t="n"/>
      <c r="H331" s="319" t="n"/>
      <c r="I331" s="319" t="n"/>
      <c r="J331" s="319" t="n"/>
      <c r="K331" s="319" t="n"/>
      <c r="L331" s="319" t="n"/>
      <c r="M331" s="319" t="n"/>
      <c r="N331" s="319" t="n"/>
      <c r="O331" s="319" t="n"/>
      <c r="P331" s="319" t="n"/>
      <c r="Q331" s="319" t="n"/>
      <c r="R331" s="319" t="n"/>
      <c r="S331" s="319" t="n"/>
      <c r="T331" s="319" t="n"/>
      <c r="U331" s="319" t="n"/>
      <c r="V331" s="319" t="n"/>
      <c r="W331" s="319" t="n"/>
      <c r="X331" s="319" t="n"/>
      <c r="Y331" s="319" t="n"/>
      <c r="Z331" s="319" t="n"/>
    </row>
    <row r="332">
      <c r="A332" s="319" t="n"/>
      <c r="B332" s="319" t="n"/>
      <c r="C332" s="319" t="n"/>
      <c r="D332" s="319" t="n"/>
      <c r="E332" s="319" t="n"/>
      <c r="F332" s="319" t="n"/>
      <c r="G332" s="319" t="n"/>
      <c r="H332" s="319" t="n"/>
      <c r="I332" s="319" t="n"/>
      <c r="J332" s="319" t="n"/>
      <c r="K332" s="319" t="n"/>
      <c r="L332" s="319" t="n"/>
      <c r="M332" s="319" t="n"/>
      <c r="N332" s="319" t="n"/>
      <c r="O332" s="319" t="n"/>
      <c r="P332" s="319" t="n"/>
      <c r="Q332" s="319" t="n"/>
      <c r="R332" s="319" t="n"/>
      <c r="S332" s="319" t="n"/>
      <c r="T332" s="319" t="n"/>
      <c r="U332" s="319" t="n"/>
      <c r="V332" s="319" t="n"/>
      <c r="W332" s="319" t="n"/>
      <c r="X332" s="319" t="n"/>
      <c r="Y332" s="319" t="n"/>
      <c r="Z332" s="319" t="n"/>
    </row>
    <row r="333">
      <c r="A333" s="319" t="n"/>
      <c r="B333" s="319" t="n"/>
      <c r="C333" s="319" t="n"/>
      <c r="D333" s="319" t="n"/>
      <c r="E333" s="319" t="n"/>
      <c r="F333" s="319" t="n"/>
      <c r="G333" s="319" t="n"/>
      <c r="H333" s="319" t="n"/>
      <c r="I333" s="319" t="n"/>
      <c r="J333" s="319" t="n"/>
      <c r="K333" s="319" t="n"/>
      <c r="L333" s="319" t="n"/>
      <c r="M333" s="319" t="n"/>
      <c r="N333" s="319" t="n"/>
      <c r="O333" s="319" t="n"/>
      <c r="P333" s="319" t="n"/>
      <c r="Q333" s="319" t="n"/>
      <c r="R333" s="319" t="n"/>
      <c r="S333" s="319" t="n"/>
      <c r="T333" s="319" t="n"/>
      <c r="U333" s="319" t="n"/>
      <c r="V333" s="319" t="n"/>
      <c r="W333" s="319" t="n"/>
      <c r="X333" s="319" t="n"/>
      <c r="Y333" s="319" t="n"/>
      <c r="Z333" s="319" t="n"/>
    </row>
    <row r="334">
      <c r="A334" s="319" t="n"/>
      <c r="B334" s="319" t="n"/>
      <c r="C334" s="319" t="n"/>
      <c r="D334" s="319" t="n"/>
      <c r="E334" s="319" t="n"/>
      <c r="F334" s="319" t="n"/>
      <c r="G334" s="319" t="n"/>
      <c r="H334" s="319" t="n"/>
      <c r="I334" s="319" t="n"/>
      <c r="J334" s="319" t="n"/>
      <c r="K334" s="319" t="n"/>
      <c r="L334" s="319" t="n"/>
      <c r="M334" s="319" t="n"/>
      <c r="N334" s="319" t="n"/>
      <c r="O334" s="319" t="n"/>
      <c r="P334" s="319" t="n"/>
      <c r="Q334" s="319" t="n"/>
      <c r="R334" s="319" t="n"/>
      <c r="S334" s="319" t="n"/>
      <c r="T334" s="319" t="n"/>
      <c r="U334" s="319" t="n"/>
      <c r="V334" s="319" t="n"/>
      <c r="W334" s="319" t="n"/>
      <c r="X334" s="319" t="n"/>
      <c r="Y334" s="319" t="n"/>
      <c r="Z334" s="319" t="n"/>
    </row>
    <row r="335">
      <c r="A335" s="319" t="n"/>
      <c r="B335" s="319" t="n"/>
      <c r="C335" s="319" t="n"/>
      <c r="D335" s="319" t="n"/>
      <c r="E335" s="319" t="n"/>
      <c r="F335" s="319" t="n"/>
      <c r="G335" s="319" t="n"/>
      <c r="H335" s="319" t="n"/>
      <c r="I335" s="319" t="n"/>
      <c r="J335" s="319" t="n"/>
      <c r="K335" s="319" t="n"/>
      <c r="L335" s="319" t="n"/>
      <c r="M335" s="319" t="n"/>
      <c r="N335" s="319" t="n"/>
      <c r="O335" s="319" t="n"/>
      <c r="P335" s="319" t="n"/>
      <c r="Q335" s="319" t="n"/>
      <c r="R335" s="319" t="n"/>
      <c r="S335" s="319" t="n"/>
      <c r="T335" s="319" t="n"/>
      <c r="U335" s="319" t="n"/>
      <c r="V335" s="319" t="n"/>
      <c r="W335" s="319" t="n"/>
      <c r="X335" s="319" t="n"/>
      <c r="Y335" s="319" t="n"/>
      <c r="Z335" s="319" t="n"/>
    </row>
    <row r="336">
      <c r="A336" s="319" t="n"/>
      <c r="B336" s="319" t="n"/>
      <c r="C336" s="319" t="n"/>
      <c r="D336" s="319" t="n"/>
      <c r="E336" s="319" t="n"/>
      <c r="F336" s="319" t="n"/>
      <c r="G336" s="319" t="n"/>
      <c r="H336" s="319" t="n"/>
      <c r="I336" s="319" t="n"/>
      <c r="J336" s="319" t="n"/>
      <c r="K336" s="319" t="n"/>
      <c r="L336" s="319" t="n"/>
      <c r="M336" s="319" t="n"/>
      <c r="N336" s="319" t="n"/>
      <c r="O336" s="319" t="n"/>
      <c r="P336" s="319" t="n"/>
      <c r="Q336" s="319" t="n"/>
      <c r="R336" s="319" t="n"/>
      <c r="S336" s="319" t="n"/>
      <c r="T336" s="319" t="n"/>
      <c r="U336" s="319" t="n"/>
      <c r="V336" s="319" t="n"/>
      <c r="W336" s="319" t="n"/>
      <c r="X336" s="319" t="n"/>
      <c r="Y336" s="319" t="n"/>
      <c r="Z336" s="319" t="n"/>
    </row>
    <row r="337">
      <c r="A337" s="319" t="n"/>
      <c r="B337" s="319" t="n"/>
      <c r="C337" s="319" t="n"/>
      <c r="D337" s="319" t="n"/>
      <c r="E337" s="319" t="n"/>
      <c r="F337" s="319" t="n"/>
      <c r="G337" s="319" t="n"/>
      <c r="H337" s="319" t="n"/>
      <c r="I337" s="319" t="n"/>
      <c r="J337" s="319" t="n"/>
      <c r="K337" s="319" t="n"/>
      <c r="L337" s="319" t="n"/>
      <c r="M337" s="319" t="n"/>
      <c r="N337" s="319" t="n"/>
      <c r="O337" s="319" t="n"/>
      <c r="P337" s="319" t="n"/>
      <c r="Q337" s="319" t="n"/>
      <c r="R337" s="319" t="n"/>
      <c r="S337" s="319" t="n"/>
      <c r="T337" s="319" t="n"/>
      <c r="U337" s="319" t="n"/>
      <c r="V337" s="319" t="n"/>
      <c r="W337" s="319" t="n"/>
      <c r="X337" s="319" t="n"/>
      <c r="Y337" s="319" t="n"/>
      <c r="Z337" s="319" t="n"/>
    </row>
    <row r="338">
      <c r="A338" s="319" t="n"/>
      <c r="B338" s="319" t="n"/>
      <c r="C338" s="319" t="n"/>
      <c r="D338" s="319" t="n"/>
      <c r="E338" s="319" t="n"/>
      <c r="F338" s="319" t="n"/>
      <c r="G338" s="319" t="n"/>
      <c r="H338" s="319" t="n"/>
      <c r="I338" s="319" t="n"/>
      <c r="J338" s="319" t="n"/>
      <c r="K338" s="319" t="n"/>
      <c r="L338" s="319" t="n"/>
      <c r="M338" s="319" t="n"/>
      <c r="N338" s="319" t="n"/>
      <c r="O338" s="319" t="n"/>
      <c r="P338" s="319" t="n"/>
      <c r="Q338" s="319" t="n"/>
      <c r="R338" s="319" t="n"/>
      <c r="S338" s="319" t="n"/>
      <c r="T338" s="319" t="n"/>
      <c r="U338" s="319" t="n"/>
      <c r="V338" s="319" t="n"/>
      <c r="W338" s="319" t="n"/>
      <c r="X338" s="319" t="n"/>
      <c r="Y338" s="319" t="n"/>
      <c r="Z338" s="319" t="n"/>
    </row>
    <row r="339">
      <c r="A339" s="319" t="n"/>
      <c r="B339" s="319" t="n"/>
      <c r="C339" s="319" t="n"/>
      <c r="D339" s="319" t="n"/>
      <c r="E339" s="319" t="n"/>
      <c r="F339" s="319" t="n"/>
      <c r="G339" s="319" t="n"/>
      <c r="H339" s="319" t="n"/>
      <c r="I339" s="319" t="n"/>
      <c r="J339" s="319" t="n"/>
      <c r="K339" s="319" t="n"/>
      <c r="L339" s="319" t="n"/>
      <c r="M339" s="319" t="n"/>
      <c r="N339" s="319" t="n"/>
      <c r="O339" s="319" t="n"/>
      <c r="P339" s="319" t="n"/>
      <c r="Q339" s="319" t="n"/>
      <c r="R339" s="319" t="n"/>
      <c r="S339" s="319" t="n"/>
      <c r="T339" s="319" t="n"/>
      <c r="U339" s="319" t="n"/>
      <c r="V339" s="319" t="n"/>
      <c r="W339" s="319" t="n"/>
      <c r="X339" s="319" t="n"/>
      <c r="Y339" s="319" t="n"/>
      <c r="Z339" s="319" t="n"/>
    </row>
    <row r="340">
      <c r="A340" s="319" t="n"/>
      <c r="B340" s="319" t="n"/>
      <c r="C340" s="319" t="n"/>
      <c r="D340" s="319" t="n"/>
      <c r="E340" s="319" t="n"/>
      <c r="F340" s="319" t="n"/>
      <c r="G340" s="319" t="n"/>
      <c r="H340" s="319" t="n"/>
      <c r="I340" s="319" t="n"/>
      <c r="J340" s="319" t="n"/>
      <c r="K340" s="319" t="n"/>
      <c r="L340" s="319" t="n"/>
      <c r="M340" s="319" t="n"/>
      <c r="N340" s="319" t="n"/>
      <c r="O340" s="319" t="n"/>
      <c r="P340" s="319" t="n"/>
      <c r="Q340" s="319" t="n"/>
      <c r="R340" s="319" t="n"/>
      <c r="S340" s="319" t="n"/>
      <c r="T340" s="319" t="n"/>
      <c r="U340" s="319" t="n"/>
      <c r="V340" s="319" t="n"/>
      <c r="W340" s="319" t="n"/>
      <c r="X340" s="319" t="n"/>
      <c r="Y340" s="319" t="n"/>
      <c r="Z340" s="319" t="n"/>
    </row>
    <row r="341">
      <c r="A341" s="319" t="n"/>
      <c r="B341" s="319" t="n"/>
      <c r="C341" s="319" t="n"/>
      <c r="D341" s="319" t="n"/>
      <c r="E341" s="319" t="n"/>
      <c r="F341" s="319" t="n"/>
      <c r="G341" s="319" t="n"/>
      <c r="H341" s="319" t="n"/>
      <c r="I341" s="319" t="n"/>
      <c r="J341" s="319" t="n"/>
      <c r="K341" s="319" t="n"/>
      <c r="L341" s="319" t="n"/>
      <c r="M341" s="319" t="n"/>
      <c r="N341" s="319" t="n"/>
      <c r="O341" s="319" t="n"/>
      <c r="P341" s="319" t="n"/>
      <c r="Q341" s="319" t="n"/>
      <c r="R341" s="319" t="n"/>
      <c r="S341" s="319" t="n"/>
      <c r="T341" s="319" t="n"/>
      <c r="U341" s="319" t="n"/>
      <c r="V341" s="319" t="n"/>
      <c r="W341" s="319" t="n"/>
      <c r="X341" s="319" t="n"/>
      <c r="Y341" s="319" t="n"/>
      <c r="Z341" s="319" t="n"/>
    </row>
    <row r="342">
      <c r="A342" s="319" t="n"/>
      <c r="B342" s="319" t="n"/>
      <c r="C342" s="319" t="n"/>
      <c r="D342" s="319" t="n"/>
      <c r="E342" s="319" t="n"/>
      <c r="F342" s="319" t="n"/>
      <c r="G342" s="319" t="n"/>
      <c r="H342" s="319" t="n"/>
      <c r="I342" s="319" t="n"/>
      <c r="J342" s="319" t="n"/>
      <c r="K342" s="319" t="n"/>
      <c r="L342" s="319" t="n"/>
      <c r="M342" s="319" t="n"/>
      <c r="N342" s="319" t="n"/>
      <c r="O342" s="319" t="n"/>
      <c r="P342" s="319" t="n"/>
      <c r="Q342" s="319" t="n"/>
      <c r="R342" s="319" t="n"/>
      <c r="S342" s="319" t="n"/>
      <c r="T342" s="319" t="n"/>
      <c r="U342" s="319" t="n"/>
      <c r="V342" s="319" t="n"/>
      <c r="W342" s="319" t="n"/>
      <c r="X342" s="319" t="n"/>
      <c r="Y342" s="319" t="n"/>
      <c r="Z342" s="319" t="n"/>
    </row>
    <row r="343">
      <c r="A343" s="319" t="n"/>
      <c r="B343" s="319" t="n"/>
      <c r="C343" s="319" t="n"/>
      <c r="D343" s="319" t="n"/>
      <c r="E343" s="319" t="n"/>
      <c r="F343" s="319" t="n"/>
      <c r="G343" s="319" t="n"/>
      <c r="H343" s="319" t="n"/>
      <c r="I343" s="319" t="n"/>
      <c r="J343" s="319" t="n"/>
      <c r="K343" s="319" t="n"/>
      <c r="L343" s="319" t="n"/>
      <c r="M343" s="319" t="n"/>
      <c r="N343" s="319" t="n"/>
      <c r="O343" s="319" t="n"/>
      <c r="P343" s="319" t="n"/>
      <c r="Q343" s="319" t="n"/>
      <c r="R343" s="319" t="n"/>
      <c r="S343" s="319" t="n"/>
      <c r="T343" s="319" t="n"/>
      <c r="U343" s="319" t="n"/>
      <c r="V343" s="319" t="n"/>
      <c r="W343" s="319" t="n"/>
      <c r="X343" s="319" t="n"/>
      <c r="Y343" s="319" t="n"/>
      <c r="Z343" s="319" t="n"/>
    </row>
    <row r="344">
      <c r="A344" s="319" t="n"/>
      <c r="B344" s="319" t="n"/>
      <c r="C344" s="319" t="n"/>
      <c r="D344" s="319" t="n"/>
      <c r="E344" s="319" t="n"/>
      <c r="F344" s="319" t="n"/>
      <c r="G344" s="319" t="n"/>
      <c r="H344" s="319" t="n"/>
      <c r="I344" s="319" t="n"/>
      <c r="J344" s="319" t="n"/>
      <c r="K344" s="319" t="n"/>
      <c r="L344" s="319" t="n"/>
      <c r="M344" s="319" t="n"/>
      <c r="N344" s="319" t="n"/>
      <c r="O344" s="319" t="n"/>
      <c r="P344" s="319" t="n"/>
      <c r="Q344" s="319" t="n"/>
      <c r="R344" s="319" t="n"/>
      <c r="S344" s="319" t="n"/>
      <c r="T344" s="319" t="n"/>
      <c r="U344" s="319" t="n"/>
      <c r="V344" s="319" t="n"/>
      <c r="W344" s="319" t="n"/>
      <c r="X344" s="319" t="n"/>
      <c r="Y344" s="319" t="n"/>
      <c r="Z344" s="319" t="n"/>
    </row>
    <row r="345">
      <c r="A345" s="319" t="n"/>
      <c r="B345" s="319" t="n"/>
      <c r="C345" s="319" t="n"/>
      <c r="D345" s="319" t="n"/>
      <c r="E345" s="319" t="n"/>
      <c r="F345" s="319" t="n"/>
      <c r="G345" s="319" t="n"/>
      <c r="H345" s="319" t="n"/>
      <c r="I345" s="319" t="n"/>
      <c r="J345" s="319" t="n"/>
      <c r="K345" s="319" t="n"/>
      <c r="L345" s="319" t="n"/>
      <c r="M345" s="319" t="n"/>
      <c r="N345" s="319" t="n"/>
      <c r="O345" s="319" t="n"/>
      <c r="P345" s="319" t="n"/>
      <c r="Q345" s="319" t="n"/>
      <c r="R345" s="319" t="n"/>
      <c r="S345" s="319" t="n"/>
      <c r="T345" s="319" t="n"/>
      <c r="U345" s="319" t="n"/>
      <c r="V345" s="319" t="n"/>
      <c r="W345" s="319" t="n"/>
      <c r="X345" s="319" t="n"/>
      <c r="Y345" s="319" t="n"/>
      <c r="Z345" s="319" t="n"/>
    </row>
    <row r="346">
      <c r="A346" s="319" t="n"/>
      <c r="B346" s="319" t="n"/>
      <c r="C346" s="319" t="n"/>
      <c r="D346" s="319" t="n"/>
      <c r="E346" s="319" t="n"/>
      <c r="F346" s="319" t="n"/>
      <c r="G346" s="319" t="n"/>
      <c r="H346" s="319" t="n"/>
      <c r="I346" s="319" t="n"/>
      <c r="J346" s="319" t="n"/>
      <c r="K346" s="319" t="n"/>
      <c r="L346" s="319" t="n"/>
      <c r="M346" s="319" t="n"/>
      <c r="N346" s="319" t="n"/>
      <c r="O346" s="319" t="n"/>
      <c r="P346" s="319" t="n"/>
      <c r="Q346" s="319" t="n"/>
      <c r="R346" s="319" t="n"/>
      <c r="S346" s="319" t="n"/>
      <c r="T346" s="319" t="n"/>
      <c r="U346" s="319" t="n"/>
      <c r="V346" s="319" t="n"/>
      <c r="W346" s="319" t="n"/>
      <c r="X346" s="319" t="n"/>
      <c r="Y346" s="319" t="n"/>
      <c r="Z346" s="319" t="n"/>
    </row>
    <row r="347">
      <c r="A347" s="319" t="n"/>
      <c r="B347" s="319" t="n"/>
      <c r="C347" s="319" t="n"/>
      <c r="D347" s="319" t="n"/>
      <c r="E347" s="319" t="n"/>
      <c r="F347" s="319" t="n"/>
      <c r="G347" s="319" t="n"/>
      <c r="H347" s="319" t="n"/>
      <c r="I347" s="319" t="n"/>
      <c r="J347" s="319" t="n"/>
      <c r="K347" s="319" t="n"/>
      <c r="L347" s="319" t="n"/>
      <c r="M347" s="319" t="n"/>
      <c r="N347" s="319" t="n"/>
      <c r="O347" s="319" t="n"/>
      <c r="P347" s="319" t="n"/>
      <c r="Q347" s="319" t="n"/>
      <c r="R347" s="319" t="n"/>
      <c r="S347" s="319" t="n"/>
      <c r="T347" s="319" t="n"/>
      <c r="U347" s="319" t="n"/>
      <c r="V347" s="319" t="n"/>
      <c r="W347" s="319" t="n"/>
      <c r="X347" s="319" t="n"/>
      <c r="Y347" s="319" t="n"/>
      <c r="Z347" s="319" t="n"/>
    </row>
    <row r="348">
      <c r="A348" s="319" t="n"/>
      <c r="B348" s="319" t="n"/>
      <c r="C348" s="319" t="n"/>
      <c r="D348" s="319" t="n"/>
      <c r="E348" s="319" t="n"/>
      <c r="F348" s="319" t="n"/>
      <c r="G348" s="319" t="n"/>
      <c r="H348" s="319" t="n"/>
      <c r="I348" s="319" t="n"/>
      <c r="J348" s="319" t="n"/>
      <c r="K348" s="319" t="n"/>
      <c r="L348" s="319" t="n"/>
      <c r="M348" s="319" t="n"/>
      <c r="N348" s="319" t="n"/>
      <c r="O348" s="319" t="n"/>
      <c r="P348" s="319" t="n"/>
      <c r="Q348" s="319" t="n"/>
      <c r="R348" s="319" t="n"/>
      <c r="S348" s="319" t="n"/>
      <c r="T348" s="319" t="n"/>
      <c r="U348" s="319" t="n"/>
      <c r="V348" s="319" t="n"/>
      <c r="W348" s="319" t="n"/>
      <c r="X348" s="319" t="n"/>
      <c r="Y348" s="319" t="n"/>
      <c r="Z348" s="319" t="n"/>
    </row>
    <row r="349">
      <c r="A349" s="319" t="n"/>
      <c r="B349" s="319" t="n"/>
      <c r="C349" s="319" t="n"/>
      <c r="D349" s="319" t="n"/>
      <c r="E349" s="319" t="n"/>
      <c r="F349" s="319" t="n"/>
      <c r="G349" s="319" t="n"/>
      <c r="H349" s="319" t="n"/>
      <c r="I349" s="319" t="n"/>
      <c r="J349" s="319" t="n"/>
      <c r="K349" s="319" t="n"/>
      <c r="L349" s="319" t="n"/>
      <c r="M349" s="319" t="n"/>
      <c r="N349" s="319" t="n"/>
      <c r="O349" s="319" t="n"/>
      <c r="P349" s="319" t="n"/>
      <c r="Q349" s="319" t="n"/>
      <c r="R349" s="319" t="n"/>
      <c r="S349" s="319" t="n"/>
      <c r="T349" s="319" t="n"/>
      <c r="U349" s="319" t="n"/>
      <c r="V349" s="319" t="n"/>
      <c r="W349" s="319" t="n"/>
      <c r="X349" s="319" t="n"/>
      <c r="Y349" s="319" t="n"/>
      <c r="Z349" s="319" t="n"/>
    </row>
    <row r="350">
      <c r="A350" s="319" t="n"/>
      <c r="B350" s="319" t="n"/>
      <c r="C350" s="319" t="n"/>
      <c r="D350" s="319" t="n"/>
      <c r="E350" s="319" t="n"/>
      <c r="F350" s="319" t="n"/>
      <c r="G350" s="319" t="n"/>
      <c r="H350" s="319" t="n"/>
      <c r="I350" s="319" t="n"/>
      <c r="J350" s="319" t="n"/>
      <c r="K350" s="319" t="n"/>
      <c r="L350" s="319" t="n"/>
      <c r="M350" s="319" t="n"/>
      <c r="N350" s="319" t="n"/>
      <c r="O350" s="319" t="n"/>
      <c r="P350" s="319" t="n"/>
      <c r="Q350" s="319" t="n"/>
      <c r="R350" s="319" t="n"/>
      <c r="S350" s="319" t="n"/>
      <c r="T350" s="319" t="n"/>
      <c r="U350" s="319" t="n"/>
      <c r="V350" s="319" t="n"/>
      <c r="W350" s="319" t="n"/>
      <c r="X350" s="319" t="n"/>
      <c r="Y350" s="319" t="n"/>
      <c r="Z350" s="319" t="n"/>
    </row>
    <row r="351">
      <c r="A351" s="319" t="n"/>
      <c r="B351" s="319" t="n"/>
      <c r="C351" s="319" t="n"/>
      <c r="D351" s="319" t="n"/>
      <c r="E351" s="319" t="n"/>
      <c r="F351" s="319" t="n"/>
      <c r="G351" s="319" t="n"/>
      <c r="H351" s="319" t="n"/>
      <c r="I351" s="319" t="n"/>
      <c r="J351" s="319" t="n"/>
      <c r="K351" s="319" t="n"/>
      <c r="L351" s="319" t="n"/>
      <c r="M351" s="319" t="n"/>
      <c r="N351" s="319" t="n"/>
      <c r="O351" s="319" t="n"/>
      <c r="P351" s="319" t="n"/>
      <c r="Q351" s="319" t="n"/>
      <c r="R351" s="319" t="n"/>
      <c r="S351" s="319" t="n"/>
      <c r="T351" s="319" t="n"/>
      <c r="U351" s="319" t="n"/>
      <c r="V351" s="319" t="n"/>
      <c r="W351" s="319" t="n"/>
      <c r="X351" s="319" t="n"/>
      <c r="Y351" s="319" t="n"/>
      <c r="Z351" s="319" t="n"/>
    </row>
    <row r="352">
      <c r="A352" s="319" t="n"/>
      <c r="B352" s="319" t="n"/>
      <c r="C352" s="319" t="n"/>
      <c r="D352" s="319" t="n"/>
      <c r="E352" s="319" t="n"/>
      <c r="F352" s="319" t="n"/>
      <c r="G352" s="319" t="n"/>
      <c r="H352" s="319" t="n"/>
      <c r="I352" s="319" t="n"/>
      <c r="J352" s="319" t="n"/>
      <c r="K352" s="319" t="n"/>
      <c r="L352" s="319" t="n"/>
      <c r="M352" s="319" t="n"/>
      <c r="N352" s="319" t="n"/>
      <c r="O352" s="319" t="n"/>
      <c r="P352" s="319" t="n"/>
      <c r="Q352" s="319" t="n"/>
      <c r="R352" s="319" t="n"/>
      <c r="S352" s="319" t="n"/>
      <c r="T352" s="319" t="n"/>
      <c r="U352" s="319" t="n"/>
      <c r="V352" s="319" t="n"/>
      <c r="W352" s="319" t="n"/>
      <c r="X352" s="319" t="n"/>
      <c r="Y352" s="319" t="n"/>
      <c r="Z352" s="319" t="n"/>
    </row>
    <row r="353">
      <c r="A353" s="319" t="n"/>
      <c r="B353" s="319" t="n"/>
      <c r="C353" s="319" t="n"/>
      <c r="D353" s="319" t="n"/>
      <c r="E353" s="319" t="n"/>
      <c r="F353" s="319" t="n"/>
      <c r="G353" s="319" t="n"/>
      <c r="H353" s="319" t="n"/>
      <c r="I353" s="319" t="n"/>
      <c r="J353" s="319" t="n"/>
      <c r="K353" s="319" t="n"/>
      <c r="L353" s="319" t="n"/>
      <c r="M353" s="319" t="n"/>
      <c r="N353" s="319" t="n"/>
      <c r="O353" s="319" t="n"/>
      <c r="P353" s="319" t="n"/>
      <c r="Q353" s="319" t="n"/>
      <c r="R353" s="319" t="n"/>
      <c r="S353" s="319" t="n"/>
      <c r="T353" s="319" t="n"/>
      <c r="U353" s="319" t="n"/>
      <c r="V353" s="319" t="n"/>
      <c r="W353" s="319" t="n"/>
      <c r="X353" s="319" t="n"/>
      <c r="Y353" s="319" t="n"/>
      <c r="Z353" s="319" t="n"/>
    </row>
    <row r="354">
      <c r="A354" s="319" t="n"/>
      <c r="B354" s="319" t="n"/>
      <c r="C354" s="319" t="n"/>
      <c r="D354" s="319" t="n"/>
      <c r="E354" s="319" t="n"/>
      <c r="F354" s="319" t="n"/>
      <c r="G354" s="319" t="n"/>
      <c r="H354" s="319" t="n"/>
      <c r="I354" s="319" t="n"/>
      <c r="J354" s="319" t="n"/>
      <c r="K354" s="319" t="n"/>
      <c r="L354" s="319" t="n"/>
      <c r="M354" s="319" t="n"/>
      <c r="N354" s="319" t="n"/>
      <c r="O354" s="319" t="n"/>
      <c r="P354" s="319" t="n"/>
      <c r="Q354" s="319" t="n"/>
      <c r="R354" s="319" t="n"/>
      <c r="S354" s="319" t="n"/>
      <c r="T354" s="319" t="n"/>
      <c r="U354" s="319" t="n"/>
      <c r="V354" s="319" t="n"/>
      <c r="W354" s="319" t="n"/>
      <c r="X354" s="319" t="n"/>
      <c r="Y354" s="319" t="n"/>
      <c r="Z354" s="319" t="n"/>
    </row>
    <row r="355">
      <c r="A355" s="319" t="n"/>
      <c r="B355" s="319" t="n"/>
      <c r="C355" s="319" t="n"/>
      <c r="D355" s="319" t="n"/>
      <c r="E355" s="319" t="n"/>
      <c r="F355" s="319" t="n"/>
      <c r="G355" s="319" t="n"/>
      <c r="H355" s="319" t="n"/>
      <c r="I355" s="319" t="n"/>
      <c r="J355" s="319" t="n"/>
      <c r="K355" s="319" t="n"/>
      <c r="L355" s="319" t="n"/>
      <c r="M355" s="319" t="n"/>
      <c r="N355" s="319" t="n"/>
      <c r="O355" s="319" t="n"/>
      <c r="P355" s="319" t="n"/>
      <c r="Q355" s="319" t="n"/>
      <c r="R355" s="319" t="n"/>
      <c r="S355" s="319" t="n"/>
      <c r="T355" s="319" t="n"/>
      <c r="U355" s="319" t="n"/>
      <c r="V355" s="319" t="n"/>
      <c r="W355" s="319" t="n"/>
      <c r="X355" s="319" t="n"/>
      <c r="Y355" s="319" t="n"/>
      <c r="Z355" s="319" t="n"/>
    </row>
    <row r="356">
      <c r="A356" s="319" t="n"/>
      <c r="B356" s="319" t="n"/>
      <c r="C356" s="319" t="n"/>
      <c r="D356" s="319" t="n"/>
      <c r="E356" s="319" t="n"/>
      <c r="F356" s="319" t="n"/>
      <c r="G356" s="319" t="n"/>
      <c r="H356" s="319" t="n"/>
      <c r="I356" s="319" t="n"/>
      <c r="J356" s="319" t="n"/>
      <c r="K356" s="319" t="n"/>
      <c r="L356" s="319" t="n"/>
      <c r="M356" s="319" t="n"/>
      <c r="N356" s="319" t="n"/>
      <c r="O356" s="319" t="n"/>
      <c r="P356" s="319" t="n"/>
      <c r="Q356" s="319" t="n"/>
      <c r="R356" s="319" t="n"/>
      <c r="S356" s="319" t="n"/>
      <c r="T356" s="319" t="n"/>
      <c r="U356" s="319" t="n"/>
      <c r="V356" s="319" t="n"/>
      <c r="W356" s="319" t="n"/>
      <c r="X356" s="319" t="n"/>
      <c r="Y356" s="319" t="n"/>
      <c r="Z356" s="319" t="n"/>
    </row>
    <row r="357">
      <c r="A357" s="319" t="n"/>
      <c r="B357" s="319" t="n"/>
      <c r="C357" s="319" t="n"/>
      <c r="D357" s="319" t="n"/>
      <c r="E357" s="319" t="n"/>
      <c r="F357" s="319" t="n"/>
      <c r="G357" s="319" t="n"/>
      <c r="H357" s="319" t="n"/>
      <c r="I357" s="319" t="n"/>
      <c r="J357" s="319" t="n"/>
      <c r="K357" s="319" t="n"/>
      <c r="L357" s="319" t="n"/>
      <c r="M357" s="319" t="n"/>
      <c r="N357" s="319" t="n"/>
      <c r="O357" s="319" t="n"/>
      <c r="P357" s="319" t="n"/>
      <c r="Q357" s="319" t="n"/>
      <c r="R357" s="319" t="n"/>
      <c r="S357" s="319" t="n"/>
      <c r="T357" s="319" t="n"/>
      <c r="U357" s="319" t="n"/>
      <c r="V357" s="319" t="n"/>
      <c r="W357" s="319" t="n"/>
      <c r="X357" s="319" t="n"/>
      <c r="Y357" s="319" t="n"/>
      <c r="Z357" s="319" t="n"/>
    </row>
    <row r="358">
      <c r="A358" s="319" t="n"/>
      <c r="B358" s="319" t="n"/>
      <c r="C358" s="319" t="n"/>
      <c r="D358" s="319" t="n"/>
      <c r="E358" s="319" t="n"/>
      <c r="F358" s="319" t="n"/>
      <c r="G358" s="319" t="n"/>
      <c r="H358" s="319" t="n"/>
      <c r="I358" s="319" t="n"/>
      <c r="J358" s="319" t="n"/>
      <c r="K358" s="319" t="n"/>
      <c r="L358" s="319" t="n"/>
      <c r="M358" s="319" t="n"/>
      <c r="N358" s="319" t="n"/>
      <c r="O358" s="319" t="n"/>
      <c r="P358" s="319" t="n"/>
      <c r="Q358" s="319" t="n"/>
      <c r="R358" s="319" t="n"/>
      <c r="S358" s="319" t="n"/>
      <c r="T358" s="319" t="n"/>
      <c r="U358" s="319" t="n"/>
      <c r="V358" s="319" t="n"/>
      <c r="W358" s="319" t="n"/>
      <c r="X358" s="319" t="n"/>
      <c r="Y358" s="319" t="n"/>
      <c r="Z358" s="319" t="n"/>
    </row>
    <row r="359">
      <c r="A359" s="319" t="n"/>
      <c r="B359" s="319" t="n"/>
      <c r="C359" s="319" t="n"/>
      <c r="D359" s="319" t="n"/>
      <c r="E359" s="319" t="n"/>
      <c r="F359" s="319" t="n"/>
      <c r="G359" s="319" t="n"/>
      <c r="H359" s="319" t="n"/>
      <c r="I359" s="319" t="n"/>
      <c r="J359" s="319" t="n"/>
      <c r="K359" s="319" t="n"/>
      <c r="L359" s="319" t="n"/>
      <c r="M359" s="319" t="n"/>
      <c r="N359" s="319" t="n"/>
      <c r="O359" s="319" t="n"/>
      <c r="P359" s="319" t="n"/>
      <c r="Q359" s="319" t="n"/>
      <c r="R359" s="319" t="n"/>
      <c r="S359" s="319" t="n"/>
      <c r="T359" s="319" t="n"/>
      <c r="U359" s="319" t="n"/>
      <c r="V359" s="319" t="n"/>
      <c r="W359" s="319" t="n"/>
      <c r="X359" s="319" t="n"/>
      <c r="Y359" s="319" t="n"/>
      <c r="Z359" s="319" t="n"/>
    </row>
    <row r="360">
      <c r="A360" s="319" t="n"/>
      <c r="B360" s="319" t="n"/>
      <c r="C360" s="319" t="n"/>
      <c r="D360" s="319" t="n"/>
      <c r="E360" s="319" t="n"/>
      <c r="F360" s="319" t="n"/>
      <c r="G360" s="319" t="n"/>
      <c r="H360" s="319" t="n"/>
      <c r="I360" s="319" t="n"/>
      <c r="J360" s="319" t="n"/>
      <c r="K360" s="319" t="n"/>
      <c r="L360" s="319" t="n"/>
      <c r="M360" s="319" t="n"/>
      <c r="N360" s="319" t="n"/>
      <c r="O360" s="319" t="n"/>
      <c r="P360" s="319" t="n"/>
      <c r="Q360" s="319" t="n"/>
      <c r="R360" s="319" t="n"/>
      <c r="S360" s="319" t="n"/>
      <c r="T360" s="319" t="n"/>
      <c r="U360" s="319" t="n"/>
      <c r="V360" s="319" t="n"/>
      <c r="W360" s="319" t="n"/>
      <c r="X360" s="319" t="n"/>
      <c r="Y360" s="319" t="n"/>
      <c r="Z360" s="319" t="n"/>
    </row>
    <row r="361">
      <c r="A361" s="319" t="n"/>
      <c r="B361" s="319" t="n"/>
      <c r="C361" s="319" t="n"/>
      <c r="D361" s="319" t="n"/>
      <c r="E361" s="319" t="n"/>
      <c r="F361" s="319" t="n"/>
      <c r="G361" s="319" t="n"/>
      <c r="H361" s="319" t="n"/>
      <c r="I361" s="319" t="n"/>
      <c r="J361" s="319" t="n"/>
      <c r="K361" s="319" t="n"/>
      <c r="L361" s="319" t="n"/>
      <c r="M361" s="319" t="n"/>
      <c r="N361" s="319" t="n"/>
      <c r="O361" s="319" t="n"/>
      <c r="P361" s="319" t="n"/>
      <c r="Q361" s="319" t="n"/>
      <c r="R361" s="319" t="n"/>
      <c r="S361" s="319" t="n"/>
      <c r="T361" s="319" t="n"/>
      <c r="U361" s="319" t="n"/>
      <c r="V361" s="319" t="n"/>
      <c r="W361" s="319" t="n"/>
      <c r="X361" s="319" t="n"/>
      <c r="Y361" s="319" t="n"/>
      <c r="Z361" s="319" t="n"/>
    </row>
    <row r="362">
      <c r="A362" s="319" t="n"/>
      <c r="B362" s="319" t="n"/>
      <c r="C362" s="319" t="n"/>
      <c r="D362" s="319" t="n"/>
      <c r="E362" s="319" t="n"/>
      <c r="F362" s="319" t="n"/>
      <c r="G362" s="319" t="n"/>
      <c r="H362" s="319" t="n"/>
      <c r="I362" s="319" t="n"/>
      <c r="J362" s="319" t="n"/>
      <c r="K362" s="319" t="n"/>
      <c r="L362" s="319" t="n"/>
      <c r="M362" s="319" t="n"/>
      <c r="N362" s="319" t="n"/>
      <c r="O362" s="319" t="n"/>
      <c r="P362" s="319" t="n"/>
      <c r="Q362" s="319" t="n"/>
      <c r="R362" s="319" t="n"/>
      <c r="S362" s="319" t="n"/>
      <c r="T362" s="319" t="n"/>
      <c r="U362" s="319" t="n"/>
      <c r="V362" s="319" t="n"/>
      <c r="W362" s="319" t="n"/>
      <c r="X362" s="319" t="n"/>
      <c r="Y362" s="319" t="n"/>
      <c r="Z362" s="319" t="n"/>
    </row>
    <row r="363">
      <c r="A363" s="319" t="n"/>
      <c r="B363" s="319" t="n"/>
      <c r="C363" s="319" t="n"/>
      <c r="D363" s="319" t="n"/>
      <c r="E363" s="319" t="n"/>
      <c r="F363" s="319" t="n"/>
      <c r="G363" s="319" t="n"/>
      <c r="H363" s="319" t="n"/>
      <c r="I363" s="319" t="n"/>
      <c r="J363" s="319" t="n"/>
      <c r="K363" s="319" t="n"/>
      <c r="L363" s="319" t="n"/>
      <c r="M363" s="319" t="n"/>
      <c r="N363" s="319" t="n"/>
      <c r="O363" s="319" t="n"/>
      <c r="P363" s="319" t="n"/>
      <c r="Q363" s="319" t="n"/>
      <c r="R363" s="319" t="n"/>
      <c r="S363" s="319" t="n"/>
      <c r="T363" s="319" t="n"/>
      <c r="U363" s="319" t="n"/>
      <c r="V363" s="319" t="n"/>
      <c r="W363" s="319" t="n"/>
      <c r="X363" s="319" t="n"/>
      <c r="Y363" s="319" t="n"/>
      <c r="Z363" s="319" t="n"/>
    </row>
    <row r="364">
      <c r="A364" s="319" t="n"/>
      <c r="B364" s="319" t="n"/>
      <c r="C364" s="319" t="n"/>
      <c r="D364" s="319" t="n"/>
      <c r="E364" s="319" t="n"/>
      <c r="F364" s="319" t="n"/>
      <c r="G364" s="319" t="n"/>
      <c r="H364" s="319" t="n"/>
      <c r="I364" s="319" t="n"/>
      <c r="J364" s="319" t="n"/>
      <c r="K364" s="319" t="n"/>
      <c r="L364" s="319" t="n"/>
      <c r="M364" s="319" t="n"/>
      <c r="N364" s="319" t="n"/>
      <c r="O364" s="319" t="n"/>
      <c r="P364" s="319" t="n"/>
      <c r="Q364" s="319" t="n"/>
      <c r="R364" s="319" t="n"/>
      <c r="S364" s="319" t="n"/>
      <c r="T364" s="319" t="n"/>
      <c r="U364" s="319" t="n"/>
      <c r="V364" s="319" t="n"/>
      <c r="W364" s="319" t="n"/>
      <c r="X364" s="319" t="n"/>
      <c r="Y364" s="319" t="n"/>
      <c r="Z364" s="319" t="n"/>
    </row>
    <row r="365">
      <c r="A365" s="319" t="n"/>
      <c r="B365" s="319" t="n"/>
      <c r="C365" s="319" t="n"/>
      <c r="D365" s="319" t="n"/>
      <c r="E365" s="319" t="n"/>
      <c r="F365" s="319" t="n"/>
      <c r="G365" s="319" t="n"/>
      <c r="H365" s="319" t="n"/>
      <c r="I365" s="319" t="n"/>
      <c r="J365" s="319" t="n"/>
      <c r="K365" s="319" t="n"/>
      <c r="L365" s="319" t="n"/>
      <c r="M365" s="319" t="n"/>
      <c r="N365" s="319" t="n"/>
      <c r="O365" s="319" t="n"/>
      <c r="P365" s="319" t="n"/>
      <c r="Q365" s="319" t="n"/>
      <c r="R365" s="319" t="n"/>
      <c r="S365" s="319" t="n"/>
      <c r="T365" s="319" t="n"/>
      <c r="U365" s="319" t="n"/>
      <c r="V365" s="319" t="n"/>
      <c r="W365" s="319" t="n"/>
      <c r="X365" s="319" t="n"/>
      <c r="Y365" s="319" t="n"/>
      <c r="Z365" s="319" t="n"/>
    </row>
    <row r="366">
      <c r="A366" s="319" t="n"/>
      <c r="B366" s="319" t="n"/>
      <c r="C366" s="319" t="n"/>
      <c r="D366" s="319" t="n"/>
      <c r="E366" s="319" t="n"/>
      <c r="F366" s="319" t="n"/>
      <c r="G366" s="319" t="n"/>
      <c r="H366" s="319" t="n"/>
      <c r="I366" s="319" t="n"/>
      <c r="J366" s="319" t="n"/>
      <c r="K366" s="319" t="n"/>
      <c r="L366" s="319" t="n"/>
      <c r="M366" s="319" t="n"/>
      <c r="N366" s="319" t="n"/>
      <c r="O366" s="319" t="n"/>
      <c r="P366" s="319" t="n"/>
      <c r="Q366" s="319" t="n"/>
      <c r="R366" s="319" t="n"/>
      <c r="S366" s="319" t="n"/>
      <c r="T366" s="319" t="n"/>
      <c r="U366" s="319" t="n"/>
      <c r="V366" s="319" t="n"/>
      <c r="W366" s="319" t="n"/>
      <c r="X366" s="319" t="n"/>
      <c r="Y366" s="319" t="n"/>
      <c r="Z366" s="319" t="n"/>
    </row>
    <row r="367">
      <c r="A367" s="319" t="n"/>
      <c r="B367" s="319" t="n"/>
      <c r="C367" s="319" t="n"/>
      <c r="D367" s="319" t="n"/>
      <c r="E367" s="319" t="n"/>
      <c r="F367" s="319" t="n"/>
      <c r="G367" s="319" t="n"/>
      <c r="H367" s="319" t="n"/>
      <c r="I367" s="319" t="n"/>
      <c r="J367" s="319" t="n"/>
      <c r="K367" s="319" t="n"/>
      <c r="L367" s="319" t="n"/>
      <c r="M367" s="319" t="n"/>
      <c r="N367" s="319" t="n"/>
      <c r="O367" s="319" t="n"/>
      <c r="P367" s="319" t="n"/>
      <c r="Q367" s="319" t="n"/>
      <c r="R367" s="319" t="n"/>
      <c r="S367" s="319" t="n"/>
      <c r="T367" s="319" t="n"/>
      <c r="U367" s="319" t="n"/>
      <c r="V367" s="319" t="n"/>
      <c r="W367" s="319" t="n"/>
      <c r="X367" s="319" t="n"/>
      <c r="Y367" s="319" t="n"/>
      <c r="Z367" s="319" t="n"/>
    </row>
    <row r="368">
      <c r="A368" s="319" t="n"/>
      <c r="B368" s="319" t="n"/>
      <c r="C368" s="319" t="n"/>
      <c r="D368" s="319" t="n"/>
      <c r="E368" s="319" t="n"/>
      <c r="F368" s="319" t="n"/>
      <c r="G368" s="319" t="n"/>
      <c r="H368" s="319" t="n"/>
      <c r="I368" s="319" t="n"/>
      <c r="J368" s="319" t="n"/>
      <c r="K368" s="319" t="n"/>
      <c r="L368" s="319" t="n"/>
      <c r="M368" s="319" t="n"/>
      <c r="N368" s="319" t="n"/>
      <c r="O368" s="319" t="n"/>
      <c r="P368" s="319" t="n"/>
      <c r="Q368" s="319" t="n"/>
      <c r="R368" s="319" t="n"/>
      <c r="S368" s="319" t="n"/>
      <c r="T368" s="319" t="n"/>
      <c r="U368" s="319" t="n"/>
      <c r="V368" s="319" t="n"/>
      <c r="W368" s="319" t="n"/>
      <c r="X368" s="319" t="n"/>
      <c r="Y368" s="319" t="n"/>
      <c r="Z368" s="319" t="n"/>
    </row>
    <row r="369">
      <c r="A369" s="319" t="n"/>
      <c r="B369" s="319" t="n"/>
      <c r="C369" s="319" t="n"/>
      <c r="D369" s="319" t="n"/>
      <c r="E369" s="319" t="n"/>
      <c r="F369" s="319" t="n"/>
      <c r="G369" s="319" t="n"/>
      <c r="H369" s="319" t="n"/>
      <c r="I369" s="319" t="n"/>
      <c r="J369" s="319" t="n"/>
      <c r="K369" s="319" t="n"/>
      <c r="L369" s="319" t="n"/>
      <c r="M369" s="319" t="n"/>
      <c r="N369" s="319" t="n"/>
      <c r="O369" s="319" t="n"/>
      <c r="P369" s="319" t="n"/>
      <c r="Q369" s="319" t="n"/>
      <c r="R369" s="319" t="n"/>
      <c r="S369" s="319" t="n"/>
      <c r="T369" s="319" t="n"/>
      <c r="U369" s="319" t="n"/>
      <c r="V369" s="319" t="n"/>
      <c r="W369" s="319" t="n"/>
      <c r="X369" s="319" t="n"/>
      <c r="Y369" s="319" t="n"/>
      <c r="Z369" s="319" t="n"/>
    </row>
    <row r="370">
      <c r="A370" s="319" t="n"/>
      <c r="B370" s="319" t="n"/>
      <c r="C370" s="319" t="n"/>
      <c r="D370" s="319" t="n"/>
      <c r="E370" s="319" t="n"/>
      <c r="F370" s="319" t="n"/>
      <c r="G370" s="319" t="n"/>
      <c r="H370" s="319" t="n"/>
      <c r="I370" s="319" t="n"/>
      <c r="J370" s="319" t="n"/>
      <c r="K370" s="319" t="n"/>
      <c r="L370" s="319" t="n"/>
      <c r="M370" s="319" t="n"/>
      <c r="N370" s="319" t="n"/>
      <c r="O370" s="319" t="n"/>
      <c r="P370" s="319" t="n"/>
      <c r="Q370" s="319" t="n"/>
      <c r="R370" s="319" t="n"/>
      <c r="S370" s="319" t="n"/>
      <c r="T370" s="319" t="n"/>
      <c r="U370" s="319" t="n"/>
      <c r="V370" s="319" t="n"/>
      <c r="W370" s="319" t="n"/>
      <c r="X370" s="319" t="n"/>
      <c r="Y370" s="319" t="n"/>
      <c r="Z370" s="319" t="n"/>
    </row>
    <row r="371">
      <c r="A371" s="319" t="n"/>
      <c r="B371" s="319" t="n"/>
      <c r="C371" s="319" t="n"/>
      <c r="D371" s="319" t="n"/>
      <c r="E371" s="319" t="n"/>
      <c r="F371" s="319" t="n"/>
      <c r="G371" s="319" t="n"/>
      <c r="H371" s="319" t="n"/>
      <c r="I371" s="319" t="n"/>
      <c r="J371" s="319" t="n"/>
      <c r="K371" s="319" t="n"/>
      <c r="L371" s="319" t="n"/>
      <c r="M371" s="319" t="n"/>
      <c r="N371" s="319" t="n"/>
      <c r="O371" s="319" t="n"/>
      <c r="P371" s="319" t="n"/>
      <c r="Q371" s="319" t="n"/>
      <c r="R371" s="319" t="n"/>
      <c r="S371" s="319" t="n"/>
      <c r="T371" s="319" t="n"/>
      <c r="U371" s="319" t="n"/>
      <c r="V371" s="319" t="n"/>
      <c r="W371" s="319" t="n"/>
      <c r="X371" s="319" t="n"/>
      <c r="Y371" s="319" t="n"/>
      <c r="Z371" s="319" t="n"/>
    </row>
    <row r="372">
      <c r="A372" s="319" t="n"/>
      <c r="B372" s="319" t="n"/>
      <c r="C372" s="319" t="n"/>
      <c r="D372" s="319" t="n"/>
      <c r="E372" s="319" t="n"/>
      <c r="F372" s="319" t="n"/>
      <c r="G372" s="319" t="n"/>
      <c r="H372" s="319" t="n"/>
      <c r="I372" s="319" t="n"/>
      <c r="J372" s="319" t="n"/>
      <c r="K372" s="319" t="n"/>
      <c r="L372" s="319" t="n"/>
      <c r="M372" s="319" t="n"/>
      <c r="N372" s="319" t="n"/>
      <c r="O372" s="319" t="n"/>
      <c r="P372" s="319" t="n"/>
      <c r="Q372" s="319" t="n"/>
      <c r="R372" s="319" t="n"/>
      <c r="S372" s="319" t="n"/>
      <c r="T372" s="319" t="n"/>
      <c r="U372" s="319" t="n"/>
      <c r="V372" s="319" t="n"/>
      <c r="W372" s="319" t="n"/>
      <c r="X372" s="319" t="n"/>
      <c r="Y372" s="319" t="n"/>
      <c r="Z372" s="319" t="n"/>
    </row>
    <row r="373">
      <c r="A373" s="319" t="n"/>
      <c r="B373" s="319" t="n"/>
      <c r="C373" s="319" t="n"/>
      <c r="D373" s="319" t="n"/>
      <c r="E373" s="319" t="n"/>
      <c r="F373" s="319" t="n"/>
      <c r="G373" s="319" t="n"/>
      <c r="H373" s="319" t="n"/>
      <c r="I373" s="319" t="n"/>
      <c r="J373" s="319" t="n"/>
      <c r="K373" s="319" t="n"/>
      <c r="L373" s="319" t="n"/>
      <c r="M373" s="319" t="n"/>
      <c r="N373" s="319" t="n"/>
      <c r="O373" s="319" t="n"/>
      <c r="P373" s="319" t="n"/>
      <c r="Q373" s="319" t="n"/>
      <c r="R373" s="319" t="n"/>
      <c r="S373" s="319" t="n"/>
      <c r="T373" s="319" t="n"/>
      <c r="U373" s="319" t="n"/>
      <c r="V373" s="319" t="n"/>
      <c r="W373" s="319" t="n"/>
      <c r="X373" s="319" t="n"/>
      <c r="Y373" s="319" t="n"/>
      <c r="Z373" s="319" t="n"/>
    </row>
    <row r="374">
      <c r="A374" s="319" t="n"/>
      <c r="B374" s="319" t="n"/>
      <c r="C374" s="319" t="n"/>
      <c r="D374" s="319" t="n"/>
      <c r="E374" s="319" t="n"/>
      <c r="F374" s="319" t="n"/>
      <c r="G374" s="319" t="n"/>
      <c r="H374" s="319" t="n"/>
      <c r="I374" s="319" t="n"/>
      <c r="J374" s="319" t="n"/>
      <c r="K374" s="319" t="n"/>
      <c r="L374" s="319" t="n"/>
      <c r="M374" s="319" t="n"/>
      <c r="N374" s="319" t="n"/>
      <c r="O374" s="319" t="n"/>
      <c r="P374" s="319" t="n"/>
      <c r="Q374" s="319" t="n"/>
      <c r="R374" s="319" t="n"/>
      <c r="S374" s="319" t="n"/>
      <c r="T374" s="319" t="n"/>
      <c r="U374" s="319" t="n"/>
      <c r="V374" s="319" t="n"/>
      <c r="W374" s="319" t="n"/>
      <c r="X374" s="319" t="n"/>
      <c r="Y374" s="319" t="n"/>
      <c r="Z374" s="319" t="n"/>
    </row>
    <row r="375">
      <c r="A375" s="319" t="n"/>
      <c r="B375" s="319" t="n"/>
      <c r="C375" s="319" t="n"/>
      <c r="D375" s="319" t="n"/>
      <c r="E375" s="319" t="n"/>
      <c r="F375" s="319" t="n"/>
      <c r="G375" s="319" t="n"/>
      <c r="H375" s="319" t="n"/>
      <c r="I375" s="319" t="n"/>
      <c r="J375" s="319" t="n"/>
      <c r="K375" s="319" t="n"/>
      <c r="L375" s="319" t="n"/>
      <c r="M375" s="319" t="n"/>
      <c r="N375" s="319" t="n"/>
      <c r="O375" s="319" t="n"/>
      <c r="P375" s="319" t="n"/>
      <c r="Q375" s="319" t="n"/>
      <c r="R375" s="319" t="n"/>
      <c r="S375" s="319" t="n"/>
      <c r="T375" s="319" t="n"/>
      <c r="U375" s="319" t="n"/>
      <c r="V375" s="319" t="n"/>
      <c r="W375" s="319" t="n"/>
      <c r="X375" s="319" t="n"/>
      <c r="Y375" s="319" t="n"/>
      <c r="Z375" s="319" t="n"/>
    </row>
    <row r="376">
      <c r="A376" s="319" t="n"/>
      <c r="B376" s="319" t="n"/>
      <c r="C376" s="319" t="n"/>
      <c r="D376" s="319" t="n"/>
      <c r="E376" s="319" t="n"/>
      <c r="F376" s="319" t="n"/>
      <c r="G376" s="319" t="n"/>
      <c r="H376" s="319" t="n"/>
      <c r="I376" s="319" t="n"/>
      <c r="J376" s="319" t="n"/>
      <c r="K376" s="319" t="n"/>
      <c r="L376" s="319" t="n"/>
      <c r="M376" s="319" t="n"/>
      <c r="N376" s="319" t="n"/>
      <c r="O376" s="319" t="n"/>
      <c r="P376" s="319" t="n"/>
      <c r="Q376" s="319" t="n"/>
      <c r="R376" s="319" t="n"/>
      <c r="S376" s="319" t="n"/>
      <c r="T376" s="319" t="n"/>
      <c r="U376" s="319" t="n"/>
      <c r="V376" s="319" t="n"/>
      <c r="W376" s="319" t="n"/>
      <c r="X376" s="319" t="n"/>
      <c r="Y376" s="319" t="n"/>
      <c r="Z376" s="319" t="n"/>
    </row>
    <row r="377">
      <c r="A377" s="319" t="n"/>
      <c r="B377" s="319" t="n"/>
      <c r="C377" s="319" t="n"/>
      <c r="D377" s="319" t="n"/>
      <c r="E377" s="319" t="n"/>
      <c r="F377" s="319" t="n"/>
      <c r="G377" s="319" t="n"/>
      <c r="H377" s="319" t="n"/>
      <c r="I377" s="319" t="n"/>
      <c r="J377" s="319" t="n"/>
      <c r="K377" s="319" t="n"/>
      <c r="L377" s="319" t="n"/>
      <c r="M377" s="319" t="n"/>
      <c r="N377" s="319" t="n"/>
      <c r="O377" s="319" t="n"/>
      <c r="P377" s="319" t="n"/>
      <c r="Q377" s="319" t="n"/>
      <c r="R377" s="319" t="n"/>
      <c r="S377" s="319" t="n"/>
      <c r="T377" s="319" t="n"/>
      <c r="U377" s="319" t="n"/>
      <c r="V377" s="319" t="n"/>
      <c r="W377" s="319" t="n"/>
      <c r="X377" s="319" t="n"/>
      <c r="Y377" s="319" t="n"/>
      <c r="Z377" s="319" t="n"/>
    </row>
    <row r="378">
      <c r="A378" s="319" t="n"/>
      <c r="B378" s="319" t="n"/>
      <c r="C378" s="319" t="n"/>
      <c r="D378" s="319" t="n"/>
      <c r="E378" s="319" t="n"/>
      <c r="F378" s="319" t="n"/>
      <c r="G378" s="319" t="n"/>
      <c r="H378" s="319" t="n"/>
      <c r="I378" s="319" t="n"/>
      <c r="J378" s="319" t="n"/>
      <c r="K378" s="319" t="n"/>
      <c r="L378" s="319" t="n"/>
      <c r="M378" s="319" t="n"/>
      <c r="N378" s="319" t="n"/>
      <c r="O378" s="319" t="n"/>
      <c r="P378" s="319" t="n"/>
      <c r="Q378" s="319" t="n"/>
      <c r="R378" s="319" t="n"/>
      <c r="S378" s="319" t="n"/>
      <c r="T378" s="319" t="n"/>
      <c r="U378" s="319" t="n"/>
      <c r="V378" s="319" t="n"/>
      <c r="W378" s="319" t="n"/>
      <c r="X378" s="319" t="n"/>
      <c r="Y378" s="319" t="n"/>
      <c r="Z378" s="319" t="n"/>
    </row>
    <row r="379">
      <c r="A379" s="319" t="n"/>
      <c r="B379" s="319" t="n"/>
      <c r="C379" s="319" t="n"/>
      <c r="D379" s="319" t="n"/>
      <c r="E379" s="319" t="n"/>
      <c r="F379" s="319" t="n"/>
      <c r="G379" s="319" t="n"/>
      <c r="H379" s="319" t="n"/>
      <c r="I379" s="319" t="n"/>
      <c r="J379" s="319" t="n"/>
      <c r="K379" s="319" t="n"/>
      <c r="L379" s="319" t="n"/>
      <c r="M379" s="319" t="n"/>
      <c r="N379" s="319" t="n"/>
      <c r="O379" s="319" t="n"/>
      <c r="P379" s="319" t="n"/>
      <c r="Q379" s="319" t="n"/>
      <c r="R379" s="319" t="n"/>
      <c r="S379" s="319" t="n"/>
      <c r="T379" s="319" t="n"/>
      <c r="U379" s="319" t="n"/>
      <c r="V379" s="319" t="n"/>
      <c r="W379" s="319" t="n"/>
      <c r="X379" s="319" t="n"/>
      <c r="Y379" s="319" t="n"/>
      <c r="Z379" s="319" t="n"/>
    </row>
    <row r="380">
      <c r="A380" s="319" t="n"/>
      <c r="B380" s="319" t="n"/>
      <c r="C380" s="319" t="n"/>
      <c r="D380" s="319" t="n"/>
      <c r="E380" s="319" t="n"/>
      <c r="F380" s="319" t="n"/>
      <c r="G380" s="319" t="n"/>
      <c r="H380" s="319" t="n"/>
      <c r="I380" s="319" t="n"/>
      <c r="J380" s="319" t="n"/>
      <c r="K380" s="319" t="n"/>
      <c r="L380" s="319" t="n"/>
      <c r="M380" s="319" t="n"/>
      <c r="N380" s="319" t="n"/>
      <c r="O380" s="319" t="n"/>
      <c r="P380" s="319" t="n"/>
      <c r="Q380" s="319" t="n"/>
      <c r="R380" s="319" t="n"/>
      <c r="S380" s="319" t="n"/>
      <c r="T380" s="319" t="n"/>
      <c r="U380" s="319" t="n"/>
      <c r="V380" s="319" t="n"/>
      <c r="W380" s="319" t="n"/>
      <c r="X380" s="319" t="n"/>
      <c r="Y380" s="319" t="n"/>
      <c r="Z380" s="319" t="n"/>
    </row>
    <row r="381">
      <c r="A381" s="319" t="n"/>
      <c r="B381" s="319" t="n"/>
      <c r="C381" s="319" t="n"/>
      <c r="D381" s="319" t="n"/>
      <c r="E381" s="319" t="n"/>
      <c r="F381" s="319" t="n"/>
      <c r="G381" s="319" t="n"/>
      <c r="H381" s="319" t="n"/>
      <c r="I381" s="319" t="n"/>
      <c r="J381" s="319" t="n"/>
      <c r="K381" s="319" t="n"/>
      <c r="L381" s="319" t="n"/>
      <c r="M381" s="319" t="n"/>
      <c r="N381" s="319" t="n"/>
      <c r="O381" s="319" t="n"/>
      <c r="P381" s="319" t="n"/>
      <c r="Q381" s="319" t="n"/>
      <c r="R381" s="319" t="n"/>
      <c r="S381" s="319" t="n"/>
      <c r="T381" s="319" t="n"/>
      <c r="U381" s="319" t="n"/>
      <c r="V381" s="319" t="n"/>
      <c r="W381" s="319" t="n"/>
      <c r="X381" s="319" t="n"/>
      <c r="Y381" s="319" t="n"/>
      <c r="Z381" s="319" t="n"/>
    </row>
    <row r="382">
      <c r="A382" s="319" t="n"/>
      <c r="B382" s="319" t="n"/>
      <c r="C382" s="319" t="n"/>
      <c r="D382" s="319" t="n"/>
      <c r="E382" s="319" t="n"/>
      <c r="F382" s="319" t="n"/>
      <c r="G382" s="319" t="n"/>
      <c r="H382" s="319" t="n"/>
      <c r="I382" s="319" t="n"/>
      <c r="J382" s="319" t="n"/>
      <c r="K382" s="319" t="n"/>
      <c r="L382" s="319" t="n"/>
      <c r="M382" s="319" t="n"/>
      <c r="N382" s="319" t="n"/>
      <c r="O382" s="319" t="n"/>
      <c r="P382" s="319" t="n"/>
      <c r="Q382" s="319" t="n"/>
      <c r="R382" s="319" t="n"/>
      <c r="S382" s="319" t="n"/>
      <c r="T382" s="319" t="n"/>
      <c r="U382" s="319" t="n"/>
      <c r="V382" s="319" t="n"/>
      <c r="W382" s="319" t="n"/>
      <c r="X382" s="319" t="n"/>
      <c r="Y382" s="319" t="n"/>
      <c r="Z382" s="319" t="n"/>
    </row>
    <row r="383">
      <c r="A383" s="319" t="n"/>
      <c r="B383" s="319" t="n"/>
      <c r="C383" s="319" t="n"/>
      <c r="D383" s="319" t="n"/>
      <c r="E383" s="319" t="n"/>
      <c r="F383" s="319" t="n"/>
      <c r="G383" s="319" t="n"/>
      <c r="H383" s="319" t="n"/>
      <c r="I383" s="319" t="n"/>
      <c r="J383" s="319" t="n"/>
      <c r="K383" s="319" t="n"/>
      <c r="L383" s="319" t="n"/>
      <c r="M383" s="319" t="n"/>
      <c r="N383" s="319" t="n"/>
      <c r="O383" s="319" t="n"/>
      <c r="P383" s="319" t="n"/>
      <c r="Q383" s="319" t="n"/>
      <c r="R383" s="319" t="n"/>
      <c r="S383" s="319" t="n"/>
      <c r="T383" s="319" t="n"/>
      <c r="U383" s="319" t="n"/>
      <c r="V383" s="319" t="n"/>
      <c r="W383" s="319" t="n"/>
      <c r="X383" s="319" t="n"/>
      <c r="Y383" s="319" t="n"/>
      <c r="Z383" s="319" t="n"/>
    </row>
    <row r="384">
      <c r="A384" s="319" t="n"/>
      <c r="B384" s="319" t="n"/>
      <c r="C384" s="319" t="n"/>
      <c r="D384" s="319" t="n"/>
      <c r="E384" s="319" t="n"/>
      <c r="F384" s="319" t="n"/>
      <c r="G384" s="319" t="n"/>
      <c r="H384" s="319" t="n"/>
      <c r="I384" s="319" t="n"/>
      <c r="J384" s="319" t="n"/>
      <c r="K384" s="319" t="n"/>
      <c r="L384" s="319" t="n"/>
      <c r="M384" s="319" t="n"/>
      <c r="N384" s="319" t="n"/>
      <c r="O384" s="319" t="n"/>
      <c r="P384" s="319" t="n"/>
      <c r="Q384" s="319" t="n"/>
      <c r="R384" s="319" t="n"/>
      <c r="S384" s="319" t="n"/>
      <c r="T384" s="319" t="n"/>
      <c r="U384" s="319" t="n"/>
      <c r="V384" s="319" t="n"/>
      <c r="W384" s="319" t="n"/>
      <c r="X384" s="319" t="n"/>
      <c r="Y384" s="319" t="n"/>
      <c r="Z384" s="319" t="n"/>
    </row>
    <row r="385">
      <c r="A385" s="319" t="n"/>
      <c r="B385" s="319" t="n"/>
      <c r="C385" s="319" t="n"/>
      <c r="D385" s="319" t="n"/>
      <c r="E385" s="319" t="n"/>
      <c r="F385" s="319" t="n"/>
      <c r="G385" s="319" t="n"/>
      <c r="H385" s="319" t="n"/>
      <c r="I385" s="319" t="n"/>
      <c r="J385" s="319" t="n"/>
      <c r="K385" s="319" t="n"/>
      <c r="L385" s="319" t="n"/>
      <c r="M385" s="319" t="n"/>
      <c r="N385" s="319" t="n"/>
      <c r="O385" s="319" t="n"/>
      <c r="P385" s="319" t="n"/>
      <c r="Q385" s="319" t="n"/>
      <c r="R385" s="319" t="n"/>
      <c r="S385" s="319" t="n"/>
      <c r="T385" s="319" t="n"/>
      <c r="U385" s="319" t="n"/>
      <c r="V385" s="319" t="n"/>
      <c r="W385" s="319" t="n"/>
      <c r="X385" s="319" t="n"/>
      <c r="Y385" s="319" t="n"/>
      <c r="Z385" s="319" t="n"/>
    </row>
    <row r="386">
      <c r="A386" s="319" t="n"/>
      <c r="B386" s="319" t="n"/>
      <c r="C386" s="319" t="n"/>
      <c r="D386" s="319" t="n"/>
      <c r="E386" s="319" t="n"/>
      <c r="F386" s="319" t="n"/>
      <c r="G386" s="319" t="n"/>
      <c r="H386" s="319" t="n"/>
      <c r="I386" s="319" t="n"/>
      <c r="J386" s="319" t="n"/>
      <c r="K386" s="319" t="n"/>
      <c r="L386" s="319" t="n"/>
      <c r="M386" s="319" t="n"/>
      <c r="N386" s="319" t="n"/>
      <c r="O386" s="319" t="n"/>
      <c r="P386" s="319" t="n"/>
      <c r="Q386" s="319" t="n"/>
      <c r="R386" s="319" t="n"/>
      <c r="S386" s="319" t="n"/>
      <c r="T386" s="319" t="n"/>
      <c r="U386" s="319" t="n"/>
      <c r="V386" s="319" t="n"/>
      <c r="W386" s="319" t="n"/>
      <c r="X386" s="319" t="n"/>
      <c r="Y386" s="319" t="n"/>
      <c r="Z386" s="319" t="n"/>
    </row>
    <row r="387">
      <c r="A387" s="319" t="n"/>
      <c r="B387" s="319" t="n"/>
      <c r="C387" s="319" t="n"/>
      <c r="D387" s="319" t="n"/>
      <c r="E387" s="319" t="n"/>
      <c r="F387" s="319" t="n"/>
      <c r="G387" s="319" t="n"/>
      <c r="H387" s="319" t="n"/>
      <c r="I387" s="319" t="n"/>
      <c r="J387" s="319" t="n"/>
      <c r="K387" s="319" t="n"/>
      <c r="L387" s="319" t="n"/>
      <c r="M387" s="319" t="n"/>
      <c r="N387" s="319" t="n"/>
      <c r="O387" s="319" t="n"/>
      <c r="P387" s="319" t="n"/>
      <c r="Q387" s="319" t="n"/>
      <c r="R387" s="319" t="n"/>
      <c r="S387" s="319" t="n"/>
      <c r="T387" s="319" t="n"/>
      <c r="U387" s="319" t="n"/>
      <c r="V387" s="319" t="n"/>
      <c r="W387" s="319" t="n"/>
      <c r="X387" s="319" t="n"/>
      <c r="Y387" s="319" t="n"/>
      <c r="Z387" s="319" t="n"/>
    </row>
    <row r="388">
      <c r="A388" s="319" t="n"/>
      <c r="B388" s="319" t="n"/>
      <c r="C388" s="319" t="n"/>
      <c r="D388" s="319" t="n"/>
      <c r="E388" s="319" t="n"/>
      <c r="F388" s="319" t="n"/>
      <c r="G388" s="319" t="n"/>
      <c r="H388" s="319" t="n"/>
      <c r="I388" s="319" t="n"/>
      <c r="J388" s="319" t="n"/>
      <c r="K388" s="319" t="n"/>
      <c r="L388" s="319" t="n"/>
      <c r="M388" s="319" t="n"/>
      <c r="N388" s="319" t="n"/>
      <c r="O388" s="319" t="n"/>
      <c r="P388" s="319" t="n"/>
      <c r="Q388" s="319" t="n"/>
      <c r="R388" s="319" t="n"/>
      <c r="S388" s="319" t="n"/>
      <c r="T388" s="319" t="n"/>
      <c r="U388" s="319" t="n"/>
      <c r="V388" s="319" t="n"/>
      <c r="W388" s="319" t="n"/>
      <c r="X388" s="319" t="n"/>
      <c r="Y388" s="319" t="n"/>
      <c r="Z388" s="319" t="n"/>
    </row>
    <row r="389">
      <c r="A389" s="319" t="n"/>
      <c r="B389" s="319" t="n"/>
      <c r="C389" s="319" t="n"/>
      <c r="D389" s="319" t="n"/>
      <c r="E389" s="319" t="n"/>
      <c r="F389" s="319" t="n"/>
      <c r="G389" s="319" t="n"/>
      <c r="H389" s="319" t="n"/>
      <c r="I389" s="319" t="n"/>
      <c r="J389" s="319" t="n"/>
      <c r="K389" s="319" t="n"/>
      <c r="L389" s="319" t="n"/>
      <c r="M389" s="319" t="n"/>
      <c r="N389" s="319" t="n"/>
      <c r="O389" s="319" t="n"/>
      <c r="P389" s="319" t="n"/>
      <c r="Q389" s="319" t="n"/>
      <c r="R389" s="319" t="n"/>
      <c r="S389" s="319" t="n"/>
      <c r="T389" s="319" t="n"/>
      <c r="U389" s="319" t="n"/>
      <c r="V389" s="319" t="n"/>
      <c r="W389" s="319" t="n"/>
      <c r="X389" s="319" t="n"/>
      <c r="Y389" s="319" t="n"/>
      <c r="Z389" s="319" t="n"/>
    </row>
    <row r="390">
      <c r="A390" s="319" t="n"/>
      <c r="B390" s="319" t="n"/>
      <c r="C390" s="319" t="n"/>
      <c r="D390" s="319" t="n"/>
      <c r="E390" s="319" t="n"/>
      <c r="F390" s="319" t="n"/>
      <c r="G390" s="319" t="n"/>
      <c r="H390" s="319" t="n"/>
      <c r="I390" s="319" t="n"/>
      <c r="J390" s="319" t="n"/>
      <c r="K390" s="319" t="n"/>
      <c r="L390" s="319" t="n"/>
      <c r="M390" s="319" t="n"/>
      <c r="N390" s="319" t="n"/>
      <c r="O390" s="319" t="n"/>
      <c r="P390" s="319" t="n"/>
      <c r="Q390" s="319" t="n"/>
      <c r="R390" s="319" t="n"/>
      <c r="S390" s="319" t="n"/>
      <c r="T390" s="319" t="n"/>
      <c r="U390" s="319" t="n"/>
      <c r="V390" s="319" t="n"/>
      <c r="W390" s="319" t="n"/>
      <c r="X390" s="319" t="n"/>
      <c r="Y390" s="319" t="n"/>
      <c r="Z390" s="319" t="n"/>
    </row>
    <row r="391">
      <c r="A391" s="319" t="n"/>
      <c r="B391" s="319" t="n"/>
      <c r="C391" s="319" t="n"/>
      <c r="D391" s="319" t="n"/>
      <c r="E391" s="319" t="n"/>
      <c r="F391" s="319" t="n"/>
      <c r="G391" s="319" t="n"/>
      <c r="H391" s="319" t="n"/>
      <c r="I391" s="319" t="n"/>
      <c r="J391" s="319" t="n"/>
      <c r="K391" s="319" t="n"/>
      <c r="L391" s="319" t="n"/>
      <c r="M391" s="319" t="n"/>
      <c r="N391" s="319" t="n"/>
      <c r="O391" s="319" t="n"/>
      <c r="P391" s="319" t="n"/>
      <c r="Q391" s="319" t="n"/>
      <c r="R391" s="319" t="n"/>
      <c r="S391" s="319" t="n"/>
      <c r="T391" s="319" t="n"/>
      <c r="U391" s="319" t="n"/>
      <c r="V391" s="319" t="n"/>
      <c r="W391" s="319" t="n"/>
      <c r="X391" s="319" t="n"/>
      <c r="Y391" s="319" t="n"/>
      <c r="Z391" s="319" t="n"/>
    </row>
    <row r="392">
      <c r="A392" s="319" t="n"/>
      <c r="B392" s="319" t="n"/>
      <c r="C392" s="319" t="n"/>
      <c r="D392" s="319" t="n"/>
      <c r="E392" s="319" t="n"/>
      <c r="F392" s="319" t="n"/>
      <c r="G392" s="319" t="n"/>
      <c r="H392" s="319" t="n"/>
      <c r="I392" s="319" t="n"/>
      <c r="J392" s="319" t="n"/>
      <c r="K392" s="319" t="n"/>
      <c r="L392" s="319" t="n"/>
      <c r="M392" s="319" t="n"/>
      <c r="N392" s="319" t="n"/>
      <c r="O392" s="319" t="n"/>
      <c r="P392" s="319" t="n"/>
      <c r="Q392" s="319" t="n"/>
      <c r="R392" s="319" t="n"/>
      <c r="S392" s="319" t="n"/>
      <c r="T392" s="319" t="n"/>
      <c r="U392" s="319" t="n"/>
      <c r="V392" s="319" t="n"/>
      <c r="W392" s="319" t="n"/>
      <c r="X392" s="319" t="n"/>
      <c r="Y392" s="319" t="n"/>
      <c r="Z392" s="319" t="n"/>
    </row>
    <row r="393">
      <c r="A393" s="319" t="n"/>
      <c r="B393" s="319" t="n"/>
      <c r="C393" s="319" t="n"/>
      <c r="D393" s="319" t="n"/>
      <c r="E393" s="319" t="n"/>
      <c r="F393" s="319" t="n"/>
      <c r="G393" s="319" t="n"/>
      <c r="H393" s="319" t="n"/>
      <c r="I393" s="319" t="n"/>
      <c r="J393" s="319" t="n"/>
      <c r="K393" s="319" t="n"/>
      <c r="L393" s="319" t="n"/>
      <c r="M393" s="319" t="n"/>
      <c r="N393" s="319" t="n"/>
      <c r="O393" s="319" t="n"/>
      <c r="P393" s="319" t="n"/>
      <c r="Q393" s="319" t="n"/>
      <c r="R393" s="319" t="n"/>
      <c r="S393" s="319" t="n"/>
      <c r="T393" s="319" t="n"/>
      <c r="U393" s="319" t="n"/>
      <c r="V393" s="319" t="n"/>
      <c r="W393" s="319" t="n"/>
      <c r="X393" s="319" t="n"/>
      <c r="Y393" s="319" t="n"/>
      <c r="Z393" s="319" t="n"/>
    </row>
    <row r="394">
      <c r="A394" s="319" t="n"/>
      <c r="B394" s="319" t="n"/>
      <c r="C394" s="319" t="n"/>
      <c r="D394" s="319" t="n"/>
      <c r="E394" s="319" t="n"/>
      <c r="F394" s="319" t="n"/>
      <c r="G394" s="319" t="n"/>
      <c r="H394" s="319" t="n"/>
      <c r="I394" s="319" t="n"/>
      <c r="J394" s="319" t="n"/>
      <c r="K394" s="319" t="n"/>
      <c r="L394" s="319" t="n"/>
      <c r="M394" s="319" t="n"/>
      <c r="N394" s="319" t="n"/>
      <c r="O394" s="319" t="n"/>
      <c r="P394" s="319" t="n"/>
      <c r="Q394" s="319" t="n"/>
      <c r="R394" s="319" t="n"/>
      <c r="S394" s="319" t="n"/>
      <c r="T394" s="319" t="n"/>
      <c r="U394" s="319" t="n"/>
      <c r="V394" s="319" t="n"/>
      <c r="W394" s="319" t="n"/>
      <c r="X394" s="319" t="n"/>
      <c r="Y394" s="319" t="n"/>
      <c r="Z394" s="319" t="n"/>
    </row>
    <row r="395">
      <c r="A395" s="319" t="n"/>
      <c r="B395" s="319" t="n"/>
      <c r="C395" s="319" t="n"/>
      <c r="D395" s="319" t="n"/>
      <c r="E395" s="319" t="n"/>
      <c r="F395" s="319" t="n"/>
      <c r="G395" s="319" t="n"/>
      <c r="H395" s="319" t="n"/>
      <c r="I395" s="319" t="n"/>
      <c r="J395" s="319" t="n"/>
      <c r="K395" s="319" t="n"/>
      <c r="L395" s="319" t="n"/>
      <c r="M395" s="319" t="n"/>
      <c r="N395" s="319" t="n"/>
      <c r="O395" s="319" t="n"/>
      <c r="P395" s="319" t="n"/>
      <c r="Q395" s="319" t="n"/>
      <c r="R395" s="319" t="n"/>
      <c r="S395" s="319" t="n"/>
      <c r="T395" s="319" t="n"/>
      <c r="U395" s="319" t="n"/>
      <c r="V395" s="319" t="n"/>
      <c r="W395" s="319" t="n"/>
      <c r="X395" s="319" t="n"/>
      <c r="Y395" s="319" t="n"/>
      <c r="Z395" s="319" t="n"/>
    </row>
    <row r="396">
      <c r="A396" s="319" t="n"/>
      <c r="B396" s="319" t="n"/>
      <c r="C396" s="319" t="n"/>
      <c r="D396" s="319" t="n"/>
      <c r="E396" s="319" t="n"/>
      <c r="F396" s="319" t="n"/>
      <c r="G396" s="319" t="n"/>
      <c r="H396" s="319" t="n"/>
      <c r="I396" s="319" t="n"/>
      <c r="J396" s="319" t="n"/>
      <c r="K396" s="319" t="n"/>
      <c r="L396" s="319" t="n"/>
      <c r="M396" s="319" t="n"/>
      <c r="N396" s="319" t="n"/>
      <c r="O396" s="319" t="n"/>
      <c r="P396" s="319" t="n"/>
      <c r="Q396" s="319" t="n"/>
      <c r="R396" s="319" t="n"/>
      <c r="S396" s="319" t="n"/>
      <c r="T396" s="319" t="n"/>
      <c r="U396" s="319" t="n"/>
      <c r="V396" s="319" t="n"/>
      <c r="W396" s="319" t="n"/>
      <c r="X396" s="319" t="n"/>
      <c r="Y396" s="319" t="n"/>
      <c r="Z396" s="319" t="n"/>
    </row>
    <row r="397">
      <c r="A397" s="319" t="n"/>
      <c r="B397" s="319" t="n"/>
      <c r="C397" s="319" t="n"/>
      <c r="D397" s="319" t="n"/>
      <c r="E397" s="319" t="n"/>
      <c r="F397" s="319" t="n"/>
      <c r="G397" s="319" t="n"/>
      <c r="H397" s="319" t="n"/>
      <c r="I397" s="319" t="n"/>
      <c r="J397" s="319" t="n"/>
      <c r="K397" s="319" t="n"/>
      <c r="L397" s="319" t="n"/>
      <c r="M397" s="319" t="n"/>
      <c r="N397" s="319" t="n"/>
      <c r="O397" s="319" t="n"/>
      <c r="P397" s="319" t="n"/>
      <c r="Q397" s="319" t="n"/>
      <c r="R397" s="319" t="n"/>
      <c r="S397" s="319" t="n"/>
      <c r="T397" s="319" t="n"/>
      <c r="U397" s="319" t="n"/>
      <c r="V397" s="319" t="n"/>
      <c r="W397" s="319" t="n"/>
      <c r="X397" s="319" t="n"/>
      <c r="Y397" s="319" t="n"/>
      <c r="Z397" s="319" t="n"/>
    </row>
    <row r="398">
      <c r="A398" s="319" t="n"/>
      <c r="B398" s="319" t="n"/>
      <c r="C398" s="319" t="n"/>
      <c r="D398" s="319" t="n"/>
      <c r="E398" s="319" t="n"/>
      <c r="F398" s="319" t="n"/>
      <c r="G398" s="319" t="n"/>
      <c r="H398" s="319" t="n"/>
      <c r="I398" s="319" t="n"/>
      <c r="J398" s="319" t="n"/>
      <c r="K398" s="319" t="n"/>
      <c r="L398" s="319" t="n"/>
      <c r="M398" s="319" t="n"/>
      <c r="N398" s="319" t="n"/>
      <c r="O398" s="319" t="n"/>
      <c r="P398" s="319" t="n"/>
      <c r="Q398" s="319" t="n"/>
      <c r="R398" s="319" t="n"/>
      <c r="S398" s="319" t="n"/>
      <c r="T398" s="319" t="n"/>
      <c r="U398" s="319" t="n"/>
      <c r="V398" s="319" t="n"/>
      <c r="W398" s="319" t="n"/>
      <c r="X398" s="319" t="n"/>
      <c r="Y398" s="319" t="n"/>
      <c r="Z398" s="319" t="n"/>
    </row>
    <row r="399">
      <c r="A399" s="319" t="n"/>
      <c r="B399" s="319" t="n"/>
      <c r="C399" s="319" t="n"/>
      <c r="D399" s="319" t="n"/>
      <c r="E399" s="319" t="n"/>
      <c r="F399" s="319" t="n"/>
      <c r="G399" s="319" t="n"/>
      <c r="H399" s="319" t="n"/>
      <c r="I399" s="319" t="n"/>
      <c r="J399" s="319" t="n"/>
      <c r="K399" s="319" t="n"/>
      <c r="L399" s="319" t="n"/>
      <c r="M399" s="319" t="n"/>
      <c r="N399" s="319" t="n"/>
      <c r="O399" s="319" t="n"/>
      <c r="P399" s="319" t="n"/>
      <c r="Q399" s="319" t="n"/>
      <c r="R399" s="319" t="n"/>
      <c r="S399" s="319" t="n"/>
      <c r="T399" s="319" t="n"/>
      <c r="U399" s="319" t="n"/>
      <c r="V399" s="319" t="n"/>
      <c r="W399" s="319" t="n"/>
      <c r="X399" s="319" t="n"/>
      <c r="Y399" s="319" t="n"/>
      <c r="Z399" s="319" t="n"/>
    </row>
    <row r="400">
      <c r="A400" s="319" t="n"/>
      <c r="B400" s="319" t="n"/>
      <c r="C400" s="319" t="n"/>
      <c r="D400" s="319" t="n"/>
      <c r="E400" s="319" t="n"/>
      <c r="F400" s="319" t="n"/>
      <c r="G400" s="319" t="n"/>
      <c r="H400" s="319" t="n"/>
      <c r="I400" s="319" t="n"/>
      <c r="J400" s="319" t="n"/>
      <c r="K400" s="319" t="n"/>
      <c r="L400" s="319" t="n"/>
      <c r="M400" s="319" t="n"/>
      <c r="N400" s="319" t="n"/>
      <c r="O400" s="319" t="n"/>
      <c r="P400" s="319" t="n"/>
      <c r="Q400" s="319" t="n"/>
      <c r="R400" s="319" t="n"/>
      <c r="S400" s="319" t="n"/>
      <c r="T400" s="319" t="n"/>
      <c r="U400" s="319" t="n"/>
      <c r="V400" s="319" t="n"/>
      <c r="W400" s="319" t="n"/>
      <c r="X400" s="319" t="n"/>
      <c r="Y400" s="319" t="n"/>
      <c r="Z400" s="319" t="n"/>
    </row>
    <row r="401">
      <c r="A401" s="319" t="n"/>
      <c r="B401" s="319" t="n"/>
      <c r="C401" s="319" t="n"/>
      <c r="D401" s="319" t="n"/>
      <c r="E401" s="319" t="n"/>
      <c r="F401" s="319" t="n"/>
      <c r="G401" s="319" t="n"/>
      <c r="H401" s="319" t="n"/>
      <c r="I401" s="319" t="n"/>
      <c r="J401" s="319" t="n"/>
      <c r="K401" s="319" t="n"/>
      <c r="L401" s="319" t="n"/>
      <c r="M401" s="319" t="n"/>
      <c r="N401" s="319" t="n"/>
      <c r="O401" s="319" t="n"/>
      <c r="P401" s="319" t="n"/>
      <c r="Q401" s="319" t="n"/>
      <c r="R401" s="319" t="n"/>
      <c r="S401" s="319" t="n"/>
      <c r="T401" s="319" t="n"/>
      <c r="U401" s="319" t="n"/>
      <c r="V401" s="319" t="n"/>
      <c r="W401" s="319" t="n"/>
      <c r="X401" s="319" t="n"/>
      <c r="Y401" s="319" t="n"/>
      <c r="Z401" s="319" t="n"/>
    </row>
    <row r="402">
      <c r="A402" s="319" t="n"/>
      <c r="B402" s="319" t="n"/>
      <c r="C402" s="319" t="n"/>
      <c r="D402" s="319" t="n"/>
      <c r="E402" s="319" t="n"/>
      <c r="F402" s="319" t="n"/>
      <c r="G402" s="319" t="n"/>
      <c r="H402" s="319" t="n"/>
      <c r="I402" s="319" t="n"/>
      <c r="J402" s="319" t="n"/>
      <c r="K402" s="319" t="n"/>
      <c r="L402" s="319" t="n"/>
      <c r="M402" s="319" t="n"/>
      <c r="N402" s="319" t="n"/>
      <c r="O402" s="319" t="n"/>
      <c r="P402" s="319" t="n"/>
      <c r="Q402" s="319" t="n"/>
      <c r="R402" s="319" t="n"/>
      <c r="S402" s="319" t="n"/>
      <c r="T402" s="319" t="n"/>
      <c r="U402" s="319" t="n"/>
      <c r="V402" s="319" t="n"/>
      <c r="W402" s="319" t="n"/>
      <c r="X402" s="319" t="n"/>
      <c r="Y402" s="319" t="n"/>
      <c r="Z402" s="319" t="n"/>
    </row>
    <row r="403">
      <c r="A403" s="319" t="n"/>
      <c r="B403" s="319" t="n"/>
      <c r="C403" s="319" t="n"/>
      <c r="D403" s="319" t="n"/>
      <c r="E403" s="319" t="n"/>
      <c r="F403" s="319" t="n"/>
      <c r="G403" s="319" t="n"/>
      <c r="H403" s="319" t="n"/>
      <c r="I403" s="319" t="n"/>
      <c r="J403" s="319" t="n"/>
      <c r="K403" s="319" t="n"/>
      <c r="L403" s="319" t="n"/>
      <c r="M403" s="319" t="n"/>
      <c r="N403" s="319" t="n"/>
      <c r="O403" s="319" t="n"/>
      <c r="P403" s="319" t="n"/>
      <c r="Q403" s="319" t="n"/>
      <c r="R403" s="319" t="n"/>
      <c r="S403" s="319" t="n"/>
      <c r="T403" s="319" t="n"/>
      <c r="U403" s="319" t="n"/>
      <c r="V403" s="319" t="n"/>
      <c r="W403" s="319" t="n"/>
      <c r="X403" s="319" t="n"/>
      <c r="Y403" s="319" t="n"/>
      <c r="Z403" s="319" t="n"/>
    </row>
    <row r="404">
      <c r="A404" s="319" t="n"/>
      <c r="B404" s="319" t="n"/>
      <c r="C404" s="319" t="n"/>
      <c r="D404" s="319" t="n"/>
      <c r="E404" s="319" t="n"/>
      <c r="F404" s="319" t="n"/>
      <c r="G404" s="319" t="n"/>
      <c r="H404" s="319" t="n"/>
      <c r="I404" s="319" t="n"/>
      <c r="J404" s="319" t="n"/>
      <c r="K404" s="319" t="n"/>
      <c r="L404" s="319" t="n"/>
      <c r="M404" s="319" t="n"/>
      <c r="N404" s="319" t="n"/>
      <c r="O404" s="319" t="n"/>
      <c r="P404" s="319" t="n"/>
      <c r="Q404" s="319" t="n"/>
      <c r="R404" s="319" t="n"/>
      <c r="S404" s="319" t="n"/>
      <c r="T404" s="319" t="n"/>
      <c r="U404" s="319" t="n"/>
      <c r="V404" s="319" t="n"/>
      <c r="W404" s="319" t="n"/>
      <c r="X404" s="319" t="n"/>
      <c r="Y404" s="319" t="n"/>
      <c r="Z404" s="319" t="n"/>
    </row>
    <row r="405">
      <c r="A405" s="319" t="n"/>
      <c r="B405" s="319" t="n"/>
      <c r="C405" s="319" t="n"/>
      <c r="D405" s="319" t="n"/>
      <c r="E405" s="319" t="n"/>
      <c r="F405" s="319" t="n"/>
      <c r="G405" s="319" t="n"/>
      <c r="H405" s="319" t="n"/>
      <c r="I405" s="319" t="n"/>
      <c r="J405" s="319" t="n"/>
      <c r="K405" s="319" t="n"/>
      <c r="L405" s="319" t="n"/>
      <c r="M405" s="319" t="n"/>
      <c r="N405" s="319" t="n"/>
      <c r="O405" s="319" t="n"/>
      <c r="P405" s="319" t="n"/>
      <c r="Q405" s="319" t="n"/>
      <c r="R405" s="319" t="n"/>
      <c r="S405" s="319" t="n"/>
      <c r="T405" s="319" t="n"/>
      <c r="U405" s="319" t="n"/>
      <c r="V405" s="319" t="n"/>
      <c r="W405" s="319" t="n"/>
      <c r="X405" s="319" t="n"/>
      <c r="Y405" s="319" t="n"/>
      <c r="Z405" s="319" t="n"/>
    </row>
    <row r="406">
      <c r="A406" s="319" t="n"/>
      <c r="B406" s="319" t="n"/>
      <c r="C406" s="319" t="n"/>
      <c r="D406" s="319" t="n"/>
      <c r="E406" s="319" t="n"/>
      <c r="F406" s="319" t="n"/>
      <c r="G406" s="319" t="n"/>
      <c r="H406" s="319" t="n"/>
      <c r="I406" s="319" t="n"/>
      <c r="J406" s="319" t="n"/>
      <c r="K406" s="319" t="n"/>
      <c r="L406" s="319" t="n"/>
      <c r="M406" s="319" t="n"/>
      <c r="N406" s="319" t="n"/>
      <c r="O406" s="319" t="n"/>
      <c r="P406" s="319" t="n"/>
      <c r="Q406" s="319" t="n"/>
      <c r="R406" s="319" t="n"/>
      <c r="S406" s="319" t="n"/>
      <c r="T406" s="319" t="n"/>
      <c r="U406" s="319" t="n"/>
      <c r="V406" s="319" t="n"/>
      <c r="W406" s="319" t="n"/>
      <c r="X406" s="319" t="n"/>
      <c r="Y406" s="319" t="n"/>
      <c r="Z406" s="319" t="n"/>
    </row>
    <row r="407">
      <c r="A407" s="319" t="n"/>
      <c r="B407" s="319" t="n"/>
      <c r="C407" s="319" t="n"/>
      <c r="D407" s="319" t="n"/>
      <c r="E407" s="319" t="n"/>
      <c r="F407" s="319" t="n"/>
      <c r="G407" s="319" t="n"/>
      <c r="H407" s="319" t="n"/>
      <c r="I407" s="319" t="n"/>
      <c r="J407" s="319" t="n"/>
      <c r="K407" s="319" t="n"/>
      <c r="L407" s="319" t="n"/>
      <c r="M407" s="319" t="n"/>
      <c r="N407" s="319" t="n"/>
      <c r="O407" s="319" t="n"/>
      <c r="P407" s="319" t="n"/>
      <c r="Q407" s="319" t="n"/>
      <c r="R407" s="319" t="n"/>
      <c r="S407" s="319" t="n"/>
      <c r="T407" s="319" t="n"/>
      <c r="U407" s="319" t="n"/>
      <c r="V407" s="319" t="n"/>
      <c r="W407" s="319" t="n"/>
      <c r="X407" s="319" t="n"/>
      <c r="Y407" s="319" t="n"/>
      <c r="Z407" s="319" t="n"/>
    </row>
    <row r="408">
      <c r="A408" s="319" t="n"/>
      <c r="B408" s="319" t="n"/>
      <c r="C408" s="319" t="n"/>
      <c r="D408" s="319" t="n"/>
      <c r="E408" s="319" t="n"/>
      <c r="F408" s="319" t="n"/>
      <c r="G408" s="319" t="n"/>
      <c r="H408" s="319" t="n"/>
      <c r="I408" s="319" t="n"/>
      <c r="J408" s="319" t="n"/>
      <c r="K408" s="319" t="n"/>
      <c r="L408" s="319" t="n"/>
      <c r="M408" s="319" t="n"/>
      <c r="N408" s="319" t="n"/>
      <c r="O408" s="319" t="n"/>
      <c r="P408" s="319" t="n"/>
      <c r="Q408" s="319" t="n"/>
      <c r="R408" s="319" t="n"/>
      <c r="S408" s="319" t="n"/>
      <c r="T408" s="319" t="n"/>
      <c r="U408" s="319" t="n"/>
      <c r="V408" s="319" t="n"/>
      <c r="W408" s="319" t="n"/>
      <c r="X408" s="319" t="n"/>
      <c r="Y408" s="319" t="n"/>
      <c r="Z408" s="319" t="n"/>
    </row>
    <row r="409">
      <c r="A409" s="319" t="n"/>
      <c r="B409" s="319" t="n"/>
      <c r="C409" s="319" t="n"/>
      <c r="D409" s="319" t="n"/>
      <c r="E409" s="319" t="n"/>
      <c r="F409" s="319" t="n"/>
      <c r="G409" s="319" t="n"/>
      <c r="H409" s="319" t="n"/>
      <c r="I409" s="319" t="n"/>
      <c r="J409" s="319" t="n"/>
      <c r="K409" s="319" t="n"/>
      <c r="L409" s="319" t="n"/>
      <c r="M409" s="319" t="n"/>
      <c r="N409" s="319" t="n"/>
      <c r="O409" s="319" t="n"/>
      <c r="P409" s="319" t="n"/>
      <c r="Q409" s="319" t="n"/>
      <c r="R409" s="319" t="n"/>
      <c r="S409" s="319" t="n"/>
      <c r="T409" s="319" t="n"/>
      <c r="U409" s="319" t="n"/>
      <c r="V409" s="319" t="n"/>
      <c r="W409" s="319" t="n"/>
      <c r="X409" s="319" t="n"/>
      <c r="Y409" s="319" t="n"/>
      <c r="Z409" s="319" t="n"/>
    </row>
    <row r="410">
      <c r="A410" s="319" t="n"/>
      <c r="B410" s="319" t="n"/>
      <c r="C410" s="319" t="n"/>
      <c r="D410" s="319" t="n"/>
      <c r="E410" s="319" t="n"/>
      <c r="F410" s="319" t="n"/>
      <c r="G410" s="319" t="n"/>
      <c r="H410" s="319" t="n"/>
      <c r="I410" s="319" t="n"/>
      <c r="J410" s="319" t="n"/>
      <c r="K410" s="319" t="n"/>
      <c r="L410" s="319" t="n"/>
      <c r="M410" s="319" t="n"/>
      <c r="N410" s="319" t="n"/>
      <c r="O410" s="319" t="n"/>
      <c r="P410" s="319" t="n"/>
      <c r="Q410" s="319" t="n"/>
      <c r="R410" s="319" t="n"/>
      <c r="S410" s="319" t="n"/>
      <c r="T410" s="319" t="n"/>
      <c r="U410" s="319" t="n"/>
      <c r="V410" s="319" t="n"/>
      <c r="W410" s="319" t="n"/>
      <c r="X410" s="319" t="n"/>
      <c r="Y410" s="319" t="n"/>
      <c r="Z410" s="319" t="n"/>
    </row>
    <row r="411">
      <c r="A411" s="319" t="n"/>
      <c r="B411" s="319" t="n"/>
      <c r="C411" s="319" t="n"/>
      <c r="D411" s="319" t="n"/>
      <c r="E411" s="319" t="n"/>
      <c r="F411" s="319" t="n"/>
      <c r="G411" s="319" t="n"/>
      <c r="H411" s="319" t="n"/>
      <c r="I411" s="319" t="n"/>
      <c r="J411" s="319" t="n"/>
      <c r="K411" s="319" t="n"/>
      <c r="L411" s="319" t="n"/>
      <c r="M411" s="319" t="n"/>
      <c r="N411" s="319" t="n"/>
      <c r="O411" s="319" t="n"/>
      <c r="P411" s="319" t="n"/>
      <c r="Q411" s="319" t="n"/>
      <c r="R411" s="319" t="n"/>
      <c r="S411" s="319" t="n"/>
      <c r="T411" s="319" t="n"/>
      <c r="U411" s="319" t="n"/>
      <c r="V411" s="319" t="n"/>
      <c r="W411" s="319" t="n"/>
      <c r="X411" s="319" t="n"/>
      <c r="Y411" s="319" t="n"/>
      <c r="Z411" s="319" t="n"/>
    </row>
    <row r="412">
      <c r="A412" s="319" t="n"/>
      <c r="B412" s="319" t="n"/>
      <c r="C412" s="319" t="n"/>
      <c r="D412" s="319" t="n"/>
      <c r="E412" s="319" t="n"/>
      <c r="F412" s="319" t="n"/>
      <c r="G412" s="319" t="n"/>
      <c r="H412" s="319" t="n"/>
      <c r="I412" s="319" t="n"/>
      <c r="J412" s="319" t="n"/>
      <c r="K412" s="319" t="n"/>
      <c r="L412" s="319" t="n"/>
      <c r="M412" s="319" t="n"/>
      <c r="N412" s="319" t="n"/>
      <c r="O412" s="319" t="n"/>
      <c r="P412" s="319" t="n"/>
      <c r="Q412" s="319" t="n"/>
      <c r="R412" s="319" t="n"/>
      <c r="S412" s="319" t="n"/>
      <c r="T412" s="319" t="n"/>
      <c r="U412" s="319" t="n"/>
      <c r="V412" s="319" t="n"/>
      <c r="W412" s="319" t="n"/>
      <c r="X412" s="319" t="n"/>
      <c r="Y412" s="319" t="n"/>
      <c r="Z412" s="319" t="n"/>
    </row>
    <row r="413">
      <c r="A413" s="319" t="n"/>
      <c r="B413" s="319" t="n"/>
      <c r="C413" s="319" t="n"/>
      <c r="D413" s="319" t="n"/>
      <c r="E413" s="319" t="n"/>
      <c r="F413" s="319" t="n"/>
      <c r="G413" s="319" t="n"/>
      <c r="H413" s="319" t="n"/>
      <c r="I413" s="319" t="n"/>
      <c r="J413" s="319" t="n"/>
      <c r="K413" s="319" t="n"/>
      <c r="L413" s="319" t="n"/>
      <c r="M413" s="319" t="n"/>
      <c r="N413" s="319" t="n"/>
      <c r="O413" s="319" t="n"/>
      <c r="P413" s="319" t="n"/>
      <c r="Q413" s="319" t="n"/>
      <c r="R413" s="319" t="n"/>
      <c r="S413" s="319" t="n"/>
      <c r="T413" s="319" t="n"/>
      <c r="U413" s="319" t="n"/>
      <c r="V413" s="319" t="n"/>
      <c r="W413" s="319" t="n"/>
      <c r="X413" s="319" t="n"/>
      <c r="Y413" s="319" t="n"/>
      <c r="Z413" s="319" t="n"/>
    </row>
    <row r="414">
      <c r="A414" s="319" t="n"/>
      <c r="B414" s="319" t="n"/>
      <c r="C414" s="319" t="n"/>
      <c r="D414" s="319" t="n"/>
      <c r="E414" s="319" t="n"/>
      <c r="F414" s="319" t="n"/>
      <c r="G414" s="319" t="n"/>
      <c r="H414" s="319" t="n"/>
      <c r="I414" s="319" t="n"/>
      <c r="J414" s="319" t="n"/>
      <c r="K414" s="319" t="n"/>
      <c r="L414" s="319" t="n"/>
      <c r="M414" s="319" t="n"/>
      <c r="N414" s="319" t="n"/>
      <c r="O414" s="319" t="n"/>
      <c r="P414" s="319" t="n"/>
      <c r="Q414" s="319" t="n"/>
      <c r="R414" s="319" t="n"/>
      <c r="S414" s="319" t="n"/>
      <c r="T414" s="319" t="n"/>
      <c r="U414" s="319" t="n"/>
      <c r="V414" s="319" t="n"/>
      <c r="W414" s="319" t="n"/>
      <c r="X414" s="319" t="n"/>
      <c r="Y414" s="319" t="n"/>
      <c r="Z414" s="319" t="n"/>
    </row>
    <row r="415">
      <c r="A415" s="319" t="n"/>
      <c r="B415" s="319" t="n"/>
      <c r="C415" s="319" t="n"/>
      <c r="D415" s="319" t="n"/>
      <c r="E415" s="319" t="n"/>
      <c r="F415" s="319" t="n"/>
      <c r="G415" s="319" t="n"/>
      <c r="H415" s="319" t="n"/>
      <c r="I415" s="319" t="n"/>
      <c r="J415" s="319" t="n"/>
      <c r="K415" s="319" t="n"/>
      <c r="L415" s="319" t="n"/>
      <c r="M415" s="319" t="n"/>
      <c r="N415" s="319" t="n"/>
      <c r="O415" s="319" t="n"/>
      <c r="P415" s="319" t="n"/>
      <c r="Q415" s="319" t="n"/>
      <c r="R415" s="319" t="n"/>
      <c r="S415" s="319" t="n"/>
      <c r="T415" s="319" t="n"/>
      <c r="U415" s="319" t="n"/>
      <c r="V415" s="319" t="n"/>
      <c r="W415" s="319" t="n"/>
      <c r="X415" s="319" t="n"/>
      <c r="Y415" s="319" t="n"/>
      <c r="Z415" s="319" t="n"/>
    </row>
    <row r="416">
      <c r="A416" s="319" t="n"/>
      <c r="B416" s="319" t="n"/>
      <c r="C416" s="319" t="n"/>
      <c r="D416" s="319" t="n"/>
      <c r="E416" s="319" t="n"/>
      <c r="F416" s="319" t="n"/>
      <c r="G416" s="319" t="n"/>
      <c r="H416" s="319" t="n"/>
      <c r="I416" s="319" t="n"/>
      <c r="J416" s="319" t="n"/>
      <c r="K416" s="319" t="n"/>
      <c r="L416" s="319" t="n"/>
      <c r="M416" s="319" t="n"/>
      <c r="N416" s="319" t="n"/>
      <c r="O416" s="319" t="n"/>
      <c r="P416" s="319" t="n"/>
      <c r="Q416" s="319" t="n"/>
      <c r="R416" s="319" t="n"/>
      <c r="S416" s="319" t="n"/>
      <c r="T416" s="319" t="n"/>
      <c r="U416" s="319" t="n"/>
      <c r="V416" s="319" t="n"/>
      <c r="W416" s="319" t="n"/>
      <c r="X416" s="319" t="n"/>
      <c r="Y416" s="319" t="n"/>
      <c r="Z416" s="319" t="n"/>
    </row>
    <row r="417">
      <c r="A417" s="319" t="n"/>
      <c r="B417" s="319" t="n"/>
      <c r="C417" s="319" t="n"/>
      <c r="D417" s="319" t="n"/>
      <c r="E417" s="319" t="n"/>
      <c r="F417" s="319" t="n"/>
      <c r="G417" s="319" t="n"/>
      <c r="H417" s="319" t="n"/>
      <c r="I417" s="319" t="n"/>
      <c r="J417" s="319" t="n"/>
      <c r="K417" s="319" t="n"/>
      <c r="L417" s="319" t="n"/>
      <c r="M417" s="319" t="n"/>
      <c r="N417" s="319" t="n"/>
      <c r="O417" s="319" t="n"/>
      <c r="P417" s="319" t="n"/>
      <c r="Q417" s="319" t="n"/>
      <c r="R417" s="319" t="n"/>
      <c r="S417" s="319" t="n"/>
      <c r="T417" s="319" t="n"/>
      <c r="U417" s="319" t="n"/>
      <c r="V417" s="319" t="n"/>
      <c r="W417" s="319" t="n"/>
      <c r="X417" s="319" t="n"/>
      <c r="Y417" s="319" t="n"/>
      <c r="Z417" s="319" t="n"/>
    </row>
    <row r="418">
      <c r="A418" s="319" t="n"/>
      <c r="B418" s="319" t="n"/>
      <c r="C418" s="319" t="n"/>
      <c r="D418" s="319" t="n"/>
      <c r="E418" s="319" t="n"/>
      <c r="F418" s="319" t="n"/>
      <c r="G418" s="319" t="n"/>
      <c r="H418" s="319" t="n"/>
      <c r="I418" s="319" t="n"/>
      <c r="J418" s="319" t="n"/>
      <c r="K418" s="319" t="n"/>
      <c r="L418" s="319" t="n"/>
      <c r="M418" s="319" t="n"/>
      <c r="N418" s="319" t="n"/>
      <c r="O418" s="319" t="n"/>
      <c r="P418" s="319" t="n"/>
      <c r="Q418" s="319" t="n"/>
      <c r="R418" s="319" t="n"/>
      <c r="S418" s="319" t="n"/>
      <c r="T418" s="319" t="n"/>
      <c r="U418" s="319" t="n"/>
      <c r="V418" s="319" t="n"/>
      <c r="W418" s="319" t="n"/>
      <c r="X418" s="319" t="n"/>
      <c r="Y418" s="319" t="n"/>
      <c r="Z418" s="319" t="n"/>
    </row>
    <row r="419">
      <c r="A419" s="319" t="n"/>
      <c r="B419" s="319" t="n"/>
      <c r="C419" s="319" t="n"/>
      <c r="D419" s="319" t="n"/>
      <c r="E419" s="319" t="n"/>
      <c r="F419" s="319" t="n"/>
      <c r="G419" s="319" t="n"/>
      <c r="H419" s="319" t="n"/>
      <c r="I419" s="319" t="n"/>
      <c r="J419" s="319" t="n"/>
      <c r="K419" s="319" t="n"/>
      <c r="L419" s="319" t="n"/>
      <c r="M419" s="319" t="n"/>
      <c r="N419" s="319" t="n"/>
      <c r="O419" s="319" t="n"/>
      <c r="P419" s="319" t="n"/>
      <c r="Q419" s="319" t="n"/>
      <c r="R419" s="319" t="n"/>
      <c r="S419" s="319" t="n"/>
      <c r="T419" s="319" t="n"/>
      <c r="U419" s="319" t="n"/>
      <c r="V419" s="319" t="n"/>
      <c r="W419" s="319" t="n"/>
      <c r="X419" s="319" t="n"/>
      <c r="Y419" s="319" t="n"/>
      <c r="Z419" s="319" t="n"/>
    </row>
    <row r="420">
      <c r="A420" s="319" t="n"/>
      <c r="B420" s="319" t="n"/>
      <c r="C420" s="319" t="n"/>
      <c r="D420" s="319" t="n"/>
      <c r="E420" s="319" t="n"/>
      <c r="F420" s="319" t="n"/>
      <c r="G420" s="319" t="n"/>
      <c r="H420" s="319" t="n"/>
      <c r="I420" s="319" t="n"/>
      <c r="J420" s="319" t="n"/>
      <c r="K420" s="319" t="n"/>
      <c r="L420" s="319" t="n"/>
      <c r="M420" s="319" t="n"/>
      <c r="N420" s="319" t="n"/>
      <c r="O420" s="319" t="n"/>
      <c r="P420" s="319" t="n"/>
      <c r="Q420" s="319" t="n"/>
      <c r="R420" s="319" t="n"/>
      <c r="S420" s="319" t="n"/>
      <c r="T420" s="319" t="n"/>
      <c r="U420" s="319" t="n"/>
      <c r="V420" s="319" t="n"/>
      <c r="W420" s="319" t="n"/>
      <c r="X420" s="319" t="n"/>
      <c r="Y420" s="319" t="n"/>
      <c r="Z420" s="319" t="n"/>
    </row>
    <row r="421">
      <c r="A421" s="319" t="n"/>
      <c r="B421" s="319" t="n"/>
      <c r="C421" s="319" t="n"/>
      <c r="D421" s="319" t="n"/>
      <c r="E421" s="319" t="n"/>
      <c r="F421" s="319" t="n"/>
      <c r="G421" s="319" t="n"/>
      <c r="H421" s="319" t="n"/>
      <c r="I421" s="319" t="n"/>
      <c r="J421" s="319" t="n"/>
      <c r="K421" s="319" t="n"/>
      <c r="L421" s="319" t="n"/>
      <c r="M421" s="319" t="n"/>
      <c r="N421" s="319" t="n"/>
      <c r="O421" s="319" t="n"/>
      <c r="P421" s="319" t="n"/>
      <c r="Q421" s="319" t="n"/>
      <c r="R421" s="319" t="n"/>
      <c r="S421" s="319" t="n"/>
      <c r="T421" s="319" t="n"/>
      <c r="U421" s="319" t="n"/>
      <c r="V421" s="319" t="n"/>
      <c r="W421" s="319" t="n"/>
      <c r="X421" s="319" t="n"/>
      <c r="Y421" s="319" t="n"/>
      <c r="Z421" s="319" t="n"/>
    </row>
    <row r="422">
      <c r="A422" s="319" t="n"/>
      <c r="B422" s="319" t="n"/>
      <c r="C422" s="319" t="n"/>
      <c r="D422" s="319" t="n"/>
      <c r="E422" s="319" t="n"/>
      <c r="F422" s="319" t="n"/>
      <c r="G422" s="319" t="n"/>
      <c r="H422" s="319" t="n"/>
      <c r="I422" s="319" t="n"/>
      <c r="J422" s="319" t="n"/>
      <c r="K422" s="319" t="n"/>
      <c r="L422" s="319" t="n"/>
      <c r="M422" s="319" t="n"/>
      <c r="N422" s="319" t="n"/>
      <c r="O422" s="319" t="n"/>
      <c r="P422" s="319" t="n"/>
      <c r="Q422" s="319" t="n"/>
      <c r="R422" s="319" t="n"/>
      <c r="S422" s="319" t="n"/>
      <c r="T422" s="319" t="n"/>
      <c r="U422" s="319" t="n"/>
      <c r="V422" s="319" t="n"/>
      <c r="W422" s="319" t="n"/>
      <c r="X422" s="319" t="n"/>
      <c r="Y422" s="319" t="n"/>
      <c r="Z422" s="319" t="n"/>
    </row>
    <row r="423">
      <c r="A423" s="319" t="n"/>
      <c r="B423" s="319" t="n"/>
      <c r="C423" s="319" t="n"/>
      <c r="D423" s="319" t="n"/>
      <c r="E423" s="319" t="n"/>
      <c r="F423" s="319" t="n"/>
      <c r="G423" s="319" t="n"/>
      <c r="H423" s="319" t="n"/>
      <c r="I423" s="319" t="n"/>
      <c r="J423" s="319" t="n"/>
      <c r="K423" s="319" t="n"/>
      <c r="L423" s="319" t="n"/>
      <c r="M423" s="319" t="n"/>
      <c r="N423" s="319" t="n"/>
      <c r="O423" s="319" t="n"/>
      <c r="P423" s="319" t="n"/>
      <c r="Q423" s="319" t="n"/>
      <c r="R423" s="319" t="n"/>
      <c r="S423" s="319" t="n"/>
      <c r="T423" s="319" t="n"/>
      <c r="U423" s="319" t="n"/>
      <c r="V423" s="319" t="n"/>
      <c r="W423" s="319" t="n"/>
      <c r="X423" s="319" t="n"/>
      <c r="Y423" s="319" t="n"/>
      <c r="Z423" s="319" t="n"/>
    </row>
    <row r="424">
      <c r="A424" s="319" t="n"/>
      <c r="B424" s="319" t="n"/>
      <c r="C424" s="319" t="n"/>
      <c r="D424" s="319" t="n"/>
      <c r="E424" s="319" t="n"/>
      <c r="F424" s="319" t="n"/>
      <c r="G424" s="319" t="n"/>
      <c r="H424" s="319" t="n"/>
      <c r="I424" s="319" t="n"/>
      <c r="J424" s="319" t="n"/>
      <c r="K424" s="319" t="n"/>
      <c r="L424" s="319" t="n"/>
      <c r="M424" s="319" t="n"/>
      <c r="N424" s="319" t="n"/>
      <c r="O424" s="319" t="n"/>
      <c r="P424" s="319" t="n"/>
      <c r="Q424" s="319" t="n"/>
      <c r="R424" s="319" t="n"/>
      <c r="S424" s="319" t="n"/>
      <c r="T424" s="319" t="n"/>
      <c r="U424" s="319" t="n"/>
      <c r="V424" s="319" t="n"/>
      <c r="W424" s="319" t="n"/>
      <c r="X424" s="319" t="n"/>
      <c r="Y424" s="319" t="n"/>
      <c r="Z424" s="319" t="n"/>
    </row>
    <row r="425">
      <c r="A425" s="319" t="n"/>
      <c r="B425" s="319" t="n"/>
      <c r="C425" s="319" t="n"/>
      <c r="D425" s="319" t="n"/>
      <c r="E425" s="319" t="n"/>
      <c r="F425" s="319" t="n"/>
      <c r="G425" s="319" t="n"/>
      <c r="H425" s="319" t="n"/>
      <c r="I425" s="319" t="n"/>
      <c r="J425" s="319" t="n"/>
      <c r="K425" s="319" t="n"/>
      <c r="L425" s="319" t="n"/>
      <c r="M425" s="319" t="n"/>
      <c r="N425" s="319" t="n"/>
      <c r="O425" s="319" t="n"/>
      <c r="P425" s="319" t="n"/>
      <c r="Q425" s="319" t="n"/>
      <c r="R425" s="319" t="n"/>
      <c r="S425" s="319" t="n"/>
      <c r="T425" s="319" t="n"/>
      <c r="U425" s="319" t="n"/>
      <c r="V425" s="319" t="n"/>
      <c r="W425" s="319" t="n"/>
      <c r="X425" s="319" t="n"/>
      <c r="Y425" s="319" t="n"/>
      <c r="Z425" s="319" t="n"/>
    </row>
    <row r="426">
      <c r="A426" s="319" t="n"/>
      <c r="B426" s="319" t="n"/>
      <c r="C426" s="319" t="n"/>
      <c r="D426" s="319" t="n"/>
      <c r="E426" s="319" t="n"/>
      <c r="F426" s="319" t="n"/>
      <c r="G426" s="319" t="n"/>
      <c r="H426" s="319" t="n"/>
      <c r="I426" s="319" t="n"/>
      <c r="J426" s="319" t="n"/>
      <c r="K426" s="319" t="n"/>
      <c r="L426" s="319" t="n"/>
      <c r="M426" s="319" t="n"/>
      <c r="N426" s="319" t="n"/>
      <c r="O426" s="319" t="n"/>
      <c r="P426" s="319" t="n"/>
      <c r="Q426" s="319" t="n"/>
      <c r="R426" s="319" t="n"/>
      <c r="S426" s="319" t="n"/>
      <c r="T426" s="319" t="n"/>
      <c r="U426" s="319" t="n"/>
      <c r="V426" s="319" t="n"/>
      <c r="W426" s="319" t="n"/>
      <c r="X426" s="319" t="n"/>
      <c r="Y426" s="319" t="n"/>
      <c r="Z426" s="319" t="n"/>
    </row>
    <row r="427">
      <c r="A427" s="319" t="n"/>
      <c r="B427" s="319" t="n"/>
      <c r="C427" s="319" t="n"/>
      <c r="D427" s="319" t="n"/>
      <c r="E427" s="319" t="n"/>
      <c r="F427" s="319" t="n"/>
      <c r="G427" s="319" t="n"/>
      <c r="H427" s="319" t="n"/>
      <c r="I427" s="319" t="n"/>
      <c r="J427" s="319" t="n"/>
      <c r="K427" s="319" t="n"/>
      <c r="L427" s="319" t="n"/>
      <c r="M427" s="319" t="n"/>
      <c r="N427" s="319" t="n"/>
      <c r="O427" s="319" t="n"/>
      <c r="P427" s="319" t="n"/>
      <c r="Q427" s="319" t="n"/>
      <c r="R427" s="319" t="n"/>
      <c r="S427" s="319" t="n"/>
      <c r="T427" s="319" t="n"/>
      <c r="U427" s="319" t="n"/>
      <c r="V427" s="319" t="n"/>
      <c r="W427" s="319" t="n"/>
      <c r="X427" s="319" t="n"/>
      <c r="Y427" s="319" t="n"/>
      <c r="Z427" s="319" t="n"/>
    </row>
    <row r="428">
      <c r="A428" s="319" t="n"/>
      <c r="B428" s="319" t="n"/>
      <c r="C428" s="319" t="n"/>
      <c r="D428" s="319" t="n"/>
      <c r="E428" s="319" t="n"/>
      <c r="F428" s="319" t="n"/>
      <c r="G428" s="319" t="n"/>
      <c r="H428" s="319" t="n"/>
      <c r="I428" s="319" t="n"/>
      <c r="J428" s="319" t="n"/>
      <c r="K428" s="319" t="n"/>
      <c r="L428" s="319" t="n"/>
      <c r="M428" s="319" t="n"/>
      <c r="N428" s="319" t="n"/>
      <c r="O428" s="319" t="n"/>
      <c r="P428" s="319" t="n"/>
      <c r="Q428" s="319" t="n"/>
      <c r="R428" s="319" t="n"/>
      <c r="S428" s="319" t="n"/>
      <c r="T428" s="319" t="n"/>
      <c r="U428" s="319" t="n"/>
      <c r="V428" s="319" t="n"/>
      <c r="W428" s="319" t="n"/>
      <c r="X428" s="319" t="n"/>
      <c r="Y428" s="319" t="n"/>
      <c r="Z428" s="319" t="n"/>
    </row>
    <row r="429">
      <c r="A429" s="319" t="n"/>
      <c r="B429" s="319" t="n"/>
      <c r="C429" s="319" t="n"/>
      <c r="D429" s="319" t="n"/>
      <c r="E429" s="319" t="n"/>
      <c r="F429" s="319" t="n"/>
      <c r="G429" s="319" t="n"/>
      <c r="H429" s="319" t="n"/>
      <c r="I429" s="319" t="n"/>
      <c r="J429" s="319" t="n"/>
      <c r="K429" s="319" t="n"/>
      <c r="L429" s="319" t="n"/>
      <c r="M429" s="319" t="n"/>
      <c r="N429" s="319" t="n"/>
      <c r="O429" s="319" t="n"/>
      <c r="P429" s="319" t="n"/>
      <c r="Q429" s="319" t="n"/>
      <c r="R429" s="319" t="n"/>
      <c r="S429" s="319" t="n"/>
      <c r="T429" s="319" t="n"/>
      <c r="U429" s="319" t="n"/>
      <c r="V429" s="319" t="n"/>
      <c r="W429" s="319" t="n"/>
      <c r="X429" s="319" t="n"/>
      <c r="Y429" s="319" t="n"/>
      <c r="Z429" s="319" t="n"/>
    </row>
    <row r="430">
      <c r="A430" s="319" t="n"/>
      <c r="B430" s="319" t="n"/>
      <c r="C430" s="319" t="n"/>
      <c r="D430" s="319" t="n"/>
      <c r="E430" s="319" t="n"/>
      <c r="F430" s="319" t="n"/>
      <c r="G430" s="319" t="n"/>
      <c r="H430" s="319" t="n"/>
      <c r="I430" s="319" t="n"/>
      <c r="J430" s="319" t="n"/>
      <c r="K430" s="319" t="n"/>
      <c r="L430" s="319" t="n"/>
      <c r="M430" s="319" t="n"/>
      <c r="N430" s="319" t="n"/>
      <c r="O430" s="319" t="n"/>
      <c r="P430" s="319" t="n"/>
      <c r="Q430" s="319" t="n"/>
      <c r="R430" s="319" t="n"/>
      <c r="S430" s="319" t="n"/>
      <c r="T430" s="319" t="n"/>
      <c r="U430" s="319" t="n"/>
      <c r="V430" s="319" t="n"/>
      <c r="W430" s="319" t="n"/>
      <c r="X430" s="319" t="n"/>
      <c r="Y430" s="319" t="n"/>
      <c r="Z430" s="319" t="n"/>
    </row>
    <row r="431">
      <c r="A431" s="319" t="n"/>
      <c r="B431" s="319" t="n"/>
      <c r="C431" s="319" t="n"/>
      <c r="D431" s="319" t="n"/>
      <c r="E431" s="319" t="n"/>
      <c r="F431" s="319" t="n"/>
      <c r="G431" s="319" t="n"/>
      <c r="H431" s="319" t="n"/>
      <c r="I431" s="319" t="n"/>
      <c r="J431" s="319" t="n"/>
      <c r="K431" s="319" t="n"/>
      <c r="L431" s="319" t="n"/>
      <c r="M431" s="319" t="n"/>
      <c r="N431" s="319" t="n"/>
      <c r="O431" s="319" t="n"/>
      <c r="P431" s="319" t="n"/>
      <c r="Q431" s="319" t="n"/>
      <c r="R431" s="319" t="n"/>
      <c r="S431" s="319" t="n"/>
      <c r="T431" s="319" t="n"/>
      <c r="U431" s="319" t="n"/>
      <c r="V431" s="319" t="n"/>
      <c r="W431" s="319" t="n"/>
      <c r="X431" s="319" t="n"/>
      <c r="Y431" s="319" t="n"/>
      <c r="Z431" s="319" t="n"/>
    </row>
    <row r="432">
      <c r="A432" s="319" t="n"/>
      <c r="B432" s="319" t="n"/>
      <c r="C432" s="319" t="n"/>
      <c r="D432" s="319" t="n"/>
      <c r="E432" s="319" t="n"/>
      <c r="F432" s="319" t="n"/>
      <c r="G432" s="319" t="n"/>
      <c r="H432" s="319" t="n"/>
      <c r="I432" s="319" t="n"/>
      <c r="J432" s="319" t="n"/>
      <c r="K432" s="319" t="n"/>
      <c r="L432" s="319" t="n"/>
      <c r="M432" s="319" t="n"/>
      <c r="N432" s="319" t="n"/>
      <c r="O432" s="319" t="n"/>
      <c r="P432" s="319" t="n"/>
      <c r="Q432" s="319" t="n"/>
      <c r="R432" s="319" t="n"/>
      <c r="S432" s="319" t="n"/>
      <c r="T432" s="319" t="n"/>
      <c r="U432" s="319" t="n"/>
      <c r="V432" s="319" t="n"/>
      <c r="W432" s="319" t="n"/>
      <c r="X432" s="319" t="n"/>
      <c r="Y432" s="319" t="n"/>
      <c r="Z432" s="319" t="n"/>
    </row>
    <row r="433">
      <c r="A433" s="319" t="n"/>
      <c r="B433" s="319" t="n"/>
      <c r="C433" s="319" t="n"/>
      <c r="D433" s="319" t="n"/>
      <c r="E433" s="319" t="n"/>
      <c r="F433" s="319" t="n"/>
      <c r="G433" s="319" t="n"/>
      <c r="H433" s="319" t="n"/>
      <c r="I433" s="319" t="n"/>
      <c r="J433" s="319" t="n"/>
      <c r="K433" s="319" t="n"/>
      <c r="L433" s="319" t="n"/>
      <c r="M433" s="319" t="n"/>
      <c r="N433" s="319" t="n"/>
      <c r="O433" s="319" t="n"/>
      <c r="P433" s="319" t="n"/>
      <c r="Q433" s="319" t="n"/>
      <c r="R433" s="319" t="n"/>
      <c r="S433" s="319" t="n"/>
      <c r="T433" s="319" t="n"/>
      <c r="U433" s="319" t="n"/>
      <c r="V433" s="319" t="n"/>
      <c r="W433" s="319" t="n"/>
      <c r="X433" s="319" t="n"/>
      <c r="Y433" s="319" t="n"/>
      <c r="Z433" s="319" t="n"/>
    </row>
    <row r="434">
      <c r="A434" s="319" t="n"/>
      <c r="B434" s="319" t="n"/>
      <c r="C434" s="319" t="n"/>
      <c r="D434" s="319" t="n"/>
      <c r="E434" s="319" t="n"/>
      <c r="F434" s="319" t="n"/>
      <c r="G434" s="319" t="n"/>
      <c r="H434" s="319" t="n"/>
      <c r="I434" s="319" t="n"/>
      <c r="J434" s="319" t="n"/>
      <c r="K434" s="319" t="n"/>
      <c r="L434" s="319" t="n"/>
      <c r="M434" s="319" t="n"/>
      <c r="N434" s="319" t="n"/>
      <c r="O434" s="319" t="n"/>
      <c r="P434" s="319" t="n"/>
      <c r="Q434" s="319" t="n"/>
      <c r="R434" s="319" t="n"/>
      <c r="S434" s="319" t="n"/>
      <c r="T434" s="319" t="n"/>
      <c r="U434" s="319" t="n"/>
      <c r="V434" s="319" t="n"/>
      <c r="W434" s="319" t="n"/>
      <c r="X434" s="319" t="n"/>
      <c r="Y434" s="319" t="n"/>
      <c r="Z434" s="319" t="n"/>
    </row>
    <row r="435">
      <c r="A435" s="319" t="n"/>
      <c r="B435" s="319" t="n"/>
      <c r="C435" s="319" t="n"/>
      <c r="D435" s="319" t="n"/>
      <c r="E435" s="319" t="n"/>
      <c r="F435" s="319" t="n"/>
      <c r="G435" s="319" t="n"/>
      <c r="H435" s="319" t="n"/>
      <c r="I435" s="319" t="n"/>
      <c r="J435" s="319" t="n"/>
      <c r="K435" s="319" t="n"/>
      <c r="L435" s="319" t="n"/>
      <c r="M435" s="319" t="n"/>
      <c r="N435" s="319" t="n"/>
      <c r="O435" s="319" t="n"/>
      <c r="P435" s="319" t="n"/>
      <c r="Q435" s="319" t="n"/>
      <c r="R435" s="319" t="n"/>
      <c r="S435" s="319" t="n"/>
      <c r="T435" s="319" t="n"/>
      <c r="U435" s="319" t="n"/>
      <c r="V435" s="319" t="n"/>
      <c r="W435" s="319" t="n"/>
      <c r="X435" s="319" t="n"/>
      <c r="Y435" s="319" t="n"/>
      <c r="Z435" s="319" t="n"/>
    </row>
    <row r="436">
      <c r="A436" s="319" t="n"/>
      <c r="B436" s="319" t="n"/>
      <c r="C436" s="319" t="n"/>
      <c r="D436" s="319" t="n"/>
      <c r="E436" s="319" t="n"/>
      <c r="F436" s="319" t="n"/>
      <c r="G436" s="319" t="n"/>
      <c r="H436" s="319" t="n"/>
      <c r="I436" s="319" t="n"/>
      <c r="J436" s="319" t="n"/>
      <c r="K436" s="319" t="n"/>
      <c r="L436" s="319" t="n"/>
      <c r="M436" s="319" t="n"/>
      <c r="N436" s="319" t="n"/>
      <c r="O436" s="319" t="n"/>
      <c r="P436" s="319" t="n"/>
      <c r="Q436" s="319" t="n"/>
      <c r="R436" s="319" t="n"/>
      <c r="S436" s="319" t="n"/>
      <c r="T436" s="319" t="n"/>
      <c r="U436" s="319" t="n"/>
      <c r="V436" s="319" t="n"/>
      <c r="W436" s="319" t="n"/>
      <c r="X436" s="319" t="n"/>
      <c r="Y436" s="319" t="n"/>
      <c r="Z436" s="319" t="n"/>
    </row>
    <row r="437">
      <c r="A437" s="319" t="n"/>
      <c r="B437" s="319" t="n"/>
      <c r="C437" s="319" t="n"/>
      <c r="D437" s="319" t="n"/>
      <c r="E437" s="319" t="n"/>
      <c r="F437" s="319" t="n"/>
      <c r="G437" s="319" t="n"/>
      <c r="H437" s="319" t="n"/>
      <c r="I437" s="319" t="n"/>
      <c r="J437" s="319" t="n"/>
      <c r="K437" s="319" t="n"/>
      <c r="L437" s="319" t="n"/>
      <c r="M437" s="319" t="n"/>
      <c r="N437" s="319" t="n"/>
      <c r="O437" s="319" t="n"/>
      <c r="P437" s="319" t="n"/>
      <c r="Q437" s="319" t="n"/>
      <c r="R437" s="319" t="n"/>
      <c r="S437" s="319" t="n"/>
      <c r="T437" s="319" t="n"/>
      <c r="U437" s="319" t="n"/>
      <c r="V437" s="319" t="n"/>
      <c r="W437" s="319" t="n"/>
      <c r="X437" s="319" t="n"/>
      <c r="Y437" s="319" t="n"/>
      <c r="Z437" s="319" t="n"/>
    </row>
    <row r="438">
      <c r="A438" s="319" t="n"/>
      <c r="B438" s="319" t="n"/>
      <c r="C438" s="319" t="n"/>
      <c r="D438" s="319" t="n"/>
      <c r="E438" s="319" t="n"/>
      <c r="F438" s="319" t="n"/>
      <c r="G438" s="319" t="n"/>
      <c r="H438" s="319" t="n"/>
      <c r="I438" s="319" t="n"/>
      <c r="J438" s="319" t="n"/>
      <c r="K438" s="319" t="n"/>
      <c r="L438" s="319" t="n"/>
      <c r="M438" s="319" t="n"/>
      <c r="N438" s="319" t="n"/>
      <c r="O438" s="319" t="n"/>
      <c r="P438" s="319" t="n"/>
      <c r="Q438" s="319" t="n"/>
      <c r="R438" s="319" t="n"/>
      <c r="S438" s="319" t="n"/>
      <c r="T438" s="319" t="n"/>
      <c r="U438" s="319" t="n"/>
      <c r="V438" s="319" t="n"/>
      <c r="W438" s="319" t="n"/>
      <c r="X438" s="319" t="n"/>
      <c r="Y438" s="319" t="n"/>
      <c r="Z438" s="319" t="n"/>
    </row>
    <row r="439">
      <c r="A439" s="319" t="n"/>
      <c r="B439" s="319" t="n"/>
      <c r="C439" s="319" t="n"/>
      <c r="D439" s="319" t="n"/>
      <c r="E439" s="319" t="n"/>
      <c r="F439" s="319" t="n"/>
      <c r="G439" s="319" t="n"/>
      <c r="H439" s="319" t="n"/>
      <c r="I439" s="319" t="n"/>
      <c r="J439" s="319" t="n"/>
      <c r="K439" s="319" t="n"/>
      <c r="L439" s="319" t="n"/>
      <c r="M439" s="319" t="n"/>
      <c r="N439" s="319" t="n"/>
      <c r="O439" s="319" t="n"/>
      <c r="P439" s="319" t="n"/>
      <c r="Q439" s="319" t="n"/>
      <c r="R439" s="319" t="n"/>
      <c r="S439" s="319" t="n"/>
      <c r="T439" s="319" t="n"/>
      <c r="U439" s="319" t="n"/>
      <c r="V439" s="319" t="n"/>
      <c r="W439" s="319" t="n"/>
      <c r="X439" s="319" t="n"/>
      <c r="Y439" s="319" t="n"/>
      <c r="Z439" s="319" t="n"/>
    </row>
    <row r="440">
      <c r="A440" s="319" t="n"/>
      <c r="B440" s="319" t="n"/>
      <c r="C440" s="319" t="n"/>
      <c r="D440" s="319" t="n"/>
      <c r="E440" s="319" t="n"/>
      <c r="F440" s="319" t="n"/>
      <c r="G440" s="319" t="n"/>
      <c r="H440" s="319" t="n"/>
      <c r="I440" s="319" t="n"/>
      <c r="J440" s="319" t="n"/>
      <c r="K440" s="319" t="n"/>
      <c r="L440" s="319" t="n"/>
      <c r="M440" s="319" t="n"/>
      <c r="N440" s="319" t="n"/>
      <c r="O440" s="319" t="n"/>
      <c r="P440" s="319" t="n"/>
      <c r="Q440" s="319" t="n"/>
      <c r="R440" s="319" t="n"/>
      <c r="S440" s="319" t="n"/>
      <c r="T440" s="319" t="n"/>
      <c r="U440" s="319" t="n"/>
      <c r="V440" s="319" t="n"/>
      <c r="W440" s="319" t="n"/>
      <c r="X440" s="319" t="n"/>
      <c r="Y440" s="319" t="n"/>
      <c r="Z440" s="319" t="n"/>
    </row>
    <row r="441">
      <c r="A441" s="319" t="n"/>
      <c r="B441" s="319" t="n"/>
      <c r="C441" s="319" t="n"/>
      <c r="D441" s="319" t="n"/>
      <c r="E441" s="319" t="n"/>
      <c r="F441" s="319" t="n"/>
      <c r="G441" s="319" t="n"/>
      <c r="H441" s="319" t="n"/>
      <c r="I441" s="319" t="n"/>
      <c r="J441" s="319" t="n"/>
      <c r="K441" s="319" t="n"/>
      <c r="L441" s="319" t="n"/>
      <c r="M441" s="319" t="n"/>
      <c r="N441" s="319" t="n"/>
      <c r="O441" s="319" t="n"/>
      <c r="P441" s="319" t="n"/>
      <c r="Q441" s="319" t="n"/>
      <c r="R441" s="319" t="n"/>
      <c r="S441" s="319" t="n"/>
      <c r="T441" s="319" t="n"/>
      <c r="U441" s="319" t="n"/>
      <c r="V441" s="319" t="n"/>
      <c r="W441" s="319" t="n"/>
      <c r="X441" s="319" t="n"/>
      <c r="Y441" s="319" t="n"/>
      <c r="Z441" s="319" t="n"/>
    </row>
    <row r="442">
      <c r="A442" s="319" t="n"/>
      <c r="B442" s="319" t="n"/>
      <c r="C442" s="319" t="n"/>
      <c r="D442" s="319" t="n"/>
      <c r="E442" s="319" t="n"/>
      <c r="F442" s="319" t="n"/>
      <c r="G442" s="319" t="n"/>
      <c r="H442" s="319" t="n"/>
      <c r="I442" s="319" t="n"/>
      <c r="J442" s="319" t="n"/>
      <c r="K442" s="319" t="n"/>
      <c r="L442" s="319" t="n"/>
      <c r="M442" s="319" t="n"/>
      <c r="N442" s="319" t="n"/>
      <c r="O442" s="319" t="n"/>
      <c r="P442" s="319" t="n"/>
      <c r="Q442" s="319" t="n"/>
      <c r="R442" s="319" t="n"/>
      <c r="S442" s="319" t="n"/>
      <c r="T442" s="319" t="n"/>
      <c r="U442" s="319" t="n"/>
      <c r="V442" s="319" t="n"/>
      <c r="W442" s="319" t="n"/>
      <c r="X442" s="319" t="n"/>
      <c r="Y442" s="319" t="n"/>
      <c r="Z442" s="319" t="n"/>
    </row>
    <row r="443">
      <c r="A443" s="319" t="n"/>
      <c r="B443" s="319" t="n"/>
      <c r="C443" s="319" t="n"/>
      <c r="D443" s="319" t="n"/>
      <c r="E443" s="319" t="n"/>
      <c r="F443" s="319" t="n"/>
      <c r="G443" s="319" t="n"/>
      <c r="H443" s="319" t="n"/>
      <c r="I443" s="319" t="n"/>
      <c r="J443" s="319" t="n"/>
      <c r="K443" s="319" t="n"/>
      <c r="L443" s="319" t="n"/>
      <c r="M443" s="319" t="n"/>
      <c r="N443" s="319" t="n"/>
      <c r="O443" s="319" t="n"/>
      <c r="P443" s="319" t="n"/>
      <c r="Q443" s="319" t="n"/>
      <c r="R443" s="319" t="n"/>
      <c r="S443" s="319" t="n"/>
      <c r="T443" s="319" t="n"/>
      <c r="U443" s="319" t="n"/>
      <c r="V443" s="319" t="n"/>
      <c r="W443" s="319" t="n"/>
      <c r="X443" s="319" t="n"/>
      <c r="Y443" s="319" t="n"/>
      <c r="Z443" s="319" t="n"/>
    </row>
    <row r="444">
      <c r="A444" s="319" t="n"/>
      <c r="B444" s="319" t="n"/>
      <c r="C444" s="319" t="n"/>
      <c r="D444" s="319" t="n"/>
      <c r="E444" s="319" t="n"/>
      <c r="F444" s="319" t="n"/>
      <c r="G444" s="319" t="n"/>
      <c r="H444" s="319" t="n"/>
      <c r="I444" s="319" t="n"/>
      <c r="J444" s="319" t="n"/>
      <c r="K444" s="319" t="n"/>
      <c r="L444" s="319" t="n"/>
      <c r="M444" s="319" t="n"/>
      <c r="N444" s="319" t="n"/>
      <c r="O444" s="319" t="n"/>
      <c r="P444" s="319" t="n"/>
      <c r="Q444" s="319" t="n"/>
      <c r="R444" s="319" t="n"/>
      <c r="S444" s="319" t="n"/>
      <c r="T444" s="319" t="n"/>
      <c r="U444" s="319" t="n"/>
      <c r="V444" s="319" t="n"/>
      <c r="W444" s="319" t="n"/>
      <c r="X444" s="319" t="n"/>
      <c r="Y444" s="319" t="n"/>
      <c r="Z444" s="319" t="n"/>
    </row>
    <row r="445">
      <c r="A445" s="319" t="n"/>
      <c r="B445" s="319" t="n"/>
      <c r="C445" s="319" t="n"/>
      <c r="D445" s="319" t="n"/>
      <c r="E445" s="319" t="n"/>
      <c r="F445" s="319" t="n"/>
      <c r="G445" s="319" t="n"/>
      <c r="H445" s="319" t="n"/>
      <c r="I445" s="319" t="n"/>
      <c r="J445" s="319" t="n"/>
      <c r="K445" s="319" t="n"/>
      <c r="L445" s="319" t="n"/>
      <c r="M445" s="319" t="n"/>
      <c r="N445" s="319" t="n"/>
      <c r="O445" s="319" t="n"/>
      <c r="P445" s="319" t="n"/>
      <c r="Q445" s="319" t="n"/>
      <c r="R445" s="319" t="n"/>
      <c r="S445" s="319" t="n"/>
      <c r="T445" s="319" t="n"/>
      <c r="U445" s="319" t="n"/>
      <c r="V445" s="319" t="n"/>
      <c r="W445" s="319" t="n"/>
      <c r="X445" s="319" t="n"/>
      <c r="Y445" s="319" t="n"/>
      <c r="Z445" s="319" t="n"/>
    </row>
    <row r="446">
      <c r="A446" s="319" t="n"/>
      <c r="B446" s="319" t="n"/>
      <c r="C446" s="319" t="n"/>
      <c r="D446" s="319" t="n"/>
      <c r="E446" s="319" t="n"/>
      <c r="F446" s="319" t="n"/>
      <c r="G446" s="319" t="n"/>
      <c r="H446" s="319" t="n"/>
      <c r="I446" s="319" t="n"/>
      <c r="J446" s="319" t="n"/>
      <c r="K446" s="319" t="n"/>
      <c r="L446" s="319" t="n"/>
      <c r="M446" s="319" t="n"/>
      <c r="N446" s="319" t="n"/>
      <c r="O446" s="319" t="n"/>
      <c r="P446" s="319" t="n"/>
      <c r="Q446" s="319" t="n"/>
      <c r="R446" s="319" t="n"/>
      <c r="S446" s="319" t="n"/>
      <c r="T446" s="319" t="n"/>
      <c r="U446" s="319" t="n"/>
      <c r="V446" s="319" t="n"/>
      <c r="W446" s="319" t="n"/>
      <c r="X446" s="319" t="n"/>
      <c r="Y446" s="319" t="n"/>
      <c r="Z446" s="319" t="n"/>
    </row>
    <row r="447">
      <c r="A447" s="319" t="n"/>
      <c r="B447" s="319" t="n"/>
      <c r="C447" s="319" t="n"/>
      <c r="D447" s="319" t="n"/>
      <c r="E447" s="319" t="n"/>
      <c r="F447" s="319" t="n"/>
      <c r="G447" s="319" t="n"/>
      <c r="H447" s="319" t="n"/>
      <c r="I447" s="319" t="n"/>
      <c r="J447" s="319" t="n"/>
      <c r="K447" s="319" t="n"/>
      <c r="L447" s="319" t="n"/>
      <c r="M447" s="319" t="n"/>
      <c r="N447" s="319" t="n"/>
      <c r="O447" s="319" t="n"/>
      <c r="P447" s="319" t="n"/>
      <c r="Q447" s="319" t="n"/>
      <c r="R447" s="319" t="n"/>
      <c r="S447" s="319" t="n"/>
      <c r="T447" s="319" t="n"/>
      <c r="U447" s="319" t="n"/>
      <c r="V447" s="319" t="n"/>
      <c r="W447" s="319" t="n"/>
      <c r="X447" s="319" t="n"/>
      <c r="Y447" s="319" t="n"/>
      <c r="Z447" s="319" t="n"/>
    </row>
    <row r="448">
      <c r="A448" s="319" t="n"/>
      <c r="B448" s="319" t="n"/>
      <c r="C448" s="319" t="n"/>
      <c r="D448" s="319" t="n"/>
      <c r="E448" s="319" t="n"/>
      <c r="F448" s="319" t="n"/>
      <c r="G448" s="319" t="n"/>
      <c r="H448" s="319" t="n"/>
      <c r="I448" s="319" t="n"/>
      <c r="J448" s="319" t="n"/>
      <c r="K448" s="319" t="n"/>
      <c r="L448" s="319" t="n"/>
      <c r="M448" s="319" t="n"/>
      <c r="N448" s="319" t="n"/>
      <c r="O448" s="319" t="n"/>
      <c r="P448" s="319" t="n"/>
      <c r="Q448" s="319" t="n"/>
      <c r="R448" s="319" t="n"/>
      <c r="S448" s="319" t="n"/>
      <c r="T448" s="319" t="n"/>
      <c r="U448" s="319" t="n"/>
      <c r="V448" s="319" t="n"/>
      <c r="W448" s="319" t="n"/>
      <c r="X448" s="319" t="n"/>
      <c r="Y448" s="319" t="n"/>
      <c r="Z448" s="319" t="n"/>
    </row>
    <row r="449">
      <c r="A449" s="319" t="n"/>
      <c r="B449" s="319" t="n"/>
      <c r="C449" s="319" t="n"/>
      <c r="D449" s="319" t="n"/>
      <c r="E449" s="319" t="n"/>
      <c r="F449" s="319" t="n"/>
      <c r="G449" s="319" t="n"/>
      <c r="H449" s="319" t="n"/>
      <c r="I449" s="319" t="n"/>
      <c r="J449" s="319" t="n"/>
      <c r="K449" s="319" t="n"/>
      <c r="L449" s="319" t="n"/>
      <c r="M449" s="319" t="n"/>
      <c r="N449" s="319" t="n"/>
      <c r="O449" s="319" t="n"/>
      <c r="P449" s="319" t="n"/>
      <c r="Q449" s="319" t="n"/>
      <c r="R449" s="319" t="n"/>
      <c r="S449" s="319" t="n"/>
      <c r="T449" s="319" t="n"/>
      <c r="U449" s="319" t="n"/>
      <c r="V449" s="319" t="n"/>
      <c r="W449" s="319" t="n"/>
      <c r="X449" s="319" t="n"/>
      <c r="Y449" s="319" t="n"/>
      <c r="Z449" s="319" t="n"/>
    </row>
    <row r="450">
      <c r="A450" s="319" t="n"/>
      <c r="B450" s="319" t="n"/>
      <c r="C450" s="319" t="n"/>
      <c r="D450" s="319" t="n"/>
      <c r="E450" s="319" t="n"/>
      <c r="F450" s="319" t="n"/>
      <c r="G450" s="319" t="n"/>
      <c r="H450" s="319" t="n"/>
      <c r="I450" s="319" t="n"/>
      <c r="J450" s="319" t="n"/>
      <c r="K450" s="319" t="n"/>
      <c r="L450" s="319" t="n"/>
      <c r="M450" s="319" t="n"/>
      <c r="N450" s="319" t="n"/>
      <c r="O450" s="319" t="n"/>
      <c r="P450" s="319" t="n"/>
      <c r="Q450" s="319" t="n"/>
      <c r="R450" s="319" t="n"/>
      <c r="S450" s="319" t="n"/>
      <c r="T450" s="319" t="n"/>
      <c r="U450" s="319" t="n"/>
      <c r="V450" s="319" t="n"/>
      <c r="W450" s="319" t="n"/>
      <c r="X450" s="319" t="n"/>
      <c r="Y450" s="319" t="n"/>
      <c r="Z450" s="319" t="n"/>
    </row>
    <row r="451">
      <c r="A451" s="319" t="n"/>
      <c r="B451" s="319" t="n"/>
      <c r="C451" s="319" t="n"/>
      <c r="D451" s="319" t="n"/>
      <c r="E451" s="319" t="n"/>
      <c r="F451" s="319" t="n"/>
      <c r="G451" s="319" t="n"/>
      <c r="H451" s="319" t="n"/>
      <c r="I451" s="319" t="n"/>
      <c r="J451" s="319" t="n"/>
      <c r="K451" s="319" t="n"/>
      <c r="L451" s="319" t="n"/>
      <c r="M451" s="319" t="n"/>
      <c r="N451" s="319" t="n"/>
      <c r="O451" s="319" t="n"/>
      <c r="P451" s="319" t="n"/>
      <c r="Q451" s="319" t="n"/>
      <c r="R451" s="319" t="n"/>
      <c r="S451" s="319" t="n"/>
      <c r="T451" s="319" t="n"/>
      <c r="U451" s="319" t="n"/>
      <c r="V451" s="319" t="n"/>
      <c r="W451" s="319" t="n"/>
      <c r="X451" s="319" t="n"/>
      <c r="Y451" s="319" t="n"/>
      <c r="Z451" s="319" t="n"/>
    </row>
    <row r="452">
      <c r="A452" s="319" t="n"/>
      <c r="B452" s="319" t="n"/>
      <c r="C452" s="319" t="n"/>
      <c r="D452" s="319" t="n"/>
      <c r="E452" s="319" t="n"/>
      <c r="F452" s="319" t="n"/>
      <c r="G452" s="319" t="n"/>
      <c r="H452" s="319" t="n"/>
      <c r="I452" s="319" t="n"/>
      <c r="J452" s="319" t="n"/>
      <c r="K452" s="319" t="n"/>
      <c r="L452" s="319" t="n"/>
      <c r="M452" s="319" t="n"/>
      <c r="N452" s="319" t="n"/>
      <c r="O452" s="319" t="n"/>
      <c r="P452" s="319" t="n"/>
      <c r="Q452" s="319" t="n"/>
      <c r="R452" s="319" t="n"/>
      <c r="S452" s="319" t="n"/>
      <c r="T452" s="319" t="n"/>
      <c r="U452" s="319" t="n"/>
      <c r="V452" s="319" t="n"/>
      <c r="W452" s="319" t="n"/>
      <c r="X452" s="319" t="n"/>
      <c r="Y452" s="319" t="n"/>
      <c r="Z452" s="319" t="n"/>
    </row>
    <row r="453">
      <c r="A453" s="319" t="n"/>
      <c r="B453" s="319" t="n"/>
      <c r="C453" s="319" t="n"/>
      <c r="D453" s="319" t="n"/>
      <c r="E453" s="319" t="n"/>
      <c r="F453" s="319" t="n"/>
      <c r="G453" s="319" t="n"/>
      <c r="H453" s="319" t="n"/>
      <c r="I453" s="319" t="n"/>
      <c r="J453" s="319" t="n"/>
      <c r="K453" s="319" t="n"/>
      <c r="L453" s="319" t="n"/>
      <c r="M453" s="319" t="n"/>
      <c r="N453" s="319" t="n"/>
      <c r="O453" s="319" t="n"/>
      <c r="P453" s="319" t="n"/>
      <c r="Q453" s="319" t="n"/>
      <c r="R453" s="319" t="n"/>
      <c r="S453" s="319" t="n"/>
      <c r="T453" s="319" t="n"/>
      <c r="U453" s="319" t="n"/>
      <c r="V453" s="319" t="n"/>
      <c r="W453" s="319" t="n"/>
      <c r="X453" s="319" t="n"/>
      <c r="Y453" s="319" t="n"/>
      <c r="Z453" s="319" t="n"/>
    </row>
    <row r="454">
      <c r="A454" s="319" t="n"/>
      <c r="B454" s="319" t="n"/>
      <c r="C454" s="319" t="n"/>
      <c r="D454" s="319" t="n"/>
      <c r="E454" s="319" t="n"/>
      <c r="F454" s="319" t="n"/>
      <c r="G454" s="319" t="n"/>
      <c r="H454" s="319" t="n"/>
      <c r="I454" s="319" t="n"/>
      <c r="J454" s="319" t="n"/>
      <c r="K454" s="319" t="n"/>
      <c r="L454" s="319" t="n"/>
      <c r="M454" s="319" t="n"/>
      <c r="N454" s="319" t="n"/>
      <c r="O454" s="319" t="n"/>
      <c r="P454" s="319" t="n"/>
      <c r="Q454" s="319" t="n"/>
      <c r="R454" s="319" t="n"/>
      <c r="S454" s="319" t="n"/>
      <c r="T454" s="319" t="n"/>
      <c r="U454" s="319" t="n"/>
      <c r="V454" s="319" t="n"/>
      <c r="W454" s="319" t="n"/>
      <c r="X454" s="319" t="n"/>
      <c r="Y454" s="319" t="n"/>
      <c r="Z454" s="319" t="n"/>
    </row>
    <row r="455">
      <c r="A455" s="319" t="n"/>
      <c r="B455" s="319" t="n"/>
      <c r="C455" s="319" t="n"/>
      <c r="D455" s="319" t="n"/>
      <c r="E455" s="319" t="n"/>
      <c r="F455" s="319" t="n"/>
      <c r="G455" s="319" t="n"/>
      <c r="H455" s="319" t="n"/>
      <c r="I455" s="319" t="n"/>
      <c r="J455" s="319" t="n"/>
      <c r="K455" s="319" t="n"/>
      <c r="L455" s="319" t="n"/>
      <c r="M455" s="319" t="n"/>
      <c r="N455" s="319" t="n"/>
      <c r="O455" s="319" t="n"/>
      <c r="P455" s="319" t="n"/>
      <c r="Q455" s="319" t="n"/>
      <c r="R455" s="319" t="n"/>
      <c r="S455" s="319" t="n"/>
      <c r="T455" s="319" t="n"/>
      <c r="U455" s="319" t="n"/>
      <c r="V455" s="319" t="n"/>
      <c r="W455" s="319" t="n"/>
      <c r="X455" s="319" t="n"/>
      <c r="Y455" s="319" t="n"/>
      <c r="Z455" s="319" t="n"/>
    </row>
    <row r="456">
      <c r="A456" s="319" t="n"/>
      <c r="B456" s="319" t="n"/>
      <c r="C456" s="319" t="n"/>
      <c r="D456" s="319" t="n"/>
      <c r="E456" s="319" t="n"/>
      <c r="F456" s="319" t="n"/>
      <c r="G456" s="319" t="n"/>
      <c r="H456" s="319" t="n"/>
      <c r="I456" s="319" t="n"/>
      <c r="J456" s="319" t="n"/>
      <c r="K456" s="319" t="n"/>
      <c r="L456" s="319" t="n"/>
      <c r="M456" s="319" t="n"/>
      <c r="N456" s="319" t="n"/>
      <c r="O456" s="319" t="n"/>
      <c r="P456" s="319" t="n"/>
      <c r="Q456" s="319" t="n"/>
      <c r="R456" s="319" t="n"/>
      <c r="S456" s="319" t="n"/>
      <c r="T456" s="319" t="n"/>
      <c r="U456" s="319" t="n"/>
      <c r="V456" s="319" t="n"/>
      <c r="W456" s="319" t="n"/>
      <c r="X456" s="319" t="n"/>
      <c r="Y456" s="319" t="n"/>
      <c r="Z456" s="319" t="n"/>
    </row>
    <row r="457">
      <c r="A457" s="319" t="n"/>
      <c r="B457" s="319" t="n"/>
      <c r="C457" s="319" t="n"/>
      <c r="D457" s="319" t="n"/>
      <c r="E457" s="319" t="n"/>
      <c r="F457" s="319" t="n"/>
      <c r="G457" s="319" t="n"/>
      <c r="H457" s="319" t="n"/>
      <c r="I457" s="319" t="n"/>
      <c r="J457" s="319" t="n"/>
      <c r="K457" s="319" t="n"/>
      <c r="L457" s="319" t="n"/>
      <c r="M457" s="319" t="n"/>
      <c r="N457" s="319" t="n"/>
      <c r="O457" s="319" t="n"/>
      <c r="P457" s="319" t="n"/>
      <c r="Q457" s="319" t="n"/>
      <c r="R457" s="319" t="n"/>
      <c r="S457" s="319" t="n"/>
      <c r="T457" s="319" t="n"/>
      <c r="U457" s="319" t="n"/>
      <c r="V457" s="319" t="n"/>
      <c r="W457" s="319" t="n"/>
      <c r="X457" s="319" t="n"/>
      <c r="Y457" s="319" t="n"/>
      <c r="Z457" s="319" t="n"/>
    </row>
    <row r="458">
      <c r="A458" s="319" t="n"/>
      <c r="B458" s="319" t="n"/>
      <c r="C458" s="319" t="n"/>
      <c r="D458" s="319" t="n"/>
      <c r="E458" s="319" t="n"/>
      <c r="F458" s="319" t="n"/>
      <c r="G458" s="319" t="n"/>
      <c r="H458" s="319" t="n"/>
      <c r="I458" s="319" t="n"/>
      <c r="J458" s="319" t="n"/>
      <c r="K458" s="319" t="n"/>
      <c r="L458" s="319" t="n"/>
      <c r="M458" s="319" t="n"/>
      <c r="N458" s="319" t="n"/>
      <c r="O458" s="319" t="n"/>
      <c r="P458" s="319" t="n"/>
      <c r="Q458" s="319" t="n"/>
      <c r="R458" s="319" t="n"/>
      <c r="S458" s="319" t="n"/>
      <c r="T458" s="319" t="n"/>
      <c r="U458" s="319" t="n"/>
      <c r="V458" s="319" t="n"/>
      <c r="W458" s="319" t="n"/>
      <c r="X458" s="319" t="n"/>
      <c r="Y458" s="319" t="n"/>
      <c r="Z458" s="319" t="n"/>
    </row>
    <row r="459">
      <c r="A459" s="319" t="n"/>
      <c r="B459" s="319" t="n"/>
      <c r="C459" s="319" t="n"/>
      <c r="D459" s="319" t="n"/>
      <c r="E459" s="319" t="n"/>
      <c r="F459" s="319" t="n"/>
      <c r="G459" s="319" t="n"/>
      <c r="H459" s="319" t="n"/>
      <c r="I459" s="319" t="n"/>
      <c r="J459" s="319" t="n"/>
      <c r="K459" s="319" t="n"/>
      <c r="L459" s="319" t="n"/>
      <c r="M459" s="319" t="n"/>
      <c r="N459" s="319" t="n"/>
      <c r="O459" s="319" t="n"/>
      <c r="P459" s="319" t="n"/>
      <c r="Q459" s="319" t="n"/>
      <c r="R459" s="319" t="n"/>
      <c r="S459" s="319" t="n"/>
      <c r="T459" s="319" t="n"/>
      <c r="U459" s="319" t="n"/>
      <c r="V459" s="319" t="n"/>
      <c r="W459" s="319" t="n"/>
      <c r="X459" s="319" t="n"/>
      <c r="Y459" s="319" t="n"/>
      <c r="Z459" s="319" t="n"/>
    </row>
    <row r="460">
      <c r="A460" s="319" t="n"/>
      <c r="B460" s="319" t="n"/>
      <c r="C460" s="319" t="n"/>
      <c r="D460" s="319" t="n"/>
      <c r="E460" s="319" t="n"/>
      <c r="F460" s="319" t="n"/>
      <c r="G460" s="319" t="n"/>
      <c r="H460" s="319" t="n"/>
      <c r="I460" s="319" t="n"/>
      <c r="J460" s="319" t="n"/>
      <c r="K460" s="319" t="n"/>
      <c r="L460" s="319" t="n"/>
      <c r="M460" s="319" t="n"/>
      <c r="N460" s="319" t="n"/>
      <c r="O460" s="319" t="n"/>
      <c r="P460" s="319" t="n"/>
      <c r="Q460" s="319" t="n"/>
      <c r="R460" s="319" t="n"/>
      <c r="S460" s="319" t="n"/>
      <c r="T460" s="319" t="n"/>
      <c r="U460" s="319" t="n"/>
      <c r="V460" s="319" t="n"/>
      <c r="W460" s="319" t="n"/>
      <c r="X460" s="319" t="n"/>
      <c r="Y460" s="319" t="n"/>
      <c r="Z460" s="319" t="n"/>
    </row>
    <row r="461">
      <c r="A461" s="319" t="n"/>
      <c r="B461" s="319" t="n"/>
      <c r="C461" s="319" t="n"/>
      <c r="D461" s="319" t="n"/>
      <c r="E461" s="319" t="n"/>
      <c r="F461" s="319" t="n"/>
      <c r="G461" s="319" t="n"/>
      <c r="H461" s="319" t="n"/>
      <c r="I461" s="319" t="n"/>
      <c r="J461" s="319" t="n"/>
      <c r="K461" s="319" t="n"/>
      <c r="L461" s="319" t="n"/>
      <c r="M461" s="319" t="n"/>
      <c r="N461" s="319" t="n"/>
      <c r="O461" s="319" t="n"/>
      <c r="P461" s="319" t="n"/>
      <c r="Q461" s="319" t="n"/>
      <c r="R461" s="319" t="n"/>
      <c r="S461" s="319" t="n"/>
      <c r="T461" s="319" t="n"/>
      <c r="U461" s="319" t="n"/>
      <c r="V461" s="319" t="n"/>
      <c r="W461" s="319" t="n"/>
      <c r="X461" s="319" t="n"/>
      <c r="Y461" s="319" t="n"/>
      <c r="Z461" s="319" t="n"/>
    </row>
    <row r="462">
      <c r="A462" s="319" t="n"/>
      <c r="B462" s="319" t="n"/>
      <c r="C462" s="319" t="n"/>
      <c r="D462" s="319" t="n"/>
      <c r="E462" s="319" t="n"/>
      <c r="F462" s="319" t="n"/>
      <c r="G462" s="319" t="n"/>
      <c r="H462" s="319" t="n"/>
      <c r="I462" s="319" t="n"/>
      <c r="J462" s="319" t="n"/>
      <c r="K462" s="319" t="n"/>
      <c r="L462" s="319" t="n"/>
      <c r="M462" s="319" t="n"/>
      <c r="N462" s="319" t="n"/>
      <c r="O462" s="319" t="n"/>
      <c r="P462" s="319" t="n"/>
      <c r="Q462" s="319" t="n"/>
      <c r="R462" s="319" t="n"/>
      <c r="S462" s="319" t="n"/>
      <c r="T462" s="319" t="n"/>
      <c r="U462" s="319" t="n"/>
      <c r="V462" s="319" t="n"/>
      <c r="W462" s="319" t="n"/>
      <c r="X462" s="319" t="n"/>
      <c r="Y462" s="319" t="n"/>
      <c r="Z462" s="319" t="n"/>
    </row>
    <row r="463">
      <c r="A463" s="319" t="n"/>
      <c r="B463" s="319" t="n"/>
      <c r="C463" s="319" t="n"/>
      <c r="D463" s="319" t="n"/>
      <c r="E463" s="319" t="n"/>
      <c r="F463" s="319" t="n"/>
      <c r="G463" s="319" t="n"/>
      <c r="H463" s="319" t="n"/>
      <c r="I463" s="319" t="n"/>
      <c r="J463" s="319" t="n"/>
      <c r="K463" s="319" t="n"/>
      <c r="L463" s="319" t="n"/>
      <c r="M463" s="319" t="n"/>
      <c r="N463" s="319" t="n"/>
      <c r="O463" s="319" t="n"/>
      <c r="P463" s="319" t="n"/>
      <c r="Q463" s="319" t="n"/>
      <c r="R463" s="319" t="n"/>
      <c r="S463" s="319" t="n"/>
      <c r="T463" s="319" t="n"/>
      <c r="U463" s="319" t="n"/>
      <c r="V463" s="319" t="n"/>
      <c r="W463" s="319" t="n"/>
      <c r="X463" s="319" t="n"/>
      <c r="Y463" s="319" t="n"/>
      <c r="Z463" s="319" t="n"/>
    </row>
    <row r="464">
      <c r="A464" s="319" t="n"/>
      <c r="B464" s="319" t="n"/>
      <c r="C464" s="319" t="n"/>
      <c r="D464" s="319" t="n"/>
      <c r="E464" s="319" t="n"/>
      <c r="F464" s="319" t="n"/>
      <c r="G464" s="319" t="n"/>
      <c r="H464" s="319" t="n"/>
      <c r="I464" s="319" t="n"/>
      <c r="J464" s="319" t="n"/>
      <c r="K464" s="319" t="n"/>
      <c r="L464" s="319" t="n"/>
      <c r="M464" s="319" t="n"/>
      <c r="N464" s="319" t="n"/>
      <c r="O464" s="319" t="n"/>
      <c r="P464" s="319" t="n"/>
      <c r="Q464" s="319" t="n"/>
      <c r="R464" s="319" t="n"/>
      <c r="S464" s="319" t="n"/>
      <c r="T464" s="319" t="n"/>
      <c r="U464" s="319" t="n"/>
      <c r="V464" s="319" t="n"/>
      <c r="W464" s="319" t="n"/>
      <c r="X464" s="319" t="n"/>
      <c r="Y464" s="319" t="n"/>
      <c r="Z464" s="319" t="n"/>
    </row>
    <row r="465">
      <c r="A465" s="319" t="n"/>
      <c r="B465" s="319" t="n"/>
      <c r="C465" s="319" t="n"/>
      <c r="D465" s="319" t="n"/>
      <c r="E465" s="319" t="n"/>
      <c r="F465" s="319" t="n"/>
      <c r="G465" s="319" t="n"/>
      <c r="H465" s="319" t="n"/>
      <c r="I465" s="319" t="n"/>
      <c r="J465" s="319" t="n"/>
      <c r="K465" s="319" t="n"/>
      <c r="L465" s="319" t="n"/>
      <c r="M465" s="319" t="n"/>
      <c r="N465" s="319" t="n"/>
      <c r="O465" s="319" t="n"/>
      <c r="P465" s="319" t="n"/>
      <c r="Q465" s="319" t="n"/>
      <c r="R465" s="319" t="n"/>
      <c r="S465" s="319" t="n"/>
      <c r="T465" s="319" t="n"/>
      <c r="U465" s="319" t="n"/>
      <c r="V465" s="319" t="n"/>
      <c r="W465" s="319" t="n"/>
      <c r="X465" s="319" t="n"/>
      <c r="Y465" s="319" t="n"/>
      <c r="Z465" s="319" t="n"/>
    </row>
    <row r="466">
      <c r="A466" s="319" t="n"/>
      <c r="B466" s="319" t="n"/>
      <c r="C466" s="319" t="n"/>
      <c r="D466" s="319" t="n"/>
      <c r="E466" s="319" t="n"/>
      <c r="F466" s="319" t="n"/>
      <c r="G466" s="319" t="n"/>
      <c r="H466" s="319" t="n"/>
      <c r="I466" s="319" t="n"/>
      <c r="J466" s="319" t="n"/>
      <c r="K466" s="319" t="n"/>
      <c r="L466" s="319" t="n"/>
      <c r="M466" s="319" t="n"/>
      <c r="N466" s="319" t="n"/>
      <c r="O466" s="319" t="n"/>
      <c r="P466" s="319" t="n"/>
      <c r="Q466" s="319" t="n"/>
      <c r="R466" s="319" t="n"/>
      <c r="S466" s="319" t="n"/>
      <c r="T466" s="319" t="n"/>
      <c r="U466" s="319" t="n"/>
      <c r="V466" s="319" t="n"/>
      <c r="W466" s="319" t="n"/>
      <c r="X466" s="319" t="n"/>
      <c r="Y466" s="319" t="n"/>
      <c r="Z466" s="319" t="n"/>
    </row>
    <row r="467">
      <c r="A467" s="319" t="n"/>
      <c r="B467" s="319" t="n"/>
      <c r="C467" s="319" t="n"/>
      <c r="D467" s="319" t="n"/>
      <c r="E467" s="319" t="n"/>
      <c r="F467" s="319" t="n"/>
      <c r="G467" s="319" t="n"/>
      <c r="H467" s="319" t="n"/>
      <c r="I467" s="319" t="n"/>
      <c r="J467" s="319" t="n"/>
      <c r="K467" s="319" t="n"/>
      <c r="L467" s="319" t="n"/>
      <c r="M467" s="319" t="n"/>
      <c r="N467" s="319" t="n"/>
      <c r="O467" s="319" t="n"/>
      <c r="P467" s="319" t="n"/>
      <c r="Q467" s="319" t="n"/>
      <c r="R467" s="319" t="n"/>
      <c r="S467" s="319" t="n"/>
      <c r="T467" s="319" t="n"/>
      <c r="U467" s="319" t="n"/>
      <c r="V467" s="319" t="n"/>
      <c r="W467" s="319" t="n"/>
      <c r="X467" s="319" t="n"/>
      <c r="Y467" s="319" t="n"/>
      <c r="Z467" s="319" t="n"/>
    </row>
    <row r="468">
      <c r="A468" s="319" t="n"/>
      <c r="B468" s="319" t="n"/>
      <c r="C468" s="319" t="n"/>
      <c r="D468" s="319" t="n"/>
      <c r="E468" s="319" t="n"/>
      <c r="F468" s="319" t="n"/>
      <c r="G468" s="319" t="n"/>
      <c r="H468" s="319" t="n"/>
      <c r="I468" s="319" t="n"/>
      <c r="J468" s="319" t="n"/>
      <c r="K468" s="319" t="n"/>
      <c r="L468" s="319" t="n"/>
      <c r="M468" s="319" t="n"/>
      <c r="N468" s="319" t="n"/>
      <c r="O468" s="319" t="n"/>
      <c r="P468" s="319" t="n"/>
      <c r="Q468" s="319" t="n"/>
      <c r="R468" s="319" t="n"/>
      <c r="S468" s="319" t="n"/>
      <c r="T468" s="319" t="n"/>
      <c r="U468" s="319" t="n"/>
      <c r="V468" s="319" t="n"/>
      <c r="W468" s="319" t="n"/>
      <c r="X468" s="319" t="n"/>
      <c r="Y468" s="319" t="n"/>
      <c r="Z468" s="319" t="n"/>
    </row>
    <row r="469">
      <c r="A469" s="319" t="n"/>
      <c r="B469" s="319" t="n"/>
      <c r="C469" s="319" t="n"/>
      <c r="D469" s="319" t="n"/>
      <c r="E469" s="319" t="n"/>
      <c r="F469" s="319" t="n"/>
      <c r="G469" s="319" t="n"/>
      <c r="H469" s="319" t="n"/>
      <c r="I469" s="319" t="n"/>
      <c r="J469" s="319" t="n"/>
      <c r="K469" s="319" t="n"/>
      <c r="L469" s="319" t="n"/>
      <c r="M469" s="319" t="n"/>
      <c r="N469" s="319" t="n"/>
      <c r="O469" s="319" t="n"/>
      <c r="P469" s="319" t="n"/>
      <c r="Q469" s="319" t="n"/>
      <c r="R469" s="319" t="n"/>
      <c r="S469" s="319" t="n"/>
      <c r="T469" s="319" t="n"/>
      <c r="U469" s="319" t="n"/>
      <c r="V469" s="319" t="n"/>
      <c r="W469" s="319" t="n"/>
      <c r="X469" s="319" t="n"/>
      <c r="Y469" s="319" t="n"/>
      <c r="Z469" s="319" t="n"/>
    </row>
    <row r="470">
      <c r="A470" s="319" t="n"/>
      <c r="B470" s="319" t="n"/>
      <c r="C470" s="319" t="n"/>
      <c r="D470" s="319" t="n"/>
      <c r="E470" s="319" t="n"/>
      <c r="F470" s="319" t="n"/>
      <c r="G470" s="319" t="n"/>
      <c r="H470" s="319" t="n"/>
      <c r="I470" s="319" t="n"/>
      <c r="J470" s="319" t="n"/>
      <c r="K470" s="319" t="n"/>
      <c r="L470" s="319" t="n"/>
      <c r="M470" s="319" t="n"/>
      <c r="N470" s="319" t="n"/>
      <c r="O470" s="319" t="n"/>
      <c r="P470" s="319" t="n"/>
      <c r="Q470" s="319" t="n"/>
      <c r="R470" s="319" t="n"/>
      <c r="S470" s="319" t="n"/>
      <c r="T470" s="319" t="n"/>
      <c r="U470" s="319" t="n"/>
      <c r="V470" s="319" t="n"/>
      <c r="W470" s="319" t="n"/>
      <c r="X470" s="319" t="n"/>
      <c r="Y470" s="319" t="n"/>
      <c r="Z470" s="319" t="n"/>
    </row>
    <row r="471">
      <c r="A471" s="319" t="n"/>
      <c r="B471" s="319" t="n"/>
      <c r="C471" s="319" t="n"/>
      <c r="D471" s="319" t="n"/>
      <c r="E471" s="319" t="n"/>
      <c r="F471" s="319" t="n"/>
      <c r="G471" s="319" t="n"/>
      <c r="H471" s="319" t="n"/>
      <c r="I471" s="319" t="n"/>
      <c r="J471" s="319" t="n"/>
      <c r="K471" s="319" t="n"/>
      <c r="L471" s="319" t="n"/>
      <c r="M471" s="319" t="n"/>
      <c r="N471" s="319" t="n"/>
      <c r="O471" s="319" t="n"/>
      <c r="P471" s="319" t="n"/>
      <c r="Q471" s="319" t="n"/>
      <c r="R471" s="319" t="n"/>
      <c r="S471" s="319" t="n"/>
      <c r="T471" s="319" t="n"/>
      <c r="U471" s="319" t="n"/>
      <c r="V471" s="319" t="n"/>
      <c r="W471" s="319" t="n"/>
      <c r="X471" s="319" t="n"/>
      <c r="Y471" s="319" t="n"/>
      <c r="Z471" s="319" t="n"/>
    </row>
    <row r="472">
      <c r="A472" s="319" t="n"/>
      <c r="B472" s="319" t="n"/>
      <c r="C472" s="319" t="n"/>
      <c r="D472" s="319" t="n"/>
      <c r="E472" s="319" t="n"/>
      <c r="F472" s="319" t="n"/>
      <c r="G472" s="319" t="n"/>
      <c r="H472" s="319" t="n"/>
      <c r="I472" s="319" t="n"/>
      <c r="J472" s="319" t="n"/>
      <c r="K472" s="319" t="n"/>
      <c r="L472" s="319" t="n"/>
      <c r="M472" s="319" t="n"/>
      <c r="N472" s="319" t="n"/>
      <c r="O472" s="319" t="n"/>
      <c r="P472" s="319" t="n"/>
      <c r="Q472" s="319" t="n"/>
      <c r="R472" s="319" t="n"/>
      <c r="S472" s="319" t="n"/>
      <c r="T472" s="319" t="n"/>
      <c r="U472" s="319" t="n"/>
      <c r="V472" s="319" t="n"/>
      <c r="W472" s="319" t="n"/>
      <c r="X472" s="319" t="n"/>
      <c r="Y472" s="319" t="n"/>
      <c r="Z472" s="319" t="n"/>
    </row>
    <row r="473">
      <c r="A473" s="319" t="n"/>
      <c r="B473" s="319" t="n"/>
      <c r="C473" s="319" t="n"/>
      <c r="D473" s="319" t="n"/>
      <c r="E473" s="319" t="n"/>
      <c r="F473" s="319" t="n"/>
      <c r="G473" s="319" t="n"/>
      <c r="H473" s="319" t="n"/>
      <c r="I473" s="319" t="n"/>
      <c r="J473" s="319" t="n"/>
      <c r="K473" s="319" t="n"/>
      <c r="L473" s="319" t="n"/>
      <c r="M473" s="319" t="n"/>
      <c r="N473" s="319" t="n"/>
      <c r="O473" s="319" t="n"/>
      <c r="P473" s="319" t="n"/>
      <c r="Q473" s="319" t="n"/>
      <c r="R473" s="319" t="n"/>
      <c r="S473" s="319" t="n"/>
      <c r="T473" s="319" t="n"/>
      <c r="U473" s="319" t="n"/>
      <c r="V473" s="319" t="n"/>
      <c r="W473" s="319" t="n"/>
      <c r="X473" s="319" t="n"/>
      <c r="Y473" s="319" t="n"/>
      <c r="Z473" s="319" t="n"/>
    </row>
    <row r="474">
      <c r="A474" s="319" t="n"/>
      <c r="B474" s="319" t="n"/>
      <c r="C474" s="319" t="n"/>
      <c r="D474" s="319" t="n"/>
      <c r="E474" s="319" t="n"/>
      <c r="F474" s="319" t="n"/>
      <c r="G474" s="319" t="n"/>
      <c r="H474" s="319" t="n"/>
      <c r="I474" s="319" t="n"/>
      <c r="J474" s="319" t="n"/>
      <c r="K474" s="319" t="n"/>
      <c r="L474" s="319" t="n"/>
      <c r="M474" s="319" t="n"/>
      <c r="N474" s="319" t="n"/>
      <c r="O474" s="319" t="n"/>
      <c r="P474" s="319" t="n"/>
      <c r="Q474" s="319" t="n"/>
      <c r="R474" s="319" t="n"/>
      <c r="S474" s="319" t="n"/>
      <c r="T474" s="319" t="n"/>
      <c r="U474" s="319" t="n"/>
      <c r="V474" s="319" t="n"/>
      <c r="W474" s="319" t="n"/>
      <c r="X474" s="319" t="n"/>
      <c r="Y474" s="319" t="n"/>
      <c r="Z474" s="319" t="n"/>
    </row>
    <row r="475">
      <c r="A475" s="319" t="n"/>
      <c r="B475" s="319" t="n"/>
      <c r="C475" s="319" t="n"/>
      <c r="D475" s="319" t="n"/>
      <c r="E475" s="319" t="n"/>
      <c r="F475" s="319" t="n"/>
      <c r="G475" s="319" t="n"/>
      <c r="H475" s="319" t="n"/>
      <c r="I475" s="319" t="n"/>
      <c r="J475" s="319" t="n"/>
      <c r="K475" s="319" t="n"/>
      <c r="L475" s="319" t="n"/>
      <c r="M475" s="319" t="n"/>
      <c r="N475" s="319" t="n"/>
      <c r="O475" s="319" t="n"/>
      <c r="P475" s="319" t="n"/>
      <c r="Q475" s="319" t="n"/>
      <c r="R475" s="319" t="n"/>
      <c r="S475" s="319" t="n"/>
      <c r="T475" s="319" t="n"/>
      <c r="U475" s="319" t="n"/>
      <c r="V475" s="319" t="n"/>
      <c r="W475" s="319" t="n"/>
      <c r="X475" s="319" t="n"/>
      <c r="Y475" s="319" t="n"/>
      <c r="Z475" s="319" t="n"/>
    </row>
    <row r="476">
      <c r="A476" s="319" t="n"/>
      <c r="B476" s="319" t="n"/>
      <c r="C476" s="319" t="n"/>
      <c r="D476" s="319" t="n"/>
      <c r="E476" s="319" t="n"/>
      <c r="F476" s="319" t="n"/>
      <c r="G476" s="319" t="n"/>
      <c r="H476" s="319" t="n"/>
      <c r="I476" s="319" t="n"/>
      <c r="J476" s="319" t="n"/>
      <c r="K476" s="319" t="n"/>
      <c r="L476" s="319" t="n"/>
      <c r="M476" s="319" t="n"/>
      <c r="N476" s="319" t="n"/>
      <c r="O476" s="319" t="n"/>
      <c r="P476" s="319" t="n"/>
      <c r="Q476" s="319" t="n"/>
      <c r="R476" s="319" t="n"/>
      <c r="S476" s="319" t="n"/>
      <c r="T476" s="319" t="n"/>
      <c r="U476" s="319" t="n"/>
      <c r="V476" s="319" t="n"/>
      <c r="W476" s="319" t="n"/>
      <c r="X476" s="319" t="n"/>
      <c r="Y476" s="319" t="n"/>
      <c r="Z476" s="319" t="n"/>
    </row>
    <row r="477">
      <c r="A477" s="319" t="n"/>
      <c r="B477" s="319" t="n"/>
      <c r="C477" s="319" t="n"/>
      <c r="D477" s="319" t="n"/>
      <c r="E477" s="319" t="n"/>
      <c r="F477" s="319" t="n"/>
      <c r="G477" s="319" t="n"/>
      <c r="H477" s="319" t="n"/>
      <c r="I477" s="319" t="n"/>
      <c r="J477" s="319" t="n"/>
      <c r="K477" s="319" t="n"/>
      <c r="L477" s="319" t="n"/>
      <c r="M477" s="319" t="n"/>
      <c r="N477" s="319" t="n"/>
      <c r="O477" s="319" t="n"/>
      <c r="P477" s="319" t="n"/>
      <c r="Q477" s="319" t="n"/>
      <c r="R477" s="319" t="n"/>
      <c r="S477" s="319" t="n"/>
      <c r="T477" s="319" t="n"/>
      <c r="U477" s="319" t="n"/>
      <c r="V477" s="319" t="n"/>
      <c r="W477" s="319" t="n"/>
      <c r="X477" s="319" t="n"/>
      <c r="Y477" s="319" t="n"/>
      <c r="Z477" s="319" t="n"/>
    </row>
    <row r="478">
      <c r="A478" s="319" t="n"/>
      <c r="B478" s="319" t="n"/>
      <c r="C478" s="319" t="n"/>
      <c r="D478" s="319" t="n"/>
      <c r="E478" s="319" t="n"/>
      <c r="F478" s="319" t="n"/>
      <c r="G478" s="319" t="n"/>
      <c r="H478" s="319" t="n"/>
      <c r="I478" s="319" t="n"/>
      <c r="J478" s="319" t="n"/>
      <c r="K478" s="319" t="n"/>
      <c r="L478" s="319" t="n"/>
      <c r="M478" s="319" t="n"/>
      <c r="N478" s="319" t="n"/>
      <c r="O478" s="319" t="n"/>
      <c r="P478" s="319" t="n"/>
      <c r="Q478" s="319" t="n"/>
      <c r="R478" s="319" t="n"/>
      <c r="S478" s="319" t="n"/>
      <c r="T478" s="319" t="n"/>
      <c r="U478" s="319" t="n"/>
      <c r="V478" s="319" t="n"/>
      <c r="W478" s="319" t="n"/>
      <c r="X478" s="319" t="n"/>
      <c r="Y478" s="319" t="n"/>
      <c r="Z478" s="319" t="n"/>
    </row>
    <row r="479">
      <c r="A479" s="319" t="n"/>
      <c r="B479" s="319" t="n"/>
      <c r="C479" s="319" t="n"/>
      <c r="D479" s="319" t="n"/>
      <c r="E479" s="319" t="n"/>
      <c r="F479" s="319" t="n"/>
      <c r="G479" s="319" t="n"/>
      <c r="H479" s="319" t="n"/>
      <c r="I479" s="319" t="n"/>
      <c r="J479" s="319" t="n"/>
      <c r="K479" s="319" t="n"/>
      <c r="L479" s="319" t="n"/>
      <c r="M479" s="319" t="n"/>
      <c r="N479" s="319" t="n"/>
      <c r="O479" s="319" t="n"/>
      <c r="P479" s="319" t="n"/>
      <c r="Q479" s="319" t="n"/>
      <c r="R479" s="319" t="n"/>
      <c r="S479" s="319" t="n"/>
      <c r="T479" s="319" t="n"/>
      <c r="U479" s="319" t="n"/>
      <c r="V479" s="319" t="n"/>
      <c r="W479" s="319" t="n"/>
      <c r="X479" s="319" t="n"/>
      <c r="Y479" s="319" t="n"/>
      <c r="Z479" s="319" t="n"/>
    </row>
    <row r="480">
      <c r="A480" s="319" t="n"/>
      <c r="B480" s="319" t="n"/>
      <c r="C480" s="319" t="n"/>
      <c r="D480" s="319" t="n"/>
      <c r="E480" s="319" t="n"/>
      <c r="F480" s="319" t="n"/>
      <c r="G480" s="319" t="n"/>
      <c r="H480" s="319" t="n"/>
      <c r="I480" s="319" t="n"/>
      <c r="J480" s="319" t="n"/>
      <c r="K480" s="319" t="n"/>
      <c r="L480" s="319" t="n"/>
      <c r="M480" s="319" t="n"/>
      <c r="N480" s="319" t="n"/>
      <c r="O480" s="319" t="n"/>
      <c r="P480" s="319" t="n"/>
      <c r="Q480" s="319" t="n"/>
      <c r="R480" s="319" t="n"/>
      <c r="S480" s="319" t="n"/>
      <c r="T480" s="319" t="n"/>
      <c r="U480" s="319" t="n"/>
      <c r="V480" s="319" t="n"/>
      <c r="W480" s="319" t="n"/>
      <c r="X480" s="319" t="n"/>
      <c r="Y480" s="319" t="n"/>
      <c r="Z480" s="319" t="n"/>
    </row>
    <row r="481">
      <c r="A481" s="319" t="n"/>
      <c r="B481" s="319" t="n"/>
      <c r="C481" s="319" t="n"/>
      <c r="D481" s="319" t="n"/>
      <c r="E481" s="319" t="n"/>
      <c r="F481" s="319" t="n"/>
      <c r="G481" s="319" t="n"/>
      <c r="H481" s="319" t="n"/>
      <c r="I481" s="319" t="n"/>
      <c r="J481" s="319" t="n"/>
      <c r="K481" s="319" t="n"/>
      <c r="L481" s="319" t="n"/>
      <c r="M481" s="319" t="n"/>
      <c r="N481" s="319" t="n"/>
      <c r="O481" s="319" t="n"/>
      <c r="P481" s="319" t="n"/>
      <c r="Q481" s="319" t="n"/>
      <c r="R481" s="319" t="n"/>
      <c r="S481" s="319" t="n"/>
      <c r="T481" s="319" t="n"/>
      <c r="U481" s="319" t="n"/>
      <c r="V481" s="319" t="n"/>
      <c r="W481" s="319" t="n"/>
      <c r="X481" s="319" t="n"/>
      <c r="Y481" s="319" t="n"/>
      <c r="Z481" s="319" t="n"/>
    </row>
    <row r="482">
      <c r="A482" s="319" t="n"/>
      <c r="B482" s="319" t="n"/>
      <c r="C482" s="319" t="n"/>
      <c r="D482" s="319" t="n"/>
      <c r="E482" s="319" t="n"/>
      <c r="F482" s="319" t="n"/>
      <c r="G482" s="319" t="n"/>
      <c r="H482" s="319" t="n"/>
      <c r="I482" s="319" t="n"/>
      <c r="J482" s="319" t="n"/>
      <c r="K482" s="319" t="n"/>
      <c r="L482" s="319" t="n"/>
      <c r="M482" s="319" t="n"/>
      <c r="N482" s="319" t="n"/>
      <c r="O482" s="319" t="n"/>
      <c r="P482" s="319" t="n"/>
      <c r="Q482" s="319" t="n"/>
      <c r="R482" s="319" t="n"/>
      <c r="S482" s="319" t="n"/>
      <c r="T482" s="319" t="n"/>
      <c r="U482" s="319" t="n"/>
      <c r="V482" s="319" t="n"/>
      <c r="W482" s="319" t="n"/>
      <c r="X482" s="319" t="n"/>
      <c r="Y482" s="319" t="n"/>
      <c r="Z482" s="319" t="n"/>
    </row>
    <row r="483">
      <c r="A483" s="319" t="n"/>
      <c r="B483" s="319" t="n"/>
      <c r="C483" s="319" t="n"/>
      <c r="D483" s="319" t="n"/>
      <c r="E483" s="319" t="n"/>
      <c r="F483" s="319" t="n"/>
      <c r="G483" s="319" t="n"/>
      <c r="H483" s="319" t="n"/>
      <c r="I483" s="319" t="n"/>
      <c r="J483" s="319" t="n"/>
      <c r="K483" s="319" t="n"/>
      <c r="L483" s="319" t="n"/>
      <c r="M483" s="319" t="n"/>
      <c r="N483" s="319" t="n"/>
      <c r="O483" s="319" t="n"/>
      <c r="P483" s="319" t="n"/>
      <c r="Q483" s="319" t="n"/>
      <c r="R483" s="319" t="n"/>
      <c r="S483" s="319" t="n"/>
      <c r="T483" s="319" t="n"/>
      <c r="U483" s="319" t="n"/>
      <c r="V483" s="319" t="n"/>
      <c r="W483" s="319" t="n"/>
      <c r="X483" s="319" t="n"/>
      <c r="Y483" s="319" t="n"/>
      <c r="Z483" s="319" t="n"/>
    </row>
    <row r="484">
      <c r="A484" s="319" t="n"/>
      <c r="B484" s="319" t="n"/>
      <c r="C484" s="319" t="n"/>
      <c r="D484" s="319" t="n"/>
      <c r="E484" s="319" t="n"/>
      <c r="F484" s="319" t="n"/>
      <c r="G484" s="319" t="n"/>
      <c r="H484" s="319" t="n"/>
      <c r="I484" s="319" t="n"/>
      <c r="J484" s="319" t="n"/>
      <c r="K484" s="319" t="n"/>
      <c r="L484" s="319" t="n"/>
      <c r="M484" s="319" t="n"/>
      <c r="N484" s="319" t="n"/>
      <c r="O484" s="319" t="n"/>
      <c r="P484" s="319" t="n"/>
      <c r="Q484" s="319" t="n"/>
      <c r="R484" s="319" t="n"/>
      <c r="S484" s="319" t="n"/>
      <c r="T484" s="319" t="n"/>
      <c r="U484" s="319" t="n"/>
      <c r="V484" s="319" t="n"/>
      <c r="W484" s="319" t="n"/>
      <c r="X484" s="319" t="n"/>
      <c r="Y484" s="319" t="n"/>
      <c r="Z484" s="319" t="n"/>
    </row>
    <row r="485">
      <c r="A485" s="319" t="n"/>
      <c r="B485" s="319" t="n"/>
      <c r="C485" s="319" t="n"/>
      <c r="D485" s="319" t="n"/>
      <c r="E485" s="319" t="n"/>
      <c r="F485" s="319" t="n"/>
      <c r="G485" s="319" t="n"/>
      <c r="H485" s="319" t="n"/>
      <c r="I485" s="319" t="n"/>
      <c r="J485" s="319" t="n"/>
      <c r="K485" s="319" t="n"/>
      <c r="L485" s="319" t="n"/>
      <c r="M485" s="319" t="n"/>
      <c r="N485" s="319" t="n"/>
      <c r="O485" s="319" t="n"/>
      <c r="P485" s="319" t="n"/>
      <c r="Q485" s="319" t="n"/>
      <c r="R485" s="319" t="n"/>
      <c r="S485" s="319" t="n"/>
      <c r="T485" s="319" t="n"/>
      <c r="U485" s="319" t="n"/>
      <c r="V485" s="319" t="n"/>
      <c r="W485" s="319" t="n"/>
      <c r="X485" s="319" t="n"/>
      <c r="Y485" s="319" t="n"/>
      <c r="Z485" s="319" t="n"/>
    </row>
    <row r="486">
      <c r="A486" s="319" t="n"/>
      <c r="B486" s="319" t="n"/>
      <c r="C486" s="319" t="n"/>
      <c r="D486" s="319" t="n"/>
      <c r="E486" s="319" t="n"/>
      <c r="F486" s="319" t="n"/>
      <c r="G486" s="319" t="n"/>
      <c r="H486" s="319" t="n"/>
      <c r="I486" s="319" t="n"/>
      <c r="J486" s="319" t="n"/>
      <c r="K486" s="319" t="n"/>
      <c r="L486" s="319" t="n"/>
      <c r="M486" s="319" t="n"/>
      <c r="N486" s="319" t="n"/>
      <c r="O486" s="319" t="n"/>
      <c r="P486" s="319" t="n"/>
      <c r="Q486" s="319" t="n"/>
      <c r="R486" s="319" t="n"/>
      <c r="S486" s="319" t="n"/>
      <c r="T486" s="319" t="n"/>
      <c r="U486" s="319" t="n"/>
      <c r="V486" s="319" t="n"/>
      <c r="W486" s="319" t="n"/>
      <c r="X486" s="319" t="n"/>
      <c r="Y486" s="319" t="n"/>
      <c r="Z486" s="319" t="n"/>
    </row>
    <row r="487">
      <c r="A487" s="319" t="n"/>
      <c r="B487" s="319" t="n"/>
      <c r="C487" s="319" t="n"/>
      <c r="D487" s="319" t="n"/>
      <c r="E487" s="319" t="n"/>
      <c r="F487" s="319" t="n"/>
      <c r="G487" s="319" t="n"/>
      <c r="H487" s="319" t="n"/>
      <c r="I487" s="319" t="n"/>
      <c r="J487" s="319" t="n"/>
      <c r="K487" s="319" t="n"/>
      <c r="L487" s="319" t="n"/>
      <c r="M487" s="319" t="n"/>
      <c r="N487" s="319" t="n"/>
      <c r="O487" s="319" t="n"/>
      <c r="P487" s="319" t="n"/>
      <c r="Q487" s="319" t="n"/>
      <c r="R487" s="319" t="n"/>
      <c r="S487" s="319" t="n"/>
      <c r="T487" s="319" t="n"/>
      <c r="U487" s="319" t="n"/>
      <c r="V487" s="319" t="n"/>
      <c r="W487" s="319" t="n"/>
      <c r="X487" s="319" t="n"/>
      <c r="Y487" s="319" t="n"/>
      <c r="Z487" s="319" t="n"/>
    </row>
    <row r="488">
      <c r="A488" s="319" t="n"/>
      <c r="B488" s="319" t="n"/>
      <c r="C488" s="319" t="n"/>
      <c r="D488" s="319" t="n"/>
      <c r="E488" s="319" t="n"/>
      <c r="F488" s="319" t="n"/>
      <c r="G488" s="319" t="n"/>
      <c r="H488" s="319" t="n"/>
      <c r="I488" s="319" t="n"/>
      <c r="J488" s="319" t="n"/>
      <c r="K488" s="319" t="n"/>
      <c r="L488" s="319" t="n"/>
      <c r="M488" s="319" t="n"/>
      <c r="N488" s="319" t="n"/>
      <c r="O488" s="319" t="n"/>
      <c r="P488" s="319" t="n"/>
      <c r="Q488" s="319" t="n"/>
      <c r="R488" s="319" t="n"/>
      <c r="S488" s="319" t="n"/>
      <c r="T488" s="319" t="n"/>
      <c r="U488" s="319" t="n"/>
      <c r="V488" s="319" t="n"/>
      <c r="W488" s="319" t="n"/>
      <c r="X488" s="319" t="n"/>
      <c r="Y488" s="319" t="n"/>
      <c r="Z488" s="319" t="n"/>
    </row>
    <row r="489">
      <c r="A489" s="319" t="n"/>
      <c r="B489" s="319" t="n"/>
      <c r="C489" s="319" t="n"/>
      <c r="D489" s="319" t="n"/>
      <c r="E489" s="319" t="n"/>
      <c r="F489" s="319" t="n"/>
      <c r="G489" s="319" t="n"/>
      <c r="H489" s="319" t="n"/>
      <c r="I489" s="319" t="n"/>
      <c r="J489" s="319" t="n"/>
      <c r="K489" s="319" t="n"/>
      <c r="L489" s="319" t="n"/>
      <c r="M489" s="319" t="n"/>
      <c r="N489" s="319" t="n"/>
      <c r="O489" s="319" t="n"/>
      <c r="P489" s="319" t="n"/>
      <c r="Q489" s="319" t="n"/>
      <c r="R489" s="319" t="n"/>
      <c r="S489" s="319" t="n"/>
      <c r="T489" s="319" t="n"/>
      <c r="U489" s="319" t="n"/>
      <c r="V489" s="319" t="n"/>
      <c r="W489" s="319" t="n"/>
      <c r="X489" s="319" t="n"/>
      <c r="Y489" s="319" t="n"/>
      <c r="Z489" s="319" t="n"/>
    </row>
    <row r="490">
      <c r="A490" s="319" t="n"/>
      <c r="B490" s="319" t="n"/>
      <c r="C490" s="319" t="n"/>
      <c r="D490" s="319" t="n"/>
      <c r="E490" s="319" t="n"/>
      <c r="F490" s="319" t="n"/>
      <c r="G490" s="319" t="n"/>
      <c r="H490" s="319" t="n"/>
      <c r="I490" s="319" t="n"/>
      <c r="J490" s="319" t="n"/>
      <c r="K490" s="319" t="n"/>
      <c r="L490" s="319" t="n"/>
      <c r="M490" s="319" t="n"/>
      <c r="N490" s="319" t="n"/>
      <c r="O490" s="319" t="n"/>
      <c r="P490" s="319" t="n"/>
      <c r="Q490" s="319" t="n"/>
      <c r="R490" s="319" t="n"/>
      <c r="S490" s="319" t="n"/>
      <c r="T490" s="319" t="n"/>
      <c r="U490" s="319" t="n"/>
      <c r="V490" s="319" t="n"/>
      <c r="W490" s="319" t="n"/>
      <c r="X490" s="319" t="n"/>
      <c r="Y490" s="319" t="n"/>
      <c r="Z490" s="319" t="n"/>
    </row>
    <row r="491">
      <c r="A491" s="319" t="n"/>
      <c r="B491" s="319" t="n"/>
      <c r="C491" s="319" t="n"/>
      <c r="D491" s="319" t="n"/>
      <c r="E491" s="319" t="n"/>
      <c r="F491" s="319" t="n"/>
      <c r="G491" s="319" t="n"/>
      <c r="H491" s="319" t="n"/>
      <c r="I491" s="319" t="n"/>
      <c r="J491" s="319" t="n"/>
      <c r="K491" s="319" t="n"/>
      <c r="L491" s="319" t="n"/>
      <c r="M491" s="319" t="n"/>
      <c r="N491" s="319" t="n"/>
      <c r="O491" s="319" t="n"/>
      <c r="P491" s="319" t="n"/>
      <c r="Q491" s="319" t="n"/>
      <c r="R491" s="319" t="n"/>
      <c r="S491" s="319" t="n"/>
      <c r="T491" s="319" t="n"/>
      <c r="U491" s="319" t="n"/>
      <c r="V491" s="319" t="n"/>
      <c r="W491" s="319" t="n"/>
      <c r="X491" s="319" t="n"/>
      <c r="Y491" s="319" t="n"/>
      <c r="Z491" s="319" t="n"/>
    </row>
    <row r="492">
      <c r="A492" s="319" t="n"/>
      <c r="B492" s="319" t="n"/>
      <c r="C492" s="319" t="n"/>
      <c r="D492" s="319" t="n"/>
      <c r="E492" s="319" t="n"/>
      <c r="F492" s="319" t="n"/>
      <c r="G492" s="319" t="n"/>
      <c r="H492" s="319" t="n"/>
      <c r="I492" s="319" t="n"/>
      <c r="J492" s="319" t="n"/>
      <c r="K492" s="319" t="n"/>
      <c r="L492" s="319" t="n"/>
      <c r="M492" s="319" t="n"/>
      <c r="N492" s="319" t="n"/>
      <c r="O492" s="319" t="n"/>
      <c r="P492" s="319" t="n"/>
      <c r="Q492" s="319" t="n"/>
      <c r="R492" s="319" t="n"/>
      <c r="S492" s="319" t="n"/>
      <c r="T492" s="319" t="n"/>
      <c r="U492" s="319" t="n"/>
      <c r="V492" s="319" t="n"/>
      <c r="W492" s="319" t="n"/>
      <c r="X492" s="319" t="n"/>
      <c r="Y492" s="319" t="n"/>
      <c r="Z492" s="319" t="n"/>
    </row>
    <row r="493">
      <c r="A493" s="319" t="n"/>
      <c r="B493" s="319" t="n"/>
      <c r="C493" s="319" t="n"/>
      <c r="D493" s="319" t="n"/>
      <c r="E493" s="319" t="n"/>
      <c r="F493" s="319" t="n"/>
      <c r="G493" s="319" t="n"/>
      <c r="H493" s="319" t="n"/>
      <c r="I493" s="319" t="n"/>
      <c r="J493" s="319" t="n"/>
      <c r="K493" s="319" t="n"/>
      <c r="L493" s="319" t="n"/>
      <c r="M493" s="319" t="n"/>
      <c r="N493" s="319" t="n"/>
      <c r="O493" s="319" t="n"/>
      <c r="P493" s="319" t="n"/>
      <c r="Q493" s="319" t="n"/>
      <c r="R493" s="319" t="n"/>
      <c r="S493" s="319" t="n"/>
      <c r="T493" s="319" t="n"/>
      <c r="U493" s="319" t="n"/>
      <c r="V493" s="319" t="n"/>
      <c r="W493" s="319" t="n"/>
      <c r="X493" s="319" t="n"/>
      <c r="Y493" s="319" t="n"/>
      <c r="Z493" s="319" t="n"/>
    </row>
    <row r="494">
      <c r="A494" s="319" t="n"/>
      <c r="B494" s="319" t="n"/>
      <c r="C494" s="319" t="n"/>
      <c r="D494" s="319" t="n"/>
      <c r="E494" s="319" t="n"/>
      <c r="F494" s="319" t="n"/>
      <c r="G494" s="319" t="n"/>
      <c r="H494" s="319" t="n"/>
      <c r="I494" s="319" t="n"/>
      <c r="J494" s="319" t="n"/>
      <c r="K494" s="319" t="n"/>
      <c r="L494" s="319" t="n"/>
      <c r="M494" s="319" t="n"/>
      <c r="N494" s="319" t="n"/>
      <c r="O494" s="319" t="n"/>
      <c r="P494" s="319" t="n"/>
      <c r="Q494" s="319" t="n"/>
      <c r="R494" s="319" t="n"/>
      <c r="S494" s="319" t="n"/>
      <c r="T494" s="319" t="n"/>
      <c r="U494" s="319" t="n"/>
      <c r="V494" s="319" t="n"/>
      <c r="W494" s="319" t="n"/>
      <c r="X494" s="319" t="n"/>
      <c r="Y494" s="319" t="n"/>
      <c r="Z494" s="319" t="n"/>
    </row>
    <row r="495">
      <c r="A495" s="319" t="n"/>
      <c r="B495" s="319" t="n"/>
      <c r="C495" s="319" t="n"/>
      <c r="D495" s="319" t="n"/>
      <c r="E495" s="319" t="n"/>
      <c r="F495" s="319" t="n"/>
      <c r="G495" s="319" t="n"/>
      <c r="H495" s="319" t="n"/>
      <c r="I495" s="319" t="n"/>
      <c r="J495" s="319" t="n"/>
      <c r="K495" s="319" t="n"/>
      <c r="L495" s="319" t="n"/>
      <c r="M495" s="319" t="n"/>
      <c r="N495" s="319" t="n"/>
      <c r="O495" s="319" t="n"/>
      <c r="P495" s="319" t="n"/>
      <c r="Q495" s="319" t="n"/>
      <c r="R495" s="319" t="n"/>
      <c r="S495" s="319" t="n"/>
      <c r="T495" s="319" t="n"/>
      <c r="U495" s="319" t="n"/>
      <c r="V495" s="319" t="n"/>
      <c r="W495" s="319" t="n"/>
      <c r="X495" s="319" t="n"/>
      <c r="Y495" s="319" t="n"/>
      <c r="Z495" s="319" t="n"/>
    </row>
    <row r="496">
      <c r="A496" s="319" t="n"/>
      <c r="B496" s="319" t="n"/>
      <c r="C496" s="319" t="n"/>
      <c r="D496" s="319" t="n"/>
      <c r="E496" s="319" t="n"/>
      <c r="F496" s="319" t="n"/>
      <c r="G496" s="319" t="n"/>
      <c r="H496" s="319" t="n"/>
      <c r="I496" s="319" t="n"/>
      <c r="J496" s="319" t="n"/>
      <c r="K496" s="319" t="n"/>
      <c r="L496" s="319" t="n"/>
      <c r="M496" s="319" t="n"/>
      <c r="N496" s="319" t="n"/>
      <c r="O496" s="319" t="n"/>
      <c r="P496" s="319" t="n"/>
      <c r="Q496" s="319" t="n"/>
      <c r="R496" s="319" t="n"/>
      <c r="S496" s="319" t="n"/>
      <c r="T496" s="319" t="n"/>
      <c r="U496" s="319" t="n"/>
      <c r="V496" s="319" t="n"/>
      <c r="W496" s="319" t="n"/>
      <c r="X496" s="319" t="n"/>
      <c r="Y496" s="319" t="n"/>
      <c r="Z496" s="319" t="n"/>
    </row>
    <row r="497">
      <c r="A497" s="319" t="n"/>
      <c r="B497" s="319" t="n"/>
      <c r="C497" s="319" t="n"/>
      <c r="D497" s="319" t="n"/>
      <c r="E497" s="319" t="n"/>
      <c r="F497" s="319" t="n"/>
      <c r="G497" s="319" t="n"/>
      <c r="H497" s="319" t="n"/>
      <c r="I497" s="319" t="n"/>
      <c r="J497" s="319" t="n"/>
      <c r="K497" s="319" t="n"/>
      <c r="L497" s="319" t="n"/>
      <c r="M497" s="319" t="n"/>
      <c r="N497" s="319" t="n"/>
      <c r="O497" s="319" t="n"/>
      <c r="P497" s="319" t="n"/>
      <c r="Q497" s="319" t="n"/>
      <c r="R497" s="319" t="n"/>
      <c r="S497" s="319" t="n"/>
      <c r="T497" s="319" t="n"/>
      <c r="U497" s="319" t="n"/>
      <c r="V497" s="319" t="n"/>
      <c r="W497" s="319" t="n"/>
      <c r="X497" s="319" t="n"/>
      <c r="Y497" s="319" t="n"/>
      <c r="Z497" s="319" t="n"/>
    </row>
    <row r="498">
      <c r="A498" s="319" t="n"/>
      <c r="B498" s="319" t="n"/>
      <c r="C498" s="319" t="n"/>
      <c r="D498" s="319" t="n"/>
      <c r="E498" s="319" t="n"/>
      <c r="F498" s="319" t="n"/>
      <c r="G498" s="319" t="n"/>
      <c r="H498" s="319" t="n"/>
      <c r="I498" s="319" t="n"/>
      <c r="J498" s="319" t="n"/>
      <c r="K498" s="319" t="n"/>
      <c r="L498" s="319" t="n"/>
      <c r="M498" s="319" t="n"/>
      <c r="N498" s="319" t="n"/>
      <c r="O498" s="319" t="n"/>
      <c r="P498" s="319" t="n"/>
      <c r="Q498" s="319" t="n"/>
      <c r="R498" s="319" t="n"/>
      <c r="S498" s="319" t="n"/>
      <c r="T498" s="319" t="n"/>
      <c r="U498" s="319" t="n"/>
      <c r="V498" s="319" t="n"/>
      <c r="W498" s="319" t="n"/>
      <c r="X498" s="319" t="n"/>
      <c r="Y498" s="319" t="n"/>
      <c r="Z498" s="319" t="n"/>
    </row>
    <row r="499">
      <c r="A499" s="319" t="n"/>
      <c r="B499" s="319" t="n"/>
      <c r="C499" s="319" t="n"/>
      <c r="D499" s="319" t="n"/>
      <c r="E499" s="319" t="n"/>
      <c r="F499" s="319" t="n"/>
      <c r="G499" s="319" t="n"/>
      <c r="H499" s="319" t="n"/>
      <c r="I499" s="319" t="n"/>
      <c r="J499" s="319" t="n"/>
      <c r="K499" s="319" t="n"/>
      <c r="L499" s="319" t="n"/>
      <c r="M499" s="319" t="n"/>
      <c r="N499" s="319" t="n"/>
      <c r="O499" s="319" t="n"/>
      <c r="P499" s="319" t="n"/>
      <c r="Q499" s="319" t="n"/>
      <c r="R499" s="319" t="n"/>
      <c r="S499" s="319" t="n"/>
      <c r="T499" s="319" t="n"/>
      <c r="U499" s="319" t="n"/>
      <c r="V499" s="319" t="n"/>
      <c r="W499" s="319" t="n"/>
      <c r="X499" s="319" t="n"/>
      <c r="Y499" s="319" t="n"/>
      <c r="Z499" s="319" t="n"/>
    </row>
    <row r="500">
      <c r="A500" s="319" t="n"/>
      <c r="B500" s="319" t="n"/>
      <c r="C500" s="319" t="n"/>
      <c r="D500" s="319" t="n"/>
      <c r="E500" s="319" t="n"/>
      <c r="F500" s="319" t="n"/>
      <c r="G500" s="319" t="n"/>
      <c r="H500" s="319" t="n"/>
      <c r="I500" s="319" t="n"/>
      <c r="J500" s="319" t="n"/>
      <c r="K500" s="319" t="n"/>
      <c r="L500" s="319" t="n"/>
      <c r="M500" s="319" t="n"/>
      <c r="N500" s="319" t="n"/>
      <c r="O500" s="319" t="n"/>
      <c r="P500" s="319" t="n"/>
      <c r="Q500" s="319" t="n"/>
      <c r="R500" s="319" t="n"/>
      <c r="S500" s="319" t="n"/>
      <c r="T500" s="319" t="n"/>
      <c r="U500" s="319" t="n"/>
      <c r="V500" s="319" t="n"/>
      <c r="W500" s="319" t="n"/>
      <c r="X500" s="319" t="n"/>
      <c r="Y500" s="319" t="n"/>
      <c r="Z500" s="319" t="n"/>
    </row>
    <row r="501">
      <c r="A501" s="319" t="n"/>
      <c r="B501" s="319" t="n"/>
      <c r="C501" s="319" t="n"/>
      <c r="D501" s="319" t="n"/>
      <c r="E501" s="319" t="n"/>
      <c r="F501" s="319" t="n"/>
      <c r="G501" s="319" t="n"/>
      <c r="H501" s="319" t="n"/>
      <c r="I501" s="319" t="n"/>
      <c r="J501" s="319" t="n"/>
      <c r="K501" s="319" t="n"/>
      <c r="L501" s="319" t="n"/>
      <c r="M501" s="319" t="n"/>
      <c r="N501" s="319" t="n"/>
      <c r="O501" s="319" t="n"/>
      <c r="P501" s="319" t="n"/>
      <c r="Q501" s="319" t="n"/>
      <c r="R501" s="319" t="n"/>
      <c r="S501" s="319" t="n"/>
      <c r="T501" s="319" t="n"/>
      <c r="U501" s="319" t="n"/>
      <c r="V501" s="319" t="n"/>
      <c r="W501" s="319" t="n"/>
      <c r="X501" s="319" t="n"/>
      <c r="Y501" s="319" t="n"/>
      <c r="Z501" s="319" t="n"/>
    </row>
    <row r="502">
      <c r="A502" s="319" t="n"/>
      <c r="B502" s="319" t="n"/>
      <c r="C502" s="319" t="n"/>
      <c r="D502" s="319" t="n"/>
      <c r="E502" s="319" t="n"/>
      <c r="F502" s="319" t="n"/>
      <c r="G502" s="319" t="n"/>
      <c r="H502" s="319" t="n"/>
      <c r="I502" s="319" t="n"/>
      <c r="J502" s="319" t="n"/>
      <c r="K502" s="319" t="n"/>
      <c r="L502" s="319" t="n"/>
      <c r="M502" s="319" t="n"/>
      <c r="N502" s="319" t="n"/>
      <c r="O502" s="319" t="n"/>
      <c r="P502" s="319" t="n"/>
      <c r="Q502" s="319" t="n"/>
      <c r="R502" s="319" t="n"/>
      <c r="S502" s="319" t="n"/>
      <c r="T502" s="319" t="n"/>
      <c r="U502" s="319" t="n"/>
      <c r="V502" s="319" t="n"/>
      <c r="W502" s="319" t="n"/>
      <c r="X502" s="319" t="n"/>
      <c r="Y502" s="319" t="n"/>
      <c r="Z502" s="319" t="n"/>
    </row>
    <row r="503">
      <c r="A503" s="319" t="n"/>
      <c r="B503" s="319" t="n"/>
      <c r="C503" s="319" t="n"/>
      <c r="D503" s="319" t="n"/>
      <c r="E503" s="319" t="n"/>
      <c r="F503" s="319" t="n"/>
      <c r="G503" s="319" t="n"/>
      <c r="H503" s="319" t="n"/>
      <c r="I503" s="319" t="n"/>
      <c r="J503" s="319" t="n"/>
      <c r="K503" s="319" t="n"/>
      <c r="L503" s="319" t="n"/>
      <c r="M503" s="319" t="n"/>
      <c r="N503" s="319" t="n"/>
      <c r="O503" s="319" t="n"/>
      <c r="P503" s="319" t="n"/>
      <c r="Q503" s="319" t="n"/>
      <c r="R503" s="319" t="n"/>
      <c r="S503" s="319" t="n"/>
      <c r="T503" s="319" t="n"/>
      <c r="U503" s="319" t="n"/>
      <c r="V503" s="319" t="n"/>
      <c r="W503" s="319" t="n"/>
      <c r="X503" s="319" t="n"/>
      <c r="Y503" s="319" t="n"/>
      <c r="Z503" s="319" t="n"/>
    </row>
    <row r="504">
      <c r="A504" s="319" t="n"/>
      <c r="B504" s="319" t="n"/>
      <c r="C504" s="319" t="n"/>
      <c r="D504" s="319" t="n"/>
      <c r="E504" s="319" t="n"/>
      <c r="F504" s="319" t="n"/>
      <c r="G504" s="319" t="n"/>
      <c r="H504" s="319" t="n"/>
      <c r="I504" s="319" t="n"/>
      <c r="J504" s="319" t="n"/>
      <c r="K504" s="319" t="n"/>
      <c r="L504" s="319" t="n"/>
      <c r="M504" s="319" t="n"/>
      <c r="N504" s="319" t="n"/>
      <c r="O504" s="319" t="n"/>
      <c r="P504" s="319" t="n"/>
      <c r="Q504" s="319" t="n"/>
      <c r="R504" s="319" t="n"/>
      <c r="S504" s="319" t="n"/>
      <c r="T504" s="319" t="n"/>
      <c r="U504" s="319" t="n"/>
      <c r="V504" s="319" t="n"/>
      <c r="W504" s="319" t="n"/>
      <c r="X504" s="319" t="n"/>
      <c r="Y504" s="319" t="n"/>
      <c r="Z504" s="319" t="n"/>
    </row>
    <row r="505">
      <c r="A505" s="319" t="n"/>
      <c r="B505" s="319" t="n"/>
      <c r="C505" s="319" t="n"/>
      <c r="D505" s="319" t="n"/>
      <c r="E505" s="319" t="n"/>
      <c r="F505" s="319" t="n"/>
      <c r="G505" s="319" t="n"/>
      <c r="H505" s="319" t="n"/>
      <c r="I505" s="319" t="n"/>
      <c r="J505" s="319" t="n"/>
      <c r="K505" s="319" t="n"/>
      <c r="L505" s="319" t="n"/>
      <c r="M505" s="319" t="n"/>
      <c r="N505" s="319" t="n"/>
      <c r="O505" s="319" t="n"/>
      <c r="P505" s="319" t="n"/>
      <c r="Q505" s="319" t="n"/>
      <c r="R505" s="319" t="n"/>
      <c r="S505" s="319" t="n"/>
      <c r="T505" s="319" t="n"/>
      <c r="U505" s="319" t="n"/>
      <c r="V505" s="319" t="n"/>
      <c r="W505" s="319" t="n"/>
      <c r="X505" s="319" t="n"/>
      <c r="Y505" s="319" t="n"/>
      <c r="Z505" s="319" t="n"/>
    </row>
    <row r="506">
      <c r="A506" s="319" t="n"/>
      <c r="B506" s="319" t="n"/>
      <c r="C506" s="319" t="n"/>
      <c r="D506" s="319" t="n"/>
      <c r="E506" s="319" t="n"/>
      <c r="F506" s="319" t="n"/>
      <c r="G506" s="319" t="n"/>
      <c r="H506" s="319" t="n"/>
      <c r="I506" s="319" t="n"/>
      <c r="J506" s="319" t="n"/>
      <c r="K506" s="319" t="n"/>
      <c r="L506" s="319" t="n"/>
      <c r="M506" s="319" t="n"/>
      <c r="N506" s="319" t="n"/>
      <c r="O506" s="319" t="n"/>
      <c r="P506" s="319" t="n"/>
      <c r="Q506" s="319" t="n"/>
      <c r="R506" s="319" t="n"/>
      <c r="S506" s="319" t="n"/>
      <c r="T506" s="319" t="n"/>
      <c r="U506" s="319" t="n"/>
      <c r="V506" s="319" t="n"/>
      <c r="W506" s="319" t="n"/>
      <c r="X506" s="319" t="n"/>
      <c r="Y506" s="319" t="n"/>
      <c r="Z506" s="319" t="n"/>
    </row>
    <row r="507">
      <c r="A507" s="319" t="n"/>
      <c r="B507" s="319" t="n"/>
      <c r="C507" s="319" t="n"/>
      <c r="D507" s="319" t="n"/>
      <c r="E507" s="319" t="n"/>
      <c r="F507" s="319" t="n"/>
      <c r="G507" s="319" t="n"/>
      <c r="H507" s="319" t="n"/>
      <c r="I507" s="319" t="n"/>
      <c r="J507" s="319" t="n"/>
      <c r="K507" s="319" t="n"/>
      <c r="L507" s="319" t="n"/>
      <c r="M507" s="319" t="n"/>
      <c r="N507" s="319" t="n"/>
      <c r="O507" s="319" t="n"/>
      <c r="P507" s="319" t="n"/>
      <c r="Q507" s="319" t="n"/>
      <c r="R507" s="319" t="n"/>
      <c r="S507" s="319" t="n"/>
      <c r="T507" s="319" t="n"/>
      <c r="U507" s="319" t="n"/>
      <c r="V507" s="319" t="n"/>
      <c r="W507" s="319" t="n"/>
      <c r="X507" s="319" t="n"/>
      <c r="Y507" s="319" t="n"/>
      <c r="Z507" s="319" t="n"/>
    </row>
    <row r="508">
      <c r="A508" s="319" t="n"/>
      <c r="B508" s="319" t="n"/>
      <c r="C508" s="319" t="n"/>
      <c r="D508" s="319" t="n"/>
      <c r="E508" s="319" t="n"/>
      <c r="F508" s="319" t="n"/>
      <c r="G508" s="319" t="n"/>
      <c r="H508" s="319" t="n"/>
      <c r="I508" s="319" t="n"/>
      <c r="J508" s="319" t="n"/>
      <c r="K508" s="319" t="n"/>
      <c r="L508" s="319" t="n"/>
      <c r="M508" s="319" t="n"/>
      <c r="N508" s="319" t="n"/>
      <c r="O508" s="319" t="n"/>
      <c r="P508" s="319" t="n"/>
      <c r="Q508" s="319" t="n"/>
      <c r="R508" s="319" t="n"/>
      <c r="S508" s="319" t="n"/>
      <c r="T508" s="319" t="n"/>
      <c r="U508" s="319" t="n"/>
      <c r="V508" s="319" t="n"/>
      <c r="W508" s="319" t="n"/>
      <c r="X508" s="319" t="n"/>
      <c r="Y508" s="319" t="n"/>
      <c r="Z508" s="319" t="n"/>
    </row>
    <row r="509">
      <c r="A509" s="319" t="n"/>
      <c r="B509" s="319" t="n"/>
      <c r="C509" s="319" t="n"/>
      <c r="D509" s="319" t="n"/>
      <c r="E509" s="319" t="n"/>
      <c r="F509" s="319" t="n"/>
      <c r="G509" s="319" t="n"/>
      <c r="H509" s="319" t="n"/>
      <c r="I509" s="319" t="n"/>
      <c r="J509" s="319" t="n"/>
      <c r="K509" s="319" t="n"/>
      <c r="L509" s="319" t="n"/>
      <c r="M509" s="319" t="n"/>
      <c r="N509" s="319" t="n"/>
      <c r="O509" s="319" t="n"/>
      <c r="P509" s="319" t="n"/>
      <c r="Q509" s="319" t="n"/>
      <c r="R509" s="319" t="n"/>
      <c r="S509" s="319" t="n"/>
      <c r="T509" s="319" t="n"/>
      <c r="U509" s="319" t="n"/>
      <c r="V509" s="319" t="n"/>
      <c r="W509" s="319" t="n"/>
      <c r="X509" s="319" t="n"/>
      <c r="Y509" s="319" t="n"/>
      <c r="Z509" s="319" t="n"/>
    </row>
    <row r="510">
      <c r="A510" s="319" t="n"/>
      <c r="B510" s="319" t="n"/>
      <c r="C510" s="319" t="n"/>
      <c r="D510" s="319" t="n"/>
      <c r="E510" s="319" t="n"/>
      <c r="F510" s="319" t="n"/>
      <c r="G510" s="319" t="n"/>
      <c r="H510" s="319" t="n"/>
      <c r="I510" s="319" t="n"/>
      <c r="J510" s="319" t="n"/>
      <c r="K510" s="319" t="n"/>
      <c r="L510" s="319" t="n"/>
      <c r="M510" s="319" t="n"/>
      <c r="N510" s="319" t="n"/>
      <c r="O510" s="319" t="n"/>
      <c r="P510" s="319" t="n"/>
      <c r="Q510" s="319" t="n"/>
      <c r="R510" s="319" t="n"/>
      <c r="S510" s="319" t="n"/>
      <c r="T510" s="319" t="n"/>
      <c r="U510" s="319" t="n"/>
      <c r="V510" s="319" t="n"/>
      <c r="W510" s="319" t="n"/>
      <c r="X510" s="319" t="n"/>
      <c r="Y510" s="319" t="n"/>
      <c r="Z510" s="319" t="n"/>
    </row>
    <row r="511">
      <c r="A511" s="319" t="n"/>
      <c r="B511" s="319" t="n"/>
      <c r="C511" s="319" t="n"/>
      <c r="D511" s="319" t="n"/>
      <c r="E511" s="319" t="n"/>
      <c r="F511" s="319" t="n"/>
      <c r="G511" s="319" t="n"/>
      <c r="H511" s="319" t="n"/>
      <c r="I511" s="319" t="n"/>
      <c r="J511" s="319" t="n"/>
      <c r="K511" s="319" t="n"/>
      <c r="L511" s="319" t="n"/>
      <c r="M511" s="319" t="n"/>
      <c r="N511" s="319" t="n"/>
      <c r="O511" s="319" t="n"/>
      <c r="P511" s="319" t="n"/>
      <c r="Q511" s="319" t="n"/>
      <c r="R511" s="319" t="n"/>
      <c r="S511" s="319" t="n"/>
      <c r="T511" s="319" t="n"/>
      <c r="U511" s="319" t="n"/>
      <c r="V511" s="319" t="n"/>
      <c r="W511" s="319" t="n"/>
      <c r="X511" s="319" t="n"/>
      <c r="Y511" s="319" t="n"/>
      <c r="Z511" s="319" t="n"/>
    </row>
    <row r="512">
      <c r="A512" s="319" t="n"/>
      <c r="B512" s="319" t="n"/>
      <c r="C512" s="319" t="n"/>
      <c r="D512" s="319" t="n"/>
      <c r="E512" s="319" t="n"/>
      <c r="F512" s="319" t="n"/>
      <c r="G512" s="319" t="n"/>
      <c r="H512" s="319" t="n"/>
      <c r="I512" s="319" t="n"/>
      <c r="J512" s="319" t="n"/>
      <c r="K512" s="319" t="n"/>
      <c r="L512" s="319" t="n"/>
      <c r="M512" s="319" t="n"/>
      <c r="N512" s="319" t="n"/>
      <c r="O512" s="319" t="n"/>
      <c r="P512" s="319" t="n"/>
      <c r="Q512" s="319" t="n"/>
      <c r="R512" s="319" t="n"/>
      <c r="S512" s="319" t="n"/>
      <c r="T512" s="319" t="n"/>
      <c r="U512" s="319" t="n"/>
      <c r="V512" s="319" t="n"/>
      <c r="W512" s="319" t="n"/>
      <c r="X512" s="319" t="n"/>
      <c r="Y512" s="319" t="n"/>
      <c r="Z512" s="319" t="n"/>
    </row>
    <row r="513">
      <c r="A513" s="319" t="n"/>
      <c r="B513" s="319" t="n"/>
      <c r="C513" s="319" t="n"/>
      <c r="D513" s="319" t="n"/>
      <c r="E513" s="319" t="n"/>
      <c r="F513" s="319" t="n"/>
      <c r="G513" s="319" t="n"/>
      <c r="H513" s="319" t="n"/>
      <c r="I513" s="319" t="n"/>
      <c r="J513" s="319" t="n"/>
      <c r="K513" s="319" t="n"/>
      <c r="L513" s="319" t="n"/>
      <c r="M513" s="319" t="n"/>
      <c r="N513" s="319" t="n"/>
      <c r="O513" s="319" t="n"/>
      <c r="P513" s="319" t="n"/>
      <c r="Q513" s="319" t="n"/>
      <c r="R513" s="319" t="n"/>
      <c r="S513" s="319" t="n"/>
      <c r="T513" s="319" t="n"/>
      <c r="U513" s="319" t="n"/>
      <c r="V513" s="319" t="n"/>
      <c r="W513" s="319" t="n"/>
      <c r="X513" s="319" t="n"/>
      <c r="Y513" s="319" t="n"/>
      <c r="Z513" s="319" t="n"/>
    </row>
    <row r="514">
      <c r="A514" s="319" t="n"/>
      <c r="B514" s="319" t="n"/>
      <c r="C514" s="319" t="n"/>
      <c r="D514" s="319" t="n"/>
      <c r="E514" s="319" t="n"/>
      <c r="F514" s="319" t="n"/>
      <c r="G514" s="319" t="n"/>
      <c r="H514" s="319" t="n"/>
      <c r="I514" s="319" t="n"/>
      <c r="J514" s="319" t="n"/>
      <c r="K514" s="319" t="n"/>
      <c r="L514" s="319" t="n"/>
      <c r="M514" s="319" t="n"/>
      <c r="N514" s="319" t="n"/>
      <c r="O514" s="319" t="n"/>
      <c r="P514" s="319" t="n"/>
      <c r="Q514" s="319" t="n"/>
      <c r="R514" s="319" t="n"/>
      <c r="S514" s="319" t="n"/>
      <c r="T514" s="319" t="n"/>
      <c r="U514" s="319" t="n"/>
      <c r="V514" s="319" t="n"/>
      <c r="W514" s="319" t="n"/>
      <c r="X514" s="319" t="n"/>
      <c r="Y514" s="319" t="n"/>
      <c r="Z514" s="319" t="n"/>
    </row>
    <row r="515">
      <c r="A515" s="319" t="n"/>
      <c r="B515" s="319" t="n"/>
      <c r="C515" s="319" t="n"/>
      <c r="D515" s="319" t="n"/>
      <c r="E515" s="319" t="n"/>
      <c r="F515" s="319" t="n"/>
      <c r="G515" s="319" t="n"/>
      <c r="H515" s="319" t="n"/>
      <c r="I515" s="319" t="n"/>
      <c r="J515" s="319" t="n"/>
      <c r="K515" s="319" t="n"/>
      <c r="L515" s="319" t="n"/>
      <c r="M515" s="319" t="n"/>
      <c r="N515" s="319" t="n"/>
      <c r="O515" s="319" t="n"/>
      <c r="P515" s="319" t="n"/>
      <c r="Q515" s="319" t="n"/>
      <c r="R515" s="319" t="n"/>
      <c r="S515" s="319" t="n"/>
      <c r="T515" s="319" t="n"/>
      <c r="U515" s="319" t="n"/>
      <c r="V515" s="319" t="n"/>
      <c r="W515" s="319" t="n"/>
      <c r="X515" s="319" t="n"/>
      <c r="Y515" s="319" t="n"/>
      <c r="Z515" s="319" t="n"/>
    </row>
    <row r="516">
      <c r="A516" s="319" t="n"/>
      <c r="B516" s="319" t="n"/>
      <c r="C516" s="319" t="n"/>
      <c r="D516" s="319" t="n"/>
      <c r="E516" s="319" t="n"/>
      <c r="F516" s="319" t="n"/>
      <c r="G516" s="319" t="n"/>
      <c r="H516" s="319" t="n"/>
      <c r="I516" s="319" t="n"/>
      <c r="J516" s="319" t="n"/>
      <c r="K516" s="319" t="n"/>
      <c r="L516" s="319" t="n"/>
      <c r="M516" s="319" t="n"/>
      <c r="N516" s="319" t="n"/>
      <c r="O516" s="319" t="n"/>
      <c r="P516" s="319" t="n"/>
      <c r="Q516" s="319" t="n"/>
      <c r="R516" s="319" t="n"/>
      <c r="S516" s="319" t="n"/>
      <c r="T516" s="319" t="n"/>
      <c r="U516" s="319" t="n"/>
      <c r="V516" s="319" t="n"/>
      <c r="W516" s="319" t="n"/>
      <c r="X516" s="319" t="n"/>
      <c r="Y516" s="319" t="n"/>
      <c r="Z516" s="319" t="n"/>
    </row>
    <row r="517">
      <c r="A517" s="319" t="n"/>
      <c r="B517" s="319" t="n"/>
      <c r="C517" s="319" t="n"/>
      <c r="D517" s="319" t="n"/>
      <c r="E517" s="319" t="n"/>
      <c r="F517" s="319" t="n"/>
      <c r="G517" s="319" t="n"/>
      <c r="H517" s="319" t="n"/>
      <c r="I517" s="319" t="n"/>
      <c r="J517" s="319" t="n"/>
      <c r="K517" s="319" t="n"/>
      <c r="L517" s="319" t="n"/>
      <c r="M517" s="319" t="n"/>
      <c r="N517" s="319" t="n"/>
      <c r="O517" s="319" t="n"/>
      <c r="P517" s="319" t="n"/>
      <c r="Q517" s="319" t="n"/>
      <c r="R517" s="319" t="n"/>
      <c r="S517" s="319" t="n"/>
      <c r="T517" s="319" t="n"/>
      <c r="U517" s="319" t="n"/>
      <c r="V517" s="319" t="n"/>
      <c r="W517" s="319" t="n"/>
      <c r="X517" s="319" t="n"/>
      <c r="Y517" s="319" t="n"/>
      <c r="Z517" s="319" t="n"/>
    </row>
    <row r="518">
      <c r="A518" s="319" t="n"/>
      <c r="B518" s="319" t="n"/>
      <c r="C518" s="319" t="n"/>
      <c r="D518" s="319" t="n"/>
      <c r="E518" s="319" t="n"/>
      <c r="F518" s="319" t="n"/>
      <c r="G518" s="319" t="n"/>
      <c r="H518" s="319" t="n"/>
      <c r="I518" s="319" t="n"/>
      <c r="J518" s="319" t="n"/>
      <c r="K518" s="319" t="n"/>
      <c r="L518" s="319" t="n"/>
      <c r="M518" s="319" t="n"/>
      <c r="N518" s="319" t="n"/>
      <c r="O518" s="319" t="n"/>
      <c r="P518" s="319" t="n"/>
      <c r="Q518" s="319" t="n"/>
      <c r="R518" s="319" t="n"/>
      <c r="S518" s="319" t="n"/>
      <c r="T518" s="319" t="n"/>
      <c r="U518" s="319" t="n"/>
      <c r="V518" s="319" t="n"/>
      <c r="W518" s="319" t="n"/>
      <c r="X518" s="319" t="n"/>
      <c r="Y518" s="319" t="n"/>
      <c r="Z518" s="319" t="n"/>
    </row>
    <row r="519">
      <c r="A519" s="319" t="n"/>
      <c r="B519" s="319" t="n"/>
      <c r="C519" s="319" t="n"/>
      <c r="D519" s="319" t="n"/>
      <c r="E519" s="319" t="n"/>
      <c r="F519" s="319" t="n"/>
      <c r="G519" s="319" t="n"/>
      <c r="H519" s="319" t="n"/>
      <c r="I519" s="319" t="n"/>
      <c r="J519" s="319" t="n"/>
      <c r="K519" s="319" t="n"/>
      <c r="L519" s="319" t="n"/>
      <c r="M519" s="319" t="n"/>
      <c r="N519" s="319" t="n"/>
      <c r="O519" s="319" t="n"/>
      <c r="P519" s="319" t="n"/>
      <c r="Q519" s="319" t="n"/>
      <c r="R519" s="319" t="n"/>
      <c r="S519" s="319" t="n"/>
      <c r="T519" s="319" t="n"/>
      <c r="U519" s="319" t="n"/>
      <c r="V519" s="319" t="n"/>
      <c r="W519" s="319" t="n"/>
      <c r="X519" s="319" t="n"/>
      <c r="Y519" s="319" t="n"/>
      <c r="Z519" s="319" t="n"/>
    </row>
    <row r="520">
      <c r="A520" s="319" t="n"/>
      <c r="B520" s="319" t="n"/>
      <c r="C520" s="319" t="n"/>
      <c r="D520" s="319" t="n"/>
      <c r="E520" s="319" t="n"/>
      <c r="F520" s="319" t="n"/>
      <c r="G520" s="319" t="n"/>
      <c r="H520" s="319" t="n"/>
      <c r="I520" s="319" t="n"/>
      <c r="J520" s="319" t="n"/>
      <c r="K520" s="319" t="n"/>
      <c r="L520" s="319" t="n"/>
      <c r="M520" s="319" t="n"/>
      <c r="N520" s="319" t="n"/>
      <c r="O520" s="319" t="n"/>
      <c r="P520" s="319" t="n"/>
      <c r="Q520" s="319" t="n"/>
      <c r="R520" s="319" t="n"/>
      <c r="S520" s="319" t="n"/>
      <c r="T520" s="319" t="n"/>
      <c r="U520" s="319" t="n"/>
      <c r="V520" s="319" t="n"/>
      <c r="W520" s="319" t="n"/>
      <c r="X520" s="319" t="n"/>
      <c r="Y520" s="319" t="n"/>
      <c r="Z520" s="319" t="n"/>
    </row>
    <row r="521">
      <c r="A521" s="319" t="n"/>
      <c r="B521" s="319" t="n"/>
      <c r="C521" s="319" t="n"/>
      <c r="D521" s="319" t="n"/>
      <c r="E521" s="319" t="n"/>
      <c r="F521" s="319" t="n"/>
      <c r="G521" s="319" t="n"/>
      <c r="H521" s="319" t="n"/>
      <c r="I521" s="319" t="n"/>
      <c r="J521" s="319" t="n"/>
      <c r="K521" s="319" t="n"/>
      <c r="L521" s="319" t="n"/>
      <c r="M521" s="319" t="n"/>
      <c r="N521" s="319" t="n"/>
      <c r="O521" s="319" t="n"/>
      <c r="P521" s="319" t="n"/>
      <c r="Q521" s="319" t="n"/>
      <c r="R521" s="319" t="n"/>
      <c r="S521" s="319" t="n"/>
      <c r="T521" s="319" t="n"/>
      <c r="U521" s="319" t="n"/>
      <c r="V521" s="319" t="n"/>
      <c r="W521" s="319" t="n"/>
      <c r="X521" s="319" t="n"/>
      <c r="Y521" s="319" t="n"/>
      <c r="Z521" s="319" t="n"/>
    </row>
    <row r="522">
      <c r="A522" s="319" t="n"/>
      <c r="B522" s="319" t="n"/>
      <c r="C522" s="319" t="n"/>
      <c r="D522" s="319" t="n"/>
      <c r="E522" s="319" t="n"/>
      <c r="F522" s="319" t="n"/>
      <c r="G522" s="319" t="n"/>
      <c r="H522" s="319" t="n"/>
      <c r="I522" s="319" t="n"/>
      <c r="J522" s="319" t="n"/>
      <c r="K522" s="319" t="n"/>
      <c r="L522" s="319" t="n"/>
      <c r="M522" s="319" t="n"/>
      <c r="N522" s="319" t="n"/>
      <c r="O522" s="319" t="n"/>
      <c r="P522" s="319" t="n"/>
      <c r="Q522" s="319" t="n"/>
      <c r="R522" s="319" t="n"/>
      <c r="S522" s="319" t="n"/>
      <c r="T522" s="319" t="n"/>
      <c r="U522" s="319" t="n"/>
      <c r="V522" s="319" t="n"/>
      <c r="W522" s="319" t="n"/>
      <c r="X522" s="319" t="n"/>
      <c r="Y522" s="319" t="n"/>
      <c r="Z522" s="319" t="n"/>
    </row>
    <row r="523">
      <c r="A523" s="319" t="n"/>
      <c r="B523" s="319" t="n"/>
      <c r="C523" s="319" t="n"/>
      <c r="D523" s="319" t="n"/>
      <c r="E523" s="319" t="n"/>
      <c r="F523" s="319" t="n"/>
      <c r="G523" s="319" t="n"/>
      <c r="H523" s="319" t="n"/>
      <c r="I523" s="319" t="n"/>
      <c r="J523" s="319" t="n"/>
      <c r="K523" s="319" t="n"/>
      <c r="L523" s="319" t="n"/>
      <c r="M523" s="319" t="n"/>
      <c r="N523" s="319" t="n"/>
      <c r="O523" s="319" t="n"/>
      <c r="P523" s="319" t="n"/>
      <c r="Q523" s="319" t="n"/>
      <c r="R523" s="319" t="n"/>
      <c r="S523" s="319" t="n"/>
      <c r="T523" s="319" t="n"/>
      <c r="U523" s="319" t="n"/>
      <c r="V523" s="319" t="n"/>
      <c r="W523" s="319" t="n"/>
      <c r="X523" s="319" t="n"/>
      <c r="Y523" s="319" t="n"/>
      <c r="Z523" s="319" t="n"/>
    </row>
    <row r="524">
      <c r="A524" s="319" t="n"/>
      <c r="B524" s="319" t="n"/>
      <c r="C524" s="319" t="n"/>
      <c r="D524" s="319" t="n"/>
      <c r="E524" s="319" t="n"/>
      <c r="F524" s="319" t="n"/>
      <c r="G524" s="319" t="n"/>
      <c r="H524" s="319" t="n"/>
      <c r="I524" s="319" t="n"/>
      <c r="J524" s="319" t="n"/>
      <c r="K524" s="319" t="n"/>
      <c r="L524" s="319" t="n"/>
      <c r="M524" s="319" t="n"/>
      <c r="N524" s="319" t="n"/>
      <c r="O524" s="319" t="n"/>
      <c r="P524" s="319" t="n"/>
      <c r="Q524" s="319" t="n"/>
      <c r="R524" s="319" t="n"/>
      <c r="S524" s="319" t="n"/>
      <c r="T524" s="319" t="n"/>
      <c r="U524" s="319" t="n"/>
      <c r="V524" s="319" t="n"/>
      <c r="W524" s="319" t="n"/>
      <c r="X524" s="319" t="n"/>
      <c r="Y524" s="319" t="n"/>
      <c r="Z524" s="319" t="n"/>
    </row>
    <row r="525">
      <c r="A525" s="319" t="n"/>
      <c r="B525" s="319" t="n"/>
      <c r="C525" s="319" t="n"/>
      <c r="D525" s="319" t="n"/>
      <c r="E525" s="319" t="n"/>
      <c r="F525" s="319" t="n"/>
      <c r="G525" s="319" t="n"/>
      <c r="H525" s="319" t="n"/>
      <c r="I525" s="319" t="n"/>
      <c r="J525" s="319" t="n"/>
      <c r="K525" s="319" t="n"/>
      <c r="L525" s="319" t="n"/>
      <c r="M525" s="319" t="n"/>
      <c r="N525" s="319" t="n"/>
      <c r="O525" s="319" t="n"/>
      <c r="P525" s="319" t="n"/>
      <c r="Q525" s="319" t="n"/>
      <c r="R525" s="319" t="n"/>
      <c r="S525" s="319" t="n"/>
      <c r="T525" s="319" t="n"/>
      <c r="U525" s="319" t="n"/>
      <c r="V525" s="319" t="n"/>
      <c r="W525" s="319" t="n"/>
      <c r="X525" s="319" t="n"/>
      <c r="Y525" s="319" t="n"/>
      <c r="Z525" s="319" t="n"/>
    </row>
    <row r="526">
      <c r="A526" s="319" t="n"/>
      <c r="B526" s="319" t="n"/>
      <c r="C526" s="319" t="n"/>
      <c r="D526" s="319" t="n"/>
      <c r="E526" s="319" t="n"/>
      <c r="F526" s="319" t="n"/>
      <c r="G526" s="319" t="n"/>
      <c r="H526" s="319" t="n"/>
      <c r="I526" s="319" t="n"/>
      <c r="J526" s="319" t="n"/>
      <c r="K526" s="319" t="n"/>
      <c r="L526" s="319" t="n"/>
      <c r="M526" s="319" t="n"/>
      <c r="N526" s="319" t="n"/>
      <c r="O526" s="319" t="n"/>
      <c r="P526" s="319" t="n"/>
      <c r="Q526" s="319" t="n"/>
      <c r="R526" s="319" t="n"/>
      <c r="S526" s="319" t="n"/>
      <c r="T526" s="319" t="n"/>
      <c r="U526" s="319" t="n"/>
      <c r="V526" s="319" t="n"/>
      <c r="W526" s="319" t="n"/>
      <c r="X526" s="319" t="n"/>
      <c r="Y526" s="319" t="n"/>
      <c r="Z526" s="319" t="n"/>
    </row>
    <row r="527">
      <c r="A527" s="319" t="n"/>
      <c r="B527" s="319" t="n"/>
      <c r="C527" s="319" t="n"/>
      <c r="D527" s="319" t="n"/>
      <c r="E527" s="319" t="n"/>
      <c r="F527" s="319" t="n"/>
      <c r="G527" s="319" t="n"/>
      <c r="H527" s="319" t="n"/>
      <c r="I527" s="319" t="n"/>
      <c r="J527" s="319" t="n"/>
      <c r="K527" s="319" t="n"/>
      <c r="L527" s="319" t="n"/>
      <c r="M527" s="319" t="n"/>
      <c r="N527" s="319" t="n"/>
      <c r="O527" s="319" t="n"/>
      <c r="P527" s="319" t="n"/>
      <c r="Q527" s="319" t="n"/>
      <c r="R527" s="319" t="n"/>
      <c r="S527" s="319" t="n"/>
      <c r="T527" s="319" t="n"/>
      <c r="U527" s="319" t="n"/>
      <c r="V527" s="319" t="n"/>
      <c r="W527" s="319" t="n"/>
      <c r="X527" s="319" t="n"/>
      <c r="Y527" s="319" t="n"/>
      <c r="Z527" s="319" t="n"/>
    </row>
    <row r="528">
      <c r="A528" s="319" t="n"/>
      <c r="B528" s="319" t="n"/>
      <c r="C528" s="319" t="n"/>
      <c r="D528" s="319" t="n"/>
      <c r="E528" s="319" t="n"/>
      <c r="F528" s="319" t="n"/>
      <c r="G528" s="319" t="n"/>
      <c r="H528" s="319" t="n"/>
      <c r="I528" s="319" t="n"/>
      <c r="J528" s="319" t="n"/>
      <c r="K528" s="319" t="n"/>
      <c r="L528" s="319" t="n"/>
      <c r="M528" s="319" t="n"/>
      <c r="N528" s="319" t="n"/>
      <c r="O528" s="319" t="n"/>
      <c r="P528" s="319" t="n"/>
      <c r="Q528" s="319" t="n"/>
      <c r="R528" s="319" t="n"/>
      <c r="S528" s="319" t="n"/>
      <c r="T528" s="319" t="n"/>
      <c r="U528" s="319" t="n"/>
      <c r="V528" s="319" t="n"/>
      <c r="W528" s="319" t="n"/>
      <c r="X528" s="319" t="n"/>
      <c r="Y528" s="319" t="n"/>
      <c r="Z528" s="319" t="n"/>
    </row>
    <row r="529">
      <c r="A529" s="319" t="n"/>
      <c r="B529" s="319" t="n"/>
      <c r="C529" s="319" t="n"/>
      <c r="D529" s="319" t="n"/>
      <c r="E529" s="319" t="n"/>
      <c r="F529" s="319" t="n"/>
      <c r="G529" s="319" t="n"/>
      <c r="H529" s="319" t="n"/>
      <c r="I529" s="319" t="n"/>
      <c r="J529" s="319" t="n"/>
      <c r="K529" s="319" t="n"/>
      <c r="L529" s="319" t="n"/>
      <c r="M529" s="319" t="n"/>
      <c r="N529" s="319" t="n"/>
      <c r="O529" s="319" t="n"/>
      <c r="P529" s="319" t="n"/>
      <c r="Q529" s="319" t="n"/>
      <c r="R529" s="319" t="n"/>
      <c r="S529" s="319" t="n"/>
      <c r="T529" s="319" t="n"/>
      <c r="U529" s="319" t="n"/>
      <c r="V529" s="319" t="n"/>
      <c r="W529" s="319" t="n"/>
      <c r="X529" s="319" t="n"/>
      <c r="Y529" s="319" t="n"/>
      <c r="Z529" s="319" t="n"/>
    </row>
    <row r="530">
      <c r="A530" s="319" t="n"/>
      <c r="B530" s="319" t="n"/>
      <c r="C530" s="319" t="n"/>
      <c r="D530" s="319" t="n"/>
      <c r="E530" s="319" t="n"/>
      <c r="F530" s="319" t="n"/>
      <c r="G530" s="319" t="n"/>
      <c r="H530" s="319" t="n"/>
      <c r="I530" s="319" t="n"/>
      <c r="J530" s="319" t="n"/>
      <c r="K530" s="319" t="n"/>
      <c r="L530" s="319" t="n"/>
      <c r="M530" s="319" t="n"/>
      <c r="N530" s="319" t="n"/>
      <c r="O530" s="319" t="n"/>
      <c r="P530" s="319" t="n"/>
      <c r="Q530" s="319" t="n"/>
      <c r="R530" s="319" t="n"/>
      <c r="S530" s="319" t="n"/>
      <c r="T530" s="319" t="n"/>
      <c r="U530" s="319" t="n"/>
      <c r="V530" s="319" t="n"/>
      <c r="W530" s="319" t="n"/>
      <c r="X530" s="319" t="n"/>
      <c r="Y530" s="319" t="n"/>
      <c r="Z530" s="319" t="n"/>
    </row>
    <row r="531">
      <c r="A531" s="319" t="n"/>
      <c r="B531" s="319" t="n"/>
      <c r="C531" s="319" t="n"/>
      <c r="D531" s="319" t="n"/>
      <c r="E531" s="319" t="n"/>
      <c r="F531" s="319" t="n"/>
      <c r="G531" s="319" t="n"/>
      <c r="H531" s="319" t="n"/>
      <c r="I531" s="319" t="n"/>
      <c r="J531" s="319" t="n"/>
      <c r="K531" s="319" t="n"/>
      <c r="L531" s="319" t="n"/>
      <c r="M531" s="319" t="n"/>
      <c r="N531" s="319" t="n"/>
      <c r="O531" s="319" t="n"/>
      <c r="P531" s="319" t="n"/>
      <c r="Q531" s="319" t="n"/>
      <c r="R531" s="319" t="n"/>
      <c r="S531" s="319" t="n"/>
      <c r="T531" s="319" t="n"/>
      <c r="U531" s="319" t="n"/>
      <c r="V531" s="319" t="n"/>
      <c r="W531" s="319" t="n"/>
      <c r="X531" s="319" t="n"/>
      <c r="Y531" s="319" t="n"/>
      <c r="Z531" s="319" t="n"/>
    </row>
    <row r="532">
      <c r="A532" s="319" t="n"/>
      <c r="B532" s="319" t="n"/>
      <c r="C532" s="319" t="n"/>
      <c r="D532" s="319" t="n"/>
      <c r="E532" s="319" t="n"/>
      <c r="F532" s="319" t="n"/>
      <c r="G532" s="319" t="n"/>
      <c r="H532" s="319" t="n"/>
      <c r="I532" s="319" t="n"/>
      <c r="J532" s="319" t="n"/>
      <c r="K532" s="319" t="n"/>
      <c r="L532" s="319" t="n"/>
      <c r="M532" s="319" t="n"/>
      <c r="N532" s="319" t="n"/>
      <c r="O532" s="319" t="n"/>
      <c r="P532" s="319" t="n"/>
      <c r="Q532" s="319" t="n"/>
      <c r="R532" s="319" t="n"/>
      <c r="S532" s="319" t="n"/>
      <c r="T532" s="319" t="n"/>
      <c r="U532" s="319" t="n"/>
      <c r="V532" s="319" t="n"/>
      <c r="W532" s="319" t="n"/>
      <c r="X532" s="319" t="n"/>
      <c r="Y532" s="319" t="n"/>
      <c r="Z532" s="319" t="n"/>
    </row>
    <row r="533">
      <c r="A533" s="319" t="n"/>
      <c r="B533" s="319" t="n"/>
      <c r="C533" s="319" t="n"/>
      <c r="D533" s="319" t="n"/>
      <c r="E533" s="319" t="n"/>
      <c r="F533" s="319" t="n"/>
      <c r="G533" s="319" t="n"/>
      <c r="H533" s="319" t="n"/>
      <c r="I533" s="319" t="n"/>
      <c r="J533" s="319" t="n"/>
      <c r="K533" s="319" t="n"/>
      <c r="L533" s="319" t="n"/>
      <c r="M533" s="319" t="n"/>
      <c r="N533" s="319" t="n"/>
      <c r="O533" s="319" t="n"/>
      <c r="P533" s="319" t="n"/>
      <c r="Q533" s="319" t="n"/>
      <c r="R533" s="319" t="n"/>
      <c r="S533" s="319" t="n"/>
      <c r="T533" s="319" t="n"/>
      <c r="U533" s="319" t="n"/>
      <c r="V533" s="319" t="n"/>
      <c r="W533" s="319" t="n"/>
      <c r="X533" s="319" t="n"/>
      <c r="Y533" s="319" t="n"/>
      <c r="Z533" s="319" t="n"/>
    </row>
    <row r="534">
      <c r="A534" s="319" t="n"/>
      <c r="B534" s="319" t="n"/>
      <c r="C534" s="319" t="n"/>
      <c r="D534" s="319" t="n"/>
      <c r="E534" s="319" t="n"/>
      <c r="F534" s="319" t="n"/>
      <c r="G534" s="319" t="n"/>
      <c r="H534" s="319" t="n"/>
      <c r="I534" s="319" t="n"/>
      <c r="J534" s="319" t="n"/>
      <c r="K534" s="319" t="n"/>
      <c r="L534" s="319" t="n"/>
      <c r="M534" s="319" t="n"/>
      <c r="N534" s="319" t="n"/>
      <c r="O534" s="319" t="n"/>
      <c r="P534" s="319" t="n"/>
      <c r="Q534" s="319" t="n"/>
      <c r="R534" s="319" t="n"/>
      <c r="S534" s="319" t="n"/>
      <c r="T534" s="319" t="n"/>
      <c r="U534" s="319" t="n"/>
      <c r="V534" s="319" t="n"/>
      <c r="W534" s="319" t="n"/>
      <c r="X534" s="319" t="n"/>
      <c r="Y534" s="319" t="n"/>
      <c r="Z534" s="319" t="n"/>
    </row>
    <row r="535">
      <c r="A535" s="319" t="n"/>
      <c r="B535" s="319" t="n"/>
      <c r="C535" s="319" t="n"/>
      <c r="D535" s="319" t="n"/>
      <c r="E535" s="319" t="n"/>
      <c r="F535" s="319" t="n"/>
      <c r="G535" s="319" t="n"/>
      <c r="H535" s="319" t="n"/>
      <c r="I535" s="319" t="n"/>
      <c r="J535" s="319" t="n"/>
      <c r="K535" s="319" t="n"/>
      <c r="L535" s="319" t="n"/>
      <c r="M535" s="319" t="n"/>
      <c r="N535" s="319" t="n"/>
      <c r="O535" s="319" t="n"/>
      <c r="P535" s="319" t="n"/>
      <c r="Q535" s="319" t="n"/>
      <c r="R535" s="319" t="n"/>
      <c r="S535" s="319" t="n"/>
      <c r="T535" s="319" t="n"/>
      <c r="U535" s="319" t="n"/>
      <c r="V535" s="319" t="n"/>
      <c r="W535" s="319" t="n"/>
      <c r="X535" s="319" t="n"/>
      <c r="Y535" s="319" t="n"/>
      <c r="Z535" s="319" t="n"/>
    </row>
    <row r="536">
      <c r="A536" s="319" t="n"/>
      <c r="B536" s="319" t="n"/>
      <c r="C536" s="319" t="n"/>
      <c r="D536" s="319" t="n"/>
      <c r="E536" s="319" t="n"/>
      <c r="F536" s="319" t="n"/>
      <c r="G536" s="319" t="n"/>
      <c r="H536" s="319" t="n"/>
      <c r="I536" s="319" t="n"/>
      <c r="J536" s="319" t="n"/>
      <c r="K536" s="319" t="n"/>
      <c r="L536" s="319" t="n"/>
      <c r="M536" s="319" t="n"/>
      <c r="N536" s="319" t="n"/>
      <c r="O536" s="319" t="n"/>
      <c r="P536" s="319" t="n"/>
      <c r="Q536" s="319" t="n"/>
      <c r="R536" s="319" t="n"/>
      <c r="S536" s="319" t="n"/>
      <c r="T536" s="319" t="n"/>
      <c r="U536" s="319" t="n"/>
      <c r="V536" s="319" t="n"/>
      <c r="W536" s="319" t="n"/>
      <c r="X536" s="319" t="n"/>
      <c r="Y536" s="319" t="n"/>
      <c r="Z536" s="319" t="n"/>
    </row>
    <row r="537">
      <c r="A537" s="319" t="n"/>
      <c r="B537" s="319" t="n"/>
      <c r="C537" s="319" t="n"/>
      <c r="D537" s="319" t="n"/>
      <c r="E537" s="319" t="n"/>
      <c r="F537" s="319" t="n"/>
      <c r="G537" s="319" t="n"/>
      <c r="H537" s="319" t="n"/>
      <c r="I537" s="319" t="n"/>
      <c r="J537" s="319" t="n"/>
      <c r="K537" s="319" t="n"/>
      <c r="L537" s="319" t="n"/>
      <c r="M537" s="319" t="n"/>
      <c r="N537" s="319" t="n"/>
      <c r="O537" s="319" t="n"/>
      <c r="P537" s="319" t="n"/>
      <c r="Q537" s="319" t="n"/>
      <c r="R537" s="319" t="n"/>
      <c r="S537" s="319" t="n"/>
      <c r="T537" s="319" t="n"/>
      <c r="U537" s="319" t="n"/>
      <c r="V537" s="319" t="n"/>
      <c r="W537" s="319" t="n"/>
      <c r="X537" s="319" t="n"/>
      <c r="Y537" s="319" t="n"/>
      <c r="Z537" s="319" t="n"/>
    </row>
    <row r="538">
      <c r="A538" s="319" t="n"/>
      <c r="B538" s="319" t="n"/>
      <c r="C538" s="319" t="n"/>
      <c r="D538" s="319" t="n"/>
      <c r="E538" s="319" t="n"/>
      <c r="F538" s="319" t="n"/>
      <c r="G538" s="319" t="n"/>
      <c r="H538" s="319" t="n"/>
      <c r="I538" s="319" t="n"/>
      <c r="J538" s="319" t="n"/>
      <c r="K538" s="319" t="n"/>
      <c r="L538" s="319" t="n"/>
      <c r="M538" s="319" t="n"/>
      <c r="N538" s="319" t="n"/>
      <c r="O538" s="319" t="n"/>
      <c r="P538" s="319" t="n"/>
      <c r="Q538" s="319" t="n"/>
      <c r="R538" s="319" t="n"/>
      <c r="S538" s="319" t="n"/>
      <c r="T538" s="319" t="n"/>
      <c r="U538" s="319" t="n"/>
      <c r="V538" s="319" t="n"/>
      <c r="W538" s="319" t="n"/>
      <c r="X538" s="319" t="n"/>
      <c r="Y538" s="319" t="n"/>
      <c r="Z538" s="319" t="n"/>
    </row>
    <row r="539">
      <c r="A539" s="319" t="n"/>
      <c r="B539" s="319" t="n"/>
      <c r="C539" s="319" t="n"/>
      <c r="D539" s="319" t="n"/>
      <c r="E539" s="319" t="n"/>
      <c r="F539" s="319" t="n"/>
      <c r="G539" s="319" t="n"/>
      <c r="H539" s="319" t="n"/>
      <c r="I539" s="319" t="n"/>
      <c r="J539" s="319" t="n"/>
      <c r="K539" s="319" t="n"/>
      <c r="L539" s="319" t="n"/>
      <c r="M539" s="319" t="n"/>
      <c r="N539" s="319" t="n"/>
      <c r="O539" s="319" t="n"/>
      <c r="P539" s="319" t="n"/>
      <c r="Q539" s="319" t="n"/>
      <c r="R539" s="319" t="n"/>
      <c r="S539" s="319" t="n"/>
      <c r="T539" s="319" t="n"/>
      <c r="U539" s="319" t="n"/>
      <c r="V539" s="319" t="n"/>
      <c r="W539" s="319" t="n"/>
      <c r="X539" s="319" t="n"/>
      <c r="Y539" s="319" t="n"/>
      <c r="Z539" s="319" t="n"/>
    </row>
    <row r="540">
      <c r="A540" s="319" t="n"/>
      <c r="B540" s="319" t="n"/>
      <c r="C540" s="319" t="n"/>
      <c r="D540" s="319" t="n"/>
      <c r="E540" s="319" t="n"/>
      <c r="F540" s="319" t="n"/>
      <c r="G540" s="319" t="n"/>
      <c r="H540" s="319" t="n"/>
      <c r="I540" s="319" t="n"/>
      <c r="J540" s="319" t="n"/>
      <c r="K540" s="319" t="n"/>
      <c r="L540" s="319" t="n"/>
      <c r="M540" s="319" t="n"/>
      <c r="N540" s="319" t="n"/>
      <c r="O540" s="319" t="n"/>
      <c r="P540" s="319" t="n"/>
      <c r="Q540" s="319" t="n"/>
      <c r="R540" s="319" t="n"/>
      <c r="S540" s="319" t="n"/>
      <c r="T540" s="319" t="n"/>
      <c r="U540" s="319" t="n"/>
      <c r="V540" s="319" t="n"/>
      <c r="W540" s="319" t="n"/>
      <c r="X540" s="319" t="n"/>
      <c r="Y540" s="319" t="n"/>
      <c r="Z540" s="319" t="n"/>
    </row>
    <row r="541">
      <c r="A541" s="319" t="n"/>
      <c r="B541" s="319" t="n"/>
      <c r="C541" s="319" t="n"/>
      <c r="D541" s="319" t="n"/>
      <c r="E541" s="319" t="n"/>
      <c r="F541" s="319" t="n"/>
      <c r="G541" s="319" t="n"/>
      <c r="H541" s="319" t="n"/>
      <c r="I541" s="319" t="n"/>
      <c r="J541" s="319" t="n"/>
      <c r="K541" s="319" t="n"/>
      <c r="L541" s="319" t="n"/>
      <c r="M541" s="319" t="n"/>
      <c r="N541" s="319" t="n"/>
      <c r="O541" s="319" t="n"/>
      <c r="P541" s="319" t="n"/>
      <c r="Q541" s="319" t="n"/>
      <c r="R541" s="319" t="n"/>
      <c r="S541" s="319" t="n"/>
      <c r="T541" s="319" t="n"/>
      <c r="U541" s="319" t="n"/>
      <c r="V541" s="319" t="n"/>
      <c r="W541" s="319" t="n"/>
      <c r="X541" s="319" t="n"/>
      <c r="Y541" s="319" t="n"/>
      <c r="Z541" s="319" t="n"/>
    </row>
    <row r="542">
      <c r="A542" s="319" t="n"/>
      <c r="B542" s="319" t="n"/>
      <c r="C542" s="319" t="n"/>
      <c r="D542" s="319" t="n"/>
      <c r="E542" s="319" t="n"/>
      <c r="F542" s="319" t="n"/>
      <c r="G542" s="319" t="n"/>
      <c r="H542" s="319" t="n"/>
      <c r="I542" s="319" t="n"/>
      <c r="J542" s="319" t="n"/>
      <c r="K542" s="319" t="n"/>
      <c r="L542" s="319" t="n"/>
      <c r="M542" s="319" t="n"/>
      <c r="N542" s="319" t="n"/>
      <c r="O542" s="319" t="n"/>
      <c r="P542" s="319" t="n"/>
      <c r="Q542" s="319" t="n"/>
      <c r="R542" s="319" t="n"/>
      <c r="S542" s="319" t="n"/>
      <c r="T542" s="319" t="n"/>
      <c r="U542" s="319" t="n"/>
      <c r="V542" s="319" t="n"/>
      <c r="W542" s="319" t="n"/>
      <c r="X542" s="319" t="n"/>
      <c r="Y542" s="319" t="n"/>
      <c r="Z542" s="319" t="n"/>
    </row>
    <row r="543">
      <c r="A543" s="319" t="n"/>
      <c r="B543" s="319" t="n"/>
      <c r="C543" s="319" t="n"/>
      <c r="D543" s="319" t="n"/>
      <c r="E543" s="319" t="n"/>
      <c r="F543" s="319" t="n"/>
      <c r="G543" s="319" t="n"/>
      <c r="H543" s="319" t="n"/>
      <c r="I543" s="319" t="n"/>
      <c r="J543" s="319" t="n"/>
      <c r="K543" s="319" t="n"/>
      <c r="L543" s="319" t="n"/>
      <c r="M543" s="319" t="n"/>
      <c r="N543" s="319" t="n"/>
      <c r="O543" s="319" t="n"/>
      <c r="P543" s="319" t="n"/>
      <c r="Q543" s="319" t="n"/>
      <c r="R543" s="319" t="n"/>
      <c r="S543" s="319" t="n"/>
      <c r="T543" s="319" t="n"/>
      <c r="U543" s="319" t="n"/>
      <c r="V543" s="319" t="n"/>
      <c r="W543" s="319" t="n"/>
      <c r="X543" s="319" t="n"/>
      <c r="Y543" s="319" t="n"/>
      <c r="Z543" s="319" t="n"/>
    </row>
    <row r="544">
      <c r="A544" s="319" t="n"/>
      <c r="B544" s="319" t="n"/>
      <c r="C544" s="319" t="n"/>
      <c r="D544" s="319" t="n"/>
      <c r="E544" s="319" t="n"/>
      <c r="F544" s="319" t="n"/>
      <c r="G544" s="319" t="n"/>
      <c r="H544" s="319" t="n"/>
      <c r="I544" s="319" t="n"/>
      <c r="J544" s="319" t="n"/>
      <c r="K544" s="319" t="n"/>
      <c r="L544" s="319" t="n"/>
      <c r="M544" s="319" t="n"/>
      <c r="N544" s="319" t="n"/>
      <c r="O544" s="319" t="n"/>
      <c r="P544" s="319" t="n"/>
      <c r="Q544" s="319" t="n"/>
      <c r="R544" s="319" t="n"/>
      <c r="S544" s="319" t="n"/>
      <c r="T544" s="319" t="n"/>
      <c r="U544" s="319" t="n"/>
      <c r="V544" s="319" t="n"/>
      <c r="W544" s="319" t="n"/>
      <c r="X544" s="319" t="n"/>
      <c r="Y544" s="319" t="n"/>
      <c r="Z544" s="319" t="n"/>
    </row>
    <row r="545">
      <c r="A545" s="319" t="n"/>
      <c r="B545" s="319" t="n"/>
      <c r="C545" s="319" t="n"/>
      <c r="D545" s="319" t="n"/>
      <c r="E545" s="319" t="n"/>
      <c r="F545" s="319" t="n"/>
      <c r="G545" s="319" t="n"/>
      <c r="H545" s="319" t="n"/>
      <c r="I545" s="319" t="n"/>
      <c r="J545" s="319" t="n"/>
      <c r="K545" s="319" t="n"/>
      <c r="L545" s="319" t="n"/>
      <c r="M545" s="319" t="n"/>
      <c r="N545" s="319" t="n"/>
      <c r="O545" s="319" t="n"/>
      <c r="P545" s="319" t="n"/>
      <c r="Q545" s="319" t="n"/>
      <c r="R545" s="319" t="n"/>
      <c r="S545" s="319" t="n"/>
      <c r="T545" s="319" t="n"/>
      <c r="U545" s="319" t="n"/>
      <c r="V545" s="319" t="n"/>
      <c r="W545" s="319" t="n"/>
      <c r="X545" s="319" t="n"/>
      <c r="Y545" s="319" t="n"/>
      <c r="Z545" s="319" t="n"/>
    </row>
    <row r="546">
      <c r="A546" s="319" t="n"/>
      <c r="B546" s="319" t="n"/>
      <c r="C546" s="319" t="n"/>
      <c r="D546" s="319" t="n"/>
      <c r="E546" s="319" t="n"/>
      <c r="F546" s="319" t="n"/>
      <c r="G546" s="319" t="n"/>
      <c r="H546" s="319" t="n"/>
      <c r="I546" s="319" t="n"/>
      <c r="J546" s="319" t="n"/>
      <c r="K546" s="319" t="n"/>
      <c r="L546" s="319" t="n"/>
      <c r="M546" s="319" t="n"/>
      <c r="N546" s="319" t="n"/>
      <c r="O546" s="319" t="n"/>
      <c r="P546" s="319" t="n"/>
      <c r="Q546" s="319" t="n"/>
      <c r="R546" s="319" t="n"/>
      <c r="S546" s="319" t="n"/>
      <c r="T546" s="319" t="n"/>
      <c r="U546" s="319" t="n"/>
      <c r="V546" s="319" t="n"/>
      <c r="W546" s="319" t="n"/>
      <c r="X546" s="319" t="n"/>
      <c r="Y546" s="319" t="n"/>
      <c r="Z546" s="319" t="n"/>
    </row>
    <row r="547">
      <c r="A547" s="319" t="n"/>
      <c r="B547" s="319" t="n"/>
      <c r="C547" s="319" t="n"/>
      <c r="D547" s="319" t="n"/>
      <c r="E547" s="319" t="n"/>
      <c r="F547" s="319" t="n"/>
      <c r="G547" s="319" t="n"/>
      <c r="H547" s="319" t="n"/>
      <c r="I547" s="319" t="n"/>
      <c r="J547" s="319" t="n"/>
      <c r="K547" s="319" t="n"/>
      <c r="L547" s="319" t="n"/>
      <c r="M547" s="319" t="n"/>
      <c r="N547" s="319" t="n"/>
      <c r="O547" s="319" t="n"/>
      <c r="P547" s="319" t="n"/>
      <c r="Q547" s="319" t="n"/>
      <c r="R547" s="319" t="n"/>
      <c r="S547" s="319" t="n"/>
      <c r="T547" s="319" t="n"/>
      <c r="U547" s="319" t="n"/>
      <c r="V547" s="319" t="n"/>
      <c r="W547" s="319" t="n"/>
      <c r="X547" s="319" t="n"/>
      <c r="Y547" s="319" t="n"/>
      <c r="Z547" s="319" t="n"/>
    </row>
    <row r="548">
      <c r="A548" s="319" t="n"/>
      <c r="B548" s="319" t="n"/>
      <c r="C548" s="319" t="n"/>
      <c r="D548" s="319" t="n"/>
      <c r="E548" s="319" t="n"/>
      <c r="F548" s="319" t="n"/>
      <c r="G548" s="319" t="n"/>
      <c r="H548" s="319" t="n"/>
      <c r="I548" s="319" t="n"/>
      <c r="J548" s="319" t="n"/>
      <c r="K548" s="319" t="n"/>
      <c r="L548" s="319" t="n"/>
      <c r="M548" s="319" t="n"/>
      <c r="N548" s="319" t="n"/>
      <c r="O548" s="319" t="n"/>
      <c r="P548" s="319" t="n"/>
      <c r="Q548" s="319" t="n"/>
      <c r="R548" s="319" t="n"/>
      <c r="S548" s="319" t="n"/>
      <c r="T548" s="319" t="n"/>
      <c r="U548" s="319" t="n"/>
      <c r="V548" s="319" t="n"/>
      <c r="W548" s="319" t="n"/>
      <c r="X548" s="319" t="n"/>
      <c r="Y548" s="319" t="n"/>
      <c r="Z548" s="319" t="n"/>
    </row>
    <row r="549">
      <c r="A549" s="319" t="n"/>
      <c r="B549" s="319" t="n"/>
      <c r="C549" s="319" t="n"/>
      <c r="D549" s="319" t="n"/>
      <c r="E549" s="319" t="n"/>
      <c r="F549" s="319" t="n"/>
      <c r="G549" s="319" t="n"/>
      <c r="H549" s="319" t="n"/>
      <c r="I549" s="319" t="n"/>
      <c r="J549" s="319" t="n"/>
      <c r="K549" s="319" t="n"/>
      <c r="L549" s="319" t="n"/>
      <c r="M549" s="319" t="n"/>
      <c r="N549" s="319" t="n"/>
      <c r="O549" s="319" t="n"/>
      <c r="P549" s="319" t="n"/>
      <c r="Q549" s="319" t="n"/>
      <c r="R549" s="319" t="n"/>
      <c r="S549" s="319" t="n"/>
      <c r="T549" s="319" t="n"/>
      <c r="U549" s="319" t="n"/>
      <c r="V549" s="319" t="n"/>
      <c r="W549" s="319" t="n"/>
      <c r="X549" s="319" t="n"/>
      <c r="Y549" s="319" t="n"/>
      <c r="Z549" s="319" t="n"/>
    </row>
    <row r="550">
      <c r="A550" s="319" t="n"/>
      <c r="B550" s="319" t="n"/>
      <c r="C550" s="319" t="n"/>
      <c r="D550" s="319" t="n"/>
      <c r="E550" s="319" t="n"/>
      <c r="F550" s="319" t="n"/>
      <c r="G550" s="319" t="n"/>
      <c r="H550" s="319" t="n"/>
      <c r="I550" s="319" t="n"/>
      <c r="J550" s="319" t="n"/>
      <c r="K550" s="319" t="n"/>
      <c r="L550" s="319" t="n"/>
      <c r="M550" s="319" t="n"/>
      <c r="N550" s="319" t="n"/>
      <c r="O550" s="319" t="n"/>
      <c r="P550" s="319" t="n"/>
      <c r="Q550" s="319" t="n"/>
      <c r="R550" s="319" t="n"/>
      <c r="S550" s="319" t="n"/>
      <c r="T550" s="319" t="n"/>
      <c r="U550" s="319" t="n"/>
      <c r="V550" s="319" t="n"/>
      <c r="W550" s="319" t="n"/>
      <c r="X550" s="319" t="n"/>
      <c r="Y550" s="319" t="n"/>
      <c r="Z550" s="319" t="n"/>
    </row>
    <row r="551">
      <c r="A551" s="319" t="n"/>
      <c r="B551" s="319" t="n"/>
      <c r="C551" s="319" t="n"/>
      <c r="D551" s="319" t="n"/>
      <c r="E551" s="319" t="n"/>
      <c r="F551" s="319" t="n"/>
      <c r="G551" s="319" t="n"/>
      <c r="H551" s="319" t="n"/>
      <c r="I551" s="319" t="n"/>
      <c r="J551" s="319" t="n"/>
      <c r="K551" s="319" t="n"/>
      <c r="L551" s="319" t="n"/>
      <c r="M551" s="319" t="n"/>
      <c r="N551" s="319" t="n"/>
      <c r="O551" s="319" t="n"/>
      <c r="P551" s="319" t="n"/>
      <c r="Q551" s="319" t="n"/>
      <c r="R551" s="319" t="n"/>
      <c r="S551" s="319" t="n"/>
      <c r="T551" s="319" t="n"/>
      <c r="U551" s="319" t="n"/>
      <c r="V551" s="319" t="n"/>
      <c r="W551" s="319" t="n"/>
      <c r="X551" s="319" t="n"/>
      <c r="Y551" s="319" t="n"/>
      <c r="Z551" s="319" t="n"/>
    </row>
    <row r="552">
      <c r="A552" s="319" t="n"/>
      <c r="B552" s="319" t="n"/>
      <c r="C552" s="319" t="n"/>
      <c r="D552" s="319" t="n"/>
      <c r="E552" s="319" t="n"/>
      <c r="F552" s="319" t="n"/>
      <c r="G552" s="319" t="n"/>
      <c r="H552" s="319" t="n"/>
      <c r="I552" s="319" t="n"/>
      <c r="J552" s="319" t="n"/>
      <c r="K552" s="319" t="n"/>
      <c r="L552" s="319" t="n"/>
      <c r="M552" s="319" t="n"/>
      <c r="N552" s="319" t="n"/>
      <c r="O552" s="319" t="n"/>
      <c r="P552" s="319" t="n"/>
      <c r="Q552" s="319" t="n"/>
      <c r="R552" s="319" t="n"/>
      <c r="S552" s="319" t="n"/>
      <c r="T552" s="319" t="n"/>
      <c r="U552" s="319" t="n"/>
      <c r="V552" s="319" t="n"/>
      <c r="W552" s="319" t="n"/>
      <c r="X552" s="319" t="n"/>
      <c r="Y552" s="319" t="n"/>
      <c r="Z552" s="319" t="n"/>
    </row>
    <row r="553">
      <c r="A553" s="319" t="n"/>
      <c r="B553" s="319" t="n"/>
      <c r="C553" s="319" t="n"/>
      <c r="D553" s="319" t="n"/>
      <c r="E553" s="319" t="n"/>
      <c r="F553" s="319" t="n"/>
      <c r="G553" s="319" t="n"/>
      <c r="H553" s="319" t="n"/>
      <c r="I553" s="319" t="n"/>
      <c r="J553" s="319" t="n"/>
      <c r="K553" s="319" t="n"/>
      <c r="L553" s="319" t="n"/>
      <c r="M553" s="319" t="n"/>
      <c r="N553" s="319" t="n"/>
      <c r="O553" s="319" t="n"/>
      <c r="P553" s="319" t="n"/>
      <c r="Q553" s="319" t="n"/>
      <c r="R553" s="319" t="n"/>
      <c r="S553" s="319" t="n"/>
      <c r="T553" s="319" t="n"/>
      <c r="U553" s="319" t="n"/>
      <c r="V553" s="319" t="n"/>
      <c r="W553" s="319" t="n"/>
      <c r="X553" s="319" t="n"/>
      <c r="Y553" s="319" t="n"/>
      <c r="Z553" s="319" t="n"/>
    </row>
    <row r="554">
      <c r="A554" s="319" t="n"/>
      <c r="B554" s="319" t="n"/>
      <c r="C554" s="319" t="n"/>
      <c r="D554" s="319" t="n"/>
      <c r="E554" s="319" t="n"/>
      <c r="F554" s="319" t="n"/>
      <c r="G554" s="319" t="n"/>
      <c r="H554" s="319" t="n"/>
      <c r="I554" s="319" t="n"/>
      <c r="J554" s="319" t="n"/>
      <c r="K554" s="319" t="n"/>
      <c r="L554" s="319" t="n"/>
      <c r="M554" s="319" t="n"/>
      <c r="N554" s="319" t="n"/>
      <c r="O554" s="319" t="n"/>
      <c r="P554" s="319" t="n"/>
      <c r="Q554" s="319" t="n"/>
      <c r="R554" s="319" t="n"/>
      <c r="S554" s="319" t="n"/>
      <c r="T554" s="319" t="n"/>
      <c r="U554" s="319" t="n"/>
      <c r="V554" s="319" t="n"/>
      <c r="W554" s="319" t="n"/>
      <c r="X554" s="319" t="n"/>
      <c r="Y554" s="319" t="n"/>
      <c r="Z554" s="319" t="n"/>
    </row>
    <row r="555">
      <c r="A555" s="319" t="n"/>
      <c r="B555" s="319" t="n"/>
      <c r="C555" s="319" t="n"/>
      <c r="D555" s="319" t="n"/>
      <c r="E555" s="319" t="n"/>
      <c r="F555" s="319" t="n"/>
      <c r="G555" s="319" t="n"/>
      <c r="H555" s="319" t="n"/>
      <c r="I555" s="319" t="n"/>
      <c r="J555" s="319" t="n"/>
      <c r="K555" s="319" t="n"/>
      <c r="L555" s="319" t="n"/>
      <c r="M555" s="319" t="n"/>
      <c r="N555" s="319" t="n"/>
      <c r="O555" s="319" t="n"/>
      <c r="P555" s="319" t="n"/>
      <c r="Q555" s="319" t="n"/>
      <c r="R555" s="319" t="n"/>
      <c r="S555" s="319" t="n"/>
      <c r="T555" s="319" t="n"/>
      <c r="U555" s="319" t="n"/>
      <c r="V555" s="319" t="n"/>
      <c r="W555" s="319" t="n"/>
      <c r="X555" s="319" t="n"/>
      <c r="Y555" s="319" t="n"/>
      <c r="Z555" s="319" t="n"/>
    </row>
    <row r="556">
      <c r="A556" s="319" t="n"/>
      <c r="B556" s="319" t="n"/>
      <c r="C556" s="319" t="n"/>
      <c r="D556" s="319" t="n"/>
      <c r="E556" s="319" t="n"/>
      <c r="F556" s="319" t="n"/>
      <c r="G556" s="319" t="n"/>
      <c r="H556" s="319" t="n"/>
      <c r="I556" s="319" t="n"/>
      <c r="J556" s="319" t="n"/>
      <c r="K556" s="319" t="n"/>
      <c r="L556" s="319" t="n"/>
      <c r="M556" s="319" t="n"/>
      <c r="N556" s="319" t="n"/>
      <c r="O556" s="319" t="n"/>
      <c r="P556" s="319" t="n"/>
      <c r="Q556" s="319" t="n"/>
      <c r="R556" s="319" t="n"/>
      <c r="S556" s="319" t="n"/>
      <c r="T556" s="319" t="n"/>
      <c r="U556" s="319" t="n"/>
      <c r="V556" s="319" t="n"/>
      <c r="W556" s="319" t="n"/>
      <c r="X556" s="319" t="n"/>
      <c r="Y556" s="319" t="n"/>
      <c r="Z556" s="319" t="n"/>
    </row>
    <row r="557">
      <c r="A557" s="319" t="n"/>
      <c r="B557" s="319" t="n"/>
      <c r="C557" s="319" t="n"/>
      <c r="D557" s="319" t="n"/>
      <c r="E557" s="319" t="n"/>
      <c r="F557" s="319" t="n"/>
      <c r="G557" s="319" t="n"/>
      <c r="H557" s="319" t="n"/>
      <c r="I557" s="319" t="n"/>
      <c r="J557" s="319" t="n"/>
      <c r="K557" s="319" t="n"/>
      <c r="L557" s="319" t="n"/>
      <c r="M557" s="319" t="n"/>
      <c r="N557" s="319" t="n"/>
      <c r="O557" s="319" t="n"/>
      <c r="P557" s="319" t="n"/>
      <c r="Q557" s="319" t="n"/>
      <c r="R557" s="319" t="n"/>
      <c r="S557" s="319" t="n"/>
      <c r="T557" s="319" t="n"/>
      <c r="U557" s="319" t="n"/>
      <c r="V557" s="319" t="n"/>
      <c r="W557" s="319" t="n"/>
      <c r="X557" s="319" t="n"/>
      <c r="Y557" s="319" t="n"/>
      <c r="Z557" s="319" t="n"/>
    </row>
    <row r="558">
      <c r="A558" s="319" t="n"/>
      <c r="B558" s="319" t="n"/>
      <c r="C558" s="319" t="n"/>
      <c r="D558" s="319" t="n"/>
      <c r="E558" s="319" t="n"/>
      <c r="F558" s="319" t="n"/>
      <c r="G558" s="319" t="n"/>
      <c r="H558" s="319" t="n"/>
      <c r="I558" s="319" t="n"/>
      <c r="J558" s="319" t="n"/>
      <c r="K558" s="319" t="n"/>
      <c r="L558" s="319" t="n"/>
      <c r="M558" s="319" t="n"/>
      <c r="N558" s="319" t="n"/>
      <c r="O558" s="319" t="n"/>
      <c r="P558" s="319" t="n"/>
      <c r="Q558" s="319" t="n"/>
      <c r="R558" s="319" t="n"/>
      <c r="S558" s="319" t="n"/>
      <c r="T558" s="319" t="n"/>
      <c r="U558" s="319" t="n"/>
      <c r="V558" s="319" t="n"/>
      <c r="W558" s="319" t="n"/>
      <c r="X558" s="319" t="n"/>
      <c r="Y558" s="319" t="n"/>
      <c r="Z558" s="319" t="n"/>
    </row>
    <row r="559">
      <c r="A559" s="319" t="n"/>
      <c r="B559" s="319" t="n"/>
      <c r="C559" s="319" t="n"/>
      <c r="D559" s="319" t="n"/>
      <c r="E559" s="319" t="n"/>
      <c r="F559" s="319" t="n"/>
      <c r="G559" s="319" t="n"/>
      <c r="H559" s="319" t="n"/>
      <c r="I559" s="319" t="n"/>
      <c r="J559" s="319" t="n"/>
      <c r="K559" s="319" t="n"/>
      <c r="L559" s="319" t="n"/>
      <c r="M559" s="319" t="n"/>
      <c r="N559" s="319" t="n"/>
      <c r="O559" s="319" t="n"/>
      <c r="P559" s="319" t="n"/>
      <c r="Q559" s="319" t="n"/>
      <c r="R559" s="319" t="n"/>
      <c r="S559" s="319" t="n"/>
      <c r="T559" s="319" t="n"/>
      <c r="U559" s="319" t="n"/>
      <c r="V559" s="319" t="n"/>
      <c r="W559" s="319" t="n"/>
      <c r="X559" s="319" t="n"/>
      <c r="Y559" s="319" t="n"/>
      <c r="Z559" s="319" t="n"/>
    </row>
    <row r="560">
      <c r="A560" s="319" t="n"/>
      <c r="B560" s="319" t="n"/>
      <c r="C560" s="319" t="n"/>
      <c r="D560" s="319" t="n"/>
      <c r="E560" s="319" t="n"/>
      <c r="F560" s="319" t="n"/>
      <c r="G560" s="319" t="n"/>
      <c r="H560" s="319" t="n"/>
      <c r="I560" s="319" t="n"/>
      <c r="J560" s="319" t="n"/>
      <c r="K560" s="319" t="n"/>
      <c r="L560" s="319" t="n"/>
      <c r="M560" s="319" t="n"/>
      <c r="N560" s="319" t="n"/>
      <c r="O560" s="319" t="n"/>
      <c r="P560" s="319" t="n"/>
      <c r="Q560" s="319" t="n"/>
      <c r="R560" s="319" t="n"/>
      <c r="S560" s="319" t="n"/>
      <c r="T560" s="319" t="n"/>
      <c r="U560" s="319" t="n"/>
      <c r="V560" s="319" t="n"/>
      <c r="W560" s="319" t="n"/>
      <c r="X560" s="319" t="n"/>
      <c r="Y560" s="319" t="n"/>
      <c r="Z560" s="319" t="n"/>
    </row>
    <row r="561">
      <c r="A561" s="319" t="n"/>
      <c r="B561" s="319" t="n"/>
      <c r="C561" s="319" t="n"/>
      <c r="D561" s="319" t="n"/>
      <c r="E561" s="319" t="n"/>
      <c r="F561" s="319" t="n"/>
      <c r="G561" s="319" t="n"/>
      <c r="H561" s="319" t="n"/>
      <c r="I561" s="319" t="n"/>
      <c r="J561" s="319" t="n"/>
      <c r="K561" s="319" t="n"/>
      <c r="L561" s="319" t="n"/>
      <c r="M561" s="319" t="n"/>
      <c r="N561" s="319" t="n"/>
      <c r="O561" s="319" t="n"/>
      <c r="P561" s="319" t="n"/>
      <c r="Q561" s="319" t="n"/>
      <c r="R561" s="319" t="n"/>
      <c r="S561" s="319" t="n"/>
      <c r="T561" s="319" t="n"/>
      <c r="U561" s="319" t="n"/>
      <c r="V561" s="319" t="n"/>
      <c r="W561" s="319" t="n"/>
      <c r="X561" s="319" t="n"/>
      <c r="Y561" s="319" t="n"/>
      <c r="Z561" s="319" t="n"/>
    </row>
    <row r="562">
      <c r="A562" s="319" t="n"/>
      <c r="B562" s="319" t="n"/>
      <c r="C562" s="319" t="n"/>
      <c r="D562" s="319" t="n"/>
      <c r="E562" s="319" t="n"/>
      <c r="F562" s="319" t="n"/>
      <c r="G562" s="319" t="n"/>
      <c r="H562" s="319" t="n"/>
      <c r="I562" s="319" t="n"/>
      <c r="J562" s="319" t="n"/>
      <c r="K562" s="319" t="n"/>
      <c r="L562" s="319" t="n"/>
      <c r="M562" s="319" t="n"/>
      <c r="N562" s="319" t="n"/>
      <c r="O562" s="319" t="n"/>
      <c r="P562" s="319" t="n"/>
      <c r="Q562" s="319" t="n"/>
      <c r="R562" s="319" t="n"/>
      <c r="S562" s="319" t="n"/>
      <c r="T562" s="319" t="n"/>
      <c r="U562" s="319" t="n"/>
      <c r="V562" s="319" t="n"/>
      <c r="W562" s="319" t="n"/>
      <c r="X562" s="319" t="n"/>
      <c r="Y562" s="319" t="n"/>
      <c r="Z562" s="319" t="n"/>
    </row>
    <row r="563">
      <c r="A563" s="319" t="n"/>
      <c r="B563" s="319" t="n"/>
      <c r="C563" s="319" t="n"/>
      <c r="D563" s="319" t="n"/>
      <c r="E563" s="319" t="n"/>
      <c r="F563" s="319" t="n"/>
      <c r="G563" s="319" t="n"/>
      <c r="H563" s="319" t="n"/>
      <c r="I563" s="319" t="n"/>
      <c r="J563" s="319" t="n"/>
      <c r="K563" s="319" t="n"/>
      <c r="L563" s="319" t="n"/>
      <c r="M563" s="319" t="n"/>
      <c r="N563" s="319" t="n"/>
      <c r="O563" s="319" t="n"/>
      <c r="P563" s="319" t="n"/>
      <c r="Q563" s="319" t="n"/>
      <c r="R563" s="319" t="n"/>
      <c r="S563" s="319" t="n"/>
      <c r="T563" s="319" t="n"/>
      <c r="U563" s="319" t="n"/>
      <c r="V563" s="319" t="n"/>
      <c r="W563" s="319" t="n"/>
      <c r="X563" s="319" t="n"/>
      <c r="Y563" s="319" t="n"/>
      <c r="Z563" s="319" t="n"/>
    </row>
    <row r="564">
      <c r="A564" s="319" t="n"/>
      <c r="B564" s="319" t="n"/>
      <c r="C564" s="319" t="n"/>
      <c r="D564" s="319" t="n"/>
      <c r="E564" s="319" t="n"/>
      <c r="F564" s="319" t="n"/>
      <c r="G564" s="319" t="n"/>
      <c r="H564" s="319" t="n"/>
      <c r="I564" s="319" t="n"/>
      <c r="J564" s="319" t="n"/>
      <c r="K564" s="319" t="n"/>
      <c r="L564" s="319" t="n"/>
      <c r="M564" s="319" t="n"/>
      <c r="N564" s="319" t="n"/>
      <c r="O564" s="319" t="n"/>
      <c r="P564" s="319" t="n"/>
      <c r="Q564" s="319" t="n"/>
      <c r="R564" s="319" t="n"/>
      <c r="S564" s="319" t="n"/>
      <c r="T564" s="319" t="n"/>
      <c r="U564" s="319" t="n"/>
      <c r="V564" s="319" t="n"/>
      <c r="W564" s="319" t="n"/>
      <c r="X564" s="319" t="n"/>
      <c r="Y564" s="319" t="n"/>
      <c r="Z564" s="319" t="n"/>
    </row>
    <row r="565">
      <c r="A565" s="319" t="n"/>
      <c r="B565" s="319" t="n"/>
      <c r="C565" s="319" t="n"/>
      <c r="D565" s="319" t="n"/>
      <c r="E565" s="319" t="n"/>
      <c r="F565" s="319" t="n"/>
      <c r="G565" s="319" t="n"/>
      <c r="H565" s="319" t="n"/>
      <c r="I565" s="319" t="n"/>
      <c r="J565" s="319" t="n"/>
      <c r="K565" s="319" t="n"/>
      <c r="L565" s="319" t="n"/>
      <c r="M565" s="319" t="n"/>
      <c r="N565" s="319" t="n"/>
      <c r="O565" s="319" t="n"/>
      <c r="P565" s="319" t="n"/>
      <c r="Q565" s="319" t="n"/>
      <c r="R565" s="319" t="n"/>
      <c r="S565" s="319" t="n"/>
      <c r="T565" s="319" t="n"/>
      <c r="U565" s="319" t="n"/>
      <c r="V565" s="319" t="n"/>
      <c r="W565" s="319" t="n"/>
      <c r="X565" s="319" t="n"/>
      <c r="Y565" s="319" t="n"/>
      <c r="Z565" s="319" t="n"/>
    </row>
    <row r="566">
      <c r="A566" s="319" t="n"/>
      <c r="B566" s="319" t="n"/>
      <c r="C566" s="319" t="n"/>
      <c r="D566" s="319" t="n"/>
      <c r="E566" s="319" t="n"/>
      <c r="F566" s="319" t="n"/>
      <c r="G566" s="319" t="n"/>
      <c r="H566" s="319" t="n"/>
      <c r="I566" s="319" t="n"/>
      <c r="J566" s="319" t="n"/>
      <c r="K566" s="319" t="n"/>
      <c r="L566" s="319" t="n"/>
      <c r="M566" s="319" t="n"/>
      <c r="N566" s="319" t="n"/>
      <c r="O566" s="319" t="n"/>
      <c r="P566" s="319" t="n"/>
      <c r="Q566" s="319" t="n"/>
      <c r="R566" s="319" t="n"/>
      <c r="S566" s="319" t="n"/>
      <c r="T566" s="319" t="n"/>
      <c r="U566" s="319" t="n"/>
      <c r="V566" s="319" t="n"/>
      <c r="W566" s="319" t="n"/>
      <c r="X566" s="319" t="n"/>
      <c r="Y566" s="319" t="n"/>
      <c r="Z566" s="319" t="n"/>
    </row>
    <row r="567">
      <c r="A567" s="319" t="n"/>
      <c r="B567" s="319" t="n"/>
      <c r="C567" s="319" t="n"/>
      <c r="D567" s="319" t="n"/>
      <c r="E567" s="319" t="n"/>
      <c r="F567" s="319" t="n"/>
      <c r="G567" s="319" t="n"/>
      <c r="H567" s="319" t="n"/>
      <c r="I567" s="319" t="n"/>
      <c r="J567" s="319" t="n"/>
      <c r="K567" s="319" t="n"/>
      <c r="L567" s="319" t="n"/>
      <c r="M567" s="319" t="n"/>
      <c r="N567" s="319" t="n"/>
      <c r="O567" s="319" t="n"/>
      <c r="P567" s="319" t="n"/>
      <c r="Q567" s="319" t="n"/>
      <c r="R567" s="319" t="n"/>
      <c r="S567" s="319" t="n"/>
      <c r="T567" s="319" t="n"/>
      <c r="U567" s="319" t="n"/>
      <c r="V567" s="319" t="n"/>
      <c r="W567" s="319" t="n"/>
      <c r="X567" s="319" t="n"/>
      <c r="Y567" s="319" t="n"/>
      <c r="Z567" s="319" t="n"/>
    </row>
    <row r="568">
      <c r="A568" s="319" t="n"/>
      <c r="B568" s="319" t="n"/>
      <c r="C568" s="319" t="n"/>
      <c r="D568" s="319" t="n"/>
      <c r="E568" s="319" t="n"/>
      <c r="F568" s="319" t="n"/>
      <c r="G568" s="319" t="n"/>
      <c r="H568" s="319" t="n"/>
      <c r="I568" s="319" t="n"/>
      <c r="J568" s="319" t="n"/>
      <c r="K568" s="319" t="n"/>
      <c r="L568" s="319" t="n"/>
      <c r="M568" s="319" t="n"/>
      <c r="N568" s="319" t="n"/>
      <c r="O568" s="319" t="n"/>
      <c r="P568" s="319" t="n"/>
      <c r="Q568" s="319" t="n"/>
      <c r="R568" s="319" t="n"/>
      <c r="S568" s="319" t="n"/>
      <c r="T568" s="319" t="n"/>
      <c r="U568" s="319" t="n"/>
      <c r="V568" s="319" t="n"/>
      <c r="W568" s="319" t="n"/>
      <c r="X568" s="319" t="n"/>
      <c r="Y568" s="319" t="n"/>
      <c r="Z568" s="319" t="n"/>
    </row>
    <row r="569">
      <c r="A569" s="319" t="n"/>
      <c r="B569" s="319" t="n"/>
      <c r="C569" s="319" t="n"/>
      <c r="D569" s="319" t="n"/>
      <c r="E569" s="319" t="n"/>
      <c r="F569" s="319" t="n"/>
      <c r="G569" s="319" t="n"/>
      <c r="H569" s="319" t="n"/>
      <c r="I569" s="319" t="n"/>
      <c r="J569" s="319" t="n"/>
      <c r="K569" s="319" t="n"/>
      <c r="L569" s="319" t="n"/>
      <c r="M569" s="319" t="n"/>
      <c r="N569" s="319" t="n"/>
      <c r="O569" s="319" t="n"/>
      <c r="P569" s="319" t="n"/>
      <c r="Q569" s="319" t="n"/>
      <c r="R569" s="319" t="n"/>
      <c r="S569" s="319" t="n"/>
      <c r="T569" s="319" t="n"/>
      <c r="U569" s="319" t="n"/>
      <c r="V569" s="319" t="n"/>
      <c r="W569" s="319" t="n"/>
      <c r="X569" s="319" t="n"/>
      <c r="Y569" s="319" t="n"/>
      <c r="Z569" s="319" t="n"/>
    </row>
    <row r="570">
      <c r="A570" s="319" t="n"/>
      <c r="B570" s="319" t="n"/>
      <c r="C570" s="319" t="n"/>
      <c r="D570" s="319" t="n"/>
      <c r="E570" s="319" t="n"/>
      <c r="F570" s="319" t="n"/>
      <c r="G570" s="319" t="n"/>
      <c r="H570" s="319" t="n"/>
      <c r="I570" s="319" t="n"/>
      <c r="J570" s="319" t="n"/>
      <c r="K570" s="319" t="n"/>
      <c r="L570" s="319" t="n"/>
      <c r="M570" s="319" t="n"/>
      <c r="N570" s="319" t="n"/>
      <c r="O570" s="319" t="n"/>
      <c r="P570" s="319" t="n"/>
      <c r="Q570" s="319" t="n"/>
      <c r="R570" s="319" t="n"/>
      <c r="S570" s="319" t="n"/>
      <c r="T570" s="319" t="n"/>
      <c r="U570" s="319" t="n"/>
      <c r="V570" s="319" t="n"/>
      <c r="W570" s="319" t="n"/>
      <c r="X570" s="319" t="n"/>
      <c r="Y570" s="319" t="n"/>
      <c r="Z570" s="319" t="n"/>
    </row>
    <row r="571">
      <c r="A571" s="319" t="n"/>
      <c r="B571" s="319" t="n"/>
      <c r="C571" s="319" t="n"/>
      <c r="D571" s="319" t="n"/>
      <c r="E571" s="319" t="n"/>
      <c r="F571" s="319" t="n"/>
      <c r="G571" s="319" t="n"/>
      <c r="H571" s="319" t="n"/>
      <c r="I571" s="319" t="n"/>
      <c r="J571" s="319" t="n"/>
      <c r="K571" s="319" t="n"/>
      <c r="L571" s="319" t="n"/>
      <c r="M571" s="319" t="n"/>
      <c r="N571" s="319" t="n"/>
      <c r="O571" s="319" t="n"/>
      <c r="P571" s="319" t="n"/>
      <c r="Q571" s="319" t="n"/>
      <c r="R571" s="319" t="n"/>
      <c r="S571" s="319" t="n"/>
      <c r="T571" s="319" t="n"/>
      <c r="U571" s="319" t="n"/>
      <c r="V571" s="319" t="n"/>
      <c r="W571" s="319" t="n"/>
      <c r="X571" s="319" t="n"/>
      <c r="Y571" s="319" t="n"/>
      <c r="Z571" s="319" t="n"/>
    </row>
    <row r="572">
      <c r="A572" s="319" t="n"/>
      <c r="B572" s="319" t="n"/>
      <c r="C572" s="319" t="n"/>
      <c r="D572" s="319" t="n"/>
      <c r="E572" s="319" t="n"/>
      <c r="F572" s="319" t="n"/>
      <c r="G572" s="319" t="n"/>
      <c r="H572" s="319" t="n"/>
      <c r="I572" s="319" t="n"/>
      <c r="J572" s="319" t="n"/>
      <c r="K572" s="319" t="n"/>
      <c r="L572" s="319" t="n"/>
      <c r="M572" s="319" t="n"/>
      <c r="N572" s="319" t="n"/>
      <c r="O572" s="319" t="n"/>
      <c r="P572" s="319" t="n"/>
      <c r="Q572" s="319" t="n"/>
      <c r="R572" s="319" t="n"/>
      <c r="S572" s="319" t="n"/>
      <c r="T572" s="319" t="n"/>
      <c r="U572" s="319" t="n"/>
      <c r="V572" s="319" t="n"/>
      <c r="W572" s="319" t="n"/>
      <c r="X572" s="319" t="n"/>
      <c r="Y572" s="319" t="n"/>
      <c r="Z572" s="319" t="n"/>
    </row>
    <row r="573">
      <c r="A573" s="319" t="n"/>
      <c r="B573" s="319" t="n"/>
      <c r="C573" s="319" t="n"/>
      <c r="D573" s="319" t="n"/>
      <c r="E573" s="319" t="n"/>
      <c r="F573" s="319" t="n"/>
      <c r="G573" s="319" t="n"/>
      <c r="H573" s="319" t="n"/>
      <c r="I573" s="319" t="n"/>
      <c r="J573" s="319" t="n"/>
      <c r="K573" s="319" t="n"/>
      <c r="L573" s="319" t="n"/>
      <c r="M573" s="319" t="n"/>
      <c r="N573" s="319" t="n"/>
      <c r="O573" s="319" t="n"/>
      <c r="P573" s="319" t="n"/>
      <c r="Q573" s="319" t="n"/>
      <c r="R573" s="319" t="n"/>
      <c r="S573" s="319" t="n"/>
      <c r="T573" s="319" t="n"/>
      <c r="U573" s="319" t="n"/>
      <c r="V573" s="319" t="n"/>
      <c r="W573" s="319" t="n"/>
      <c r="X573" s="319" t="n"/>
      <c r="Y573" s="319" t="n"/>
      <c r="Z573" s="319" t="n"/>
    </row>
    <row r="574">
      <c r="A574" s="319" t="n"/>
      <c r="B574" s="319" t="n"/>
      <c r="C574" s="319" t="n"/>
      <c r="D574" s="319" t="n"/>
      <c r="E574" s="319" t="n"/>
      <c r="F574" s="319" t="n"/>
      <c r="G574" s="319" t="n"/>
      <c r="H574" s="319" t="n"/>
      <c r="I574" s="319" t="n"/>
      <c r="J574" s="319" t="n"/>
      <c r="K574" s="319" t="n"/>
      <c r="L574" s="319" t="n"/>
      <c r="M574" s="319" t="n"/>
      <c r="N574" s="319" t="n"/>
      <c r="O574" s="319" t="n"/>
      <c r="P574" s="319" t="n"/>
      <c r="Q574" s="319" t="n"/>
      <c r="R574" s="319" t="n"/>
      <c r="S574" s="319" t="n"/>
      <c r="T574" s="319" t="n"/>
      <c r="U574" s="319" t="n"/>
      <c r="V574" s="319" t="n"/>
      <c r="W574" s="319" t="n"/>
      <c r="X574" s="319" t="n"/>
      <c r="Y574" s="319" t="n"/>
      <c r="Z574" s="319" t="n"/>
    </row>
    <row r="575">
      <c r="A575" s="319" t="n"/>
      <c r="B575" s="319" t="n"/>
      <c r="C575" s="319" t="n"/>
      <c r="D575" s="319" t="n"/>
      <c r="E575" s="319" t="n"/>
      <c r="F575" s="319" t="n"/>
      <c r="G575" s="319" t="n"/>
      <c r="H575" s="319" t="n"/>
      <c r="I575" s="319" t="n"/>
      <c r="J575" s="319" t="n"/>
      <c r="K575" s="319" t="n"/>
      <c r="L575" s="319" t="n"/>
      <c r="M575" s="319" t="n"/>
      <c r="N575" s="319" t="n"/>
      <c r="O575" s="319" t="n"/>
      <c r="P575" s="319" t="n"/>
      <c r="Q575" s="319" t="n"/>
      <c r="R575" s="319" t="n"/>
      <c r="S575" s="319" t="n"/>
      <c r="T575" s="319" t="n"/>
      <c r="U575" s="319" t="n"/>
      <c r="V575" s="319" t="n"/>
      <c r="W575" s="319" t="n"/>
      <c r="X575" s="319" t="n"/>
      <c r="Y575" s="319" t="n"/>
      <c r="Z575" s="319" t="n"/>
    </row>
    <row r="576">
      <c r="A576" s="319" t="n"/>
      <c r="B576" s="319" t="n"/>
      <c r="C576" s="319" t="n"/>
      <c r="D576" s="319" t="n"/>
      <c r="E576" s="319" t="n"/>
      <c r="F576" s="319" t="n"/>
      <c r="G576" s="319" t="n"/>
      <c r="H576" s="319" t="n"/>
      <c r="I576" s="319" t="n"/>
      <c r="J576" s="319" t="n"/>
      <c r="K576" s="319" t="n"/>
      <c r="L576" s="319" t="n"/>
      <c r="M576" s="319" t="n"/>
      <c r="N576" s="319" t="n"/>
      <c r="O576" s="319" t="n"/>
      <c r="P576" s="319" t="n"/>
      <c r="Q576" s="319" t="n"/>
      <c r="R576" s="319" t="n"/>
      <c r="S576" s="319" t="n"/>
      <c r="T576" s="319" t="n"/>
      <c r="U576" s="319" t="n"/>
      <c r="V576" s="319" t="n"/>
      <c r="W576" s="319" t="n"/>
      <c r="X576" s="319" t="n"/>
      <c r="Y576" s="319" t="n"/>
      <c r="Z576" s="319" t="n"/>
    </row>
    <row r="577">
      <c r="A577" s="319" t="n"/>
      <c r="B577" s="319" t="n"/>
      <c r="C577" s="319" t="n"/>
      <c r="D577" s="319" t="n"/>
      <c r="E577" s="319" t="n"/>
      <c r="F577" s="319" t="n"/>
      <c r="G577" s="319" t="n"/>
      <c r="H577" s="319" t="n"/>
      <c r="I577" s="319" t="n"/>
      <c r="J577" s="319" t="n"/>
      <c r="K577" s="319" t="n"/>
      <c r="L577" s="319" t="n"/>
      <c r="M577" s="319" t="n"/>
      <c r="N577" s="319" t="n"/>
      <c r="O577" s="319" t="n"/>
      <c r="P577" s="319" t="n"/>
      <c r="Q577" s="319" t="n"/>
      <c r="R577" s="319" t="n"/>
      <c r="S577" s="319" t="n"/>
      <c r="T577" s="319" t="n"/>
      <c r="U577" s="319" t="n"/>
      <c r="V577" s="319" t="n"/>
      <c r="W577" s="319" t="n"/>
      <c r="X577" s="319" t="n"/>
      <c r="Y577" s="319" t="n"/>
      <c r="Z577" s="319" t="n"/>
    </row>
    <row r="578">
      <c r="A578" s="319" t="n"/>
      <c r="B578" s="319" t="n"/>
      <c r="C578" s="319" t="n"/>
      <c r="D578" s="319" t="n"/>
      <c r="E578" s="319" t="n"/>
      <c r="F578" s="319" t="n"/>
      <c r="G578" s="319" t="n"/>
      <c r="H578" s="319" t="n"/>
      <c r="I578" s="319" t="n"/>
      <c r="J578" s="319" t="n"/>
      <c r="K578" s="319" t="n"/>
      <c r="L578" s="319" t="n"/>
      <c r="M578" s="319" t="n"/>
      <c r="N578" s="319" t="n"/>
      <c r="O578" s="319" t="n"/>
      <c r="P578" s="319" t="n"/>
      <c r="Q578" s="319" t="n"/>
      <c r="R578" s="319" t="n"/>
      <c r="S578" s="319" t="n"/>
      <c r="T578" s="319" t="n"/>
      <c r="U578" s="319" t="n"/>
      <c r="V578" s="319" t="n"/>
      <c r="W578" s="319" t="n"/>
      <c r="X578" s="319" t="n"/>
      <c r="Y578" s="319" t="n"/>
      <c r="Z578" s="319" t="n"/>
    </row>
    <row r="579">
      <c r="A579" s="319" t="n"/>
      <c r="B579" s="319" t="n"/>
      <c r="C579" s="319" t="n"/>
      <c r="D579" s="319" t="n"/>
      <c r="E579" s="319" t="n"/>
      <c r="F579" s="319" t="n"/>
      <c r="G579" s="319" t="n"/>
      <c r="H579" s="319" t="n"/>
      <c r="I579" s="319" t="n"/>
      <c r="J579" s="319" t="n"/>
      <c r="K579" s="319" t="n"/>
      <c r="L579" s="319" t="n"/>
      <c r="M579" s="319" t="n"/>
      <c r="N579" s="319" t="n"/>
      <c r="O579" s="319" t="n"/>
      <c r="P579" s="319" t="n"/>
      <c r="Q579" s="319" t="n"/>
      <c r="R579" s="319" t="n"/>
      <c r="S579" s="319" t="n"/>
      <c r="T579" s="319" t="n"/>
      <c r="U579" s="319" t="n"/>
      <c r="V579" s="319" t="n"/>
      <c r="W579" s="319" t="n"/>
      <c r="X579" s="319" t="n"/>
      <c r="Y579" s="319" t="n"/>
      <c r="Z579" s="319" t="n"/>
    </row>
    <row r="580">
      <c r="A580" s="319" t="n"/>
      <c r="B580" s="319" t="n"/>
      <c r="C580" s="319" t="n"/>
      <c r="D580" s="319" t="n"/>
      <c r="E580" s="319" t="n"/>
      <c r="F580" s="319" t="n"/>
      <c r="G580" s="319" t="n"/>
      <c r="H580" s="319" t="n"/>
      <c r="I580" s="319" t="n"/>
      <c r="J580" s="319" t="n"/>
      <c r="K580" s="319" t="n"/>
      <c r="L580" s="319" t="n"/>
      <c r="M580" s="319" t="n"/>
      <c r="N580" s="319" t="n"/>
      <c r="O580" s="319" t="n"/>
      <c r="P580" s="319" t="n"/>
      <c r="Q580" s="319" t="n"/>
      <c r="R580" s="319" t="n"/>
      <c r="S580" s="319" t="n"/>
      <c r="T580" s="319" t="n"/>
      <c r="U580" s="319" t="n"/>
      <c r="V580" s="319" t="n"/>
      <c r="W580" s="319" t="n"/>
      <c r="X580" s="319" t="n"/>
      <c r="Y580" s="319" t="n"/>
      <c r="Z580" s="319" t="n"/>
    </row>
    <row r="581">
      <c r="A581" s="319" t="n"/>
      <c r="B581" s="319" t="n"/>
      <c r="C581" s="319" t="n"/>
      <c r="D581" s="319" t="n"/>
      <c r="E581" s="319" t="n"/>
      <c r="F581" s="319" t="n"/>
      <c r="G581" s="319" t="n"/>
      <c r="H581" s="319" t="n"/>
      <c r="I581" s="319" t="n"/>
      <c r="J581" s="319" t="n"/>
      <c r="K581" s="319" t="n"/>
      <c r="L581" s="319" t="n"/>
      <c r="M581" s="319" t="n"/>
      <c r="N581" s="319" t="n"/>
      <c r="O581" s="319" t="n"/>
      <c r="P581" s="319" t="n"/>
      <c r="Q581" s="319" t="n"/>
      <c r="R581" s="319" t="n"/>
      <c r="S581" s="319" t="n"/>
      <c r="T581" s="319" t="n"/>
      <c r="U581" s="319" t="n"/>
      <c r="V581" s="319" t="n"/>
      <c r="W581" s="319" t="n"/>
      <c r="X581" s="319" t="n"/>
      <c r="Y581" s="319" t="n"/>
      <c r="Z581" s="319" t="n"/>
    </row>
    <row r="582">
      <c r="A582" s="319" t="n"/>
      <c r="B582" s="319" t="n"/>
      <c r="C582" s="319" t="n"/>
      <c r="D582" s="319" t="n"/>
      <c r="E582" s="319" t="n"/>
      <c r="F582" s="319" t="n"/>
      <c r="G582" s="319" t="n"/>
      <c r="H582" s="319" t="n"/>
      <c r="I582" s="319" t="n"/>
      <c r="J582" s="319" t="n"/>
      <c r="K582" s="319" t="n"/>
      <c r="L582" s="319" t="n"/>
      <c r="M582" s="319" t="n"/>
      <c r="N582" s="319" t="n"/>
      <c r="O582" s="319" t="n"/>
      <c r="P582" s="319" t="n"/>
      <c r="Q582" s="319" t="n"/>
      <c r="R582" s="319" t="n"/>
      <c r="S582" s="319" t="n"/>
      <c r="T582" s="319" t="n"/>
      <c r="U582" s="319" t="n"/>
      <c r="V582" s="319" t="n"/>
      <c r="W582" s="319" t="n"/>
      <c r="X582" s="319" t="n"/>
      <c r="Y582" s="319" t="n"/>
      <c r="Z582" s="319" t="n"/>
    </row>
    <row r="583">
      <c r="A583" s="319" t="n"/>
      <c r="B583" s="319" t="n"/>
      <c r="C583" s="319" t="n"/>
      <c r="D583" s="319" t="n"/>
      <c r="E583" s="319" t="n"/>
      <c r="F583" s="319" t="n"/>
      <c r="G583" s="319" t="n"/>
      <c r="H583" s="319" t="n"/>
      <c r="I583" s="319" t="n"/>
      <c r="J583" s="319" t="n"/>
      <c r="K583" s="319" t="n"/>
      <c r="L583" s="319" t="n"/>
      <c r="M583" s="319" t="n"/>
      <c r="N583" s="319" t="n"/>
      <c r="O583" s="319" t="n"/>
      <c r="P583" s="319" t="n"/>
      <c r="Q583" s="319" t="n"/>
      <c r="R583" s="319" t="n"/>
      <c r="S583" s="319" t="n"/>
      <c r="T583" s="319" t="n"/>
      <c r="U583" s="319" t="n"/>
      <c r="V583" s="319" t="n"/>
      <c r="W583" s="319" t="n"/>
      <c r="X583" s="319" t="n"/>
      <c r="Y583" s="319" t="n"/>
      <c r="Z583" s="319" t="n"/>
    </row>
    <row r="584">
      <c r="A584" s="319" t="n"/>
      <c r="B584" s="319" t="n"/>
      <c r="C584" s="319" t="n"/>
      <c r="D584" s="319" t="n"/>
      <c r="E584" s="319" t="n"/>
      <c r="F584" s="319" t="n"/>
      <c r="G584" s="319" t="n"/>
      <c r="H584" s="319" t="n"/>
      <c r="I584" s="319" t="n"/>
      <c r="J584" s="319" t="n"/>
      <c r="K584" s="319" t="n"/>
      <c r="L584" s="319" t="n"/>
      <c r="M584" s="319" t="n"/>
      <c r="N584" s="319" t="n"/>
      <c r="O584" s="319" t="n"/>
      <c r="P584" s="319" t="n"/>
      <c r="Q584" s="319" t="n"/>
      <c r="R584" s="319" t="n"/>
      <c r="S584" s="319" t="n"/>
      <c r="T584" s="319" t="n"/>
      <c r="U584" s="319" t="n"/>
      <c r="V584" s="319" t="n"/>
      <c r="W584" s="319" t="n"/>
      <c r="X584" s="319" t="n"/>
      <c r="Y584" s="319" t="n"/>
      <c r="Z584" s="319" t="n"/>
    </row>
    <row r="585">
      <c r="A585" s="319" t="n"/>
      <c r="B585" s="319" t="n"/>
      <c r="C585" s="319" t="n"/>
      <c r="D585" s="319" t="n"/>
      <c r="E585" s="319" t="n"/>
      <c r="F585" s="319" t="n"/>
      <c r="G585" s="319" t="n"/>
      <c r="H585" s="319" t="n"/>
      <c r="I585" s="319" t="n"/>
      <c r="J585" s="319" t="n"/>
      <c r="K585" s="319" t="n"/>
      <c r="L585" s="319" t="n"/>
      <c r="M585" s="319" t="n"/>
      <c r="N585" s="319" t="n"/>
      <c r="O585" s="319" t="n"/>
      <c r="P585" s="319" t="n"/>
      <c r="Q585" s="319" t="n"/>
      <c r="R585" s="319" t="n"/>
      <c r="S585" s="319" t="n"/>
      <c r="T585" s="319" t="n"/>
      <c r="U585" s="319" t="n"/>
      <c r="V585" s="319" t="n"/>
      <c r="W585" s="319" t="n"/>
      <c r="X585" s="319" t="n"/>
      <c r="Y585" s="319" t="n"/>
      <c r="Z585" s="319" t="n"/>
    </row>
    <row r="586">
      <c r="A586" s="319" t="n"/>
      <c r="B586" s="319" t="n"/>
      <c r="C586" s="319" t="n"/>
      <c r="D586" s="319" t="n"/>
      <c r="E586" s="319" t="n"/>
      <c r="F586" s="319" t="n"/>
      <c r="G586" s="319" t="n"/>
      <c r="H586" s="319" t="n"/>
      <c r="I586" s="319" t="n"/>
      <c r="J586" s="319" t="n"/>
      <c r="K586" s="319" t="n"/>
      <c r="L586" s="319" t="n"/>
      <c r="M586" s="319" t="n"/>
      <c r="N586" s="319" t="n"/>
      <c r="O586" s="319" t="n"/>
      <c r="P586" s="319" t="n"/>
      <c r="Q586" s="319" t="n"/>
      <c r="R586" s="319" t="n"/>
      <c r="S586" s="319" t="n"/>
      <c r="T586" s="319" t="n"/>
      <c r="U586" s="319" t="n"/>
      <c r="V586" s="319" t="n"/>
      <c r="W586" s="319" t="n"/>
      <c r="X586" s="319" t="n"/>
      <c r="Y586" s="319" t="n"/>
      <c r="Z586" s="319" t="n"/>
    </row>
    <row r="587">
      <c r="A587" s="319" t="n"/>
      <c r="B587" s="319" t="n"/>
      <c r="C587" s="319" t="n"/>
      <c r="D587" s="319" t="n"/>
      <c r="E587" s="319" t="n"/>
      <c r="F587" s="319" t="n"/>
      <c r="G587" s="319" t="n"/>
      <c r="H587" s="319" t="n"/>
      <c r="I587" s="319" t="n"/>
      <c r="J587" s="319" t="n"/>
      <c r="K587" s="319" t="n"/>
      <c r="L587" s="319" t="n"/>
      <c r="M587" s="319" t="n"/>
      <c r="N587" s="319" t="n"/>
      <c r="O587" s="319" t="n"/>
      <c r="P587" s="319" t="n"/>
      <c r="Q587" s="319" t="n"/>
      <c r="R587" s="319" t="n"/>
      <c r="S587" s="319" t="n"/>
      <c r="T587" s="319" t="n"/>
      <c r="U587" s="319" t="n"/>
      <c r="V587" s="319" t="n"/>
      <c r="W587" s="319" t="n"/>
      <c r="X587" s="319" t="n"/>
      <c r="Y587" s="319" t="n"/>
      <c r="Z587" s="319" t="n"/>
    </row>
    <row r="588">
      <c r="A588" s="319" t="n"/>
      <c r="B588" s="319" t="n"/>
      <c r="C588" s="319" t="n"/>
      <c r="D588" s="319" t="n"/>
      <c r="E588" s="319" t="n"/>
      <c r="F588" s="319" t="n"/>
      <c r="G588" s="319" t="n"/>
      <c r="H588" s="319" t="n"/>
      <c r="I588" s="319" t="n"/>
      <c r="J588" s="319" t="n"/>
      <c r="K588" s="319" t="n"/>
      <c r="L588" s="319" t="n"/>
      <c r="M588" s="319" t="n"/>
      <c r="N588" s="319" t="n"/>
      <c r="O588" s="319" t="n"/>
      <c r="P588" s="319" t="n"/>
      <c r="Q588" s="319" t="n"/>
      <c r="R588" s="319" t="n"/>
      <c r="S588" s="319" t="n"/>
      <c r="T588" s="319" t="n"/>
      <c r="U588" s="319" t="n"/>
      <c r="V588" s="319" t="n"/>
      <c r="W588" s="319" t="n"/>
      <c r="X588" s="319" t="n"/>
      <c r="Y588" s="319" t="n"/>
      <c r="Z588" s="319" t="n"/>
    </row>
    <row r="589">
      <c r="A589" s="319" t="n"/>
      <c r="B589" s="319" t="n"/>
      <c r="C589" s="319" t="n"/>
      <c r="D589" s="319" t="n"/>
      <c r="E589" s="319" t="n"/>
      <c r="F589" s="319" t="n"/>
      <c r="G589" s="319" t="n"/>
      <c r="H589" s="319" t="n"/>
      <c r="I589" s="319" t="n"/>
      <c r="J589" s="319" t="n"/>
      <c r="K589" s="319" t="n"/>
      <c r="L589" s="319" t="n"/>
      <c r="M589" s="319" t="n"/>
      <c r="N589" s="319" t="n"/>
      <c r="O589" s="319" t="n"/>
      <c r="P589" s="319" t="n"/>
      <c r="Q589" s="319" t="n"/>
      <c r="R589" s="319" t="n"/>
      <c r="S589" s="319" t="n"/>
      <c r="T589" s="319" t="n"/>
      <c r="U589" s="319" t="n"/>
      <c r="V589" s="319" t="n"/>
      <c r="W589" s="319" t="n"/>
      <c r="X589" s="319" t="n"/>
      <c r="Y589" s="319" t="n"/>
      <c r="Z589" s="319" t="n"/>
    </row>
    <row r="590">
      <c r="A590" s="319" t="n"/>
      <c r="B590" s="319" t="n"/>
      <c r="C590" s="319" t="n"/>
      <c r="D590" s="319" t="n"/>
      <c r="E590" s="319" t="n"/>
      <c r="F590" s="319" t="n"/>
      <c r="G590" s="319" t="n"/>
      <c r="H590" s="319" t="n"/>
      <c r="I590" s="319" t="n"/>
      <c r="J590" s="319" t="n"/>
      <c r="K590" s="319" t="n"/>
      <c r="L590" s="319" t="n"/>
      <c r="M590" s="319" t="n"/>
      <c r="N590" s="319" t="n"/>
      <c r="O590" s="319" t="n"/>
      <c r="P590" s="319" t="n"/>
      <c r="Q590" s="319" t="n"/>
      <c r="R590" s="319" t="n"/>
      <c r="S590" s="319" t="n"/>
      <c r="T590" s="319" t="n"/>
      <c r="U590" s="319" t="n"/>
      <c r="V590" s="319" t="n"/>
      <c r="W590" s="319" t="n"/>
      <c r="X590" s="319" t="n"/>
      <c r="Y590" s="319" t="n"/>
      <c r="Z590" s="319" t="n"/>
    </row>
    <row r="591">
      <c r="A591" s="319" t="n"/>
      <c r="B591" s="319" t="n"/>
      <c r="C591" s="319" t="n"/>
      <c r="D591" s="319" t="n"/>
      <c r="E591" s="319" t="n"/>
      <c r="F591" s="319" t="n"/>
      <c r="G591" s="319" t="n"/>
      <c r="H591" s="319" t="n"/>
      <c r="I591" s="319" t="n"/>
      <c r="J591" s="319" t="n"/>
      <c r="K591" s="319" t="n"/>
      <c r="L591" s="319" t="n"/>
      <c r="M591" s="319" t="n"/>
      <c r="N591" s="319" t="n"/>
      <c r="O591" s="319" t="n"/>
      <c r="P591" s="319" t="n"/>
      <c r="Q591" s="319" t="n"/>
      <c r="R591" s="319" t="n"/>
      <c r="S591" s="319" t="n"/>
      <c r="T591" s="319" t="n"/>
      <c r="U591" s="319" t="n"/>
      <c r="V591" s="319" t="n"/>
      <c r="W591" s="319" t="n"/>
      <c r="X591" s="319" t="n"/>
      <c r="Y591" s="319" t="n"/>
      <c r="Z591" s="319" t="n"/>
    </row>
    <row r="592">
      <c r="A592" s="319" t="n"/>
      <c r="B592" s="319" t="n"/>
      <c r="C592" s="319" t="n"/>
      <c r="D592" s="319" t="n"/>
      <c r="E592" s="319" t="n"/>
      <c r="F592" s="319" t="n"/>
      <c r="G592" s="319" t="n"/>
      <c r="H592" s="319" t="n"/>
      <c r="I592" s="319" t="n"/>
      <c r="J592" s="319" t="n"/>
      <c r="K592" s="319" t="n"/>
      <c r="L592" s="319" t="n"/>
      <c r="M592" s="319" t="n"/>
      <c r="N592" s="319" t="n"/>
      <c r="O592" s="319" t="n"/>
      <c r="P592" s="319" t="n"/>
      <c r="Q592" s="319" t="n"/>
      <c r="R592" s="319" t="n"/>
      <c r="S592" s="319" t="n"/>
      <c r="T592" s="319" t="n"/>
      <c r="U592" s="319" t="n"/>
      <c r="V592" s="319" t="n"/>
      <c r="W592" s="319" t="n"/>
      <c r="X592" s="319" t="n"/>
      <c r="Y592" s="319" t="n"/>
      <c r="Z592" s="319" t="n"/>
    </row>
    <row r="593">
      <c r="A593" s="319" t="n"/>
      <c r="B593" s="319" t="n"/>
      <c r="C593" s="319" t="n"/>
      <c r="D593" s="319" t="n"/>
      <c r="E593" s="319" t="n"/>
      <c r="F593" s="319" t="n"/>
      <c r="G593" s="319" t="n"/>
      <c r="H593" s="319" t="n"/>
      <c r="I593" s="319" t="n"/>
      <c r="J593" s="319" t="n"/>
      <c r="K593" s="319" t="n"/>
      <c r="L593" s="319" t="n"/>
      <c r="M593" s="319" t="n"/>
      <c r="N593" s="319" t="n"/>
      <c r="O593" s="319" t="n"/>
      <c r="P593" s="319" t="n"/>
      <c r="Q593" s="319" t="n"/>
      <c r="R593" s="319" t="n"/>
      <c r="S593" s="319" t="n"/>
      <c r="T593" s="319" t="n"/>
      <c r="U593" s="319" t="n"/>
      <c r="V593" s="319" t="n"/>
      <c r="W593" s="319" t="n"/>
      <c r="X593" s="319" t="n"/>
      <c r="Y593" s="319" t="n"/>
      <c r="Z593" s="319" t="n"/>
    </row>
    <row r="594">
      <c r="A594" s="319" t="n"/>
      <c r="B594" s="319" t="n"/>
      <c r="C594" s="319" t="n"/>
      <c r="D594" s="319" t="n"/>
      <c r="E594" s="319" t="n"/>
      <c r="F594" s="319" t="n"/>
      <c r="G594" s="319" t="n"/>
      <c r="H594" s="319" t="n"/>
      <c r="I594" s="319" t="n"/>
      <c r="J594" s="319" t="n"/>
      <c r="K594" s="319" t="n"/>
      <c r="L594" s="319" t="n"/>
      <c r="M594" s="319" t="n"/>
      <c r="N594" s="319" t="n"/>
      <c r="O594" s="319" t="n"/>
      <c r="P594" s="319" t="n"/>
      <c r="Q594" s="319" t="n"/>
      <c r="R594" s="319" t="n"/>
      <c r="S594" s="319" t="n"/>
      <c r="T594" s="319" t="n"/>
      <c r="U594" s="319" t="n"/>
      <c r="V594" s="319" t="n"/>
      <c r="W594" s="319" t="n"/>
      <c r="X594" s="319" t="n"/>
      <c r="Y594" s="319" t="n"/>
      <c r="Z594" s="319" t="n"/>
    </row>
    <row r="595">
      <c r="A595" s="319" t="n"/>
      <c r="B595" s="319" t="n"/>
      <c r="C595" s="319" t="n"/>
      <c r="D595" s="319" t="n"/>
      <c r="E595" s="319" t="n"/>
      <c r="F595" s="319" t="n"/>
      <c r="G595" s="319" t="n"/>
      <c r="H595" s="319" t="n"/>
      <c r="I595" s="319" t="n"/>
      <c r="J595" s="319" t="n"/>
      <c r="K595" s="319" t="n"/>
      <c r="L595" s="319" t="n"/>
      <c r="M595" s="319" t="n"/>
      <c r="N595" s="319" t="n"/>
      <c r="O595" s="319" t="n"/>
      <c r="P595" s="319" t="n"/>
      <c r="Q595" s="319" t="n"/>
      <c r="R595" s="319" t="n"/>
      <c r="S595" s="319" t="n"/>
      <c r="T595" s="319" t="n"/>
      <c r="U595" s="319" t="n"/>
      <c r="V595" s="319" t="n"/>
      <c r="W595" s="319" t="n"/>
      <c r="X595" s="319" t="n"/>
      <c r="Y595" s="319" t="n"/>
      <c r="Z595" s="319" t="n"/>
    </row>
    <row r="596">
      <c r="A596" s="319" t="n"/>
      <c r="B596" s="319" t="n"/>
      <c r="C596" s="319" t="n"/>
      <c r="D596" s="319" t="n"/>
      <c r="E596" s="319" t="n"/>
      <c r="F596" s="319" t="n"/>
      <c r="G596" s="319" t="n"/>
      <c r="H596" s="319" t="n"/>
      <c r="I596" s="319" t="n"/>
      <c r="J596" s="319" t="n"/>
      <c r="K596" s="319" t="n"/>
      <c r="L596" s="319" t="n"/>
      <c r="M596" s="319" t="n"/>
      <c r="N596" s="319" t="n"/>
      <c r="O596" s="319" t="n"/>
      <c r="P596" s="319" t="n"/>
      <c r="Q596" s="319" t="n"/>
      <c r="R596" s="319" t="n"/>
      <c r="S596" s="319" t="n"/>
      <c r="T596" s="319" t="n"/>
      <c r="U596" s="319" t="n"/>
      <c r="V596" s="319" t="n"/>
      <c r="W596" s="319" t="n"/>
      <c r="X596" s="319" t="n"/>
      <c r="Y596" s="319" t="n"/>
      <c r="Z596" s="319" t="n"/>
    </row>
    <row r="597">
      <c r="A597" s="319" t="n"/>
      <c r="B597" s="319" t="n"/>
      <c r="C597" s="319" t="n"/>
      <c r="D597" s="319" t="n"/>
      <c r="E597" s="319" t="n"/>
      <c r="F597" s="319" t="n"/>
      <c r="G597" s="319" t="n"/>
      <c r="H597" s="319" t="n"/>
      <c r="I597" s="319" t="n"/>
      <c r="J597" s="319" t="n"/>
      <c r="K597" s="319" t="n"/>
      <c r="L597" s="319" t="n"/>
      <c r="M597" s="319" t="n"/>
      <c r="N597" s="319" t="n"/>
      <c r="O597" s="319" t="n"/>
      <c r="P597" s="319" t="n"/>
      <c r="Q597" s="319" t="n"/>
      <c r="R597" s="319" t="n"/>
      <c r="S597" s="319" t="n"/>
      <c r="T597" s="319" t="n"/>
      <c r="U597" s="319" t="n"/>
      <c r="V597" s="319" t="n"/>
      <c r="W597" s="319" t="n"/>
      <c r="X597" s="319" t="n"/>
      <c r="Y597" s="319" t="n"/>
      <c r="Z597" s="319" t="n"/>
    </row>
    <row r="598">
      <c r="A598" s="319" t="n"/>
      <c r="B598" s="319" t="n"/>
      <c r="C598" s="319" t="n"/>
      <c r="D598" s="319" t="n"/>
      <c r="E598" s="319" t="n"/>
      <c r="F598" s="319" t="n"/>
      <c r="G598" s="319" t="n"/>
      <c r="H598" s="319" t="n"/>
      <c r="I598" s="319" t="n"/>
      <c r="J598" s="319" t="n"/>
      <c r="K598" s="319" t="n"/>
      <c r="L598" s="319" t="n"/>
      <c r="M598" s="319" t="n"/>
      <c r="N598" s="319" t="n"/>
      <c r="O598" s="319" t="n"/>
      <c r="P598" s="319" t="n"/>
      <c r="Q598" s="319" t="n"/>
      <c r="R598" s="319" t="n"/>
      <c r="S598" s="319" t="n"/>
      <c r="T598" s="319" t="n"/>
      <c r="U598" s="319" t="n"/>
      <c r="V598" s="319" t="n"/>
      <c r="W598" s="319" t="n"/>
      <c r="X598" s="319" t="n"/>
      <c r="Y598" s="319" t="n"/>
      <c r="Z598" s="319" t="n"/>
    </row>
    <row r="599">
      <c r="A599" s="319" t="n"/>
      <c r="B599" s="319" t="n"/>
      <c r="C599" s="319" t="n"/>
      <c r="D599" s="319" t="n"/>
      <c r="E599" s="319" t="n"/>
      <c r="F599" s="319" t="n"/>
      <c r="G599" s="319" t="n"/>
      <c r="H599" s="319" t="n"/>
      <c r="I599" s="319" t="n"/>
      <c r="J599" s="319" t="n"/>
      <c r="K599" s="319" t="n"/>
      <c r="L599" s="319" t="n"/>
      <c r="M599" s="319" t="n"/>
      <c r="N599" s="319" t="n"/>
      <c r="O599" s="319" t="n"/>
      <c r="P599" s="319" t="n"/>
      <c r="Q599" s="319" t="n"/>
      <c r="R599" s="319" t="n"/>
      <c r="S599" s="319" t="n"/>
      <c r="T599" s="319" t="n"/>
      <c r="U599" s="319" t="n"/>
      <c r="V599" s="319" t="n"/>
      <c r="W599" s="319" t="n"/>
      <c r="X599" s="319" t="n"/>
      <c r="Y599" s="319" t="n"/>
      <c r="Z599" s="319" t="n"/>
    </row>
    <row r="600">
      <c r="A600" s="319" t="n"/>
      <c r="B600" s="319" t="n"/>
      <c r="C600" s="319" t="n"/>
      <c r="D600" s="319" t="n"/>
      <c r="E600" s="319" t="n"/>
      <c r="F600" s="319" t="n"/>
      <c r="G600" s="319" t="n"/>
      <c r="H600" s="319" t="n"/>
      <c r="I600" s="319" t="n"/>
      <c r="J600" s="319" t="n"/>
      <c r="K600" s="319" t="n"/>
      <c r="L600" s="319" t="n"/>
      <c r="M600" s="319" t="n"/>
      <c r="N600" s="319" t="n"/>
      <c r="O600" s="319" t="n"/>
      <c r="P600" s="319" t="n"/>
      <c r="Q600" s="319" t="n"/>
      <c r="R600" s="319" t="n"/>
      <c r="S600" s="319" t="n"/>
      <c r="T600" s="319" t="n"/>
      <c r="U600" s="319" t="n"/>
      <c r="V600" s="319" t="n"/>
      <c r="W600" s="319" t="n"/>
      <c r="X600" s="319" t="n"/>
      <c r="Y600" s="319" t="n"/>
      <c r="Z600" s="319" t="n"/>
    </row>
    <row r="601">
      <c r="A601" s="319" t="n"/>
      <c r="B601" s="319" t="n"/>
      <c r="C601" s="319" t="n"/>
      <c r="D601" s="319" t="n"/>
      <c r="E601" s="319" t="n"/>
      <c r="F601" s="319" t="n"/>
      <c r="G601" s="319" t="n"/>
      <c r="H601" s="319" t="n"/>
      <c r="I601" s="319" t="n"/>
      <c r="J601" s="319" t="n"/>
      <c r="K601" s="319" t="n"/>
      <c r="L601" s="319" t="n"/>
      <c r="M601" s="319" t="n"/>
      <c r="N601" s="319" t="n"/>
      <c r="O601" s="319" t="n"/>
      <c r="P601" s="319" t="n"/>
      <c r="Q601" s="319" t="n"/>
      <c r="R601" s="319" t="n"/>
      <c r="S601" s="319" t="n"/>
      <c r="T601" s="319" t="n"/>
      <c r="U601" s="319" t="n"/>
      <c r="V601" s="319" t="n"/>
      <c r="W601" s="319" t="n"/>
      <c r="X601" s="319" t="n"/>
      <c r="Y601" s="319" t="n"/>
      <c r="Z601" s="319" t="n"/>
    </row>
    <row r="602">
      <c r="A602" s="319" t="n"/>
      <c r="B602" s="319" t="n"/>
      <c r="C602" s="319" t="n"/>
      <c r="D602" s="319" t="n"/>
      <c r="E602" s="319" t="n"/>
      <c r="F602" s="319" t="n"/>
      <c r="G602" s="319" t="n"/>
      <c r="H602" s="319" t="n"/>
      <c r="I602" s="319" t="n"/>
      <c r="J602" s="319" t="n"/>
      <c r="K602" s="319" t="n"/>
      <c r="L602" s="319" t="n"/>
      <c r="M602" s="319" t="n"/>
      <c r="N602" s="319" t="n"/>
      <c r="O602" s="319" t="n"/>
      <c r="P602" s="319" t="n"/>
      <c r="Q602" s="319" t="n"/>
      <c r="R602" s="319" t="n"/>
      <c r="S602" s="319" t="n"/>
      <c r="T602" s="319" t="n"/>
      <c r="U602" s="319" t="n"/>
      <c r="V602" s="319" t="n"/>
      <c r="W602" s="319" t="n"/>
      <c r="X602" s="319" t="n"/>
      <c r="Y602" s="319" t="n"/>
      <c r="Z602" s="319" t="n"/>
    </row>
    <row r="603">
      <c r="A603" s="319" t="n"/>
      <c r="B603" s="319" t="n"/>
      <c r="C603" s="319" t="n"/>
      <c r="D603" s="319" t="n"/>
      <c r="E603" s="319" t="n"/>
      <c r="F603" s="319" t="n"/>
      <c r="G603" s="319" t="n"/>
      <c r="H603" s="319" t="n"/>
      <c r="I603" s="319" t="n"/>
      <c r="J603" s="319" t="n"/>
      <c r="K603" s="319" t="n"/>
      <c r="L603" s="319" t="n"/>
      <c r="M603" s="319" t="n"/>
      <c r="N603" s="319" t="n"/>
      <c r="O603" s="319" t="n"/>
      <c r="P603" s="319" t="n"/>
      <c r="Q603" s="319" t="n"/>
      <c r="R603" s="319" t="n"/>
      <c r="S603" s="319" t="n"/>
      <c r="T603" s="319" t="n"/>
      <c r="U603" s="319" t="n"/>
      <c r="V603" s="319" t="n"/>
      <c r="W603" s="319" t="n"/>
      <c r="X603" s="319" t="n"/>
      <c r="Y603" s="319" t="n"/>
      <c r="Z603" s="319" t="n"/>
    </row>
    <row r="604">
      <c r="A604" s="319" t="n"/>
      <c r="B604" s="319" t="n"/>
      <c r="C604" s="319" t="n"/>
      <c r="D604" s="319" t="n"/>
      <c r="E604" s="319" t="n"/>
      <c r="F604" s="319" t="n"/>
      <c r="G604" s="319" t="n"/>
      <c r="H604" s="319" t="n"/>
      <c r="I604" s="319" t="n"/>
      <c r="J604" s="319" t="n"/>
      <c r="K604" s="319" t="n"/>
      <c r="L604" s="319" t="n"/>
      <c r="M604" s="319" t="n"/>
      <c r="N604" s="319" t="n"/>
      <c r="O604" s="319" t="n"/>
      <c r="P604" s="319" t="n"/>
      <c r="Q604" s="319" t="n"/>
      <c r="R604" s="319" t="n"/>
      <c r="S604" s="319" t="n"/>
      <c r="T604" s="319" t="n"/>
      <c r="U604" s="319" t="n"/>
      <c r="V604" s="319" t="n"/>
      <c r="W604" s="319" t="n"/>
      <c r="X604" s="319" t="n"/>
      <c r="Y604" s="319" t="n"/>
      <c r="Z604" s="319" t="n"/>
    </row>
    <row r="605">
      <c r="A605" s="319" t="n"/>
      <c r="B605" s="319" t="n"/>
      <c r="C605" s="319" t="n"/>
      <c r="D605" s="319" t="n"/>
      <c r="E605" s="319" t="n"/>
      <c r="F605" s="319" t="n"/>
      <c r="G605" s="319" t="n"/>
      <c r="H605" s="319" t="n"/>
      <c r="I605" s="319" t="n"/>
      <c r="J605" s="319" t="n"/>
      <c r="K605" s="319" t="n"/>
      <c r="L605" s="319" t="n"/>
      <c r="M605" s="319" t="n"/>
      <c r="N605" s="319" t="n"/>
      <c r="O605" s="319" t="n"/>
      <c r="P605" s="319" t="n"/>
      <c r="Q605" s="319" t="n"/>
      <c r="R605" s="319" t="n"/>
      <c r="S605" s="319" t="n"/>
      <c r="T605" s="319" t="n"/>
      <c r="U605" s="319" t="n"/>
      <c r="V605" s="319" t="n"/>
      <c r="W605" s="319" t="n"/>
      <c r="X605" s="319" t="n"/>
      <c r="Y605" s="319" t="n"/>
      <c r="Z605" s="319" t="n"/>
    </row>
    <row r="606">
      <c r="A606" s="319" t="n"/>
      <c r="B606" s="319" t="n"/>
      <c r="C606" s="319" t="n"/>
      <c r="D606" s="319" t="n"/>
      <c r="E606" s="319" t="n"/>
      <c r="F606" s="319" t="n"/>
      <c r="G606" s="319" t="n"/>
      <c r="H606" s="319" t="n"/>
      <c r="I606" s="319" t="n"/>
      <c r="J606" s="319" t="n"/>
      <c r="K606" s="319" t="n"/>
      <c r="L606" s="319" t="n"/>
      <c r="M606" s="319" t="n"/>
      <c r="N606" s="319" t="n"/>
      <c r="O606" s="319" t="n"/>
      <c r="P606" s="319" t="n"/>
      <c r="Q606" s="319" t="n"/>
      <c r="R606" s="319" t="n"/>
      <c r="S606" s="319" t="n"/>
      <c r="T606" s="319" t="n"/>
      <c r="U606" s="319" t="n"/>
      <c r="V606" s="319" t="n"/>
      <c r="W606" s="319" t="n"/>
      <c r="X606" s="319" t="n"/>
      <c r="Y606" s="319" t="n"/>
      <c r="Z606" s="319" t="n"/>
    </row>
    <row r="607">
      <c r="A607" s="319" t="n"/>
      <c r="B607" s="319" t="n"/>
      <c r="C607" s="319" t="n"/>
      <c r="D607" s="319" t="n"/>
      <c r="E607" s="319" t="n"/>
      <c r="F607" s="319" t="n"/>
      <c r="G607" s="319" t="n"/>
      <c r="H607" s="319" t="n"/>
      <c r="I607" s="319" t="n"/>
      <c r="J607" s="319" t="n"/>
      <c r="K607" s="319" t="n"/>
      <c r="L607" s="319" t="n"/>
      <c r="M607" s="319" t="n"/>
      <c r="N607" s="319" t="n"/>
      <c r="O607" s="319" t="n"/>
      <c r="P607" s="319" t="n"/>
      <c r="Q607" s="319" t="n"/>
      <c r="R607" s="319" t="n"/>
      <c r="S607" s="319" t="n"/>
      <c r="T607" s="319" t="n"/>
      <c r="U607" s="319" t="n"/>
      <c r="V607" s="319" t="n"/>
      <c r="W607" s="319" t="n"/>
      <c r="X607" s="319" t="n"/>
      <c r="Y607" s="319" t="n"/>
      <c r="Z607" s="319" t="n"/>
    </row>
    <row r="608">
      <c r="A608" s="319" t="n"/>
      <c r="B608" s="319" t="n"/>
      <c r="C608" s="319" t="n"/>
      <c r="D608" s="319" t="n"/>
      <c r="E608" s="319" t="n"/>
      <c r="F608" s="319" t="n"/>
      <c r="G608" s="319" t="n"/>
      <c r="H608" s="319" t="n"/>
      <c r="I608" s="319" t="n"/>
      <c r="J608" s="319" t="n"/>
      <c r="K608" s="319" t="n"/>
      <c r="L608" s="319" t="n"/>
      <c r="M608" s="319" t="n"/>
      <c r="N608" s="319" t="n"/>
      <c r="O608" s="319" t="n"/>
      <c r="P608" s="319" t="n"/>
      <c r="Q608" s="319" t="n"/>
      <c r="R608" s="319" t="n"/>
      <c r="S608" s="319" t="n"/>
      <c r="T608" s="319" t="n"/>
      <c r="U608" s="319" t="n"/>
      <c r="V608" s="319" t="n"/>
      <c r="W608" s="319" t="n"/>
      <c r="X608" s="319" t="n"/>
      <c r="Y608" s="319" t="n"/>
      <c r="Z608" s="319" t="n"/>
    </row>
    <row r="609">
      <c r="A609" s="319" t="n"/>
      <c r="B609" s="319" t="n"/>
      <c r="C609" s="319" t="n"/>
      <c r="D609" s="319" t="n"/>
      <c r="E609" s="319" t="n"/>
      <c r="F609" s="319" t="n"/>
      <c r="G609" s="319" t="n"/>
      <c r="H609" s="319" t="n"/>
      <c r="I609" s="319" t="n"/>
      <c r="J609" s="319" t="n"/>
      <c r="K609" s="319" t="n"/>
      <c r="L609" s="319" t="n"/>
      <c r="M609" s="319" t="n"/>
      <c r="N609" s="319" t="n"/>
      <c r="O609" s="319" t="n"/>
      <c r="P609" s="319" t="n"/>
      <c r="Q609" s="319" t="n"/>
      <c r="R609" s="319" t="n"/>
      <c r="S609" s="319" t="n"/>
      <c r="T609" s="319" t="n"/>
      <c r="U609" s="319" t="n"/>
      <c r="V609" s="319" t="n"/>
      <c r="W609" s="319" t="n"/>
      <c r="X609" s="319" t="n"/>
      <c r="Y609" s="319" t="n"/>
      <c r="Z609" s="319" t="n"/>
    </row>
    <row r="610">
      <c r="A610" s="319" t="n"/>
      <c r="B610" s="319" t="n"/>
      <c r="C610" s="319" t="n"/>
      <c r="D610" s="319" t="n"/>
      <c r="E610" s="319" t="n"/>
      <c r="F610" s="319" t="n"/>
      <c r="G610" s="319" t="n"/>
      <c r="H610" s="319" t="n"/>
      <c r="I610" s="319" t="n"/>
      <c r="J610" s="319" t="n"/>
      <c r="K610" s="319" t="n"/>
      <c r="L610" s="319" t="n"/>
      <c r="M610" s="319" t="n"/>
      <c r="N610" s="319" t="n"/>
      <c r="O610" s="319" t="n"/>
      <c r="P610" s="319" t="n"/>
      <c r="Q610" s="319" t="n"/>
      <c r="R610" s="319" t="n"/>
      <c r="S610" s="319" t="n"/>
      <c r="T610" s="319" t="n"/>
      <c r="U610" s="319" t="n"/>
      <c r="V610" s="319" t="n"/>
      <c r="W610" s="319" t="n"/>
      <c r="X610" s="319" t="n"/>
      <c r="Y610" s="319" t="n"/>
      <c r="Z610" s="319" t="n"/>
    </row>
    <row r="611">
      <c r="A611" s="319" t="n"/>
      <c r="B611" s="319" t="n"/>
      <c r="C611" s="319" t="n"/>
      <c r="D611" s="319" t="n"/>
      <c r="E611" s="319" t="n"/>
      <c r="F611" s="319" t="n"/>
      <c r="G611" s="319" t="n"/>
      <c r="H611" s="319" t="n"/>
      <c r="I611" s="319" t="n"/>
      <c r="J611" s="319" t="n"/>
      <c r="K611" s="319" t="n"/>
      <c r="L611" s="319" t="n"/>
      <c r="M611" s="319" t="n"/>
      <c r="N611" s="319" t="n"/>
      <c r="O611" s="319" t="n"/>
      <c r="P611" s="319" t="n"/>
      <c r="Q611" s="319" t="n"/>
      <c r="R611" s="319" t="n"/>
      <c r="S611" s="319" t="n"/>
      <c r="T611" s="319" t="n"/>
      <c r="U611" s="319" t="n"/>
      <c r="V611" s="319" t="n"/>
      <c r="W611" s="319" t="n"/>
      <c r="X611" s="319" t="n"/>
      <c r="Y611" s="319" t="n"/>
      <c r="Z611" s="319" t="n"/>
    </row>
    <row r="612">
      <c r="A612" s="319" t="n"/>
      <c r="B612" s="319" t="n"/>
      <c r="C612" s="319" t="n"/>
      <c r="D612" s="319" t="n"/>
      <c r="E612" s="319" t="n"/>
      <c r="F612" s="319" t="n"/>
      <c r="G612" s="319" t="n"/>
      <c r="H612" s="319" t="n"/>
      <c r="I612" s="319" t="n"/>
      <c r="J612" s="319" t="n"/>
      <c r="K612" s="319" t="n"/>
      <c r="L612" s="319" t="n"/>
      <c r="M612" s="319" t="n"/>
      <c r="N612" s="319" t="n"/>
      <c r="O612" s="319" t="n"/>
      <c r="P612" s="319" t="n"/>
      <c r="Q612" s="319" t="n"/>
      <c r="R612" s="319" t="n"/>
      <c r="S612" s="319" t="n"/>
      <c r="T612" s="319" t="n"/>
      <c r="U612" s="319" t="n"/>
      <c r="V612" s="319" t="n"/>
      <c r="W612" s="319" t="n"/>
      <c r="X612" s="319" t="n"/>
      <c r="Y612" s="319" t="n"/>
      <c r="Z612" s="319" t="n"/>
    </row>
    <row r="613">
      <c r="A613" s="319" t="n"/>
      <c r="B613" s="319" t="n"/>
      <c r="C613" s="319" t="n"/>
      <c r="D613" s="319" t="n"/>
      <c r="E613" s="319" t="n"/>
      <c r="F613" s="319" t="n"/>
      <c r="G613" s="319" t="n"/>
      <c r="H613" s="319" t="n"/>
      <c r="I613" s="319" t="n"/>
      <c r="J613" s="319" t="n"/>
      <c r="K613" s="319" t="n"/>
      <c r="L613" s="319" t="n"/>
      <c r="M613" s="319" t="n"/>
      <c r="N613" s="319" t="n"/>
      <c r="O613" s="319" t="n"/>
      <c r="P613" s="319" t="n"/>
      <c r="Q613" s="319" t="n"/>
      <c r="R613" s="319" t="n"/>
      <c r="S613" s="319" t="n"/>
      <c r="T613" s="319" t="n"/>
      <c r="U613" s="319" t="n"/>
      <c r="V613" s="319" t="n"/>
      <c r="W613" s="319" t="n"/>
      <c r="X613" s="319" t="n"/>
      <c r="Y613" s="319" t="n"/>
      <c r="Z613" s="319" t="n"/>
    </row>
    <row r="614">
      <c r="A614" s="319" t="n"/>
      <c r="B614" s="319" t="n"/>
      <c r="C614" s="319" t="n"/>
      <c r="D614" s="319" t="n"/>
      <c r="E614" s="319" t="n"/>
      <c r="F614" s="319" t="n"/>
      <c r="G614" s="319" t="n"/>
      <c r="H614" s="319" t="n"/>
      <c r="I614" s="319" t="n"/>
      <c r="J614" s="319" t="n"/>
      <c r="K614" s="319" t="n"/>
      <c r="L614" s="319" t="n"/>
      <c r="M614" s="319" t="n"/>
      <c r="N614" s="319" t="n"/>
      <c r="O614" s="319" t="n"/>
      <c r="P614" s="319" t="n"/>
      <c r="Q614" s="319" t="n"/>
      <c r="R614" s="319" t="n"/>
      <c r="S614" s="319" t="n"/>
      <c r="T614" s="319" t="n"/>
      <c r="U614" s="319" t="n"/>
      <c r="V614" s="319" t="n"/>
      <c r="W614" s="319" t="n"/>
      <c r="X614" s="319" t="n"/>
      <c r="Y614" s="319" t="n"/>
      <c r="Z614" s="319" t="n"/>
    </row>
    <row r="615">
      <c r="A615" s="319" t="n"/>
      <c r="B615" s="319" t="n"/>
      <c r="C615" s="319" t="n"/>
      <c r="D615" s="319" t="n"/>
      <c r="E615" s="319" t="n"/>
      <c r="F615" s="319" t="n"/>
      <c r="G615" s="319" t="n"/>
      <c r="H615" s="319" t="n"/>
      <c r="I615" s="319" t="n"/>
      <c r="J615" s="319" t="n"/>
      <c r="K615" s="319" t="n"/>
      <c r="L615" s="319" t="n"/>
      <c r="M615" s="319" t="n"/>
      <c r="N615" s="319" t="n"/>
      <c r="O615" s="319" t="n"/>
      <c r="P615" s="319" t="n"/>
      <c r="Q615" s="319" t="n"/>
      <c r="R615" s="319" t="n"/>
      <c r="S615" s="319" t="n"/>
      <c r="T615" s="319" t="n"/>
      <c r="U615" s="319" t="n"/>
      <c r="V615" s="319" t="n"/>
      <c r="W615" s="319" t="n"/>
      <c r="X615" s="319" t="n"/>
      <c r="Y615" s="319" t="n"/>
      <c r="Z615" s="319" t="n"/>
    </row>
    <row r="616">
      <c r="A616" s="319" t="n"/>
      <c r="B616" s="319" t="n"/>
      <c r="C616" s="319" t="n"/>
      <c r="D616" s="319" t="n"/>
      <c r="E616" s="319" t="n"/>
      <c r="F616" s="319" t="n"/>
      <c r="G616" s="319" t="n"/>
      <c r="H616" s="319" t="n"/>
      <c r="I616" s="319" t="n"/>
      <c r="J616" s="319" t="n"/>
      <c r="K616" s="319" t="n"/>
      <c r="L616" s="319" t="n"/>
      <c r="M616" s="319" t="n"/>
      <c r="N616" s="319" t="n"/>
      <c r="O616" s="319" t="n"/>
      <c r="P616" s="319" t="n"/>
      <c r="Q616" s="319" t="n"/>
      <c r="R616" s="319" t="n"/>
      <c r="S616" s="319" t="n"/>
      <c r="T616" s="319" t="n"/>
      <c r="U616" s="319" t="n"/>
      <c r="V616" s="319" t="n"/>
      <c r="W616" s="319" t="n"/>
      <c r="X616" s="319" t="n"/>
      <c r="Y616" s="319" t="n"/>
      <c r="Z616" s="319" t="n"/>
    </row>
    <row r="617">
      <c r="A617" s="319" t="n"/>
      <c r="B617" s="319" t="n"/>
      <c r="C617" s="319" t="n"/>
      <c r="D617" s="319" t="n"/>
      <c r="E617" s="319" t="n"/>
      <c r="F617" s="319" t="n"/>
      <c r="G617" s="319" t="n"/>
      <c r="H617" s="319" t="n"/>
      <c r="I617" s="319" t="n"/>
      <c r="J617" s="319" t="n"/>
      <c r="K617" s="319" t="n"/>
      <c r="L617" s="319" t="n"/>
      <c r="M617" s="319" t="n"/>
      <c r="N617" s="319" t="n"/>
      <c r="O617" s="319" t="n"/>
      <c r="P617" s="319" t="n"/>
      <c r="Q617" s="319" t="n"/>
      <c r="R617" s="319" t="n"/>
      <c r="S617" s="319" t="n"/>
      <c r="T617" s="319" t="n"/>
      <c r="U617" s="319" t="n"/>
      <c r="V617" s="319" t="n"/>
      <c r="W617" s="319" t="n"/>
      <c r="X617" s="319" t="n"/>
      <c r="Y617" s="319" t="n"/>
      <c r="Z617" s="319" t="n"/>
    </row>
    <row r="618">
      <c r="A618" s="319" t="n"/>
      <c r="B618" s="319" t="n"/>
      <c r="C618" s="319" t="n"/>
      <c r="D618" s="319" t="n"/>
      <c r="E618" s="319" t="n"/>
      <c r="F618" s="319" t="n"/>
      <c r="G618" s="319" t="n"/>
      <c r="H618" s="319" t="n"/>
      <c r="I618" s="319" t="n"/>
      <c r="J618" s="319" t="n"/>
      <c r="K618" s="319" t="n"/>
      <c r="L618" s="319" t="n"/>
      <c r="M618" s="319" t="n"/>
      <c r="N618" s="319" t="n"/>
      <c r="O618" s="319" t="n"/>
      <c r="P618" s="319" t="n"/>
      <c r="Q618" s="319" t="n"/>
      <c r="R618" s="319" t="n"/>
      <c r="S618" s="319" t="n"/>
      <c r="T618" s="319" t="n"/>
      <c r="U618" s="319" t="n"/>
      <c r="V618" s="319" t="n"/>
      <c r="W618" s="319" t="n"/>
      <c r="X618" s="319" t="n"/>
      <c r="Y618" s="319" t="n"/>
      <c r="Z618" s="319" t="n"/>
    </row>
    <row r="619">
      <c r="A619" s="319" t="n"/>
      <c r="B619" s="319" t="n"/>
      <c r="C619" s="319" t="n"/>
      <c r="D619" s="319" t="n"/>
      <c r="E619" s="319" t="n"/>
      <c r="F619" s="319" t="n"/>
      <c r="G619" s="319" t="n"/>
      <c r="H619" s="319" t="n"/>
      <c r="I619" s="319" t="n"/>
      <c r="J619" s="319" t="n"/>
      <c r="K619" s="319" t="n"/>
      <c r="L619" s="319" t="n"/>
      <c r="M619" s="319" t="n"/>
      <c r="N619" s="319" t="n"/>
      <c r="O619" s="319" t="n"/>
      <c r="P619" s="319" t="n"/>
      <c r="Q619" s="319" t="n"/>
      <c r="R619" s="319" t="n"/>
      <c r="S619" s="319" t="n"/>
      <c r="T619" s="319" t="n"/>
      <c r="U619" s="319" t="n"/>
      <c r="V619" s="319" t="n"/>
      <c r="W619" s="319" t="n"/>
      <c r="X619" s="319" t="n"/>
      <c r="Y619" s="319" t="n"/>
      <c r="Z619" s="319" t="n"/>
    </row>
    <row r="620">
      <c r="A620" s="319" t="n"/>
      <c r="B620" s="319" t="n"/>
      <c r="C620" s="319" t="n"/>
      <c r="D620" s="319" t="n"/>
      <c r="E620" s="319" t="n"/>
      <c r="F620" s="319" t="n"/>
      <c r="G620" s="319" t="n"/>
      <c r="H620" s="319" t="n"/>
      <c r="I620" s="319" t="n"/>
      <c r="J620" s="319" t="n"/>
      <c r="K620" s="319" t="n"/>
      <c r="L620" s="319" t="n"/>
      <c r="M620" s="319" t="n"/>
      <c r="N620" s="319" t="n"/>
      <c r="O620" s="319" t="n"/>
      <c r="P620" s="319" t="n"/>
      <c r="Q620" s="319" t="n"/>
      <c r="R620" s="319" t="n"/>
      <c r="S620" s="319" t="n"/>
      <c r="T620" s="319" t="n"/>
      <c r="U620" s="319" t="n"/>
      <c r="V620" s="319" t="n"/>
      <c r="W620" s="319" t="n"/>
      <c r="X620" s="319" t="n"/>
      <c r="Y620" s="319" t="n"/>
      <c r="Z620" s="319" t="n"/>
    </row>
    <row r="621">
      <c r="A621" s="319" t="n"/>
      <c r="B621" s="319" t="n"/>
      <c r="C621" s="319" t="n"/>
      <c r="D621" s="319" t="n"/>
      <c r="E621" s="319" t="n"/>
      <c r="F621" s="319" t="n"/>
      <c r="G621" s="319" t="n"/>
      <c r="H621" s="319" t="n"/>
      <c r="I621" s="319" t="n"/>
      <c r="J621" s="319" t="n"/>
      <c r="K621" s="319" t="n"/>
      <c r="L621" s="319" t="n"/>
      <c r="M621" s="319" t="n"/>
      <c r="N621" s="319" t="n"/>
      <c r="O621" s="319" t="n"/>
      <c r="P621" s="319" t="n"/>
      <c r="Q621" s="319" t="n"/>
      <c r="R621" s="319" t="n"/>
      <c r="S621" s="319" t="n"/>
      <c r="T621" s="319" t="n"/>
      <c r="U621" s="319" t="n"/>
      <c r="V621" s="319" t="n"/>
      <c r="W621" s="319" t="n"/>
      <c r="X621" s="319" t="n"/>
      <c r="Y621" s="319" t="n"/>
      <c r="Z621" s="319" t="n"/>
    </row>
    <row r="622">
      <c r="A622" s="319" t="n"/>
      <c r="B622" s="319" t="n"/>
      <c r="C622" s="319" t="n"/>
      <c r="D622" s="319" t="n"/>
      <c r="E622" s="319" t="n"/>
      <c r="F622" s="319" t="n"/>
      <c r="G622" s="319" t="n"/>
      <c r="H622" s="319" t="n"/>
      <c r="I622" s="319" t="n"/>
      <c r="J622" s="319" t="n"/>
      <c r="K622" s="319" t="n"/>
      <c r="L622" s="319" t="n"/>
      <c r="M622" s="319" t="n"/>
      <c r="N622" s="319" t="n"/>
      <c r="O622" s="319" t="n"/>
      <c r="P622" s="319" t="n"/>
      <c r="Q622" s="319" t="n"/>
      <c r="R622" s="319" t="n"/>
      <c r="S622" s="319" t="n"/>
      <c r="T622" s="319" t="n"/>
      <c r="U622" s="319" t="n"/>
      <c r="V622" s="319" t="n"/>
      <c r="W622" s="319" t="n"/>
      <c r="X622" s="319" t="n"/>
      <c r="Y622" s="319" t="n"/>
      <c r="Z622" s="319" t="n"/>
    </row>
    <row r="623">
      <c r="A623" s="319" t="n"/>
      <c r="B623" s="319" t="n"/>
      <c r="C623" s="319" t="n"/>
      <c r="D623" s="319" t="n"/>
      <c r="E623" s="319" t="n"/>
      <c r="F623" s="319" t="n"/>
      <c r="G623" s="319" t="n"/>
      <c r="H623" s="319" t="n"/>
      <c r="I623" s="319" t="n"/>
      <c r="J623" s="319" t="n"/>
      <c r="K623" s="319" t="n"/>
      <c r="L623" s="319" t="n"/>
      <c r="M623" s="319" t="n"/>
      <c r="N623" s="319" t="n"/>
      <c r="O623" s="319" t="n"/>
      <c r="P623" s="319" t="n"/>
      <c r="Q623" s="319" t="n"/>
      <c r="R623" s="319" t="n"/>
      <c r="S623" s="319" t="n"/>
      <c r="T623" s="319" t="n"/>
      <c r="U623" s="319" t="n"/>
      <c r="V623" s="319" t="n"/>
      <c r="W623" s="319" t="n"/>
      <c r="X623" s="319" t="n"/>
      <c r="Y623" s="319" t="n"/>
      <c r="Z623" s="319" t="n"/>
    </row>
    <row r="624">
      <c r="A624" s="319" t="n"/>
      <c r="B624" s="319" t="n"/>
      <c r="C624" s="319" t="n"/>
      <c r="D624" s="319" t="n"/>
      <c r="E624" s="319" t="n"/>
      <c r="F624" s="319" t="n"/>
      <c r="G624" s="319" t="n"/>
      <c r="H624" s="319" t="n"/>
      <c r="I624" s="319" t="n"/>
      <c r="J624" s="319" t="n"/>
      <c r="K624" s="319" t="n"/>
      <c r="L624" s="319" t="n"/>
      <c r="M624" s="319" t="n"/>
      <c r="N624" s="319" t="n"/>
      <c r="O624" s="319" t="n"/>
      <c r="P624" s="319" t="n"/>
      <c r="Q624" s="319" t="n"/>
      <c r="R624" s="319" t="n"/>
      <c r="S624" s="319" t="n"/>
      <c r="T624" s="319" t="n"/>
      <c r="U624" s="319" t="n"/>
      <c r="V624" s="319" t="n"/>
      <c r="W624" s="319" t="n"/>
      <c r="X624" s="319" t="n"/>
      <c r="Y624" s="319" t="n"/>
      <c r="Z624" s="319" t="n"/>
    </row>
    <row r="625">
      <c r="A625" s="319" t="n"/>
      <c r="B625" s="319" t="n"/>
      <c r="C625" s="319" t="n"/>
      <c r="D625" s="319" t="n"/>
      <c r="E625" s="319" t="n"/>
      <c r="F625" s="319" t="n"/>
      <c r="G625" s="319" t="n"/>
      <c r="H625" s="319" t="n"/>
      <c r="I625" s="319" t="n"/>
      <c r="J625" s="319" t="n"/>
      <c r="K625" s="319" t="n"/>
      <c r="L625" s="319" t="n"/>
      <c r="M625" s="319" t="n"/>
      <c r="N625" s="319" t="n"/>
      <c r="O625" s="319" t="n"/>
      <c r="P625" s="319" t="n"/>
      <c r="Q625" s="319" t="n"/>
      <c r="R625" s="319" t="n"/>
      <c r="S625" s="319" t="n"/>
      <c r="T625" s="319" t="n"/>
      <c r="U625" s="319" t="n"/>
      <c r="V625" s="319" t="n"/>
      <c r="W625" s="319" t="n"/>
      <c r="X625" s="319" t="n"/>
      <c r="Y625" s="319" t="n"/>
      <c r="Z625" s="319" t="n"/>
    </row>
    <row r="626">
      <c r="A626" s="319" t="n"/>
      <c r="B626" s="319" t="n"/>
      <c r="C626" s="319" t="n"/>
      <c r="D626" s="319" t="n"/>
      <c r="E626" s="319" t="n"/>
      <c r="F626" s="319" t="n"/>
      <c r="G626" s="319" t="n"/>
      <c r="H626" s="319" t="n"/>
      <c r="I626" s="319" t="n"/>
      <c r="J626" s="319" t="n"/>
      <c r="K626" s="319" t="n"/>
      <c r="L626" s="319" t="n"/>
      <c r="M626" s="319" t="n"/>
      <c r="N626" s="319" t="n"/>
      <c r="O626" s="319" t="n"/>
      <c r="P626" s="319" t="n"/>
      <c r="Q626" s="319" t="n"/>
      <c r="R626" s="319" t="n"/>
      <c r="S626" s="319" t="n"/>
      <c r="T626" s="319" t="n"/>
      <c r="U626" s="319" t="n"/>
      <c r="V626" s="319" t="n"/>
      <c r="W626" s="319" t="n"/>
      <c r="X626" s="319" t="n"/>
      <c r="Y626" s="319" t="n"/>
      <c r="Z626" s="319" t="n"/>
    </row>
    <row r="627">
      <c r="A627" s="319" t="n"/>
      <c r="B627" s="319" t="n"/>
      <c r="C627" s="319" t="n"/>
      <c r="D627" s="319" t="n"/>
      <c r="E627" s="319" t="n"/>
      <c r="F627" s="319" t="n"/>
      <c r="G627" s="319" t="n"/>
      <c r="H627" s="319" t="n"/>
      <c r="I627" s="319" t="n"/>
      <c r="J627" s="319" t="n"/>
      <c r="K627" s="319" t="n"/>
      <c r="L627" s="319" t="n"/>
      <c r="M627" s="319" t="n"/>
      <c r="N627" s="319" t="n"/>
      <c r="O627" s="319" t="n"/>
      <c r="P627" s="319" t="n"/>
      <c r="Q627" s="319" t="n"/>
      <c r="R627" s="319" t="n"/>
      <c r="S627" s="319" t="n"/>
      <c r="T627" s="319" t="n"/>
      <c r="U627" s="319" t="n"/>
      <c r="V627" s="319" t="n"/>
      <c r="W627" s="319" t="n"/>
      <c r="X627" s="319" t="n"/>
      <c r="Y627" s="319" t="n"/>
      <c r="Z627" s="319" t="n"/>
    </row>
    <row r="628">
      <c r="A628" s="319" t="n"/>
      <c r="B628" s="319" t="n"/>
      <c r="C628" s="319" t="n"/>
      <c r="D628" s="319" t="n"/>
      <c r="E628" s="319" t="n"/>
      <c r="F628" s="319" t="n"/>
      <c r="G628" s="319" t="n"/>
      <c r="H628" s="319" t="n"/>
      <c r="I628" s="319" t="n"/>
      <c r="J628" s="319" t="n"/>
      <c r="K628" s="319" t="n"/>
      <c r="L628" s="319" t="n"/>
      <c r="M628" s="319" t="n"/>
      <c r="N628" s="319" t="n"/>
      <c r="O628" s="319" t="n"/>
      <c r="P628" s="319" t="n"/>
      <c r="Q628" s="319" t="n"/>
      <c r="R628" s="319" t="n"/>
      <c r="S628" s="319" t="n"/>
      <c r="T628" s="319" t="n"/>
      <c r="U628" s="319" t="n"/>
      <c r="V628" s="319" t="n"/>
      <c r="W628" s="319" t="n"/>
      <c r="X628" s="319" t="n"/>
      <c r="Y628" s="319" t="n"/>
      <c r="Z628" s="319" t="n"/>
    </row>
    <row r="629">
      <c r="A629" s="319" t="n"/>
      <c r="B629" s="319" t="n"/>
      <c r="C629" s="319" t="n"/>
      <c r="D629" s="319" t="n"/>
      <c r="E629" s="319" t="n"/>
      <c r="F629" s="319" t="n"/>
      <c r="G629" s="319" t="n"/>
      <c r="H629" s="319" t="n"/>
      <c r="I629" s="319" t="n"/>
      <c r="J629" s="319" t="n"/>
      <c r="K629" s="319" t="n"/>
      <c r="L629" s="319" t="n"/>
      <c r="M629" s="319" t="n"/>
      <c r="N629" s="319" t="n"/>
      <c r="O629" s="319" t="n"/>
      <c r="P629" s="319" t="n"/>
      <c r="Q629" s="319" t="n"/>
      <c r="R629" s="319" t="n"/>
      <c r="S629" s="319" t="n"/>
      <c r="T629" s="319" t="n"/>
      <c r="U629" s="319" t="n"/>
      <c r="V629" s="319" t="n"/>
      <c r="W629" s="319" t="n"/>
      <c r="X629" s="319" t="n"/>
      <c r="Y629" s="319" t="n"/>
      <c r="Z629" s="319" t="n"/>
    </row>
    <row r="630">
      <c r="A630" s="319" t="n"/>
      <c r="B630" s="319" t="n"/>
      <c r="C630" s="319" t="n"/>
      <c r="D630" s="319" t="n"/>
      <c r="E630" s="319" t="n"/>
      <c r="F630" s="319" t="n"/>
      <c r="G630" s="319" t="n"/>
      <c r="H630" s="319" t="n"/>
      <c r="I630" s="319" t="n"/>
      <c r="J630" s="319" t="n"/>
      <c r="K630" s="319" t="n"/>
      <c r="L630" s="319" t="n"/>
      <c r="M630" s="319" t="n"/>
      <c r="N630" s="319" t="n"/>
      <c r="O630" s="319" t="n"/>
      <c r="P630" s="319" t="n"/>
      <c r="Q630" s="319" t="n"/>
      <c r="R630" s="319" t="n"/>
      <c r="S630" s="319" t="n"/>
      <c r="T630" s="319" t="n"/>
      <c r="U630" s="319" t="n"/>
      <c r="V630" s="319" t="n"/>
      <c r="W630" s="319" t="n"/>
      <c r="X630" s="319" t="n"/>
      <c r="Y630" s="319" t="n"/>
      <c r="Z630" s="319" t="n"/>
    </row>
    <row r="631">
      <c r="A631" s="319" t="n"/>
      <c r="B631" s="319" t="n"/>
      <c r="C631" s="319" t="n"/>
      <c r="D631" s="319" t="n"/>
      <c r="E631" s="319" t="n"/>
      <c r="F631" s="319" t="n"/>
      <c r="G631" s="319" t="n"/>
      <c r="H631" s="319" t="n"/>
      <c r="I631" s="319" t="n"/>
      <c r="J631" s="319" t="n"/>
      <c r="K631" s="319" t="n"/>
      <c r="L631" s="319" t="n"/>
      <c r="M631" s="319" t="n"/>
      <c r="N631" s="319" t="n"/>
      <c r="O631" s="319" t="n"/>
      <c r="P631" s="319" t="n"/>
      <c r="Q631" s="319" t="n"/>
      <c r="R631" s="319" t="n"/>
      <c r="S631" s="319" t="n"/>
      <c r="T631" s="319" t="n"/>
      <c r="U631" s="319" t="n"/>
      <c r="V631" s="319" t="n"/>
      <c r="W631" s="319" t="n"/>
      <c r="X631" s="319" t="n"/>
      <c r="Y631" s="319" t="n"/>
      <c r="Z631" s="319" t="n"/>
    </row>
    <row r="632">
      <c r="A632" s="319" t="n"/>
      <c r="B632" s="319" t="n"/>
      <c r="C632" s="319" t="n"/>
      <c r="D632" s="319" t="n"/>
      <c r="E632" s="319" t="n"/>
      <c r="F632" s="319" t="n"/>
      <c r="G632" s="319" t="n"/>
      <c r="H632" s="319" t="n"/>
      <c r="I632" s="319" t="n"/>
      <c r="J632" s="319" t="n"/>
      <c r="K632" s="319" t="n"/>
      <c r="L632" s="319" t="n"/>
      <c r="M632" s="319" t="n"/>
      <c r="N632" s="319" t="n"/>
      <c r="O632" s="319" t="n"/>
      <c r="P632" s="319" t="n"/>
      <c r="Q632" s="319" t="n"/>
      <c r="R632" s="319" t="n"/>
      <c r="S632" s="319" t="n"/>
      <c r="T632" s="319" t="n"/>
      <c r="U632" s="319" t="n"/>
      <c r="V632" s="319" t="n"/>
      <c r="W632" s="319" t="n"/>
      <c r="X632" s="319" t="n"/>
      <c r="Y632" s="319" t="n"/>
      <c r="Z632" s="319" t="n"/>
    </row>
    <row r="633">
      <c r="A633" s="319" t="n"/>
      <c r="B633" s="319" t="n"/>
      <c r="C633" s="319" t="n"/>
      <c r="D633" s="319" t="n"/>
      <c r="E633" s="319" t="n"/>
      <c r="F633" s="319" t="n"/>
      <c r="G633" s="319" t="n"/>
      <c r="H633" s="319" t="n"/>
      <c r="I633" s="319" t="n"/>
      <c r="J633" s="319" t="n"/>
      <c r="K633" s="319" t="n"/>
      <c r="L633" s="319" t="n"/>
      <c r="M633" s="319" t="n"/>
      <c r="N633" s="319" t="n"/>
      <c r="O633" s="319" t="n"/>
      <c r="P633" s="319" t="n"/>
      <c r="Q633" s="319" t="n"/>
      <c r="R633" s="319" t="n"/>
      <c r="S633" s="319" t="n"/>
      <c r="T633" s="319" t="n"/>
      <c r="U633" s="319" t="n"/>
      <c r="V633" s="319" t="n"/>
      <c r="W633" s="319" t="n"/>
      <c r="X633" s="319" t="n"/>
      <c r="Y633" s="319" t="n"/>
      <c r="Z633" s="319" t="n"/>
    </row>
    <row r="634">
      <c r="A634" s="319" t="n"/>
      <c r="B634" s="319" t="n"/>
      <c r="C634" s="319" t="n"/>
      <c r="D634" s="319" t="n"/>
      <c r="E634" s="319" t="n"/>
      <c r="F634" s="319" t="n"/>
      <c r="G634" s="319" t="n"/>
      <c r="H634" s="319" t="n"/>
      <c r="I634" s="319" t="n"/>
      <c r="J634" s="319" t="n"/>
      <c r="K634" s="319" t="n"/>
      <c r="L634" s="319" t="n"/>
      <c r="M634" s="319" t="n"/>
      <c r="N634" s="319" t="n"/>
      <c r="O634" s="319" t="n"/>
      <c r="P634" s="319" t="n"/>
      <c r="Q634" s="319" t="n"/>
      <c r="R634" s="319" t="n"/>
      <c r="S634" s="319" t="n"/>
      <c r="T634" s="319" t="n"/>
      <c r="U634" s="319" t="n"/>
      <c r="V634" s="319" t="n"/>
      <c r="W634" s="319" t="n"/>
      <c r="X634" s="319" t="n"/>
      <c r="Y634" s="319" t="n"/>
      <c r="Z634" s="319" t="n"/>
    </row>
    <row r="635">
      <c r="A635" s="319" t="n"/>
      <c r="B635" s="319" t="n"/>
      <c r="C635" s="319" t="n"/>
      <c r="D635" s="319" t="n"/>
      <c r="E635" s="319" t="n"/>
      <c r="F635" s="319" t="n"/>
      <c r="G635" s="319" t="n"/>
      <c r="H635" s="319" t="n"/>
      <c r="I635" s="319" t="n"/>
      <c r="J635" s="319" t="n"/>
      <c r="K635" s="319" t="n"/>
      <c r="L635" s="319" t="n"/>
      <c r="M635" s="319" t="n"/>
      <c r="N635" s="319" t="n"/>
      <c r="O635" s="319" t="n"/>
      <c r="P635" s="319" t="n"/>
      <c r="Q635" s="319" t="n"/>
      <c r="R635" s="319" t="n"/>
      <c r="S635" s="319" t="n"/>
      <c r="T635" s="319" t="n"/>
      <c r="U635" s="319" t="n"/>
      <c r="V635" s="319" t="n"/>
      <c r="W635" s="319" t="n"/>
      <c r="X635" s="319" t="n"/>
      <c r="Y635" s="319" t="n"/>
      <c r="Z635" s="319" t="n"/>
    </row>
    <row r="636">
      <c r="A636" s="319" t="n"/>
      <c r="B636" s="319" t="n"/>
      <c r="C636" s="319" t="n"/>
      <c r="D636" s="319" t="n"/>
      <c r="E636" s="319" t="n"/>
      <c r="F636" s="319" t="n"/>
      <c r="G636" s="319" t="n"/>
      <c r="H636" s="319" t="n"/>
      <c r="I636" s="319" t="n"/>
      <c r="J636" s="319" t="n"/>
      <c r="K636" s="319" t="n"/>
      <c r="L636" s="319" t="n"/>
      <c r="M636" s="319" t="n"/>
      <c r="N636" s="319" t="n"/>
      <c r="O636" s="319" t="n"/>
      <c r="P636" s="319" t="n"/>
      <c r="Q636" s="319" t="n"/>
      <c r="R636" s="319" t="n"/>
      <c r="S636" s="319" t="n"/>
      <c r="T636" s="319" t="n"/>
      <c r="U636" s="319" t="n"/>
      <c r="V636" s="319" t="n"/>
      <c r="W636" s="319" t="n"/>
      <c r="X636" s="319" t="n"/>
      <c r="Y636" s="319" t="n"/>
      <c r="Z636" s="319" t="n"/>
    </row>
    <row r="637">
      <c r="A637" s="319" t="n"/>
      <c r="B637" s="319" t="n"/>
      <c r="C637" s="319" t="n"/>
      <c r="D637" s="319" t="n"/>
      <c r="E637" s="319" t="n"/>
      <c r="F637" s="319" t="n"/>
      <c r="G637" s="319" t="n"/>
      <c r="H637" s="319" t="n"/>
      <c r="I637" s="319" t="n"/>
      <c r="J637" s="319" t="n"/>
      <c r="K637" s="319" t="n"/>
      <c r="L637" s="319" t="n"/>
      <c r="M637" s="319" t="n"/>
      <c r="N637" s="319" t="n"/>
      <c r="O637" s="319" t="n"/>
      <c r="P637" s="319" t="n"/>
      <c r="Q637" s="319" t="n"/>
      <c r="R637" s="319" t="n"/>
      <c r="S637" s="319" t="n"/>
      <c r="T637" s="319" t="n"/>
      <c r="U637" s="319" t="n"/>
      <c r="V637" s="319" t="n"/>
      <c r="W637" s="319" t="n"/>
      <c r="X637" s="319" t="n"/>
      <c r="Y637" s="319" t="n"/>
      <c r="Z637" s="319" t="n"/>
    </row>
    <row r="638">
      <c r="A638" s="319" t="n"/>
      <c r="B638" s="319" t="n"/>
      <c r="C638" s="319" t="n"/>
      <c r="D638" s="319" t="n"/>
      <c r="E638" s="319" t="n"/>
      <c r="F638" s="319" t="n"/>
      <c r="G638" s="319" t="n"/>
      <c r="H638" s="319" t="n"/>
      <c r="I638" s="319" t="n"/>
      <c r="J638" s="319" t="n"/>
      <c r="K638" s="319" t="n"/>
      <c r="L638" s="319" t="n"/>
      <c r="M638" s="319" t="n"/>
      <c r="N638" s="319" t="n"/>
      <c r="O638" s="319" t="n"/>
      <c r="P638" s="319" t="n"/>
      <c r="Q638" s="319" t="n"/>
      <c r="R638" s="319" t="n"/>
      <c r="S638" s="319" t="n"/>
      <c r="T638" s="319" t="n"/>
      <c r="U638" s="319" t="n"/>
      <c r="V638" s="319" t="n"/>
      <c r="W638" s="319" t="n"/>
      <c r="X638" s="319" t="n"/>
      <c r="Y638" s="319" t="n"/>
      <c r="Z638" s="319" t="n"/>
    </row>
    <row r="639">
      <c r="A639" s="319" t="n"/>
      <c r="B639" s="319" t="n"/>
      <c r="C639" s="319" t="n"/>
      <c r="D639" s="319" t="n"/>
      <c r="E639" s="319" t="n"/>
      <c r="F639" s="319" t="n"/>
      <c r="G639" s="319" t="n"/>
      <c r="H639" s="319" t="n"/>
      <c r="I639" s="319" t="n"/>
      <c r="J639" s="319" t="n"/>
      <c r="K639" s="319" t="n"/>
      <c r="L639" s="319" t="n"/>
      <c r="M639" s="319" t="n"/>
      <c r="N639" s="319" t="n"/>
      <c r="O639" s="319" t="n"/>
      <c r="P639" s="319" t="n"/>
      <c r="Q639" s="319" t="n"/>
      <c r="R639" s="319" t="n"/>
      <c r="S639" s="319" t="n"/>
      <c r="T639" s="319" t="n"/>
      <c r="U639" s="319" t="n"/>
      <c r="V639" s="319" t="n"/>
      <c r="W639" s="319" t="n"/>
      <c r="X639" s="319" t="n"/>
      <c r="Y639" s="319" t="n"/>
      <c r="Z639" s="319" t="n"/>
    </row>
    <row r="640">
      <c r="A640" s="319" t="n"/>
      <c r="B640" s="319" t="n"/>
      <c r="C640" s="319" t="n"/>
      <c r="D640" s="319" t="n"/>
      <c r="E640" s="319" t="n"/>
      <c r="F640" s="319" t="n"/>
      <c r="G640" s="319" t="n"/>
      <c r="H640" s="319" t="n"/>
      <c r="I640" s="319" t="n"/>
      <c r="J640" s="319" t="n"/>
      <c r="K640" s="319" t="n"/>
      <c r="L640" s="319" t="n"/>
      <c r="M640" s="319" t="n"/>
      <c r="N640" s="319" t="n"/>
      <c r="O640" s="319" t="n"/>
      <c r="P640" s="319" t="n"/>
      <c r="Q640" s="319" t="n"/>
      <c r="R640" s="319" t="n"/>
      <c r="S640" s="319" t="n"/>
      <c r="T640" s="319" t="n"/>
      <c r="U640" s="319" t="n"/>
      <c r="V640" s="319" t="n"/>
      <c r="W640" s="319" t="n"/>
      <c r="X640" s="319" t="n"/>
      <c r="Y640" s="319" t="n"/>
      <c r="Z640" s="319" t="n"/>
    </row>
    <row r="641">
      <c r="A641" s="319" t="n"/>
      <c r="B641" s="319" t="n"/>
      <c r="C641" s="319" t="n"/>
      <c r="D641" s="319" t="n"/>
      <c r="E641" s="319" t="n"/>
      <c r="F641" s="319" t="n"/>
      <c r="G641" s="319" t="n"/>
      <c r="H641" s="319" t="n"/>
      <c r="I641" s="319" t="n"/>
      <c r="J641" s="319" t="n"/>
      <c r="K641" s="319" t="n"/>
      <c r="L641" s="319" t="n"/>
      <c r="M641" s="319" t="n"/>
      <c r="N641" s="319" t="n"/>
      <c r="O641" s="319" t="n"/>
      <c r="P641" s="319" t="n"/>
      <c r="Q641" s="319" t="n"/>
      <c r="R641" s="319" t="n"/>
      <c r="S641" s="319" t="n"/>
      <c r="T641" s="319" t="n"/>
      <c r="U641" s="319" t="n"/>
      <c r="V641" s="319" t="n"/>
      <c r="W641" s="319" t="n"/>
      <c r="X641" s="319" t="n"/>
      <c r="Y641" s="319" t="n"/>
      <c r="Z641" s="319" t="n"/>
    </row>
    <row r="642">
      <c r="A642" s="319" t="n"/>
      <c r="B642" s="319" t="n"/>
      <c r="C642" s="319" t="n"/>
      <c r="D642" s="319" t="n"/>
      <c r="E642" s="319" t="n"/>
      <c r="F642" s="319" t="n"/>
      <c r="G642" s="319" t="n"/>
      <c r="H642" s="319" t="n"/>
      <c r="I642" s="319" t="n"/>
      <c r="J642" s="319" t="n"/>
      <c r="K642" s="319" t="n"/>
      <c r="L642" s="319" t="n"/>
      <c r="M642" s="319" t="n"/>
      <c r="N642" s="319" t="n"/>
      <c r="O642" s="319" t="n"/>
      <c r="P642" s="319" t="n"/>
      <c r="Q642" s="319" t="n"/>
      <c r="R642" s="319" t="n"/>
      <c r="S642" s="319" t="n"/>
      <c r="T642" s="319" t="n"/>
      <c r="U642" s="319" t="n"/>
      <c r="V642" s="319" t="n"/>
      <c r="W642" s="319" t="n"/>
      <c r="X642" s="319" t="n"/>
      <c r="Y642" s="319" t="n"/>
      <c r="Z642" s="319" t="n"/>
    </row>
    <row r="643">
      <c r="A643" s="319" t="n"/>
      <c r="B643" s="319" t="n"/>
      <c r="C643" s="319" t="n"/>
      <c r="D643" s="319" t="n"/>
      <c r="E643" s="319" t="n"/>
      <c r="F643" s="319" t="n"/>
      <c r="G643" s="319" t="n"/>
      <c r="H643" s="319" t="n"/>
      <c r="I643" s="319" t="n"/>
      <c r="J643" s="319" t="n"/>
      <c r="K643" s="319" t="n"/>
      <c r="L643" s="319" t="n"/>
      <c r="M643" s="319" t="n"/>
      <c r="N643" s="319" t="n"/>
      <c r="O643" s="319" t="n"/>
      <c r="P643" s="319" t="n"/>
      <c r="Q643" s="319" t="n"/>
      <c r="R643" s="319" t="n"/>
      <c r="S643" s="319" t="n"/>
      <c r="T643" s="319" t="n"/>
      <c r="U643" s="319" t="n"/>
      <c r="V643" s="319" t="n"/>
      <c r="W643" s="319" t="n"/>
      <c r="X643" s="319" t="n"/>
      <c r="Y643" s="319" t="n"/>
      <c r="Z643" s="319" t="n"/>
    </row>
    <row r="644">
      <c r="A644" s="319" t="n"/>
      <c r="B644" s="319" t="n"/>
      <c r="C644" s="319" t="n"/>
      <c r="D644" s="319" t="n"/>
      <c r="E644" s="319" t="n"/>
      <c r="F644" s="319" t="n"/>
      <c r="G644" s="319" t="n"/>
      <c r="H644" s="319" t="n"/>
      <c r="I644" s="319" t="n"/>
      <c r="J644" s="319" t="n"/>
      <c r="K644" s="319" t="n"/>
      <c r="L644" s="319" t="n"/>
      <c r="M644" s="319" t="n"/>
      <c r="N644" s="319" t="n"/>
      <c r="O644" s="319" t="n"/>
      <c r="P644" s="319" t="n"/>
      <c r="Q644" s="319" t="n"/>
      <c r="R644" s="319" t="n"/>
      <c r="S644" s="319" t="n"/>
      <c r="T644" s="319" t="n"/>
      <c r="U644" s="319" t="n"/>
      <c r="V644" s="319" t="n"/>
      <c r="W644" s="319" t="n"/>
      <c r="X644" s="319" t="n"/>
      <c r="Y644" s="319" t="n"/>
      <c r="Z644" s="319" t="n"/>
    </row>
    <row r="645">
      <c r="A645" s="319" t="n"/>
      <c r="B645" s="319" t="n"/>
      <c r="C645" s="319" t="n"/>
      <c r="D645" s="319" t="n"/>
      <c r="E645" s="319" t="n"/>
      <c r="F645" s="319" t="n"/>
      <c r="G645" s="319" t="n"/>
      <c r="H645" s="319" t="n"/>
      <c r="I645" s="319" t="n"/>
      <c r="J645" s="319" t="n"/>
      <c r="K645" s="319" t="n"/>
      <c r="L645" s="319" t="n"/>
      <c r="M645" s="319" t="n"/>
      <c r="N645" s="319" t="n"/>
      <c r="O645" s="319" t="n"/>
      <c r="P645" s="319" t="n"/>
      <c r="Q645" s="319" t="n"/>
      <c r="R645" s="319" t="n"/>
      <c r="S645" s="319" t="n"/>
      <c r="T645" s="319" t="n"/>
      <c r="U645" s="319" t="n"/>
      <c r="V645" s="319" t="n"/>
      <c r="W645" s="319" t="n"/>
      <c r="X645" s="319" t="n"/>
      <c r="Y645" s="319" t="n"/>
      <c r="Z645" s="319" t="n"/>
    </row>
    <row r="646">
      <c r="A646" s="319" t="n"/>
      <c r="B646" s="319" t="n"/>
      <c r="C646" s="319" t="n"/>
      <c r="D646" s="319" t="n"/>
      <c r="E646" s="319" t="n"/>
      <c r="F646" s="319" t="n"/>
      <c r="G646" s="319" t="n"/>
      <c r="H646" s="319" t="n"/>
      <c r="I646" s="319" t="n"/>
      <c r="J646" s="319" t="n"/>
      <c r="K646" s="319" t="n"/>
      <c r="L646" s="319" t="n"/>
      <c r="M646" s="319" t="n"/>
      <c r="N646" s="319" t="n"/>
      <c r="O646" s="319" t="n"/>
      <c r="P646" s="319" t="n"/>
      <c r="Q646" s="319" t="n"/>
      <c r="R646" s="319" t="n"/>
      <c r="S646" s="319" t="n"/>
      <c r="T646" s="319" t="n"/>
      <c r="U646" s="319" t="n"/>
      <c r="V646" s="319" t="n"/>
      <c r="W646" s="319" t="n"/>
      <c r="X646" s="319" t="n"/>
      <c r="Y646" s="319" t="n"/>
      <c r="Z646" s="319" t="n"/>
    </row>
    <row r="647">
      <c r="A647" s="319" t="n"/>
      <c r="B647" s="319" t="n"/>
      <c r="C647" s="319" t="n"/>
      <c r="D647" s="319" t="n"/>
      <c r="E647" s="319" t="n"/>
      <c r="F647" s="319" t="n"/>
      <c r="G647" s="319" t="n"/>
      <c r="H647" s="319" t="n"/>
      <c r="I647" s="319" t="n"/>
      <c r="J647" s="319" t="n"/>
      <c r="K647" s="319" t="n"/>
      <c r="L647" s="319" t="n"/>
      <c r="M647" s="319" t="n"/>
      <c r="N647" s="319" t="n"/>
      <c r="O647" s="319" t="n"/>
      <c r="P647" s="319" t="n"/>
      <c r="Q647" s="319" t="n"/>
      <c r="R647" s="319" t="n"/>
      <c r="S647" s="319" t="n"/>
      <c r="T647" s="319" t="n"/>
      <c r="U647" s="319" t="n"/>
      <c r="V647" s="319" t="n"/>
      <c r="W647" s="319" t="n"/>
      <c r="X647" s="319" t="n"/>
      <c r="Y647" s="319" t="n"/>
      <c r="Z647" s="319" t="n"/>
    </row>
    <row r="648">
      <c r="A648" s="319" t="n"/>
      <c r="B648" s="319" t="n"/>
      <c r="C648" s="319" t="n"/>
      <c r="D648" s="319" t="n"/>
      <c r="E648" s="319" t="n"/>
      <c r="F648" s="319" t="n"/>
      <c r="G648" s="319" t="n"/>
      <c r="H648" s="319" t="n"/>
      <c r="I648" s="319" t="n"/>
      <c r="J648" s="319" t="n"/>
      <c r="K648" s="319" t="n"/>
      <c r="L648" s="319" t="n"/>
      <c r="M648" s="319" t="n"/>
      <c r="N648" s="319" t="n"/>
      <c r="O648" s="319" t="n"/>
      <c r="P648" s="319" t="n"/>
      <c r="Q648" s="319" t="n"/>
      <c r="R648" s="319" t="n"/>
      <c r="S648" s="319" t="n"/>
      <c r="T648" s="319" t="n"/>
      <c r="U648" s="319" t="n"/>
      <c r="V648" s="319" t="n"/>
      <c r="W648" s="319" t="n"/>
      <c r="X648" s="319" t="n"/>
      <c r="Y648" s="319" t="n"/>
      <c r="Z648" s="319" t="n"/>
    </row>
    <row r="649">
      <c r="A649" s="319" t="n"/>
      <c r="B649" s="319" t="n"/>
      <c r="C649" s="319" t="n"/>
      <c r="D649" s="319" t="n"/>
      <c r="E649" s="319" t="n"/>
      <c r="F649" s="319" t="n"/>
      <c r="G649" s="319" t="n"/>
      <c r="H649" s="319" t="n"/>
      <c r="I649" s="319" t="n"/>
      <c r="J649" s="319" t="n"/>
      <c r="K649" s="319" t="n"/>
      <c r="L649" s="319" t="n"/>
      <c r="M649" s="319" t="n"/>
      <c r="N649" s="319" t="n"/>
      <c r="O649" s="319" t="n"/>
      <c r="P649" s="319" t="n"/>
      <c r="Q649" s="319" t="n"/>
      <c r="R649" s="319" t="n"/>
      <c r="S649" s="319" t="n"/>
      <c r="T649" s="319" t="n"/>
      <c r="U649" s="319" t="n"/>
      <c r="V649" s="319" t="n"/>
      <c r="W649" s="319" t="n"/>
      <c r="X649" s="319" t="n"/>
      <c r="Y649" s="319" t="n"/>
      <c r="Z649" s="319" t="n"/>
    </row>
    <row r="650">
      <c r="A650" s="319" t="n"/>
      <c r="B650" s="319" t="n"/>
      <c r="C650" s="319" t="n"/>
      <c r="D650" s="319" t="n"/>
      <c r="E650" s="319" t="n"/>
      <c r="F650" s="319" t="n"/>
      <c r="G650" s="319" t="n"/>
      <c r="H650" s="319" t="n"/>
      <c r="I650" s="319" t="n"/>
      <c r="J650" s="319" t="n"/>
      <c r="K650" s="319" t="n"/>
      <c r="L650" s="319" t="n"/>
      <c r="M650" s="319" t="n"/>
      <c r="N650" s="319" t="n"/>
      <c r="O650" s="319" t="n"/>
      <c r="P650" s="319" t="n"/>
      <c r="Q650" s="319" t="n"/>
      <c r="R650" s="319" t="n"/>
      <c r="S650" s="319" t="n"/>
      <c r="T650" s="319" t="n"/>
      <c r="U650" s="319" t="n"/>
      <c r="V650" s="319" t="n"/>
      <c r="W650" s="319" t="n"/>
      <c r="X650" s="319" t="n"/>
      <c r="Y650" s="319" t="n"/>
      <c r="Z650" s="319" t="n"/>
    </row>
    <row r="651">
      <c r="A651" s="319" t="n"/>
      <c r="B651" s="319" t="n"/>
      <c r="C651" s="319" t="n"/>
      <c r="D651" s="319" t="n"/>
      <c r="E651" s="319" t="n"/>
      <c r="F651" s="319" t="n"/>
      <c r="G651" s="319" t="n"/>
      <c r="H651" s="319" t="n"/>
      <c r="I651" s="319" t="n"/>
      <c r="J651" s="319" t="n"/>
      <c r="K651" s="319" t="n"/>
      <c r="L651" s="319" t="n"/>
      <c r="M651" s="319" t="n"/>
      <c r="N651" s="319" t="n"/>
      <c r="O651" s="319" t="n"/>
      <c r="P651" s="319" t="n"/>
      <c r="Q651" s="319" t="n"/>
      <c r="R651" s="319" t="n"/>
      <c r="S651" s="319" t="n"/>
      <c r="T651" s="319" t="n"/>
      <c r="U651" s="319" t="n"/>
      <c r="V651" s="319" t="n"/>
      <c r="W651" s="319" t="n"/>
      <c r="X651" s="319" t="n"/>
      <c r="Y651" s="319" t="n"/>
      <c r="Z651" s="319" t="n"/>
    </row>
    <row r="652">
      <c r="A652" s="319" t="n"/>
      <c r="B652" s="319" t="n"/>
      <c r="C652" s="319" t="n"/>
      <c r="D652" s="319" t="n"/>
      <c r="E652" s="319" t="n"/>
      <c r="F652" s="319" t="n"/>
      <c r="G652" s="319" t="n"/>
      <c r="H652" s="319" t="n"/>
      <c r="I652" s="319" t="n"/>
      <c r="J652" s="319" t="n"/>
      <c r="K652" s="319" t="n"/>
      <c r="L652" s="319" t="n"/>
      <c r="M652" s="319" t="n"/>
      <c r="N652" s="319" t="n"/>
      <c r="O652" s="319" t="n"/>
      <c r="P652" s="319" t="n"/>
      <c r="Q652" s="319" t="n"/>
      <c r="R652" s="319" t="n"/>
      <c r="S652" s="319" t="n"/>
      <c r="T652" s="319" t="n"/>
      <c r="U652" s="319" t="n"/>
      <c r="V652" s="319" t="n"/>
      <c r="W652" s="319" t="n"/>
      <c r="X652" s="319" t="n"/>
      <c r="Y652" s="319" t="n"/>
      <c r="Z652" s="319" t="n"/>
    </row>
    <row r="653">
      <c r="A653" s="319" t="n"/>
      <c r="B653" s="319" t="n"/>
      <c r="C653" s="319" t="n"/>
      <c r="D653" s="319" t="n"/>
      <c r="E653" s="319" t="n"/>
      <c r="F653" s="319" t="n"/>
      <c r="G653" s="319" t="n"/>
      <c r="H653" s="319" t="n"/>
      <c r="I653" s="319" t="n"/>
      <c r="J653" s="319" t="n"/>
      <c r="K653" s="319" t="n"/>
      <c r="L653" s="319" t="n"/>
      <c r="M653" s="319" t="n"/>
      <c r="N653" s="319" t="n"/>
      <c r="O653" s="319" t="n"/>
      <c r="P653" s="319" t="n"/>
      <c r="Q653" s="319" t="n"/>
      <c r="R653" s="319" t="n"/>
      <c r="S653" s="319" t="n"/>
      <c r="T653" s="319" t="n"/>
      <c r="U653" s="319" t="n"/>
      <c r="V653" s="319" t="n"/>
      <c r="W653" s="319" t="n"/>
      <c r="X653" s="319" t="n"/>
      <c r="Y653" s="319" t="n"/>
      <c r="Z653" s="319" t="n"/>
    </row>
    <row r="654">
      <c r="A654" s="319" t="n"/>
      <c r="B654" s="319" t="n"/>
      <c r="C654" s="319" t="n"/>
      <c r="D654" s="319" t="n"/>
      <c r="E654" s="319" t="n"/>
      <c r="F654" s="319" t="n"/>
      <c r="G654" s="319" t="n"/>
      <c r="H654" s="319" t="n"/>
      <c r="I654" s="319" t="n"/>
      <c r="J654" s="319" t="n"/>
      <c r="K654" s="319" t="n"/>
      <c r="L654" s="319" t="n"/>
      <c r="M654" s="319" t="n"/>
      <c r="N654" s="319" t="n"/>
      <c r="O654" s="319" t="n"/>
      <c r="P654" s="319" t="n"/>
      <c r="Q654" s="319" t="n"/>
      <c r="R654" s="319" t="n"/>
      <c r="S654" s="319" t="n"/>
      <c r="T654" s="319" t="n"/>
      <c r="U654" s="319" t="n"/>
      <c r="V654" s="319" t="n"/>
      <c r="W654" s="319" t="n"/>
      <c r="X654" s="319" t="n"/>
      <c r="Y654" s="319" t="n"/>
      <c r="Z654" s="319" t="n"/>
    </row>
    <row r="655">
      <c r="A655" s="319" t="n"/>
      <c r="B655" s="319" t="n"/>
      <c r="C655" s="319" t="n"/>
      <c r="D655" s="319" t="n"/>
      <c r="E655" s="319" t="n"/>
      <c r="F655" s="319" t="n"/>
      <c r="G655" s="319" t="n"/>
      <c r="H655" s="319" t="n"/>
      <c r="I655" s="319" t="n"/>
      <c r="J655" s="319" t="n"/>
      <c r="K655" s="319" t="n"/>
      <c r="L655" s="319" t="n"/>
      <c r="M655" s="319" t="n"/>
      <c r="N655" s="319" t="n"/>
      <c r="O655" s="319" t="n"/>
      <c r="P655" s="319" t="n"/>
      <c r="Q655" s="319" t="n"/>
      <c r="R655" s="319" t="n"/>
      <c r="S655" s="319" t="n"/>
      <c r="T655" s="319" t="n"/>
      <c r="U655" s="319" t="n"/>
      <c r="V655" s="319" t="n"/>
      <c r="W655" s="319" t="n"/>
      <c r="X655" s="319" t="n"/>
      <c r="Y655" s="319" t="n"/>
      <c r="Z655" s="319" t="n"/>
    </row>
    <row r="656">
      <c r="A656" s="319" t="n"/>
      <c r="B656" s="319" t="n"/>
      <c r="C656" s="319" t="n"/>
      <c r="D656" s="319" t="n"/>
      <c r="E656" s="319" t="n"/>
      <c r="F656" s="319" t="n"/>
      <c r="G656" s="319" t="n"/>
      <c r="H656" s="319" t="n"/>
      <c r="I656" s="319" t="n"/>
      <c r="J656" s="319" t="n"/>
      <c r="K656" s="319" t="n"/>
      <c r="L656" s="319" t="n"/>
      <c r="M656" s="319" t="n"/>
      <c r="N656" s="319" t="n"/>
      <c r="O656" s="319" t="n"/>
      <c r="P656" s="319" t="n"/>
      <c r="Q656" s="319" t="n"/>
      <c r="R656" s="319" t="n"/>
      <c r="S656" s="319" t="n"/>
      <c r="T656" s="319" t="n"/>
      <c r="U656" s="319" t="n"/>
      <c r="V656" s="319" t="n"/>
      <c r="W656" s="319" t="n"/>
      <c r="X656" s="319" t="n"/>
      <c r="Y656" s="319" t="n"/>
      <c r="Z656" s="319" t="n"/>
    </row>
    <row r="657">
      <c r="A657" s="319" t="n"/>
      <c r="B657" s="319" t="n"/>
      <c r="C657" s="319" t="n"/>
      <c r="D657" s="319" t="n"/>
      <c r="E657" s="319" t="n"/>
      <c r="F657" s="319" t="n"/>
      <c r="G657" s="319" t="n"/>
      <c r="H657" s="319" t="n"/>
      <c r="I657" s="319" t="n"/>
      <c r="J657" s="319" t="n"/>
      <c r="K657" s="319" t="n"/>
      <c r="L657" s="319" t="n"/>
      <c r="M657" s="319" t="n"/>
      <c r="N657" s="319" t="n"/>
      <c r="O657" s="319" t="n"/>
      <c r="P657" s="319" t="n"/>
      <c r="Q657" s="319" t="n"/>
      <c r="R657" s="319" t="n"/>
      <c r="S657" s="319" t="n"/>
      <c r="T657" s="319" t="n"/>
      <c r="U657" s="319" t="n"/>
      <c r="V657" s="319" t="n"/>
      <c r="W657" s="319" t="n"/>
      <c r="X657" s="319" t="n"/>
      <c r="Y657" s="319" t="n"/>
      <c r="Z657" s="319" t="n"/>
    </row>
    <row r="658">
      <c r="A658" s="319" t="n"/>
      <c r="B658" s="319" t="n"/>
      <c r="C658" s="319" t="n"/>
      <c r="D658" s="319" t="n"/>
      <c r="E658" s="319" t="n"/>
      <c r="F658" s="319" t="n"/>
      <c r="G658" s="319" t="n"/>
      <c r="H658" s="319" t="n"/>
      <c r="I658" s="319" t="n"/>
      <c r="J658" s="319" t="n"/>
      <c r="K658" s="319" t="n"/>
      <c r="L658" s="319" t="n"/>
      <c r="M658" s="319" t="n"/>
      <c r="N658" s="319" t="n"/>
      <c r="O658" s="319" t="n"/>
      <c r="P658" s="319" t="n"/>
      <c r="Q658" s="319" t="n"/>
      <c r="R658" s="319" t="n"/>
      <c r="S658" s="319" t="n"/>
      <c r="T658" s="319" t="n"/>
      <c r="U658" s="319" t="n"/>
      <c r="V658" s="319" t="n"/>
      <c r="W658" s="319" t="n"/>
      <c r="X658" s="319" t="n"/>
      <c r="Y658" s="319" t="n"/>
      <c r="Z658" s="319" t="n"/>
    </row>
    <row r="659">
      <c r="A659" s="319" t="n"/>
      <c r="B659" s="319" t="n"/>
      <c r="C659" s="319" t="n"/>
      <c r="D659" s="319" t="n"/>
      <c r="E659" s="319" t="n"/>
      <c r="F659" s="319" t="n"/>
      <c r="G659" s="319" t="n"/>
      <c r="H659" s="319" t="n"/>
      <c r="I659" s="319" t="n"/>
      <c r="J659" s="319" t="n"/>
      <c r="K659" s="319" t="n"/>
      <c r="L659" s="319" t="n"/>
      <c r="M659" s="319" t="n"/>
      <c r="N659" s="319" t="n"/>
      <c r="O659" s="319" t="n"/>
      <c r="P659" s="319" t="n"/>
      <c r="Q659" s="319" t="n"/>
      <c r="R659" s="319" t="n"/>
      <c r="S659" s="319" t="n"/>
      <c r="T659" s="319" t="n"/>
      <c r="U659" s="319" t="n"/>
      <c r="V659" s="319" t="n"/>
      <c r="W659" s="319" t="n"/>
      <c r="X659" s="319" t="n"/>
      <c r="Y659" s="319" t="n"/>
      <c r="Z659" s="319" t="n"/>
    </row>
    <row r="660">
      <c r="A660" s="319" t="n"/>
      <c r="B660" s="319" t="n"/>
      <c r="C660" s="319" t="n"/>
      <c r="D660" s="319" t="n"/>
      <c r="E660" s="319" t="n"/>
      <c r="F660" s="319" t="n"/>
      <c r="G660" s="319" t="n"/>
      <c r="H660" s="319" t="n"/>
      <c r="I660" s="319" t="n"/>
      <c r="J660" s="319" t="n"/>
      <c r="K660" s="319" t="n"/>
      <c r="L660" s="319" t="n"/>
      <c r="M660" s="319" t="n"/>
      <c r="N660" s="319" t="n"/>
      <c r="O660" s="319" t="n"/>
      <c r="P660" s="319" t="n"/>
      <c r="Q660" s="319" t="n"/>
      <c r="R660" s="319" t="n"/>
      <c r="S660" s="319" t="n"/>
      <c r="T660" s="319" t="n"/>
      <c r="U660" s="319" t="n"/>
      <c r="V660" s="319" t="n"/>
      <c r="W660" s="319" t="n"/>
      <c r="X660" s="319" t="n"/>
      <c r="Y660" s="319" t="n"/>
      <c r="Z660" s="319" t="n"/>
    </row>
    <row r="661">
      <c r="A661" s="319" t="n"/>
      <c r="B661" s="319" t="n"/>
      <c r="C661" s="319" t="n"/>
      <c r="D661" s="319" t="n"/>
      <c r="E661" s="319" t="n"/>
      <c r="F661" s="319" t="n"/>
      <c r="G661" s="319" t="n"/>
      <c r="H661" s="319" t="n"/>
      <c r="I661" s="319" t="n"/>
      <c r="J661" s="319" t="n"/>
      <c r="K661" s="319" t="n"/>
      <c r="L661" s="319" t="n"/>
      <c r="M661" s="319" t="n"/>
      <c r="N661" s="319" t="n"/>
      <c r="O661" s="319" t="n"/>
      <c r="P661" s="319" t="n"/>
      <c r="Q661" s="319" t="n"/>
      <c r="R661" s="319" t="n"/>
      <c r="S661" s="319" t="n"/>
      <c r="T661" s="319" t="n"/>
      <c r="U661" s="319" t="n"/>
      <c r="V661" s="319" t="n"/>
      <c r="W661" s="319" t="n"/>
      <c r="X661" s="319" t="n"/>
      <c r="Y661" s="319" t="n"/>
      <c r="Z661" s="319" t="n"/>
    </row>
    <row r="662">
      <c r="A662" s="319" t="n"/>
      <c r="B662" s="319" t="n"/>
      <c r="C662" s="319" t="n"/>
      <c r="D662" s="319" t="n"/>
      <c r="E662" s="319" t="n"/>
      <c r="F662" s="319" t="n"/>
      <c r="G662" s="319" t="n"/>
      <c r="H662" s="319" t="n"/>
      <c r="I662" s="319" t="n"/>
      <c r="J662" s="319" t="n"/>
      <c r="K662" s="319" t="n"/>
      <c r="L662" s="319" t="n"/>
      <c r="M662" s="319" t="n"/>
      <c r="N662" s="319" t="n"/>
      <c r="O662" s="319" t="n"/>
      <c r="P662" s="319" t="n"/>
      <c r="Q662" s="319" t="n"/>
      <c r="R662" s="319" t="n"/>
      <c r="S662" s="319" t="n"/>
      <c r="T662" s="319" t="n"/>
      <c r="U662" s="319" t="n"/>
      <c r="V662" s="319" t="n"/>
      <c r="W662" s="319" t="n"/>
      <c r="X662" s="319" t="n"/>
      <c r="Y662" s="319" t="n"/>
      <c r="Z662" s="319" t="n"/>
    </row>
    <row r="663">
      <c r="A663" s="319" t="n"/>
      <c r="B663" s="319" t="n"/>
      <c r="C663" s="319" t="n"/>
      <c r="D663" s="319" t="n"/>
      <c r="E663" s="319" t="n"/>
      <c r="F663" s="319" t="n"/>
      <c r="G663" s="319" t="n"/>
      <c r="H663" s="319" t="n"/>
      <c r="I663" s="319" t="n"/>
      <c r="J663" s="319" t="n"/>
      <c r="K663" s="319" t="n"/>
      <c r="L663" s="319" t="n"/>
      <c r="M663" s="319" t="n"/>
      <c r="N663" s="319" t="n"/>
      <c r="O663" s="319" t="n"/>
      <c r="P663" s="319" t="n"/>
      <c r="Q663" s="319" t="n"/>
      <c r="R663" s="319" t="n"/>
      <c r="S663" s="319" t="n"/>
      <c r="T663" s="319" t="n"/>
      <c r="U663" s="319" t="n"/>
      <c r="V663" s="319" t="n"/>
      <c r="W663" s="319" t="n"/>
      <c r="X663" s="319" t="n"/>
      <c r="Y663" s="319" t="n"/>
      <c r="Z663" s="319" t="n"/>
    </row>
    <row r="664">
      <c r="A664" s="319" t="n"/>
      <c r="B664" s="319" t="n"/>
      <c r="C664" s="319" t="n"/>
      <c r="D664" s="319" t="n"/>
      <c r="E664" s="319" t="n"/>
      <c r="F664" s="319" t="n"/>
      <c r="G664" s="319" t="n"/>
      <c r="H664" s="319" t="n"/>
      <c r="I664" s="319" t="n"/>
      <c r="J664" s="319" t="n"/>
      <c r="K664" s="319" t="n"/>
      <c r="L664" s="319" t="n"/>
      <c r="M664" s="319" t="n"/>
      <c r="N664" s="319" t="n"/>
      <c r="O664" s="319" t="n"/>
      <c r="P664" s="319" t="n"/>
      <c r="Q664" s="319" t="n"/>
      <c r="R664" s="319" t="n"/>
      <c r="S664" s="319" t="n"/>
      <c r="T664" s="319" t="n"/>
      <c r="U664" s="319" t="n"/>
      <c r="V664" s="319" t="n"/>
      <c r="W664" s="319" t="n"/>
      <c r="X664" s="319" t="n"/>
      <c r="Y664" s="319" t="n"/>
      <c r="Z664" s="319" t="n"/>
    </row>
    <row r="665">
      <c r="A665" s="319" t="n"/>
      <c r="B665" s="319" t="n"/>
      <c r="C665" s="319" t="n"/>
      <c r="D665" s="319" t="n"/>
      <c r="E665" s="319" t="n"/>
      <c r="F665" s="319" t="n"/>
      <c r="G665" s="319" t="n"/>
      <c r="H665" s="319" t="n"/>
      <c r="I665" s="319" t="n"/>
      <c r="J665" s="319" t="n"/>
      <c r="K665" s="319" t="n"/>
      <c r="L665" s="319" t="n"/>
      <c r="M665" s="319" t="n"/>
      <c r="N665" s="319" t="n"/>
      <c r="O665" s="319" t="n"/>
      <c r="P665" s="319" t="n"/>
      <c r="Q665" s="319" t="n"/>
      <c r="R665" s="319" t="n"/>
      <c r="S665" s="319" t="n"/>
      <c r="T665" s="319" t="n"/>
      <c r="U665" s="319" t="n"/>
      <c r="V665" s="319" t="n"/>
      <c r="W665" s="319" t="n"/>
      <c r="X665" s="319" t="n"/>
      <c r="Y665" s="319" t="n"/>
      <c r="Z665" s="319" t="n"/>
    </row>
    <row r="666">
      <c r="A666" s="319" t="n"/>
      <c r="B666" s="319" t="n"/>
      <c r="C666" s="319" t="n"/>
      <c r="D666" s="319" t="n"/>
      <c r="E666" s="319" t="n"/>
      <c r="F666" s="319" t="n"/>
      <c r="G666" s="319" t="n"/>
      <c r="H666" s="319" t="n"/>
      <c r="I666" s="319" t="n"/>
      <c r="J666" s="319" t="n"/>
      <c r="K666" s="319" t="n"/>
      <c r="L666" s="319" t="n"/>
      <c r="M666" s="319" t="n"/>
      <c r="N666" s="319" t="n"/>
      <c r="O666" s="319" t="n"/>
      <c r="P666" s="319" t="n"/>
      <c r="Q666" s="319" t="n"/>
      <c r="R666" s="319" t="n"/>
      <c r="S666" s="319" t="n"/>
      <c r="T666" s="319" t="n"/>
      <c r="U666" s="319" t="n"/>
      <c r="V666" s="319" t="n"/>
      <c r="W666" s="319" t="n"/>
      <c r="X666" s="319" t="n"/>
      <c r="Y666" s="319" t="n"/>
      <c r="Z666" s="319" t="n"/>
    </row>
    <row r="667">
      <c r="A667" s="319" t="n"/>
      <c r="B667" s="319" t="n"/>
      <c r="C667" s="319" t="n"/>
      <c r="D667" s="319" t="n"/>
      <c r="E667" s="319" t="n"/>
      <c r="F667" s="319" t="n"/>
      <c r="G667" s="319" t="n"/>
      <c r="H667" s="319" t="n"/>
      <c r="I667" s="319" t="n"/>
      <c r="J667" s="319" t="n"/>
      <c r="K667" s="319" t="n"/>
      <c r="L667" s="319" t="n"/>
      <c r="M667" s="319" t="n"/>
      <c r="N667" s="319" t="n"/>
      <c r="O667" s="319" t="n"/>
      <c r="P667" s="319" t="n"/>
      <c r="Q667" s="319" t="n"/>
      <c r="R667" s="319" t="n"/>
      <c r="S667" s="319" t="n"/>
      <c r="T667" s="319" t="n"/>
      <c r="U667" s="319" t="n"/>
      <c r="V667" s="319" t="n"/>
      <c r="W667" s="319" t="n"/>
      <c r="X667" s="319" t="n"/>
      <c r="Y667" s="319" t="n"/>
      <c r="Z667" s="319" t="n"/>
    </row>
    <row r="668">
      <c r="A668" s="319" t="n"/>
      <c r="B668" s="319" t="n"/>
      <c r="C668" s="319" t="n"/>
      <c r="D668" s="319" t="n"/>
      <c r="E668" s="319" t="n"/>
      <c r="F668" s="319" t="n"/>
      <c r="G668" s="319" t="n"/>
      <c r="H668" s="319" t="n"/>
      <c r="I668" s="319" t="n"/>
      <c r="J668" s="319" t="n"/>
      <c r="K668" s="319" t="n"/>
      <c r="L668" s="319" t="n"/>
      <c r="M668" s="319" t="n"/>
      <c r="N668" s="319" t="n"/>
      <c r="O668" s="319" t="n"/>
      <c r="P668" s="319" t="n"/>
      <c r="Q668" s="319" t="n"/>
      <c r="R668" s="319" t="n"/>
      <c r="S668" s="319" t="n"/>
      <c r="T668" s="319" t="n"/>
      <c r="U668" s="319" t="n"/>
      <c r="V668" s="319" t="n"/>
      <c r="W668" s="319" t="n"/>
      <c r="X668" s="319" t="n"/>
      <c r="Y668" s="319" t="n"/>
      <c r="Z668" s="319" t="n"/>
    </row>
    <row r="669">
      <c r="A669" s="319" t="n"/>
      <c r="B669" s="319" t="n"/>
      <c r="C669" s="319" t="n"/>
      <c r="D669" s="319" t="n"/>
      <c r="E669" s="319" t="n"/>
      <c r="F669" s="319" t="n"/>
      <c r="G669" s="319" t="n"/>
      <c r="H669" s="319" t="n"/>
      <c r="I669" s="319" t="n"/>
      <c r="J669" s="319" t="n"/>
      <c r="K669" s="319" t="n"/>
      <c r="L669" s="319" t="n"/>
      <c r="M669" s="319" t="n"/>
      <c r="N669" s="319" t="n"/>
      <c r="O669" s="319" t="n"/>
      <c r="P669" s="319" t="n"/>
      <c r="Q669" s="319" t="n"/>
      <c r="R669" s="319" t="n"/>
      <c r="S669" s="319" t="n"/>
      <c r="T669" s="319" t="n"/>
      <c r="U669" s="319" t="n"/>
      <c r="V669" s="319" t="n"/>
      <c r="W669" s="319" t="n"/>
      <c r="X669" s="319" t="n"/>
      <c r="Y669" s="319" t="n"/>
      <c r="Z669" s="319" t="n"/>
    </row>
    <row r="670">
      <c r="A670" s="319" t="n"/>
      <c r="B670" s="319" t="n"/>
      <c r="C670" s="319" t="n"/>
      <c r="D670" s="319" t="n"/>
      <c r="E670" s="319" t="n"/>
      <c r="F670" s="319" t="n"/>
      <c r="G670" s="319" t="n"/>
      <c r="H670" s="319" t="n"/>
      <c r="I670" s="319" t="n"/>
      <c r="J670" s="319" t="n"/>
      <c r="K670" s="319" t="n"/>
      <c r="L670" s="319" t="n"/>
      <c r="M670" s="319" t="n"/>
      <c r="N670" s="319" t="n"/>
      <c r="O670" s="319" t="n"/>
      <c r="P670" s="319" t="n"/>
      <c r="Q670" s="319" t="n"/>
      <c r="R670" s="319" t="n"/>
      <c r="S670" s="319" t="n"/>
      <c r="T670" s="319" t="n"/>
      <c r="U670" s="319" t="n"/>
      <c r="V670" s="319" t="n"/>
      <c r="W670" s="319" t="n"/>
      <c r="X670" s="319" t="n"/>
      <c r="Y670" s="319" t="n"/>
      <c r="Z670" s="319" t="n"/>
    </row>
    <row r="671">
      <c r="A671" s="319" t="n"/>
      <c r="B671" s="319" t="n"/>
      <c r="C671" s="319" t="n"/>
      <c r="D671" s="319" t="n"/>
      <c r="E671" s="319" t="n"/>
      <c r="F671" s="319" t="n"/>
      <c r="G671" s="319" t="n"/>
      <c r="H671" s="319" t="n"/>
      <c r="I671" s="319" t="n"/>
      <c r="J671" s="319" t="n"/>
      <c r="K671" s="319" t="n"/>
      <c r="L671" s="319" t="n"/>
      <c r="M671" s="319" t="n"/>
      <c r="N671" s="319" t="n"/>
      <c r="O671" s="319" t="n"/>
      <c r="P671" s="319" t="n"/>
      <c r="Q671" s="319" t="n"/>
      <c r="R671" s="319" t="n"/>
      <c r="S671" s="319" t="n"/>
      <c r="T671" s="319" t="n"/>
      <c r="U671" s="319" t="n"/>
      <c r="V671" s="319" t="n"/>
      <c r="W671" s="319" t="n"/>
      <c r="X671" s="319" t="n"/>
      <c r="Y671" s="319" t="n"/>
      <c r="Z671" s="319" t="n"/>
    </row>
    <row r="672">
      <c r="A672" s="319" t="n"/>
      <c r="B672" s="319" t="n"/>
      <c r="C672" s="319" t="n"/>
      <c r="D672" s="319" t="n"/>
      <c r="E672" s="319" t="n"/>
      <c r="F672" s="319" t="n"/>
      <c r="G672" s="319" t="n"/>
      <c r="H672" s="319" t="n"/>
      <c r="I672" s="319" t="n"/>
      <c r="J672" s="319" t="n"/>
      <c r="K672" s="319" t="n"/>
      <c r="L672" s="319" t="n"/>
      <c r="M672" s="319" t="n"/>
      <c r="N672" s="319" t="n"/>
      <c r="O672" s="319" t="n"/>
      <c r="P672" s="319" t="n"/>
      <c r="Q672" s="319" t="n"/>
      <c r="R672" s="319" t="n"/>
      <c r="S672" s="319" t="n"/>
      <c r="T672" s="319" t="n"/>
      <c r="U672" s="319" t="n"/>
      <c r="V672" s="319" t="n"/>
      <c r="W672" s="319" t="n"/>
      <c r="X672" s="319" t="n"/>
      <c r="Y672" s="319" t="n"/>
      <c r="Z672" s="319" t="n"/>
    </row>
    <row r="673">
      <c r="A673" s="319" t="n"/>
      <c r="B673" s="319" t="n"/>
      <c r="C673" s="319" t="n"/>
      <c r="D673" s="319" t="n"/>
      <c r="E673" s="319" t="n"/>
      <c r="F673" s="319" t="n"/>
      <c r="G673" s="319" t="n"/>
      <c r="H673" s="319" t="n"/>
      <c r="I673" s="319" t="n"/>
      <c r="J673" s="319" t="n"/>
      <c r="K673" s="319" t="n"/>
      <c r="L673" s="319" t="n"/>
      <c r="M673" s="319" t="n"/>
      <c r="N673" s="319" t="n"/>
      <c r="O673" s="319" t="n"/>
      <c r="P673" s="319" t="n"/>
      <c r="Q673" s="319" t="n"/>
      <c r="R673" s="319" t="n"/>
      <c r="S673" s="319" t="n"/>
      <c r="T673" s="319" t="n"/>
      <c r="U673" s="319" t="n"/>
      <c r="V673" s="319" t="n"/>
      <c r="W673" s="319" t="n"/>
      <c r="X673" s="319" t="n"/>
      <c r="Y673" s="319" t="n"/>
      <c r="Z673" s="319" t="n"/>
    </row>
    <row r="674">
      <c r="A674" s="319" t="n"/>
      <c r="B674" s="319" t="n"/>
      <c r="C674" s="319" t="n"/>
      <c r="D674" s="319" t="n"/>
      <c r="E674" s="319" t="n"/>
      <c r="F674" s="319" t="n"/>
      <c r="G674" s="319" t="n"/>
      <c r="H674" s="319" t="n"/>
      <c r="I674" s="319" t="n"/>
      <c r="J674" s="319" t="n"/>
      <c r="K674" s="319" t="n"/>
      <c r="L674" s="319" t="n"/>
      <c r="M674" s="319" t="n"/>
      <c r="N674" s="319" t="n"/>
      <c r="O674" s="319" t="n"/>
      <c r="P674" s="319" t="n"/>
      <c r="Q674" s="319" t="n"/>
      <c r="R674" s="319" t="n"/>
      <c r="S674" s="319" t="n"/>
      <c r="T674" s="319" t="n"/>
      <c r="U674" s="319" t="n"/>
      <c r="V674" s="319" t="n"/>
      <c r="W674" s="319" t="n"/>
      <c r="X674" s="319" t="n"/>
      <c r="Y674" s="319" t="n"/>
      <c r="Z674" s="319" t="n"/>
    </row>
    <row r="675">
      <c r="A675" s="319" t="n"/>
      <c r="B675" s="319" t="n"/>
      <c r="C675" s="319" t="n"/>
      <c r="D675" s="319" t="n"/>
      <c r="E675" s="319" t="n"/>
      <c r="F675" s="319" t="n"/>
      <c r="G675" s="319" t="n"/>
      <c r="H675" s="319" t="n"/>
      <c r="I675" s="319" t="n"/>
      <c r="J675" s="319" t="n"/>
      <c r="K675" s="319" t="n"/>
      <c r="L675" s="319" t="n"/>
      <c r="M675" s="319" t="n"/>
      <c r="N675" s="319" t="n"/>
      <c r="O675" s="319" t="n"/>
      <c r="P675" s="319" t="n"/>
      <c r="Q675" s="319" t="n"/>
      <c r="R675" s="319" t="n"/>
      <c r="S675" s="319" t="n"/>
      <c r="T675" s="319" t="n"/>
      <c r="U675" s="319" t="n"/>
      <c r="V675" s="319" t="n"/>
      <c r="W675" s="319" t="n"/>
      <c r="X675" s="319" t="n"/>
      <c r="Y675" s="319" t="n"/>
      <c r="Z675" s="319" t="n"/>
    </row>
    <row r="676">
      <c r="A676" s="319" t="n"/>
      <c r="B676" s="319" t="n"/>
      <c r="C676" s="319" t="n"/>
      <c r="D676" s="319" t="n"/>
      <c r="E676" s="319" t="n"/>
      <c r="F676" s="319" t="n"/>
      <c r="G676" s="319" t="n"/>
      <c r="H676" s="319" t="n"/>
      <c r="I676" s="319" t="n"/>
      <c r="J676" s="319" t="n"/>
      <c r="K676" s="319" t="n"/>
      <c r="L676" s="319" t="n"/>
      <c r="M676" s="319" t="n"/>
      <c r="N676" s="319" t="n"/>
      <c r="O676" s="319" t="n"/>
      <c r="P676" s="319" t="n"/>
      <c r="Q676" s="319" t="n"/>
      <c r="R676" s="319" t="n"/>
      <c r="S676" s="319" t="n"/>
      <c r="T676" s="319" t="n"/>
      <c r="U676" s="319" t="n"/>
      <c r="V676" s="319" t="n"/>
      <c r="W676" s="319" t="n"/>
      <c r="X676" s="319" t="n"/>
      <c r="Y676" s="319" t="n"/>
      <c r="Z676" s="319" t="n"/>
    </row>
    <row r="677">
      <c r="A677" s="319" t="n"/>
      <c r="B677" s="319" t="n"/>
      <c r="C677" s="319" t="n"/>
      <c r="D677" s="319" t="n"/>
      <c r="E677" s="319" t="n"/>
      <c r="F677" s="319" t="n"/>
      <c r="G677" s="319" t="n"/>
      <c r="H677" s="319" t="n"/>
      <c r="I677" s="319" t="n"/>
      <c r="J677" s="319" t="n"/>
      <c r="K677" s="319" t="n"/>
      <c r="L677" s="319" t="n"/>
      <c r="M677" s="319" t="n"/>
      <c r="N677" s="319" t="n"/>
      <c r="O677" s="319" t="n"/>
      <c r="P677" s="319" t="n"/>
      <c r="Q677" s="319" t="n"/>
      <c r="R677" s="319" t="n"/>
      <c r="S677" s="319" t="n"/>
      <c r="T677" s="319" t="n"/>
      <c r="U677" s="319" t="n"/>
      <c r="V677" s="319" t="n"/>
      <c r="W677" s="319" t="n"/>
      <c r="X677" s="319" t="n"/>
      <c r="Y677" s="319" t="n"/>
      <c r="Z677" s="319" t="n"/>
    </row>
    <row r="678">
      <c r="A678" s="319" t="n"/>
      <c r="B678" s="319" t="n"/>
      <c r="C678" s="319" t="n"/>
      <c r="D678" s="319" t="n"/>
      <c r="E678" s="319" t="n"/>
      <c r="F678" s="319" t="n"/>
      <c r="G678" s="319" t="n"/>
      <c r="H678" s="319" t="n"/>
      <c r="I678" s="319" t="n"/>
      <c r="J678" s="319" t="n"/>
      <c r="K678" s="319" t="n"/>
      <c r="L678" s="319" t="n"/>
      <c r="M678" s="319" t="n"/>
      <c r="N678" s="319" t="n"/>
      <c r="O678" s="319" t="n"/>
      <c r="P678" s="319" t="n"/>
      <c r="Q678" s="319" t="n"/>
      <c r="R678" s="319" t="n"/>
      <c r="S678" s="319" t="n"/>
      <c r="T678" s="319" t="n"/>
      <c r="U678" s="319" t="n"/>
      <c r="V678" s="319" t="n"/>
      <c r="W678" s="319" t="n"/>
      <c r="X678" s="319" t="n"/>
      <c r="Y678" s="319" t="n"/>
      <c r="Z678" s="319" t="n"/>
    </row>
    <row r="679">
      <c r="A679" s="319" t="n"/>
      <c r="B679" s="319" t="n"/>
      <c r="C679" s="319" t="n"/>
      <c r="D679" s="319" t="n"/>
      <c r="E679" s="319" t="n"/>
      <c r="F679" s="319" t="n"/>
      <c r="G679" s="319" t="n"/>
      <c r="H679" s="319" t="n"/>
      <c r="I679" s="319" t="n"/>
      <c r="J679" s="319" t="n"/>
      <c r="K679" s="319" t="n"/>
      <c r="L679" s="319" t="n"/>
      <c r="M679" s="319" t="n"/>
      <c r="N679" s="319" t="n"/>
      <c r="O679" s="319" t="n"/>
      <c r="P679" s="319" t="n"/>
      <c r="Q679" s="319" t="n"/>
      <c r="R679" s="319" t="n"/>
      <c r="S679" s="319" t="n"/>
      <c r="T679" s="319" t="n"/>
      <c r="U679" s="319" t="n"/>
      <c r="V679" s="319" t="n"/>
      <c r="W679" s="319" t="n"/>
      <c r="X679" s="319" t="n"/>
      <c r="Y679" s="319" t="n"/>
      <c r="Z679" s="319" t="n"/>
    </row>
    <row r="680">
      <c r="A680" s="319" t="n"/>
      <c r="B680" s="319" t="n"/>
      <c r="C680" s="319" t="n"/>
      <c r="D680" s="319" t="n"/>
      <c r="E680" s="319" t="n"/>
      <c r="F680" s="319" t="n"/>
      <c r="G680" s="319" t="n"/>
      <c r="H680" s="319" t="n"/>
      <c r="I680" s="319" t="n"/>
      <c r="J680" s="319" t="n"/>
      <c r="K680" s="319" t="n"/>
      <c r="L680" s="319" t="n"/>
      <c r="M680" s="319" t="n"/>
      <c r="N680" s="319" t="n"/>
      <c r="O680" s="319" t="n"/>
      <c r="P680" s="319" t="n"/>
      <c r="Q680" s="319" t="n"/>
      <c r="R680" s="319" t="n"/>
      <c r="S680" s="319" t="n"/>
      <c r="T680" s="319" t="n"/>
      <c r="U680" s="319" t="n"/>
      <c r="V680" s="319" t="n"/>
      <c r="W680" s="319" t="n"/>
      <c r="X680" s="319" t="n"/>
      <c r="Y680" s="319" t="n"/>
      <c r="Z680" s="319" t="n"/>
    </row>
    <row r="681">
      <c r="A681" s="319" t="n"/>
      <c r="B681" s="319" t="n"/>
      <c r="C681" s="319" t="n"/>
      <c r="D681" s="319" t="n"/>
      <c r="E681" s="319" t="n"/>
      <c r="F681" s="319" t="n"/>
      <c r="G681" s="319" t="n"/>
      <c r="H681" s="319" t="n"/>
      <c r="I681" s="319" t="n"/>
      <c r="J681" s="319" t="n"/>
      <c r="K681" s="319" t="n"/>
      <c r="L681" s="319" t="n"/>
      <c r="M681" s="319" t="n"/>
      <c r="N681" s="319" t="n"/>
      <c r="O681" s="319" t="n"/>
      <c r="P681" s="319" t="n"/>
      <c r="Q681" s="319" t="n"/>
      <c r="R681" s="319" t="n"/>
      <c r="S681" s="319" t="n"/>
      <c r="T681" s="319" t="n"/>
      <c r="U681" s="319" t="n"/>
      <c r="V681" s="319" t="n"/>
      <c r="W681" s="319" t="n"/>
      <c r="X681" s="319" t="n"/>
      <c r="Y681" s="319" t="n"/>
      <c r="Z681" s="319" t="n"/>
    </row>
    <row r="682">
      <c r="A682" s="319" t="n"/>
      <c r="B682" s="319" t="n"/>
      <c r="C682" s="319" t="n"/>
      <c r="D682" s="319" t="n"/>
      <c r="E682" s="319" t="n"/>
      <c r="F682" s="319" t="n"/>
      <c r="G682" s="319" t="n"/>
      <c r="H682" s="319" t="n"/>
      <c r="I682" s="319" t="n"/>
      <c r="J682" s="319" t="n"/>
      <c r="K682" s="319" t="n"/>
      <c r="L682" s="319" t="n"/>
      <c r="M682" s="319" t="n"/>
      <c r="N682" s="319" t="n"/>
      <c r="O682" s="319" t="n"/>
      <c r="P682" s="319" t="n"/>
      <c r="Q682" s="319" t="n"/>
      <c r="R682" s="319" t="n"/>
      <c r="S682" s="319" t="n"/>
      <c r="T682" s="319" t="n"/>
      <c r="U682" s="319" t="n"/>
      <c r="V682" s="319" t="n"/>
      <c r="W682" s="319" t="n"/>
      <c r="X682" s="319" t="n"/>
      <c r="Y682" s="319" t="n"/>
      <c r="Z682" s="319" t="n"/>
    </row>
    <row r="683">
      <c r="A683" s="319" t="n"/>
      <c r="B683" s="319" t="n"/>
      <c r="C683" s="319" t="n"/>
      <c r="D683" s="319" t="n"/>
      <c r="E683" s="319" t="n"/>
      <c r="F683" s="319" t="n"/>
      <c r="G683" s="319" t="n"/>
      <c r="H683" s="319" t="n"/>
      <c r="I683" s="319" t="n"/>
      <c r="J683" s="319" t="n"/>
      <c r="K683" s="319" t="n"/>
      <c r="L683" s="319" t="n"/>
      <c r="M683" s="319" t="n"/>
      <c r="N683" s="319" t="n"/>
      <c r="O683" s="319" t="n"/>
      <c r="P683" s="319" t="n"/>
      <c r="Q683" s="319" t="n"/>
      <c r="R683" s="319" t="n"/>
      <c r="S683" s="319" t="n"/>
      <c r="T683" s="319" t="n"/>
      <c r="U683" s="319" t="n"/>
      <c r="V683" s="319" t="n"/>
      <c r="W683" s="319" t="n"/>
      <c r="X683" s="319" t="n"/>
      <c r="Y683" s="319" t="n"/>
      <c r="Z683" s="319" t="n"/>
    </row>
    <row r="684">
      <c r="A684" s="319" t="n"/>
      <c r="B684" s="319" t="n"/>
      <c r="C684" s="319" t="n"/>
      <c r="D684" s="319" t="n"/>
      <c r="E684" s="319" t="n"/>
      <c r="F684" s="319" t="n"/>
      <c r="G684" s="319" t="n"/>
      <c r="H684" s="319" t="n"/>
      <c r="I684" s="319" t="n"/>
      <c r="J684" s="319" t="n"/>
      <c r="K684" s="319" t="n"/>
      <c r="L684" s="319" t="n"/>
      <c r="M684" s="319" t="n"/>
      <c r="N684" s="319" t="n"/>
      <c r="O684" s="319" t="n"/>
      <c r="P684" s="319" t="n"/>
      <c r="Q684" s="319" t="n"/>
      <c r="R684" s="319" t="n"/>
      <c r="S684" s="319" t="n"/>
      <c r="T684" s="319" t="n"/>
      <c r="U684" s="319" t="n"/>
      <c r="V684" s="319" t="n"/>
      <c r="W684" s="319" t="n"/>
      <c r="X684" s="319" t="n"/>
      <c r="Y684" s="319" t="n"/>
      <c r="Z684" s="319" t="n"/>
    </row>
    <row r="685">
      <c r="A685" s="319" t="n"/>
      <c r="B685" s="319" t="n"/>
      <c r="C685" s="319" t="n"/>
      <c r="D685" s="319" t="n"/>
      <c r="E685" s="319" t="n"/>
      <c r="F685" s="319" t="n"/>
      <c r="G685" s="319" t="n"/>
      <c r="H685" s="319" t="n"/>
      <c r="I685" s="319" t="n"/>
      <c r="J685" s="319" t="n"/>
      <c r="K685" s="319" t="n"/>
      <c r="L685" s="319" t="n"/>
      <c r="M685" s="319" t="n"/>
      <c r="N685" s="319" t="n"/>
      <c r="O685" s="319" t="n"/>
      <c r="P685" s="319" t="n"/>
      <c r="Q685" s="319" t="n"/>
      <c r="R685" s="319" t="n"/>
      <c r="S685" s="319" t="n"/>
      <c r="T685" s="319" t="n"/>
      <c r="U685" s="319" t="n"/>
      <c r="V685" s="319" t="n"/>
      <c r="W685" s="319" t="n"/>
      <c r="X685" s="319" t="n"/>
      <c r="Y685" s="319" t="n"/>
      <c r="Z685" s="319" t="n"/>
    </row>
    <row r="686">
      <c r="A686" s="319" t="n"/>
      <c r="B686" s="319" t="n"/>
      <c r="C686" s="319" t="n"/>
      <c r="D686" s="319" t="n"/>
      <c r="E686" s="319" t="n"/>
      <c r="F686" s="319" t="n"/>
      <c r="G686" s="319" t="n"/>
      <c r="H686" s="319" t="n"/>
      <c r="I686" s="319" t="n"/>
      <c r="J686" s="319" t="n"/>
      <c r="K686" s="319" t="n"/>
      <c r="L686" s="319" t="n"/>
      <c r="M686" s="319" t="n"/>
      <c r="N686" s="319" t="n"/>
      <c r="O686" s="319" t="n"/>
      <c r="P686" s="319" t="n"/>
      <c r="Q686" s="319" t="n"/>
      <c r="R686" s="319" t="n"/>
      <c r="S686" s="319" t="n"/>
      <c r="T686" s="319" t="n"/>
      <c r="U686" s="319" t="n"/>
      <c r="V686" s="319" t="n"/>
      <c r="W686" s="319" t="n"/>
      <c r="X686" s="319" t="n"/>
      <c r="Y686" s="319" t="n"/>
      <c r="Z686" s="319" t="n"/>
    </row>
    <row r="687">
      <c r="A687" s="319" t="n"/>
      <c r="B687" s="319" t="n"/>
      <c r="C687" s="319" t="n"/>
      <c r="D687" s="319" t="n"/>
      <c r="E687" s="319" t="n"/>
      <c r="F687" s="319" t="n"/>
      <c r="G687" s="319" t="n"/>
      <c r="H687" s="319" t="n"/>
      <c r="I687" s="319" t="n"/>
      <c r="J687" s="319" t="n"/>
      <c r="K687" s="319" t="n"/>
      <c r="L687" s="319" t="n"/>
      <c r="M687" s="319" t="n"/>
      <c r="N687" s="319" t="n"/>
      <c r="O687" s="319" t="n"/>
      <c r="P687" s="319" t="n"/>
      <c r="Q687" s="319" t="n"/>
      <c r="R687" s="319" t="n"/>
      <c r="S687" s="319" t="n"/>
      <c r="T687" s="319" t="n"/>
      <c r="U687" s="319" t="n"/>
      <c r="V687" s="319" t="n"/>
      <c r="W687" s="319" t="n"/>
      <c r="X687" s="319" t="n"/>
      <c r="Y687" s="319" t="n"/>
      <c r="Z687" s="319" t="n"/>
    </row>
    <row r="688">
      <c r="A688" s="319" t="n"/>
      <c r="B688" s="319" t="n"/>
      <c r="C688" s="319" t="n"/>
      <c r="D688" s="319" t="n"/>
      <c r="E688" s="319" t="n"/>
      <c r="F688" s="319" t="n"/>
      <c r="G688" s="319" t="n"/>
      <c r="H688" s="319" t="n"/>
      <c r="I688" s="319" t="n"/>
      <c r="J688" s="319" t="n"/>
      <c r="K688" s="319" t="n"/>
      <c r="L688" s="319" t="n"/>
      <c r="M688" s="319" t="n"/>
      <c r="N688" s="319" t="n"/>
      <c r="O688" s="319" t="n"/>
      <c r="P688" s="319" t="n"/>
      <c r="Q688" s="319" t="n"/>
      <c r="R688" s="319" t="n"/>
      <c r="S688" s="319" t="n"/>
      <c r="T688" s="319" t="n"/>
      <c r="U688" s="319" t="n"/>
      <c r="V688" s="319" t="n"/>
      <c r="W688" s="319" t="n"/>
      <c r="X688" s="319" t="n"/>
      <c r="Y688" s="319" t="n"/>
      <c r="Z688" s="319" t="n"/>
    </row>
    <row r="689">
      <c r="A689" s="319" t="n"/>
      <c r="B689" s="319" t="n"/>
      <c r="C689" s="319" t="n"/>
      <c r="D689" s="319" t="n"/>
      <c r="E689" s="319" t="n"/>
      <c r="F689" s="319" t="n"/>
      <c r="G689" s="319" t="n"/>
      <c r="H689" s="319" t="n"/>
      <c r="I689" s="319" t="n"/>
      <c r="J689" s="319" t="n"/>
      <c r="K689" s="319" t="n"/>
      <c r="L689" s="319" t="n"/>
      <c r="M689" s="319" t="n"/>
      <c r="N689" s="319" t="n"/>
      <c r="O689" s="319" t="n"/>
      <c r="P689" s="319" t="n"/>
      <c r="Q689" s="319" t="n"/>
      <c r="R689" s="319" t="n"/>
      <c r="S689" s="319" t="n"/>
      <c r="T689" s="319" t="n"/>
      <c r="U689" s="319" t="n"/>
      <c r="V689" s="319" t="n"/>
      <c r="W689" s="319" t="n"/>
      <c r="X689" s="319" t="n"/>
      <c r="Y689" s="319" t="n"/>
      <c r="Z689" s="319" t="n"/>
    </row>
    <row r="690">
      <c r="A690" s="319" t="n"/>
      <c r="B690" s="319" t="n"/>
      <c r="C690" s="319" t="n"/>
      <c r="D690" s="319" t="n"/>
      <c r="E690" s="319" t="n"/>
      <c r="F690" s="319" t="n"/>
      <c r="G690" s="319" t="n"/>
      <c r="H690" s="319" t="n"/>
      <c r="I690" s="319" t="n"/>
      <c r="J690" s="319" t="n"/>
      <c r="K690" s="319" t="n"/>
      <c r="L690" s="319" t="n"/>
      <c r="M690" s="319" t="n"/>
      <c r="N690" s="319" t="n"/>
      <c r="O690" s="319" t="n"/>
      <c r="P690" s="319" t="n"/>
      <c r="Q690" s="319" t="n"/>
      <c r="R690" s="319" t="n"/>
      <c r="S690" s="319" t="n"/>
      <c r="T690" s="319" t="n"/>
      <c r="U690" s="319" t="n"/>
      <c r="V690" s="319" t="n"/>
      <c r="W690" s="319" t="n"/>
      <c r="X690" s="319" t="n"/>
      <c r="Y690" s="319" t="n"/>
      <c r="Z690" s="319" t="n"/>
    </row>
    <row r="691">
      <c r="A691" s="319" t="n"/>
      <c r="B691" s="319" t="n"/>
      <c r="C691" s="319" t="n"/>
      <c r="D691" s="319" t="n"/>
      <c r="E691" s="319" t="n"/>
      <c r="F691" s="319" t="n"/>
      <c r="G691" s="319" t="n"/>
      <c r="H691" s="319" t="n"/>
      <c r="I691" s="319" t="n"/>
      <c r="J691" s="319" t="n"/>
      <c r="K691" s="319" t="n"/>
      <c r="L691" s="319" t="n"/>
      <c r="M691" s="319" t="n"/>
      <c r="N691" s="319" t="n"/>
      <c r="O691" s="319" t="n"/>
      <c r="P691" s="319" t="n"/>
      <c r="Q691" s="319" t="n"/>
      <c r="R691" s="319" t="n"/>
      <c r="S691" s="319" t="n"/>
      <c r="T691" s="319" t="n"/>
      <c r="U691" s="319" t="n"/>
      <c r="V691" s="319" t="n"/>
      <c r="W691" s="319" t="n"/>
      <c r="X691" s="319" t="n"/>
      <c r="Y691" s="319" t="n"/>
      <c r="Z691" s="319" t="n"/>
    </row>
    <row r="692">
      <c r="A692" s="319" t="n"/>
      <c r="B692" s="319" t="n"/>
      <c r="C692" s="319" t="n"/>
      <c r="D692" s="319" t="n"/>
      <c r="E692" s="319" t="n"/>
      <c r="F692" s="319" t="n"/>
      <c r="G692" s="319" t="n"/>
      <c r="H692" s="319" t="n"/>
      <c r="I692" s="319" t="n"/>
      <c r="J692" s="319" t="n"/>
      <c r="K692" s="319" t="n"/>
      <c r="L692" s="319" t="n"/>
      <c r="M692" s="319" t="n"/>
      <c r="N692" s="319" t="n"/>
      <c r="O692" s="319" t="n"/>
      <c r="P692" s="319" t="n"/>
      <c r="Q692" s="319" t="n"/>
      <c r="R692" s="319" t="n"/>
      <c r="S692" s="319" t="n"/>
      <c r="T692" s="319" t="n"/>
      <c r="U692" s="319" t="n"/>
      <c r="V692" s="319" t="n"/>
      <c r="W692" s="319" t="n"/>
      <c r="X692" s="319" t="n"/>
      <c r="Y692" s="319" t="n"/>
      <c r="Z692" s="319" t="n"/>
    </row>
    <row r="693">
      <c r="A693" s="319" t="n"/>
      <c r="B693" s="319" t="n"/>
      <c r="C693" s="319" t="n"/>
      <c r="D693" s="319" t="n"/>
      <c r="E693" s="319" t="n"/>
      <c r="F693" s="319" t="n"/>
      <c r="G693" s="319" t="n"/>
      <c r="H693" s="319" t="n"/>
      <c r="I693" s="319" t="n"/>
      <c r="J693" s="319" t="n"/>
      <c r="K693" s="319" t="n"/>
      <c r="L693" s="319" t="n"/>
      <c r="M693" s="319" t="n"/>
      <c r="N693" s="319" t="n"/>
      <c r="O693" s="319" t="n"/>
      <c r="P693" s="319" t="n"/>
      <c r="Q693" s="319" t="n"/>
      <c r="R693" s="319" t="n"/>
      <c r="S693" s="319" t="n"/>
      <c r="T693" s="319" t="n"/>
      <c r="U693" s="319" t="n"/>
      <c r="V693" s="319" t="n"/>
      <c r="W693" s="319" t="n"/>
      <c r="X693" s="319" t="n"/>
      <c r="Y693" s="319" t="n"/>
      <c r="Z693" s="319" t="n"/>
    </row>
    <row r="694">
      <c r="A694" s="319" t="n"/>
      <c r="B694" s="319" t="n"/>
      <c r="C694" s="319" t="n"/>
      <c r="D694" s="319" t="n"/>
      <c r="E694" s="319" t="n"/>
      <c r="F694" s="319" t="n"/>
      <c r="G694" s="319" t="n"/>
      <c r="H694" s="319" t="n"/>
      <c r="I694" s="319" t="n"/>
      <c r="J694" s="319" t="n"/>
      <c r="K694" s="319" t="n"/>
      <c r="L694" s="319" t="n"/>
      <c r="M694" s="319" t="n"/>
      <c r="N694" s="319" t="n"/>
      <c r="O694" s="319" t="n"/>
      <c r="P694" s="319" t="n"/>
      <c r="Q694" s="319" t="n"/>
      <c r="R694" s="319" t="n"/>
      <c r="S694" s="319" t="n"/>
      <c r="T694" s="319" t="n"/>
      <c r="U694" s="319" t="n"/>
      <c r="V694" s="319" t="n"/>
      <c r="W694" s="319" t="n"/>
      <c r="X694" s="319" t="n"/>
      <c r="Y694" s="319" t="n"/>
      <c r="Z694" s="319" t="n"/>
    </row>
    <row r="695">
      <c r="A695" s="319" t="n"/>
      <c r="B695" s="319" t="n"/>
      <c r="C695" s="319" t="n"/>
      <c r="D695" s="319" t="n"/>
      <c r="E695" s="319" t="n"/>
      <c r="F695" s="319" t="n"/>
      <c r="G695" s="319" t="n"/>
      <c r="H695" s="319" t="n"/>
      <c r="I695" s="319" t="n"/>
      <c r="J695" s="319" t="n"/>
      <c r="K695" s="319" t="n"/>
      <c r="L695" s="319" t="n"/>
      <c r="M695" s="319" t="n"/>
      <c r="N695" s="319" t="n"/>
      <c r="O695" s="319" t="n"/>
      <c r="P695" s="319" t="n"/>
      <c r="Q695" s="319" t="n"/>
      <c r="R695" s="319" t="n"/>
      <c r="S695" s="319" t="n"/>
      <c r="T695" s="319" t="n"/>
      <c r="U695" s="319" t="n"/>
      <c r="V695" s="319" t="n"/>
      <c r="W695" s="319" t="n"/>
      <c r="X695" s="319" t="n"/>
      <c r="Y695" s="319" t="n"/>
      <c r="Z695" s="319" t="n"/>
    </row>
    <row r="696">
      <c r="A696" s="319" t="n"/>
      <c r="B696" s="319" t="n"/>
      <c r="C696" s="319" t="n"/>
      <c r="D696" s="319" t="n"/>
      <c r="E696" s="319" t="n"/>
      <c r="F696" s="319" t="n"/>
      <c r="G696" s="319" t="n"/>
      <c r="H696" s="319" t="n"/>
      <c r="I696" s="319" t="n"/>
      <c r="J696" s="319" t="n"/>
      <c r="K696" s="319" t="n"/>
      <c r="L696" s="319" t="n"/>
      <c r="M696" s="319" t="n"/>
      <c r="N696" s="319" t="n"/>
      <c r="O696" s="319" t="n"/>
      <c r="P696" s="319" t="n"/>
      <c r="Q696" s="319" t="n"/>
      <c r="R696" s="319" t="n"/>
      <c r="S696" s="319" t="n"/>
      <c r="T696" s="319" t="n"/>
      <c r="U696" s="319" t="n"/>
      <c r="V696" s="319" t="n"/>
      <c r="W696" s="319" t="n"/>
      <c r="X696" s="319" t="n"/>
      <c r="Y696" s="319" t="n"/>
      <c r="Z696" s="319" t="n"/>
    </row>
    <row r="697">
      <c r="A697" s="319" t="n"/>
      <c r="B697" s="319" t="n"/>
      <c r="C697" s="319" t="n"/>
      <c r="D697" s="319" t="n"/>
      <c r="E697" s="319" t="n"/>
      <c r="F697" s="319" t="n"/>
      <c r="G697" s="319" t="n"/>
      <c r="H697" s="319" t="n"/>
      <c r="I697" s="319" t="n"/>
      <c r="J697" s="319" t="n"/>
      <c r="K697" s="319" t="n"/>
      <c r="L697" s="319" t="n"/>
      <c r="M697" s="319" t="n"/>
      <c r="N697" s="319" t="n"/>
      <c r="O697" s="319" t="n"/>
      <c r="P697" s="319" t="n"/>
      <c r="Q697" s="319" t="n"/>
      <c r="R697" s="319" t="n"/>
      <c r="S697" s="319" t="n"/>
      <c r="T697" s="319" t="n"/>
      <c r="U697" s="319" t="n"/>
      <c r="V697" s="319" t="n"/>
      <c r="W697" s="319" t="n"/>
      <c r="X697" s="319" t="n"/>
      <c r="Y697" s="319" t="n"/>
      <c r="Z697" s="319" t="n"/>
    </row>
    <row r="698">
      <c r="A698" s="319" t="n"/>
      <c r="B698" s="319" t="n"/>
      <c r="C698" s="319" t="n"/>
      <c r="D698" s="319" t="n"/>
      <c r="E698" s="319" t="n"/>
      <c r="F698" s="319" t="n"/>
      <c r="G698" s="319" t="n"/>
      <c r="H698" s="319" t="n"/>
      <c r="I698" s="319" t="n"/>
      <c r="J698" s="319" t="n"/>
      <c r="K698" s="319" t="n"/>
      <c r="L698" s="319" t="n"/>
      <c r="M698" s="319" t="n"/>
      <c r="N698" s="319" t="n"/>
      <c r="O698" s="319" t="n"/>
      <c r="P698" s="319" t="n"/>
      <c r="Q698" s="319" t="n"/>
      <c r="R698" s="319" t="n"/>
      <c r="S698" s="319" t="n"/>
      <c r="T698" s="319" t="n"/>
      <c r="U698" s="319" t="n"/>
      <c r="V698" s="319" t="n"/>
      <c r="W698" s="319" t="n"/>
      <c r="X698" s="319" t="n"/>
      <c r="Y698" s="319" t="n"/>
      <c r="Z698" s="319" t="n"/>
    </row>
    <row r="699">
      <c r="A699" s="319" t="n"/>
      <c r="B699" s="319" t="n"/>
      <c r="C699" s="319" t="n"/>
      <c r="D699" s="319" t="n"/>
      <c r="E699" s="319" t="n"/>
      <c r="F699" s="319" t="n"/>
      <c r="G699" s="319" t="n"/>
      <c r="H699" s="319" t="n"/>
      <c r="I699" s="319" t="n"/>
      <c r="J699" s="319" t="n"/>
      <c r="K699" s="319" t="n"/>
      <c r="L699" s="319" t="n"/>
      <c r="M699" s="319" t="n"/>
      <c r="N699" s="319" t="n"/>
      <c r="O699" s="319" t="n"/>
      <c r="P699" s="319" t="n"/>
      <c r="Q699" s="319" t="n"/>
      <c r="R699" s="319" t="n"/>
      <c r="S699" s="319" t="n"/>
      <c r="T699" s="319" t="n"/>
      <c r="U699" s="319" t="n"/>
      <c r="V699" s="319" t="n"/>
      <c r="W699" s="319" t="n"/>
      <c r="X699" s="319" t="n"/>
      <c r="Y699" s="319" t="n"/>
      <c r="Z699" s="319" t="n"/>
    </row>
    <row r="700">
      <c r="A700" s="319" t="n"/>
      <c r="B700" s="319" t="n"/>
      <c r="C700" s="319" t="n"/>
      <c r="D700" s="319" t="n"/>
      <c r="E700" s="319" t="n"/>
      <c r="F700" s="319" t="n"/>
      <c r="G700" s="319" t="n"/>
      <c r="H700" s="319" t="n"/>
      <c r="I700" s="319" t="n"/>
      <c r="J700" s="319" t="n"/>
      <c r="K700" s="319" t="n"/>
      <c r="L700" s="319" t="n"/>
      <c r="M700" s="319" t="n"/>
      <c r="N700" s="319" t="n"/>
      <c r="O700" s="319" t="n"/>
      <c r="P700" s="319" t="n"/>
      <c r="Q700" s="319" t="n"/>
      <c r="R700" s="319" t="n"/>
      <c r="S700" s="319" t="n"/>
      <c r="T700" s="319" t="n"/>
      <c r="U700" s="319" t="n"/>
      <c r="V700" s="319" t="n"/>
      <c r="W700" s="319" t="n"/>
      <c r="X700" s="319" t="n"/>
      <c r="Y700" s="319" t="n"/>
      <c r="Z700" s="319" t="n"/>
    </row>
    <row r="701">
      <c r="A701" s="319" t="n"/>
      <c r="B701" s="319" t="n"/>
      <c r="C701" s="319" t="n"/>
      <c r="D701" s="319" t="n"/>
      <c r="E701" s="319" t="n"/>
      <c r="F701" s="319" t="n"/>
      <c r="G701" s="319" t="n"/>
      <c r="H701" s="319" t="n"/>
      <c r="I701" s="319" t="n"/>
      <c r="J701" s="319" t="n"/>
      <c r="K701" s="319" t="n"/>
      <c r="L701" s="319" t="n"/>
      <c r="M701" s="319" t="n"/>
      <c r="N701" s="319" t="n"/>
      <c r="O701" s="319" t="n"/>
      <c r="P701" s="319" t="n"/>
      <c r="Q701" s="319" t="n"/>
      <c r="R701" s="319" t="n"/>
      <c r="S701" s="319" t="n"/>
      <c r="T701" s="319" t="n"/>
      <c r="U701" s="319" t="n"/>
      <c r="V701" s="319" t="n"/>
      <c r="W701" s="319" t="n"/>
      <c r="X701" s="319" t="n"/>
      <c r="Y701" s="319" t="n"/>
      <c r="Z701" s="319" t="n"/>
    </row>
    <row r="702">
      <c r="A702" s="319" t="n"/>
      <c r="B702" s="319" t="n"/>
      <c r="C702" s="319" t="n"/>
      <c r="D702" s="319" t="n"/>
      <c r="E702" s="319" t="n"/>
      <c r="F702" s="319" t="n"/>
      <c r="G702" s="319" t="n"/>
      <c r="H702" s="319" t="n"/>
      <c r="I702" s="319" t="n"/>
      <c r="J702" s="319" t="n"/>
      <c r="K702" s="319" t="n"/>
      <c r="L702" s="319" t="n"/>
      <c r="M702" s="319" t="n"/>
      <c r="N702" s="319" t="n"/>
      <c r="O702" s="319" t="n"/>
      <c r="P702" s="319" t="n"/>
      <c r="Q702" s="319" t="n"/>
      <c r="R702" s="319" t="n"/>
      <c r="S702" s="319" t="n"/>
      <c r="T702" s="319" t="n"/>
      <c r="U702" s="319" t="n"/>
      <c r="V702" s="319" t="n"/>
      <c r="W702" s="319" t="n"/>
      <c r="X702" s="319" t="n"/>
      <c r="Y702" s="319" t="n"/>
      <c r="Z702" s="319" t="n"/>
    </row>
    <row r="703">
      <c r="A703" s="319" t="n"/>
      <c r="B703" s="319" t="n"/>
      <c r="C703" s="319" t="n"/>
      <c r="D703" s="319" t="n"/>
      <c r="E703" s="319" t="n"/>
      <c r="F703" s="319" t="n"/>
      <c r="G703" s="319" t="n"/>
      <c r="H703" s="319" t="n"/>
      <c r="I703" s="319" t="n"/>
      <c r="J703" s="319" t="n"/>
      <c r="K703" s="319" t="n"/>
      <c r="L703" s="319" t="n"/>
      <c r="M703" s="319" t="n"/>
      <c r="N703" s="319" t="n"/>
      <c r="O703" s="319" t="n"/>
      <c r="P703" s="319" t="n"/>
      <c r="Q703" s="319" t="n"/>
      <c r="R703" s="319" t="n"/>
      <c r="S703" s="319" t="n"/>
      <c r="T703" s="319" t="n"/>
      <c r="U703" s="319" t="n"/>
      <c r="V703" s="319" t="n"/>
      <c r="W703" s="319" t="n"/>
      <c r="X703" s="319" t="n"/>
      <c r="Y703" s="319" t="n"/>
      <c r="Z703" s="319" t="n"/>
    </row>
    <row r="704">
      <c r="A704" s="319" t="n"/>
      <c r="B704" s="319" t="n"/>
      <c r="C704" s="319" t="n"/>
      <c r="D704" s="319" t="n"/>
      <c r="E704" s="319" t="n"/>
      <c r="F704" s="319" t="n"/>
      <c r="G704" s="319" t="n"/>
      <c r="H704" s="319" t="n"/>
      <c r="I704" s="319" t="n"/>
      <c r="J704" s="319" t="n"/>
      <c r="K704" s="319" t="n"/>
      <c r="L704" s="319" t="n"/>
      <c r="M704" s="319" t="n"/>
      <c r="N704" s="319" t="n"/>
      <c r="O704" s="319" t="n"/>
      <c r="P704" s="319" t="n"/>
      <c r="Q704" s="319" t="n"/>
      <c r="R704" s="319" t="n"/>
      <c r="S704" s="319" t="n"/>
      <c r="T704" s="319" t="n"/>
      <c r="U704" s="319" t="n"/>
      <c r="V704" s="319" t="n"/>
      <c r="W704" s="319" t="n"/>
      <c r="X704" s="319" t="n"/>
      <c r="Y704" s="319" t="n"/>
      <c r="Z704" s="319" t="n"/>
    </row>
    <row r="705">
      <c r="A705" s="319" t="n"/>
      <c r="B705" s="319" t="n"/>
      <c r="C705" s="319" t="n"/>
      <c r="D705" s="319" t="n"/>
      <c r="E705" s="319" t="n"/>
      <c r="F705" s="319" t="n"/>
      <c r="G705" s="319" t="n"/>
      <c r="H705" s="319" t="n"/>
      <c r="I705" s="319" t="n"/>
      <c r="J705" s="319" t="n"/>
      <c r="K705" s="319" t="n"/>
      <c r="L705" s="319" t="n"/>
      <c r="M705" s="319" t="n"/>
      <c r="N705" s="319" t="n"/>
      <c r="O705" s="319" t="n"/>
      <c r="P705" s="319" t="n"/>
      <c r="Q705" s="319" t="n"/>
      <c r="R705" s="319" t="n"/>
      <c r="S705" s="319" t="n"/>
      <c r="T705" s="319" t="n"/>
      <c r="U705" s="319" t="n"/>
      <c r="V705" s="319" t="n"/>
      <c r="W705" s="319" t="n"/>
      <c r="X705" s="319" t="n"/>
      <c r="Y705" s="319" t="n"/>
      <c r="Z705" s="319" t="n"/>
    </row>
    <row r="706">
      <c r="A706" s="319" t="n"/>
      <c r="B706" s="319" t="n"/>
      <c r="C706" s="319" t="n"/>
      <c r="D706" s="319" t="n"/>
      <c r="E706" s="319" t="n"/>
      <c r="F706" s="319" t="n"/>
      <c r="G706" s="319" t="n"/>
      <c r="H706" s="319" t="n"/>
      <c r="I706" s="319" t="n"/>
      <c r="J706" s="319" t="n"/>
      <c r="K706" s="319" t="n"/>
      <c r="L706" s="319" t="n"/>
      <c r="M706" s="319" t="n"/>
      <c r="N706" s="319" t="n"/>
      <c r="O706" s="319" t="n"/>
      <c r="P706" s="319" t="n"/>
      <c r="Q706" s="319" t="n"/>
      <c r="R706" s="319" t="n"/>
      <c r="S706" s="319" t="n"/>
      <c r="T706" s="319" t="n"/>
      <c r="U706" s="319" t="n"/>
      <c r="V706" s="319" t="n"/>
      <c r="W706" s="319" t="n"/>
      <c r="X706" s="319" t="n"/>
      <c r="Y706" s="319" t="n"/>
      <c r="Z706" s="319" t="n"/>
    </row>
    <row r="707">
      <c r="A707" s="319" t="n"/>
      <c r="B707" s="319" t="n"/>
      <c r="C707" s="319" t="n"/>
      <c r="D707" s="319" t="n"/>
      <c r="E707" s="319" t="n"/>
      <c r="F707" s="319" t="n"/>
      <c r="G707" s="319" t="n"/>
      <c r="H707" s="319" t="n"/>
      <c r="I707" s="319" t="n"/>
      <c r="J707" s="319" t="n"/>
      <c r="K707" s="319" t="n"/>
      <c r="L707" s="319" t="n"/>
      <c r="M707" s="319" t="n"/>
      <c r="N707" s="319" t="n"/>
      <c r="O707" s="319" t="n"/>
      <c r="P707" s="319" t="n"/>
      <c r="Q707" s="319" t="n"/>
      <c r="R707" s="319" t="n"/>
      <c r="S707" s="319" t="n"/>
      <c r="T707" s="319" t="n"/>
      <c r="U707" s="319" t="n"/>
      <c r="V707" s="319" t="n"/>
      <c r="W707" s="319" t="n"/>
      <c r="X707" s="319" t="n"/>
      <c r="Y707" s="319" t="n"/>
      <c r="Z707" s="319" t="n"/>
    </row>
    <row r="708">
      <c r="A708" s="319" t="n"/>
      <c r="B708" s="319" t="n"/>
      <c r="C708" s="319" t="n"/>
      <c r="D708" s="319" t="n"/>
      <c r="E708" s="319" t="n"/>
      <c r="F708" s="319" t="n"/>
      <c r="G708" s="319" t="n"/>
      <c r="H708" s="319" t="n"/>
      <c r="I708" s="319" t="n"/>
      <c r="J708" s="319" t="n"/>
      <c r="K708" s="319" t="n"/>
      <c r="L708" s="319" t="n"/>
      <c r="M708" s="319" t="n"/>
      <c r="N708" s="319" t="n"/>
      <c r="O708" s="319" t="n"/>
      <c r="P708" s="319" t="n"/>
      <c r="Q708" s="319" t="n"/>
      <c r="R708" s="319" t="n"/>
      <c r="S708" s="319" t="n"/>
      <c r="T708" s="319" t="n"/>
      <c r="U708" s="319" t="n"/>
      <c r="V708" s="319" t="n"/>
      <c r="W708" s="319" t="n"/>
      <c r="X708" s="319" t="n"/>
      <c r="Y708" s="319" t="n"/>
      <c r="Z708" s="319" t="n"/>
    </row>
    <row r="709">
      <c r="A709" s="319" t="n"/>
      <c r="B709" s="319" t="n"/>
      <c r="C709" s="319" t="n"/>
      <c r="D709" s="319" t="n"/>
      <c r="E709" s="319" t="n"/>
      <c r="F709" s="319" t="n"/>
      <c r="G709" s="319" t="n"/>
      <c r="H709" s="319" t="n"/>
      <c r="I709" s="319" t="n"/>
      <c r="J709" s="319" t="n"/>
      <c r="K709" s="319" t="n"/>
      <c r="L709" s="319" t="n"/>
      <c r="M709" s="319" t="n"/>
      <c r="N709" s="319" t="n"/>
      <c r="O709" s="319" t="n"/>
      <c r="P709" s="319" t="n"/>
      <c r="Q709" s="319" t="n"/>
      <c r="R709" s="319" t="n"/>
      <c r="S709" s="319" t="n"/>
      <c r="T709" s="319" t="n"/>
      <c r="U709" s="319" t="n"/>
      <c r="V709" s="319" t="n"/>
      <c r="W709" s="319" t="n"/>
      <c r="X709" s="319" t="n"/>
      <c r="Y709" s="319" t="n"/>
      <c r="Z709" s="319" t="n"/>
    </row>
    <row r="710">
      <c r="A710" s="319" t="n"/>
      <c r="B710" s="319" t="n"/>
      <c r="C710" s="319" t="n"/>
      <c r="D710" s="319" t="n"/>
      <c r="E710" s="319" t="n"/>
      <c r="F710" s="319" t="n"/>
      <c r="G710" s="319" t="n"/>
      <c r="H710" s="319" t="n"/>
      <c r="I710" s="319" t="n"/>
      <c r="J710" s="319" t="n"/>
      <c r="K710" s="319" t="n"/>
      <c r="L710" s="319" t="n"/>
      <c r="M710" s="319" t="n"/>
      <c r="N710" s="319" t="n"/>
      <c r="O710" s="319" t="n"/>
      <c r="P710" s="319" t="n"/>
      <c r="Q710" s="319" t="n"/>
      <c r="R710" s="319" t="n"/>
      <c r="S710" s="319" t="n"/>
      <c r="T710" s="319" t="n"/>
      <c r="U710" s="319" t="n"/>
      <c r="V710" s="319" t="n"/>
      <c r="W710" s="319" t="n"/>
      <c r="X710" s="319" t="n"/>
      <c r="Y710" s="319" t="n"/>
      <c r="Z710" s="319" t="n"/>
    </row>
    <row r="711">
      <c r="A711" s="319" t="n"/>
      <c r="B711" s="319" t="n"/>
      <c r="C711" s="319" t="n"/>
      <c r="D711" s="319" t="n"/>
      <c r="E711" s="319" t="n"/>
      <c r="F711" s="319" t="n"/>
      <c r="G711" s="319" t="n"/>
      <c r="H711" s="319" t="n"/>
      <c r="I711" s="319" t="n"/>
      <c r="J711" s="319" t="n"/>
      <c r="K711" s="319" t="n"/>
      <c r="L711" s="319" t="n"/>
      <c r="M711" s="319" t="n"/>
      <c r="N711" s="319" t="n"/>
      <c r="O711" s="319" t="n"/>
      <c r="P711" s="319" t="n"/>
      <c r="Q711" s="319" t="n"/>
      <c r="R711" s="319" t="n"/>
      <c r="S711" s="319" t="n"/>
      <c r="T711" s="319" t="n"/>
      <c r="U711" s="319" t="n"/>
      <c r="V711" s="319" t="n"/>
      <c r="W711" s="319" t="n"/>
      <c r="X711" s="319" t="n"/>
      <c r="Y711" s="319" t="n"/>
      <c r="Z711" s="319" t="n"/>
    </row>
    <row r="712">
      <c r="A712" s="319" t="n"/>
      <c r="B712" s="319" t="n"/>
      <c r="C712" s="319" t="n"/>
      <c r="D712" s="319" t="n"/>
      <c r="E712" s="319" t="n"/>
      <c r="F712" s="319" t="n"/>
      <c r="G712" s="319" t="n"/>
      <c r="H712" s="319" t="n"/>
      <c r="I712" s="319" t="n"/>
      <c r="J712" s="319" t="n"/>
      <c r="K712" s="319" t="n"/>
      <c r="L712" s="319" t="n"/>
      <c r="M712" s="319" t="n"/>
      <c r="N712" s="319" t="n"/>
      <c r="O712" s="319" t="n"/>
      <c r="P712" s="319" t="n"/>
      <c r="Q712" s="319" t="n"/>
      <c r="R712" s="319" t="n"/>
      <c r="S712" s="319" t="n"/>
      <c r="T712" s="319" t="n"/>
      <c r="U712" s="319" t="n"/>
      <c r="V712" s="319" t="n"/>
      <c r="W712" s="319" t="n"/>
      <c r="X712" s="319" t="n"/>
      <c r="Y712" s="319" t="n"/>
      <c r="Z712" s="319" t="n"/>
    </row>
    <row r="713">
      <c r="A713" s="319" t="n"/>
      <c r="B713" s="319" t="n"/>
      <c r="C713" s="319" t="n"/>
      <c r="D713" s="319" t="n"/>
      <c r="E713" s="319" t="n"/>
      <c r="F713" s="319" t="n"/>
      <c r="G713" s="319" t="n"/>
      <c r="H713" s="319" t="n"/>
      <c r="I713" s="319" t="n"/>
      <c r="J713" s="319" t="n"/>
      <c r="K713" s="319" t="n"/>
      <c r="L713" s="319" t="n"/>
      <c r="M713" s="319" t="n"/>
      <c r="N713" s="319" t="n"/>
      <c r="O713" s="319" t="n"/>
      <c r="P713" s="319" t="n"/>
      <c r="Q713" s="319" t="n"/>
      <c r="R713" s="319" t="n"/>
      <c r="S713" s="319" t="n"/>
      <c r="T713" s="319" t="n"/>
      <c r="U713" s="319" t="n"/>
      <c r="V713" s="319" t="n"/>
      <c r="W713" s="319" t="n"/>
      <c r="X713" s="319" t="n"/>
      <c r="Y713" s="319" t="n"/>
      <c r="Z713" s="319" t="n"/>
    </row>
    <row r="714">
      <c r="A714" s="319" t="n"/>
      <c r="B714" s="319" t="n"/>
      <c r="C714" s="319" t="n"/>
      <c r="D714" s="319" t="n"/>
      <c r="E714" s="319" t="n"/>
      <c r="F714" s="319" t="n"/>
      <c r="G714" s="319" t="n"/>
      <c r="H714" s="319" t="n"/>
      <c r="I714" s="319" t="n"/>
      <c r="J714" s="319" t="n"/>
      <c r="K714" s="319" t="n"/>
      <c r="L714" s="319" t="n"/>
      <c r="M714" s="319" t="n"/>
      <c r="N714" s="319" t="n"/>
      <c r="O714" s="319" t="n"/>
      <c r="P714" s="319" t="n"/>
      <c r="Q714" s="319" t="n"/>
      <c r="R714" s="319" t="n"/>
      <c r="S714" s="319" t="n"/>
      <c r="T714" s="319" t="n"/>
      <c r="U714" s="319" t="n"/>
      <c r="V714" s="319" t="n"/>
      <c r="W714" s="319" t="n"/>
      <c r="X714" s="319" t="n"/>
      <c r="Y714" s="319" t="n"/>
      <c r="Z714" s="319" t="n"/>
    </row>
    <row r="715">
      <c r="A715" s="319" t="n"/>
      <c r="B715" s="319" t="n"/>
      <c r="C715" s="319" t="n"/>
      <c r="D715" s="319" t="n"/>
      <c r="E715" s="319" t="n"/>
      <c r="F715" s="319" t="n"/>
      <c r="G715" s="319" t="n"/>
      <c r="H715" s="319" t="n"/>
      <c r="I715" s="319" t="n"/>
      <c r="J715" s="319" t="n"/>
      <c r="K715" s="319" t="n"/>
      <c r="L715" s="319" t="n"/>
      <c r="M715" s="319" t="n"/>
      <c r="N715" s="319" t="n"/>
      <c r="O715" s="319" t="n"/>
      <c r="P715" s="319" t="n"/>
      <c r="Q715" s="319" t="n"/>
      <c r="R715" s="319" t="n"/>
      <c r="S715" s="319" t="n"/>
      <c r="T715" s="319" t="n"/>
      <c r="U715" s="319" t="n"/>
      <c r="V715" s="319" t="n"/>
      <c r="W715" s="319" t="n"/>
      <c r="X715" s="319" t="n"/>
      <c r="Y715" s="319" t="n"/>
      <c r="Z715" s="319" t="n"/>
    </row>
    <row r="716">
      <c r="A716" s="319" t="n"/>
      <c r="B716" s="319" t="n"/>
      <c r="C716" s="319" t="n"/>
      <c r="D716" s="319" t="n"/>
      <c r="E716" s="319" t="n"/>
      <c r="F716" s="319" t="n"/>
      <c r="G716" s="319" t="n"/>
      <c r="H716" s="319" t="n"/>
      <c r="I716" s="319" t="n"/>
      <c r="J716" s="319" t="n"/>
      <c r="K716" s="319" t="n"/>
      <c r="L716" s="319" t="n"/>
      <c r="M716" s="319" t="n"/>
      <c r="N716" s="319" t="n"/>
      <c r="O716" s="319" t="n"/>
      <c r="P716" s="319" t="n"/>
      <c r="Q716" s="319" t="n"/>
      <c r="R716" s="319" t="n"/>
      <c r="S716" s="319" t="n"/>
      <c r="T716" s="319" t="n"/>
      <c r="U716" s="319" t="n"/>
      <c r="V716" s="319" t="n"/>
      <c r="W716" s="319" t="n"/>
      <c r="X716" s="319" t="n"/>
      <c r="Y716" s="319" t="n"/>
      <c r="Z716" s="319" t="n"/>
    </row>
    <row r="717">
      <c r="A717" s="319" t="n"/>
      <c r="B717" s="319" t="n"/>
      <c r="C717" s="319" t="n"/>
      <c r="D717" s="319" t="n"/>
      <c r="E717" s="319" t="n"/>
      <c r="F717" s="319" t="n"/>
      <c r="G717" s="319" t="n"/>
      <c r="H717" s="319" t="n"/>
      <c r="I717" s="319" t="n"/>
      <c r="J717" s="319" t="n"/>
      <c r="K717" s="319" t="n"/>
      <c r="L717" s="319" t="n"/>
      <c r="M717" s="319" t="n"/>
      <c r="N717" s="319" t="n"/>
      <c r="O717" s="319" t="n"/>
      <c r="P717" s="319" t="n"/>
      <c r="Q717" s="319" t="n"/>
      <c r="R717" s="319" t="n"/>
      <c r="S717" s="319" t="n"/>
      <c r="T717" s="319" t="n"/>
      <c r="U717" s="319" t="n"/>
      <c r="V717" s="319" t="n"/>
      <c r="W717" s="319" t="n"/>
      <c r="X717" s="319" t="n"/>
      <c r="Y717" s="319" t="n"/>
      <c r="Z717" s="319" t="n"/>
    </row>
    <row r="718">
      <c r="A718" s="319" t="n"/>
      <c r="B718" s="319" t="n"/>
      <c r="C718" s="319" t="n"/>
      <c r="D718" s="319" t="n"/>
      <c r="E718" s="319" t="n"/>
      <c r="F718" s="319" t="n"/>
      <c r="G718" s="319" t="n"/>
      <c r="H718" s="319" t="n"/>
      <c r="I718" s="319" t="n"/>
      <c r="J718" s="319" t="n"/>
      <c r="K718" s="319" t="n"/>
      <c r="L718" s="319" t="n"/>
      <c r="M718" s="319" t="n"/>
      <c r="N718" s="319" t="n"/>
      <c r="O718" s="319" t="n"/>
      <c r="P718" s="319" t="n"/>
      <c r="Q718" s="319" t="n"/>
      <c r="R718" s="319" t="n"/>
      <c r="S718" s="319" t="n"/>
      <c r="T718" s="319" t="n"/>
      <c r="U718" s="319" t="n"/>
      <c r="V718" s="319" t="n"/>
      <c r="W718" s="319" t="n"/>
      <c r="X718" s="319" t="n"/>
      <c r="Y718" s="319" t="n"/>
      <c r="Z718" s="319" t="n"/>
    </row>
    <row r="719">
      <c r="A719" s="319" t="n"/>
      <c r="B719" s="319" t="n"/>
      <c r="C719" s="319" t="n"/>
      <c r="D719" s="319" t="n"/>
      <c r="E719" s="319" t="n"/>
      <c r="F719" s="319" t="n"/>
      <c r="G719" s="319" t="n"/>
      <c r="H719" s="319" t="n"/>
      <c r="I719" s="319" t="n"/>
      <c r="J719" s="319" t="n"/>
      <c r="K719" s="319" t="n"/>
      <c r="L719" s="319" t="n"/>
      <c r="M719" s="319" t="n"/>
      <c r="N719" s="319" t="n"/>
      <c r="O719" s="319" t="n"/>
      <c r="P719" s="319" t="n"/>
      <c r="Q719" s="319" t="n"/>
      <c r="R719" s="319" t="n"/>
      <c r="S719" s="319" t="n"/>
      <c r="T719" s="319" t="n"/>
      <c r="U719" s="319" t="n"/>
      <c r="V719" s="319" t="n"/>
      <c r="W719" s="319" t="n"/>
      <c r="X719" s="319" t="n"/>
      <c r="Y719" s="319" t="n"/>
      <c r="Z719" s="319" t="n"/>
    </row>
    <row r="720">
      <c r="A720" s="319" t="n"/>
      <c r="B720" s="319" t="n"/>
      <c r="C720" s="319" t="n"/>
      <c r="D720" s="319" t="n"/>
      <c r="E720" s="319" t="n"/>
      <c r="F720" s="319" t="n"/>
      <c r="G720" s="319" t="n"/>
      <c r="H720" s="319" t="n"/>
      <c r="I720" s="319" t="n"/>
      <c r="J720" s="319" t="n"/>
      <c r="K720" s="319" t="n"/>
      <c r="L720" s="319" t="n"/>
      <c r="M720" s="319" t="n"/>
      <c r="N720" s="319" t="n"/>
      <c r="O720" s="319" t="n"/>
      <c r="P720" s="319" t="n"/>
      <c r="Q720" s="319" t="n"/>
      <c r="R720" s="319" t="n"/>
      <c r="S720" s="319" t="n"/>
      <c r="T720" s="319" t="n"/>
      <c r="U720" s="319" t="n"/>
      <c r="V720" s="319" t="n"/>
      <c r="W720" s="319" t="n"/>
      <c r="X720" s="319" t="n"/>
      <c r="Y720" s="319" t="n"/>
      <c r="Z720" s="319" t="n"/>
    </row>
    <row r="721">
      <c r="A721" s="319" t="n"/>
      <c r="B721" s="319" t="n"/>
      <c r="C721" s="319" t="n"/>
      <c r="D721" s="319" t="n"/>
      <c r="E721" s="319" t="n"/>
      <c r="F721" s="319" t="n"/>
      <c r="G721" s="319" t="n"/>
      <c r="H721" s="319" t="n"/>
      <c r="I721" s="319" t="n"/>
      <c r="J721" s="319" t="n"/>
      <c r="K721" s="319" t="n"/>
      <c r="L721" s="319" t="n"/>
      <c r="M721" s="319" t="n"/>
      <c r="N721" s="319" t="n"/>
      <c r="O721" s="319" t="n"/>
      <c r="P721" s="319" t="n"/>
      <c r="Q721" s="319" t="n"/>
      <c r="R721" s="319" t="n"/>
      <c r="S721" s="319" t="n"/>
      <c r="T721" s="319" t="n"/>
      <c r="U721" s="319" t="n"/>
      <c r="V721" s="319" t="n"/>
      <c r="W721" s="319" t="n"/>
      <c r="X721" s="319" t="n"/>
      <c r="Y721" s="319" t="n"/>
      <c r="Z721" s="319" t="n"/>
    </row>
    <row r="722">
      <c r="A722" s="319" t="n"/>
      <c r="B722" s="319" t="n"/>
      <c r="C722" s="319" t="n"/>
      <c r="D722" s="319" t="n"/>
      <c r="E722" s="319" t="n"/>
      <c r="F722" s="319" t="n"/>
      <c r="G722" s="319" t="n"/>
      <c r="H722" s="319" t="n"/>
      <c r="I722" s="319" t="n"/>
      <c r="J722" s="319" t="n"/>
      <c r="K722" s="319" t="n"/>
      <c r="L722" s="319" t="n"/>
      <c r="M722" s="319" t="n"/>
      <c r="N722" s="319" t="n"/>
      <c r="O722" s="319" t="n"/>
      <c r="P722" s="319" t="n"/>
      <c r="Q722" s="319" t="n"/>
      <c r="R722" s="319" t="n"/>
      <c r="S722" s="319" t="n"/>
      <c r="T722" s="319" t="n"/>
      <c r="U722" s="319" t="n"/>
      <c r="V722" s="319" t="n"/>
      <c r="W722" s="319" t="n"/>
      <c r="X722" s="319" t="n"/>
      <c r="Y722" s="319" t="n"/>
      <c r="Z722" s="319" t="n"/>
    </row>
    <row r="723">
      <c r="A723" s="319" t="n"/>
      <c r="B723" s="319" t="n"/>
      <c r="C723" s="319" t="n"/>
      <c r="D723" s="319" t="n"/>
      <c r="E723" s="319" t="n"/>
      <c r="F723" s="319" t="n"/>
      <c r="G723" s="319" t="n"/>
      <c r="H723" s="319" t="n"/>
      <c r="I723" s="319" t="n"/>
      <c r="J723" s="319" t="n"/>
      <c r="K723" s="319" t="n"/>
      <c r="L723" s="319" t="n"/>
      <c r="M723" s="319" t="n"/>
      <c r="N723" s="319" t="n"/>
      <c r="O723" s="319" t="n"/>
      <c r="P723" s="319" t="n"/>
      <c r="Q723" s="319" t="n"/>
      <c r="R723" s="319" t="n"/>
      <c r="S723" s="319" t="n"/>
      <c r="T723" s="319" t="n"/>
      <c r="U723" s="319" t="n"/>
      <c r="V723" s="319" t="n"/>
      <c r="W723" s="319" t="n"/>
      <c r="X723" s="319" t="n"/>
      <c r="Y723" s="319" t="n"/>
      <c r="Z723" s="319" t="n"/>
    </row>
    <row r="724">
      <c r="A724" s="319" t="n"/>
      <c r="B724" s="319" t="n"/>
      <c r="C724" s="319" t="n"/>
      <c r="D724" s="319" t="n"/>
      <c r="E724" s="319" t="n"/>
      <c r="F724" s="319" t="n"/>
      <c r="G724" s="319" t="n"/>
      <c r="H724" s="319" t="n"/>
      <c r="I724" s="319" t="n"/>
      <c r="J724" s="319" t="n"/>
      <c r="K724" s="319" t="n"/>
      <c r="L724" s="319" t="n"/>
      <c r="M724" s="319" t="n"/>
      <c r="N724" s="319" t="n"/>
      <c r="O724" s="319" t="n"/>
      <c r="P724" s="319" t="n"/>
      <c r="Q724" s="319" t="n"/>
      <c r="R724" s="319" t="n"/>
      <c r="S724" s="319" t="n"/>
      <c r="T724" s="319" t="n"/>
      <c r="U724" s="319" t="n"/>
      <c r="V724" s="319" t="n"/>
      <c r="W724" s="319" t="n"/>
      <c r="X724" s="319" t="n"/>
      <c r="Y724" s="319" t="n"/>
      <c r="Z724" s="319" t="n"/>
    </row>
    <row r="725">
      <c r="A725" s="319" t="n"/>
      <c r="B725" s="319" t="n"/>
      <c r="C725" s="319" t="n"/>
      <c r="D725" s="319" t="n"/>
      <c r="E725" s="319" t="n"/>
      <c r="F725" s="319" t="n"/>
      <c r="G725" s="319" t="n"/>
      <c r="H725" s="319" t="n"/>
      <c r="I725" s="319" t="n"/>
      <c r="J725" s="319" t="n"/>
      <c r="K725" s="319" t="n"/>
      <c r="L725" s="319" t="n"/>
      <c r="M725" s="319" t="n"/>
      <c r="N725" s="319" t="n"/>
      <c r="O725" s="319" t="n"/>
      <c r="P725" s="319" t="n"/>
      <c r="Q725" s="319" t="n"/>
      <c r="R725" s="319" t="n"/>
      <c r="S725" s="319" t="n"/>
      <c r="T725" s="319" t="n"/>
      <c r="U725" s="319" t="n"/>
      <c r="V725" s="319" t="n"/>
      <c r="W725" s="319" t="n"/>
      <c r="X725" s="319" t="n"/>
      <c r="Y725" s="319" t="n"/>
      <c r="Z725" s="319" t="n"/>
    </row>
    <row r="726">
      <c r="A726" s="319" t="n"/>
      <c r="B726" s="319" t="n"/>
      <c r="C726" s="319" t="n"/>
      <c r="D726" s="319" t="n"/>
      <c r="E726" s="319" t="n"/>
      <c r="F726" s="319" t="n"/>
      <c r="G726" s="319" t="n"/>
      <c r="H726" s="319" t="n"/>
      <c r="I726" s="319" t="n"/>
      <c r="J726" s="319" t="n"/>
      <c r="K726" s="319" t="n"/>
      <c r="L726" s="319" t="n"/>
      <c r="M726" s="319" t="n"/>
      <c r="N726" s="319" t="n"/>
      <c r="O726" s="319" t="n"/>
      <c r="P726" s="319" t="n"/>
      <c r="Q726" s="319" t="n"/>
      <c r="R726" s="319" t="n"/>
      <c r="S726" s="319" t="n"/>
      <c r="T726" s="319" t="n"/>
      <c r="U726" s="319" t="n"/>
      <c r="V726" s="319" t="n"/>
      <c r="W726" s="319" t="n"/>
      <c r="X726" s="319" t="n"/>
      <c r="Y726" s="319" t="n"/>
      <c r="Z726" s="319" t="n"/>
    </row>
    <row r="727">
      <c r="A727" s="319" t="n"/>
      <c r="B727" s="319" t="n"/>
      <c r="C727" s="319" t="n"/>
      <c r="D727" s="319" t="n"/>
      <c r="E727" s="319" t="n"/>
      <c r="F727" s="319" t="n"/>
      <c r="G727" s="319" t="n"/>
      <c r="H727" s="319" t="n"/>
      <c r="I727" s="319" t="n"/>
      <c r="J727" s="319" t="n"/>
      <c r="K727" s="319" t="n"/>
      <c r="L727" s="319" t="n"/>
      <c r="M727" s="319" t="n"/>
      <c r="N727" s="319" t="n"/>
      <c r="O727" s="319" t="n"/>
      <c r="P727" s="319" t="n"/>
      <c r="Q727" s="319" t="n"/>
      <c r="R727" s="319" t="n"/>
      <c r="S727" s="319" t="n"/>
      <c r="T727" s="319" t="n"/>
      <c r="U727" s="319" t="n"/>
      <c r="V727" s="319" t="n"/>
      <c r="W727" s="319" t="n"/>
      <c r="X727" s="319" t="n"/>
      <c r="Y727" s="319" t="n"/>
      <c r="Z727" s="319" t="n"/>
    </row>
    <row r="728">
      <c r="A728" s="319" t="n"/>
      <c r="B728" s="319" t="n"/>
      <c r="C728" s="319" t="n"/>
      <c r="D728" s="319" t="n"/>
      <c r="E728" s="319" t="n"/>
      <c r="F728" s="319" t="n"/>
      <c r="G728" s="319" t="n"/>
      <c r="H728" s="319" t="n"/>
      <c r="I728" s="319" t="n"/>
      <c r="J728" s="319" t="n"/>
      <c r="K728" s="319" t="n"/>
      <c r="L728" s="319" t="n"/>
      <c r="M728" s="319" t="n"/>
      <c r="N728" s="319" t="n"/>
      <c r="O728" s="319" t="n"/>
      <c r="P728" s="319" t="n"/>
      <c r="Q728" s="319" t="n"/>
      <c r="R728" s="319" t="n"/>
      <c r="S728" s="319" t="n"/>
      <c r="T728" s="319" t="n"/>
      <c r="U728" s="319" t="n"/>
      <c r="V728" s="319" t="n"/>
      <c r="W728" s="319" t="n"/>
      <c r="X728" s="319" t="n"/>
      <c r="Y728" s="319" t="n"/>
      <c r="Z728" s="319" t="n"/>
    </row>
    <row r="729">
      <c r="A729" s="319" t="n"/>
      <c r="B729" s="319" t="n"/>
      <c r="C729" s="319" t="n"/>
      <c r="D729" s="319" t="n"/>
      <c r="E729" s="319" t="n"/>
      <c r="F729" s="319" t="n"/>
      <c r="G729" s="319" t="n"/>
      <c r="H729" s="319" t="n"/>
      <c r="I729" s="319" t="n"/>
      <c r="J729" s="319" t="n"/>
      <c r="K729" s="319" t="n"/>
      <c r="L729" s="319" t="n"/>
      <c r="M729" s="319" t="n"/>
      <c r="N729" s="319" t="n"/>
      <c r="O729" s="319" t="n"/>
      <c r="P729" s="319" t="n"/>
      <c r="Q729" s="319" t="n"/>
      <c r="R729" s="319" t="n"/>
      <c r="S729" s="319" t="n"/>
      <c r="T729" s="319" t="n"/>
      <c r="U729" s="319" t="n"/>
      <c r="V729" s="319" t="n"/>
      <c r="W729" s="319" t="n"/>
      <c r="X729" s="319" t="n"/>
      <c r="Y729" s="319" t="n"/>
      <c r="Z729" s="319" t="n"/>
    </row>
    <row r="730">
      <c r="A730" s="319" t="n"/>
      <c r="B730" s="319" t="n"/>
      <c r="C730" s="319" t="n"/>
      <c r="D730" s="319" t="n"/>
      <c r="E730" s="319" t="n"/>
      <c r="F730" s="319" t="n"/>
      <c r="G730" s="319" t="n"/>
      <c r="H730" s="319" t="n"/>
      <c r="I730" s="319" t="n"/>
      <c r="J730" s="319" t="n"/>
      <c r="K730" s="319" t="n"/>
      <c r="L730" s="319" t="n"/>
      <c r="M730" s="319" t="n"/>
      <c r="N730" s="319" t="n"/>
      <c r="O730" s="319" t="n"/>
      <c r="P730" s="319" t="n"/>
      <c r="Q730" s="319" t="n"/>
      <c r="R730" s="319" t="n"/>
      <c r="S730" s="319" t="n"/>
      <c r="T730" s="319" t="n"/>
      <c r="U730" s="319" t="n"/>
      <c r="V730" s="319" t="n"/>
      <c r="W730" s="319" t="n"/>
      <c r="X730" s="319" t="n"/>
      <c r="Y730" s="319" t="n"/>
      <c r="Z730" s="319" t="n"/>
    </row>
    <row r="731">
      <c r="A731" s="319" t="n"/>
      <c r="B731" s="319" t="n"/>
      <c r="C731" s="319" t="n"/>
      <c r="D731" s="319" t="n"/>
      <c r="E731" s="319" t="n"/>
      <c r="F731" s="319" t="n"/>
      <c r="G731" s="319" t="n"/>
      <c r="H731" s="319" t="n"/>
      <c r="I731" s="319" t="n"/>
      <c r="J731" s="319" t="n"/>
      <c r="K731" s="319" t="n"/>
      <c r="L731" s="319" t="n"/>
      <c r="M731" s="319" t="n"/>
      <c r="N731" s="319" t="n"/>
      <c r="O731" s="319" t="n"/>
      <c r="P731" s="319" t="n"/>
      <c r="Q731" s="319" t="n"/>
      <c r="R731" s="319" t="n"/>
      <c r="S731" s="319" t="n"/>
      <c r="T731" s="319" t="n"/>
      <c r="U731" s="319" t="n"/>
      <c r="V731" s="319" t="n"/>
      <c r="W731" s="319" t="n"/>
      <c r="X731" s="319" t="n"/>
      <c r="Y731" s="319" t="n"/>
      <c r="Z731" s="319" t="n"/>
    </row>
    <row r="732">
      <c r="A732" s="319" t="n"/>
      <c r="B732" s="319" t="n"/>
      <c r="C732" s="319" t="n"/>
      <c r="D732" s="319" t="n"/>
      <c r="E732" s="319" t="n"/>
      <c r="F732" s="319" t="n"/>
      <c r="G732" s="319" t="n"/>
      <c r="H732" s="319" t="n"/>
      <c r="I732" s="319" t="n"/>
      <c r="J732" s="319" t="n"/>
      <c r="K732" s="319" t="n"/>
      <c r="L732" s="319" t="n"/>
      <c r="M732" s="319" t="n"/>
      <c r="N732" s="319" t="n"/>
      <c r="O732" s="319" t="n"/>
      <c r="P732" s="319" t="n"/>
      <c r="Q732" s="319" t="n"/>
      <c r="R732" s="319" t="n"/>
      <c r="S732" s="319" t="n"/>
      <c r="T732" s="319" t="n"/>
      <c r="U732" s="319" t="n"/>
      <c r="V732" s="319" t="n"/>
      <c r="W732" s="319" t="n"/>
      <c r="X732" s="319" t="n"/>
      <c r="Y732" s="319" t="n"/>
      <c r="Z732" s="319" t="n"/>
    </row>
    <row r="733">
      <c r="A733" s="319" t="n"/>
      <c r="B733" s="319" t="n"/>
      <c r="C733" s="319" t="n"/>
      <c r="D733" s="319" t="n"/>
      <c r="E733" s="319" t="n"/>
      <c r="F733" s="319" t="n"/>
      <c r="G733" s="319" t="n"/>
      <c r="H733" s="319" t="n"/>
      <c r="I733" s="319" t="n"/>
      <c r="J733" s="319" t="n"/>
      <c r="K733" s="319" t="n"/>
      <c r="L733" s="319" t="n"/>
      <c r="M733" s="319" t="n"/>
      <c r="N733" s="319" t="n"/>
      <c r="O733" s="319" t="n"/>
      <c r="P733" s="319" t="n"/>
      <c r="Q733" s="319" t="n"/>
      <c r="R733" s="319" t="n"/>
      <c r="S733" s="319" t="n"/>
      <c r="T733" s="319" t="n"/>
      <c r="U733" s="319" t="n"/>
      <c r="V733" s="319" t="n"/>
      <c r="W733" s="319" t="n"/>
      <c r="X733" s="319" t="n"/>
      <c r="Y733" s="319" t="n"/>
      <c r="Z733" s="319" t="n"/>
    </row>
    <row r="734">
      <c r="A734" s="319" t="n"/>
      <c r="B734" s="319" t="n"/>
      <c r="C734" s="319" t="n"/>
      <c r="D734" s="319" t="n"/>
      <c r="E734" s="319" t="n"/>
      <c r="F734" s="319" t="n"/>
      <c r="G734" s="319" t="n"/>
      <c r="H734" s="319" t="n"/>
      <c r="I734" s="319" t="n"/>
      <c r="J734" s="319" t="n"/>
      <c r="K734" s="319" t="n"/>
      <c r="L734" s="319" t="n"/>
      <c r="M734" s="319" t="n"/>
      <c r="N734" s="319" t="n"/>
      <c r="O734" s="319" t="n"/>
      <c r="P734" s="319" t="n"/>
      <c r="Q734" s="319" t="n"/>
      <c r="R734" s="319" t="n"/>
      <c r="S734" s="319" t="n"/>
      <c r="T734" s="319" t="n"/>
      <c r="U734" s="319" t="n"/>
      <c r="V734" s="319" t="n"/>
      <c r="W734" s="319" t="n"/>
      <c r="X734" s="319" t="n"/>
      <c r="Y734" s="319" t="n"/>
      <c r="Z734" s="319" t="n"/>
    </row>
    <row r="735">
      <c r="A735" s="319" t="n"/>
      <c r="B735" s="319" t="n"/>
      <c r="C735" s="319" t="n"/>
      <c r="D735" s="319" t="n"/>
      <c r="E735" s="319" t="n"/>
      <c r="F735" s="319" t="n"/>
      <c r="G735" s="319" t="n"/>
      <c r="H735" s="319" t="n"/>
      <c r="I735" s="319" t="n"/>
      <c r="J735" s="319" t="n"/>
      <c r="K735" s="319" t="n"/>
      <c r="L735" s="319" t="n"/>
      <c r="M735" s="319" t="n"/>
      <c r="N735" s="319" t="n"/>
      <c r="O735" s="319" t="n"/>
      <c r="P735" s="319" t="n"/>
      <c r="Q735" s="319" t="n"/>
      <c r="R735" s="319" t="n"/>
      <c r="S735" s="319" t="n"/>
      <c r="T735" s="319" t="n"/>
      <c r="U735" s="319" t="n"/>
      <c r="V735" s="319" t="n"/>
      <c r="W735" s="319" t="n"/>
      <c r="X735" s="319" t="n"/>
      <c r="Y735" s="319" t="n"/>
      <c r="Z735" s="319" t="n"/>
    </row>
    <row r="736">
      <c r="A736" s="319" t="n"/>
      <c r="B736" s="319" t="n"/>
      <c r="C736" s="319" t="n"/>
      <c r="D736" s="319" t="n"/>
      <c r="E736" s="319" t="n"/>
      <c r="F736" s="319" t="n"/>
      <c r="G736" s="319" t="n"/>
      <c r="H736" s="319" t="n"/>
      <c r="I736" s="319" t="n"/>
      <c r="J736" s="319" t="n"/>
      <c r="K736" s="319" t="n"/>
      <c r="L736" s="319" t="n"/>
      <c r="M736" s="319" t="n"/>
      <c r="N736" s="319" t="n"/>
      <c r="O736" s="319" t="n"/>
      <c r="P736" s="319" t="n"/>
      <c r="Q736" s="319" t="n"/>
      <c r="R736" s="319" t="n"/>
      <c r="S736" s="319" t="n"/>
      <c r="T736" s="319" t="n"/>
      <c r="U736" s="319" t="n"/>
      <c r="V736" s="319" t="n"/>
      <c r="W736" s="319" t="n"/>
      <c r="X736" s="319" t="n"/>
      <c r="Y736" s="319" t="n"/>
      <c r="Z736" s="319" t="n"/>
    </row>
    <row r="737">
      <c r="A737" s="319" t="n"/>
      <c r="B737" s="319" t="n"/>
      <c r="C737" s="319" t="n"/>
      <c r="D737" s="319" t="n"/>
      <c r="E737" s="319" t="n"/>
      <c r="F737" s="319" t="n"/>
      <c r="G737" s="319" t="n"/>
      <c r="H737" s="319" t="n"/>
      <c r="I737" s="319" t="n"/>
      <c r="J737" s="319" t="n"/>
      <c r="K737" s="319" t="n"/>
      <c r="L737" s="319" t="n"/>
      <c r="M737" s="319" t="n"/>
      <c r="N737" s="319" t="n"/>
      <c r="O737" s="319" t="n"/>
      <c r="P737" s="319" t="n"/>
      <c r="Q737" s="319" t="n"/>
      <c r="R737" s="319" t="n"/>
      <c r="S737" s="319" t="n"/>
      <c r="T737" s="319" t="n"/>
      <c r="U737" s="319" t="n"/>
      <c r="V737" s="319" t="n"/>
      <c r="W737" s="319" t="n"/>
      <c r="X737" s="319" t="n"/>
      <c r="Y737" s="319" t="n"/>
      <c r="Z737" s="319" t="n"/>
    </row>
    <row r="738">
      <c r="A738" s="319" t="n"/>
      <c r="B738" s="319" t="n"/>
      <c r="C738" s="319" t="n"/>
      <c r="D738" s="319" t="n"/>
      <c r="E738" s="319" t="n"/>
      <c r="F738" s="319" t="n"/>
      <c r="G738" s="319" t="n"/>
      <c r="H738" s="319" t="n"/>
      <c r="I738" s="319" t="n"/>
      <c r="J738" s="319" t="n"/>
      <c r="K738" s="319" t="n"/>
      <c r="L738" s="319" t="n"/>
      <c r="M738" s="319" t="n"/>
      <c r="N738" s="319" t="n"/>
      <c r="O738" s="319" t="n"/>
      <c r="P738" s="319" t="n"/>
      <c r="Q738" s="319" t="n"/>
      <c r="R738" s="319" t="n"/>
      <c r="S738" s="319" t="n"/>
      <c r="T738" s="319" t="n"/>
      <c r="U738" s="319" t="n"/>
      <c r="V738" s="319" t="n"/>
      <c r="W738" s="319" t="n"/>
      <c r="X738" s="319" t="n"/>
      <c r="Y738" s="319" t="n"/>
      <c r="Z738" s="319" t="n"/>
    </row>
    <row r="739">
      <c r="A739" s="319" t="n"/>
      <c r="B739" s="319" t="n"/>
      <c r="C739" s="319" t="n"/>
      <c r="D739" s="319" t="n"/>
      <c r="E739" s="319" t="n"/>
      <c r="F739" s="319" t="n"/>
      <c r="G739" s="319" t="n"/>
      <c r="H739" s="319" t="n"/>
      <c r="I739" s="319" t="n"/>
      <c r="J739" s="319" t="n"/>
      <c r="K739" s="319" t="n"/>
      <c r="L739" s="319" t="n"/>
      <c r="M739" s="319" t="n"/>
      <c r="N739" s="319" t="n"/>
      <c r="O739" s="319" t="n"/>
      <c r="P739" s="319" t="n"/>
      <c r="Q739" s="319" t="n"/>
      <c r="R739" s="319" t="n"/>
      <c r="S739" s="319" t="n"/>
      <c r="T739" s="319" t="n"/>
      <c r="U739" s="319" t="n"/>
      <c r="V739" s="319" t="n"/>
      <c r="W739" s="319" t="n"/>
      <c r="X739" s="319" t="n"/>
      <c r="Y739" s="319" t="n"/>
      <c r="Z739" s="319" t="n"/>
    </row>
    <row r="740">
      <c r="A740" s="319" t="n"/>
      <c r="B740" s="319" t="n"/>
      <c r="C740" s="319" t="n"/>
      <c r="D740" s="319" t="n"/>
      <c r="E740" s="319" t="n"/>
      <c r="F740" s="319" t="n"/>
      <c r="G740" s="319" t="n"/>
      <c r="H740" s="319" t="n"/>
      <c r="I740" s="319" t="n"/>
      <c r="J740" s="319" t="n"/>
      <c r="K740" s="319" t="n"/>
      <c r="L740" s="319" t="n"/>
      <c r="M740" s="319" t="n"/>
      <c r="N740" s="319" t="n"/>
      <c r="O740" s="319" t="n"/>
      <c r="P740" s="319" t="n"/>
      <c r="Q740" s="319" t="n"/>
      <c r="R740" s="319" t="n"/>
      <c r="S740" s="319" t="n"/>
      <c r="T740" s="319" t="n"/>
      <c r="U740" s="319" t="n"/>
      <c r="V740" s="319" t="n"/>
      <c r="W740" s="319" t="n"/>
      <c r="X740" s="319" t="n"/>
      <c r="Y740" s="319" t="n"/>
      <c r="Z740" s="319" t="n"/>
    </row>
    <row r="741">
      <c r="A741" s="319" t="n"/>
      <c r="B741" s="319" t="n"/>
      <c r="C741" s="319" t="n"/>
      <c r="D741" s="319" t="n"/>
      <c r="E741" s="319" t="n"/>
      <c r="F741" s="319" t="n"/>
      <c r="G741" s="319" t="n"/>
      <c r="H741" s="319" t="n"/>
      <c r="I741" s="319" t="n"/>
      <c r="J741" s="319" t="n"/>
      <c r="K741" s="319" t="n"/>
      <c r="L741" s="319" t="n"/>
      <c r="M741" s="319" t="n"/>
      <c r="N741" s="319" t="n"/>
      <c r="O741" s="319" t="n"/>
      <c r="P741" s="319" t="n"/>
      <c r="Q741" s="319" t="n"/>
      <c r="R741" s="319" t="n"/>
      <c r="S741" s="319" t="n"/>
      <c r="T741" s="319" t="n"/>
      <c r="U741" s="319" t="n"/>
      <c r="V741" s="319" t="n"/>
      <c r="W741" s="319" t="n"/>
      <c r="X741" s="319" t="n"/>
      <c r="Y741" s="319" t="n"/>
      <c r="Z741" s="319" t="n"/>
    </row>
    <row r="742">
      <c r="A742" s="319" t="n"/>
      <c r="B742" s="319" t="n"/>
      <c r="C742" s="319" t="n"/>
      <c r="D742" s="319" t="n"/>
      <c r="E742" s="319" t="n"/>
      <c r="F742" s="319" t="n"/>
      <c r="G742" s="319" t="n"/>
      <c r="H742" s="319" t="n"/>
      <c r="I742" s="319" t="n"/>
      <c r="J742" s="319" t="n"/>
      <c r="K742" s="319" t="n"/>
      <c r="L742" s="319" t="n"/>
      <c r="M742" s="319" t="n"/>
      <c r="N742" s="319" t="n"/>
      <c r="O742" s="319" t="n"/>
      <c r="P742" s="319" t="n"/>
      <c r="Q742" s="319" t="n"/>
      <c r="R742" s="319" t="n"/>
      <c r="S742" s="319" t="n"/>
      <c r="T742" s="319" t="n"/>
      <c r="U742" s="319" t="n"/>
      <c r="V742" s="319" t="n"/>
      <c r="W742" s="319" t="n"/>
      <c r="X742" s="319" t="n"/>
      <c r="Y742" s="319" t="n"/>
      <c r="Z742" s="319" t="n"/>
    </row>
    <row r="743">
      <c r="A743" s="319" t="n"/>
      <c r="B743" s="319" t="n"/>
      <c r="C743" s="319" t="n"/>
      <c r="D743" s="319" t="n"/>
      <c r="E743" s="319" t="n"/>
      <c r="F743" s="319" t="n"/>
      <c r="G743" s="319" t="n"/>
      <c r="H743" s="319" t="n"/>
      <c r="I743" s="319" t="n"/>
      <c r="J743" s="319" t="n"/>
      <c r="K743" s="319" t="n"/>
      <c r="L743" s="319" t="n"/>
      <c r="M743" s="319" t="n"/>
      <c r="N743" s="319" t="n"/>
      <c r="O743" s="319" t="n"/>
      <c r="P743" s="319" t="n"/>
      <c r="Q743" s="319" t="n"/>
      <c r="R743" s="319" t="n"/>
      <c r="S743" s="319" t="n"/>
      <c r="T743" s="319" t="n"/>
      <c r="U743" s="319" t="n"/>
      <c r="V743" s="319" t="n"/>
      <c r="W743" s="319" t="n"/>
      <c r="X743" s="319" t="n"/>
      <c r="Y743" s="319" t="n"/>
      <c r="Z743" s="319" t="n"/>
    </row>
    <row r="744">
      <c r="A744" s="319" t="n"/>
      <c r="B744" s="319" t="n"/>
      <c r="C744" s="319" t="n"/>
      <c r="D744" s="319" t="n"/>
      <c r="E744" s="319" t="n"/>
      <c r="F744" s="319" t="n"/>
      <c r="G744" s="319" t="n"/>
      <c r="H744" s="319" t="n"/>
      <c r="I744" s="319" t="n"/>
      <c r="J744" s="319" t="n"/>
      <c r="K744" s="319" t="n"/>
      <c r="L744" s="319" t="n"/>
      <c r="M744" s="319" t="n"/>
      <c r="N744" s="319" t="n"/>
      <c r="O744" s="319" t="n"/>
      <c r="P744" s="319" t="n"/>
      <c r="Q744" s="319" t="n"/>
      <c r="R744" s="319" t="n"/>
      <c r="S744" s="319" t="n"/>
      <c r="T744" s="319" t="n"/>
      <c r="U744" s="319" t="n"/>
      <c r="V744" s="319" t="n"/>
      <c r="W744" s="319" t="n"/>
      <c r="X744" s="319" t="n"/>
      <c r="Y744" s="319" t="n"/>
      <c r="Z744" s="319" t="n"/>
    </row>
    <row r="745">
      <c r="A745" s="319" t="n"/>
      <c r="B745" s="319" t="n"/>
      <c r="C745" s="319" t="n"/>
      <c r="D745" s="319" t="n"/>
      <c r="E745" s="319" t="n"/>
      <c r="F745" s="319" t="n"/>
      <c r="G745" s="319" t="n"/>
      <c r="H745" s="319" t="n"/>
      <c r="I745" s="319" t="n"/>
      <c r="J745" s="319" t="n"/>
      <c r="K745" s="319" t="n"/>
      <c r="L745" s="319" t="n"/>
      <c r="M745" s="319" t="n"/>
      <c r="N745" s="319" t="n"/>
      <c r="O745" s="319" t="n"/>
      <c r="P745" s="319" t="n"/>
      <c r="Q745" s="319" t="n"/>
      <c r="R745" s="319" t="n"/>
      <c r="S745" s="319" t="n"/>
      <c r="T745" s="319" t="n"/>
      <c r="U745" s="319" t="n"/>
      <c r="V745" s="319" t="n"/>
      <c r="W745" s="319" t="n"/>
      <c r="X745" s="319" t="n"/>
      <c r="Y745" s="319" t="n"/>
      <c r="Z745" s="319" t="n"/>
    </row>
    <row r="746">
      <c r="A746" s="319" t="n"/>
      <c r="B746" s="319" t="n"/>
      <c r="C746" s="319" t="n"/>
      <c r="D746" s="319" t="n"/>
      <c r="E746" s="319" t="n"/>
      <c r="F746" s="319" t="n"/>
      <c r="G746" s="319" t="n"/>
      <c r="H746" s="319" t="n"/>
      <c r="I746" s="319" t="n"/>
      <c r="J746" s="319" t="n"/>
      <c r="K746" s="319" t="n"/>
      <c r="L746" s="319" t="n"/>
      <c r="M746" s="319" t="n"/>
      <c r="N746" s="319" t="n"/>
      <c r="O746" s="319" t="n"/>
      <c r="P746" s="319" t="n"/>
      <c r="Q746" s="319" t="n"/>
      <c r="R746" s="319" t="n"/>
      <c r="S746" s="319" t="n"/>
      <c r="T746" s="319" t="n"/>
      <c r="U746" s="319" t="n"/>
      <c r="V746" s="319" t="n"/>
      <c r="W746" s="319" t="n"/>
      <c r="X746" s="319" t="n"/>
      <c r="Y746" s="319" t="n"/>
      <c r="Z746" s="319" t="n"/>
    </row>
    <row r="747">
      <c r="A747" s="319" t="n"/>
      <c r="B747" s="319" t="n"/>
      <c r="C747" s="319" t="n"/>
      <c r="D747" s="319" t="n"/>
      <c r="E747" s="319" t="n"/>
      <c r="F747" s="319" t="n"/>
      <c r="G747" s="319" t="n"/>
      <c r="H747" s="319" t="n"/>
      <c r="I747" s="319" t="n"/>
      <c r="J747" s="319" t="n"/>
      <c r="K747" s="319" t="n"/>
      <c r="L747" s="319" t="n"/>
      <c r="M747" s="319" t="n"/>
      <c r="N747" s="319" t="n"/>
      <c r="O747" s="319" t="n"/>
      <c r="P747" s="319" t="n"/>
      <c r="Q747" s="319" t="n"/>
      <c r="R747" s="319" t="n"/>
      <c r="S747" s="319" t="n"/>
      <c r="T747" s="319" t="n"/>
      <c r="U747" s="319" t="n"/>
      <c r="V747" s="319" t="n"/>
      <c r="W747" s="319" t="n"/>
      <c r="X747" s="319" t="n"/>
      <c r="Y747" s="319" t="n"/>
      <c r="Z747" s="319" t="n"/>
    </row>
    <row r="748">
      <c r="A748" s="319" t="n"/>
      <c r="B748" s="319" t="n"/>
      <c r="C748" s="319" t="n"/>
      <c r="D748" s="319" t="n"/>
      <c r="E748" s="319" t="n"/>
      <c r="F748" s="319" t="n"/>
      <c r="G748" s="319" t="n"/>
      <c r="H748" s="319" t="n"/>
      <c r="I748" s="319" t="n"/>
      <c r="J748" s="319" t="n"/>
      <c r="K748" s="319" t="n"/>
      <c r="L748" s="319" t="n"/>
      <c r="M748" s="319" t="n"/>
      <c r="N748" s="319" t="n"/>
      <c r="O748" s="319" t="n"/>
      <c r="P748" s="319" t="n"/>
      <c r="Q748" s="319" t="n"/>
      <c r="R748" s="319" t="n"/>
      <c r="S748" s="319" t="n"/>
      <c r="T748" s="319" t="n"/>
      <c r="U748" s="319" t="n"/>
      <c r="V748" s="319" t="n"/>
      <c r="W748" s="319" t="n"/>
      <c r="X748" s="319" t="n"/>
      <c r="Y748" s="319" t="n"/>
      <c r="Z748" s="319" t="n"/>
    </row>
    <row r="749">
      <c r="A749" s="319" t="n"/>
      <c r="B749" s="319" t="n"/>
      <c r="C749" s="319" t="n"/>
      <c r="D749" s="319" t="n"/>
      <c r="E749" s="319" t="n"/>
      <c r="F749" s="319" t="n"/>
      <c r="G749" s="319" t="n"/>
      <c r="H749" s="319" t="n"/>
      <c r="I749" s="319" t="n"/>
      <c r="J749" s="319" t="n"/>
      <c r="K749" s="319" t="n"/>
      <c r="L749" s="319" t="n"/>
      <c r="M749" s="319" t="n"/>
      <c r="N749" s="319" t="n"/>
      <c r="O749" s="319" t="n"/>
      <c r="P749" s="319" t="n"/>
      <c r="Q749" s="319" t="n"/>
      <c r="R749" s="319" t="n"/>
      <c r="S749" s="319" t="n"/>
      <c r="T749" s="319" t="n"/>
      <c r="U749" s="319" t="n"/>
      <c r="V749" s="319" t="n"/>
      <c r="W749" s="319" t="n"/>
      <c r="X749" s="319" t="n"/>
      <c r="Y749" s="319" t="n"/>
      <c r="Z749" s="319" t="n"/>
    </row>
    <row r="750">
      <c r="A750" s="319" t="n"/>
      <c r="B750" s="319" t="n"/>
      <c r="C750" s="319" t="n"/>
      <c r="D750" s="319" t="n"/>
      <c r="E750" s="319" t="n"/>
      <c r="F750" s="319" t="n"/>
      <c r="G750" s="319" t="n"/>
      <c r="H750" s="319" t="n"/>
      <c r="I750" s="319" t="n"/>
      <c r="J750" s="319" t="n"/>
      <c r="K750" s="319" t="n"/>
      <c r="L750" s="319" t="n"/>
      <c r="M750" s="319" t="n"/>
      <c r="N750" s="319" t="n"/>
      <c r="O750" s="319" t="n"/>
      <c r="P750" s="319" t="n"/>
      <c r="Q750" s="319" t="n"/>
      <c r="R750" s="319" t="n"/>
      <c r="S750" s="319" t="n"/>
      <c r="T750" s="319" t="n"/>
      <c r="U750" s="319" t="n"/>
      <c r="V750" s="319" t="n"/>
      <c r="W750" s="319" t="n"/>
      <c r="X750" s="319" t="n"/>
      <c r="Y750" s="319" t="n"/>
      <c r="Z750" s="319" t="n"/>
    </row>
    <row r="751">
      <c r="A751" s="319" t="n"/>
      <c r="B751" s="319" t="n"/>
      <c r="C751" s="319" t="n"/>
      <c r="D751" s="319" t="n"/>
      <c r="E751" s="319" t="n"/>
      <c r="F751" s="319" t="n"/>
      <c r="G751" s="319" t="n"/>
      <c r="H751" s="319" t="n"/>
      <c r="I751" s="319" t="n"/>
      <c r="J751" s="319" t="n"/>
      <c r="K751" s="319" t="n"/>
      <c r="L751" s="319" t="n"/>
      <c r="M751" s="319" t="n"/>
      <c r="N751" s="319" t="n"/>
      <c r="O751" s="319" t="n"/>
      <c r="P751" s="319" t="n"/>
      <c r="Q751" s="319" t="n"/>
      <c r="R751" s="319" t="n"/>
      <c r="S751" s="319" t="n"/>
      <c r="T751" s="319" t="n"/>
      <c r="U751" s="319" t="n"/>
      <c r="V751" s="319" t="n"/>
      <c r="W751" s="319" t="n"/>
      <c r="X751" s="319" t="n"/>
      <c r="Y751" s="319" t="n"/>
      <c r="Z751" s="319" t="n"/>
    </row>
    <row r="752">
      <c r="A752" s="319" t="n"/>
      <c r="B752" s="319" t="n"/>
      <c r="C752" s="319" t="n"/>
      <c r="D752" s="319" t="n"/>
      <c r="E752" s="319" t="n"/>
      <c r="F752" s="319" t="n"/>
      <c r="G752" s="319" t="n"/>
      <c r="H752" s="319" t="n"/>
      <c r="I752" s="319" t="n"/>
      <c r="J752" s="319" t="n"/>
      <c r="K752" s="319" t="n"/>
      <c r="L752" s="319" t="n"/>
      <c r="M752" s="319" t="n"/>
      <c r="N752" s="319" t="n"/>
      <c r="O752" s="319" t="n"/>
      <c r="P752" s="319" t="n"/>
      <c r="Q752" s="319" t="n"/>
      <c r="R752" s="319" t="n"/>
      <c r="S752" s="319" t="n"/>
      <c r="T752" s="319" t="n"/>
      <c r="U752" s="319" t="n"/>
      <c r="V752" s="319" t="n"/>
      <c r="W752" s="319" t="n"/>
      <c r="X752" s="319" t="n"/>
      <c r="Y752" s="319" t="n"/>
      <c r="Z752" s="319" t="n"/>
    </row>
    <row r="753">
      <c r="A753" s="319" t="n"/>
      <c r="B753" s="319" t="n"/>
      <c r="C753" s="319" t="n"/>
      <c r="D753" s="319" t="n"/>
      <c r="E753" s="319" t="n"/>
      <c r="F753" s="319" t="n"/>
      <c r="G753" s="319" t="n"/>
      <c r="H753" s="319" t="n"/>
      <c r="I753" s="319" t="n"/>
      <c r="J753" s="319" t="n"/>
      <c r="K753" s="319" t="n"/>
      <c r="L753" s="319" t="n"/>
      <c r="M753" s="319" t="n"/>
      <c r="N753" s="319" t="n"/>
      <c r="O753" s="319" t="n"/>
      <c r="P753" s="319" t="n"/>
      <c r="Q753" s="319" t="n"/>
      <c r="R753" s="319" t="n"/>
      <c r="S753" s="319" t="n"/>
      <c r="T753" s="319" t="n"/>
      <c r="U753" s="319" t="n"/>
      <c r="V753" s="319" t="n"/>
      <c r="W753" s="319" t="n"/>
      <c r="X753" s="319" t="n"/>
      <c r="Y753" s="319" t="n"/>
      <c r="Z753" s="319" t="n"/>
    </row>
    <row r="754">
      <c r="A754" s="319" t="n"/>
      <c r="B754" s="319" t="n"/>
      <c r="C754" s="319" t="n"/>
      <c r="D754" s="319" t="n"/>
      <c r="E754" s="319" t="n"/>
      <c r="F754" s="319" t="n"/>
      <c r="G754" s="319" t="n"/>
      <c r="H754" s="319" t="n"/>
      <c r="I754" s="319" t="n"/>
      <c r="J754" s="319" t="n"/>
      <c r="K754" s="319" t="n"/>
      <c r="L754" s="319" t="n"/>
      <c r="M754" s="319" t="n"/>
      <c r="N754" s="319" t="n"/>
      <c r="O754" s="319" t="n"/>
      <c r="P754" s="319" t="n"/>
      <c r="Q754" s="319" t="n"/>
      <c r="R754" s="319" t="n"/>
      <c r="S754" s="319" t="n"/>
      <c r="T754" s="319" t="n"/>
      <c r="U754" s="319" t="n"/>
      <c r="V754" s="319" t="n"/>
      <c r="W754" s="319" t="n"/>
      <c r="X754" s="319" t="n"/>
      <c r="Y754" s="319" t="n"/>
      <c r="Z754" s="319" t="n"/>
    </row>
    <row r="755">
      <c r="A755" s="319" t="n"/>
      <c r="B755" s="319" t="n"/>
      <c r="C755" s="319" t="n"/>
      <c r="D755" s="319" t="n"/>
      <c r="E755" s="319" t="n"/>
      <c r="F755" s="319" t="n"/>
      <c r="G755" s="319" t="n"/>
      <c r="H755" s="319" t="n"/>
      <c r="I755" s="319" t="n"/>
      <c r="J755" s="319" t="n"/>
      <c r="K755" s="319" t="n"/>
      <c r="L755" s="319" t="n"/>
      <c r="M755" s="319" t="n"/>
      <c r="N755" s="319" t="n"/>
      <c r="O755" s="319" t="n"/>
      <c r="P755" s="319" t="n"/>
      <c r="Q755" s="319" t="n"/>
      <c r="R755" s="319" t="n"/>
      <c r="S755" s="319" t="n"/>
      <c r="T755" s="319" t="n"/>
      <c r="U755" s="319" t="n"/>
      <c r="V755" s="319" t="n"/>
      <c r="W755" s="319" t="n"/>
      <c r="X755" s="319" t="n"/>
      <c r="Y755" s="319" t="n"/>
      <c r="Z755" s="319" t="n"/>
    </row>
    <row r="756">
      <c r="A756" s="319" t="n"/>
      <c r="B756" s="319" t="n"/>
      <c r="C756" s="319" t="n"/>
      <c r="D756" s="319" t="n"/>
      <c r="E756" s="319" t="n"/>
      <c r="F756" s="319" t="n"/>
      <c r="G756" s="319" t="n"/>
      <c r="H756" s="319" t="n"/>
      <c r="I756" s="319" t="n"/>
      <c r="J756" s="319" t="n"/>
      <c r="K756" s="319" t="n"/>
      <c r="L756" s="319" t="n"/>
      <c r="M756" s="319" t="n"/>
      <c r="N756" s="319" t="n"/>
      <c r="O756" s="319" t="n"/>
      <c r="P756" s="319" t="n"/>
      <c r="Q756" s="319" t="n"/>
      <c r="R756" s="319" t="n"/>
      <c r="S756" s="319" t="n"/>
      <c r="T756" s="319" t="n"/>
      <c r="U756" s="319" t="n"/>
      <c r="V756" s="319" t="n"/>
      <c r="W756" s="319" t="n"/>
      <c r="X756" s="319" t="n"/>
      <c r="Y756" s="319" t="n"/>
      <c r="Z756" s="319" t="n"/>
    </row>
    <row r="757">
      <c r="A757" s="319" t="n"/>
      <c r="B757" s="319" t="n"/>
      <c r="C757" s="319" t="n"/>
      <c r="D757" s="319" t="n"/>
      <c r="E757" s="319" t="n"/>
      <c r="F757" s="319" t="n"/>
      <c r="G757" s="319" t="n"/>
      <c r="H757" s="319" t="n"/>
      <c r="I757" s="319" t="n"/>
      <c r="J757" s="319" t="n"/>
      <c r="K757" s="319" t="n"/>
      <c r="L757" s="319" t="n"/>
      <c r="M757" s="319" t="n"/>
      <c r="N757" s="319" t="n"/>
      <c r="O757" s="319" t="n"/>
      <c r="P757" s="319" t="n"/>
      <c r="Q757" s="319" t="n"/>
      <c r="R757" s="319" t="n"/>
      <c r="S757" s="319" t="n"/>
      <c r="T757" s="319" t="n"/>
      <c r="U757" s="319" t="n"/>
      <c r="V757" s="319" t="n"/>
      <c r="W757" s="319" t="n"/>
      <c r="X757" s="319" t="n"/>
      <c r="Y757" s="319" t="n"/>
      <c r="Z757" s="319" t="n"/>
    </row>
    <row r="758">
      <c r="A758" s="319" t="n"/>
      <c r="B758" s="319" t="n"/>
      <c r="C758" s="319" t="n"/>
      <c r="D758" s="319" t="n"/>
      <c r="E758" s="319" t="n"/>
      <c r="F758" s="319" t="n"/>
      <c r="G758" s="319" t="n"/>
      <c r="H758" s="319" t="n"/>
      <c r="I758" s="319" t="n"/>
      <c r="J758" s="319" t="n"/>
      <c r="K758" s="319" t="n"/>
      <c r="L758" s="319" t="n"/>
      <c r="M758" s="319" t="n"/>
      <c r="N758" s="319" t="n"/>
      <c r="O758" s="319" t="n"/>
      <c r="P758" s="319" t="n"/>
      <c r="Q758" s="319" t="n"/>
      <c r="R758" s="319" t="n"/>
      <c r="S758" s="319" t="n"/>
      <c r="T758" s="319" t="n"/>
      <c r="U758" s="319" t="n"/>
      <c r="V758" s="319" t="n"/>
      <c r="W758" s="319" t="n"/>
      <c r="X758" s="319" t="n"/>
      <c r="Y758" s="319" t="n"/>
      <c r="Z758" s="319" t="n"/>
    </row>
    <row r="759">
      <c r="A759" s="319" t="n"/>
      <c r="B759" s="319" t="n"/>
      <c r="C759" s="319" t="n"/>
      <c r="D759" s="319" t="n"/>
      <c r="E759" s="319" t="n"/>
      <c r="F759" s="319" t="n"/>
      <c r="G759" s="319" t="n"/>
      <c r="H759" s="319" t="n"/>
      <c r="I759" s="319" t="n"/>
      <c r="J759" s="319" t="n"/>
      <c r="K759" s="319" t="n"/>
      <c r="L759" s="319" t="n"/>
      <c r="M759" s="319" t="n"/>
      <c r="N759" s="319" t="n"/>
      <c r="O759" s="319" t="n"/>
      <c r="P759" s="319" t="n"/>
      <c r="Q759" s="319" t="n"/>
      <c r="R759" s="319" t="n"/>
      <c r="S759" s="319" t="n"/>
      <c r="T759" s="319" t="n"/>
      <c r="U759" s="319" t="n"/>
      <c r="V759" s="319" t="n"/>
      <c r="W759" s="319" t="n"/>
      <c r="X759" s="319" t="n"/>
      <c r="Y759" s="319" t="n"/>
      <c r="Z759" s="319" t="n"/>
    </row>
    <row r="760">
      <c r="A760" s="319" t="n"/>
      <c r="B760" s="319" t="n"/>
      <c r="C760" s="319" t="n"/>
      <c r="D760" s="319" t="n"/>
      <c r="E760" s="319" t="n"/>
      <c r="F760" s="319" t="n"/>
      <c r="G760" s="319" t="n"/>
      <c r="H760" s="319" t="n"/>
      <c r="I760" s="319" t="n"/>
      <c r="J760" s="319" t="n"/>
      <c r="K760" s="319" t="n"/>
      <c r="L760" s="319" t="n"/>
      <c r="M760" s="319" t="n"/>
      <c r="N760" s="319" t="n"/>
      <c r="O760" s="319" t="n"/>
      <c r="P760" s="319" t="n"/>
      <c r="Q760" s="319" t="n"/>
      <c r="R760" s="319" t="n"/>
      <c r="S760" s="319" t="n"/>
      <c r="T760" s="319" t="n"/>
      <c r="U760" s="319" t="n"/>
      <c r="V760" s="319" t="n"/>
      <c r="W760" s="319" t="n"/>
      <c r="X760" s="319" t="n"/>
      <c r="Y760" s="319" t="n"/>
      <c r="Z760" s="319" t="n"/>
    </row>
    <row r="761">
      <c r="A761" s="319" t="n"/>
      <c r="B761" s="319" t="n"/>
      <c r="C761" s="319" t="n"/>
      <c r="D761" s="319" t="n"/>
      <c r="E761" s="319" t="n"/>
      <c r="F761" s="319" t="n"/>
      <c r="G761" s="319" t="n"/>
      <c r="H761" s="319" t="n"/>
      <c r="I761" s="319" t="n"/>
      <c r="J761" s="319" t="n"/>
      <c r="K761" s="319" t="n"/>
      <c r="L761" s="319" t="n"/>
      <c r="M761" s="319" t="n"/>
      <c r="N761" s="319" t="n"/>
      <c r="O761" s="319" t="n"/>
      <c r="P761" s="319" t="n"/>
      <c r="Q761" s="319" t="n"/>
      <c r="R761" s="319" t="n"/>
      <c r="S761" s="319" t="n"/>
      <c r="T761" s="319" t="n"/>
      <c r="U761" s="319" t="n"/>
      <c r="V761" s="319" t="n"/>
      <c r="W761" s="319" t="n"/>
      <c r="X761" s="319" t="n"/>
      <c r="Y761" s="319" t="n"/>
      <c r="Z761" s="319" t="n"/>
    </row>
    <row r="762">
      <c r="A762" s="319" t="n"/>
      <c r="B762" s="319" t="n"/>
      <c r="C762" s="319" t="n"/>
      <c r="D762" s="319" t="n"/>
      <c r="E762" s="319" t="n"/>
      <c r="F762" s="319" t="n"/>
      <c r="G762" s="319" t="n"/>
      <c r="H762" s="319" t="n"/>
      <c r="I762" s="319" t="n"/>
      <c r="J762" s="319" t="n"/>
      <c r="K762" s="319" t="n"/>
      <c r="L762" s="319" t="n"/>
      <c r="M762" s="319" t="n"/>
      <c r="N762" s="319" t="n"/>
      <c r="O762" s="319" t="n"/>
      <c r="P762" s="319" t="n"/>
      <c r="Q762" s="319" t="n"/>
      <c r="R762" s="319" t="n"/>
      <c r="S762" s="319" t="n"/>
      <c r="T762" s="319" t="n"/>
      <c r="U762" s="319" t="n"/>
      <c r="V762" s="319" t="n"/>
      <c r="W762" s="319" t="n"/>
      <c r="X762" s="319" t="n"/>
      <c r="Y762" s="319" t="n"/>
      <c r="Z762" s="319" t="n"/>
    </row>
    <row r="763">
      <c r="A763" s="319" t="n"/>
      <c r="B763" s="319" t="n"/>
      <c r="C763" s="319" t="n"/>
      <c r="D763" s="319" t="n"/>
      <c r="E763" s="319" t="n"/>
      <c r="F763" s="319" t="n"/>
      <c r="G763" s="319" t="n"/>
      <c r="H763" s="319" t="n"/>
      <c r="I763" s="319" t="n"/>
      <c r="J763" s="319" t="n"/>
      <c r="K763" s="319" t="n"/>
      <c r="L763" s="319" t="n"/>
      <c r="M763" s="319" t="n"/>
      <c r="N763" s="319" t="n"/>
      <c r="O763" s="319" t="n"/>
      <c r="P763" s="319" t="n"/>
      <c r="Q763" s="319" t="n"/>
      <c r="R763" s="319" t="n"/>
      <c r="S763" s="319" t="n"/>
      <c r="T763" s="319" t="n"/>
      <c r="U763" s="319" t="n"/>
      <c r="V763" s="319" t="n"/>
      <c r="W763" s="319" t="n"/>
      <c r="X763" s="319" t="n"/>
      <c r="Y763" s="319" t="n"/>
      <c r="Z763" s="319" t="n"/>
    </row>
    <row r="764">
      <c r="A764" s="319" t="n"/>
      <c r="B764" s="319" t="n"/>
      <c r="C764" s="319" t="n"/>
      <c r="D764" s="319" t="n"/>
      <c r="E764" s="319" t="n"/>
      <c r="F764" s="319" t="n"/>
      <c r="G764" s="319" t="n"/>
      <c r="H764" s="319" t="n"/>
      <c r="I764" s="319" t="n"/>
      <c r="J764" s="319" t="n"/>
      <c r="K764" s="319" t="n"/>
      <c r="L764" s="319" t="n"/>
      <c r="M764" s="319" t="n"/>
      <c r="N764" s="319" t="n"/>
      <c r="O764" s="319" t="n"/>
      <c r="P764" s="319" t="n"/>
      <c r="Q764" s="319" t="n"/>
      <c r="R764" s="319" t="n"/>
      <c r="S764" s="319" t="n"/>
      <c r="T764" s="319" t="n"/>
      <c r="U764" s="319" t="n"/>
      <c r="V764" s="319" t="n"/>
      <c r="W764" s="319" t="n"/>
      <c r="X764" s="319" t="n"/>
      <c r="Y764" s="319" t="n"/>
      <c r="Z764" s="319" t="n"/>
    </row>
    <row r="765">
      <c r="A765" s="319" t="n"/>
      <c r="B765" s="319" t="n"/>
      <c r="C765" s="319" t="n"/>
      <c r="D765" s="319" t="n"/>
      <c r="E765" s="319" t="n"/>
      <c r="F765" s="319" t="n"/>
      <c r="G765" s="319" t="n"/>
      <c r="H765" s="319" t="n"/>
      <c r="I765" s="319" t="n"/>
      <c r="J765" s="319" t="n"/>
      <c r="K765" s="319" t="n"/>
      <c r="L765" s="319" t="n"/>
      <c r="M765" s="319" t="n"/>
      <c r="N765" s="319" t="n"/>
      <c r="O765" s="319" t="n"/>
      <c r="P765" s="319" t="n"/>
      <c r="Q765" s="319" t="n"/>
      <c r="R765" s="319" t="n"/>
      <c r="S765" s="319" t="n"/>
      <c r="T765" s="319" t="n"/>
      <c r="U765" s="319" t="n"/>
      <c r="V765" s="319" t="n"/>
      <c r="W765" s="319" t="n"/>
      <c r="X765" s="319" t="n"/>
      <c r="Y765" s="319" t="n"/>
      <c r="Z765" s="319" t="n"/>
    </row>
    <row r="766">
      <c r="A766" s="319" t="n"/>
      <c r="B766" s="319" t="n"/>
      <c r="C766" s="319" t="n"/>
      <c r="D766" s="319" t="n"/>
      <c r="E766" s="319" t="n"/>
      <c r="F766" s="319" t="n"/>
      <c r="G766" s="319" t="n"/>
      <c r="H766" s="319" t="n"/>
      <c r="I766" s="319" t="n"/>
      <c r="J766" s="319" t="n"/>
      <c r="K766" s="319" t="n"/>
      <c r="L766" s="319" t="n"/>
      <c r="M766" s="319" t="n"/>
      <c r="N766" s="319" t="n"/>
      <c r="O766" s="319" t="n"/>
      <c r="P766" s="319" t="n"/>
      <c r="Q766" s="319" t="n"/>
      <c r="R766" s="319" t="n"/>
      <c r="S766" s="319" t="n"/>
      <c r="T766" s="319" t="n"/>
      <c r="U766" s="319" t="n"/>
      <c r="V766" s="319" t="n"/>
      <c r="W766" s="319" t="n"/>
      <c r="X766" s="319" t="n"/>
      <c r="Y766" s="319" t="n"/>
      <c r="Z766" s="319" t="n"/>
    </row>
    <row r="767">
      <c r="A767" s="319" t="n"/>
      <c r="B767" s="319" t="n"/>
      <c r="C767" s="319" t="n"/>
      <c r="D767" s="319" t="n"/>
      <c r="E767" s="319" t="n"/>
      <c r="F767" s="319" t="n"/>
      <c r="G767" s="319" t="n"/>
      <c r="H767" s="319" t="n"/>
      <c r="I767" s="319" t="n"/>
      <c r="J767" s="319" t="n"/>
      <c r="K767" s="319" t="n"/>
      <c r="L767" s="319" t="n"/>
      <c r="M767" s="319" t="n"/>
      <c r="N767" s="319" t="n"/>
      <c r="O767" s="319" t="n"/>
      <c r="P767" s="319" t="n"/>
      <c r="Q767" s="319" t="n"/>
      <c r="R767" s="319" t="n"/>
      <c r="S767" s="319" t="n"/>
      <c r="T767" s="319" t="n"/>
      <c r="U767" s="319" t="n"/>
      <c r="V767" s="319" t="n"/>
      <c r="W767" s="319" t="n"/>
      <c r="X767" s="319" t="n"/>
      <c r="Y767" s="319" t="n"/>
      <c r="Z767" s="319" t="n"/>
    </row>
    <row r="768">
      <c r="A768" s="319" t="n"/>
      <c r="B768" s="319" t="n"/>
      <c r="C768" s="319" t="n"/>
      <c r="D768" s="319" t="n"/>
      <c r="E768" s="319" t="n"/>
      <c r="F768" s="319" t="n"/>
      <c r="G768" s="319" t="n"/>
      <c r="H768" s="319" t="n"/>
      <c r="I768" s="319" t="n"/>
      <c r="J768" s="319" t="n"/>
      <c r="K768" s="319" t="n"/>
      <c r="L768" s="319" t="n"/>
      <c r="M768" s="319" t="n"/>
      <c r="N768" s="319" t="n"/>
      <c r="O768" s="319" t="n"/>
      <c r="P768" s="319" t="n"/>
      <c r="Q768" s="319" t="n"/>
      <c r="R768" s="319" t="n"/>
      <c r="S768" s="319" t="n"/>
      <c r="T768" s="319" t="n"/>
      <c r="U768" s="319" t="n"/>
      <c r="V768" s="319" t="n"/>
      <c r="W768" s="319" t="n"/>
      <c r="X768" s="319" t="n"/>
      <c r="Y768" s="319" t="n"/>
      <c r="Z768" s="319" t="n"/>
    </row>
    <row r="769">
      <c r="A769" s="319" t="n"/>
      <c r="B769" s="319" t="n"/>
      <c r="C769" s="319" t="n"/>
      <c r="D769" s="319" t="n"/>
      <c r="E769" s="319" t="n"/>
      <c r="F769" s="319" t="n"/>
      <c r="G769" s="319" t="n"/>
      <c r="H769" s="319" t="n"/>
      <c r="I769" s="319" t="n"/>
      <c r="J769" s="319" t="n"/>
      <c r="K769" s="319" t="n"/>
      <c r="L769" s="319" t="n"/>
      <c r="M769" s="319" t="n"/>
      <c r="N769" s="319" t="n"/>
      <c r="O769" s="319" t="n"/>
      <c r="P769" s="319" t="n"/>
      <c r="Q769" s="319" t="n"/>
      <c r="R769" s="319" t="n"/>
      <c r="S769" s="319" t="n"/>
      <c r="T769" s="319" t="n"/>
      <c r="U769" s="319" t="n"/>
      <c r="V769" s="319" t="n"/>
      <c r="W769" s="319" t="n"/>
      <c r="X769" s="319" t="n"/>
      <c r="Y769" s="319" t="n"/>
      <c r="Z769" s="319" t="n"/>
    </row>
    <row r="770">
      <c r="A770" s="319" t="n"/>
      <c r="B770" s="319" t="n"/>
      <c r="C770" s="319" t="n"/>
      <c r="D770" s="319" t="n"/>
      <c r="E770" s="319" t="n"/>
      <c r="F770" s="319" t="n"/>
      <c r="G770" s="319" t="n"/>
      <c r="H770" s="319" t="n"/>
      <c r="I770" s="319" t="n"/>
      <c r="J770" s="319" t="n"/>
      <c r="K770" s="319" t="n"/>
      <c r="L770" s="319" t="n"/>
      <c r="M770" s="319" t="n"/>
      <c r="N770" s="319" t="n"/>
      <c r="O770" s="319" t="n"/>
      <c r="P770" s="319" t="n"/>
      <c r="Q770" s="319" t="n"/>
      <c r="R770" s="319" t="n"/>
      <c r="S770" s="319" t="n"/>
      <c r="T770" s="319" t="n"/>
      <c r="U770" s="319" t="n"/>
      <c r="V770" s="319" t="n"/>
      <c r="W770" s="319" t="n"/>
      <c r="X770" s="319" t="n"/>
      <c r="Y770" s="319" t="n"/>
      <c r="Z770" s="319" t="n"/>
    </row>
    <row r="771">
      <c r="A771" s="319" t="n"/>
      <c r="B771" s="319" t="n"/>
      <c r="C771" s="319" t="n"/>
      <c r="D771" s="319" t="n"/>
      <c r="E771" s="319" t="n"/>
      <c r="F771" s="319" t="n"/>
      <c r="G771" s="319" t="n"/>
      <c r="H771" s="319" t="n"/>
      <c r="I771" s="319" t="n"/>
      <c r="J771" s="319" t="n"/>
      <c r="K771" s="319" t="n"/>
      <c r="L771" s="319" t="n"/>
      <c r="M771" s="319" t="n"/>
      <c r="N771" s="319" t="n"/>
      <c r="O771" s="319" t="n"/>
      <c r="P771" s="319" t="n"/>
      <c r="Q771" s="319" t="n"/>
      <c r="R771" s="319" t="n"/>
      <c r="S771" s="319" t="n"/>
      <c r="T771" s="319" t="n"/>
      <c r="U771" s="319" t="n"/>
      <c r="V771" s="319" t="n"/>
      <c r="W771" s="319" t="n"/>
      <c r="X771" s="319" t="n"/>
      <c r="Y771" s="319" t="n"/>
      <c r="Z771" s="319" t="n"/>
    </row>
    <row r="772">
      <c r="A772" s="319" t="n"/>
      <c r="B772" s="319" t="n"/>
      <c r="C772" s="319" t="n"/>
      <c r="D772" s="319" t="n"/>
      <c r="E772" s="319" t="n"/>
      <c r="F772" s="319" t="n"/>
      <c r="G772" s="319" t="n"/>
      <c r="H772" s="319" t="n"/>
      <c r="I772" s="319" t="n"/>
      <c r="J772" s="319" t="n"/>
      <c r="K772" s="319" t="n"/>
      <c r="L772" s="319" t="n"/>
      <c r="M772" s="319" t="n"/>
      <c r="N772" s="319" t="n"/>
      <c r="O772" s="319" t="n"/>
      <c r="P772" s="319" t="n"/>
      <c r="Q772" s="319" t="n"/>
      <c r="R772" s="319" t="n"/>
      <c r="S772" s="319" t="n"/>
      <c r="T772" s="319" t="n"/>
      <c r="U772" s="319" t="n"/>
      <c r="V772" s="319" t="n"/>
      <c r="W772" s="319" t="n"/>
      <c r="X772" s="319" t="n"/>
      <c r="Y772" s="319" t="n"/>
      <c r="Z772" s="319" t="n"/>
    </row>
    <row r="773">
      <c r="A773" s="319" t="n"/>
      <c r="B773" s="319" t="n"/>
      <c r="C773" s="319" t="n"/>
      <c r="D773" s="319" t="n"/>
      <c r="E773" s="319" t="n"/>
      <c r="F773" s="319" t="n"/>
      <c r="G773" s="319" t="n"/>
      <c r="H773" s="319" t="n"/>
      <c r="I773" s="319" t="n"/>
      <c r="J773" s="319" t="n"/>
      <c r="K773" s="319" t="n"/>
      <c r="L773" s="319" t="n"/>
      <c r="M773" s="319" t="n"/>
      <c r="N773" s="319" t="n"/>
      <c r="O773" s="319" t="n"/>
      <c r="P773" s="319" t="n"/>
      <c r="Q773" s="319" t="n"/>
      <c r="R773" s="319" t="n"/>
      <c r="S773" s="319" t="n"/>
      <c r="T773" s="319" t="n"/>
      <c r="U773" s="319" t="n"/>
      <c r="V773" s="319" t="n"/>
      <c r="W773" s="319" t="n"/>
      <c r="X773" s="319" t="n"/>
      <c r="Y773" s="319" t="n"/>
      <c r="Z773" s="319" t="n"/>
    </row>
    <row r="774">
      <c r="A774" s="319" t="n"/>
      <c r="B774" s="319" t="n"/>
      <c r="C774" s="319" t="n"/>
      <c r="D774" s="319" t="n"/>
      <c r="E774" s="319" t="n"/>
      <c r="F774" s="319" t="n"/>
      <c r="G774" s="319" t="n"/>
      <c r="H774" s="319" t="n"/>
      <c r="I774" s="319" t="n"/>
      <c r="J774" s="319" t="n"/>
      <c r="K774" s="319" t="n"/>
      <c r="L774" s="319" t="n"/>
      <c r="M774" s="319" t="n"/>
      <c r="N774" s="319" t="n"/>
      <c r="O774" s="319" t="n"/>
      <c r="P774" s="319" t="n"/>
      <c r="Q774" s="319" t="n"/>
      <c r="R774" s="319" t="n"/>
      <c r="S774" s="319" t="n"/>
      <c r="T774" s="319" t="n"/>
      <c r="U774" s="319" t="n"/>
      <c r="V774" s="319" t="n"/>
      <c r="W774" s="319" t="n"/>
      <c r="X774" s="319" t="n"/>
      <c r="Y774" s="319" t="n"/>
      <c r="Z774" s="319" t="n"/>
    </row>
    <row r="775">
      <c r="A775" s="319" t="n"/>
      <c r="B775" s="319" t="n"/>
      <c r="C775" s="319" t="n"/>
      <c r="D775" s="319" t="n"/>
      <c r="E775" s="319" t="n"/>
      <c r="F775" s="319" t="n"/>
      <c r="G775" s="319" t="n"/>
      <c r="H775" s="319" t="n"/>
      <c r="I775" s="319" t="n"/>
      <c r="J775" s="319" t="n"/>
      <c r="K775" s="319" t="n"/>
      <c r="L775" s="319" t="n"/>
      <c r="M775" s="319" t="n"/>
      <c r="N775" s="319" t="n"/>
      <c r="O775" s="319" t="n"/>
      <c r="P775" s="319" t="n"/>
      <c r="Q775" s="319" t="n"/>
      <c r="R775" s="319" t="n"/>
      <c r="S775" s="319" t="n"/>
      <c r="T775" s="319" t="n"/>
      <c r="U775" s="319" t="n"/>
      <c r="V775" s="319" t="n"/>
      <c r="W775" s="319" t="n"/>
      <c r="X775" s="319" t="n"/>
      <c r="Y775" s="319" t="n"/>
      <c r="Z775" s="319" t="n"/>
    </row>
    <row r="776">
      <c r="A776" s="319" t="n"/>
      <c r="B776" s="319" t="n"/>
      <c r="C776" s="319" t="n"/>
      <c r="D776" s="319" t="n"/>
      <c r="E776" s="319" t="n"/>
      <c r="F776" s="319" t="n"/>
      <c r="G776" s="319" t="n"/>
      <c r="H776" s="319" t="n"/>
      <c r="I776" s="319" t="n"/>
      <c r="J776" s="319" t="n"/>
      <c r="K776" s="319" t="n"/>
      <c r="L776" s="319" t="n"/>
      <c r="M776" s="319" t="n"/>
      <c r="N776" s="319" t="n"/>
      <c r="O776" s="319" t="n"/>
      <c r="P776" s="319" t="n"/>
      <c r="Q776" s="319" t="n"/>
      <c r="R776" s="319" t="n"/>
      <c r="S776" s="319" t="n"/>
      <c r="T776" s="319" t="n"/>
      <c r="U776" s="319" t="n"/>
      <c r="V776" s="319" t="n"/>
      <c r="W776" s="319" t="n"/>
      <c r="X776" s="319" t="n"/>
      <c r="Y776" s="319" t="n"/>
      <c r="Z776" s="319" t="n"/>
    </row>
    <row r="777">
      <c r="A777" s="319" t="n"/>
      <c r="B777" s="319" t="n"/>
      <c r="C777" s="319" t="n"/>
      <c r="D777" s="319" t="n"/>
      <c r="E777" s="319" t="n"/>
      <c r="F777" s="319" t="n"/>
      <c r="G777" s="319" t="n"/>
      <c r="H777" s="319" t="n"/>
      <c r="I777" s="319" t="n"/>
      <c r="J777" s="319" t="n"/>
      <c r="K777" s="319" t="n"/>
      <c r="L777" s="319" t="n"/>
      <c r="M777" s="319" t="n"/>
      <c r="N777" s="319" t="n"/>
      <c r="O777" s="319" t="n"/>
      <c r="P777" s="319" t="n"/>
      <c r="Q777" s="319" t="n"/>
      <c r="R777" s="319" t="n"/>
      <c r="S777" s="319" t="n"/>
      <c r="T777" s="319" t="n"/>
      <c r="U777" s="319" t="n"/>
      <c r="V777" s="319" t="n"/>
      <c r="W777" s="319" t="n"/>
      <c r="X777" s="319" t="n"/>
      <c r="Y777" s="319" t="n"/>
      <c r="Z777" s="319" t="n"/>
    </row>
    <row r="778">
      <c r="A778" s="319" t="n"/>
      <c r="B778" s="319" t="n"/>
      <c r="C778" s="319" t="n"/>
      <c r="D778" s="319" t="n"/>
      <c r="E778" s="319" t="n"/>
      <c r="F778" s="319" t="n"/>
      <c r="G778" s="319" t="n"/>
      <c r="H778" s="319" t="n"/>
      <c r="I778" s="319" t="n"/>
      <c r="J778" s="319" t="n"/>
      <c r="K778" s="319" t="n"/>
      <c r="L778" s="319" t="n"/>
      <c r="M778" s="319" t="n"/>
      <c r="N778" s="319" t="n"/>
      <c r="O778" s="319" t="n"/>
      <c r="P778" s="319" t="n"/>
      <c r="Q778" s="319" t="n"/>
      <c r="R778" s="319" t="n"/>
      <c r="S778" s="319" t="n"/>
      <c r="T778" s="319" t="n"/>
      <c r="U778" s="319" t="n"/>
      <c r="V778" s="319" t="n"/>
      <c r="W778" s="319" t="n"/>
      <c r="X778" s="319" t="n"/>
      <c r="Y778" s="319" t="n"/>
      <c r="Z778" s="319" t="n"/>
    </row>
    <row r="779">
      <c r="A779" s="319" t="n"/>
      <c r="B779" s="319" t="n"/>
      <c r="C779" s="319" t="n"/>
      <c r="D779" s="319" t="n"/>
      <c r="E779" s="319" t="n"/>
      <c r="F779" s="319" t="n"/>
      <c r="G779" s="319" t="n"/>
      <c r="H779" s="319" t="n"/>
      <c r="I779" s="319" t="n"/>
      <c r="J779" s="319" t="n"/>
      <c r="K779" s="319" t="n"/>
      <c r="L779" s="319" t="n"/>
      <c r="M779" s="319" t="n"/>
      <c r="N779" s="319" t="n"/>
      <c r="O779" s="319" t="n"/>
      <c r="P779" s="319" t="n"/>
      <c r="Q779" s="319" t="n"/>
      <c r="R779" s="319" t="n"/>
      <c r="S779" s="319" t="n"/>
      <c r="T779" s="319" t="n"/>
      <c r="U779" s="319" t="n"/>
      <c r="V779" s="319" t="n"/>
      <c r="W779" s="319" t="n"/>
      <c r="X779" s="319" t="n"/>
      <c r="Y779" s="319" t="n"/>
      <c r="Z779" s="319" t="n"/>
    </row>
    <row r="780">
      <c r="A780" s="319" t="n"/>
      <c r="B780" s="319" t="n"/>
      <c r="C780" s="319" t="n"/>
      <c r="D780" s="319" t="n"/>
      <c r="E780" s="319" t="n"/>
      <c r="F780" s="319" t="n"/>
      <c r="G780" s="319" t="n"/>
      <c r="H780" s="319" t="n"/>
      <c r="I780" s="319" t="n"/>
      <c r="J780" s="319" t="n"/>
      <c r="K780" s="319" t="n"/>
      <c r="L780" s="319" t="n"/>
      <c r="M780" s="319" t="n"/>
      <c r="N780" s="319" t="n"/>
      <c r="O780" s="319" t="n"/>
      <c r="P780" s="319" t="n"/>
      <c r="Q780" s="319" t="n"/>
      <c r="R780" s="319" t="n"/>
      <c r="S780" s="319" t="n"/>
      <c r="T780" s="319" t="n"/>
      <c r="U780" s="319" t="n"/>
      <c r="V780" s="319" t="n"/>
      <c r="W780" s="319" t="n"/>
      <c r="X780" s="319" t="n"/>
      <c r="Y780" s="319" t="n"/>
      <c r="Z780" s="319" t="n"/>
    </row>
    <row r="781">
      <c r="A781" s="319" t="n"/>
      <c r="B781" s="319" t="n"/>
      <c r="C781" s="319" t="n"/>
      <c r="D781" s="319" t="n"/>
      <c r="E781" s="319" t="n"/>
      <c r="F781" s="319" t="n"/>
      <c r="G781" s="319" t="n"/>
      <c r="H781" s="319" t="n"/>
      <c r="I781" s="319" t="n"/>
      <c r="J781" s="319" t="n"/>
      <c r="K781" s="319" t="n"/>
      <c r="L781" s="319" t="n"/>
      <c r="M781" s="319" t="n"/>
      <c r="N781" s="319" t="n"/>
      <c r="O781" s="319" t="n"/>
      <c r="P781" s="319" t="n"/>
      <c r="Q781" s="319" t="n"/>
      <c r="R781" s="319" t="n"/>
      <c r="S781" s="319" t="n"/>
      <c r="T781" s="319" t="n"/>
      <c r="U781" s="319" t="n"/>
      <c r="V781" s="319" t="n"/>
      <c r="W781" s="319" t="n"/>
      <c r="X781" s="319" t="n"/>
      <c r="Y781" s="319" t="n"/>
      <c r="Z781" s="319" t="n"/>
    </row>
    <row r="782">
      <c r="A782" s="319" t="n"/>
      <c r="B782" s="319" t="n"/>
      <c r="C782" s="319" t="n"/>
      <c r="D782" s="319" t="n"/>
      <c r="E782" s="319" t="n"/>
      <c r="F782" s="319" t="n"/>
      <c r="G782" s="319" t="n"/>
      <c r="H782" s="319" t="n"/>
      <c r="I782" s="319" t="n"/>
      <c r="J782" s="319" t="n"/>
      <c r="K782" s="319" t="n"/>
      <c r="L782" s="319" t="n"/>
      <c r="M782" s="319" t="n"/>
      <c r="N782" s="319" t="n"/>
      <c r="O782" s="319" t="n"/>
      <c r="P782" s="319" t="n"/>
      <c r="Q782" s="319" t="n"/>
      <c r="R782" s="319" t="n"/>
      <c r="S782" s="319" t="n"/>
      <c r="T782" s="319" t="n"/>
      <c r="U782" s="319" t="n"/>
      <c r="V782" s="319" t="n"/>
      <c r="W782" s="319" t="n"/>
      <c r="X782" s="319" t="n"/>
      <c r="Y782" s="319" t="n"/>
      <c r="Z782" s="319" t="n"/>
    </row>
    <row r="783">
      <c r="A783" s="319" t="n"/>
      <c r="B783" s="319" t="n"/>
      <c r="C783" s="319" t="n"/>
      <c r="D783" s="319" t="n"/>
      <c r="E783" s="319" t="n"/>
      <c r="F783" s="319" t="n"/>
      <c r="G783" s="319" t="n"/>
      <c r="H783" s="319" t="n"/>
      <c r="I783" s="319" t="n"/>
      <c r="J783" s="319" t="n"/>
      <c r="K783" s="319" t="n"/>
      <c r="L783" s="319" t="n"/>
      <c r="M783" s="319" t="n"/>
      <c r="N783" s="319" t="n"/>
      <c r="O783" s="319" t="n"/>
      <c r="P783" s="319" t="n"/>
      <c r="Q783" s="319" t="n"/>
      <c r="R783" s="319" t="n"/>
      <c r="S783" s="319" t="n"/>
      <c r="T783" s="319" t="n"/>
      <c r="U783" s="319" t="n"/>
      <c r="V783" s="319" t="n"/>
      <c r="W783" s="319" t="n"/>
      <c r="X783" s="319" t="n"/>
      <c r="Y783" s="319" t="n"/>
      <c r="Z783" s="319" t="n"/>
    </row>
    <row r="784">
      <c r="A784" s="319" t="n"/>
      <c r="B784" s="319" t="n"/>
      <c r="C784" s="319" t="n"/>
      <c r="D784" s="319" t="n"/>
      <c r="E784" s="319" t="n"/>
      <c r="F784" s="319" t="n"/>
      <c r="G784" s="319" t="n"/>
      <c r="H784" s="319" t="n"/>
      <c r="I784" s="319" t="n"/>
      <c r="J784" s="319" t="n"/>
      <c r="K784" s="319" t="n"/>
      <c r="L784" s="319" t="n"/>
      <c r="M784" s="319" t="n"/>
      <c r="N784" s="319" t="n"/>
      <c r="O784" s="319" t="n"/>
      <c r="P784" s="319" t="n"/>
      <c r="Q784" s="319" t="n"/>
      <c r="R784" s="319" t="n"/>
      <c r="S784" s="319" t="n"/>
      <c r="T784" s="319" t="n"/>
      <c r="U784" s="319" t="n"/>
      <c r="V784" s="319" t="n"/>
      <c r="W784" s="319" t="n"/>
      <c r="X784" s="319" t="n"/>
      <c r="Y784" s="319" t="n"/>
      <c r="Z784" s="319" t="n"/>
    </row>
    <row r="785">
      <c r="A785" s="319" t="n"/>
      <c r="B785" s="319" t="n"/>
      <c r="C785" s="319" t="n"/>
      <c r="D785" s="319" t="n"/>
      <c r="E785" s="319" t="n"/>
      <c r="F785" s="319" t="n"/>
      <c r="G785" s="319" t="n"/>
      <c r="H785" s="319" t="n"/>
      <c r="I785" s="319" t="n"/>
      <c r="J785" s="319" t="n"/>
      <c r="K785" s="319" t="n"/>
      <c r="L785" s="319" t="n"/>
      <c r="M785" s="319" t="n"/>
      <c r="N785" s="319" t="n"/>
      <c r="O785" s="319" t="n"/>
      <c r="P785" s="319" t="n"/>
      <c r="Q785" s="319" t="n"/>
      <c r="R785" s="319" t="n"/>
      <c r="S785" s="319" t="n"/>
      <c r="T785" s="319" t="n"/>
      <c r="U785" s="319" t="n"/>
      <c r="V785" s="319" t="n"/>
      <c r="W785" s="319" t="n"/>
      <c r="X785" s="319" t="n"/>
      <c r="Y785" s="319" t="n"/>
      <c r="Z785" s="319" t="n"/>
    </row>
    <row r="786">
      <c r="A786" s="319" t="n"/>
      <c r="B786" s="319" t="n"/>
      <c r="C786" s="319" t="n"/>
      <c r="D786" s="319" t="n"/>
      <c r="E786" s="319" t="n"/>
      <c r="F786" s="319" t="n"/>
      <c r="G786" s="319" t="n"/>
      <c r="H786" s="319" t="n"/>
      <c r="I786" s="319" t="n"/>
      <c r="J786" s="319" t="n"/>
      <c r="K786" s="319" t="n"/>
      <c r="L786" s="319" t="n"/>
      <c r="M786" s="319" t="n"/>
      <c r="N786" s="319" t="n"/>
      <c r="O786" s="319" t="n"/>
      <c r="P786" s="319" t="n"/>
      <c r="Q786" s="319" t="n"/>
      <c r="R786" s="319" t="n"/>
      <c r="S786" s="319" t="n"/>
      <c r="T786" s="319" t="n"/>
      <c r="U786" s="319" t="n"/>
      <c r="V786" s="319" t="n"/>
      <c r="W786" s="319" t="n"/>
      <c r="X786" s="319" t="n"/>
      <c r="Y786" s="319" t="n"/>
      <c r="Z786" s="319" t="n"/>
    </row>
    <row r="787">
      <c r="A787" s="319" t="n"/>
      <c r="B787" s="319" t="n"/>
      <c r="C787" s="319" t="n"/>
      <c r="D787" s="319" t="n"/>
      <c r="E787" s="319" t="n"/>
      <c r="F787" s="319" t="n"/>
      <c r="G787" s="319" t="n"/>
      <c r="H787" s="319" t="n"/>
      <c r="I787" s="319" t="n"/>
      <c r="J787" s="319" t="n"/>
      <c r="K787" s="319" t="n"/>
      <c r="L787" s="319" t="n"/>
      <c r="M787" s="319" t="n"/>
      <c r="N787" s="319" t="n"/>
      <c r="O787" s="319" t="n"/>
      <c r="P787" s="319" t="n"/>
      <c r="Q787" s="319" t="n"/>
      <c r="R787" s="319" t="n"/>
      <c r="S787" s="319" t="n"/>
      <c r="T787" s="319" t="n"/>
      <c r="U787" s="319" t="n"/>
      <c r="V787" s="319" t="n"/>
      <c r="W787" s="319" t="n"/>
      <c r="X787" s="319" t="n"/>
      <c r="Y787" s="319" t="n"/>
      <c r="Z787" s="319" t="n"/>
    </row>
    <row r="788">
      <c r="A788" s="319" t="n"/>
      <c r="B788" s="319" t="n"/>
      <c r="C788" s="319" t="n"/>
      <c r="D788" s="319" t="n"/>
      <c r="E788" s="319" t="n"/>
      <c r="F788" s="319" t="n"/>
      <c r="G788" s="319" t="n"/>
      <c r="H788" s="319" t="n"/>
      <c r="I788" s="319" t="n"/>
      <c r="J788" s="319" t="n"/>
      <c r="K788" s="319" t="n"/>
      <c r="L788" s="319" t="n"/>
      <c r="M788" s="319" t="n"/>
      <c r="N788" s="319" t="n"/>
      <c r="O788" s="319" t="n"/>
      <c r="P788" s="319" t="n"/>
      <c r="Q788" s="319" t="n"/>
      <c r="R788" s="319" t="n"/>
      <c r="S788" s="319" t="n"/>
      <c r="T788" s="319" t="n"/>
      <c r="U788" s="319" t="n"/>
      <c r="V788" s="319" t="n"/>
      <c r="W788" s="319" t="n"/>
      <c r="X788" s="319" t="n"/>
      <c r="Y788" s="319" t="n"/>
      <c r="Z788" s="319" t="n"/>
    </row>
    <row r="789">
      <c r="A789" s="319" t="n"/>
      <c r="B789" s="319" t="n"/>
      <c r="C789" s="319" t="n"/>
      <c r="D789" s="319" t="n"/>
      <c r="E789" s="319" t="n"/>
      <c r="F789" s="319" t="n"/>
      <c r="G789" s="319" t="n"/>
      <c r="H789" s="319" t="n"/>
      <c r="I789" s="319" t="n"/>
      <c r="J789" s="319" t="n"/>
      <c r="K789" s="319" t="n"/>
      <c r="L789" s="319" t="n"/>
      <c r="M789" s="319" t="n"/>
      <c r="N789" s="319" t="n"/>
      <c r="O789" s="319" t="n"/>
      <c r="P789" s="319" t="n"/>
      <c r="Q789" s="319" t="n"/>
      <c r="R789" s="319" t="n"/>
      <c r="S789" s="319" t="n"/>
      <c r="T789" s="319" t="n"/>
      <c r="U789" s="319" t="n"/>
      <c r="V789" s="319" t="n"/>
      <c r="W789" s="319" t="n"/>
      <c r="X789" s="319" t="n"/>
      <c r="Y789" s="319" t="n"/>
      <c r="Z789" s="319" t="n"/>
    </row>
    <row r="790">
      <c r="A790" s="319" t="n"/>
      <c r="B790" s="319" t="n"/>
      <c r="C790" s="319" t="n"/>
      <c r="D790" s="319" t="n"/>
      <c r="E790" s="319" t="n"/>
      <c r="F790" s="319" t="n"/>
      <c r="G790" s="319" t="n"/>
      <c r="H790" s="319" t="n"/>
      <c r="I790" s="319" t="n"/>
      <c r="J790" s="319" t="n"/>
      <c r="K790" s="319" t="n"/>
      <c r="L790" s="319" t="n"/>
      <c r="M790" s="319" t="n"/>
      <c r="N790" s="319" t="n"/>
      <c r="O790" s="319" t="n"/>
      <c r="P790" s="319" t="n"/>
      <c r="Q790" s="319" t="n"/>
      <c r="R790" s="319" t="n"/>
      <c r="S790" s="319" t="n"/>
      <c r="T790" s="319" t="n"/>
      <c r="U790" s="319" t="n"/>
      <c r="V790" s="319" t="n"/>
      <c r="W790" s="319" t="n"/>
      <c r="X790" s="319" t="n"/>
      <c r="Y790" s="319" t="n"/>
      <c r="Z790" s="319" t="n"/>
    </row>
    <row r="791">
      <c r="A791" s="319" t="n"/>
      <c r="B791" s="319" t="n"/>
      <c r="C791" s="319" t="n"/>
      <c r="D791" s="319" t="n"/>
      <c r="E791" s="319" t="n"/>
      <c r="F791" s="319" t="n"/>
      <c r="G791" s="319" t="n"/>
      <c r="H791" s="319" t="n"/>
      <c r="I791" s="319" t="n"/>
      <c r="J791" s="319" t="n"/>
      <c r="K791" s="319" t="n"/>
      <c r="L791" s="319" t="n"/>
      <c r="M791" s="319" t="n"/>
      <c r="N791" s="319" t="n"/>
      <c r="O791" s="319" t="n"/>
      <c r="P791" s="319" t="n"/>
      <c r="Q791" s="319" t="n"/>
      <c r="R791" s="319" t="n"/>
      <c r="S791" s="319" t="n"/>
      <c r="T791" s="319" t="n"/>
      <c r="U791" s="319" t="n"/>
      <c r="V791" s="319" t="n"/>
      <c r="W791" s="319" t="n"/>
      <c r="X791" s="319" t="n"/>
      <c r="Y791" s="319" t="n"/>
      <c r="Z791" s="319" t="n"/>
    </row>
    <row r="792">
      <c r="A792" s="319" t="n"/>
      <c r="B792" s="319" t="n"/>
      <c r="C792" s="319" t="n"/>
      <c r="D792" s="319" t="n"/>
      <c r="E792" s="319" t="n"/>
      <c r="F792" s="319" t="n"/>
      <c r="G792" s="319" t="n"/>
      <c r="H792" s="319" t="n"/>
      <c r="I792" s="319" t="n"/>
      <c r="J792" s="319" t="n"/>
      <c r="K792" s="319" t="n"/>
      <c r="L792" s="319" t="n"/>
      <c r="M792" s="319" t="n"/>
      <c r="N792" s="319" t="n"/>
      <c r="O792" s="319" t="n"/>
      <c r="P792" s="319" t="n"/>
      <c r="Q792" s="319" t="n"/>
      <c r="R792" s="319" t="n"/>
      <c r="S792" s="319" t="n"/>
      <c r="T792" s="319" t="n"/>
      <c r="U792" s="319" t="n"/>
      <c r="V792" s="319" t="n"/>
      <c r="W792" s="319" t="n"/>
      <c r="X792" s="319" t="n"/>
      <c r="Y792" s="319" t="n"/>
      <c r="Z792" s="319" t="n"/>
    </row>
    <row r="793">
      <c r="A793" s="319" t="n"/>
      <c r="B793" s="319" t="n"/>
      <c r="C793" s="319" t="n"/>
      <c r="D793" s="319" t="n"/>
      <c r="E793" s="319" t="n"/>
      <c r="F793" s="319" t="n"/>
      <c r="G793" s="319" t="n"/>
      <c r="H793" s="319" t="n"/>
      <c r="I793" s="319" t="n"/>
      <c r="J793" s="319" t="n"/>
      <c r="K793" s="319" t="n"/>
      <c r="L793" s="319" t="n"/>
      <c r="M793" s="319" t="n"/>
      <c r="N793" s="319" t="n"/>
      <c r="O793" s="319" t="n"/>
      <c r="P793" s="319" t="n"/>
      <c r="Q793" s="319" t="n"/>
      <c r="R793" s="319" t="n"/>
      <c r="S793" s="319" t="n"/>
      <c r="T793" s="319" t="n"/>
      <c r="U793" s="319" t="n"/>
      <c r="V793" s="319" t="n"/>
      <c r="W793" s="319" t="n"/>
      <c r="X793" s="319" t="n"/>
      <c r="Y793" s="319" t="n"/>
      <c r="Z793" s="319" t="n"/>
    </row>
    <row r="794">
      <c r="A794" s="319" t="n"/>
      <c r="B794" s="319" t="n"/>
      <c r="C794" s="319" t="n"/>
      <c r="D794" s="319" t="n"/>
      <c r="E794" s="319" t="n"/>
      <c r="F794" s="319" t="n"/>
      <c r="G794" s="319" t="n"/>
      <c r="H794" s="319" t="n"/>
      <c r="I794" s="319" t="n"/>
      <c r="J794" s="319" t="n"/>
      <c r="K794" s="319" t="n"/>
      <c r="L794" s="319" t="n"/>
      <c r="M794" s="319" t="n"/>
      <c r="N794" s="319" t="n"/>
      <c r="O794" s="319" t="n"/>
      <c r="P794" s="319" t="n"/>
      <c r="Q794" s="319" t="n"/>
      <c r="R794" s="319" t="n"/>
      <c r="S794" s="319" t="n"/>
      <c r="T794" s="319" t="n"/>
      <c r="U794" s="319" t="n"/>
      <c r="V794" s="319" t="n"/>
      <c r="W794" s="319" t="n"/>
      <c r="X794" s="319" t="n"/>
      <c r="Y794" s="319" t="n"/>
      <c r="Z794" s="319" t="n"/>
    </row>
    <row r="795">
      <c r="A795" s="319" t="n"/>
      <c r="B795" s="319" t="n"/>
      <c r="C795" s="319" t="n"/>
      <c r="D795" s="319" t="n"/>
      <c r="E795" s="319" t="n"/>
      <c r="F795" s="319" t="n"/>
      <c r="G795" s="319" t="n"/>
      <c r="H795" s="319" t="n"/>
      <c r="I795" s="319" t="n"/>
      <c r="J795" s="319" t="n"/>
      <c r="K795" s="319" t="n"/>
      <c r="L795" s="319" t="n"/>
      <c r="M795" s="319" t="n"/>
      <c r="N795" s="319" t="n"/>
      <c r="O795" s="319" t="n"/>
      <c r="P795" s="319" t="n"/>
      <c r="Q795" s="319" t="n"/>
      <c r="R795" s="319" t="n"/>
      <c r="S795" s="319" t="n"/>
      <c r="T795" s="319" t="n"/>
      <c r="U795" s="319" t="n"/>
      <c r="V795" s="319" t="n"/>
      <c r="W795" s="319" t="n"/>
      <c r="X795" s="319" t="n"/>
      <c r="Y795" s="319" t="n"/>
      <c r="Z795" s="319" t="n"/>
    </row>
    <row r="796">
      <c r="A796" s="319" t="n"/>
      <c r="B796" s="319" t="n"/>
      <c r="C796" s="319" t="n"/>
      <c r="D796" s="319" t="n"/>
      <c r="E796" s="319" t="n"/>
      <c r="F796" s="319" t="n"/>
      <c r="G796" s="319" t="n"/>
      <c r="H796" s="319" t="n"/>
      <c r="I796" s="319" t="n"/>
      <c r="J796" s="319" t="n"/>
      <c r="K796" s="319" t="n"/>
      <c r="L796" s="319" t="n"/>
      <c r="M796" s="319" t="n"/>
      <c r="N796" s="319" t="n"/>
      <c r="O796" s="319" t="n"/>
      <c r="P796" s="319" t="n"/>
      <c r="Q796" s="319" t="n"/>
      <c r="R796" s="319" t="n"/>
      <c r="S796" s="319" t="n"/>
      <c r="T796" s="319" t="n"/>
      <c r="U796" s="319" t="n"/>
      <c r="V796" s="319" t="n"/>
      <c r="W796" s="319" t="n"/>
      <c r="X796" s="319" t="n"/>
      <c r="Y796" s="319" t="n"/>
      <c r="Z796" s="319" t="n"/>
    </row>
    <row r="797">
      <c r="A797" s="319" t="n"/>
      <c r="B797" s="319" t="n"/>
      <c r="C797" s="319" t="n"/>
      <c r="D797" s="319" t="n"/>
      <c r="E797" s="319" t="n"/>
      <c r="F797" s="319" t="n"/>
      <c r="G797" s="319" t="n"/>
      <c r="H797" s="319" t="n"/>
      <c r="I797" s="319" t="n"/>
      <c r="J797" s="319" t="n"/>
      <c r="K797" s="319" t="n"/>
      <c r="L797" s="319" t="n"/>
      <c r="M797" s="319" t="n"/>
      <c r="N797" s="319" t="n"/>
      <c r="O797" s="319" t="n"/>
      <c r="P797" s="319" t="n"/>
      <c r="Q797" s="319" t="n"/>
      <c r="R797" s="319" t="n"/>
      <c r="S797" s="319" t="n"/>
      <c r="T797" s="319" t="n"/>
      <c r="U797" s="319" t="n"/>
      <c r="V797" s="319" t="n"/>
      <c r="W797" s="319" t="n"/>
      <c r="X797" s="319" t="n"/>
      <c r="Y797" s="319" t="n"/>
      <c r="Z797" s="319" t="n"/>
    </row>
    <row r="798">
      <c r="A798" s="319" t="n"/>
      <c r="B798" s="319" t="n"/>
      <c r="C798" s="319" t="n"/>
      <c r="D798" s="319" t="n"/>
      <c r="E798" s="319" t="n"/>
      <c r="F798" s="319" t="n"/>
      <c r="G798" s="319" t="n"/>
      <c r="H798" s="319" t="n"/>
      <c r="I798" s="319" t="n"/>
      <c r="J798" s="319" t="n"/>
      <c r="K798" s="319" t="n"/>
      <c r="L798" s="319" t="n"/>
      <c r="M798" s="319" t="n"/>
      <c r="N798" s="319" t="n"/>
      <c r="O798" s="319" t="n"/>
      <c r="P798" s="319" t="n"/>
      <c r="Q798" s="319" t="n"/>
      <c r="R798" s="319" t="n"/>
      <c r="S798" s="319" t="n"/>
      <c r="T798" s="319" t="n"/>
      <c r="U798" s="319" t="n"/>
      <c r="V798" s="319" t="n"/>
      <c r="W798" s="319" t="n"/>
      <c r="X798" s="319" t="n"/>
      <c r="Y798" s="319" t="n"/>
      <c r="Z798" s="319" t="n"/>
    </row>
    <row r="799">
      <c r="A799" s="319" t="n"/>
      <c r="B799" s="319" t="n"/>
      <c r="C799" s="319" t="n"/>
      <c r="D799" s="319" t="n"/>
      <c r="E799" s="319" t="n"/>
      <c r="F799" s="319" t="n"/>
      <c r="G799" s="319" t="n"/>
      <c r="H799" s="319" t="n"/>
      <c r="I799" s="319" t="n"/>
      <c r="J799" s="319" t="n"/>
      <c r="K799" s="319" t="n"/>
      <c r="L799" s="319" t="n"/>
      <c r="M799" s="319" t="n"/>
      <c r="N799" s="319" t="n"/>
      <c r="O799" s="319" t="n"/>
      <c r="P799" s="319" t="n"/>
      <c r="Q799" s="319" t="n"/>
      <c r="R799" s="319" t="n"/>
      <c r="S799" s="319" t="n"/>
      <c r="T799" s="319" t="n"/>
      <c r="U799" s="319" t="n"/>
      <c r="V799" s="319" t="n"/>
      <c r="W799" s="319" t="n"/>
      <c r="X799" s="319" t="n"/>
      <c r="Y799" s="319" t="n"/>
      <c r="Z799" s="319" t="n"/>
    </row>
    <row r="800">
      <c r="A800" s="319" t="n"/>
      <c r="B800" s="319" t="n"/>
      <c r="C800" s="319" t="n"/>
      <c r="D800" s="319" t="n"/>
      <c r="E800" s="319" t="n"/>
      <c r="F800" s="319" t="n"/>
      <c r="G800" s="319" t="n"/>
      <c r="H800" s="319" t="n"/>
      <c r="I800" s="319" t="n"/>
      <c r="J800" s="319" t="n"/>
      <c r="K800" s="319" t="n"/>
      <c r="L800" s="319" t="n"/>
      <c r="M800" s="319" t="n"/>
      <c r="N800" s="319" t="n"/>
      <c r="O800" s="319" t="n"/>
      <c r="P800" s="319" t="n"/>
      <c r="Q800" s="319" t="n"/>
      <c r="R800" s="319" t="n"/>
      <c r="S800" s="319" t="n"/>
      <c r="T800" s="319" t="n"/>
      <c r="U800" s="319" t="n"/>
      <c r="V800" s="319" t="n"/>
      <c r="W800" s="319" t="n"/>
      <c r="X800" s="319" t="n"/>
      <c r="Y800" s="319" t="n"/>
      <c r="Z800" s="319" t="n"/>
    </row>
    <row r="801">
      <c r="A801" s="319" t="n"/>
      <c r="B801" s="319" t="n"/>
      <c r="C801" s="319" t="n"/>
      <c r="D801" s="319" t="n"/>
      <c r="E801" s="319" t="n"/>
      <c r="F801" s="319" t="n"/>
      <c r="G801" s="319" t="n"/>
      <c r="H801" s="319" t="n"/>
      <c r="I801" s="319" t="n"/>
      <c r="J801" s="319" t="n"/>
      <c r="K801" s="319" t="n"/>
      <c r="L801" s="319" t="n"/>
      <c r="M801" s="319" t="n"/>
      <c r="N801" s="319" t="n"/>
      <c r="O801" s="319" t="n"/>
      <c r="P801" s="319" t="n"/>
      <c r="Q801" s="319" t="n"/>
      <c r="R801" s="319" t="n"/>
      <c r="S801" s="319" t="n"/>
      <c r="T801" s="319" t="n"/>
      <c r="U801" s="319" t="n"/>
      <c r="V801" s="319" t="n"/>
      <c r="W801" s="319" t="n"/>
      <c r="X801" s="319" t="n"/>
      <c r="Y801" s="319" t="n"/>
      <c r="Z801" s="319" t="n"/>
    </row>
    <row r="802">
      <c r="A802" s="319" t="n"/>
      <c r="B802" s="319" t="n"/>
      <c r="C802" s="319" t="n"/>
      <c r="D802" s="319" t="n"/>
      <c r="E802" s="319" t="n"/>
      <c r="F802" s="319" t="n"/>
      <c r="G802" s="319" t="n"/>
      <c r="H802" s="319" t="n"/>
      <c r="I802" s="319" t="n"/>
      <c r="J802" s="319" t="n"/>
      <c r="K802" s="319" t="n"/>
      <c r="L802" s="319" t="n"/>
      <c r="M802" s="319" t="n"/>
      <c r="N802" s="319" t="n"/>
      <c r="O802" s="319" t="n"/>
      <c r="P802" s="319" t="n"/>
      <c r="Q802" s="319" t="n"/>
      <c r="R802" s="319" t="n"/>
      <c r="S802" s="319" t="n"/>
      <c r="T802" s="319" t="n"/>
      <c r="U802" s="319" t="n"/>
      <c r="V802" s="319" t="n"/>
      <c r="W802" s="319" t="n"/>
      <c r="X802" s="319" t="n"/>
      <c r="Y802" s="319" t="n"/>
      <c r="Z802" s="319" t="n"/>
    </row>
    <row r="803">
      <c r="A803" s="319" t="n"/>
      <c r="B803" s="319" t="n"/>
      <c r="C803" s="319" t="n"/>
      <c r="D803" s="319" t="n"/>
      <c r="E803" s="319" t="n"/>
      <c r="F803" s="319" t="n"/>
      <c r="G803" s="319" t="n"/>
      <c r="H803" s="319" t="n"/>
      <c r="I803" s="319" t="n"/>
      <c r="J803" s="319" t="n"/>
      <c r="K803" s="319" t="n"/>
      <c r="L803" s="319" t="n"/>
      <c r="M803" s="319" t="n"/>
      <c r="N803" s="319" t="n"/>
      <c r="O803" s="319" t="n"/>
      <c r="P803" s="319" t="n"/>
      <c r="Q803" s="319" t="n"/>
      <c r="R803" s="319" t="n"/>
      <c r="S803" s="319" t="n"/>
      <c r="T803" s="319" t="n"/>
      <c r="U803" s="319" t="n"/>
      <c r="V803" s="319" t="n"/>
      <c r="W803" s="319" t="n"/>
      <c r="X803" s="319" t="n"/>
      <c r="Y803" s="319" t="n"/>
      <c r="Z803" s="319" t="n"/>
    </row>
    <row r="804">
      <c r="A804" s="319" t="n"/>
      <c r="B804" s="319" t="n"/>
      <c r="C804" s="319" t="n"/>
      <c r="D804" s="319" t="n"/>
      <c r="E804" s="319" t="n"/>
      <c r="F804" s="319" t="n"/>
      <c r="G804" s="319" t="n"/>
      <c r="H804" s="319" t="n"/>
      <c r="I804" s="319" t="n"/>
      <c r="J804" s="319" t="n"/>
      <c r="K804" s="319" t="n"/>
      <c r="L804" s="319" t="n"/>
      <c r="M804" s="319" t="n"/>
      <c r="N804" s="319" t="n"/>
      <c r="O804" s="319" t="n"/>
      <c r="P804" s="319" t="n"/>
      <c r="Q804" s="319" t="n"/>
      <c r="R804" s="319" t="n"/>
      <c r="S804" s="319" t="n"/>
      <c r="T804" s="319" t="n"/>
      <c r="U804" s="319" t="n"/>
      <c r="V804" s="319" t="n"/>
      <c r="W804" s="319" t="n"/>
      <c r="X804" s="319" t="n"/>
      <c r="Y804" s="319" t="n"/>
      <c r="Z804" s="319" t="n"/>
    </row>
    <row r="805">
      <c r="A805" s="319" t="n"/>
      <c r="B805" s="319" t="n"/>
      <c r="C805" s="319" t="n"/>
      <c r="D805" s="319" t="n"/>
      <c r="E805" s="319" t="n"/>
      <c r="F805" s="319" t="n"/>
      <c r="G805" s="319" t="n"/>
      <c r="H805" s="319" t="n"/>
      <c r="I805" s="319" t="n"/>
      <c r="J805" s="319" t="n"/>
      <c r="K805" s="319" t="n"/>
      <c r="L805" s="319" t="n"/>
      <c r="M805" s="319" t="n"/>
      <c r="N805" s="319" t="n"/>
      <c r="O805" s="319" t="n"/>
      <c r="P805" s="319" t="n"/>
      <c r="Q805" s="319" t="n"/>
      <c r="R805" s="319" t="n"/>
      <c r="S805" s="319" t="n"/>
      <c r="T805" s="319" t="n"/>
      <c r="U805" s="319" t="n"/>
      <c r="V805" s="319" t="n"/>
      <c r="W805" s="319" t="n"/>
      <c r="X805" s="319" t="n"/>
      <c r="Y805" s="319" t="n"/>
      <c r="Z805" s="319" t="n"/>
    </row>
    <row r="806">
      <c r="A806" s="319" t="n"/>
      <c r="B806" s="319" t="n"/>
      <c r="C806" s="319" t="n"/>
      <c r="D806" s="319" t="n"/>
      <c r="E806" s="319" t="n"/>
      <c r="F806" s="319" t="n"/>
      <c r="G806" s="319" t="n"/>
      <c r="H806" s="319" t="n"/>
      <c r="I806" s="319" t="n"/>
      <c r="J806" s="319" t="n"/>
      <c r="K806" s="319" t="n"/>
      <c r="L806" s="319" t="n"/>
      <c r="M806" s="319" t="n"/>
      <c r="N806" s="319" t="n"/>
      <c r="O806" s="319" t="n"/>
      <c r="P806" s="319" t="n"/>
      <c r="Q806" s="319" t="n"/>
      <c r="R806" s="319" t="n"/>
      <c r="S806" s="319" t="n"/>
      <c r="T806" s="319" t="n"/>
      <c r="U806" s="319" t="n"/>
      <c r="V806" s="319" t="n"/>
      <c r="W806" s="319" t="n"/>
      <c r="X806" s="319" t="n"/>
      <c r="Y806" s="319" t="n"/>
      <c r="Z806" s="319" t="n"/>
    </row>
    <row r="807">
      <c r="A807" s="319" t="n"/>
      <c r="B807" s="319" t="n"/>
      <c r="C807" s="319" t="n"/>
      <c r="D807" s="319" t="n"/>
      <c r="E807" s="319" t="n"/>
      <c r="F807" s="319" t="n"/>
      <c r="G807" s="319" t="n"/>
      <c r="H807" s="319" t="n"/>
      <c r="I807" s="319" t="n"/>
      <c r="J807" s="319" t="n"/>
      <c r="K807" s="319" t="n"/>
      <c r="L807" s="319" t="n"/>
      <c r="M807" s="319" t="n"/>
      <c r="N807" s="319" t="n"/>
      <c r="O807" s="319" t="n"/>
      <c r="P807" s="319" t="n"/>
      <c r="Q807" s="319" t="n"/>
      <c r="R807" s="319" t="n"/>
      <c r="S807" s="319" t="n"/>
      <c r="T807" s="319" t="n"/>
      <c r="U807" s="319" t="n"/>
      <c r="V807" s="319" t="n"/>
      <c r="W807" s="319" t="n"/>
      <c r="X807" s="319" t="n"/>
      <c r="Y807" s="319" t="n"/>
      <c r="Z807" s="319" t="n"/>
    </row>
    <row r="808">
      <c r="A808" s="319" t="n"/>
      <c r="B808" s="319" t="n"/>
      <c r="C808" s="319" t="n"/>
      <c r="D808" s="319" t="n"/>
      <c r="E808" s="319" t="n"/>
      <c r="F808" s="319" t="n"/>
      <c r="G808" s="319" t="n"/>
      <c r="H808" s="319" t="n"/>
      <c r="I808" s="319" t="n"/>
      <c r="J808" s="319" t="n"/>
      <c r="K808" s="319" t="n"/>
      <c r="L808" s="319" t="n"/>
      <c r="M808" s="319" t="n"/>
      <c r="N808" s="319" t="n"/>
      <c r="O808" s="319" t="n"/>
      <c r="P808" s="319" t="n"/>
      <c r="Q808" s="319" t="n"/>
      <c r="R808" s="319" t="n"/>
      <c r="S808" s="319" t="n"/>
      <c r="T808" s="319" t="n"/>
      <c r="U808" s="319" t="n"/>
      <c r="V808" s="319" t="n"/>
      <c r="W808" s="319" t="n"/>
      <c r="X808" s="319" t="n"/>
      <c r="Y808" s="319" t="n"/>
      <c r="Z808" s="319" t="n"/>
    </row>
    <row r="809">
      <c r="A809" s="319" t="n"/>
      <c r="B809" s="319" t="n"/>
      <c r="C809" s="319" t="n"/>
      <c r="D809" s="319" t="n"/>
      <c r="E809" s="319" t="n"/>
      <c r="F809" s="319" t="n"/>
      <c r="G809" s="319" t="n"/>
      <c r="H809" s="319" t="n"/>
      <c r="I809" s="319" t="n"/>
      <c r="J809" s="319" t="n"/>
      <c r="K809" s="319" t="n"/>
      <c r="L809" s="319" t="n"/>
      <c r="M809" s="319" t="n"/>
      <c r="N809" s="319" t="n"/>
      <c r="O809" s="319" t="n"/>
      <c r="P809" s="319" t="n"/>
      <c r="Q809" s="319" t="n"/>
      <c r="R809" s="319" t="n"/>
      <c r="S809" s="319" t="n"/>
      <c r="T809" s="319" t="n"/>
      <c r="U809" s="319" t="n"/>
      <c r="V809" s="319" t="n"/>
      <c r="W809" s="319" t="n"/>
      <c r="X809" s="319" t="n"/>
      <c r="Y809" s="319" t="n"/>
      <c r="Z809" s="319" t="n"/>
    </row>
    <row r="810">
      <c r="A810" s="319" t="n"/>
      <c r="B810" s="319" t="n"/>
      <c r="C810" s="319" t="n"/>
      <c r="D810" s="319" t="n"/>
      <c r="E810" s="319" t="n"/>
      <c r="F810" s="319" t="n"/>
      <c r="G810" s="319" t="n"/>
      <c r="H810" s="319" t="n"/>
      <c r="I810" s="319" t="n"/>
      <c r="J810" s="319" t="n"/>
      <c r="K810" s="319" t="n"/>
      <c r="L810" s="319" t="n"/>
      <c r="M810" s="319" t="n"/>
      <c r="N810" s="319" t="n"/>
      <c r="O810" s="319" t="n"/>
      <c r="P810" s="319" t="n"/>
      <c r="Q810" s="319" t="n"/>
      <c r="R810" s="319" t="n"/>
      <c r="S810" s="319" t="n"/>
      <c r="T810" s="319" t="n"/>
      <c r="U810" s="319" t="n"/>
      <c r="V810" s="319" t="n"/>
      <c r="W810" s="319" t="n"/>
      <c r="X810" s="319" t="n"/>
      <c r="Y810" s="319" t="n"/>
      <c r="Z810" s="319" t="n"/>
    </row>
    <row r="811">
      <c r="A811" s="319" t="n"/>
      <c r="B811" s="319" t="n"/>
      <c r="C811" s="319" t="n"/>
      <c r="D811" s="319" t="n"/>
      <c r="E811" s="319" t="n"/>
      <c r="F811" s="319" t="n"/>
      <c r="G811" s="319" t="n"/>
      <c r="H811" s="319" t="n"/>
      <c r="I811" s="319" t="n"/>
      <c r="J811" s="319" t="n"/>
      <c r="K811" s="319" t="n"/>
      <c r="L811" s="319" t="n"/>
      <c r="M811" s="319" t="n"/>
      <c r="N811" s="319" t="n"/>
      <c r="O811" s="319" t="n"/>
      <c r="P811" s="319" t="n"/>
      <c r="Q811" s="319" t="n"/>
      <c r="R811" s="319" t="n"/>
      <c r="S811" s="319" t="n"/>
      <c r="T811" s="319" t="n"/>
      <c r="U811" s="319" t="n"/>
      <c r="V811" s="319" t="n"/>
      <c r="W811" s="319" t="n"/>
      <c r="X811" s="319" t="n"/>
      <c r="Y811" s="319" t="n"/>
      <c r="Z811" s="319" t="n"/>
    </row>
    <row r="812">
      <c r="A812" s="319" t="n"/>
      <c r="B812" s="319" t="n"/>
      <c r="C812" s="319" t="n"/>
      <c r="D812" s="319" t="n"/>
      <c r="E812" s="319" t="n"/>
      <c r="F812" s="319" t="n"/>
      <c r="G812" s="319" t="n"/>
      <c r="H812" s="319" t="n"/>
      <c r="I812" s="319" t="n"/>
      <c r="J812" s="319" t="n"/>
      <c r="K812" s="319" t="n"/>
      <c r="L812" s="319" t="n"/>
      <c r="M812" s="319" t="n"/>
      <c r="N812" s="319" t="n"/>
      <c r="O812" s="319" t="n"/>
      <c r="P812" s="319" t="n"/>
      <c r="Q812" s="319" t="n"/>
      <c r="R812" s="319" t="n"/>
      <c r="S812" s="319" t="n"/>
      <c r="T812" s="319" t="n"/>
      <c r="U812" s="319" t="n"/>
      <c r="V812" s="319" t="n"/>
      <c r="W812" s="319" t="n"/>
      <c r="X812" s="319" t="n"/>
      <c r="Y812" s="319" t="n"/>
      <c r="Z812" s="319" t="n"/>
    </row>
    <row r="813">
      <c r="A813" s="319" t="n"/>
      <c r="B813" s="319" t="n"/>
      <c r="C813" s="319" t="n"/>
      <c r="D813" s="319" t="n"/>
      <c r="E813" s="319" t="n"/>
      <c r="F813" s="319" t="n"/>
      <c r="G813" s="319" t="n"/>
      <c r="H813" s="319" t="n"/>
      <c r="I813" s="319" t="n"/>
      <c r="J813" s="319" t="n"/>
      <c r="K813" s="319" t="n"/>
      <c r="L813" s="319" t="n"/>
      <c r="M813" s="319" t="n"/>
      <c r="N813" s="319" t="n"/>
      <c r="O813" s="319" t="n"/>
      <c r="P813" s="319" t="n"/>
      <c r="Q813" s="319" t="n"/>
      <c r="R813" s="319" t="n"/>
      <c r="S813" s="319" t="n"/>
      <c r="T813" s="319" t="n"/>
      <c r="U813" s="319" t="n"/>
      <c r="V813" s="319" t="n"/>
      <c r="W813" s="319" t="n"/>
      <c r="X813" s="319" t="n"/>
      <c r="Y813" s="319" t="n"/>
      <c r="Z813" s="319" t="n"/>
    </row>
    <row r="814">
      <c r="A814" s="319" t="n"/>
      <c r="B814" s="319" t="n"/>
      <c r="C814" s="319" t="n"/>
      <c r="D814" s="319" t="n"/>
      <c r="E814" s="319" t="n"/>
      <c r="F814" s="319" t="n"/>
      <c r="G814" s="319" t="n"/>
      <c r="H814" s="319" t="n"/>
      <c r="I814" s="319" t="n"/>
      <c r="J814" s="319" t="n"/>
      <c r="K814" s="319" t="n"/>
      <c r="L814" s="319" t="n"/>
      <c r="M814" s="319" t="n"/>
      <c r="N814" s="319" t="n"/>
      <c r="O814" s="319" t="n"/>
      <c r="P814" s="319" t="n"/>
      <c r="Q814" s="319" t="n"/>
      <c r="R814" s="319" t="n"/>
      <c r="S814" s="319" t="n"/>
      <c r="T814" s="319" t="n"/>
      <c r="U814" s="319" t="n"/>
      <c r="V814" s="319" t="n"/>
      <c r="W814" s="319" t="n"/>
      <c r="X814" s="319" t="n"/>
      <c r="Y814" s="319" t="n"/>
      <c r="Z814" s="319" t="n"/>
    </row>
    <row r="815">
      <c r="A815" s="319" t="n"/>
      <c r="B815" s="319" t="n"/>
      <c r="C815" s="319" t="n"/>
      <c r="D815" s="319" t="n"/>
      <c r="E815" s="319" t="n"/>
      <c r="F815" s="319" t="n"/>
      <c r="G815" s="319" t="n"/>
      <c r="H815" s="319" t="n"/>
      <c r="I815" s="319" t="n"/>
      <c r="J815" s="319" t="n"/>
      <c r="K815" s="319" t="n"/>
      <c r="L815" s="319" t="n"/>
      <c r="M815" s="319" t="n"/>
      <c r="N815" s="319" t="n"/>
      <c r="O815" s="319" t="n"/>
      <c r="P815" s="319" t="n"/>
      <c r="Q815" s="319" t="n"/>
      <c r="R815" s="319" t="n"/>
      <c r="S815" s="319" t="n"/>
      <c r="T815" s="319" t="n"/>
      <c r="U815" s="319" t="n"/>
      <c r="V815" s="319" t="n"/>
      <c r="W815" s="319" t="n"/>
      <c r="X815" s="319" t="n"/>
      <c r="Y815" s="319" t="n"/>
      <c r="Z815" s="319" t="n"/>
    </row>
    <row r="816">
      <c r="A816" s="319" t="n"/>
      <c r="B816" s="319" t="n"/>
      <c r="C816" s="319" t="n"/>
      <c r="D816" s="319" t="n"/>
      <c r="E816" s="319" t="n"/>
      <c r="F816" s="319" t="n"/>
      <c r="G816" s="319" t="n"/>
      <c r="H816" s="319" t="n"/>
      <c r="I816" s="319" t="n"/>
      <c r="J816" s="319" t="n"/>
      <c r="K816" s="319" t="n"/>
      <c r="L816" s="319" t="n"/>
      <c r="M816" s="319" t="n"/>
      <c r="N816" s="319" t="n"/>
      <c r="O816" s="319" t="n"/>
      <c r="P816" s="319" t="n"/>
      <c r="Q816" s="319" t="n"/>
      <c r="R816" s="319" t="n"/>
      <c r="S816" s="319" t="n"/>
      <c r="T816" s="319" t="n"/>
      <c r="U816" s="319" t="n"/>
      <c r="V816" s="319" t="n"/>
      <c r="W816" s="319" t="n"/>
      <c r="X816" s="319" t="n"/>
      <c r="Y816" s="319" t="n"/>
      <c r="Z816" s="319" t="n"/>
    </row>
    <row r="817">
      <c r="A817" s="319" t="n"/>
      <c r="B817" s="319" t="n"/>
      <c r="C817" s="319" t="n"/>
      <c r="D817" s="319" t="n"/>
      <c r="E817" s="319" t="n"/>
      <c r="F817" s="319" t="n"/>
      <c r="G817" s="319" t="n"/>
      <c r="H817" s="319" t="n"/>
      <c r="I817" s="319" t="n"/>
      <c r="J817" s="319" t="n"/>
      <c r="K817" s="319" t="n"/>
      <c r="L817" s="319" t="n"/>
      <c r="M817" s="319" t="n"/>
      <c r="N817" s="319" t="n"/>
      <c r="O817" s="319" t="n"/>
      <c r="P817" s="319" t="n"/>
      <c r="Q817" s="319" t="n"/>
      <c r="R817" s="319" t="n"/>
      <c r="S817" s="319" t="n"/>
      <c r="T817" s="319" t="n"/>
      <c r="U817" s="319" t="n"/>
      <c r="V817" s="319" t="n"/>
      <c r="W817" s="319" t="n"/>
      <c r="X817" s="319" t="n"/>
      <c r="Y817" s="319" t="n"/>
      <c r="Z817" s="319" t="n"/>
    </row>
    <row r="818">
      <c r="A818" s="319" t="n"/>
      <c r="B818" s="319" t="n"/>
      <c r="C818" s="319" t="n"/>
      <c r="D818" s="319" t="n"/>
      <c r="E818" s="319" t="n"/>
      <c r="F818" s="319" t="n"/>
      <c r="G818" s="319" t="n"/>
      <c r="H818" s="319" t="n"/>
      <c r="I818" s="319" t="n"/>
      <c r="J818" s="319" t="n"/>
      <c r="K818" s="319" t="n"/>
      <c r="L818" s="319" t="n"/>
      <c r="M818" s="319" t="n"/>
      <c r="N818" s="319" t="n"/>
      <c r="O818" s="319" t="n"/>
      <c r="P818" s="319" t="n"/>
      <c r="Q818" s="319" t="n"/>
      <c r="R818" s="319" t="n"/>
      <c r="S818" s="319" t="n"/>
      <c r="T818" s="319" t="n"/>
      <c r="U818" s="319" t="n"/>
      <c r="V818" s="319" t="n"/>
      <c r="W818" s="319" t="n"/>
      <c r="X818" s="319" t="n"/>
      <c r="Y818" s="319" t="n"/>
      <c r="Z818" s="319" t="n"/>
    </row>
    <row r="819">
      <c r="A819" s="319" t="n"/>
      <c r="B819" s="319" t="n"/>
      <c r="C819" s="319" t="n"/>
      <c r="D819" s="319" t="n"/>
      <c r="E819" s="319" t="n"/>
      <c r="F819" s="319" t="n"/>
      <c r="G819" s="319" t="n"/>
      <c r="H819" s="319" t="n"/>
      <c r="I819" s="319" t="n"/>
      <c r="J819" s="319" t="n"/>
      <c r="K819" s="319" t="n"/>
      <c r="L819" s="319" t="n"/>
      <c r="M819" s="319" t="n"/>
      <c r="N819" s="319" t="n"/>
      <c r="O819" s="319" t="n"/>
      <c r="P819" s="319" t="n"/>
      <c r="Q819" s="319" t="n"/>
      <c r="R819" s="319" t="n"/>
      <c r="S819" s="319" t="n"/>
      <c r="T819" s="319" t="n"/>
      <c r="U819" s="319" t="n"/>
      <c r="V819" s="319" t="n"/>
      <c r="W819" s="319" t="n"/>
      <c r="X819" s="319" t="n"/>
      <c r="Y819" s="319" t="n"/>
      <c r="Z819" s="319" t="n"/>
    </row>
    <row r="820">
      <c r="A820" s="319" t="n"/>
      <c r="B820" s="319" t="n"/>
      <c r="C820" s="319" t="n"/>
      <c r="D820" s="319" t="n"/>
      <c r="E820" s="319" t="n"/>
      <c r="F820" s="319" t="n"/>
      <c r="G820" s="319" t="n"/>
      <c r="H820" s="319" t="n"/>
      <c r="I820" s="319" t="n"/>
      <c r="J820" s="319" t="n"/>
      <c r="K820" s="319" t="n"/>
      <c r="L820" s="319" t="n"/>
      <c r="M820" s="319" t="n"/>
      <c r="N820" s="319" t="n"/>
      <c r="O820" s="319" t="n"/>
      <c r="P820" s="319" t="n"/>
      <c r="Q820" s="319" t="n"/>
      <c r="R820" s="319" t="n"/>
      <c r="S820" s="319" t="n"/>
      <c r="T820" s="319" t="n"/>
      <c r="U820" s="319" t="n"/>
      <c r="V820" s="319" t="n"/>
      <c r="W820" s="319" t="n"/>
      <c r="X820" s="319" t="n"/>
      <c r="Y820" s="319" t="n"/>
      <c r="Z820" s="319" t="n"/>
    </row>
    <row r="821">
      <c r="A821" s="319" t="n"/>
      <c r="B821" s="319" t="n"/>
      <c r="C821" s="319" t="n"/>
      <c r="D821" s="319" t="n"/>
      <c r="E821" s="319" t="n"/>
      <c r="F821" s="319" t="n"/>
      <c r="G821" s="319" t="n"/>
      <c r="H821" s="319" t="n"/>
      <c r="I821" s="319" t="n"/>
      <c r="J821" s="319" t="n"/>
      <c r="K821" s="319" t="n"/>
      <c r="L821" s="319" t="n"/>
      <c r="M821" s="319" t="n"/>
      <c r="N821" s="319" t="n"/>
      <c r="O821" s="319" t="n"/>
      <c r="P821" s="319" t="n"/>
      <c r="Q821" s="319" t="n"/>
      <c r="R821" s="319" t="n"/>
      <c r="S821" s="319" t="n"/>
      <c r="T821" s="319" t="n"/>
      <c r="U821" s="319" t="n"/>
      <c r="V821" s="319" t="n"/>
      <c r="W821" s="319" t="n"/>
      <c r="X821" s="319" t="n"/>
      <c r="Y821" s="319" t="n"/>
      <c r="Z821" s="319" t="n"/>
    </row>
    <row r="822">
      <c r="A822" s="319" t="n"/>
      <c r="B822" s="319" t="n"/>
      <c r="C822" s="319" t="n"/>
      <c r="D822" s="319" t="n"/>
      <c r="E822" s="319" t="n"/>
      <c r="F822" s="319" t="n"/>
      <c r="G822" s="319" t="n"/>
      <c r="H822" s="319" t="n"/>
      <c r="I822" s="319" t="n"/>
      <c r="J822" s="319" t="n"/>
      <c r="K822" s="319" t="n"/>
      <c r="L822" s="319" t="n"/>
      <c r="M822" s="319" t="n"/>
      <c r="N822" s="319" t="n"/>
      <c r="O822" s="319" t="n"/>
      <c r="P822" s="319" t="n"/>
      <c r="Q822" s="319" t="n"/>
      <c r="R822" s="319" t="n"/>
      <c r="S822" s="319" t="n"/>
      <c r="T822" s="319" t="n"/>
      <c r="U822" s="319" t="n"/>
      <c r="V822" s="319" t="n"/>
      <c r="W822" s="319" t="n"/>
      <c r="X822" s="319" t="n"/>
      <c r="Y822" s="319" t="n"/>
      <c r="Z822" s="319" t="n"/>
    </row>
    <row r="823">
      <c r="A823" s="319" t="n"/>
      <c r="B823" s="319" t="n"/>
      <c r="C823" s="319" t="n"/>
      <c r="D823" s="319" t="n"/>
      <c r="E823" s="319" t="n"/>
      <c r="F823" s="319" t="n"/>
      <c r="G823" s="319" t="n"/>
      <c r="H823" s="319" t="n"/>
      <c r="I823" s="319" t="n"/>
      <c r="J823" s="319" t="n"/>
      <c r="K823" s="319" t="n"/>
      <c r="L823" s="319" t="n"/>
      <c r="M823" s="319" t="n"/>
      <c r="N823" s="319" t="n"/>
      <c r="O823" s="319" t="n"/>
      <c r="P823" s="319" t="n"/>
      <c r="Q823" s="319" t="n"/>
      <c r="R823" s="319" t="n"/>
      <c r="S823" s="319" t="n"/>
      <c r="T823" s="319" t="n"/>
      <c r="U823" s="319" t="n"/>
      <c r="V823" s="319" t="n"/>
      <c r="W823" s="319" t="n"/>
      <c r="X823" s="319" t="n"/>
      <c r="Y823" s="319" t="n"/>
      <c r="Z823" s="319" t="n"/>
    </row>
    <row r="824">
      <c r="A824" s="319" t="n"/>
      <c r="B824" s="319" t="n"/>
      <c r="C824" s="319" t="n"/>
      <c r="D824" s="319" t="n"/>
      <c r="E824" s="319" t="n"/>
      <c r="F824" s="319" t="n"/>
      <c r="G824" s="319" t="n"/>
      <c r="H824" s="319" t="n"/>
      <c r="I824" s="319" t="n"/>
      <c r="J824" s="319" t="n"/>
      <c r="K824" s="319" t="n"/>
      <c r="L824" s="319" t="n"/>
      <c r="M824" s="319" t="n"/>
      <c r="N824" s="319" t="n"/>
      <c r="O824" s="319" t="n"/>
      <c r="P824" s="319" t="n"/>
      <c r="Q824" s="319" t="n"/>
      <c r="R824" s="319" t="n"/>
      <c r="S824" s="319" t="n"/>
      <c r="T824" s="319" t="n"/>
      <c r="U824" s="319" t="n"/>
      <c r="V824" s="319" t="n"/>
      <c r="W824" s="319" t="n"/>
      <c r="X824" s="319" t="n"/>
      <c r="Y824" s="319" t="n"/>
      <c r="Z824" s="319" t="n"/>
    </row>
    <row r="825">
      <c r="A825" s="319" t="n"/>
      <c r="B825" s="319" t="n"/>
      <c r="C825" s="319" t="n"/>
      <c r="D825" s="319" t="n"/>
      <c r="E825" s="319" t="n"/>
      <c r="F825" s="319" t="n"/>
      <c r="G825" s="319" t="n"/>
      <c r="H825" s="319" t="n"/>
      <c r="I825" s="319" t="n"/>
      <c r="J825" s="319" t="n"/>
      <c r="K825" s="319" t="n"/>
      <c r="L825" s="319" t="n"/>
      <c r="M825" s="319" t="n"/>
      <c r="N825" s="319" t="n"/>
      <c r="O825" s="319" t="n"/>
      <c r="P825" s="319" t="n"/>
      <c r="Q825" s="319" t="n"/>
      <c r="R825" s="319" t="n"/>
      <c r="S825" s="319" t="n"/>
      <c r="T825" s="319" t="n"/>
      <c r="U825" s="319" t="n"/>
      <c r="V825" s="319" t="n"/>
      <c r="W825" s="319" t="n"/>
      <c r="X825" s="319" t="n"/>
      <c r="Y825" s="319" t="n"/>
      <c r="Z825" s="319" t="n"/>
    </row>
    <row r="826">
      <c r="A826" s="319" t="n"/>
      <c r="B826" s="319" t="n"/>
      <c r="C826" s="319" t="n"/>
      <c r="D826" s="319" t="n"/>
      <c r="E826" s="319" t="n"/>
      <c r="F826" s="319" t="n"/>
      <c r="G826" s="319" t="n"/>
      <c r="H826" s="319" t="n"/>
      <c r="I826" s="319" t="n"/>
      <c r="J826" s="319" t="n"/>
      <c r="K826" s="319" t="n"/>
      <c r="L826" s="319" t="n"/>
      <c r="M826" s="319" t="n"/>
      <c r="N826" s="319" t="n"/>
      <c r="O826" s="319" t="n"/>
      <c r="P826" s="319" t="n"/>
      <c r="Q826" s="319" t="n"/>
      <c r="R826" s="319" t="n"/>
      <c r="S826" s="319" t="n"/>
      <c r="T826" s="319" t="n"/>
      <c r="U826" s="319" t="n"/>
      <c r="V826" s="319" t="n"/>
      <c r="W826" s="319" t="n"/>
      <c r="X826" s="319" t="n"/>
      <c r="Y826" s="319" t="n"/>
      <c r="Z826" s="319" t="n"/>
    </row>
    <row r="827">
      <c r="A827" s="319" t="n"/>
      <c r="B827" s="319" t="n"/>
      <c r="C827" s="319" t="n"/>
      <c r="D827" s="319" t="n"/>
      <c r="E827" s="319" t="n"/>
      <c r="F827" s="319" t="n"/>
      <c r="G827" s="319" t="n"/>
      <c r="H827" s="319" t="n"/>
      <c r="I827" s="319" t="n"/>
      <c r="J827" s="319" t="n"/>
      <c r="K827" s="319" t="n"/>
      <c r="L827" s="319" t="n"/>
      <c r="M827" s="319" t="n"/>
      <c r="N827" s="319" t="n"/>
      <c r="O827" s="319" t="n"/>
      <c r="P827" s="319" t="n"/>
      <c r="Q827" s="319" t="n"/>
      <c r="R827" s="319" t="n"/>
      <c r="S827" s="319" t="n"/>
      <c r="T827" s="319" t="n"/>
      <c r="U827" s="319" t="n"/>
      <c r="V827" s="319" t="n"/>
      <c r="W827" s="319" t="n"/>
      <c r="X827" s="319" t="n"/>
      <c r="Y827" s="319" t="n"/>
      <c r="Z827" s="319" t="n"/>
    </row>
    <row r="828">
      <c r="A828" s="319" t="n"/>
      <c r="B828" s="319" t="n"/>
      <c r="C828" s="319" t="n"/>
      <c r="D828" s="319" t="n"/>
      <c r="E828" s="319" t="n"/>
      <c r="F828" s="319" t="n"/>
      <c r="G828" s="319" t="n"/>
      <c r="H828" s="319" t="n"/>
      <c r="I828" s="319" t="n"/>
      <c r="J828" s="319" t="n"/>
      <c r="K828" s="319" t="n"/>
      <c r="L828" s="319" t="n"/>
      <c r="M828" s="319" t="n"/>
      <c r="N828" s="319" t="n"/>
      <c r="O828" s="319" t="n"/>
      <c r="P828" s="319" t="n"/>
      <c r="Q828" s="319" t="n"/>
      <c r="R828" s="319" t="n"/>
      <c r="S828" s="319" t="n"/>
      <c r="T828" s="319" t="n"/>
      <c r="U828" s="319" t="n"/>
      <c r="V828" s="319" t="n"/>
      <c r="W828" s="319" t="n"/>
      <c r="X828" s="319" t="n"/>
      <c r="Y828" s="319" t="n"/>
      <c r="Z828" s="319" t="n"/>
    </row>
    <row r="829">
      <c r="A829" s="319" t="n"/>
      <c r="B829" s="319" t="n"/>
      <c r="C829" s="319" t="n"/>
      <c r="D829" s="319" t="n"/>
      <c r="E829" s="319" t="n"/>
      <c r="F829" s="319" t="n"/>
      <c r="G829" s="319" t="n"/>
      <c r="H829" s="319" t="n"/>
      <c r="I829" s="319" t="n"/>
      <c r="J829" s="319" t="n"/>
      <c r="K829" s="319" t="n"/>
      <c r="L829" s="319" t="n"/>
      <c r="M829" s="319" t="n"/>
      <c r="N829" s="319" t="n"/>
      <c r="O829" s="319" t="n"/>
      <c r="P829" s="319" t="n"/>
      <c r="Q829" s="319" t="n"/>
      <c r="R829" s="319" t="n"/>
      <c r="S829" s="319" t="n"/>
      <c r="T829" s="319" t="n"/>
      <c r="U829" s="319" t="n"/>
      <c r="V829" s="319" t="n"/>
      <c r="W829" s="319" t="n"/>
      <c r="X829" s="319" t="n"/>
      <c r="Y829" s="319" t="n"/>
      <c r="Z829" s="319" t="n"/>
    </row>
    <row r="830">
      <c r="A830" s="319" t="n"/>
      <c r="B830" s="319" t="n"/>
      <c r="C830" s="319" t="n"/>
      <c r="D830" s="319" t="n"/>
      <c r="E830" s="319" t="n"/>
      <c r="F830" s="319" t="n"/>
      <c r="G830" s="319" t="n"/>
      <c r="H830" s="319" t="n"/>
      <c r="I830" s="319" t="n"/>
      <c r="J830" s="319" t="n"/>
      <c r="K830" s="319" t="n"/>
      <c r="L830" s="319" t="n"/>
      <c r="M830" s="319" t="n"/>
      <c r="N830" s="319" t="n"/>
      <c r="O830" s="319" t="n"/>
      <c r="P830" s="319" t="n"/>
      <c r="Q830" s="319" t="n"/>
      <c r="R830" s="319" t="n"/>
      <c r="S830" s="319" t="n"/>
      <c r="T830" s="319" t="n"/>
      <c r="U830" s="319" t="n"/>
      <c r="V830" s="319" t="n"/>
      <c r="W830" s="319" t="n"/>
      <c r="X830" s="319" t="n"/>
      <c r="Y830" s="319" t="n"/>
      <c r="Z830" s="319" t="n"/>
    </row>
    <row r="831">
      <c r="A831" s="319" t="n"/>
      <c r="B831" s="319" t="n"/>
      <c r="C831" s="319" t="n"/>
      <c r="D831" s="319" t="n"/>
      <c r="E831" s="319" t="n"/>
      <c r="F831" s="319" t="n"/>
      <c r="G831" s="319" t="n"/>
      <c r="H831" s="319" t="n"/>
      <c r="I831" s="319" t="n"/>
      <c r="J831" s="319" t="n"/>
      <c r="K831" s="319" t="n"/>
      <c r="L831" s="319" t="n"/>
      <c r="M831" s="319" t="n"/>
      <c r="N831" s="319" t="n"/>
      <c r="O831" s="319" t="n"/>
      <c r="P831" s="319" t="n"/>
      <c r="Q831" s="319" t="n"/>
      <c r="R831" s="319" t="n"/>
      <c r="S831" s="319" t="n"/>
      <c r="T831" s="319" t="n"/>
      <c r="U831" s="319" t="n"/>
      <c r="V831" s="319" t="n"/>
      <c r="W831" s="319" t="n"/>
      <c r="X831" s="319" t="n"/>
      <c r="Y831" s="319" t="n"/>
      <c r="Z831" s="319" t="n"/>
    </row>
    <row r="832">
      <c r="A832" s="319" t="n"/>
      <c r="B832" s="319" t="n"/>
      <c r="C832" s="319" t="n"/>
      <c r="D832" s="319" t="n"/>
      <c r="E832" s="319" t="n"/>
      <c r="F832" s="319" t="n"/>
      <c r="G832" s="319" t="n"/>
      <c r="H832" s="319" t="n"/>
      <c r="I832" s="319" t="n"/>
      <c r="J832" s="319" t="n"/>
      <c r="K832" s="319" t="n"/>
      <c r="L832" s="319" t="n"/>
      <c r="M832" s="319" t="n"/>
      <c r="N832" s="319" t="n"/>
      <c r="O832" s="319" t="n"/>
      <c r="P832" s="319" t="n"/>
      <c r="Q832" s="319" t="n"/>
      <c r="R832" s="319" t="n"/>
      <c r="S832" s="319" t="n"/>
      <c r="T832" s="319" t="n"/>
      <c r="U832" s="319" t="n"/>
      <c r="V832" s="319" t="n"/>
      <c r="W832" s="319" t="n"/>
      <c r="X832" s="319" t="n"/>
      <c r="Y832" s="319" t="n"/>
      <c r="Z832" s="319" t="n"/>
    </row>
    <row r="833">
      <c r="A833" s="319" t="n"/>
      <c r="B833" s="319" t="n"/>
      <c r="C833" s="319" t="n"/>
      <c r="D833" s="319" t="n"/>
      <c r="E833" s="319" t="n"/>
      <c r="F833" s="319" t="n"/>
      <c r="G833" s="319" t="n"/>
      <c r="H833" s="319" t="n"/>
      <c r="I833" s="319" t="n"/>
      <c r="J833" s="319" t="n"/>
      <c r="K833" s="319" t="n"/>
      <c r="L833" s="319" t="n"/>
      <c r="M833" s="319" t="n"/>
      <c r="N833" s="319" t="n"/>
      <c r="O833" s="319" t="n"/>
      <c r="P833" s="319" t="n"/>
      <c r="Q833" s="319" t="n"/>
      <c r="R833" s="319" t="n"/>
      <c r="S833" s="319" t="n"/>
      <c r="T833" s="319" t="n"/>
      <c r="U833" s="319" t="n"/>
      <c r="V833" s="319" t="n"/>
      <c r="W833" s="319" t="n"/>
      <c r="X833" s="319" t="n"/>
      <c r="Y833" s="319" t="n"/>
      <c r="Z833" s="319" t="n"/>
    </row>
    <row r="834">
      <c r="A834" s="319" t="n"/>
      <c r="B834" s="319" t="n"/>
      <c r="C834" s="319" t="n"/>
      <c r="D834" s="319" t="n"/>
      <c r="E834" s="319" t="n"/>
      <c r="F834" s="319" t="n"/>
      <c r="G834" s="319" t="n"/>
      <c r="H834" s="319" t="n"/>
      <c r="I834" s="319" t="n"/>
      <c r="J834" s="319" t="n"/>
      <c r="K834" s="319" t="n"/>
      <c r="L834" s="319" t="n"/>
      <c r="M834" s="319" t="n"/>
      <c r="N834" s="319" t="n"/>
      <c r="O834" s="319" t="n"/>
      <c r="P834" s="319" t="n"/>
      <c r="Q834" s="319" t="n"/>
      <c r="R834" s="319" t="n"/>
      <c r="S834" s="319" t="n"/>
      <c r="T834" s="319" t="n"/>
      <c r="U834" s="319" t="n"/>
      <c r="V834" s="319" t="n"/>
      <c r="W834" s="319" t="n"/>
      <c r="X834" s="319" t="n"/>
      <c r="Y834" s="319" t="n"/>
      <c r="Z834" s="319" t="n"/>
    </row>
    <row r="835">
      <c r="A835" s="319" t="n"/>
      <c r="B835" s="319" t="n"/>
      <c r="C835" s="319" t="n"/>
      <c r="D835" s="319" t="n"/>
      <c r="E835" s="319" t="n"/>
      <c r="F835" s="319" t="n"/>
      <c r="G835" s="319" t="n"/>
      <c r="H835" s="319" t="n"/>
      <c r="I835" s="319" t="n"/>
      <c r="J835" s="319" t="n"/>
      <c r="K835" s="319" t="n"/>
      <c r="L835" s="319" t="n"/>
      <c r="M835" s="319" t="n"/>
      <c r="N835" s="319" t="n"/>
      <c r="O835" s="319" t="n"/>
      <c r="P835" s="319" t="n"/>
      <c r="Q835" s="319" t="n"/>
      <c r="R835" s="319" t="n"/>
      <c r="S835" s="319" t="n"/>
      <c r="T835" s="319" t="n"/>
      <c r="U835" s="319" t="n"/>
      <c r="V835" s="319" t="n"/>
      <c r="W835" s="319" t="n"/>
      <c r="X835" s="319" t="n"/>
      <c r="Y835" s="319" t="n"/>
      <c r="Z835" s="319" t="n"/>
    </row>
    <row r="836">
      <c r="A836" s="319" t="n"/>
      <c r="B836" s="319" t="n"/>
      <c r="C836" s="319" t="n"/>
      <c r="D836" s="319" t="n"/>
      <c r="E836" s="319" t="n"/>
      <c r="F836" s="319" t="n"/>
      <c r="G836" s="319" t="n"/>
      <c r="H836" s="319" t="n"/>
      <c r="I836" s="319" t="n"/>
      <c r="J836" s="319" t="n"/>
      <c r="K836" s="319" t="n"/>
      <c r="L836" s="319" t="n"/>
      <c r="M836" s="319" t="n"/>
      <c r="N836" s="319" t="n"/>
      <c r="O836" s="319" t="n"/>
      <c r="P836" s="319" t="n"/>
      <c r="Q836" s="319" t="n"/>
      <c r="R836" s="319" t="n"/>
      <c r="S836" s="319" t="n"/>
      <c r="T836" s="319" t="n"/>
      <c r="U836" s="319" t="n"/>
      <c r="V836" s="319" t="n"/>
      <c r="W836" s="319" t="n"/>
      <c r="X836" s="319" t="n"/>
      <c r="Y836" s="319" t="n"/>
      <c r="Z836" s="319" t="n"/>
    </row>
    <row r="837">
      <c r="A837" s="319" t="n"/>
      <c r="B837" s="319" t="n"/>
      <c r="C837" s="319" t="n"/>
      <c r="D837" s="319" t="n"/>
      <c r="E837" s="319" t="n"/>
      <c r="F837" s="319" t="n"/>
      <c r="G837" s="319" t="n"/>
      <c r="H837" s="319" t="n"/>
      <c r="I837" s="319" t="n"/>
      <c r="J837" s="319" t="n"/>
      <c r="K837" s="319" t="n"/>
      <c r="L837" s="319" t="n"/>
      <c r="M837" s="319" t="n"/>
      <c r="N837" s="319" t="n"/>
      <c r="O837" s="319" t="n"/>
      <c r="P837" s="319" t="n"/>
      <c r="Q837" s="319" t="n"/>
      <c r="R837" s="319" t="n"/>
      <c r="S837" s="319" t="n"/>
      <c r="T837" s="319" t="n"/>
      <c r="U837" s="319" t="n"/>
      <c r="V837" s="319" t="n"/>
      <c r="W837" s="319" t="n"/>
      <c r="X837" s="319" t="n"/>
      <c r="Y837" s="319" t="n"/>
      <c r="Z837" s="319" t="n"/>
    </row>
    <row r="838">
      <c r="A838" s="319" t="n"/>
      <c r="B838" s="319" t="n"/>
      <c r="C838" s="319" t="n"/>
      <c r="D838" s="319" t="n"/>
      <c r="E838" s="319" t="n"/>
      <c r="F838" s="319" t="n"/>
      <c r="G838" s="319" t="n"/>
      <c r="H838" s="319" t="n"/>
      <c r="I838" s="319" t="n"/>
      <c r="J838" s="319" t="n"/>
      <c r="K838" s="319" t="n"/>
      <c r="L838" s="319" t="n"/>
      <c r="M838" s="319" t="n"/>
      <c r="N838" s="319" t="n"/>
      <c r="O838" s="319" t="n"/>
      <c r="P838" s="319" t="n"/>
      <c r="Q838" s="319" t="n"/>
      <c r="R838" s="319" t="n"/>
      <c r="S838" s="319" t="n"/>
      <c r="T838" s="319" t="n"/>
      <c r="U838" s="319" t="n"/>
      <c r="V838" s="319" t="n"/>
      <c r="W838" s="319" t="n"/>
      <c r="X838" s="319" t="n"/>
      <c r="Y838" s="319" t="n"/>
      <c r="Z838" s="319" t="n"/>
    </row>
    <row r="839">
      <c r="A839" s="319" t="n"/>
      <c r="B839" s="319" t="n"/>
      <c r="C839" s="319" t="n"/>
      <c r="D839" s="319" t="n"/>
      <c r="E839" s="319" t="n"/>
      <c r="F839" s="319" t="n"/>
      <c r="G839" s="319" t="n"/>
      <c r="H839" s="319" t="n"/>
      <c r="I839" s="319" t="n"/>
      <c r="J839" s="319" t="n"/>
      <c r="K839" s="319" t="n"/>
      <c r="L839" s="319" t="n"/>
      <c r="M839" s="319" t="n"/>
      <c r="N839" s="319" t="n"/>
      <c r="O839" s="319" t="n"/>
      <c r="P839" s="319" t="n"/>
      <c r="Q839" s="319" t="n"/>
      <c r="R839" s="319" t="n"/>
      <c r="S839" s="319" t="n"/>
      <c r="T839" s="319" t="n"/>
      <c r="U839" s="319" t="n"/>
      <c r="V839" s="319" t="n"/>
      <c r="W839" s="319" t="n"/>
      <c r="X839" s="319" t="n"/>
      <c r="Y839" s="319" t="n"/>
      <c r="Z839" s="319" t="n"/>
    </row>
    <row r="840">
      <c r="A840" s="319" t="n"/>
      <c r="B840" s="319" t="n"/>
      <c r="C840" s="319" t="n"/>
      <c r="D840" s="319" t="n"/>
      <c r="E840" s="319" t="n"/>
      <c r="F840" s="319" t="n"/>
      <c r="G840" s="319" t="n"/>
      <c r="H840" s="319" t="n"/>
      <c r="I840" s="319" t="n"/>
      <c r="J840" s="319" t="n"/>
      <c r="K840" s="319" t="n"/>
      <c r="L840" s="319" t="n"/>
      <c r="M840" s="319" t="n"/>
      <c r="N840" s="319" t="n"/>
      <c r="O840" s="319" t="n"/>
      <c r="P840" s="319" t="n"/>
      <c r="Q840" s="319" t="n"/>
      <c r="R840" s="319" t="n"/>
      <c r="S840" s="319" t="n"/>
      <c r="T840" s="319" t="n"/>
      <c r="U840" s="319" t="n"/>
      <c r="V840" s="319" t="n"/>
      <c r="W840" s="319" t="n"/>
      <c r="X840" s="319" t="n"/>
      <c r="Y840" s="319" t="n"/>
      <c r="Z840" s="319" t="n"/>
    </row>
    <row r="841">
      <c r="A841" s="319" t="n"/>
      <c r="B841" s="319" t="n"/>
      <c r="C841" s="319" t="n"/>
      <c r="D841" s="319" t="n"/>
      <c r="E841" s="319" t="n"/>
      <c r="F841" s="319" t="n"/>
      <c r="G841" s="319" t="n"/>
      <c r="H841" s="319" t="n"/>
      <c r="I841" s="319" t="n"/>
      <c r="J841" s="319" t="n"/>
      <c r="K841" s="319" t="n"/>
      <c r="L841" s="319" t="n"/>
      <c r="M841" s="319" t="n"/>
      <c r="N841" s="319" t="n"/>
      <c r="O841" s="319" t="n"/>
      <c r="P841" s="319" t="n"/>
      <c r="Q841" s="319" t="n"/>
      <c r="R841" s="319" t="n"/>
      <c r="S841" s="319" t="n"/>
      <c r="T841" s="319" t="n"/>
      <c r="U841" s="319" t="n"/>
      <c r="V841" s="319" t="n"/>
      <c r="W841" s="319" t="n"/>
      <c r="X841" s="319" t="n"/>
      <c r="Y841" s="319" t="n"/>
      <c r="Z841" s="319" t="n"/>
    </row>
    <row r="842">
      <c r="A842" s="319" t="n"/>
      <c r="B842" s="319" t="n"/>
      <c r="C842" s="319" t="n"/>
      <c r="D842" s="319" t="n"/>
      <c r="E842" s="319" t="n"/>
      <c r="F842" s="319" t="n"/>
      <c r="G842" s="319" t="n"/>
      <c r="H842" s="319" t="n"/>
      <c r="I842" s="319" t="n"/>
      <c r="J842" s="319" t="n"/>
      <c r="K842" s="319" t="n"/>
      <c r="L842" s="319" t="n"/>
      <c r="M842" s="319" t="n"/>
      <c r="N842" s="319" t="n"/>
      <c r="O842" s="319" t="n"/>
      <c r="P842" s="319" t="n"/>
      <c r="Q842" s="319" t="n"/>
      <c r="R842" s="319" t="n"/>
      <c r="S842" s="319" t="n"/>
      <c r="T842" s="319" t="n"/>
      <c r="U842" s="319" t="n"/>
      <c r="V842" s="319" t="n"/>
      <c r="W842" s="319" t="n"/>
      <c r="X842" s="319" t="n"/>
      <c r="Y842" s="319" t="n"/>
      <c r="Z842" s="319" t="n"/>
    </row>
    <row r="843">
      <c r="A843" s="319" t="n"/>
      <c r="B843" s="319" t="n"/>
      <c r="C843" s="319" t="n"/>
      <c r="D843" s="319" t="n"/>
      <c r="E843" s="319" t="n"/>
      <c r="F843" s="319" t="n"/>
      <c r="G843" s="319" t="n"/>
      <c r="H843" s="319" t="n"/>
      <c r="I843" s="319" t="n"/>
      <c r="J843" s="319" t="n"/>
      <c r="K843" s="319" t="n"/>
      <c r="L843" s="319" t="n"/>
      <c r="M843" s="319" t="n"/>
      <c r="N843" s="319" t="n"/>
      <c r="O843" s="319" t="n"/>
      <c r="P843" s="319" t="n"/>
      <c r="Q843" s="319" t="n"/>
      <c r="R843" s="319" t="n"/>
      <c r="S843" s="319" t="n"/>
      <c r="T843" s="319" t="n"/>
      <c r="U843" s="319" t="n"/>
      <c r="V843" s="319" t="n"/>
      <c r="W843" s="319" t="n"/>
      <c r="X843" s="319" t="n"/>
      <c r="Y843" s="319" t="n"/>
      <c r="Z843" s="319" t="n"/>
    </row>
    <row r="844">
      <c r="A844" s="319" t="n"/>
      <c r="B844" s="319" t="n"/>
      <c r="C844" s="319" t="n"/>
      <c r="D844" s="319" t="n"/>
      <c r="E844" s="319" t="n"/>
      <c r="F844" s="319" t="n"/>
      <c r="G844" s="319" t="n"/>
      <c r="H844" s="319" t="n"/>
      <c r="I844" s="319" t="n"/>
      <c r="J844" s="319" t="n"/>
      <c r="K844" s="319" t="n"/>
      <c r="L844" s="319" t="n"/>
      <c r="M844" s="319" t="n"/>
      <c r="N844" s="319" t="n"/>
      <c r="O844" s="319" t="n"/>
      <c r="P844" s="319" t="n"/>
      <c r="Q844" s="319" t="n"/>
      <c r="R844" s="319" t="n"/>
      <c r="S844" s="319" t="n"/>
      <c r="T844" s="319" t="n"/>
      <c r="U844" s="319" t="n"/>
      <c r="V844" s="319" t="n"/>
      <c r="W844" s="319" t="n"/>
      <c r="X844" s="319" t="n"/>
      <c r="Y844" s="319" t="n"/>
      <c r="Z844" s="319" t="n"/>
    </row>
    <row r="845">
      <c r="A845" s="319" t="n"/>
      <c r="B845" s="319" t="n"/>
      <c r="C845" s="319" t="n"/>
      <c r="D845" s="319" t="n"/>
      <c r="E845" s="319" t="n"/>
      <c r="F845" s="319" t="n"/>
      <c r="G845" s="319" t="n"/>
      <c r="H845" s="319" t="n"/>
      <c r="I845" s="319" t="n"/>
      <c r="J845" s="319" t="n"/>
      <c r="K845" s="319" t="n"/>
      <c r="L845" s="319" t="n"/>
      <c r="M845" s="319" t="n"/>
      <c r="N845" s="319" t="n"/>
      <c r="O845" s="319" t="n"/>
      <c r="P845" s="319" t="n"/>
      <c r="Q845" s="319" t="n"/>
      <c r="R845" s="319" t="n"/>
      <c r="S845" s="319" t="n"/>
      <c r="T845" s="319" t="n"/>
      <c r="U845" s="319" t="n"/>
      <c r="V845" s="319" t="n"/>
      <c r="W845" s="319" t="n"/>
      <c r="X845" s="319" t="n"/>
      <c r="Y845" s="319" t="n"/>
      <c r="Z845" s="319" t="n"/>
    </row>
    <row r="846">
      <c r="A846" s="319" t="n"/>
      <c r="B846" s="319" t="n"/>
      <c r="C846" s="319" t="n"/>
      <c r="D846" s="319" t="n"/>
      <c r="E846" s="319" t="n"/>
      <c r="F846" s="319" t="n"/>
      <c r="G846" s="319" t="n"/>
      <c r="H846" s="319" t="n"/>
      <c r="I846" s="319" t="n"/>
      <c r="J846" s="319" t="n"/>
      <c r="K846" s="319" t="n"/>
      <c r="L846" s="319" t="n"/>
      <c r="M846" s="319" t="n"/>
      <c r="N846" s="319" t="n"/>
      <c r="O846" s="319" t="n"/>
      <c r="P846" s="319" t="n"/>
      <c r="Q846" s="319" t="n"/>
      <c r="R846" s="319" t="n"/>
      <c r="S846" s="319" t="n"/>
      <c r="T846" s="319" t="n"/>
      <c r="U846" s="319" t="n"/>
      <c r="V846" s="319" t="n"/>
      <c r="W846" s="319" t="n"/>
      <c r="X846" s="319" t="n"/>
      <c r="Y846" s="319" t="n"/>
      <c r="Z846" s="319" t="n"/>
    </row>
    <row r="847">
      <c r="A847" s="319" t="n"/>
      <c r="B847" s="319" t="n"/>
      <c r="C847" s="319" t="n"/>
      <c r="D847" s="319" t="n"/>
      <c r="E847" s="319" t="n"/>
      <c r="F847" s="319" t="n"/>
      <c r="G847" s="319" t="n"/>
      <c r="H847" s="319" t="n"/>
      <c r="I847" s="319" t="n"/>
      <c r="J847" s="319" t="n"/>
      <c r="K847" s="319" t="n"/>
      <c r="L847" s="319" t="n"/>
      <c r="M847" s="319" t="n"/>
      <c r="N847" s="319" t="n"/>
      <c r="O847" s="319" t="n"/>
      <c r="P847" s="319" t="n"/>
      <c r="Q847" s="319" t="n"/>
      <c r="R847" s="319" t="n"/>
      <c r="S847" s="319" t="n"/>
      <c r="T847" s="319" t="n"/>
      <c r="U847" s="319" t="n"/>
      <c r="V847" s="319" t="n"/>
      <c r="W847" s="319" t="n"/>
      <c r="X847" s="319" t="n"/>
      <c r="Y847" s="319" t="n"/>
      <c r="Z847" s="319" t="n"/>
    </row>
    <row r="848">
      <c r="A848" s="319" t="n"/>
      <c r="B848" s="319" t="n"/>
      <c r="C848" s="319" t="n"/>
      <c r="D848" s="319" t="n"/>
      <c r="E848" s="319" t="n"/>
      <c r="F848" s="319" t="n"/>
      <c r="G848" s="319" t="n"/>
      <c r="H848" s="319" t="n"/>
      <c r="I848" s="319" t="n"/>
      <c r="J848" s="319" t="n"/>
      <c r="K848" s="319" t="n"/>
      <c r="L848" s="319" t="n"/>
      <c r="M848" s="319" t="n"/>
      <c r="N848" s="319" t="n"/>
      <c r="O848" s="319" t="n"/>
      <c r="P848" s="319" t="n"/>
      <c r="Q848" s="319" t="n"/>
      <c r="R848" s="319" t="n"/>
      <c r="S848" s="319" t="n"/>
      <c r="T848" s="319" t="n"/>
      <c r="U848" s="319" t="n"/>
      <c r="V848" s="319" t="n"/>
      <c r="W848" s="319" t="n"/>
      <c r="X848" s="319" t="n"/>
      <c r="Y848" s="319" t="n"/>
      <c r="Z848" s="319" t="n"/>
    </row>
    <row r="849">
      <c r="A849" s="319" t="n"/>
      <c r="B849" s="319" t="n"/>
      <c r="C849" s="319" t="n"/>
      <c r="D849" s="319" t="n"/>
      <c r="E849" s="319" t="n"/>
      <c r="F849" s="319" t="n"/>
      <c r="G849" s="319" t="n"/>
      <c r="H849" s="319" t="n"/>
      <c r="I849" s="319" t="n"/>
      <c r="J849" s="319" t="n"/>
      <c r="K849" s="319" t="n"/>
      <c r="L849" s="319" t="n"/>
      <c r="M849" s="319" t="n"/>
      <c r="N849" s="319" t="n"/>
      <c r="O849" s="319" t="n"/>
      <c r="P849" s="319" t="n"/>
      <c r="Q849" s="319" t="n"/>
      <c r="R849" s="319" t="n"/>
      <c r="S849" s="319" t="n"/>
      <c r="T849" s="319" t="n"/>
      <c r="U849" s="319" t="n"/>
      <c r="V849" s="319" t="n"/>
      <c r="W849" s="319" t="n"/>
      <c r="X849" s="319" t="n"/>
      <c r="Y849" s="319" t="n"/>
      <c r="Z849" s="319" t="n"/>
    </row>
    <row r="850">
      <c r="A850" s="319" t="n"/>
      <c r="B850" s="319" t="n"/>
      <c r="C850" s="319" t="n"/>
      <c r="D850" s="319" t="n"/>
      <c r="E850" s="319" t="n"/>
      <c r="F850" s="319" t="n"/>
      <c r="G850" s="319" t="n"/>
      <c r="H850" s="319" t="n"/>
      <c r="I850" s="319" t="n"/>
      <c r="J850" s="319" t="n"/>
      <c r="K850" s="319" t="n"/>
      <c r="L850" s="319" t="n"/>
      <c r="M850" s="319" t="n"/>
      <c r="N850" s="319" t="n"/>
      <c r="O850" s="319" t="n"/>
      <c r="P850" s="319" t="n"/>
      <c r="Q850" s="319" t="n"/>
      <c r="R850" s="319" t="n"/>
      <c r="S850" s="319" t="n"/>
      <c r="T850" s="319" t="n"/>
      <c r="U850" s="319" t="n"/>
      <c r="V850" s="319" t="n"/>
      <c r="W850" s="319" t="n"/>
      <c r="X850" s="319" t="n"/>
      <c r="Y850" s="319" t="n"/>
      <c r="Z850" s="319" t="n"/>
    </row>
    <row r="851">
      <c r="A851" s="319" t="n"/>
      <c r="B851" s="319" t="n"/>
      <c r="C851" s="319" t="n"/>
      <c r="D851" s="319" t="n"/>
      <c r="E851" s="319" t="n"/>
      <c r="F851" s="319" t="n"/>
      <c r="G851" s="319" t="n"/>
      <c r="H851" s="319" t="n"/>
      <c r="I851" s="319" t="n"/>
      <c r="J851" s="319" t="n"/>
      <c r="K851" s="319" t="n"/>
      <c r="L851" s="319" t="n"/>
      <c r="M851" s="319" t="n"/>
      <c r="N851" s="319" t="n"/>
      <c r="O851" s="319" t="n"/>
      <c r="P851" s="319" t="n"/>
      <c r="Q851" s="319" t="n"/>
      <c r="R851" s="319" t="n"/>
      <c r="S851" s="319" t="n"/>
      <c r="T851" s="319" t="n"/>
      <c r="U851" s="319" t="n"/>
      <c r="V851" s="319" t="n"/>
      <c r="W851" s="319" t="n"/>
      <c r="X851" s="319" t="n"/>
      <c r="Y851" s="319" t="n"/>
      <c r="Z851" s="319" t="n"/>
    </row>
    <row r="852">
      <c r="A852" s="319" t="n"/>
      <c r="B852" s="319" t="n"/>
      <c r="C852" s="319" t="n"/>
      <c r="D852" s="319" t="n"/>
      <c r="E852" s="319" t="n"/>
      <c r="F852" s="319" t="n"/>
      <c r="G852" s="319" t="n"/>
      <c r="H852" s="319" t="n"/>
      <c r="I852" s="319" t="n"/>
      <c r="J852" s="319" t="n"/>
      <c r="K852" s="319" t="n"/>
      <c r="L852" s="319" t="n"/>
      <c r="M852" s="319" t="n"/>
      <c r="N852" s="319" t="n"/>
      <c r="O852" s="319" t="n"/>
      <c r="P852" s="319" t="n"/>
      <c r="Q852" s="319" t="n"/>
      <c r="R852" s="319" t="n"/>
      <c r="S852" s="319" t="n"/>
      <c r="T852" s="319" t="n"/>
      <c r="U852" s="319" t="n"/>
      <c r="V852" s="319" t="n"/>
      <c r="W852" s="319" t="n"/>
      <c r="X852" s="319" t="n"/>
      <c r="Y852" s="319" t="n"/>
      <c r="Z852" s="319" t="n"/>
    </row>
    <row r="853">
      <c r="A853" s="319" t="n"/>
      <c r="B853" s="319" t="n"/>
      <c r="C853" s="319" t="n"/>
      <c r="D853" s="319" t="n"/>
      <c r="E853" s="319" t="n"/>
      <c r="F853" s="319" t="n"/>
      <c r="G853" s="319" t="n"/>
      <c r="H853" s="319" t="n"/>
      <c r="I853" s="319" t="n"/>
      <c r="J853" s="319" t="n"/>
      <c r="K853" s="319" t="n"/>
      <c r="L853" s="319" t="n"/>
      <c r="M853" s="319" t="n"/>
      <c r="N853" s="319" t="n"/>
      <c r="O853" s="319" t="n"/>
      <c r="P853" s="319" t="n"/>
      <c r="Q853" s="319" t="n"/>
      <c r="R853" s="319" t="n"/>
      <c r="S853" s="319" t="n"/>
      <c r="T853" s="319" t="n"/>
      <c r="U853" s="319" t="n"/>
      <c r="V853" s="319" t="n"/>
      <c r="W853" s="319" t="n"/>
      <c r="X853" s="319" t="n"/>
      <c r="Y853" s="319" t="n"/>
      <c r="Z853" s="319" t="n"/>
    </row>
    <row r="854">
      <c r="A854" s="319" t="n"/>
      <c r="B854" s="319" t="n"/>
      <c r="C854" s="319" t="n"/>
      <c r="D854" s="319" t="n"/>
      <c r="E854" s="319" t="n"/>
      <c r="F854" s="319" t="n"/>
      <c r="G854" s="319" t="n"/>
      <c r="H854" s="319" t="n"/>
      <c r="I854" s="319" t="n"/>
      <c r="J854" s="319" t="n"/>
      <c r="K854" s="319" t="n"/>
      <c r="L854" s="319" t="n"/>
      <c r="M854" s="319" t="n"/>
      <c r="N854" s="319" t="n"/>
      <c r="O854" s="319" t="n"/>
      <c r="P854" s="319" t="n"/>
      <c r="Q854" s="319" t="n"/>
      <c r="R854" s="319" t="n"/>
      <c r="S854" s="319" t="n"/>
      <c r="T854" s="319" t="n"/>
      <c r="U854" s="319" t="n"/>
      <c r="V854" s="319" t="n"/>
      <c r="W854" s="319" t="n"/>
      <c r="X854" s="319" t="n"/>
      <c r="Y854" s="319" t="n"/>
      <c r="Z854" s="319" t="n"/>
    </row>
    <row r="855">
      <c r="A855" s="319" t="n"/>
      <c r="B855" s="319" t="n"/>
      <c r="C855" s="319" t="n"/>
      <c r="D855" s="319" t="n"/>
      <c r="E855" s="319" t="n"/>
      <c r="F855" s="319" t="n"/>
      <c r="G855" s="319" t="n"/>
      <c r="H855" s="319" t="n"/>
      <c r="I855" s="319" t="n"/>
      <c r="J855" s="319" t="n"/>
      <c r="K855" s="319" t="n"/>
      <c r="L855" s="319" t="n"/>
      <c r="M855" s="319" t="n"/>
      <c r="N855" s="319" t="n"/>
      <c r="O855" s="319" t="n"/>
      <c r="P855" s="319" t="n"/>
      <c r="Q855" s="319" t="n"/>
      <c r="R855" s="319" t="n"/>
      <c r="S855" s="319" t="n"/>
      <c r="T855" s="319" t="n"/>
      <c r="U855" s="319" t="n"/>
      <c r="V855" s="319" t="n"/>
      <c r="W855" s="319" t="n"/>
      <c r="X855" s="319" t="n"/>
      <c r="Y855" s="319" t="n"/>
      <c r="Z855" s="319" t="n"/>
    </row>
    <row r="856">
      <c r="A856" s="319" t="n"/>
      <c r="B856" s="319" t="n"/>
      <c r="C856" s="319" t="n"/>
      <c r="D856" s="319" t="n"/>
      <c r="E856" s="319" t="n"/>
      <c r="F856" s="319" t="n"/>
      <c r="G856" s="319" t="n"/>
      <c r="H856" s="319" t="n"/>
      <c r="I856" s="319" t="n"/>
      <c r="J856" s="319" t="n"/>
      <c r="K856" s="319" t="n"/>
      <c r="L856" s="319" t="n"/>
      <c r="M856" s="319" t="n"/>
      <c r="N856" s="319" t="n"/>
      <c r="O856" s="319" t="n"/>
      <c r="P856" s="319" t="n"/>
      <c r="Q856" s="319" t="n"/>
      <c r="R856" s="319" t="n"/>
      <c r="S856" s="319" t="n"/>
      <c r="T856" s="319" t="n"/>
      <c r="U856" s="319" t="n"/>
      <c r="V856" s="319" t="n"/>
      <c r="W856" s="319" t="n"/>
      <c r="X856" s="319" t="n"/>
      <c r="Y856" s="319" t="n"/>
      <c r="Z856" s="319" t="n"/>
    </row>
    <row r="857">
      <c r="A857" s="319" t="n"/>
      <c r="B857" s="319" t="n"/>
      <c r="C857" s="319" t="n"/>
      <c r="D857" s="319" t="n"/>
      <c r="E857" s="319" t="n"/>
      <c r="F857" s="319" t="n"/>
      <c r="G857" s="319" t="n"/>
      <c r="H857" s="319" t="n"/>
      <c r="I857" s="319" t="n"/>
      <c r="J857" s="319" t="n"/>
      <c r="K857" s="319" t="n"/>
      <c r="L857" s="319" t="n"/>
      <c r="M857" s="319" t="n"/>
      <c r="N857" s="319" t="n"/>
      <c r="O857" s="319" t="n"/>
      <c r="P857" s="319" t="n"/>
      <c r="Q857" s="319" t="n"/>
      <c r="R857" s="319" t="n"/>
      <c r="S857" s="319" t="n"/>
      <c r="T857" s="319" t="n"/>
      <c r="U857" s="319" t="n"/>
      <c r="V857" s="319" t="n"/>
      <c r="W857" s="319" t="n"/>
      <c r="X857" s="319" t="n"/>
      <c r="Y857" s="319" t="n"/>
      <c r="Z857" s="319" t="n"/>
    </row>
    <row r="858">
      <c r="A858" s="319" t="n"/>
      <c r="B858" s="319" t="n"/>
      <c r="C858" s="319" t="n"/>
      <c r="D858" s="319" t="n"/>
      <c r="E858" s="319" t="n"/>
      <c r="F858" s="319" t="n"/>
      <c r="G858" s="319" t="n"/>
      <c r="H858" s="319" t="n"/>
      <c r="I858" s="319" t="n"/>
      <c r="J858" s="319" t="n"/>
      <c r="K858" s="319" t="n"/>
      <c r="L858" s="319" t="n"/>
      <c r="M858" s="319" t="n"/>
      <c r="N858" s="319" t="n"/>
      <c r="O858" s="319" t="n"/>
      <c r="P858" s="319" t="n"/>
      <c r="Q858" s="319" t="n"/>
      <c r="R858" s="319" t="n"/>
      <c r="S858" s="319" t="n"/>
      <c r="T858" s="319" t="n"/>
      <c r="U858" s="319" t="n"/>
      <c r="V858" s="319" t="n"/>
      <c r="W858" s="319" t="n"/>
      <c r="X858" s="319" t="n"/>
      <c r="Y858" s="319" t="n"/>
      <c r="Z858" s="319" t="n"/>
    </row>
    <row r="859">
      <c r="A859" s="319" t="n"/>
      <c r="B859" s="319" t="n"/>
      <c r="C859" s="319" t="n"/>
      <c r="D859" s="319" t="n"/>
      <c r="E859" s="319" t="n"/>
      <c r="F859" s="319" t="n"/>
      <c r="G859" s="319" t="n"/>
      <c r="H859" s="319" t="n"/>
      <c r="I859" s="319" t="n"/>
      <c r="J859" s="319" t="n"/>
      <c r="K859" s="319" t="n"/>
      <c r="L859" s="319" t="n"/>
      <c r="M859" s="319" t="n"/>
      <c r="N859" s="319" t="n"/>
      <c r="O859" s="319" t="n"/>
      <c r="P859" s="319" t="n"/>
      <c r="Q859" s="319" t="n"/>
      <c r="R859" s="319" t="n"/>
      <c r="S859" s="319" t="n"/>
      <c r="T859" s="319" t="n"/>
      <c r="U859" s="319" t="n"/>
      <c r="V859" s="319" t="n"/>
      <c r="W859" s="319" t="n"/>
      <c r="X859" s="319" t="n"/>
      <c r="Y859" s="319" t="n"/>
      <c r="Z859" s="319" t="n"/>
    </row>
    <row r="860">
      <c r="A860" s="319" t="n"/>
      <c r="B860" s="319" t="n"/>
      <c r="C860" s="319" t="n"/>
      <c r="D860" s="319" t="n"/>
      <c r="E860" s="319" t="n"/>
      <c r="F860" s="319" t="n"/>
      <c r="G860" s="319" t="n"/>
      <c r="H860" s="319" t="n"/>
      <c r="I860" s="319" t="n"/>
      <c r="J860" s="319" t="n"/>
      <c r="K860" s="319" t="n"/>
      <c r="L860" s="319" t="n"/>
      <c r="M860" s="319" t="n"/>
      <c r="N860" s="319" t="n"/>
      <c r="O860" s="319" t="n"/>
      <c r="P860" s="319" t="n"/>
      <c r="Q860" s="319" t="n"/>
      <c r="R860" s="319" t="n"/>
      <c r="S860" s="319" t="n"/>
      <c r="T860" s="319" t="n"/>
      <c r="U860" s="319" t="n"/>
      <c r="V860" s="319" t="n"/>
      <c r="W860" s="319" t="n"/>
      <c r="X860" s="319" t="n"/>
      <c r="Y860" s="319" t="n"/>
      <c r="Z860" s="319" t="n"/>
    </row>
    <row r="861">
      <c r="A861" s="319" t="n"/>
      <c r="B861" s="319" t="n"/>
      <c r="C861" s="319" t="n"/>
      <c r="D861" s="319" t="n"/>
      <c r="E861" s="319" t="n"/>
      <c r="F861" s="319" t="n"/>
      <c r="G861" s="319" t="n"/>
      <c r="H861" s="319" t="n"/>
      <c r="I861" s="319" t="n"/>
      <c r="J861" s="319" t="n"/>
      <c r="K861" s="319" t="n"/>
      <c r="L861" s="319" t="n"/>
      <c r="M861" s="319" t="n"/>
      <c r="N861" s="319" t="n"/>
      <c r="O861" s="319" t="n"/>
      <c r="P861" s="319" t="n"/>
      <c r="Q861" s="319" t="n"/>
      <c r="R861" s="319" t="n"/>
      <c r="S861" s="319" t="n"/>
      <c r="T861" s="319" t="n"/>
      <c r="U861" s="319" t="n"/>
      <c r="V861" s="319" t="n"/>
      <c r="W861" s="319" t="n"/>
      <c r="X861" s="319" t="n"/>
      <c r="Y861" s="319" t="n"/>
      <c r="Z861" s="319" t="n"/>
    </row>
    <row r="862">
      <c r="A862" s="319" t="n"/>
      <c r="B862" s="319" t="n"/>
      <c r="C862" s="319" t="n"/>
      <c r="D862" s="319" t="n"/>
      <c r="E862" s="319" t="n"/>
      <c r="F862" s="319" t="n"/>
      <c r="G862" s="319" t="n"/>
      <c r="H862" s="319" t="n"/>
      <c r="I862" s="319" t="n"/>
      <c r="J862" s="319" t="n"/>
      <c r="K862" s="319" t="n"/>
      <c r="L862" s="319" t="n"/>
      <c r="M862" s="319" t="n"/>
      <c r="N862" s="319" t="n"/>
      <c r="O862" s="319" t="n"/>
      <c r="P862" s="319" t="n"/>
      <c r="Q862" s="319" t="n"/>
      <c r="R862" s="319" t="n"/>
      <c r="S862" s="319" t="n"/>
      <c r="T862" s="319" t="n"/>
      <c r="U862" s="319" t="n"/>
      <c r="V862" s="319" t="n"/>
      <c r="W862" s="319" t="n"/>
      <c r="X862" s="319" t="n"/>
      <c r="Y862" s="319" t="n"/>
      <c r="Z862" s="319" t="n"/>
    </row>
    <row r="863">
      <c r="A863" s="319" t="n"/>
      <c r="B863" s="319" t="n"/>
      <c r="C863" s="319" t="n"/>
      <c r="D863" s="319" t="n"/>
      <c r="E863" s="319" t="n"/>
      <c r="F863" s="319" t="n"/>
      <c r="G863" s="319" t="n"/>
      <c r="H863" s="319" t="n"/>
      <c r="I863" s="319" t="n"/>
      <c r="J863" s="319" t="n"/>
      <c r="K863" s="319" t="n"/>
      <c r="L863" s="319" t="n"/>
      <c r="M863" s="319" t="n"/>
      <c r="N863" s="319" t="n"/>
      <c r="O863" s="319" t="n"/>
      <c r="P863" s="319" t="n"/>
      <c r="Q863" s="319" t="n"/>
      <c r="R863" s="319" t="n"/>
      <c r="S863" s="319" t="n"/>
      <c r="T863" s="319" t="n"/>
      <c r="U863" s="319" t="n"/>
      <c r="V863" s="319" t="n"/>
      <c r="W863" s="319" t="n"/>
      <c r="X863" s="319" t="n"/>
      <c r="Y863" s="319" t="n"/>
      <c r="Z863" s="319" t="n"/>
    </row>
    <row r="864">
      <c r="A864" s="319" t="n"/>
      <c r="B864" s="319" t="n"/>
      <c r="C864" s="319" t="n"/>
      <c r="D864" s="319" t="n"/>
      <c r="E864" s="319" t="n"/>
      <c r="F864" s="319" t="n"/>
      <c r="G864" s="319" t="n"/>
      <c r="H864" s="319" t="n"/>
      <c r="I864" s="319" t="n"/>
      <c r="J864" s="319" t="n"/>
      <c r="K864" s="319" t="n"/>
      <c r="L864" s="319" t="n"/>
      <c r="M864" s="319" t="n"/>
      <c r="N864" s="319" t="n"/>
      <c r="O864" s="319" t="n"/>
      <c r="P864" s="319" t="n"/>
      <c r="Q864" s="319" t="n"/>
      <c r="R864" s="319" t="n"/>
      <c r="S864" s="319" t="n"/>
      <c r="T864" s="319" t="n"/>
      <c r="U864" s="319" t="n"/>
      <c r="V864" s="319" t="n"/>
      <c r="W864" s="319" t="n"/>
      <c r="X864" s="319" t="n"/>
      <c r="Y864" s="319" t="n"/>
      <c r="Z864" s="319" t="n"/>
    </row>
    <row r="865">
      <c r="A865" s="319" t="n"/>
      <c r="B865" s="319" t="n"/>
      <c r="C865" s="319" t="n"/>
      <c r="D865" s="319" t="n"/>
      <c r="E865" s="319" t="n"/>
      <c r="F865" s="319" t="n"/>
      <c r="G865" s="319" t="n"/>
      <c r="H865" s="319" t="n"/>
      <c r="I865" s="319" t="n"/>
      <c r="J865" s="319" t="n"/>
      <c r="K865" s="319" t="n"/>
      <c r="L865" s="319" t="n"/>
      <c r="M865" s="319" t="n"/>
      <c r="N865" s="319" t="n"/>
      <c r="O865" s="319" t="n"/>
      <c r="P865" s="319" t="n"/>
      <c r="Q865" s="319" t="n"/>
      <c r="R865" s="319" t="n"/>
      <c r="S865" s="319" t="n"/>
      <c r="T865" s="319" t="n"/>
      <c r="U865" s="319" t="n"/>
      <c r="V865" s="319" t="n"/>
      <c r="W865" s="319" t="n"/>
      <c r="X865" s="319" t="n"/>
      <c r="Y865" s="319" t="n"/>
      <c r="Z865" s="319" t="n"/>
    </row>
    <row r="866">
      <c r="A866" s="319" t="n"/>
      <c r="B866" s="319" t="n"/>
      <c r="C866" s="319" t="n"/>
      <c r="D866" s="319" t="n"/>
      <c r="E866" s="319" t="n"/>
      <c r="F866" s="319" t="n"/>
      <c r="G866" s="319" t="n"/>
      <c r="H866" s="319" t="n"/>
      <c r="I866" s="319" t="n"/>
      <c r="J866" s="319" t="n"/>
      <c r="K866" s="319" t="n"/>
      <c r="L866" s="319" t="n"/>
      <c r="M866" s="319" t="n"/>
      <c r="N866" s="319" t="n"/>
      <c r="O866" s="319" t="n"/>
      <c r="P866" s="319" t="n"/>
      <c r="Q866" s="319" t="n"/>
      <c r="R866" s="319" t="n"/>
      <c r="S866" s="319" t="n"/>
      <c r="T866" s="319" t="n"/>
      <c r="U866" s="319" t="n"/>
      <c r="V866" s="319" t="n"/>
      <c r="W866" s="319" t="n"/>
      <c r="X866" s="319" t="n"/>
      <c r="Y866" s="319" t="n"/>
      <c r="Z866" s="319" t="n"/>
    </row>
    <row r="867">
      <c r="A867" s="319" t="n"/>
      <c r="B867" s="319" t="n"/>
      <c r="C867" s="319" t="n"/>
      <c r="D867" s="319" t="n"/>
      <c r="E867" s="319" t="n"/>
      <c r="F867" s="319" t="n"/>
      <c r="G867" s="319" t="n"/>
      <c r="H867" s="319" t="n"/>
      <c r="I867" s="319" t="n"/>
      <c r="J867" s="319" t="n"/>
      <c r="K867" s="319" t="n"/>
      <c r="L867" s="319" t="n"/>
      <c r="M867" s="319" t="n"/>
      <c r="N867" s="319" t="n"/>
      <c r="O867" s="319" t="n"/>
      <c r="P867" s="319" t="n"/>
      <c r="Q867" s="319" t="n"/>
      <c r="R867" s="319" t="n"/>
      <c r="S867" s="319" t="n"/>
      <c r="T867" s="319" t="n"/>
      <c r="U867" s="319" t="n"/>
      <c r="V867" s="319" t="n"/>
      <c r="W867" s="319" t="n"/>
      <c r="X867" s="319" t="n"/>
      <c r="Y867" s="319" t="n"/>
      <c r="Z867" s="319" t="n"/>
    </row>
    <row r="868">
      <c r="A868" s="319" t="n"/>
      <c r="B868" s="319" t="n"/>
      <c r="C868" s="319" t="n"/>
      <c r="D868" s="319" t="n"/>
      <c r="E868" s="319" t="n"/>
      <c r="F868" s="319" t="n"/>
      <c r="G868" s="319" t="n"/>
      <c r="H868" s="319" t="n"/>
      <c r="I868" s="319" t="n"/>
      <c r="J868" s="319" t="n"/>
      <c r="K868" s="319" t="n"/>
      <c r="L868" s="319" t="n"/>
      <c r="M868" s="319" t="n"/>
      <c r="N868" s="319" t="n"/>
      <c r="O868" s="319" t="n"/>
      <c r="P868" s="319" t="n"/>
      <c r="Q868" s="319" t="n"/>
      <c r="R868" s="319" t="n"/>
      <c r="S868" s="319" t="n"/>
      <c r="T868" s="319" t="n"/>
      <c r="U868" s="319" t="n"/>
      <c r="V868" s="319" t="n"/>
      <c r="W868" s="319" t="n"/>
      <c r="X868" s="319" t="n"/>
      <c r="Y868" s="319" t="n"/>
      <c r="Z868" s="319" t="n"/>
    </row>
    <row r="869">
      <c r="A869" s="319" t="n"/>
      <c r="B869" s="319" t="n"/>
      <c r="C869" s="319" t="n"/>
      <c r="D869" s="319" t="n"/>
      <c r="E869" s="319" t="n"/>
      <c r="F869" s="319" t="n"/>
      <c r="G869" s="319" t="n"/>
      <c r="H869" s="319" t="n"/>
      <c r="I869" s="319" t="n"/>
      <c r="J869" s="319" t="n"/>
      <c r="K869" s="319" t="n"/>
      <c r="L869" s="319" t="n"/>
      <c r="M869" s="319" t="n"/>
      <c r="N869" s="319" t="n"/>
      <c r="O869" s="319" t="n"/>
      <c r="P869" s="319" t="n"/>
      <c r="Q869" s="319" t="n"/>
      <c r="R869" s="319" t="n"/>
      <c r="S869" s="319" t="n"/>
      <c r="T869" s="319" t="n"/>
      <c r="U869" s="319" t="n"/>
      <c r="V869" s="319" t="n"/>
      <c r="W869" s="319" t="n"/>
      <c r="X869" s="319" t="n"/>
      <c r="Y869" s="319" t="n"/>
      <c r="Z869" s="319" t="n"/>
    </row>
    <row r="870">
      <c r="A870" s="319" t="n"/>
      <c r="B870" s="319" t="n"/>
      <c r="C870" s="319" t="n"/>
      <c r="D870" s="319" t="n"/>
      <c r="E870" s="319" t="n"/>
      <c r="F870" s="319" t="n"/>
      <c r="G870" s="319" t="n"/>
      <c r="H870" s="319" t="n"/>
      <c r="I870" s="319" t="n"/>
      <c r="J870" s="319" t="n"/>
      <c r="K870" s="319" t="n"/>
      <c r="L870" s="319" t="n"/>
      <c r="M870" s="319" t="n"/>
      <c r="N870" s="319" t="n"/>
      <c r="O870" s="319" t="n"/>
      <c r="P870" s="319" t="n"/>
      <c r="Q870" s="319" t="n"/>
      <c r="R870" s="319" t="n"/>
      <c r="S870" s="319" t="n"/>
      <c r="T870" s="319" t="n"/>
      <c r="U870" s="319" t="n"/>
      <c r="V870" s="319" t="n"/>
      <c r="W870" s="319" t="n"/>
      <c r="X870" s="319" t="n"/>
      <c r="Y870" s="319" t="n"/>
      <c r="Z870" s="319" t="n"/>
    </row>
    <row r="871">
      <c r="A871" s="319" t="n"/>
      <c r="B871" s="319" t="n"/>
      <c r="C871" s="319" t="n"/>
      <c r="D871" s="319" t="n"/>
      <c r="E871" s="319" t="n"/>
      <c r="F871" s="319" t="n"/>
      <c r="G871" s="319" t="n"/>
      <c r="H871" s="319" t="n"/>
      <c r="I871" s="319" t="n"/>
      <c r="J871" s="319" t="n"/>
      <c r="K871" s="319" t="n"/>
      <c r="L871" s="319" t="n"/>
      <c r="M871" s="319" t="n"/>
      <c r="N871" s="319" t="n"/>
      <c r="O871" s="319" t="n"/>
      <c r="P871" s="319" t="n"/>
      <c r="Q871" s="319" t="n"/>
      <c r="R871" s="319" t="n"/>
      <c r="S871" s="319" t="n"/>
      <c r="T871" s="319" t="n"/>
      <c r="U871" s="319" t="n"/>
      <c r="V871" s="319" t="n"/>
      <c r="W871" s="319" t="n"/>
      <c r="X871" s="319" t="n"/>
      <c r="Y871" s="319" t="n"/>
      <c r="Z871" s="319" t="n"/>
    </row>
    <row r="872">
      <c r="A872" s="319" t="n"/>
      <c r="B872" s="319" t="n"/>
      <c r="C872" s="319" t="n"/>
      <c r="D872" s="319" t="n"/>
      <c r="E872" s="319" t="n"/>
      <c r="F872" s="319" t="n"/>
      <c r="G872" s="319" t="n"/>
      <c r="H872" s="319" t="n"/>
      <c r="I872" s="319" t="n"/>
      <c r="J872" s="319" t="n"/>
      <c r="K872" s="319" t="n"/>
      <c r="L872" s="319" t="n"/>
      <c r="M872" s="319" t="n"/>
      <c r="N872" s="319" t="n"/>
      <c r="O872" s="319" t="n"/>
      <c r="P872" s="319" t="n"/>
      <c r="Q872" s="319" t="n"/>
      <c r="R872" s="319" t="n"/>
      <c r="S872" s="319" t="n"/>
      <c r="T872" s="319" t="n"/>
      <c r="U872" s="319" t="n"/>
      <c r="V872" s="319" t="n"/>
      <c r="W872" s="319" t="n"/>
      <c r="X872" s="319" t="n"/>
      <c r="Y872" s="319" t="n"/>
      <c r="Z872" s="319" t="n"/>
    </row>
    <row r="873">
      <c r="A873" s="319" t="n"/>
      <c r="B873" s="319" t="n"/>
      <c r="C873" s="319" t="n"/>
      <c r="D873" s="319" t="n"/>
      <c r="E873" s="319" t="n"/>
      <c r="F873" s="319" t="n"/>
      <c r="G873" s="319" t="n"/>
      <c r="H873" s="319" t="n"/>
      <c r="I873" s="319" t="n"/>
      <c r="J873" s="319" t="n"/>
      <c r="K873" s="319" t="n"/>
      <c r="L873" s="319" t="n"/>
      <c r="M873" s="319" t="n"/>
      <c r="N873" s="319" t="n"/>
      <c r="O873" s="319" t="n"/>
      <c r="P873" s="319" t="n"/>
      <c r="Q873" s="319" t="n"/>
      <c r="R873" s="319" t="n"/>
      <c r="S873" s="319" t="n"/>
      <c r="T873" s="319" t="n"/>
      <c r="U873" s="319" t="n"/>
      <c r="V873" s="319" t="n"/>
      <c r="W873" s="319" t="n"/>
      <c r="X873" s="319" t="n"/>
      <c r="Y873" s="319" t="n"/>
      <c r="Z873" s="319" t="n"/>
    </row>
    <row r="874">
      <c r="A874" s="319" t="n"/>
      <c r="B874" s="319" t="n"/>
      <c r="C874" s="319" t="n"/>
      <c r="D874" s="319" t="n"/>
      <c r="E874" s="319" t="n"/>
      <c r="F874" s="319" t="n"/>
      <c r="G874" s="319" t="n"/>
      <c r="H874" s="319" t="n"/>
      <c r="I874" s="319" t="n"/>
      <c r="J874" s="319" t="n"/>
      <c r="K874" s="319" t="n"/>
      <c r="L874" s="319" t="n"/>
      <c r="M874" s="319" t="n"/>
      <c r="N874" s="319" t="n"/>
      <c r="O874" s="319" t="n"/>
      <c r="P874" s="319" t="n"/>
      <c r="Q874" s="319" t="n"/>
      <c r="R874" s="319" t="n"/>
      <c r="S874" s="319" t="n"/>
      <c r="T874" s="319" t="n"/>
      <c r="U874" s="319" t="n"/>
      <c r="V874" s="319" t="n"/>
      <c r="W874" s="319" t="n"/>
      <c r="X874" s="319" t="n"/>
      <c r="Y874" s="319" t="n"/>
      <c r="Z874" s="319" t="n"/>
    </row>
    <row r="875">
      <c r="A875" s="319" t="n"/>
      <c r="B875" s="319" t="n"/>
      <c r="C875" s="319" t="n"/>
      <c r="D875" s="319" t="n"/>
      <c r="E875" s="319" t="n"/>
      <c r="F875" s="319" t="n"/>
      <c r="G875" s="319" t="n"/>
      <c r="H875" s="319" t="n"/>
      <c r="I875" s="319" t="n"/>
      <c r="J875" s="319" t="n"/>
      <c r="K875" s="319" t="n"/>
      <c r="L875" s="319" t="n"/>
      <c r="M875" s="319" t="n"/>
      <c r="N875" s="319" t="n"/>
      <c r="O875" s="319" t="n"/>
      <c r="P875" s="319" t="n"/>
      <c r="Q875" s="319" t="n"/>
      <c r="R875" s="319" t="n"/>
      <c r="S875" s="319" t="n"/>
      <c r="T875" s="319" t="n"/>
      <c r="U875" s="319" t="n"/>
      <c r="V875" s="319" t="n"/>
      <c r="W875" s="319" t="n"/>
      <c r="X875" s="319" t="n"/>
      <c r="Y875" s="319" t="n"/>
      <c r="Z875" s="319" t="n"/>
    </row>
    <row r="876">
      <c r="A876" s="319" t="n"/>
      <c r="B876" s="319" t="n"/>
      <c r="C876" s="319" t="n"/>
      <c r="D876" s="319" t="n"/>
      <c r="E876" s="319" t="n"/>
      <c r="F876" s="319" t="n"/>
      <c r="G876" s="319" t="n"/>
      <c r="H876" s="319" t="n"/>
      <c r="I876" s="319" t="n"/>
      <c r="J876" s="319" t="n"/>
      <c r="K876" s="319" t="n"/>
      <c r="L876" s="319" t="n"/>
      <c r="M876" s="319" t="n"/>
      <c r="N876" s="319" t="n"/>
      <c r="O876" s="319" t="n"/>
      <c r="P876" s="319" t="n"/>
      <c r="Q876" s="319" t="n"/>
      <c r="R876" s="319" t="n"/>
      <c r="S876" s="319" t="n"/>
      <c r="T876" s="319" t="n"/>
      <c r="U876" s="319" t="n"/>
      <c r="V876" s="319" t="n"/>
      <c r="W876" s="319" t="n"/>
      <c r="X876" s="319" t="n"/>
      <c r="Y876" s="319" t="n"/>
      <c r="Z876" s="319" t="n"/>
    </row>
    <row r="877">
      <c r="A877" s="319" t="n"/>
      <c r="B877" s="319" t="n"/>
      <c r="C877" s="319" t="n"/>
      <c r="D877" s="319" t="n"/>
      <c r="E877" s="319" t="n"/>
      <c r="F877" s="319" t="n"/>
      <c r="G877" s="319" t="n"/>
      <c r="H877" s="319" t="n"/>
      <c r="I877" s="319" t="n"/>
      <c r="J877" s="319" t="n"/>
      <c r="K877" s="319" t="n"/>
      <c r="L877" s="319" t="n"/>
      <c r="M877" s="319" t="n"/>
      <c r="N877" s="319" t="n"/>
      <c r="O877" s="319" t="n"/>
      <c r="P877" s="319" t="n"/>
      <c r="Q877" s="319" t="n"/>
      <c r="R877" s="319" t="n"/>
      <c r="S877" s="319" t="n"/>
      <c r="T877" s="319" t="n"/>
      <c r="U877" s="319" t="n"/>
      <c r="V877" s="319" t="n"/>
      <c r="W877" s="319" t="n"/>
      <c r="X877" s="319" t="n"/>
      <c r="Y877" s="319" t="n"/>
      <c r="Z877" s="319" t="n"/>
    </row>
    <row r="878">
      <c r="A878" s="319" t="n"/>
      <c r="B878" s="319" t="n"/>
      <c r="C878" s="319" t="n"/>
      <c r="D878" s="319" t="n"/>
      <c r="E878" s="319" t="n"/>
      <c r="F878" s="319" t="n"/>
      <c r="G878" s="319" t="n"/>
      <c r="H878" s="319" t="n"/>
      <c r="I878" s="319" t="n"/>
      <c r="J878" s="319" t="n"/>
      <c r="K878" s="319" t="n"/>
      <c r="L878" s="319" t="n"/>
      <c r="M878" s="319" t="n"/>
      <c r="N878" s="319" t="n"/>
      <c r="O878" s="319" t="n"/>
      <c r="P878" s="319" t="n"/>
      <c r="Q878" s="319" t="n"/>
      <c r="R878" s="319" t="n"/>
      <c r="S878" s="319" t="n"/>
      <c r="T878" s="319" t="n"/>
      <c r="U878" s="319" t="n"/>
      <c r="V878" s="319" t="n"/>
      <c r="W878" s="319" t="n"/>
      <c r="X878" s="319" t="n"/>
      <c r="Y878" s="319" t="n"/>
      <c r="Z878" s="319" t="n"/>
    </row>
    <row r="879">
      <c r="A879" s="319" t="n"/>
      <c r="B879" s="319" t="n"/>
      <c r="C879" s="319" t="n"/>
      <c r="D879" s="319" t="n"/>
      <c r="E879" s="319" t="n"/>
      <c r="F879" s="319" t="n"/>
      <c r="G879" s="319" t="n"/>
      <c r="H879" s="319" t="n"/>
      <c r="I879" s="319" t="n"/>
      <c r="J879" s="319" t="n"/>
      <c r="K879" s="319" t="n"/>
      <c r="L879" s="319" t="n"/>
      <c r="M879" s="319" t="n"/>
      <c r="N879" s="319" t="n"/>
      <c r="O879" s="319" t="n"/>
      <c r="P879" s="319" t="n"/>
      <c r="Q879" s="319" t="n"/>
      <c r="R879" s="319" t="n"/>
      <c r="S879" s="319" t="n"/>
      <c r="T879" s="319" t="n"/>
      <c r="U879" s="319" t="n"/>
      <c r="V879" s="319" t="n"/>
      <c r="W879" s="319" t="n"/>
      <c r="X879" s="319" t="n"/>
      <c r="Y879" s="319" t="n"/>
      <c r="Z879" s="319" t="n"/>
    </row>
    <row r="880">
      <c r="A880" s="319" t="n"/>
      <c r="B880" s="319" t="n"/>
      <c r="C880" s="319" t="n"/>
      <c r="D880" s="319" t="n"/>
      <c r="E880" s="319" t="n"/>
      <c r="F880" s="319" t="n"/>
      <c r="G880" s="319" t="n"/>
      <c r="H880" s="319" t="n"/>
      <c r="I880" s="319" t="n"/>
      <c r="J880" s="319" t="n"/>
      <c r="K880" s="319" t="n"/>
      <c r="L880" s="319" t="n"/>
      <c r="M880" s="319" t="n"/>
      <c r="N880" s="319" t="n"/>
      <c r="O880" s="319" t="n"/>
      <c r="P880" s="319" t="n"/>
      <c r="Q880" s="319" t="n"/>
      <c r="R880" s="319" t="n"/>
      <c r="S880" s="319" t="n"/>
      <c r="T880" s="319" t="n"/>
      <c r="U880" s="319" t="n"/>
      <c r="V880" s="319" t="n"/>
      <c r="W880" s="319" t="n"/>
      <c r="X880" s="319" t="n"/>
      <c r="Y880" s="319" t="n"/>
      <c r="Z880" s="319" t="n"/>
    </row>
    <row r="881">
      <c r="A881" s="319" t="n"/>
      <c r="B881" s="319" t="n"/>
      <c r="C881" s="319" t="n"/>
      <c r="D881" s="319" t="n"/>
      <c r="E881" s="319" t="n"/>
      <c r="F881" s="319" t="n"/>
      <c r="G881" s="319" t="n"/>
      <c r="H881" s="319" t="n"/>
      <c r="I881" s="319" t="n"/>
      <c r="J881" s="319" t="n"/>
      <c r="K881" s="319" t="n"/>
      <c r="L881" s="319" t="n"/>
      <c r="M881" s="319" t="n"/>
      <c r="N881" s="319" t="n"/>
      <c r="O881" s="319" t="n"/>
      <c r="P881" s="319" t="n"/>
      <c r="Q881" s="319" t="n"/>
      <c r="R881" s="319" t="n"/>
      <c r="S881" s="319" t="n"/>
      <c r="T881" s="319" t="n"/>
      <c r="U881" s="319" t="n"/>
      <c r="V881" s="319" t="n"/>
      <c r="W881" s="319" t="n"/>
      <c r="X881" s="319" t="n"/>
      <c r="Y881" s="319" t="n"/>
      <c r="Z881" s="319" t="n"/>
    </row>
    <row r="882">
      <c r="A882" s="319" t="n"/>
      <c r="B882" s="319" t="n"/>
      <c r="C882" s="319" t="n"/>
      <c r="D882" s="319" t="n"/>
      <c r="E882" s="319" t="n"/>
      <c r="F882" s="319" t="n"/>
      <c r="G882" s="319" t="n"/>
      <c r="H882" s="319" t="n"/>
      <c r="I882" s="319" t="n"/>
      <c r="J882" s="319" t="n"/>
      <c r="K882" s="319" t="n"/>
      <c r="L882" s="319" t="n"/>
      <c r="M882" s="319" t="n"/>
      <c r="N882" s="319" t="n"/>
      <c r="O882" s="319" t="n"/>
      <c r="P882" s="319" t="n"/>
      <c r="Q882" s="319" t="n"/>
      <c r="R882" s="319" t="n"/>
      <c r="S882" s="319" t="n"/>
      <c r="T882" s="319" t="n"/>
      <c r="U882" s="319" t="n"/>
      <c r="V882" s="319" t="n"/>
      <c r="W882" s="319" t="n"/>
      <c r="X882" s="319" t="n"/>
      <c r="Y882" s="319" t="n"/>
      <c r="Z882" s="319" t="n"/>
    </row>
    <row r="883">
      <c r="A883" s="319" t="n"/>
      <c r="B883" s="319" t="n"/>
      <c r="C883" s="319" t="n"/>
      <c r="D883" s="319" t="n"/>
      <c r="E883" s="319" t="n"/>
      <c r="F883" s="319" t="n"/>
      <c r="G883" s="319" t="n"/>
      <c r="H883" s="319" t="n"/>
      <c r="I883" s="319" t="n"/>
      <c r="J883" s="319" t="n"/>
      <c r="K883" s="319" t="n"/>
      <c r="L883" s="319" t="n"/>
      <c r="M883" s="319" t="n"/>
      <c r="N883" s="319" t="n"/>
      <c r="O883" s="319" t="n"/>
      <c r="P883" s="319" t="n"/>
      <c r="Q883" s="319" t="n"/>
      <c r="R883" s="319" t="n"/>
      <c r="S883" s="319" t="n"/>
      <c r="T883" s="319" t="n"/>
      <c r="U883" s="319" t="n"/>
      <c r="V883" s="319" t="n"/>
      <c r="W883" s="319" t="n"/>
      <c r="X883" s="319" t="n"/>
      <c r="Y883" s="319" t="n"/>
      <c r="Z883" s="319" t="n"/>
    </row>
    <row r="884">
      <c r="A884" s="319" t="n"/>
      <c r="B884" s="319" t="n"/>
      <c r="C884" s="319" t="n"/>
      <c r="D884" s="319" t="n"/>
      <c r="E884" s="319" t="n"/>
      <c r="F884" s="319" t="n"/>
      <c r="G884" s="319" t="n"/>
      <c r="H884" s="319" t="n"/>
      <c r="I884" s="319" t="n"/>
      <c r="J884" s="319" t="n"/>
      <c r="K884" s="319" t="n"/>
      <c r="L884" s="319" t="n"/>
      <c r="M884" s="319" t="n"/>
      <c r="N884" s="319" t="n"/>
      <c r="O884" s="319" t="n"/>
      <c r="P884" s="319" t="n"/>
      <c r="Q884" s="319" t="n"/>
      <c r="R884" s="319" t="n"/>
      <c r="S884" s="319" t="n"/>
      <c r="T884" s="319" t="n"/>
      <c r="U884" s="319" t="n"/>
      <c r="V884" s="319" t="n"/>
      <c r="W884" s="319" t="n"/>
      <c r="X884" s="319" t="n"/>
      <c r="Y884" s="319" t="n"/>
      <c r="Z884" s="319" t="n"/>
    </row>
    <row r="885">
      <c r="A885" s="319" t="n"/>
      <c r="B885" s="319" t="n"/>
      <c r="C885" s="319" t="n"/>
      <c r="D885" s="319" t="n"/>
      <c r="E885" s="319" t="n"/>
      <c r="F885" s="319" t="n"/>
      <c r="G885" s="319" t="n"/>
      <c r="H885" s="319" t="n"/>
      <c r="I885" s="319" t="n"/>
      <c r="J885" s="319" t="n"/>
      <c r="K885" s="319" t="n"/>
      <c r="L885" s="319" t="n"/>
      <c r="M885" s="319" t="n"/>
      <c r="N885" s="319" t="n"/>
      <c r="O885" s="319" t="n"/>
      <c r="P885" s="319" t="n"/>
      <c r="Q885" s="319" t="n"/>
      <c r="R885" s="319" t="n"/>
      <c r="S885" s="319" t="n"/>
      <c r="T885" s="319" t="n"/>
      <c r="U885" s="319" t="n"/>
      <c r="V885" s="319" t="n"/>
      <c r="W885" s="319" t="n"/>
      <c r="X885" s="319" t="n"/>
      <c r="Y885" s="319" t="n"/>
      <c r="Z885" s="319" t="n"/>
    </row>
    <row r="886">
      <c r="A886" s="319" t="n"/>
      <c r="B886" s="319" t="n"/>
      <c r="C886" s="319" t="n"/>
      <c r="D886" s="319" t="n"/>
      <c r="E886" s="319" t="n"/>
      <c r="F886" s="319" t="n"/>
      <c r="G886" s="319" t="n"/>
      <c r="H886" s="319" t="n"/>
      <c r="I886" s="319" t="n"/>
      <c r="J886" s="319" t="n"/>
      <c r="K886" s="319" t="n"/>
      <c r="L886" s="319" t="n"/>
      <c r="M886" s="319" t="n"/>
      <c r="N886" s="319" t="n"/>
      <c r="O886" s="319" t="n"/>
      <c r="P886" s="319" t="n"/>
      <c r="Q886" s="319" t="n"/>
      <c r="R886" s="319" t="n"/>
      <c r="S886" s="319" t="n"/>
      <c r="T886" s="319" t="n"/>
      <c r="U886" s="319" t="n"/>
      <c r="V886" s="319" t="n"/>
      <c r="W886" s="319" t="n"/>
      <c r="X886" s="319" t="n"/>
      <c r="Y886" s="319" t="n"/>
      <c r="Z886" s="319" t="n"/>
    </row>
    <row r="887">
      <c r="A887" s="319" t="n"/>
      <c r="B887" s="319" t="n"/>
      <c r="C887" s="319" t="n"/>
      <c r="D887" s="319" t="n"/>
      <c r="E887" s="319" t="n"/>
      <c r="F887" s="319" t="n"/>
      <c r="G887" s="319" t="n"/>
      <c r="H887" s="319" t="n"/>
      <c r="I887" s="319" t="n"/>
      <c r="J887" s="319" t="n"/>
      <c r="K887" s="319" t="n"/>
      <c r="L887" s="319" t="n"/>
      <c r="M887" s="319" t="n"/>
      <c r="N887" s="319" t="n"/>
      <c r="O887" s="319" t="n"/>
      <c r="P887" s="319" t="n"/>
      <c r="Q887" s="319" t="n"/>
      <c r="R887" s="319" t="n"/>
      <c r="S887" s="319" t="n"/>
      <c r="T887" s="319" t="n"/>
      <c r="U887" s="319" t="n"/>
      <c r="V887" s="319" t="n"/>
      <c r="W887" s="319" t="n"/>
      <c r="X887" s="319" t="n"/>
      <c r="Y887" s="319" t="n"/>
      <c r="Z887" s="319" t="n"/>
    </row>
    <row r="888">
      <c r="A888" s="319" t="n"/>
      <c r="B888" s="319" t="n"/>
      <c r="C888" s="319" t="n"/>
      <c r="D888" s="319" t="n"/>
      <c r="E888" s="319" t="n"/>
      <c r="F888" s="319" t="n"/>
      <c r="G888" s="319" t="n"/>
      <c r="H888" s="319" t="n"/>
      <c r="I888" s="319" t="n"/>
      <c r="J888" s="319" t="n"/>
      <c r="K888" s="319" t="n"/>
      <c r="L888" s="319" t="n"/>
      <c r="M888" s="319" t="n"/>
      <c r="N888" s="319" t="n"/>
      <c r="O888" s="319" t="n"/>
      <c r="P888" s="319" t="n"/>
      <c r="Q888" s="319" t="n"/>
      <c r="R888" s="319" t="n"/>
      <c r="S888" s="319" t="n"/>
      <c r="T888" s="319" t="n"/>
      <c r="U888" s="319" t="n"/>
      <c r="V888" s="319" t="n"/>
      <c r="W888" s="319" t="n"/>
      <c r="X888" s="319" t="n"/>
      <c r="Y888" s="319" t="n"/>
      <c r="Z888" s="319" t="n"/>
    </row>
    <row r="889">
      <c r="A889" s="319" t="n"/>
      <c r="B889" s="319" t="n"/>
      <c r="C889" s="319" t="n"/>
      <c r="D889" s="319" t="n"/>
      <c r="E889" s="319" t="n"/>
      <c r="F889" s="319" t="n"/>
      <c r="G889" s="319" t="n"/>
      <c r="H889" s="319" t="n"/>
      <c r="I889" s="319" t="n"/>
      <c r="J889" s="319" t="n"/>
      <c r="K889" s="319" t="n"/>
      <c r="L889" s="319" t="n"/>
      <c r="M889" s="319" t="n"/>
      <c r="N889" s="319" t="n"/>
      <c r="O889" s="319" t="n"/>
      <c r="P889" s="319" t="n"/>
      <c r="Q889" s="319" t="n"/>
      <c r="R889" s="319" t="n"/>
      <c r="S889" s="319" t="n"/>
      <c r="T889" s="319" t="n"/>
      <c r="U889" s="319" t="n"/>
      <c r="V889" s="319" t="n"/>
      <c r="W889" s="319" t="n"/>
      <c r="X889" s="319" t="n"/>
      <c r="Y889" s="319" t="n"/>
      <c r="Z889" s="319" t="n"/>
    </row>
    <row r="890">
      <c r="A890" s="319" t="n"/>
      <c r="B890" s="319" t="n"/>
      <c r="C890" s="319" t="n"/>
      <c r="D890" s="319" t="n"/>
      <c r="E890" s="319" t="n"/>
      <c r="F890" s="319" t="n"/>
      <c r="G890" s="319" t="n"/>
      <c r="H890" s="319" t="n"/>
      <c r="I890" s="319" t="n"/>
      <c r="J890" s="319" t="n"/>
      <c r="K890" s="319" t="n"/>
      <c r="L890" s="319" t="n"/>
      <c r="M890" s="319" t="n"/>
      <c r="N890" s="319" t="n"/>
      <c r="O890" s="319" t="n"/>
      <c r="P890" s="319" t="n"/>
      <c r="Q890" s="319" t="n"/>
      <c r="R890" s="319" t="n"/>
      <c r="S890" s="319" t="n"/>
      <c r="T890" s="319" t="n"/>
      <c r="U890" s="319" t="n"/>
      <c r="V890" s="319" t="n"/>
      <c r="W890" s="319" t="n"/>
      <c r="X890" s="319" t="n"/>
      <c r="Y890" s="319" t="n"/>
      <c r="Z890" s="319" t="n"/>
    </row>
    <row r="891">
      <c r="A891" s="319" t="n"/>
      <c r="B891" s="319" t="n"/>
      <c r="C891" s="319" t="n"/>
      <c r="D891" s="319" t="n"/>
      <c r="E891" s="319" t="n"/>
      <c r="F891" s="319" t="n"/>
      <c r="G891" s="319" t="n"/>
      <c r="H891" s="319" t="n"/>
      <c r="I891" s="319" t="n"/>
      <c r="J891" s="319" t="n"/>
      <c r="K891" s="319" t="n"/>
      <c r="L891" s="319" t="n"/>
      <c r="M891" s="319" t="n"/>
      <c r="N891" s="319" t="n"/>
      <c r="O891" s="319" t="n"/>
      <c r="P891" s="319" t="n"/>
      <c r="Q891" s="319" t="n"/>
      <c r="R891" s="319" t="n"/>
      <c r="S891" s="319" t="n"/>
      <c r="T891" s="319" t="n"/>
      <c r="U891" s="319" t="n"/>
      <c r="V891" s="319" t="n"/>
      <c r="W891" s="319" t="n"/>
      <c r="X891" s="319" t="n"/>
      <c r="Y891" s="319" t="n"/>
      <c r="Z891" s="319" t="n"/>
    </row>
    <row r="892">
      <c r="A892" s="319" t="n"/>
      <c r="B892" s="319" t="n"/>
      <c r="C892" s="319" t="n"/>
      <c r="D892" s="319" t="n"/>
      <c r="E892" s="319" t="n"/>
      <c r="F892" s="319" t="n"/>
      <c r="G892" s="319" t="n"/>
      <c r="H892" s="319" t="n"/>
      <c r="I892" s="319" t="n"/>
      <c r="J892" s="319" t="n"/>
      <c r="K892" s="319" t="n"/>
      <c r="L892" s="319" t="n"/>
      <c r="M892" s="319" t="n"/>
      <c r="N892" s="319" t="n"/>
      <c r="O892" s="319" t="n"/>
      <c r="P892" s="319" t="n"/>
      <c r="Q892" s="319" t="n"/>
      <c r="R892" s="319" t="n"/>
      <c r="S892" s="319" t="n"/>
      <c r="T892" s="319" t="n"/>
      <c r="U892" s="319" t="n"/>
      <c r="V892" s="319" t="n"/>
      <c r="W892" s="319" t="n"/>
      <c r="X892" s="319" t="n"/>
      <c r="Y892" s="319" t="n"/>
      <c r="Z892" s="319" t="n"/>
    </row>
    <row r="893">
      <c r="A893" s="319" t="n"/>
      <c r="B893" s="319" t="n"/>
      <c r="C893" s="319" t="n"/>
      <c r="D893" s="319" t="n"/>
      <c r="E893" s="319" t="n"/>
      <c r="F893" s="319" t="n"/>
      <c r="G893" s="319" t="n"/>
      <c r="H893" s="319" t="n"/>
      <c r="I893" s="319" t="n"/>
      <c r="J893" s="319" t="n"/>
      <c r="K893" s="319" t="n"/>
      <c r="L893" s="319" t="n"/>
      <c r="M893" s="319" t="n"/>
      <c r="N893" s="319" t="n"/>
      <c r="O893" s="319" t="n"/>
      <c r="P893" s="319" t="n"/>
      <c r="Q893" s="319" t="n"/>
      <c r="R893" s="319" t="n"/>
      <c r="S893" s="319" t="n"/>
      <c r="T893" s="319" t="n"/>
      <c r="U893" s="319" t="n"/>
      <c r="V893" s="319" t="n"/>
      <c r="W893" s="319" t="n"/>
      <c r="X893" s="319" t="n"/>
      <c r="Y893" s="319" t="n"/>
      <c r="Z893" s="319" t="n"/>
    </row>
    <row r="894">
      <c r="A894" s="319" t="n"/>
      <c r="B894" s="319" t="n"/>
      <c r="C894" s="319" t="n"/>
      <c r="D894" s="319" t="n"/>
      <c r="E894" s="319" t="n"/>
      <c r="F894" s="319" t="n"/>
      <c r="G894" s="319" t="n"/>
      <c r="H894" s="319" t="n"/>
      <c r="I894" s="319" t="n"/>
      <c r="J894" s="319" t="n"/>
      <c r="K894" s="319" t="n"/>
      <c r="L894" s="319" t="n"/>
      <c r="M894" s="319" t="n"/>
      <c r="N894" s="319" t="n"/>
      <c r="O894" s="319" t="n"/>
      <c r="P894" s="319" t="n"/>
      <c r="Q894" s="319" t="n"/>
      <c r="R894" s="319" t="n"/>
      <c r="S894" s="319" t="n"/>
      <c r="T894" s="319" t="n"/>
      <c r="U894" s="319" t="n"/>
      <c r="V894" s="319" t="n"/>
      <c r="W894" s="319" t="n"/>
      <c r="X894" s="319" t="n"/>
      <c r="Y894" s="319" t="n"/>
      <c r="Z894" s="319" t="n"/>
    </row>
    <row r="895">
      <c r="A895" s="319" t="n"/>
      <c r="B895" s="319" t="n"/>
      <c r="C895" s="319" t="n"/>
      <c r="D895" s="319" t="n"/>
      <c r="E895" s="319" t="n"/>
      <c r="F895" s="319" t="n"/>
      <c r="G895" s="319" t="n"/>
      <c r="H895" s="319" t="n"/>
      <c r="I895" s="319" t="n"/>
      <c r="J895" s="319" t="n"/>
      <c r="K895" s="319" t="n"/>
      <c r="L895" s="319" t="n"/>
      <c r="M895" s="319" t="n"/>
      <c r="N895" s="319" t="n"/>
      <c r="O895" s="319" t="n"/>
      <c r="P895" s="319" t="n"/>
      <c r="Q895" s="319" t="n"/>
      <c r="R895" s="319" t="n"/>
      <c r="S895" s="319" t="n"/>
      <c r="T895" s="319" t="n"/>
      <c r="U895" s="319" t="n"/>
      <c r="V895" s="319" t="n"/>
      <c r="W895" s="319" t="n"/>
      <c r="X895" s="319" t="n"/>
      <c r="Y895" s="319" t="n"/>
      <c r="Z895" s="319" t="n"/>
    </row>
    <row r="896">
      <c r="A896" s="319" t="n"/>
      <c r="B896" s="319" t="n"/>
      <c r="C896" s="319" t="n"/>
      <c r="D896" s="319" t="n"/>
      <c r="E896" s="319" t="n"/>
      <c r="F896" s="319" t="n"/>
      <c r="G896" s="319" t="n"/>
      <c r="H896" s="319" t="n"/>
      <c r="I896" s="319" t="n"/>
      <c r="J896" s="319" t="n"/>
      <c r="K896" s="319" t="n"/>
      <c r="L896" s="319" t="n"/>
      <c r="M896" s="319" t="n"/>
      <c r="N896" s="319" t="n"/>
      <c r="O896" s="319" t="n"/>
      <c r="P896" s="319" t="n"/>
      <c r="Q896" s="319" t="n"/>
      <c r="R896" s="319" t="n"/>
      <c r="S896" s="319" t="n"/>
      <c r="T896" s="319" t="n"/>
      <c r="U896" s="319" t="n"/>
      <c r="V896" s="319" t="n"/>
      <c r="W896" s="319" t="n"/>
      <c r="X896" s="319" t="n"/>
      <c r="Y896" s="319" t="n"/>
      <c r="Z896" s="319" t="n"/>
    </row>
    <row r="897">
      <c r="A897" s="319" t="n"/>
      <c r="B897" s="319" t="n"/>
      <c r="C897" s="319" t="n"/>
      <c r="D897" s="319" t="n"/>
      <c r="E897" s="319" t="n"/>
      <c r="F897" s="319" t="n"/>
      <c r="G897" s="319" t="n"/>
      <c r="H897" s="319" t="n"/>
      <c r="I897" s="319" t="n"/>
      <c r="J897" s="319" t="n"/>
      <c r="K897" s="319" t="n"/>
      <c r="L897" s="319" t="n"/>
      <c r="M897" s="319" t="n"/>
      <c r="N897" s="319" t="n"/>
      <c r="O897" s="319" t="n"/>
      <c r="P897" s="319" t="n"/>
      <c r="Q897" s="319" t="n"/>
      <c r="R897" s="319" t="n"/>
      <c r="S897" s="319" t="n"/>
      <c r="T897" s="319" t="n"/>
      <c r="U897" s="319" t="n"/>
      <c r="V897" s="319" t="n"/>
      <c r="W897" s="319" t="n"/>
      <c r="X897" s="319" t="n"/>
      <c r="Y897" s="319" t="n"/>
      <c r="Z897" s="319" t="n"/>
    </row>
    <row r="898">
      <c r="A898" s="319" t="n"/>
      <c r="B898" s="319" t="n"/>
      <c r="C898" s="319" t="n"/>
      <c r="D898" s="319" t="n"/>
      <c r="E898" s="319" t="n"/>
      <c r="F898" s="319" t="n"/>
      <c r="G898" s="319" t="n"/>
      <c r="H898" s="319" t="n"/>
      <c r="I898" s="319" t="n"/>
      <c r="J898" s="319" t="n"/>
      <c r="K898" s="319" t="n"/>
      <c r="L898" s="319" t="n"/>
      <c r="M898" s="319" t="n"/>
      <c r="N898" s="319" t="n"/>
      <c r="O898" s="319" t="n"/>
      <c r="P898" s="319" t="n"/>
      <c r="Q898" s="319" t="n"/>
      <c r="R898" s="319" t="n"/>
      <c r="S898" s="319" t="n"/>
      <c r="T898" s="319" t="n"/>
      <c r="U898" s="319" t="n"/>
      <c r="V898" s="319" t="n"/>
      <c r="W898" s="319" t="n"/>
      <c r="X898" s="319" t="n"/>
      <c r="Y898" s="319" t="n"/>
      <c r="Z898" s="319" t="n"/>
    </row>
    <row r="899">
      <c r="A899" s="319" t="n"/>
      <c r="B899" s="319" t="n"/>
      <c r="C899" s="319" t="n"/>
      <c r="D899" s="319" t="n"/>
      <c r="E899" s="319" t="n"/>
      <c r="F899" s="319" t="n"/>
      <c r="G899" s="319" t="n"/>
      <c r="H899" s="319" t="n"/>
      <c r="I899" s="319" t="n"/>
      <c r="J899" s="319" t="n"/>
      <c r="K899" s="319" t="n"/>
      <c r="L899" s="319" t="n"/>
      <c r="M899" s="319" t="n"/>
      <c r="N899" s="319" t="n"/>
      <c r="O899" s="319" t="n"/>
      <c r="P899" s="319" t="n"/>
      <c r="Q899" s="319" t="n"/>
      <c r="R899" s="319" t="n"/>
      <c r="S899" s="319" t="n"/>
      <c r="T899" s="319" t="n"/>
      <c r="U899" s="319" t="n"/>
      <c r="V899" s="319" t="n"/>
      <c r="W899" s="319" t="n"/>
      <c r="X899" s="319" t="n"/>
      <c r="Y899" s="319" t="n"/>
      <c r="Z899" s="319" t="n"/>
    </row>
    <row r="900">
      <c r="A900" s="319" t="n"/>
      <c r="B900" s="319" t="n"/>
      <c r="C900" s="319" t="n"/>
      <c r="D900" s="319" t="n"/>
      <c r="E900" s="319" t="n"/>
      <c r="F900" s="319" t="n"/>
      <c r="G900" s="319" t="n"/>
      <c r="H900" s="319" t="n"/>
      <c r="I900" s="319" t="n"/>
      <c r="J900" s="319" t="n"/>
      <c r="K900" s="319" t="n"/>
      <c r="L900" s="319" t="n"/>
      <c r="M900" s="319" t="n"/>
      <c r="N900" s="319" t="n"/>
      <c r="O900" s="319" t="n"/>
      <c r="P900" s="319" t="n"/>
      <c r="Q900" s="319" t="n"/>
      <c r="R900" s="319" t="n"/>
      <c r="S900" s="319" t="n"/>
      <c r="T900" s="319" t="n"/>
      <c r="U900" s="319" t="n"/>
      <c r="V900" s="319" t="n"/>
      <c r="W900" s="319" t="n"/>
      <c r="X900" s="319" t="n"/>
      <c r="Y900" s="319" t="n"/>
      <c r="Z900" s="319" t="n"/>
    </row>
    <row r="901">
      <c r="A901" s="319" t="n"/>
      <c r="B901" s="319" t="n"/>
      <c r="C901" s="319" t="n"/>
      <c r="D901" s="319" t="n"/>
      <c r="E901" s="319" t="n"/>
      <c r="F901" s="319" t="n"/>
      <c r="G901" s="319" t="n"/>
      <c r="H901" s="319" t="n"/>
      <c r="I901" s="319" t="n"/>
      <c r="J901" s="319" t="n"/>
      <c r="K901" s="319" t="n"/>
      <c r="L901" s="319" t="n"/>
      <c r="M901" s="319" t="n"/>
      <c r="N901" s="319" t="n"/>
      <c r="O901" s="319" t="n"/>
      <c r="P901" s="319" t="n"/>
      <c r="Q901" s="319" t="n"/>
      <c r="R901" s="319" t="n"/>
      <c r="S901" s="319" t="n"/>
      <c r="T901" s="319" t="n"/>
      <c r="U901" s="319" t="n"/>
      <c r="V901" s="319" t="n"/>
      <c r="W901" s="319" t="n"/>
      <c r="X901" s="319" t="n"/>
      <c r="Y901" s="319" t="n"/>
      <c r="Z901" s="319" t="n"/>
    </row>
    <row r="902">
      <c r="A902" s="319" t="n"/>
      <c r="B902" s="319" t="n"/>
      <c r="C902" s="319" t="n"/>
      <c r="D902" s="319" t="n"/>
      <c r="E902" s="319" t="n"/>
      <c r="F902" s="319" t="n"/>
      <c r="G902" s="319" t="n"/>
      <c r="H902" s="319" t="n"/>
      <c r="I902" s="319" t="n"/>
      <c r="J902" s="319" t="n"/>
      <c r="K902" s="319" t="n"/>
      <c r="L902" s="319" t="n"/>
      <c r="M902" s="319" t="n"/>
      <c r="N902" s="319" t="n"/>
      <c r="O902" s="319" t="n"/>
      <c r="P902" s="319" t="n"/>
      <c r="Q902" s="319" t="n"/>
      <c r="R902" s="319" t="n"/>
      <c r="S902" s="319" t="n"/>
      <c r="T902" s="319" t="n"/>
      <c r="U902" s="319" t="n"/>
      <c r="V902" s="319" t="n"/>
      <c r="W902" s="319" t="n"/>
      <c r="X902" s="319" t="n"/>
      <c r="Y902" s="319" t="n"/>
      <c r="Z902" s="319" t="n"/>
    </row>
    <row r="903">
      <c r="A903" s="319" t="n"/>
      <c r="B903" s="319" t="n"/>
      <c r="C903" s="319" t="n"/>
      <c r="D903" s="319" t="n"/>
      <c r="E903" s="319" t="n"/>
      <c r="F903" s="319" t="n"/>
      <c r="G903" s="319" t="n"/>
      <c r="H903" s="319" t="n"/>
      <c r="I903" s="319" t="n"/>
      <c r="J903" s="319" t="n"/>
      <c r="K903" s="319" t="n"/>
      <c r="L903" s="319" t="n"/>
      <c r="M903" s="319" t="n"/>
      <c r="N903" s="319" t="n"/>
      <c r="O903" s="319" t="n"/>
      <c r="P903" s="319" t="n"/>
      <c r="Q903" s="319" t="n"/>
      <c r="R903" s="319" t="n"/>
      <c r="S903" s="319" t="n"/>
      <c r="T903" s="319" t="n"/>
      <c r="U903" s="319" t="n"/>
      <c r="V903" s="319" t="n"/>
      <c r="W903" s="319" t="n"/>
      <c r="X903" s="319" t="n"/>
      <c r="Y903" s="319" t="n"/>
      <c r="Z903" s="319" t="n"/>
    </row>
    <row r="904">
      <c r="A904" s="319" t="n"/>
      <c r="B904" s="319" t="n"/>
      <c r="C904" s="319" t="n"/>
      <c r="D904" s="319" t="n"/>
      <c r="E904" s="319" t="n"/>
      <c r="F904" s="319" t="n"/>
      <c r="G904" s="319" t="n"/>
      <c r="H904" s="319" t="n"/>
      <c r="I904" s="319" t="n"/>
      <c r="J904" s="319" t="n"/>
      <c r="K904" s="319" t="n"/>
      <c r="L904" s="319" t="n"/>
      <c r="M904" s="319" t="n"/>
      <c r="N904" s="319" t="n"/>
      <c r="O904" s="319" t="n"/>
      <c r="P904" s="319" t="n"/>
      <c r="Q904" s="319" t="n"/>
      <c r="R904" s="319" t="n"/>
      <c r="S904" s="319" t="n"/>
      <c r="T904" s="319" t="n"/>
      <c r="U904" s="319" t="n"/>
      <c r="V904" s="319" t="n"/>
      <c r="W904" s="319" t="n"/>
      <c r="X904" s="319" t="n"/>
      <c r="Y904" s="319" t="n"/>
      <c r="Z904" s="319" t="n"/>
    </row>
    <row r="905">
      <c r="A905" s="319" t="n"/>
      <c r="B905" s="319" t="n"/>
      <c r="C905" s="319" t="n"/>
      <c r="D905" s="319" t="n"/>
      <c r="E905" s="319" t="n"/>
      <c r="F905" s="319" t="n"/>
      <c r="G905" s="319" t="n"/>
      <c r="H905" s="319" t="n"/>
      <c r="I905" s="319" t="n"/>
      <c r="J905" s="319" t="n"/>
      <c r="K905" s="319" t="n"/>
      <c r="L905" s="319" t="n"/>
      <c r="M905" s="319" t="n"/>
      <c r="N905" s="319" t="n"/>
      <c r="O905" s="319" t="n"/>
      <c r="P905" s="319" t="n"/>
      <c r="Q905" s="319" t="n"/>
      <c r="R905" s="319" t="n"/>
      <c r="S905" s="319" t="n"/>
      <c r="T905" s="319" t="n"/>
      <c r="U905" s="319" t="n"/>
      <c r="V905" s="319" t="n"/>
      <c r="W905" s="319" t="n"/>
      <c r="X905" s="319" t="n"/>
      <c r="Y905" s="319" t="n"/>
      <c r="Z905" s="319" t="n"/>
    </row>
    <row r="906">
      <c r="A906" s="319" t="n"/>
      <c r="B906" s="319" t="n"/>
      <c r="C906" s="319" t="n"/>
      <c r="D906" s="319" t="n"/>
      <c r="E906" s="319" t="n"/>
      <c r="F906" s="319" t="n"/>
      <c r="G906" s="319" t="n"/>
      <c r="H906" s="319" t="n"/>
      <c r="I906" s="319" t="n"/>
      <c r="J906" s="319" t="n"/>
      <c r="K906" s="319" t="n"/>
      <c r="L906" s="319" t="n"/>
      <c r="M906" s="319" t="n"/>
      <c r="N906" s="319" t="n"/>
      <c r="O906" s="319" t="n"/>
      <c r="P906" s="319" t="n"/>
      <c r="Q906" s="319" t="n"/>
      <c r="R906" s="319" t="n"/>
      <c r="S906" s="319" t="n"/>
      <c r="T906" s="319" t="n"/>
      <c r="U906" s="319" t="n"/>
      <c r="V906" s="319" t="n"/>
      <c r="W906" s="319" t="n"/>
      <c r="X906" s="319" t="n"/>
      <c r="Y906" s="319" t="n"/>
      <c r="Z906" s="319" t="n"/>
    </row>
    <row r="907">
      <c r="A907" s="319" t="n"/>
      <c r="B907" s="319" t="n"/>
      <c r="C907" s="319" t="n"/>
      <c r="D907" s="319" t="n"/>
      <c r="E907" s="319" t="n"/>
      <c r="F907" s="319" t="n"/>
      <c r="G907" s="319" t="n"/>
      <c r="H907" s="319" t="n"/>
      <c r="I907" s="319" t="n"/>
      <c r="J907" s="319" t="n"/>
      <c r="K907" s="319" t="n"/>
      <c r="L907" s="319" t="n"/>
      <c r="M907" s="319" t="n"/>
      <c r="N907" s="319" t="n"/>
      <c r="O907" s="319" t="n"/>
      <c r="P907" s="319" t="n"/>
      <c r="Q907" s="319" t="n"/>
      <c r="R907" s="319" t="n"/>
      <c r="S907" s="319" t="n"/>
      <c r="T907" s="319" t="n"/>
      <c r="U907" s="319" t="n"/>
      <c r="V907" s="319" t="n"/>
      <c r="W907" s="319" t="n"/>
      <c r="X907" s="319" t="n"/>
      <c r="Y907" s="319" t="n"/>
      <c r="Z907" s="319" t="n"/>
    </row>
    <row r="908">
      <c r="A908" s="319" t="n"/>
      <c r="B908" s="319" t="n"/>
      <c r="C908" s="319" t="n"/>
      <c r="D908" s="319" t="n"/>
      <c r="E908" s="319" t="n"/>
      <c r="F908" s="319" t="n"/>
      <c r="G908" s="319" t="n"/>
      <c r="H908" s="319" t="n"/>
      <c r="I908" s="319" t="n"/>
      <c r="J908" s="319" t="n"/>
      <c r="K908" s="319" t="n"/>
      <c r="L908" s="319" t="n"/>
      <c r="M908" s="319" t="n"/>
      <c r="N908" s="319" t="n"/>
      <c r="O908" s="319" t="n"/>
      <c r="P908" s="319" t="n"/>
      <c r="Q908" s="319" t="n"/>
      <c r="R908" s="319" t="n"/>
      <c r="S908" s="319" t="n"/>
      <c r="T908" s="319" t="n"/>
      <c r="U908" s="319" t="n"/>
      <c r="V908" s="319" t="n"/>
      <c r="W908" s="319" t="n"/>
      <c r="X908" s="319" t="n"/>
      <c r="Y908" s="319" t="n"/>
      <c r="Z908" s="319" t="n"/>
    </row>
    <row r="909">
      <c r="A909" s="319" t="n"/>
      <c r="B909" s="319" t="n"/>
      <c r="C909" s="319" t="n"/>
      <c r="D909" s="319" t="n"/>
      <c r="E909" s="319" t="n"/>
      <c r="F909" s="319" t="n"/>
      <c r="G909" s="319" t="n"/>
      <c r="H909" s="319" t="n"/>
      <c r="I909" s="319" t="n"/>
      <c r="J909" s="319" t="n"/>
      <c r="K909" s="319" t="n"/>
      <c r="L909" s="319" t="n"/>
      <c r="M909" s="319" t="n"/>
      <c r="N909" s="319" t="n"/>
      <c r="O909" s="319" t="n"/>
      <c r="P909" s="319" t="n"/>
      <c r="Q909" s="319" t="n"/>
      <c r="R909" s="319" t="n"/>
      <c r="S909" s="319" t="n"/>
      <c r="T909" s="319" t="n"/>
      <c r="U909" s="319" t="n"/>
      <c r="V909" s="319" t="n"/>
      <c r="W909" s="319" t="n"/>
      <c r="X909" s="319" t="n"/>
      <c r="Y909" s="319" t="n"/>
      <c r="Z909" s="319" t="n"/>
    </row>
    <row r="910">
      <c r="A910" s="319" t="n"/>
      <c r="B910" s="319" t="n"/>
      <c r="C910" s="319" t="n"/>
      <c r="D910" s="319" t="n"/>
      <c r="E910" s="319" t="n"/>
      <c r="F910" s="319" t="n"/>
      <c r="G910" s="319" t="n"/>
      <c r="H910" s="319" t="n"/>
      <c r="I910" s="319" t="n"/>
      <c r="J910" s="319" t="n"/>
      <c r="K910" s="319" t="n"/>
      <c r="L910" s="319" t="n"/>
      <c r="M910" s="319" t="n"/>
      <c r="N910" s="319" t="n"/>
      <c r="O910" s="319" t="n"/>
      <c r="P910" s="319" t="n"/>
      <c r="Q910" s="319" t="n"/>
      <c r="R910" s="319" t="n"/>
      <c r="S910" s="319" t="n"/>
      <c r="T910" s="319" t="n"/>
      <c r="U910" s="319" t="n"/>
      <c r="V910" s="319" t="n"/>
      <c r="W910" s="319" t="n"/>
      <c r="X910" s="319" t="n"/>
      <c r="Y910" s="319" t="n"/>
      <c r="Z910" s="319" t="n"/>
    </row>
    <row r="911">
      <c r="A911" s="319" t="n"/>
      <c r="B911" s="319" t="n"/>
      <c r="C911" s="319" t="n"/>
      <c r="D911" s="319" t="n"/>
      <c r="E911" s="319" t="n"/>
      <c r="F911" s="319" t="n"/>
      <c r="G911" s="319" t="n"/>
      <c r="H911" s="319" t="n"/>
      <c r="I911" s="319" t="n"/>
      <c r="J911" s="319" t="n"/>
      <c r="K911" s="319" t="n"/>
      <c r="L911" s="319" t="n"/>
      <c r="M911" s="319" t="n"/>
      <c r="N911" s="319" t="n"/>
      <c r="O911" s="319" t="n"/>
      <c r="P911" s="319" t="n"/>
      <c r="Q911" s="319" t="n"/>
      <c r="R911" s="319" t="n"/>
      <c r="S911" s="319" t="n"/>
      <c r="T911" s="319" t="n"/>
      <c r="U911" s="319" t="n"/>
      <c r="V911" s="319" t="n"/>
      <c r="W911" s="319" t="n"/>
      <c r="X911" s="319" t="n"/>
      <c r="Y911" s="319" t="n"/>
      <c r="Z911" s="319" t="n"/>
    </row>
    <row r="912">
      <c r="A912" s="319" t="n"/>
      <c r="B912" s="319" t="n"/>
      <c r="C912" s="319" t="n"/>
      <c r="D912" s="319" t="n"/>
      <c r="E912" s="319" t="n"/>
      <c r="F912" s="319" t="n"/>
      <c r="G912" s="319" t="n"/>
      <c r="H912" s="319" t="n"/>
      <c r="I912" s="319" t="n"/>
      <c r="J912" s="319" t="n"/>
      <c r="K912" s="319" t="n"/>
      <c r="L912" s="319" t="n"/>
      <c r="M912" s="319" t="n"/>
      <c r="N912" s="319" t="n"/>
      <c r="O912" s="319" t="n"/>
      <c r="P912" s="319" t="n"/>
      <c r="Q912" s="319" t="n"/>
      <c r="R912" s="319" t="n"/>
      <c r="S912" s="319" t="n"/>
      <c r="T912" s="319" t="n"/>
      <c r="U912" s="319" t="n"/>
      <c r="V912" s="319" t="n"/>
      <c r="W912" s="319" t="n"/>
      <c r="X912" s="319" t="n"/>
      <c r="Y912" s="319" t="n"/>
      <c r="Z912" s="319" t="n"/>
    </row>
    <row r="913">
      <c r="A913" s="319" t="n"/>
      <c r="B913" s="319" t="n"/>
      <c r="C913" s="319" t="n"/>
      <c r="D913" s="319" t="n"/>
      <c r="E913" s="319" t="n"/>
      <c r="F913" s="319" t="n"/>
      <c r="G913" s="319" t="n"/>
      <c r="H913" s="319" t="n"/>
      <c r="I913" s="319" t="n"/>
      <c r="J913" s="319" t="n"/>
      <c r="K913" s="319" t="n"/>
      <c r="L913" s="319" t="n"/>
      <c r="M913" s="319" t="n"/>
      <c r="N913" s="319" t="n"/>
      <c r="O913" s="319" t="n"/>
      <c r="P913" s="319" t="n"/>
      <c r="Q913" s="319" t="n"/>
      <c r="R913" s="319" t="n"/>
      <c r="S913" s="319" t="n"/>
      <c r="T913" s="319" t="n"/>
      <c r="U913" s="319" t="n"/>
      <c r="V913" s="319" t="n"/>
      <c r="W913" s="319" t="n"/>
      <c r="X913" s="319" t="n"/>
      <c r="Y913" s="319" t="n"/>
      <c r="Z913" s="319" t="n"/>
    </row>
    <row r="914">
      <c r="A914" s="319" t="n"/>
      <c r="B914" s="319" t="n"/>
      <c r="C914" s="319" t="n"/>
      <c r="D914" s="319" t="n"/>
      <c r="E914" s="319" t="n"/>
      <c r="F914" s="319" t="n"/>
      <c r="G914" s="319" t="n"/>
      <c r="H914" s="319" t="n"/>
      <c r="I914" s="319" t="n"/>
      <c r="J914" s="319" t="n"/>
      <c r="K914" s="319" t="n"/>
      <c r="L914" s="319" t="n"/>
      <c r="M914" s="319" t="n"/>
      <c r="N914" s="319" t="n"/>
      <c r="O914" s="319" t="n"/>
      <c r="P914" s="319" t="n"/>
      <c r="Q914" s="319" t="n"/>
      <c r="R914" s="319" t="n"/>
      <c r="S914" s="319" t="n"/>
      <c r="T914" s="319" t="n"/>
      <c r="U914" s="319" t="n"/>
      <c r="V914" s="319" t="n"/>
      <c r="W914" s="319" t="n"/>
      <c r="X914" s="319" t="n"/>
      <c r="Y914" s="319" t="n"/>
      <c r="Z914" s="319" t="n"/>
    </row>
    <row r="915">
      <c r="A915" s="319" t="n"/>
      <c r="B915" s="319" t="n"/>
      <c r="C915" s="319" t="n"/>
      <c r="D915" s="319" t="n"/>
      <c r="E915" s="319" t="n"/>
      <c r="F915" s="319" t="n"/>
      <c r="G915" s="319" t="n"/>
      <c r="H915" s="319" t="n"/>
      <c r="I915" s="319" t="n"/>
      <c r="J915" s="319" t="n"/>
      <c r="K915" s="319" t="n"/>
      <c r="L915" s="319" t="n"/>
      <c r="M915" s="319" t="n"/>
      <c r="N915" s="319" t="n"/>
      <c r="O915" s="319" t="n"/>
      <c r="P915" s="319" t="n"/>
      <c r="Q915" s="319" t="n"/>
      <c r="R915" s="319" t="n"/>
      <c r="S915" s="319" t="n"/>
      <c r="T915" s="319" t="n"/>
      <c r="U915" s="319" t="n"/>
      <c r="V915" s="319" t="n"/>
      <c r="W915" s="319" t="n"/>
      <c r="X915" s="319" t="n"/>
      <c r="Y915" s="319" t="n"/>
      <c r="Z915" s="319" t="n"/>
    </row>
    <row r="916">
      <c r="A916" s="319" t="n"/>
      <c r="B916" s="319" t="n"/>
      <c r="C916" s="319" t="n"/>
      <c r="D916" s="319" t="n"/>
      <c r="E916" s="319" t="n"/>
      <c r="F916" s="319" t="n"/>
      <c r="G916" s="319" t="n"/>
      <c r="H916" s="319" t="n"/>
      <c r="I916" s="319" t="n"/>
      <c r="J916" s="319" t="n"/>
      <c r="K916" s="319" t="n"/>
      <c r="L916" s="319" t="n"/>
      <c r="M916" s="319" t="n"/>
      <c r="N916" s="319" t="n"/>
      <c r="O916" s="319" t="n"/>
      <c r="P916" s="319" t="n"/>
      <c r="Q916" s="319" t="n"/>
      <c r="R916" s="319" t="n"/>
      <c r="S916" s="319" t="n"/>
      <c r="T916" s="319" t="n"/>
      <c r="U916" s="319" t="n"/>
      <c r="V916" s="319" t="n"/>
      <c r="W916" s="319" t="n"/>
      <c r="X916" s="319" t="n"/>
      <c r="Y916" s="319" t="n"/>
      <c r="Z916" s="319" t="n"/>
    </row>
    <row r="917">
      <c r="A917" s="319" t="n"/>
      <c r="B917" s="319" t="n"/>
      <c r="C917" s="319" t="n"/>
      <c r="D917" s="319" t="n"/>
      <c r="E917" s="319" t="n"/>
      <c r="F917" s="319" t="n"/>
      <c r="G917" s="319" t="n"/>
      <c r="H917" s="319" t="n"/>
      <c r="I917" s="319" t="n"/>
      <c r="J917" s="319" t="n"/>
      <c r="K917" s="319" t="n"/>
      <c r="L917" s="319" t="n"/>
      <c r="M917" s="319" t="n"/>
      <c r="N917" s="319" t="n"/>
      <c r="O917" s="319" t="n"/>
      <c r="P917" s="319" t="n"/>
      <c r="Q917" s="319" t="n"/>
      <c r="R917" s="319" t="n"/>
      <c r="S917" s="319" t="n"/>
      <c r="T917" s="319" t="n"/>
      <c r="U917" s="319" t="n"/>
      <c r="V917" s="319" t="n"/>
      <c r="W917" s="319" t="n"/>
      <c r="X917" s="319" t="n"/>
      <c r="Y917" s="319" t="n"/>
      <c r="Z917" s="319" t="n"/>
    </row>
    <row r="918">
      <c r="A918" s="319" t="n"/>
      <c r="B918" s="319" t="n"/>
      <c r="C918" s="319" t="n"/>
      <c r="D918" s="319" t="n"/>
      <c r="E918" s="319" t="n"/>
      <c r="F918" s="319" t="n"/>
      <c r="G918" s="319" t="n"/>
      <c r="H918" s="319" t="n"/>
      <c r="I918" s="319" t="n"/>
      <c r="J918" s="319" t="n"/>
      <c r="K918" s="319" t="n"/>
      <c r="L918" s="319" t="n"/>
      <c r="M918" s="319" t="n"/>
      <c r="N918" s="319" t="n"/>
      <c r="O918" s="319" t="n"/>
      <c r="P918" s="319" t="n"/>
      <c r="Q918" s="319" t="n"/>
      <c r="R918" s="319" t="n"/>
      <c r="S918" s="319" t="n"/>
      <c r="T918" s="319" t="n"/>
      <c r="U918" s="319" t="n"/>
      <c r="V918" s="319" t="n"/>
      <c r="W918" s="319" t="n"/>
      <c r="X918" s="319" t="n"/>
      <c r="Y918" s="319" t="n"/>
      <c r="Z918" s="319" t="n"/>
    </row>
    <row r="919">
      <c r="A919" s="319" t="n"/>
      <c r="B919" s="319" t="n"/>
      <c r="C919" s="319" t="n"/>
      <c r="D919" s="319" t="n"/>
      <c r="E919" s="319" t="n"/>
      <c r="F919" s="319" t="n"/>
      <c r="G919" s="319" t="n"/>
      <c r="H919" s="319" t="n"/>
      <c r="I919" s="319" t="n"/>
      <c r="J919" s="319" t="n"/>
      <c r="K919" s="319" t="n"/>
      <c r="L919" s="319" t="n"/>
      <c r="M919" s="319" t="n"/>
      <c r="N919" s="319" t="n"/>
      <c r="O919" s="319" t="n"/>
      <c r="P919" s="319" t="n"/>
      <c r="Q919" s="319" t="n"/>
      <c r="R919" s="319" t="n"/>
      <c r="S919" s="319" t="n"/>
      <c r="T919" s="319" t="n"/>
      <c r="U919" s="319" t="n"/>
      <c r="V919" s="319" t="n"/>
      <c r="W919" s="319" t="n"/>
      <c r="X919" s="319" t="n"/>
      <c r="Y919" s="319" t="n"/>
      <c r="Z919" s="319" t="n"/>
    </row>
    <row r="920">
      <c r="A920" s="319" t="n"/>
      <c r="B920" s="319" t="n"/>
      <c r="C920" s="319" t="n"/>
      <c r="D920" s="319" t="n"/>
      <c r="E920" s="319" t="n"/>
      <c r="F920" s="319" t="n"/>
      <c r="G920" s="319" t="n"/>
      <c r="H920" s="319" t="n"/>
      <c r="I920" s="319" t="n"/>
      <c r="J920" s="319" t="n"/>
      <c r="K920" s="319" t="n"/>
      <c r="L920" s="319" t="n"/>
      <c r="M920" s="319" t="n"/>
      <c r="N920" s="319" t="n"/>
      <c r="O920" s="319" t="n"/>
      <c r="P920" s="319" t="n"/>
      <c r="Q920" s="319" t="n"/>
      <c r="R920" s="319" t="n"/>
      <c r="S920" s="319" t="n"/>
      <c r="T920" s="319" t="n"/>
      <c r="U920" s="319" t="n"/>
      <c r="V920" s="319" t="n"/>
      <c r="W920" s="319" t="n"/>
      <c r="X920" s="319" t="n"/>
      <c r="Y920" s="319" t="n"/>
      <c r="Z920" s="319" t="n"/>
    </row>
    <row r="921">
      <c r="A921" s="319" t="n"/>
      <c r="B921" s="319" t="n"/>
      <c r="C921" s="319" t="n"/>
      <c r="D921" s="319" t="n"/>
      <c r="E921" s="319" t="n"/>
      <c r="F921" s="319" t="n"/>
      <c r="G921" s="319" t="n"/>
      <c r="H921" s="319" t="n"/>
      <c r="I921" s="319" t="n"/>
      <c r="J921" s="319" t="n"/>
      <c r="K921" s="319" t="n"/>
      <c r="L921" s="319" t="n"/>
      <c r="M921" s="319" t="n"/>
      <c r="N921" s="319" t="n"/>
      <c r="O921" s="319" t="n"/>
      <c r="P921" s="319" t="n"/>
      <c r="Q921" s="319" t="n"/>
      <c r="R921" s="319" t="n"/>
      <c r="S921" s="319" t="n"/>
      <c r="T921" s="319" t="n"/>
      <c r="U921" s="319" t="n"/>
      <c r="V921" s="319" t="n"/>
      <c r="W921" s="319" t="n"/>
      <c r="X921" s="319" t="n"/>
      <c r="Y921" s="319" t="n"/>
      <c r="Z921" s="319" t="n"/>
    </row>
    <row r="922">
      <c r="A922" s="319" t="n"/>
      <c r="B922" s="319" t="n"/>
      <c r="C922" s="319" t="n"/>
      <c r="D922" s="319" t="n"/>
      <c r="E922" s="319" t="n"/>
      <c r="F922" s="319" t="n"/>
      <c r="G922" s="319" t="n"/>
      <c r="H922" s="319" t="n"/>
      <c r="I922" s="319" t="n"/>
      <c r="J922" s="319" t="n"/>
      <c r="K922" s="319" t="n"/>
      <c r="L922" s="319" t="n"/>
      <c r="M922" s="319" t="n"/>
      <c r="N922" s="319" t="n"/>
      <c r="O922" s="319" t="n"/>
      <c r="P922" s="319" t="n"/>
      <c r="Q922" s="319" t="n"/>
      <c r="R922" s="319" t="n"/>
      <c r="S922" s="319" t="n"/>
      <c r="T922" s="319" t="n"/>
      <c r="U922" s="319" t="n"/>
      <c r="V922" s="319" t="n"/>
      <c r="W922" s="319" t="n"/>
      <c r="X922" s="319" t="n"/>
      <c r="Y922" s="319" t="n"/>
      <c r="Z922" s="319" t="n"/>
    </row>
    <row r="923">
      <c r="A923" s="319" t="n"/>
      <c r="B923" s="319" t="n"/>
      <c r="C923" s="319" t="n"/>
      <c r="D923" s="319" t="n"/>
      <c r="E923" s="319" t="n"/>
      <c r="F923" s="319" t="n"/>
      <c r="G923" s="319" t="n"/>
      <c r="H923" s="319" t="n"/>
      <c r="I923" s="319" t="n"/>
      <c r="J923" s="319" t="n"/>
      <c r="K923" s="319" t="n"/>
      <c r="L923" s="319" t="n"/>
      <c r="M923" s="319" t="n"/>
      <c r="N923" s="319" t="n"/>
      <c r="O923" s="319" t="n"/>
      <c r="P923" s="319" t="n"/>
      <c r="Q923" s="319" t="n"/>
      <c r="R923" s="319" t="n"/>
      <c r="S923" s="319" t="n"/>
      <c r="T923" s="319" t="n"/>
      <c r="U923" s="319" t="n"/>
      <c r="V923" s="319" t="n"/>
      <c r="W923" s="319" t="n"/>
      <c r="X923" s="319" t="n"/>
      <c r="Y923" s="319" t="n"/>
      <c r="Z923" s="319" t="n"/>
    </row>
    <row r="924">
      <c r="A924" s="319" t="n"/>
      <c r="B924" s="319" t="n"/>
      <c r="C924" s="319" t="n"/>
      <c r="D924" s="319" t="n"/>
      <c r="E924" s="319" t="n"/>
      <c r="F924" s="319" t="n"/>
      <c r="G924" s="319" t="n"/>
      <c r="H924" s="319" t="n"/>
      <c r="I924" s="319" t="n"/>
      <c r="J924" s="319" t="n"/>
      <c r="K924" s="319" t="n"/>
      <c r="L924" s="319" t="n"/>
      <c r="M924" s="319" t="n"/>
      <c r="N924" s="319" t="n"/>
      <c r="O924" s="319" t="n"/>
      <c r="P924" s="319" t="n"/>
      <c r="Q924" s="319" t="n"/>
      <c r="R924" s="319" t="n"/>
      <c r="S924" s="319" t="n"/>
      <c r="T924" s="319" t="n"/>
      <c r="U924" s="319" t="n"/>
      <c r="V924" s="319" t="n"/>
      <c r="W924" s="319" t="n"/>
      <c r="X924" s="319" t="n"/>
      <c r="Y924" s="319" t="n"/>
      <c r="Z924" s="319" t="n"/>
    </row>
    <row r="925">
      <c r="A925" s="319" t="n"/>
      <c r="B925" s="319" t="n"/>
      <c r="C925" s="319" t="n"/>
      <c r="D925" s="319" t="n"/>
      <c r="E925" s="319" t="n"/>
      <c r="F925" s="319" t="n"/>
      <c r="G925" s="319" t="n"/>
      <c r="H925" s="319" t="n"/>
      <c r="I925" s="319" t="n"/>
      <c r="J925" s="319" t="n"/>
      <c r="K925" s="319" t="n"/>
      <c r="L925" s="319" t="n"/>
      <c r="M925" s="319" t="n"/>
      <c r="N925" s="319" t="n"/>
      <c r="O925" s="319" t="n"/>
      <c r="P925" s="319" t="n"/>
      <c r="Q925" s="319" t="n"/>
      <c r="R925" s="319" t="n"/>
      <c r="S925" s="319" t="n"/>
      <c r="T925" s="319" t="n"/>
      <c r="U925" s="319" t="n"/>
      <c r="V925" s="319" t="n"/>
      <c r="W925" s="319" t="n"/>
      <c r="X925" s="319" t="n"/>
      <c r="Y925" s="319" t="n"/>
      <c r="Z925" s="319" t="n"/>
    </row>
    <row r="926">
      <c r="A926" s="319" t="n"/>
      <c r="B926" s="319" t="n"/>
      <c r="C926" s="319" t="n"/>
      <c r="D926" s="319" t="n"/>
      <c r="E926" s="319" t="n"/>
      <c r="F926" s="319" t="n"/>
      <c r="G926" s="319" t="n"/>
      <c r="H926" s="319" t="n"/>
      <c r="I926" s="319" t="n"/>
      <c r="J926" s="319" t="n"/>
      <c r="K926" s="319" t="n"/>
      <c r="L926" s="319" t="n"/>
      <c r="M926" s="319" t="n"/>
      <c r="N926" s="319" t="n"/>
      <c r="O926" s="319" t="n"/>
      <c r="P926" s="319" t="n"/>
      <c r="Q926" s="319" t="n"/>
      <c r="R926" s="319" t="n"/>
      <c r="S926" s="319" t="n"/>
      <c r="T926" s="319" t="n"/>
      <c r="U926" s="319" t="n"/>
      <c r="V926" s="319" t="n"/>
      <c r="W926" s="319" t="n"/>
      <c r="X926" s="319" t="n"/>
      <c r="Y926" s="319" t="n"/>
      <c r="Z926" s="319" t="n"/>
    </row>
    <row r="927">
      <c r="A927" s="319" t="n"/>
      <c r="B927" s="319" t="n"/>
      <c r="C927" s="319" t="n"/>
      <c r="D927" s="319" t="n"/>
      <c r="E927" s="319" t="n"/>
      <c r="F927" s="319" t="n"/>
      <c r="G927" s="319" t="n"/>
      <c r="H927" s="319" t="n"/>
      <c r="I927" s="319" t="n"/>
      <c r="J927" s="319" t="n"/>
      <c r="K927" s="319" t="n"/>
      <c r="L927" s="319" t="n"/>
      <c r="M927" s="319" t="n"/>
      <c r="N927" s="319" t="n"/>
      <c r="O927" s="319" t="n"/>
      <c r="P927" s="319" t="n"/>
      <c r="Q927" s="319" t="n"/>
      <c r="R927" s="319" t="n"/>
      <c r="S927" s="319" t="n"/>
      <c r="T927" s="319" t="n"/>
      <c r="U927" s="319" t="n"/>
      <c r="V927" s="319" t="n"/>
      <c r="W927" s="319" t="n"/>
      <c r="X927" s="319" t="n"/>
      <c r="Y927" s="319" t="n"/>
      <c r="Z927" s="319" t="n"/>
    </row>
    <row r="928">
      <c r="A928" s="319" t="n"/>
      <c r="B928" s="319" t="n"/>
      <c r="C928" s="319" t="n"/>
      <c r="D928" s="319" t="n"/>
      <c r="E928" s="319" t="n"/>
      <c r="F928" s="319" t="n"/>
      <c r="G928" s="319" t="n"/>
      <c r="H928" s="319" t="n"/>
      <c r="I928" s="319" t="n"/>
      <c r="J928" s="319" t="n"/>
      <c r="K928" s="319" t="n"/>
      <c r="L928" s="319" t="n"/>
      <c r="M928" s="319" t="n"/>
      <c r="N928" s="319" t="n"/>
      <c r="O928" s="319" t="n"/>
      <c r="P928" s="319" t="n"/>
      <c r="Q928" s="319" t="n"/>
      <c r="R928" s="319" t="n"/>
      <c r="S928" s="319" t="n"/>
      <c r="T928" s="319" t="n"/>
      <c r="U928" s="319" t="n"/>
      <c r="V928" s="319" t="n"/>
      <c r="W928" s="319" t="n"/>
      <c r="X928" s="319" t="n"/>
      <c r="Y928" s="319" t="n"/>
      <c r="Z928" s="319" t="n"/>
    </row>
    <row r="929">
      <c r="A929" s="319" t="n"/>
      <c r="B929" s="319" t="n"/>
      <c r="C929" s="319" t="n"/>
      <c r="D929" s="319" t="n"/>
      <c r="E929" s="319" t="n"/>
      <c r="F929" s="319" t="n"/>
      <c r="G929" s="319" t="n"/>
      <c r="H929" s="319" t="n"/>
      <c r="I929" s="319" t="n"/>
      <c r="J929" s="319" t="n"/>
      <c r="K929" s="319" t="n"/>
      <c r="L929" s="319" t="n"/>
      <c r="M929" s="319" t="n"/>
      <c r="N929" s="319" t="n"/>
      <c r="O929" s="319" t="n"/>
      <c r="P929" s="319" t="n"/>
      <c r="Q929" s="319" t="n"/>
      <c r="R929" s="319" t="n"/>
      <c r="S929" s="319" t="n"/>
      <c r="T929" s="319" t="n"/>
      <c r="U929" s="319" t="n"/>
      <c r="V929" s="319" t="n"/>
      <c r="W929" s="319" t="n"/>
      <c r="X929" s="319" t="n"/>
      <c r="Y929" s="319" t="n"/>
      <c r="Z929" s="319" t="n"/>
    </row>
    <row r="930">
      <c r="A930" s="319" t="n"/>
      <c r="B930" s="319" t="n"/>
      <c r="C930" s="319" t="n"/>
      <c r="D930" s="319" t="n"/>
      <c r="E930" s="319" t="n"/>
      <c r="F930" s="319" t="n"/>
      <c r="G930" s="319" t="n"/>
      <c r="H930" s="319" t="n"/>
      <c r="I930" s="319" t="n"/>
      <c r="J930" s="319" t="n"/>
      <c r="K930" s="319" t="n"/>
      <c r="L930" s="319" t="n"/>
      <c r="M930" s="319" t="n"/>
      <c r="N930" s="319" t="n"/>
      <c r="O930" s="319" t="n"/>
      <c r="P930" s="319" t="n"/>
      <c r="Q930" s="319" t="n"/>
      <c r="R930" s="319" t="n"/>
      <c r="S930" s="319" t="n"/>
      <c r="T930" s="319" t="n"/>
      <c r="U930" s="319" t="n"/>
      <c r="V930" s="319" t="n"/>
      <c r="W930" s="319" t="n"/>
      <c r="X930" s="319" t="n"/>
      <c r="Y930" s="319" t="n"/>
      <c r="Z930" s="319" t="n"/>
    </row>
    <row r="931">
      <c r="A931" s="319" t="n"/>
      <c r="B931" s="319" t="n"/>
      <c r="C931" s="319" t="n"/>
      <c r="D931" s="319" t="n"/>
      <c r="E931" s="319" t="n"/>
      <c r="F931" s="319" t="n"/>
      <c r="G931" s="319" t="n"/>
      <c r="H931" s="319" t="n"/>
      <c r="I931" s="319" t="n"/>
      <c r="J931" s="319" t="n"/>
      <c r="K931" s="319" t="n"/>
      <c r="L931" s="319" t="n"/>
      <c r="M931" s="319" t="n"/>
      <c r="N931" s="319" t="n"/>
      <c r="O931" s="319" t="n"/>
      <c r="P931" s="319" t="n"/>
      <c r="Q931" s="319" t="n"/>
      <c r="R931" s="319" t="n"/>
      <c r="S931" s="319" t="n"/>
      <c r="T931" s="319" t="n"/>
      <c r="U931" s="319" t="n"/>
      <c r="V931" s="319" t="n"/>
      <c r="W931" s="319" t="n"/>
      <c r="X931" s="319" t="n"/>
      <c r="Y931" s="319" t="n"/>
      <c r="Z931" s="319" t="n"/>
    </row>
    <row r="932">
      <c r="A932" s="319" t="n"/>
      <c r="B932" s="319" t="n"/>
      <c r="C932" s="319" t="n"/>
      <c r="D932" s="319" t="n"/>
      <c r="E932" s="319" t="n"/>
      <c r="F932" s="319" t="n"/>
      <c r="G932" s="319" t="n"/>
      <c r="H932" s="319" t="n"/>
      <c r="I932" s="319" t="n"/>
      <c r="J932" s="319" t="n"/>
      <c r="K932" s="319" t="n"/>
      <c r="L932" s="319" t="n"/>
      <c r="M932" s="319" t="n"/>
      <c r="N932" s="319" t="n"/>
      <c r="O932" s="319" t="n"/>
      <c r="P932" s="319" t="n"/>
      <c r="Q932" s="319" t="n"/>
      <c r="R932" s="319" t="n"/>
      <c r="S932" s="319" t="n"/>
      <c r="T932" s="319" t="n"/>
      <c r="U932" s="319" t="n"/>
      <c r="V932" s="319" t="n"/>
      <c r="W932" s="319" t="n"/>
      <c r="X932" s="319" t="n"/>
      <c r="Y932" s="319" t="n"/>
      <c r="Z932" s="319" t="n"/>
    </row>
    <row r="933">
      <c r="A933" s="319" t="n"/>
      <c r="B933" s="319" t="n"/>
      <c r="C933" s="319" t="n"/>
      <c r="D933" s="319" t="n"/>
      <c r="E933" s="319" t="n"/>
      <c r="F933" s="319" t="n"/>
      <c r="G933" s="319" t="n"/>
      <c r="H933" s="319" t="n"/>
      <c r="I933" s="319" t="n"/>
      <c r="J933" s="319" t="n"/>
      <c r="K933" s="319" t="n"/>
      <c r="L933" s="319" t="n"/>
      <c r="M933" s="319" t="n"/>
      <c r="N933" s="319" t="n"/>
      <c r="O933" s="319" t="n"/>
      <c r="P933" s="319" t="n"/>
      <c r="Q933" s="319" t="n"/>
      <c r="R933" s="319" t="n"/>
      <c r="S933" s="319" t="n"/>
      <c r="T933" s="319" t="n"/>
      <c r="U933" s="319" t="n"/>
      <c r="V933" s="319" t="n"/>
      <c r="W933" s="319" t="n"/>
      <c r="X933" s="319" t="n"/>
      <c r="Y933" s="319" t="n"/>
      <c r="Z933" s="319" t="n"/>
    </row>
    <row r="934">
      <c r="A934" s="319" t="n"/>
      <c r="B934" s="319" t="n"/>
      <c r="C934" s="319" t="n"/>
      <c r="D934" s="319" t="n"/>
      <c r="E934" s="319" t="n"/>
      <c r="F934" s="319" t="n"/>
      <c r="G934" s="319" t="n"/>
      <c r="H934" s="319" t="n"/>
      <c r="I934" s="319" t="n"/>
      <c r="J934" s="319" t="n"/>
      <c r="K934" s="319" t="n"/>
      <c r="L934" s="319" t="n"/>
      <c r="M934" s="319" t="n"/>
      <c r="N934" s="319" t="n"/>
      <c r="O934" s="319" t="n"/>
      <c r="P934" s="319" t="n"/>
      <c r="Q934" s="319" t="n"/>
      <c r="R934" s="319" t="n"/>
      <c r="S934" s="319" t="n"/>
      <c r="T934" s="319" t="n"/>
      <c r="U934" s="319" t="n"/>
      <c r="V934" s="319" t="n"/>
      <c r="W934" s="319" t="n"/>
      <c r="X934" s="319" t="n"/>
      <c r="Y934" s="319" t="n"/>
      <c r="Z934" s="319" t="n"/>
    </row>
    <row r="935">
      <c r="A935" s="319" t="n"/>
      <c r="B935" s="319" t="n"/>
      <c r="C935" s="319" t="n"/>
      <c r="D935" s="319" t="n"/>
      <c r="E935" s="319" t="n"/>
      <c r="F935" s="319" t="n"/>
      <c r="G935" s="319" t="n"/>
      <c r="H935" s="319" t="n"/>
      <c r="I935" s="319" t="n"/>
      <c r="J935" s="319" t="n"/>
      <c r="K935" s="319" t="n"/>
      <c r="L935" s="319" t="n"/>
      <c r="M935" s="319" t="n"/>
      <c r="N935" s="319" t="n"/>
      <c r="O935" s="319" t="n"/>
      <c r="P935" s="319" t="n"/>
      <c r="Q935" s="319" t="n"/>
      <c r="R935" s="319" t="n"/>
      <c r="S935" s="319" t="n"/>
      <c r="T935" s="319" t="n"/>
      <c r="U935" s="319" t="n"/>
      <c r="V935" s="319" t="n"/>
      <c r="W935" s="319" t="n"/>
      <c r="X935" s="319" t="n"/>
      <c r="Y935" s="319" t="n"/>
      <c r="Z935" s="319" t="n"/>
    </row>
    <row r="936">
      <c r="A936" s="319" t="n"/>
      <c r="B936" s="319" t="n"/>
      <c r="C936" s="319" t="n"/>
      <c r="D936" s="319" t="n"/>
      <c r="E936" s="319" t="n"/>
      <c r="F936" s="319" t="n"/>
      <c r="G936" s="319" t="n"/>
      <c r="H936" s="319" t="n"/>
      <c r="I936" s="319" t="n"/>
      <c r="J936" s="319" t="n"/>
      <c r="K936" s="319" t="n"/>
      <c r="L936" s="319" t="n"/>
      <c r="M936" s="319" t="n"/>
      <c r="N936" s="319" t="n"/>
      <c r="O936" s="319" t="n"/>
      <c r="P936" s="319" t="n"/>
      <c r="Q936" s="319" t="n"/>
      <c r="R936" s="319" t="n"/>
      <c r="S936" s="319" t="n"/>
      <c r="T936" s="319" t="n"/>
      <c r="U936" s="319" t="n"/>
      <c r="V936" s="319" t="n"/>
      <c r="W936" s="319" t="n"/>
      <c r="X936" s="319" t="n"/>
      <c r="Y936" s="319" t="n"/>
      <c r="Z936" s="319" t="n"/>
    </row>
    <row r="937">
      <c r="A937" s="319" t="n"/>
      <c r="B937" s="319" t="n"/>
      <c r="C937" s="319" t="n"/>
      <c r="D937" s="319" t="n"/>
      <c r="E937" s="319" t="n"/>
      <c r="F937" s="319" t="n"/>
      <c r="G937" s="319" t="n"/>
      <c r="H937" s="319" t="n"/>
      <c r="I937" s="319" t="n"/>
      <c r="J937" s="319" t="n"/>
      <c r="K937" s="319" t="n"/>
      <c r="L937" s="319" t="n"/>
      <c r="M937" s="319" t="n"/>
      <c r="N937" s="319" t="n"/>
      <c r="O937" s="319" t="n"/>
      <c r="P937" s="319" t="n"/>
      <c r="Q937" s="319" t="n"/>
      <c r="R937" s="319" t="n"/>
      <c r="S937" s="319" t="n"/>
      <c r="T937" s="319" t="n"/>
      <c r="U937" s="319" t="n"/>
      <c r="V937" s="319" t="n"/>
      <c r="W937" s="319" t="n"/>
      <c r="X937" s="319" t="n"/>
      <c r="Y937" s="319" t="n"/>
      <c r="Z937" s="319" t="n"/>
    </row>
    <row r="938">
      <c r="A938" s="319" t="n"/>
      <c r="B938" s="319" t="n"/>
      <c r="C938" s="319" t="n"/>
      <c r="D938" s="319" t="n"/>
      <c r="E938" s="319" t="n"/>
      <c r="F938" s="319" t="n"/>
      <c r="G938" s="319" t="n"/>
      <c r="H938" s="319" t="n"/>
      <c r="I938" s="319" t="n"/>
      <c r="J938" s="319" t="n"/>
      <c r="K938" s="319" t="n"/>
      <c r="L938" s="319" t="n"/>
      <c r="M938" s="319" t="n"/>
      <c r="N938" s="319" t="n"/>
      <c r="O938" s="319" t="n"/>
      <c r="P938" s="319" t="n"/>
      <c r="Q938" s="319" t="n"/>
      <c r="R938" s="319" t="n"/>
      <c r="S938" s="319" t="n"/>
      <c r="T938" s="319" t="n"/>
      <c r="U938" s="319" t="n"/>
      <c r="V938" s="319" t="n"/>
      <c r="W938" s="319" t="n"/>
      <c r="X938" s="319" t="n"/>
      <c r="Y938" s="319" t="n"/>
      <c r="Z938" s="319" t="n"/>
    </row>
    <row r="939">
      <c r="A939" s="319" t="n"/>
      <c r="B939" s="319" t="n"/>
      <c r="C939" s="319" t="n"/>
      <c r="D939" s="319" t="n"/>
      <c r="E939" s="319" t="n"/>
      <c r="F939" s="319" t="n"/>
      <c r="G939" s="319" t="n"/>
      <c r="H939" s="319" t="n"/>
      <c r="I939" s="319" t="n"/>
      <c r="J939" s="319" t="n"/>
      <c r="K939" s="319" t="n"/>
      <c r="L939" s="319" t="n"/>
      <c r="M939" s="319" t="n"/>
      <c r="N939" s="319" t="n"/>
      <c r="O939" s="319" t="n"/>
      <c r="P939" s="319" t="n"/>
      <c r="Q939" s="319" t="n"/>
      <c r="R939" s="319" t="n"/>
      <c r="S939" s="319" t="n"/>
      <c r="T939" s="319" t="n"/>
      <c r="U939" s="319" t="n"/>
      <c r="V939" s="319" t="n"/>
      <c r="W939" s="319" t="n"/>
      <c r="X939" s="319" t="n"/>
      <c r="Y939" s="319" t="n"/>
      <c r="Z939" s="319" t="n"/>
    </row>
    <row r="940">
      <c r="A940" s="319" t="n"/>
      <c r="B940" s="319" t="n"/>
      <c r="C940" s="319" t="n"/>
      <c r="D940" s="319" t="n"/>
      <c r="E940" s="319" t="n"/>
      <c r="F940" s="319" t="n"/>
      <c r="G940" s="319" t="n"/>
      <c r="H940" s="319" t="n"/>
      <c r="I940" s="319" t="n"/>
      <c r="J940" s="319" t="n"/>
      <c r="K940" s="319" t="n"/>
      <c r="L940" s="319" t="n"/>
      <c r="M940" s="319" t="n"/>
      <c r="N940" s="319" t="n"/>
      <c r="O940" s="319" t="n"/>
      <c r="P940" s="319" t="n"/>
      <c r="Q940" s="319" t="n"/>
      <c r="R940" s="319" t="n"/>
      <c r="S940" s="319" t="n"/>
      <c r="T940" s="319" t="n"/>
      <c r="U940" s="319" t="n"/>
      <c r="V940" s="319" t="n"/>
      <c r="W940" s="319" t="n"/>
      <c r="X940" s="319" t="n"/>
      <c r="Y940" s="319" t="n"/>
      <c r="Z940" s="319" t="n"/>
    </row>
    <row r="941">
      <c r="A941" s="319" t="n"/>
      <c r="B941" s="319" t="n"/>
      <c r="C941" s="319" t="n"/>
      <c r="D941" s="319" t="n"/>
      <c r="E941" s="319" t="n"/>
      <c r="F941" s="319" t="n"/>
      <c r="G941" s="319" t="n"/>
      <c r="H941" s="319" t="n"/>
      <c r="I941" s="319" t="n"/>
      <c r="J941" s="319" t="n"/>
      <c r="K941" s="319" t="n"/>
      <c r="L941" s="319" t="n"/>
      <c r="M941" s="319" t="n"/>
      <c r="N941" s="319" t="n"/>
      <c r="O941" s="319" t="n"/>
      <c r="P941" s="319" t="n"/>
      <c r="Q941" s="319" t="n"/>
      <c r="R941" s="319" t="n"/>
      <c r="S941" s="319" t="n"/>
      <c r="T941" s="319" t="n"/>
      <c r="U941" s="319" t="n"/>
      <c r="V941" s="319" t="n"/>
      <c r="W941" s="319" t="n"/>
      <c r="X941" s="319" t="n"/>
      <c r="Y941" s="319" t="n"/>
      <c r="Z941" s="319" t="n"/>
    </row>
    <row r="942">
      <c r="A942" s="319" t="n"/>
      <c r="B942" s="319" t="n"/>
      <c r="C942" s="319" t="n"/>
      <c r="D942" s="319" t="n"/>
      <c r="E942" s="319" t="n"/>
      <c r="F942" s="319" t="n"/>
      <c r="G942" s="319" t="n"/>
      <c r="H942" s="319" t="n"/>
      <c r="I942" s="319" t="n"/>
      <c r="J942" s="319" t="n"/>
      <c r="K942" s="319" t="n"/>
      <c r="L942" s="319" t="n"/>
      <c r="M942" s="319" t="n"/>
      <c r="N942" s="319" t="n"/>
      <c r="O942" s="319" t="n"/>
      <c r="P942" s="319" t="n"/>
      <c r="Q942" s="319" t="n"/>
      <c r="R942" s="319" t="n"/>
      <c r="S942" s="319" t="n"/>
      <c r="T942" s="319" t="n"/>
      <c r="U942" s="319" t="n"/>
      <c r="V942" s="319" t="n"/>
      <c r="W942" s="319" t="n"/>
      <c r="X942" s="319" t="n"/>
      <c r="Y942" s="319" t="n"/>
      <c r="Z942" s="319" t="n"/>
    </row>
    <row r="943">
      <c r="A943" s="319" t="n"/>
      <c r="B943" s="319" t="n"/>
      <c r="C943" s="319" t="n"/>
      <c r="D943" s="319" t="n"/>
      <c r="E943" s="319" t="n"/>
      <c r="F943" s="319" t="n"/>
      <c r="G943" s="319" t="n"/>
      <c r="H943" s="319" t="n"/>
      <c r="I943" s="319" t="n"/>
      <c r="J943" s="319" t="n"/>
      <c r="K943" s="319" t="n"/>
      <c r="L943" s="319" t="n"/>
      <c r="M943" s="319" t="n"/>
      <c r="N943" s="319" t="n"/>
      <c r="O943" s="319" t="n"/>
      <c r="P943" s="319" t="n"/>
      <c r="Q943" s="319" t="n"/>
      <c r="R943" s="319" t="n"/>
      <c r="S943" s="319" t="n"/>
      <c r="T943" s="319" t="n"/>
      <c r="U943" s="319" t="n"/>
      <c r="V943" s="319" t="n"/>
      <c r="W943" s="319" t="n"/>
      <c r="X943" s="319" t="n"/>
      <c r="Y943" s="319" t="n"/>
      <c r="Z943" s="319" t="n"/>
    </row>
    <row r="944">
      <c r="A944" s="319" t="n"/>
      <c r="B944" s="319" t="n"/>
      <c r="C944" s="319" t="n"/>
      <c r="D944" s="319" t="n"/>
      <c r="E944" s="319" t="n"/>
      <c r="F944" s="319" t="n"/>
      <c r="G944" s="319" t="n"/>
      <c r="H944" s="319" t="n"/>
      <c r="I944" s="319" t="n"/>
      <c r="J944" s="319" t="n"/>
      <c r="K944" s="319" t="n"/>
      <c r="L944" s="319" t="n"/>
      <c r="M944" s="319" t="n"/>
      <c r="N944" s="319" t="n"/>
      <c r="O944" s="319" t="n"/>
      <c r="P944" s="319" t="n"/>
      <c r="Q944" s="319" t="n"/>
      <c r="R944" s="319" t="n"/>
      <c r="S944" s="319" t="n"/>
      <c r="T944" s="319" t="n"/>
      <c r="U944" s="319" t="n"/>
      <c r="V944" s="319" t="n"/>
      <c r="W944" s="319" t="n"/>
      <c r="X944" s="319" t="n"/>
      <c r="Y944" s="319" t="n"/>
      <c r="Z944" s="319" t="n"/>
    </row>
    <row r="945">
      <c r="A945" s="319" t="n"/>
      <c r="B945" s="319" t="n"/>
      <c r="C945" s="319" t="n"/>
      <c r="D945" s="319" t="n"/>
      <c r="E945" s="319" t="n"/>
      <c r="F945" s="319" t="n"/>
      <c r="G945" s="319" t="n"/>
      <c r="H945" s="319" t="n"/>
      <c r="I945" s="319" t="n"/>
      <c r="J945" s="319" t="n"/>
      <c r="K945" s="319" t="n"/>
      <c r="L945" s="319" t="n"/>
      <c r="M945" s="319" t="n"/>
      <c r="N945" s="319" t="n"/>
      <c r="O945" s="319" t="n"/>
      <c r="P945" s="319" t="n"/>
      <c r="Q945" s="319" t="n"/>
      <c r="R945" s="319" t="n"/>
      <c r="S945" s="319" t="n"/>
      <c r="T945" s="319" t="n"/>
      <c r="U945" s="319" t="n"/>
      <c r="V945" s="319" t="n"/>
      <c r="W945" s="319" t="n"/>
      <c r="X945" s="319" t="n"/>
      <c r="Y945" s="319" t="n"/>
      <c r="Z945" s="319" t="n"/>
    </row>
    <row r="946">
      <c r="A946" s="319" t="n"/>
      <c r="B946" s="319" t="n"/>
      <c r="C946" s="319" t="n"/>
      <c r="D946" s="319" t="n"/>
      <c r="E946" s="319" t="n"/>
      <c r="F946" s="319" t="n"/>
      <c r="G946" s="319" t="n"/>
      <c r="H946" s="319" t="n"/>
      <c r="I946" s="319" t="n"/>
      <c r="J946" s="319" t="n"/>
      <c r="K946" s="319" t="n"/>
      <c r="L946" s="319" t="n"/>
      <c r="M946" s="319" t="n"/>
      <c r="N946" s="319" t="n"/>
      <c r="O946" s="319" t="n"/>
      <c r="P946" s="319" t="n"/>
      <c r="Q946" s="319" t="n"/>
      <c r="R946" s="319" t="n"/>
      <c r="S946" s="319" t="n"/>
      <c r="T946" s="319" t="n"/>
      <c r="U946" s="319" t="n"/>
      <c r="V946" s="319" t="n"/>
      <c r="W946" s="319" t="n"/>
      <c r="X946" s="319" t="n"/>
      <c r="Y946" s="319" t="n"/>
      <c r="Z946" s="319" t="n"/>
    </row>
    <row r="947">
      <c r="A947" s="319" t="n"/>
      <c r="B947" s="319" t="n"/>
      <c r="C947" s="319" t="n"/>
      <c r="D947" s="319" t="n"/>
      <c r="E947" s="319" t="n"/>
      <c r="F947" s="319" t="n"/>
      <c r="G947" s="319" t="n"/>
      <c r="H947" s="319" t="n"/>
      <c r="I947" s="319" t="n"/>
      <c r="J947" s="319" t="n"/>
      <c r="K947" s="319" t="n"/>
      <c r="L947" s="319" t="n"/>
      <c r="M947" s="319" t="n"/>
      <c r="N947" s="319" t="n"/>
      <c r="O947" s="319" t="n"/>
      <c r="P947" s="319" t="n"/>
      <c r="Q947" s="319" t="n"/>
      <c r="R947" s="319" t="n"/>
      <c r="S947" s="319" t="n"/>
      <c r="T947" s="319" t="n"/>
      <c r="U947" s="319" t="n"/>
      <c r="V947" s="319" t="n"/>
      <c r="W947" s="319" t="n"/>
      <c r="X947" s="319" t="n"/>
      <c r="Y947" s="319" t="n"/>
      <c r="Z947" s="319" t="n"/>
    </row>
    <row r="948">
      <c r="A948" s="319" t="n"/>
      <c r="B948" s="319" t="n"/>
      <c r="C948" s="319" t="n"/>
      <c r="D948" s="319" t="n"/>
      <c r="E948" s="319" t="n"/>
      <c r="F948" s="319" t="n"/>
      <c r="G948" s="319" t="n"/>
      <c r="H948" s="319" t="n"/>
      <c r="I948" s="319" t="n"/>
      <c r="J948" s="319" t="n"/>
      <c r="K948" s="319" t="n"/>
      <c r="L948" s="319" t="n"/>
      <c r="M948" s="319" t="n"/>
      <c r="N948" s="319" t="n"/>
      <c r="O948" s="319" t="n"/>
      <c r="P948" s="319" t="n"/>
      <c r="Q948" s="319" t="n"/>
      <c r="R948" s="319" t="n"/>
      <c r="S948" s="319" t="n"/>
      <c r="T948" s="319" t="n"/>
      <c r="U948" s="319" t="n"/>
      <c r="V948" s="319" t="n"/>
      <c r="W948" s="319" t="n"/>
      <c r="X948" s="319" t="n"/>
      <c r="Y948" s="319" t="n"/>
      <c r="Z948" s="319" t="n"/>
    </row>
    <row r="949">
      <c r="A949" s="319" t="n"/>
      <c r="B949" s="319" t="n"/>
      <c r="C949" s="319" t="n"/>
      <c r="D949" s="319" t="n"/>
      <c r="E949" s="319" t="n"/>
      <c r="F949" s="319" t="n"/>
      <c r="G949" s="319" t="n"/>
      <c r="H949" s="319" t="n"/>
      <c r="I949" s="319" t="n"/>
      <c r="J949" s="319" t="n"/>
      <c r="K949" s="319" t="n"/>
      <c r="L949" s="319" t="n"/>
      <c r="M949" s="319" t="n"/>
      <c r="N949" s="319" t="n"/>
      <c r="O949" s="319" t="n"/>
      <c r="P949" s="319" t="n"/>
      <c r="Q949" s="319" t="n"/>
      <c r="R949" s="319" t="n"/>
      <c r="S949" s="319" t="n"/>
      <c r="T949" s="319" t="n"/>
      <c r="U949" s="319" t="n"/>
      <c r="V949" s="319" t="n"/>
      <c r="W949" s="319" t="n"/>
      <c r="X949" s="319" t="n"/>
      <c r="Y949" s="319" t="n"/>
      <c r="Z949" s="319" t="n"/>
    </row>
    <row r="950">
      <c r="A950" s="319" t="n"/>
      <c r="B950" s="319" t="n"/>
      <c r="C950" s="319" t="n"/>
      <c r="D950" s="319" t="n"/>
      <c r="E950" s="319" t="n"/>
      <c r="F950" s="319" t="n"/>
      <c r="G950" s="319" t="n"/>
      <c r="H950" s="319" t="n"/>
      <c r="I950" s="319" t="n"/>
      <c r="J950" s="319" t="n"/>
      <c r="K950" s="319" t="n"/>
      <c r="L950" s="319" t="n"/>
      <c r="M950" s="319" t="n"/>
      <c r="N950" s="319" t="n"/>
      <c r="O950" s="319" t="n"/>
      <c r="P950" s="319" t="n"/>
      <c r="Q950" s="319" t="n"/>
      <c r="R950" s="319" t="n"/>
      <c r="S950" s="319" t="n"/>
      <c r="T950" s="319" t="n"/>
      <c r="U950" s="319" t="n"/>
      <c r="V950" s="319" t="n"/>
      <c r="W950" s="319" t="n"/>
      <c r="X950" s="319" t="n"/>
      <c r="Y950" s="319" t="n"/>
      <c r="Z950" s="319" t="n"/>
    </row>
    <row r="951">
      <c r="A951" s="319" t="n"/>
      <c r="B951" s="319" t="n"/>
      <c r="C951" s="319" t="n"/>
      <c r="D951" s="319" t="n"/>
      <c r="E951" s="319" t="n"/>
      <c r="F951" s="319" t="n"/>
      <c r="G951" s="319" t="n"/>
      <c r="H951" s="319" t="n"/>
      <c r="I951" s="319" t="n"/>
      <c r="J951" s="319" t="n"/>
      <c r="K951" s="319" t="n"/>
      <c r="L951" s="319" t="n"/>
      <c r="M951" s="319" t="n"/>
      <c r="N951" s="319" t="n"/>
      <c r="O951" s="319" t="n"/>
      <c r="P951" s="319" t="n"/>
      <c r="Q951" s="319" t="n"/>
      <c r="R951" s="319" t="n"/>
      <c r="S951" s="319" t="n"/>
      <c r="T951" s="319" t="n"/>
      <c r="U951" s="319" t="n"/>
      <c r="V951" s="319" t="n"/>
      <c r="W951" s="319" t="n"/>
      <c r="X951" s="319" t="n"/>
      <c r="Y951" s="319" t="n"/>
      <c r="Z951" s="319" t="n"/>
    </row>
    <row r="952">
      <c r="A952" s="319" t="n"/>
      <c r="B952" s="319" t="n"/>
      <c r="C952" s="319" t="n"/>
      <c r="D952" s="319" t="n"/>
      <c r="E952" s="319" t="n"/>
      <c r="F952" s="319" t="n"/>
      <c r="G952" s="319" t="n"/>
      <c r="H952" s="319" t="n"/>
      <c r="I952" s="319" t="n"/>
      <c r="J952" s="319" t="n"/>
      <c r="K952" s="319" t="n"/>
      <c r="L952" s="319" t="n"/>
      <c r="M952" s="319" t="n"/>
      <c r="N952" s="319" t="n"/>
      <c r="O952" s="319" t="n"/>
      <c r="P952" s="319" t="n"/>
      <c r="Q952" s="319" t="n"/>
      <c r="R952" s="319" t="n"/>
      <c r="S952" s="319" t="n"/>
      <c r="T952" s="319" t="n"/>
      <c r="U952" s="319" t="n"/>
      <c r="V952" s="319" t="n"/>
      <c r="W952" s="319" t="n"/>
      <c r="X952" s="319" t="n"/>
      <c r="Y952" s="319" t="n"/>
      <c r="Z952" s="319" t="n"/>
    </row>
    <row r="953">
      <c r="A953" s="319" t="n"/>
      <c r="B953" s="319" t="n"/>
      <c r="C953" s="319" t="n"/>
      <c r="D953" s="319" t="n"/>
      <c r="E953" s="319" t="n"/>
      <c r="F953" s="319" t="n"/>
      <c r="G953" s="319" t="n"/>
      <c r="H953" s="319" t="n"/>
      <c r="I953" s="319" t="n"/>
      <c r="J953" s="319" t="n"/>
      <c r="K953" s="319" t="n"/>
      <c r="L953" s="319" t="n"/>
      <c r="M953" s="319" t="n"/>
      <c r="N953" s="319" t="n"/>
      <c r="O953" s="319" t="n"/>
      <c r="P953" s="319" t="n"/>
      <c r="Q953" s="319" t="n"/>
      <c r="R953" s="319" t="n"/>
      <c r="S953" s="319" t="n"/>
      <c r="T953" s="319" t="n"/>
      <c r="U953" s="319" t="n"/>
      <c r="V953" s="319" t="n"/>
      <c r="W953" s="319" t="n"/>
      <c r="X953" s="319" t="n"/>
      <c r="Y953" s="319" t="n"/>
      <c r="Z953" s="319" t="n"/>
    </row>
    <row r="954">
      <c r="A954" s="319" t="n"/>
      <c r="B954" s="319" t="n"/>
      <c r="C954" s="319" t="n"/>
      <c r="D954" s="319" t="n"/>
      <c r="E954" s="319" t="n"/>
      <c r="F954" s="319" t="n"/>
      <c r="G954" s="319" t="n"/>
      <c r="H954" s="319" t="n"/>
      <c r="I954" s="319" t="n"/>
      <c r="J954" s="319" t="n"/>
      <c r="K954" s="319" t="n"/>
      <c r="L954" s="319" t="n"/>
      <c r="M954" s="319" t="n"/>
      <c r="N954" s="319" t="n"/>
      <c r="O954" s="319" t="n"/>
      <c r="P954" s="319" t="n"/>
      <c r="Q954" s="319" t="n"/>
      <c r="R954" s="319" t="n"/>
      <c r="S954" s="319" t="n"/>
      <c r="T954" s="319" t="n"/>
      <c r="U954" s="319" t="n"/>
      <c r="V954" s="319" t="n"/>
      <c r="W954" s="319" t="n"/>
      <c r="X954" s="319" t="n"/>
      <c r="Y954" s="319" t="n"/>
      <c r="Z954" s="319" t="n"/>
    </row>
    <row r="955">
      <c r="A955" s="319" t="n"/>
      <c r="B955" s="319" t="n"/>
      <c r="C955" s="319" t="n"/>
      <c r="D955" s="319" t="n"/>
      <c r="E955" s="319" t="n"/>
      <c r="F955" s="319" t="n"/>
      <c r="G955" s="319" t="n"/>
      <c r="H955" s="319" t="n"/>
      <c r="I955" s="319" t="n"/>
      <c r="J955" s="319" t="n"/>
      <c r="K955" s="319" t="n"/>
      <c r="L955" s="319" t="n"/>
      <c r="M955" s="319" t="n"/>
      <c r="N955" s="319" t="n"/>
      <c r="O955" s="319" t="n"/>
      <c r="P955" s="319" t="n"/>
      <c r="Q955" s="319" t="n"/>
      <c r="R955" s="319" t="n"/>
      <c r="S955" s="319" t="n"/>
      <c r="T955" s="319" t="n"/>
      <c r="U955" s="319" t="n"/>
      <c r="V955" s="319" t="n"/>
      <c r="W955" s="319" t="n"/>
      <c r="X955" s="319" t="n"/>
      <c r="Y955" s="319" t="n"/>
      <c r="Z955" s="319" t="n"/>
    </row>
    <row r="956">
      <c r="A956" s="319" t="n"/>
      <c r="B956" s="319" t="n"/>
      <c r="C956" s="319" t="n"/>
      <c r="D956" s="319" t="n"/>
      <c r="E956" s="319" t="n"/>
      <c r="F956" s="319" t="n"/>
      <c r="G956" s="319" t="n"/>
      <c r="H956" s="319" t="n"/>
      <c r="I956" s="319" t="n"/>
      <c r="J956" s="319" t="n"/>
      <c r="K956" s="319" t="n"/>
      <c r="L956" s="319" t="n"/>
      <c r="M956" s="319" t="n"/>
      <c r="N956" s="319" t="n"/>
      <c r="O956" s="319" t="n"/>
      <c r="P956" s="319" t="n"/>
      <c r="Q956" s="319" t="n"/>
      <c r="R956" s="319" t="n"/>
      <c r="S956" s="319" t="n"/>
      <c r="T956" s="319" t="n"/>
      <c r="U956" s="319" t="n"/>
      <c r="V956" s="319" t="n"/>
      <c r="W956" s="319" t="n"/>
      <c r="X956" s="319" t="n"/>
      <c r="Y956" s="319" t="n"/>
      <c r="Z956" s="319" t="n"/>
    </row>
    <row r="957">
      <c r="A957" s="319" t="n"/>
      <c r="B957" s="319" t="n"/>
      <c r="C957" s="319" t="n"/>
      <c r="D957" s="319" t="n"/>
      <c r="E957" s="319" t="n"/>
      <c r="F957" s="319" t="n"/>
      <c r="G957" s="319" t="n"/>
      <c r="H957" s="319" t="n"/>
      <c r="I957" s="319" t="n"/>
      <c r="J957" s="319" t="n"/>
      <c r="K957" s="319" t="n"/>
      <c r="L957" s="319" t="n"/>
      <c r="M957" s="319" t="n"/>
      <c r="N957" s="319" t="n"/>
      <c r="O957" s="319" t="n"/>
      <c r="P957" s="319" t="n"/>
      <c r="Q957" s="319" t="n"/>
      <c r="R957" s="319" t="n"/>
      <c r="S957" s="319" t="n"/>
      <c r="T957" s="319" t="n"/>
      <c r="U957" s="319" t="n"/>
      <c r="V957" s="319" t="n"/>
      <c r="W957" s="319" t="n"/>
      <c r="X957" s="319" t="n"/>
      <c r="Y957" s="319" t="n"/>
      <c r="Z957" s="319" t="n"/>
    </row>
    <row r="958">
      <c r="A958" s="319" t="n"/>
      <c r="B958" s="319" t="n"/>
      <c r="C958" s="319" t="n"/>
      <c r="D958" s="319" t="n"/>
      <c r="E958" s="319" t="n"/>
      <c r="F958" s="319" t="n"/>
      <c r="G958" s="319" t="n"/>
      <c r="H958" s="319" t="n"/>
      <c r="I958" s="319" t="n"/>
      <c r="J958" s="319" t="n"/>
      <c r="K958" s="319" t="n"/>
      <c r="L958" s="319" t="n"/>
      <c r="M958" s="319" t="n"/>
      <c r="N958" s="319" t="n"/>
      <c r="O958" s="319" t="n"/>
      <c r="P958" s="319" t="n"/>
      <c r="Q958" s="319" t="n"/>
      <c r="R958" s="319" t="n"/>
      <c r="S958" s="319" t="n"/>
      <c r="T958" s="319" t="n"/>
      <c r="U958" s="319" t="n"/>
      <c r="V958" s="319" t="n"/>
      <c r="W958" s="319" t="n"/>
      <c r="X958" s="319" t="n"/>
      <c r="Y958" s="319" t="n"/>
      <c r="Z958" s="319" t="n"/>
    </row>
    <row r="959">
      <c r="A959" s="319" t="n"/>
      <c r="B959" s="319" t="n"/>
      <c r="C959" s="319" t="n"/>
      <c r="D959" s="319" t="n"/>
      <c r="E959" s="319" t="n"/>
      <c r="F959" s="319" t="n"/>
      <c r="G959" s="319" t="n"/>
      <c r="H959" s="319" t="n"/>
      <c r="I959" s="319" t="n"/>
      <c r="J959" s="319" t="n"/>
      <c r="K959" s="319" t="n"/>
      <c r="L959" s="319" t="n"/>
      <c r="M959" s="319" t="n"/>
      <c r="N959" s="319" t="n"/>
      <c r="O959" s="319" t="n"/>
      <c r="P959" s="319" t="n"/>
      <c r="Q959" s="319" t="n"/>
      <c r="R959" s="319" t="n"/>
      <c r="S959" s="319" t="n"/>
      <c r="T959" s="319" t="n"/>
      <c r="U959" s="319" t="n"/>
      <c r="V959" s="319" t="n"/>
      <c r="W959" s="319" t="n"/>
      <c r="X959" s="319" t="n"/>
      <c r="Y959" s="319" t="n"/>
      <c r="Z959" s="319" t="n"/>
    </row>
    <row r="960">
      <c r="A960" s="319" t="n"/>
      <c r="B960" s="319" t="n"/>
      <c r="C960" s="319" t="n"/>
      <c r="D960" s="319" t="n"/>
      <c r="E960" s="319" t="n"/>
      <c r="F960" s="319" t="n"/>
      <c r="G960" s="319" t="n"/>
      <c r="H960" s="319" t="n"/>
      <c r="I960" s="319" t="n"/>
      <c r="J960" s="319" t="n"/>
      <c r="K960" s="319" t="n"/>
      <c r="L960" s="319" t="n"/>
      <c r="M960" s="319" t="n"/>
      <c r="N960" s="319" t="n"/>
      <c r="O960" s="319" t="n"/>
      <c r="P960" s="319" t="n"/>
      <c r="Q960" s="319" t="n"/>
      <c r="R960" s="319" t="n"/>
      <c r="S960" s="319" t="n"/>
      <c r="T960" s="319" t="n"/>
      <c r="U960" s="319" t="n"/>
      <c r="V960" s="319" t="n"/>
      <c r="W960" s="319" t="n"/>
      <c r="X960" s="319" t="n"/>
      <c r="Y960" s="319" t="n"/>
      <c r="Z960" s="319" t="n"/>
    </row>
    <row r="961">
      <c r="A961" s="319" t="n"/>
      <c r="B961" s="319" t="n"/>
      <c r="C961" s="319" t="n"/>
      <c r="D961" s="319" t="n"/>
      <c r="E961" s="319" t="n"/>
      <c r="F961" s="319" t="n"/>
      <c r="G961" s="319" t="n"/>
      <c r="H961" s="319" t="n"/>
      <c r="I961" s="319" t="n"/>
      <c r="J961" s="319" t="n"/>
      <c r="K961" s="319" t="n"/>
      <c r="L961" s="319" t="n"/>
      <c r="M961" s="319" t="n"/>
      <c r="N961" s="319" t="n"/>
      <c r="O961" s="319" t="n"/>
      <c r="P961" s="319" t="n"/>
      <c r="Q961" s="319" t="n"/>
      <c r="R961" s="319" t="n"/>
      <c r="S961" s="319" t="n"/>
      <c r="T961" s="319" t="n"/>
      <c r="U961" s="319" t="n"/>
      <c r="V961" s="319" t="n"/>
      <c r="W961" s="319" t="n"/>
      <c r="X961" s="319" t="n"/>
      <c r="Y961" s="319" t="n"/>
      <c r="Z961" s="319" t="n"/>
    </row>
    <row r="962">
      <c r="A962" s="319" t="n"/>
      <c r="B962" s="319" t="n"/>
      <c r="C962" s="319" t="n"/>
      <c r="D962" s="319" t="n"/>
      <c r="E962" s="319" t="n"/>
      <c r="F962" s="319" t="n"/>
      <c r="G962" s="319" t="n"/>
      <c r="H962" s="319" t="n"/>
      <c r="I962" s="319" t="n"/>
      <c r="J962" s="319" t="n"/>
      <c r="K962" s="319" t="n"/>
      <c r="L962" s="319" t="n"/>
      <c r="M962" s="319" t="n"/>
      <c r="N962" s="319" t="n"/>
      <c r="O962" s="319" t="n"/>
      <c r="P962" s="319" t="n"/>
      <c r="Q962" s="319" t="n"/>
      <c r="R962" s="319" t="n"/>
      <c r="S962" s="319" t="n"/>
      <c r="T962" s="319" t="n"/>
      <c r="U962" s="319" t="n"/>
      <c r="V962" s="319" t="n"/>
      <c r="W962" s="319" t="n"/>
      <c r="X962" s="319" t="n"/>
      <c r="Y962" s="319" t="n"/>
      <c r="Z962" s="319" t="n"/>
    </row>
    <row r="963">
      <c r="A963" s="319" t="n"/>
      <c r="B963" s="319" t="n"/>
      <c r="C963" s="319" t="n"/>
      <c r="D963" s="319" t="n"/>
      <c r="E963" s="319" t="n"/>
      <c r="F963" s="319" t="n"/>
      <c r="G963" s="319" t="n"/>
      <c r="H963" s="319" t="n"/>
      <c r="I963" s="319" t="n"/>
      <c r="J963" s="319" t="n"/>
      <c r="K963" s="319" t="n"/>
      <c r="L963" s="319" t="n"/>
      <c r="M963" s="319" t="n"/>
      <c r="N963" s="319" t="n"/>
      <c r="O963" s="319" t="n"/>
      <c r="P963" s="319" t="n"/>
      <c r="Q963" s="319" t="n"/>
      <c r="R963" s="319" t="n"/>
      <c r="S963" s="319" t="n"/>
      <c r="T963" s="319" t="n"/>
      <c r="U963" s="319" t="n"/>
      <c r="V963" s="319" t="n"/>
      <c r="W963" s="319" t="n"/>
      <c r="X963" s="319" t="n"/>
      <c r="Y963" s="319" t="n"/>
      <c r="Z963" s="319" t="n"/>
    </row>
    <row r="964">
      <c r="A964" s="319" t="n"/>
      <c r="B964" s="319" t="n"/>
      <c r="C964" s="319" t="n"/>
      <c r="D964" s="319" t="n"/>
      <c r="E964" s="319" t="n"/>
      <c r="F964" s="319" t="n"/>
      <c r="G964" s="319" t="n"/>
      <c r="H964" s="319" t="n"/>
      <c r="I964" s="319" t="n"/>
      <c r="J964" s="319" t="n"/>
      <c r="K964" s="319" t="n"/>
      <c r="L964" s="319" t="n"/>
      <c r="M964" s="319" t="n"/>
      <c r="N964" s="319" t="n"/>
      <c r="O964" s="319" t="n"/>
      <c r="P964" s="319" t="n"/>
      <c r="Q964" s="319" t="n"/>
      <c r="R964" s="319" t="n"/>
      <c r="S964" s="319" t="n"/>
      <c r="T964" s="319" t="n"/>
      <c r="U964" s="319" t="n"/>
      <c r="V964" s="319" t="n"/>
      <c r="W964" s="319" t="n"/>
      <c r="X964" s="319" t="n"/>
      <c r="Y964" s="319" t="n"/>
      <c r="Z964" s="319" t="n"/>
    </row>
    <row r="965">
      <c r="A965" s="319" t="n"/>
      <c r="B965" s="319" t="n"/>
      <c r="C965" s="319" t="n"/>
      <c r="D965" s="319" t="n"/>
      <c r="E965" s="319" t="n"/>
      <c r="F965" s="319" t="n"/>
      <c r="G965" s="319" t="n"/>
      <c r="H965" s="319" t="n"/>
      <c r="I965" s="319" t="n"/>
      <c r="J965" s="319" t="n"/>
      <c r="K965" s="319" t="n"/>
      <c r="L965" s="319" t="n"/>
      <c r="M965" s="319" t="n"/>
      <c r="N965" s="319" t="n"/>
      <c r="O965" s="319" t="n"/>
      <c r="P965" s="319" t="n"/>
      <c r="Q965" s="319" t="n"/>
      <c r="R965" s="319" t="n"/>
      <c r="S965" s="319" t="n"/>
      <c r="T965" s="319" t="n"/>
      <c r="U965" s="319" t="n"/>
      <c r="V965" s="319" t="n"/>
      <c r="W965" s="319" t="n"/>
      <c r="X965" s="319" t="n"/>
      <c r="Y965" s="319" t="n"/>
      <c r="Z965" s="319" t="n"/>
    </row>
    <row r="966">
      <c r="A966" s="319" t="n"/>
      <c r="B966" s="319" t="n"/>
      <c r="C966" s="319" t="n"/>
      <c r="D966" s="319" t="n"/>
      <c r="E966" s="319" t="n"/>
      <c r="F966" s="319" t="n"/>
      <c r="G966" s="319" t="n"/>
      <c r="H966" s="319" t="n"/>
      <c r="I966" s="319" t="n"/>
      <c r="J966" s="319" t="n"/>
      <c r="K966" s="319" t="n"/>
      <c r="L966" s="319" t="n"/>
      <c r="M966" s="319" t="n"/>
      <c r="N966" s="319" t="n"/>
      <c r="O966" s="319" t="n"/>
      <c r="P966" s="319" t="n"/>
      <c r="Q966" s="319" t="n"/>
      <c r="R966" s="319" t="n"/>
      <c r="S966" s="319" t="n"/>
      <c r="T966" s="319" t="n"/>
      <c r="U966" s="319" t="n"/>
      <c r="V966" s="319" t="n"/>
      <c r="W966" s="319" t="n"/>
      <c r="X966" s="319" t="n"/>
      <c r="Y966" s="319" t="n"/>
      <c r="Z966" s="319" t="n"/>
    </row>
    <row r="967">
      <c r="A967" s="319" t="n"/>
      <c r="B967" s="319" t="n"/>
      <c r="C967" s="319" t="n"/>
      <c r="D967" s="319" t="n"/>
      <c r="E967" s="319" t="n"/>
      <c r="F967" s="319" t="n"/>
      <c r="G967" s="319" t="n"/>
      <c r="H967" s="319" t="n"/>
      <c r="I967" s="319" t="n"/>
      <c r="J967" s="319" t="n"/>
      <c r="K967" s="319" t="n"/>
      <c r="L967" s="319" t="n"/>
      <c r="M967" s="319" t="n"/>
      <c r="N967" s="319" t="n"/>
      <c r="O967" s="319" t="n"/>
      <c r="P967" s="319" t="n"/>
      <c r="Q967" s="319" t="n"/>
      <c r="R967" s="319" t="n"/>
      <c r="S967" s="319" t="n"/>
      <c r="T967" s="319" t="n"/>
      <c r="U967" s="319" t="n"/>
      <c r="V967" s="319" t="n"/>
      <c r="W967" s="319" t="n"/>
      <c r="X967" s="319" t="n"/>
      <c r="Y967" s="319" t="n"/>
      <c r="Z967" s="319" t="n"/>
    </row>
    <row r="968">
      <c r="A968" s="319" t="n"/>
      <c r="B968" s="319" t="n"/>
      <c r="C968" s="319" t="n"/>
      <c r="D968" s="319" t="n"/>
      <c r="E968" s="319" t="n"/>
      <c r="F968" s="319" t="n"/>
      <c r="G968" s="319" t="n"/>
      <c r="H968" s="319" t="n"/>
      <c r="I968" s="319" t="n"/>
      <c r="J968" s="319" t="n"/>
      <c r="K968" s="319" t="n"/>
      <c r="L968" s="319" t="n"/>
      <c r="M968" s="319" t="n"/>
      <c r="N968" s="319" t="n"/>
      <c r="O968" s="319" t="n"/>
      <c r="P968" s="319" t="n"/>
      <c r="Q968" s="319" t="n"/>
      <c r="R968" s="319" t="n"/>
      <c r="S968" s="319" t="n"/>
      <c r="T968" s="319" t="n"/>
      <c r="U968" s="319" t="n"/>
      <c r="V968" s="319" t="n"/>
      <c r="W968" s="319" t="n"/>
      <c r="X968" s="319" t="n"/>
      <c r="Y968" s="319" t="n"/>
      <c r="Z968" s="319" t="n"/>
    </row>
    <row r="969">
      <c r="A969" s="319" t="n"/>
      <c r="B969" s="319" t="n"/>
      <c r="C969" s="319" t="n"/>
      <c r="D969" s="319" t="n"/>
      <c r="E969" s="319" t="n"/>
      <c r="F969" s="319" t="n"/>
      <c r="G969" s="319" t="n"/>
      <c r="H969" s="319" t="n"/>
      <c r="I969" s="319" t="n"/>
      <c r="J969" s="319" t="n"/>
      <c r="K969" s="319" t="n"/>
      <c r="L969" s="319" t="n"/>
      <c r="M969" s="319" t="n"/>
      <c r="N969" s="319" t="n"/>
      <c r="O969" s="319" t="n"/>
      <c r="P969" s="319" t="n"/>
      <c r="Q969" s="319" t="n"/>
      <c r="R969" s="319" t="n"/>
      <c r="S969" s="319" t="n"/>
      <c r="T969" s="319" t="n"/>
      <c r="U969" s="319" t="n"/>
      <c r="V969" s="319" t="n"/>
      <c r="W969" s="319" t="n"/>
      <c r="X969" s="319" t="n"/>
      <c r="Y969" s="319" t="n"/>
      <c r="Z969" s="319" t="n"/>
    </row>
    <row r="970">
      <c r="A970" s="319" t="n"/>
      <c r="B970" s="319" t="n"/>
      <c r="C970" s="319" t="n"/>
      <c r="D970" s="319" t="n"/>
      <c r="E970" s="319" t="n"/>
      <c r="F970" s="319" t="n"/>
      <c r="G970" s="319" t="n"/>
      <c r="H970" s="319" t="n"/>
      <c r="I970" s="319" t="n"/>
      <c r="J970" s="319" t="n"/>
      <c r="K970" s="319" t="n"/>
      <c r="L970" s="319" t="n"/>
      <c r="M970" s="319" t="n"/>
      <c r="N970" s="319" t="n"/>
      <c r="O970" s="319" t="n"/>
      <c r="P970" s="319" t="n"/>
      <c r="Q970" s="319" t="n"/>
      <c r="R970" s="319" t="n"/>
      <c r="S970" s="319" t="n"/>
      <c r="T970" s="319" t="n"/>
      <c r="U970" s="319" t="n"/>
      <c r="V970" s="319" t="n"/>
      <c r="W970" s="319" t="n"/>
      <c r="X970" s="319" t="n"/>
      <c r="Y970" s="319" t="n"/>
      <c r="Z970" s="319" t="n"/>
    </row>
    <row r="971">
      <c r="A971" s="319" t="n"/>
      <c r="B971" s="319" t="n"/>
      <c r="C971" s="319" t="n"/>
      <c r="D971" s="319" t="n"/>
      <c r="E971" s="319" t="n"/>
      <c r="F971" s="319" t="n"/>
      <c r="G971" s="319" t="n"/>
      <c r="H971" s="319" t="n"/>
      <c r="I971" s="319" t="n"/>
      <c r="J971" s="319" t="n"/>
      <c r="K971" s="319" t="n"/>
      <c r="L971" s="319" t="n"/>
      <c r="M971" s="319" t="n"/>
      <c r="N971" s="319" t="n"/>
      <c r="O971" s="319" t="n"/>
      <c r="P971" s="319" t="n"/>
      <c r="Q971" s="319" t="n"/>
      <c r="R971" s="319" t="n"/>
      <c r="S971" s="319" t="n"/>
      <c r="T971" s="319" t="n"/>
      <c r="U971" s="319" t="n"/>
      <c r="V971" s="319" t="n"/>
      <c r="W971" s="319" t="n"/>
      <c r="X971" s="319" t="n"/>
      <c r="Y971" s="319" t="n"/>
      <c r="Z971" s="319" t="n"/>
    </row>
    <row r="972">
      <c r="A972" s="319" t="n"/>
      <c r="B972" s="319" t="n"/>
      <c r="C972" s="319" t="n"/>
      <c r="D972" s="319" t="n"/>
      <c r="E972" s="319" t="n"/>
      <c r="F972" s="319" t="n"/>
      <c r="G972" s="319" t="n"/>
      <c r="H972" s="319" t="n"/>
      <c r="I972" s="319" t="n"/>
      <c r="J972" s="319" t="n"/>
      <c r="K972" s="319" t="n"/>
      <c r="L972" s="319" t="n"/>
      <c r="M972" s="319" t="n"/>
      <c r="N972" s="319" t="n"/>
      <c r="O972" s="319" t="n"/>
      <c r="P972" s="319" t="n"/>
      <c r="Q972" s="319" t="n"/>
      <c r="R972" s="319" t="n"/>
      <c r="S972" s="319" t="n"/>
      <c r="T972" s="319" t="n"/>
      <c r="U972" s="319" t="n"/>
      <c r="V972" s="319" t="n"/>
      <c r="W972" s="319" t="n"/>
      <c r="X972" s="319" t="n"/>
      <c r="Y972" s="319" t="n"/>
      <c r="Z972" s="319" t="n"/>
    </row>
    <row r="973">
      <c r="A973" s="319" t="n"/>
      <c r="B973" s="319" t="n"/>
      <c r="C973" s="319" t="n"/>
      <c r="D973" s="319" t="n"/>
      <c r="E973" s="319" t="n"/>
      <c r="F973" s="319" t="n"/>
      <c r="G973" s="319" t="n"/>
      <c r="H973" s="319" t="n"/>
      <c r="I973" s="319" t="n"/>
      <c r="J973" s="319" t="n"/>
      <c r="K973" s="319" t="n"/>
      <c r="L973" s="319" t="n"/>
      <c r="M973" s="319" t="n"/>
      <c r="N973" s="319" t="n"/>
      <c r="O973" s="319" t="n"/>
      <c r="P973" s="319" t="n"/>
      <c r="Q973" s="319" t="n"/>
      <c r="R973" s="319" t="n"/>
      <c r="S973" s="319" t="n"/>
      <c r="T973" s="319" t="n"/>
      <c r="U973" s="319" t="n"/>
      <c r="V973" s="319" t="n"/>
      <c r="W973" s="319" t="n"/>
      <c r="X973" s="319" t="n"/>
      <c r="Y973" s="319" t="n"/>
      <c r="Z973" s="319" t="n"/>
    </row>
    <row r="974">
      <c r="A974" s="319" t="n"/>
      <c r="B974" s="319" t="n"/>
      <c r="C974" s="319" t="n"/>
      <c r="D974" s="319" t="n"/>
      <c r="E974" s="319" t="n"/>
      <c r="F974" s="319" t="n"/>
      <c r="G974" s="319" t="n"/>
      <c r="H974" s="319" t="n"/>
      <c r="I974" s="319" t="n"/>
      <c r="J974" s="319" t="n"/>
      <c r="K974" s="319" t="n"/>
      <c r="L974" s="319" t="n"/>
      <c r="M974" s="319" t="n"/>
      <c r="N974" s="319" t="n"/>
      <c r="O974" s="319" t="n"/>
      <c r="P974" s="319" t="n"/>
      <c r="Q974" s="319" t="n"/>
      <c r="R974" s="319" t="n"/>
      <c r="S974" s="319" t="n"/>
      <c r="T974" s="319" t="n"/>
      <c r="U974" s="319" t="n"/>
      <c r="V974" s="319" t="n"/>
      <c r="W974" s="319" t="n"/>
      <c r="X974" s="319" t="n"/>
      <c r="Y974" s="319" t="n"/>
      <c r="Z974" s="319" t="n"/>
    </row>
    <row r="975">
      <c r="A975" s="319" t="n"/>
      <c r="B975" s="319" t="n"/>
      <c r="C975" s="319" t="n"/>
      <c r="D975" s="319" t="n"/>
      <c r="E975" s="319" t="n"/>
      <c r="F975" s="319" t="n"/>
      <c r="G975" s="319" t="n"/>
      <c r="H975" s="319" t="n"/>
      <c r="I975" s="319" t="n"/>
      <c r="J975" s="319" t="n"/>
      <c r="K975" s="319" t="n"/>
      <c r="L975" s="319" t="n"/>
      <c r="M975" s="319" t="n"/>
      <c r="N975" s="319" t="n"/>
      <c r="O975" s="319" t="n"/>
      <c r="P975" s="319" t="n"/>
      <c r="Q975" s="319" t="n"/>
      <c r="R975" s="319" t="n"/>
      <c r="S975" s="319" t="n"/>
      <c r="T975" s="319" t="n"/>
      <c r="U975" s="319" t="n"/>
      <c r="V975" s="319" t="n"/>
      <c r="W975" s="319" t="n"/>
      <c r="X975" s="319" t="n"/>
      <c r="Y975" s="319" t="n"/>
      <c r="Z975" s="319" t="n"/>
    </row>
    <row r="976">
      <c r="A976" s="319" t="n"/>
      <c r="B976" s="319" t="n"/>
      <c r="C976" s="319" t="n"/>
      <c r="D976" s="319" t="n"/>
      <c r="E976" s="319" t="n"/>
      <c r="F976" s="319" t="n"/>
      <c r="G976" s="319" t="n"/>
      <c r="H976" s="319" t="n"/>
      <c r="I976" s="319" t="n"/>
      <c r="J976" s="319" t="n"/>
      <c r="K976" s="319" t="n"/>
      <c r="L976" s="319" t="n"/>
      <c r="M976" s="319" t="n"/>
      <c r="N976" s="319" t="n"/>
      <c r="O976" s="319" t="n"/>
      <c r="P976" s="319" t="n"/>
      <c r="Q976" s="319" t="n"/>
      <c r="R976" s="319" t="n"/>
      <c r="S976" s="319" t="n"/>
      <c r="T976" s="319" t="n"/>
      <c r="U976" s="319" t="n"/>
      <c r="V976" s="319" t="n"/>
      <c r="W976" s="319" t="n"/>
      <c r="X976" s="319" t="n"/>
      <c r="Y976" s="319" t="n"/>
      <c r="Z976" s="319" t="n"/>
    </row>
    <row r="977">
      <c r="A977" s="319" t="n"/>
      <c r="B977" s="319" t="n"/>
      <c r="C977" s="319" t="n"/>
      <c r="D977" s="319" t="n"/>
      <c r="E977" s="319" t="n"/>
      <c r="F977" s="319" t="n"/>
      <c r="G977" s="319" t="n"/>
      <c r="H977" s="319" t="n"/>
      <c r="I977" s="319" t="n"/>
      <c r="J977" s="319" t="n"/>
      <c r="K977" s="319" t="n"/>
      <c r="L977" s="319" t="n"/>
      <c r="M977" s="319" t="n"/>
      <c r="N977" s="319" t="n"/>
      <c r="O977" s="319" t="n"/>
      <c r="P977" s="319" t="n"/>
      <c r="Q977" s="319" t="n"/>
      <c r="R977" s="319" t="n"/>
      <c r="S977" s="319" t="n"/>
      <c r="T977" s="319" t="n"/>
      <c r="U977" s="319" t="n"/>
      <c r="V977" s="319" t="n"/>
      <c r="W977" s="319" t="n"/>
      <c r="X977" s="319" t="n"/>
      <c r="Y977" s="319" t="n"/>
      <c r="Z977" s="319" t="n"/>
    </row>
    <row r="978">
      <c r="A978" s="319" t="n"/>
      <c r="B978" s="319" t="n"/>
      <c r="C978" s="319" t="n"/>
      <c r="D978" s="319" t="n"/>
      <c r="E978" s="319" t="n"/>
      <c r="F978" s="319" t="n"/>
      <c r="G978" s="319" t="n"/>
      <c r="H978" s="319" t="n"/>
      <c r="I978" s="319" t="n"/>
      <c r="J978" s="319" t="n"/>
      <c r="K978" s="319" t="n"/>
      <c r="L978" s="319" t="n"/>
      <c r="M978" s="319" t="n"/>
      <c r="N978" s="319" t="n"/>
      <c r="O978" s="319" t="n"/>
      <c r="P978" s="319" t="n"/>
      <c r="Q978" s="319" t="n"/>
      <c r="R978" s="319" t="n"/>
      <c r="S978" s="319" t="n"/>
      <c r="T978" s="319" t="n"/>
      <c r="U978" s="319" t="n"/>
      <c r="V978" s="319" t="n"/>
      <c r="W978" s="319" t="n"/>
      <c r="X978" s="319" t="n"/>
      <c r="Y978" s="319" t="n"/>
      <c r="Z978" s="319" t="n"/>
    </row>
    <row r="979">
      <c r="A979" s="319" t="n"/>
      <c r="B979" s="319" t="n"/>
      <c r="C979" s="319" t="n"/>
      <c r="D979" s="319" t="n"/>
      <c r="E979" s="319" t="n"/>
      <c r="F979" s="319" t="n"/>
      <c r="G979" s="319" t="n"/>
      <c r="H979" s="319" t="n"/>
      <c r="I979" s="319" t="n"/>
      <c r="J979" s="319" t="n"/>
      <c r="K979" s="319" t="n"/>
      <c r="L979" s="319" t="n"/>
      <c r="M979" s="319" t="n"/>
      <c r="N979" s="319" t="n"/>
      <c r="O979" s="319" t="n"/>
      <c r="P979" s="319" t="n"/>
      <c r="Q979" s="319" t="n"/>
      <c r="R979" s="319" t="n"/>
      <c r="S979" s="319" t="n"/>
      <c r="T979" s="319" t="n"/>
      <c r="U979" s="319" t="n"/>
      <c r="V979" s="319" t="n"/>
      <c r="W979" s="319" t="n"/>
      <c r="X979" s="319" t="n"/>
      <c r="Y979" s="319" t="n"/>
      <c r="Z979" s="319" t="n"/>
    </row>
    <row r="980">
      <c r="A980" s="319" t="n"/>
      <c r="B980" s="319" t="n"/>
      <c r="C980" s="319" t="n"/>
      <c r="D980" s="319" t="n"/>
      <c r="E980" s="319" t="n"/>
      <c r="F980" s="319" t="n"/>
      <c r="G980" s="319" t="n"/>
      <c r="H980" s="319" t="n"/>
      <c r="I980" s="319" t="n"/>
      <c r="J980" s="319" t="n"/>
      <c r="K980" s="319" t="n"/>
      <c r="L980" s="319" t="n"/>
      <c r="M980" s="319" t="n"/>
      <c r="N980" s="319" t="n"/>
      <c r="O980" s="319" t="n"/>
      <c r="P980" s="319" t="n"/>
      <c r="Q980" s="319" t="n"/>
      <c r="R980" s="319" t="n"/>
      <c r="S980" s="319" t="n"/>
      <c r="T980" s="319" t="n"/>
      <c r="U980" s="319" t="n"/>
      <c r="V980" s="319" t="n"/>
      <c r="W980" s="319" t="n"/>
      <c r="X980" s="319" t="n"/>
      <c r="Y980" s="319" t="n"/>
      <c r="Z980" s="319" t="n"/>
    </row>
    <row r="981">
      <c r="A981" s="319" t="n"/>
      <c r="B981" s="319" t="n"/>
      <c r="C981" s="319" t="n"/>
      <c r="D981" s="319" t="n"/>
      <c r="E981" s="319" t="n"/>
      <c r="F981" s="319" t="n"/>
      <c r="G981" s="319" t="n"/>
      <c r="H981" s="319" t="n"/>
      <c r="I981" s="319" t="n"/>
      <c r="J981" s="319" t="n"/>
      <c r="K981" s="319" t="n"/>
      <c r="L981" s="319" t="n"/>
      <c r="M981" s="319" t="n"/>
      <c r="N981" s="319" t="n"/>
      <c r="O981" s="319" t="n"/>
      <c r="P981" s="319" t="n"/>
      <c r="Q981" s="319" t="n"/>
      <c r="R981" s="319" t="n"/>
      <c r="S981" s="319" t="n"/>
      <c r="T981" s="319" t="n"/>
      <c r="U981" s="319" t="n"/>
      <c r="V981" s="319" t="n"/>
      <c r="W981" s="319" t="n"/>
      <c r="X981" s="319" t="n"/>
      <c r="Y981" s="319" t="n"/>
      <c r="Z981" s="319" t="n"/>
    </row>
    <row r="982">
      <c r="A982" s="319" t="n"/>
      <c r="B982" s="319" t="n"/>
      <c r="C982" s="319" t="n"/>
      <c r="D982" s="319" t="n"/>
      <c r="E982" s="319" t="n"/>
      <c r="F982" s="319" t="n"/>
      <c r="G982" s="319" t="n"/>
      <c r="H982" s="319" t="n"/>
      <c r="I982" s="319" t="n"/>
      <c r="J982" s="319" t="n"/>
      <c r="K982" s="319" t="n"/>
      <c r="L982" s="319" t="n"/>
      <c r="M982" s="319" t="n"/>
      <c r="N982" s="319" t="n"/>
      <c r="O982" s="319" t="n"/>
      <c r="P982" s="319" t="n"/>
      <c r="Q982" s="319" t="n"/>
      <c r="R982" s="319" t="n"/>
      <c r="S982" s="319" t="n"/>
      <c r="T982" s="319" t="n"/>
      <c r="U982" s="319" t="n"/>
      <c r="V982" s="319" t="n"/>
      <c r="W982" s="319" t="n"/>
      <c r="X982" s="319" t="n"/>
      <c r="Y982" s="319" t="n"/>
      <c r="Z982" s="319" t="n"/>
    </row>
    <row r="983">
      <c r="A983" s="319" t="n"/>
      <c r="B983" s="319" t="n"/>
      <c r="C983" s="319" t="n"/>
      <c r="D983" s="319" t="n"/>
      <c r="E983" s="319" t="n"/>
      <c r="F983" s="319" t="n"/>
      <c r="G983" s="319" t="n"/>
      <c r="H983" s="319" t="n"/>
      <c r="I983" s="319" t="n"/>
      <c r="J983" s="319" t="n"/>
      <c r="K983" s="319" t="n"/>
      <c r="L983" s="319" t="n"/>
      <c r="M983" s="319" t="n"/>
      <c r="N983" s="319" t="n"/>
      <c r="O983" s="319" t="n"/>
      <c r="P983" s="319" t="n"/>
      <c r="Q983" s="319" t="n"/>
      <c r="R983" s="319" t="n"/>
      <c r="S983" s="319" t="n"/>
      <c r="T983" s="319" t="n"/>
      <c r="U983" s="319" t="n"/>
      <c r="V983" s="319" t="n"/>
      <c r="W983" s="319" t="n"/>
      <c r="X983" s="319" t="n"/>
      <c r="Y983" s="319" t="n"/>
      <c r="Z983" s="319" t="n"/>
    </row>
    <row r="984">
      <c r="A984" s="319" t="n"/>
      <c r="B984" s="319" t="n"/>
      <c r="C984" s="319" t="n"/>
      <c r="D984" s="319" t="n"/>
      <c r="E984" s="319" t="n"/>
      <c r="F984" s="319" t="n"/>
      <c r="G984" s="319" t="n"/>
      <c r="H984" s="319" t="n"/>
      <c r="I984" s="319" t="n"/>
      <c r="J984" s="319" t="n"/>
      <c r="K984" s="319" t="n"/>
      <c r="L984" s="319" t="n"/>
      <c r="M984" s="319" t="n"/>
      <c r="N984" s="319" t="n"/>
      <c r="O984" s="319" t="n"/>
      <c r="P984" s="319" t="n"/>
      <c r="Q984" s="319" t="n"/>
      <c r="R984" s="319" t="n"/>
      <c r="S984" s="319" t="n"/>
      <c r="T984" s="319" t="n"/>
      <c r="U984" s="319" t="n"/>
      <c r="V984" s="319" t="n"/>
      <c r="W984" s="319" t="n"/>
      <c r="X984" s="319" t="n"/>
      <c r="Y984" s="319" t="n"/>
      <c r="Z984" s="319" t="n"/>
    </row>
    <row r="985">
      <c r="A985" s="319" t="n"/>
      <c r="B985" s="319" t="n"/>
      <c r="C985" s="319" t="n"/>
      <c r="D985" s="319" t="n"/>
      <c r="E985" s="319" t="n"/>
      <c r="F985" s="319" t="n"/>
      <c r="G985" s="319" t="n"/>
      <c r="H985" s="319" t="n"/>
      <c r="I985" s="319" t="n"/>
      <c r="J985" s="319" t="n"/>
      <c r="K985" s="319" t="n"/>
      <c r="L985" s="319" t="n"/>
      <c r="M985" s="319" t="n"/>
      <c r="N985" s="319" t="n"/>
      <c r="O985" s="319" t="n"/>
      <c r="P985" s="319" t="n"/>
      <c r="Q985" s="319" t="n"/>
      <c r="R985" s="319" t="n"/>
      <c r="S985" s="319" t="n"/>
      <c r="T985" s="319" t="n"/>
      <c r="U985" s="319" t="n"/>
      <c r="V985" s="319" t="n"/>
      <c r="W985" s="319" t="n"/>
      <c r="X985" s="319" t="n"/>
      <c r="Y985" s="319" t="n"/>
      <c r="Z985" s="319" t="n"/>
    </row>
    <row r="986">
      <c r="A986" s="319" t="n"/>
      <c r="B986" s="319" t="n"/>
      <c r="C986" s="319" t="n"/>
      <c r="D986" s="319" t="n"/>
      <c r="E986" s="319" t="n"/>
      <c r="F986" s="319" t="n"/>
      <c r="G986" s="319" t="n"/>
      <c r="H986" s="319" t="n"/>
      <c r="I986" s="319" t="n"/>
      <c r="J986" s="319" t="n"/>
      <c r="K986" s="319" t="n"/>
      <c r="L986" s="319" t="n"/>
      <c r="M986" s="319" t="n"/>
      <c r="N986" s="319" t="n"/>
      <c r="O986" s="319" t="n"/>
      <c r="P986" s="319" t="n"/>
      <c r="Q986" s="319" t="n"/>
      <c r="R986" s="319" t="n"/>
      <c r="S986" s="319" t="n"/>
      <c r="T986" s="319" t="n"/>
      <c r="U986" s="319" t="n"/>
      <c r="V986" s="319" t="n"/>
      <c r="W986" s="319" t="n"/>
      <c r="X986" s="319" t="n"/>
      <c r="Y986" s="319" t="n"/>
      <c r="Z986" s="319" t="n"/>
    </row>
    <row r="987">
      <c r="A987" s="319" t="n"/>
      <c r="B987" s="319" t="n"/>
      <c r="C987" s="319" t="n"/>
      <c r="D987" s="319" t="n"/>
      <c r="E987" s="319" t="n"/>
      <c r="F987" s="319" t="n"/>
      <c r="G987" s="319" t="n"/>
      <c r="H987" s="319" t="n"/>
      <c r="I987" s="319" t="n"/>
      <c r="J987" s="319" t="n"/>
      <c r="K987" s="319" t="n"/>
      <c r="L987" s="319" t="n"/>
      <c r="M987" s="319" t="n"/>
      <c r="N987" s="319" t="n"/>
      <c r="O987" s="319" t="n"/>
      <c r="P987" s="319" t="n"/>
      <c r="Q987" s="319" t="n"/>
      <c r="R987" s="319" t="n"/>
      <c r="S987" s="319" t="n"/>
      <c r="T987" s="319" t="n"/>
      <c r="U987" s="319" t="n"/>
      <c r="V987" s="319" t="n"/>
      <c r="W987" s="319" t="n"/>
      <c r="X987" s="319" t="n"/>
      <c r="Y987" s="319" t="n"/>
      <c r="Z987" s="319" t="n"/>
    </row>
    <row r="988">
      <c r="A988" s="319" t="n"/>
      <c r="B988" s="319" t="n"/>
      <c r="C988" s="319" t="n"/>
      <c r="D988" s="319" t="n"/>
      <c r="E988" s="319" t="n"/>
      <c r="F988" s="319" t="n"/>
      <c r="G988" s="319" t="n"/>
      <c r="H988" s="319" t="n"/>
      <c r="I988" s="319" t="n"/>
      <c r="J988" s="319" t="n"/>
      <c r="K988" s="319" t="n"/>
      <c r="L988" s="319" t="n"/>
      <c r="M988" s="319" t="n"/>
      <c r="N988" s="319" t="n"/>
      <c r="O988" s="319" t="n"/>
      <c r="P988" s="319" t="n"/>
      <c r="Q988" s="319" t="n"/>
      <c r="R988" s="319" t="n"/>
      <c r="S988" s="319" t="n"/>
      <c r="T988" s="319" t="n"/>
      <c r="U988" s="319" t="n"/>
      <c r="V988" s="319" t="n"/>
      <c r="W988" s="319" t="n"/>
      <c r="X988" s="319" t="n"/>
      <c r="Y988" s="319" t="n"/>
      <c r="Z988" s="319" t="n"/>
    </row>
    <row r="989">
      <c r="A989" s="319" t="n"/>
      <c r="B989" s="319" t="n"/>
      <c r="C989" s="319" t="n"/>
      <c r="D989" s="319" t="n"/>
      <c r="E989" s="319" t="n"/>
      <c r="F989" s="319" t="n"/>
      <c r="G989" s="319" t="n"/>
      <c r="H989" s="319" t="n"/>
      <c r="I989" s="319" t="n"/>
      <c r="J989" s="319" t="n"/>
      <c r="K989" s="319" t="n"/>
      <c r="L989" s="319" t="n"/>
      <c r="M989" s="319" t="n"/>
      <c r="N989" s="319" t="n"/>
      <c r="O989" s="319" t="n"/>
      <c r="P989" s="319" t="n"/>
      <c r="Q989" s="319" t="n"/>
      <c r="R989" s="319" t="n"/>
      <c r="S989" s="319" t="n"/>
      <c r="T989" s="319" t="n"/>
      <c r="U989" s="319" t="n"/>
      <c r="V989" s="319" t="n"/>
      <c r="W989" s="319" t="n"/>
      <c r="X989" s="319" t="n"/>
      <c r="Y989" s="319" t="n"/>
      <c r="Z989" s="319" t="n"/>
    </row>
    <row r="990">
      <c r="A990" s="319" t="n"/>
      <c r="B990" s="319" t="n"/>
      <c r="C990" s="319" t="n"/>
      <c r="D990" s="319" t="n"/>
      <c r="E990" s="319" t="n"/>
      <c r="F990" s="319" t="n"/>
      <c r="G990" s="319" t="n"/>
      <c r="H990" s="319" t="n"/>
      <c r="I990" s="319" t="n"/>
      <c r="J990" s="319" t="n"/>
      <c r="K990" s="319" t="n"/>
      <c r="L990" s="319" t="n"/>
      <c r="M990" s="319" t="n"/>
      <c r="N990" s="319" t="n"/>
      <c r="O990" s="319" t="n"/>
      <c r="P990" s="319" t="n"/>
      <c r="Q990" s="319" t="n"/>
      <c r="R990" s="319" t="n"/>
      <c r="S990" s="319" t="n"/>
      <c r="T990" s="319" t="n"/>
      <c r="U990" s="319" t="n"/>
      <c r="V990" s="319" t="n"/>
      <c r="W990" s="319" t="n"/>
      <c r="X990" s="319" t="n"/>
      <c r="Y990" s="319" t="n"/>
      <c r="Z990" s="319" t="n"/>
    </row>
    <row r="991">
      <c r="A991" s="319" t="n"/>
      <c r="B991" s="319" t="n"/>
      <c r="C991" s="319" t="n"/>
      <c r="D991" s="319" t="n"/>
      <c r="E991" s="319" t="n"/>
      <c r="F991" s="319" t="n"/>
      <c r="G991" s="319" t="n"/>
      <c r="H991" s="319" t="n"/>
      <c r="I991" s="319" t="n"/>
      <c r="J991" s="319" t="n"/>
      <c r="K991" s="319" t="n"/>
      <c r="L991" s="319" t="n"/>
      <c r="M991" s="319" t="n"/>
      <c r="N991" s="319" t="n"/>
      <c r="O991" s="319" t="n"/>
      <c r="P991" s="319" t="n"/>
      <c r="Q991" s="319" t="n"/>
      <c r="R991" s="319" t="n"/>
      <c r="S991" s="319" t="n"/>
      <c r="T991" s="319" t="n"/>
      <c r="U991" s="319" t="n"/>
      <c r="V991" s="319" t="n"/>
      <c r="W991" s="319" t="n"/>
      <c r="X991" s="319" t="n"/>
      <c r="Y991" s="319" t="n"/>
      <c r="Z991" s="319" t="n"/>
    </row>
    <row r="992">
      <c r="A992" s="319" t="n"/>
      <c r="B992" s="319" t="n"/>
      <c r="C992" s="319" t="n"/>
      <c r="D992" s="319" t="n"/>
      <c r="E992" s="319" t="n"/>
      <c r="F992" s="319" t="n"/>
      <c r="G992" s="319" t="n"/>
      <c r="H992" s="319" t="n"/>
      <c r="I992" s="319" t="n"/>
      <c r="J992" s="319" t="n"/>
      <c r="K992" s="319" t="n"/>
      <c r="L992" s="319" t="n"/>
      <c r="M992" s="319" t="n"/>
      <c r="N992" s="319" t="n"/>
      <c r="O992" s="319" t="n"/>
      <c r="P992" s="319" t="n"/>
      <c r="Q992" s="319" t="n"/>
      <c r="R992" s="319" t="n"/>
      <c r="S992" s="319" t="n"/>
      <c r="T992" s="319" t="n"/>
      <c r="U992" s="319" t="n"/>
      <c r="V992" s="319" t="n"/>
      <c r="W992" s="319" t="n"/>
      <c r="X992" s="319" t="n"/>
      <c r="Y992" s="319" t="n"/>
      <c r="Z992" s="319" t="n"/>
    </row>
    <row r="993">
      <c r="A993" s="319" t="n"/>
      <c r="B993" s="319" t="n"/>
      <c r="C993" s="319" t="n"/>
      <c r="D993" s="319" t="n"/>
      <c r="E993" s="319" t="n"/>
      <c r="F993" s="319" t="n"/>
      <c r="G993" s="319" t="n"/>
      <c r="H993" s="319" t="n"/>
      <c r="I993" s="319" t="n"/>
      <c r="J993" s="319" t="n"/>
      <c r="K993" s="319" t="n"/>
      <c r="L993" s="319" t="n"/>
      <c r="M993" s="319" t="n"/>
      <c r="N993" s="319" t="n"/>
      <c r="O993" s="319" t="n"/>
      <c r="P993" s="319" t="n"/>
      <c r="Q993" s="319" t="n"/>
      <c r="R993" s="319" t="n"/>
      <c r="S993" s="319" t="n"/>
      <c r="T993" s="319" t="n"/>
      <c r="U993" s="319" t="n"/>
      <c r="V993" s="319" t="n"/>
      <c r="W993" s="319" t="n"/>
      <c r="X993" s="319" t="n"/>
      <c r="Y993" s="319" t="n"/>
      <c r="Z993" s="319" t="n"/>
    </row>
    <row r="994">
      <c r="A994" s="319" t="n"/>
      <c r="B994" s="319" t="n"/>
      <c r="C994" s="319" t="n"/>
      <c r="D994" s="319" t="n"/>
      <c r="E994" s="319" t="n"/>
      <c r="F994" s="319" t="n"/>
      <c r="G994" s="319" t="n"/>
      <c r="H994" s="319" t="n"/>
      <c r="I994" s="319" t="n"/>
      <c r="J994" s="319" t="n"/>
      <c r="K994" s="319" t="n"/>
      <c r="L994" s="319" t="n"/>
      <c r="M994" s="319" t="n"/>
      <c r="N994" s="319" t="n"/>
      <c r="O994" s="319" t="n"/>
      <c r="P994" s="319" t="n"/>
      <c r="Q994" s="319" t="n"/>
      <c r="R994" s="319" t="n"/>
      <c r="S994" s="319" t="n"/>
      <c r="T994" s="319" t="n"/>
      <c r="U994" s="319" t="n"/>
      <c r="V994" s="319" t="n"/>
      <c r="W994" s="319" t="n"/>
      <c r="X994" s="319" t="n"/>
      <c r="Y994" s="319" t="n"/>
      <c r="Z994" s="319" t="n"/>
    </row>
    <row r="995">
      <c r="A995" s="319" t="n"/>
      <c r="B995" s="319" t="n"/>
      <c r="C995" s="319" t="n"/>
      <c r="D995" s="319" t="n"/>
      <c r="E995" s="319" t="n"/>
      <c r="F995" s="319" t="n"/>
      <c r="G995" s="319" t="n"/>
      <c r="H995" s="319" t="n"/>
      <c r="I995" s="319" t="n"/>
      <c r="J995" s="319" t="n"/>
      <c r="K995" s="319" t="n"/>
      <c r="L995" s="319" t="n"/>
      <c r="M995" s="319" t="n"/>
      <c r="N995" s="319" t="n"/>
      <c r="O995" s="319" t="n"/>
      <c r="P995" s="319" t="n"/>
      <c r="Q995" s="319" t="n"/>
      <c r="R995" s="319" t="n"/>
      <c r="S995" s="319" t="n"/>
      <c r="T995" s="319" t="n"/>
      <c r="U995" s="319" t="n"/>
      <c r="V995" s="319" t="n"/>
      <c r="W995" s="319" t="n"/>
      <c r="X995" s="319" t="n"/>
      <c r="Y995" s="319" t="n"/>
      <c r="Z995" s="319" t="n"/>
    </row>
    <row r="996">
      <c r="A996" s="319" t="n"/>
      <c r="B996" s="319" t="n"/>
      <c r="C996" s="319" t="n"/>
      <c r="D996" s="319" t="n"/>
      <c r="E996" s="319" t="n"/>
      <c r="F996" s="319" t="n"/>
      <c r="G996" s="319" t="n"/>
      <c r="H996" s="319" t="n"/>
      <c r="I996" s="319" t="n"/>
      <c r="J996" s="319" t="n"/>
      <c r="K996" s="319" t="n"/>
      <c r="L996" s="319" t="n"/>
      <c r="M996" s="319" t="n"/>
      <c r="N996" s="319" t="n"/>
      <c r="O996" s="319" t="n"/>
      <c r="P996" s="319" t="n"/>
      <c r="Q996" s="319" t="n"/>
      <c r="R996" s="319" t="n"/>
      <c r="S996" s="319" t="n"/>
      <c r="T996" s="319" t="n"/>
      <c r="U996" s="319" t="n"/>
      <c r="V996" s="319" t="n"/>
      <c r="W996" s="319" t="n"/>
      <c r="X996" s="319" t="n"/>
      <c r="Y996" s="319" t="n"/>
      <c r="Z996" s="319" t="n"/>
    </row>
    <row r="997">
      <c r="A997" s="319" t="n"/>
      <c r="B997" s="319" t="n"/>
      <c r="C997" s="319" t="n"/>
      <c r="D997" s="319" t="n"/>
      <c r="E997" s="319" t="n"/>
      <c r="F997" s="319" t="n"/>
      <c r="G997" s="319" t="n"/>
      <c r="H997" s="319" t="n"/>
      <c r="I997" s="319" t="n"/>
      <c r="J997" s="319" t="n"/>
      <c r="K997" s="319" t="n"/>
      <c r="L997" s="319" t="n"/>
      <c r="M997" s="319" t="n"/>
      <c r="N997" s="319" t="n"/>
      <c r="O997" s="319" t="n"/>
      <c r="P997" s="319" t="n"/>
      <c r="Q997" s="319" t="n"/>
      <c r="R997" s="319" t="n"/>
      <c r="S997" s="319" t="n"/>
      <c r="T997" s="319" t="n"/>
      <c r="U997" s="319" t="n"/>
      <c r="V997" s="319" t="n"/>
      <c r="W997" s="319" t="n"/>
      <c r="X997" s="319" t="n"/>
      <c r="Y997" s="319" t="n"/>
      <c r="Z997" s="319" t="n"/>
    </row>
    <row r="998">
      <c r="A998" s="319" t="n"/>
      <c r="B998" s="319" t="n"/>
      <c r="C998" s="319" t="n"/>
      <c r="D998" s="319" t="n"/>
      <c r="E998" s="319" t="n"/>
      <c r="F998" s="319" t="n"/>
      <c r="G998" s="319" t="n"/>
      <c r="H998" s="319" t="n"/>
      <c r="I998" s="319" t="n"/>
      <c r="J998" s="319" t="n"/>
      <c r="K998" s="319" t="n"/>
      <c r="L998" s="319" t="n"/>
      <c r="M998" s="319" t="n"/>
      <c r="N998" s="319" t="n"/>
      <c r="O998" s="319" t="n"/>
      <c r="P998" s="319" t="n"/>
      <c r="Q998" s="319" t="n"/>
      <c r="R998" s="319" t="n"/>
      <c r="S998" s="319" t="n"/>
      <c r="T998" s="319" t="n"/>
      <c r="U998" s="319" t="n"/>
      <c r="V998" s="319" t="n"/>
      <c r="W998" s="319" t="n"/>
      <c r="X998" s="319" t="n"/>
      <c r="Y998" s="319" t="n"/>
      <c r="Z998" s="319" t="n"/>
    </row>
    <row r="999">
      <c r="A999" s="319" t="n"/>
      <c r="B999" s="319" t="n"/>
      <c r="C999" s="319" t="n"/>
      <c r="D999" s="319" t="n"/>
      <c r="E999" s="319" t="n"/>
      <c r="F999" s="319" t="n"/>
      <c r="G999" s="319" t="n"/>
      <c r="H999" s="319" t="n"/>
      <c r="I999" s="319" t="n"/>
      <c r="J999" s="319" t="n"/>
      <c r="K999" s="319" t="n"/>
      <c r="L999" s="319" t="n"/>
      <c r="M999" s="319" t="n"/>
      <c r="N999" s="319" t="n"/>
      <c r="O999" s="319" t="n"/>
      <c r="P999" s="319" t="n"/>
      <c r="Q999" s="319" t="n"/>
      <c r="R999" s="319" t="n"/>
      <c r="S999" s="319" t="n"/>
      <c r="T999" s="319" t="n"/>
      <c r="U999" s="319" t="n"/>
      <c r="V999" s="319" t="n"/>
      <c r="W999" s="319" t="n"/>
      <c r="X999" s="319" t="n"/>
      <c r="Y999" s="319" t="n"/>
      <c r="Z999" s="319" t="n"/>
    </row>
    <row r="1000">
      <c r="A1000" s="319" t="n"/>
      <c r="B1000" s="319" t="n"/>
      <c r="C1000" s="319" t="n"/>
      <c r="D1000" s="319" t="n"/>
      <c r="E1000" s="319" t="n"/>
      <c r="F1000" s="319" t="n"/>
      <c r="G1000" s="319" t="n"/>
      <c r="H1000" s="319" t="n"/>
      <c r="I1000" s="319" t="n"/>
      <c r="J1000" s="319" t="n"/>
      <c r="K1000" s="319" t="n"/>
      <c r="L1000" s="319" t="n"/>
      <c r="M1000" s="319" t="n"/>
      <c r="N1000" s="319" t="n"/>
      <c r="O1000" s="319" t="n"/>
      <c r="P1000" s="319" t="n"/>
      <c r="Q1000" s="319" t="n"/>
      <c r="R1000" s="319" t="n"/>
      <c r="S1000" s="319" t="n"/>
      <c r="T1000" s="319" t="n"/>
      <c r="U1000" s="319" t="n"/>
      <c r="V1000" s="319" t="n"/>
      <c r="W1000" s="319" t="n"/>
      <c r="X1000" s="319" t="n"/>
      <c r="Y1000" s="319" t="n"/>
      <c r="Z1000" s="319"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F3:I30"/>
  <sheetViews>
    <sheetView workbookViewId="0">
      <selection activeCell="A1" sqref="A1"/>
    </sheetView>
  </sheetViews>
  <sheetFormatPr baseColWidth="8" defaultColWidth="12.63" defaultRowHeight="15.75" customHeight="1"/>
  <cols>
    <col width="29.75" customWidth="1" style="346" min="8" max="8"/>
  </cols>
  <sheetData>
    <row r="3">
      <c r="F3" s="293" t="inlineStr">
        <is>
          <t>Pengelolaan E-Government di Lingkup Pemerintah Daerah</t>
        </is>
      </c>
    </row>
    <row r="5">
      <c r="F5" s="26" t="inlineStr">
        <is>
          <t>Tata Kelola SPBE Pemerintah Daerah</t>
        </is>
      </c>
    </row>
    <row r="6">
      <c r="G6" s="26" t="inlineStr">
        <is>
          <t>Arsitektur SPBE Pemerintah Daerah</t>
        </is>
      </c>
    </row>
    <row r="7">
      <c r="G7" s="26" t="inlineStr">
        <is>
          <t>Peta Recana SPBE Pemerintah Daerah</t>
        </is>
      </c>
    </row>
    <row r="8">
      <c r="G8" s="26" t="inlineStr">
        <is>
          <t>Rencana dan Anggaran Pemerintah Daerah</t>
        </is>
      </c>
    </row>
    <row r="9">
      <c r="G9" s="26" t="inlineStr">
        <is>
          <t>Proses Bisnis</t>
        </is>
      </c>
    </row>
    <row r="10">
      <c r="G10" s="26" t="inlineStr">
        <is>
          <t>Data dan Informasi</t>
        </is>
      </c>
    </row>
    <row r="11">
      <c r="G11" s="26" t="inlineStr">
        <is>
          <t>Infrastruktur SPBE</t>
        </is>
      </c>
      <c r="H11" s="26" t="inlineStr">
        <is>
          <t>Infrastruktur SPBE Nasional</t>
        </is>
      </c>
      <c r="I11" s="26" t="inlineStr">
        <is>
          <t>Pusat Data Nasional</t>
        </is>
      </c>
    </row>
    <row r="12">
      <c r="G12" s="26" t="inlineStr">
        <is>
          <t>Infrastruktur SPBE</t>
        </is>
      </c>
      <c r="H12" s="26" t="inlineStr">
        <is>
          <t>Infrastruktur SPBE Nasional</t>
        </is>
      </c>
      <c r="I12" s="26" t="inlineStr">
        <is>
          <t>Jaringan Intra Pemerintah</t>
        </is>
      </c>
    </row>
    <row r="13">
      <c r="G13" s="26" t="inlineStr">
        <is>
          <t>Infrastruktur SPBE</t>
        </is>
      </c>
      <c r="H13" s="26" t="inlineStr">
        <is>
          <t>Infrastruktur SPBE Nasional</t>
        </is>
      </c>
      <c r="I13" s="26" t="inlineStr">
        <is>
          <t>Sistem Penghubung Layanan Pemerintah</t>
        </is>
      </c>
    </row>
    <row r="14">
      <c r="G14" s="26" t="inlineStr">
        <is>
          <t>Infrastruktur SPBE</t>
        </is>
      </c>
      <c r="H14" s="26" t="inlineStr">
        <is>
          <t>Infrastruktur SPBE Pemerintah Daerah</t>
        </is>
      </c>
      <c r="I14" s="26" t="inlineStr">
        <is>
          <t>Pusat Komputasi dan Pusat Kendali</t>
        </is>
      </c>
    </row>
    <row r="15">
      <c r="G15" s="26" t="inlineStr">
        <is>
          <t>Infrastruktur SPBE</t>
        </is>
      </c>
      <c r="H15" s="26" t="inlineStr">
        <is>
          <t>Infrastruktur SPBE Pemerintah Daerah</t>
        </is>
      </c>
      <c r="I15" s="26" t="inlineStr">
        <is>
          <t>Jaringan Intra Pemerintah Daerah</t>
        </is>
      </c>
    </row>
    <row r="16">
      <c r="G16" s="26" t="inlineStr">
        <is>
          <t>Infrastruktur SPBE</t>
        </is>
      </c>
      <c r="H16" s="26" t="inlineStr">
        <is>
          <t>Infrastruktur SPBE Pemerintah Daerah</t>
        </is>
      </c>
      <c r="I16" s="26" t="inlineStr">
        <is>
          <t>SPLPD</t>
        </is>
      </c>
    </row>
    <row r="17">
      <c r="G17" s="26" t="n"/>
    </row>
    <row r="18">
      <c r="G18" s="26" t="n"/>
    </row>
    <row r="19">
      <c r="G19" s="26" t="n"/>
    </row>
    <row r="20">
      <c r="G20" s="26" t="n"/>
    </row>
    <row r="21">
      <c r="G21" s="26" t="n"/>
    </row>
    <row r="22">
      <c r="G22" s="26" t="n"/>
    </row>
    <row r="23">
      <c r="G23" s="26" t="inlineStr">
        <is>
          <t>Aplikasi SPBE</t>
        </is>
      </c>
    </row>
    <row r="24">
      <c r="G24" s="26" t="inlineStr">
        <is>
          <t>Keamanan SPBE</t>
        </is>
      </c>
    </row>
    <row r="25">
      <c r="G25" s="26" t="inlineStr">
        <is>
          <t>Layanan SPBE</t>
        </is>
      </c>
    </row>
    <row r="26">
      <c r="F26" s="26" t="inlineStr">
        <is>
          <t>Manajemen SPBE</t>
        </is>
      </c>
    </row>
    <row r="27">
      <c r="F27" s="26" t="inlineStr">
        <is>
          <t>Audit TIK</t>
        </is>
      </c>
    </row>
    <row r="28">
      <c r="F28" s="26" t="inlineStr">
        <is>
          <t>Penyelenggaraan SPBE Pemerintah Daerah</t>
        </is>
      </c>
    </row>
    <row r="29">
      <c r="F29" s="26" t="inlineStr">
        <is>
          <t>Promosi Literasi dan Kolaborasi Penyelenggaraan SPBE</t>
        </is>
      </c>
    </row>
    <row r="30">
      <c r="F30" s="26" t="inlineStr">
        <is>
          <t>Penyelenggaraan Pengelolaan Perkotaan dengan Pendekatan Kota Cerdas</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D2:G437"/>
  <sheetViews>
    <sheetView workbookViewId="0">
      <selection activeCell="A1" sqref="A1"/>
    </sheetView>
  </sheetViews>
  <sheetFormatPr baseColWidth="8" defaultColWidth="12.63" defaultRowHeight="15.75" customHeight="1"/>
  <cols>
    <col width="2.88" customWidth="1" style="346" min="4" max="4"/>
    <col width="103.13" customWidth="1" style="346" min="5" max="5"/>
    <col width="49.63" customWidth="1" style="346" min="6" max="6"/>
    <col width="48.88" customWidth="1" style="346" min="7" max="7"/>
  </cols>
  <sheetData>
    <row r="2">
      <c r="D2" s="331" t="inlineStr">
        <is>
          <t>No</t>
        </is>
      </c>
      <c r="E2" s="331" t="inlineStr">
        <is>
          <t>Proses Bisnis</t>
        </is>
      </c>
      <c r="F2" s="331" t="inlineStr">
        <is>
          <t>Bidang</t>
        </is>
      </c>
      <c r="G2" s="331" t="inlineStr">
        <is>
          <t>Layanan</t>
        </is>
      </c>
    </row>
    <row r="3">
      <c r="D3" s="332" t="n">
        <v>1</v>
      </c>
      <c r="E3" s="332" t="inlineStr">
        <is>
          <t>Telaahan Rekomendasi Aplikasi</t>
        </is>
      </c>
      <c r="F3" s="332" t="inlineStr">
        <is>
          <t>Bidang Aplikasi Informatika</t>
        </is>
      </c>
      <c r="G3" s="332" t="inlineStr">
        <is>
          <t>Fasilitasi Pendampingan Pembangunan/Pengembangan Aplikasi</t>
        </is>
      </c>
    </row>
    <row r="4">
      <c r="D4" s="332" t="n">
        <v>2</v>
      </c>
      <c r="E4" s="332" t="inlineStr">
        <is>
          <t>Pemeriksaan Kesesuaian Usulan Aplikasi dengan Arsitektur SPBE</t>
        </is>
      </c>
      <c r="F4" s="332" t="inlineStr">
        <is>
          <t>Bidang e-Government</t>
        </is>
      </c>
      <c r="G4" s="341" t="inlineStr">
        <is>
          <t>Pemeriksaan Kesesuaian Usulan Aplikasi dengan Arsitektur SPBE</t>
        </is>
      </c>
    </row>
    <row r="5">
      <c r="D5" s="332" t="n">
        <v>3</v>
      </c>
      <c r="E5" s="332" t="inlineStr">
        <is>
          <t>Pembangunan Aplikasi Mandiri</t>
        </is>
      </c>
      <c r="F5" s="332" t="inlineStr">
        <is>
          <t>Bidang Aplikasi Informatika</t>
        </is>
      </c>
      <c r="G5" s="332" t="inlineStr">
        <is>
          <t>Rekayasa Aplikasi</t>
        </is>
      </c>
    </row>
    <row r="6">
      <c r="D6" s="332" t="n">
        <v>4</v>
      </c>
      <c r="E6" s="332" t="inlineStr">
        <is>
          <t>Pendampingan Pembangunan Pengembangan Aplikasi</t>
        </is>
      </c>
      <c r="F6" s="332" t="inlineStr">
        <is>
          <t>Bidang Aplikasi Informatika</t>
        </is>
      </c>
      <c r="G6" s="332" t="inlineStr">
        <is>
          <t>Fasilitasi Pendampingan Pembangunan/Pengembangan Aplikasi</t>
        </is>
      </c>
    </row>
    <row r="7">
      <c r="D7" s="332" t="n">
        <v>5</v>
      </c>
      <c r="E7" s="332" t="inlineStr">
        <is>
          <t>Fasilitasi Replikasi Aplikasi</t>
        </is>
      </c>
      <c r="F7" s="332" t="inlineStr">
        <is>
          <t>Bidang Aplikasi Informatika</t>
        </is>
      </c>
      <c r="G7" s="332" t="inlineStr">
        <is>
          <t>Fasilitasi Pendampingan Pembangunan/Pengembangan Aplikasi</t>
        </is>
      </c>
    </row>
    <row r="8">
      <c r="D8" s="332" t="n">
        <v>6</v>
      </c>
      <c r="E8" s="332" t="inlineStr">
        <is>
          <t>Permohonan Replikasi Aplikasi</t>
        </is>
      </c>
      <c r="F8" s="332" t="inlineStr">
        <is>
          <t>UPTD Pengelola Layanan Digital, Data, dan Informasi Geospasial</t>
        </is>
      </c>
      <c r="G8" s="332" t="n"/>
    </row>
    <row r="9">
      <c r="D9" s="332" t="n">
        <v>7</v>
      </c>
      <c r="E9" s="332" t="inlineStr">
        <is>
          <t>Pendampingan Pengelolaan Aplikasi / Situs Web</t>
        </is>
      </c>
      <c r="F9" s="332" t="inlineStr">
        <is>
          <t>Bidang Aplikasi Informatika</t>
        </is>
      </c>
      <c r="G9" s="332" t="inlineStr">
        <is>
          <t>Fasilitasi Pendampingan Pembangunan/Pengembangan Aplikasi</t>
        </is>
      </c>
    </row>
    <row r="10">
      <c r="D10" s="332" t="n">
        <v>8</v>
      </c>
      <c r="E10" s="332" t="inlineStr">
        <is>
          <t>Pemeliharaan Aplikasi Portal Layanan Administrasi Pemerintahan Jabar</t>
        </is>
      </c>
      <c r="F10" s="332" t="inlineStr">
        <is>
          <t>Bidang Aplikasi Informatika</t>
        </is>
      </c>
      <c r="G10" s="334" t="inlineStr">
        <is>
          <t>Layanan Pemeliharaan Aplikasi Portal Administrasi Pemerintahan</t>
        </is>
      </c>
    </row>
    <row r="11">
      <c r="D11" s="332" t="n">
        <v>9</v>
      </c>
      <c r="E11" s="332" t="inlineStr">
        <is>
          <t>Fasilitasi Pemeliharaan Portal Layanan Administrasi Pemerintahan Jabar</t>
        </is>
      </c>
      <c r="F11" s="332" t="inlineStr">
        <is>
          <t>Bidang Aplikasi Informatika</t>
        </is>
      </c>
      <c r="G11" s="334" t="inlineStr">
        <is>
          <t>Layanan Pemeliharaan Aplikasi Portal Administrasi Pemerintahan</t>
        </is>
      </c>
    </row>
    <row r="12">
      <c r="D12" s="332" t="n">
        <v>10</v>
      </c>
      <c r="E12" s="332" t="inlineStr">
        <is>
          <t>Bimbingan Teknis Pemanfaatan Portal Layanan Administrasi Pemerintahan Jabar</t>
        </is>
      </c>
      <c r="F12" s="332" t="inlineStr">
        <is>
          <t>Bidang Aplikasi Informatika</t>
        </is>
      </c>
      <c r="G12" s="332" t="inlineStr">
        <is>
          <t>Rekayasa Aplikasi</t>
        </is>
      </c>
    </row>
    <row r="13">
      <c r="D13" s="332" t="n">
        <v>11</v>
      </c>
      <c r="E13" s="332" t="inlineStr">
        <is>
          <t>Pemetaan Kebutuhan / Monitoring dan Evaluasi Portal Layanan Publik</t>
        </is>
      </c>
      <c r="F13" s="332" t="inlineStr">
        <is>
          <t>UPTD Pengelola Layanan Digital, Data, dan Informasi Geospasial</t>
        </is>
      </c>
      <c r="G13" s="332" t="n"/>
    </row>
    <row r="14">
      <c r="D14" s="332" t="n">
        <v>12</v>
      </c>
      <c r="E14" s="332" t="inlineStr">
        <is>
          <t>Pemeliharaan Portal Layanan Publik</t>
        </is>
      </c>
      <c r="F14" s="332" t="inlineStr">
        <is>
          <t>UPTD Pengelola Layanan Digital, Data, dan Informasi Geospasial</t>
        </is>
      </c>
      <c r="G14" s="332" t="n"/>
    </row>
    <row r="15">
      <c r="D15" s="332" t="n">
        <v>13</v>
      </c>
      <c r="E15" s="332" t="inlineStr">
        <is>
          <t>Pengembangan Portal Layanan Publik</t>
        </is>
      </c>
      <c r="F15" s="332" t="inlineStr">
        <is>
          <t>UPTD Pengelola Layanan Digital, Data, dan Informasi Geospasial</t>
        </is>
      </c>
      <c r="G15" s="332" t="n"/>
    </row>
    <row r="16">
      <c r="D16" s="332" t="n">
        <v>14</v>
      </c>
      <c r="E16" s="332" t="inlineStr">
        <is>
          <t>Pengajuan usulan pendaftaran Nama Domain dan Sub Nama Domain</t>
        </is>
      </c>
      <c r="F16" s="332" t="inlineStr">
        <is>
          <t>Bidang Aplikasi Informatika</t>
        </is>
      </c>
      <c r="G16" s="332" t="inlineStr">
        <is>
          <t>Layanan Pendaftaran Domain dan Sub domain Aplikasi</t>
        </is>
      </c>
    </row>
    <row r="17">
      <c r="D17" s="332" t="n">
        <v>15</v>
      </c>
      <c r="E17" s="332" t="inlineStr">
        <is>
          <t>Penerimaan Pendaftaran Aplikasi</t>
        </is>
      </c>
      <c r="F17" s="332" t="inlineStr">
        <is>
          <t>Bidang Aplikasi Informatika</t>
        </is>
      </c>
      <c r="G17" s="332" t="inlineStr">
        <is>
          <t>Layanan Pendaftaran Domain dan Sub domain Aplikasi</t>
        </is>
      </c>
    </row>
    <row r="18">
      <c r="D18" s="332" t="n">
        <v>16</v>
      </c>
      <c r="E18" s="332" t="inlineStr">
        <is>
          <t>Penerbitan Nomor Aplikasi</t>
        </is>
      </c>
      <c r="F18" s="332" t="inlineStr">
        <is>
          <t>Bidang Aplikasi Informatika</t>
        </is>
      </c>
      <c r="G18" s="332" t="inlineStr">
        <is>
          <t>Layanan Pendaftaran Domain dan Sub domain Aplikasi</t>
        </is>
      </c>
    </row>
    <row r="19">
      <c r="D19" s="332" t="n">
        <v>17</v>
      </c>
      <c r="E19" s="332" t="inlineStr">
        <is>
          <t>Pendaftaran Sistem Elektronik</t>
        </is>
      </c>
      <c r="F19" s="332" t="inlineStr">
        <is>
          <t>Bidang Aplikasi Informatika</t>
        </is>
      </c>
      <c r="G19" s="332" t="inlineStr">
        <is>
          <t>Pendaftaran Sistem Elektronik</t>
        </is>
      </c>
    </row>
    <row r="20">
      <c r="D20" s="332" t="n">
        <v>18</v>
      </c>
      <c r="E20" s="332" t="inlineStr">
        <is>
          <t>Monitoring dan Evaluasi Aplikasi</t>
        </is>
      </c>
      <c r="F20" s="332" t="inlineStr">
        <is>
          <t>Bidang Aplikasi Informatika</t>
        </is>
      </c>
      <c r="G20" s="332" t="inlineStr">
        <is>
          <t>Penatakelolaan Aplikasi Informatika</t>
        </is>
      </c>
    </row>
    <row r="21">
      <c r="D21" s="332" t="n">
        <v>19</v>
      </c>
      <c r="E21" s="332" t="inlineStr">
        <is>
          <t>Pembuatan Akun Repository</t>
        </is>
      </c>
      <c r="F21" s="332" t="inlineStr">
        <is>
          <t>Bidang Aplikasi Informatika</t>
        </is>
      </c>
      <c r="G21" s="332" t="inlineStr">
        <is>
          <t>Layanan Repository Pembangunan dan Pengembangan Aplikasi</t>
        </is>
      </c>
    </row>
    <row r="22">
      <c r="D22" s="332" t="n">
        <v>20</v>
      </c>
      <c r="E22" s="332" t="inlineStr">
        <is>
          <t>Fasilitasi Pembuatan eMail Jabarprov</t>
        </is>
      </c>
      <c r="F22" s="332" t="inlineStr">
        <is>
          <t>Bidang Aplikasi Informatika</t>
        </is>
      </c>
      <c r="G22" s="332" t="inlineStr">
        <is>
          <t>Layanan Mail Jabarprov</t>
        </is>
      </c>
    </row>
    <row r="23">
      <c r="D23" s="332" t="n">
        <v>21</v>
      </c>
      <c r="E23" s="332" t="inlineStr">
        <is>
          <t>Fasilitasi Reset Password Akun eMail</t>
        </is>
      </c>
      <c r="F23" s="332" t="inlineStr">
        <is>
          <t>Bidang Aplikasi Informatika</t>
        </is>
      </c>
      <c r="G23" s="332" t="inlineStr">
        <is>
          <t>Layanan Mail Jabarprov</t>
        </is>
      </c>
    </row>
    <row r="24">
      <c r="D24" s="332" t="n">
        <v>22</v>
      </c>
      <c r="E24" s="332" t="inlineStr">
        <is>
          <t>Fasilitasi Penonaktifan eMail</t>
        </is>
      </c>
      <c r="F24" s="332" t="inlineStr">
        <is>
          <t>Bidang Aplikasi Informatika</t>
        </is>
      </c>
      <c r="G24" s="332" t="inlineStr">
        <is>
          <t>Layanan Mail Jabarprov</t>
        </is>
      </c>
    </row>
    <row r="25">
      <c r="D25" s="332" t="n">
        <v>23</v>
      </c>
      <c r="E25" s="332" t="inlineStr">
        <is>
          <t>Penerimaan Permohonan Integrasi Interoperabilitas</t>
        </is>
      </c>
      <c r="F25" s="332" t="inlineStr">
        <is>
          <t>Bidang Aplikasi Informatika</t>
        </is>
      </c>
      <c r="G25" s="332" t="inlineStr">
        <is>
          <t>Layanan Integrasi/Interoperabilitas</t>
        </is>
      </c>
    </row>
    <row r="26">
      <c r="D26" s="332" t="n">
        <v>24</v>
      </c>
      <c r="E26" s="332" t="inlineStr">
        <is>
          <t>Penerbitan Berita Acara Penyedia API</t>
        </is>
      </c>
      <c r="F26" s="332" t="inlineStr">
        <is>
          <t>Bidang Aplikasi Informatika</t>
        </is>
      </c>
      <c r="G26" s="332" t="inlineStr">
        <is>
          <t>Layanan Integrasi/Interoperabilitas</t>
        </is>
      </c>
    </row>
    <row r="27">
      <c r="D27" s="332" t="n">
        <v>25</v>
      </c>
      <c r="E27" s="332" t="inlineStr">
        <is>
          <t>Penerbitan Berita Acara Pengguna API</t>
        </is>
      </c>
      <c r="F27" s="332" t="inlineStr">
        <is>
          <t>Bidang Aplikasi Informatika</t>
        </is>
      </c>
      <c r="G27" s="332" t="inlineStr">
        <is>
          <t>Layanan Integrasi/Interoperabilitas</t>
        </is>
      </c>
    </row>
    <row r="28">
      <c r="D28" s="332" t="n">
        <v>26</v>
      </c>
      <c r="E28" s="332" t="inlineStr">
        <is>
          <t>Penerbitan Credential Key DEV</t>
        </is>
      </c>
      <c r="F28" s="332" t="inlineStr">
        <is>
          <t>Bidang Aplikasi Informatika</t>
        </is>
      </c>
      <c r="G28" s="332" t="inlineStr">
        <is>
          <t>Layanan Integrasi/Interoperabilitas</t>
        </is>
      </c>
    </row>
    <row r="29">
      <c r="D29" s="332" t="n">
        <v>27</v>
      </c>
      <c r="E29" s="332" t="inlineStr">
        <is>
          <t>Uji Integrasi Interoperabilitas</t>
        </is>
      </c>
      <c r="F29" s="332" t="inlineStr">
        <is>
          <t>Bidang Aplikasi Informatika</t>
        </is>
      </c>
      <c r="G29" s="332" t="inlineStr">
        <is>
          <t>Layanan Integrasi/Interoperabilitas</t>
        </is>
      </c>
    </row>
    <row r="30">
      <c r="D30" s="332" t="n">
        <v>28</v>
      </c>
      <c r="E30" s="332" t="inlineStr">
        <is>
          <t>Penerbitan Credential Key Prod</t>
        </is>
      </c>
      <c r="F30" s="332" t="inlineStr">
        <is>
          <t>Bidang Aplikasi Informatika</t>
        </is>
      </c>
      <c r="G30" s="332" t="inlineStr">
        <is>
          <t>Layanan Integrasi/Interoperabilitas</t>
        </is>
      </c>
    </row>
    <row r="31">
      <c r="D31" s="332" t="n">
        <v>29</v>
      </c>
      <c r="E31" s="332" t="inlineStr">
        <is>
          <t>Penghapusan Credential Key Prod</t>
        </is>
      </c>
      <c r="F31" s="332" t="inlineStr">
        <is>
          <t>Bidang Aplikasi Informatika</t>
        </is>
      </c>
      <c r="G31" s="332" t="inlineStr">
        <is>
          <t>Layanan Integrasi/Interoperabilitas</t>
        </is>
      </c>
    </row>
    <row r="32">
      <c r="D32" s="332" t="n">
        <v>30</v>
      </c>
      <c r="E32" s="332" t="inlineStr">
        <is>
          <t>Penyiapan Bahan Perumusan Kebijakan SPBE Berbentuk SP/SK Tim</t>
        </is>
      </c>
      <c r="F32" s="332" t="inlineStr">
        <is>
          <t>Bidang e-Government</t>
        </is>
      </c>
      <c r="G32" s="332" t="n"/>
    </row>
    <row r="33">
      <c r="D33" s="332" t="n">
        <v>31</v>
      </c>
      <c r="E33" s="332" t="inlineStr">
        <is>
          <t>Penyusunan Bahan Perumusan Kebijakan SPBE</t>
        </is>
      </c>
      <c r="F33" s="332" t="inlineStr">
        <is>
          <t>Bidang e-Government</t>
        </is>
      </c>
      <c r="G33" s="332" t="n"/>
    </row>
    <row r="34">
      <c r="D34" s="332" t="n">
        <v>32</v>
      </c>
      <c r="E34" s="332" t="inlineStr">
        <is>
          <t>Penyiapan Bahan Perumusan Kebijakan SPBE Berbentuk Juklak/Juknis Kadis</t>
        </is>
      </c>
      <c r="F34" s="332" t="inlineStr">
        <is>
          <t>Bidang e-Government</t>
        </is>
      </c>
      <c r="G34" s="332" t="n"/>
    </row>
    <row r="35">
      <c r="D35" s="332" t="n">
        <v>33</v>
      </c>
      <c r="E35" s="332" t="inlineStr">
        <is>
          <t>Pembentukan Tim Audit Internal TIK SPBE</t>
        </is>
      </c>
      <c r="F35" s="332" t="inlineStr">
        <is>
          <t>Bidang e-Government</t>
        </is>
      </c>
      <c r="G35" s="332" t="n"/>
    </row>
    <row r="36">
      <c r="D36" s="332" t="n">
        <v>34</v>
      </c>
      <c r="E36" s="332" t="inlineStr">
        <is>
          <t>Pelaksanaan Audit Internal Infrastruktur SPBE</t>
        </is>
      </c>
      <c r="F36" s="332" t="inlineStr">
        <is>
          <t>Bidang e-Government</t>
        </is>
      </c>
      <c r="G36" s="332" t="n"/>
    </row>
    <row r="37">
      <c r="D37" s="332" t="n">
        <v>35</v>
      </c>
      <c r="E37" s="332" t="inlineStr">
        <is>
          <t>Pelaksanaan Audit Internal Aplikasi SPBE</t>
        </is>
      </c>
      <c r="F37" s="332" t="inlineStr">
        <is>
          <t>Bidang Aplikasi Informatika</t>
        </is>
      </c>
      <c r="G37" s="332" t="n"/>
    </row>
    <row r="38">
      <c r="D38" s="332" t="n">
        <v>36</v>
      </c>
      <c r="E38" s="332" t="inlineStr">
        <is>
          <t>Penyusunan Bahan Reviu/Evaluasi Kebijakan SPBE</t>
        </is>
      </c>
      <c r="F38" s="332" t="inlineStr">
        <is>
          <t>Bidang e-Government</t>
        </is>
      </c>
      <c r="G38" s="332" t="n"/>
    </row>
    <row r="39">
      <c r="D39" s="332" t="n">
        <v>37</v>
      </c>
      <c r="E39" s="332" t="inlineStr">
        <is>
          <t>Pemeriksaan Kesesuaian Belanja SPBE (TIK, Data, Aplikasi, Jasa) dengan Perencanaan Strategis</t>
        </is>
      </c>
      <c r="F39" s="332" t="inlineStr">
        <is>
          <t>Bidang e-Government</t>
        </is>
      </c>
      <c r="G39" s="332" t="n"/>
    </row>
    <row r="40">
      <c r="D40" s="332" t="n">
        <v>38</v>
      </c>
      <c r="E40" s="332" t="inlineStr">
        <is>
          <t>Pengembangan Proses Bisnis Pemerintahan Berbasis Elektronik</t>
        </is>
      </c>
      <c r="F40" s="332" t="inlineStr">
        <is>
          <t>Bidang e-Government</t>
        </is>
      </c>
      <c r="G40" s="332" t="n"/>
    </row>
    <row r="41">
      <c r="D41" s="332" t="n">
        <v>39</v>
      </c>
      <c r="E41" s="332" t="inlineStr">
        <is>
          <t>Fasilitasi Penyelenggaraan Evaluasi Implementasi Provinsi Cerdas</t>
        </is>
      </c>
      <c r="F41" s="332" t="inlineStr">
        <is>
          <t>Bidang e-Government</t>
        </is>
      </c>
      <c r="G41" s="332" t="n"/>
    </row>
    <row r="42">
      <c r="D42" s="332" t="n">
        <v>40</v>
      </c>
      <c r="E42" s="332" t="inlineStr">
        <is>
          <t>Fasilitasi Usulan Pengembangan Kompetensi SDM SPBE Internal Diskominfo</t>
        </is>
      </c>
      <c r="F42" s="332" t="inlineStr">
        <is>
          <t>Bidang e-Government</t>
        </is>
      </c>
      <c r="G42" s="332" t="n"/>
    </row>
    <row r="43">
      <c r="D43" s="332" t="n">
        <v>41</v>
      </c>
      <c r="E43" s="332" t="inlineStr">
        <is>
          <t>Fasilitasi Usulan Pengembangan Kompetensi SDM SPBE Eksternal Dinas</t>
        </is>
      </c>
      <c r="F43" s="332" t="inlineStr">
        <is>
          <t>Bidang e-Government</t>
        </is>
      </c>
      <c r="G43" s="332" t="n"/>
    </row>
    <row r="44">
      <c r="D44" s="332" t="n">
        <v>42</v>
      </c>
      <c r="E44" s="332" t="inlineStr">
        <is>
          <t>Pelaksanaan Evaluasi SPBE Perangkat Daerah</t>
        </is>
      </c>
      <c r="F44" s="332" t="inlineStr">
        <is>
          <t>Bidang e-Government</t>
        </is>
      </c>
      <c r="G44" s="332" t="n"/>
    </row>
    <row r="45">
      <c r="D45" s="332" t="n">
        <v>43</v>
      </c>
      <c r="E45" s="332" t="inlineStr">
        <is>
          <t>Pelaksanaan Pemantauan/Evaluasi SPBE Pemprov Jabar</t>
        </is>
      </c>
      <c r="F45" s="332" t="inlineStr">
        <is>
          <t>Bidang e-Government</t>
        </is>
      </c>
      <c r="G45" s="332" t="n"/>
    </row>
    <row r="46">
      <c r="D46" s="332" t="n">
        <v>44</v>
      </c>
      <c r="E46" s="332" t="inlineStr">
        <is>
          <t>Penyusunan Rencana Penyelenggaraan Jaringan Intra Pemerintah Daerah Provinsi ke Jaringan Intra Pemerintah Daerah Kabupaten/Kota</t>
        </is>
      </c>
      <c r="F46" s="332" t="inlineStr">
        <is>
          <t>Bidang e-Government</t>
        </is>
      </c>
      <c r="G46" s="332" t="n"/>
    </row>
    <row r="47">
      <c r="D47" s="332" t="n">
        <v>45</v>
      </c>
      <c r="E47" s="332" t="inlineStr">
        <is>
          <t>Penanganan Permasalahan Jaringan Intra Pemerintah Daerah Provinsi ke Jaringan Intra Pemerintah Daerah Kabupaten/Kota</t>
        </is>
      </c>
      <c r="F47" s="332" t="inlineStr">
        <is>
          <t>Bidang e-Government</t>
        </is>
      </c>
      <c r="G47" s="332" t="n"/>
    </row>
    <row r="48">
      <c r="D48" s="332" t="n">
        <v>46</v>
      </c>
      <c r="E48" s="332" t="inlineStr">
        <is>
          <t>Relokasi Jaringan Intra Pemerintah Daerah Provinsi ke Jaringan Intra Pemerintah Daerah Kabupaten/Kota</t>
        </is>
      </c>
      <c r="F48" s="332" t="inlineStr">
        <is>
          <t>Bidang e-Government</t>
        </is>
      </c>
      <c r="G48" s="332" t="n"/>
    </row>
    <row r="49">
      <c r="D49" s="332" t="n">
        <v>47</v>
      </c>
      <c r="E49" s="332" t="inlineStr">
        <is>
          <t>Penanganan Permasalahan Jaringan Intra Pemerintah Daerah Provinsi</t>
        </is>
      </c>
      <c r="F49" s="332" t="inlineStr">
        <is>
          <t>Bidang e-Government</t>
        </is>
      </c>
      <c r="G49" s="332" t="n"/>
    </row>
    <row r="50">
      <c r="D50" s="332" t="n">
        <v>48</v>
      </c>
      <c r="E50" s="332" t="inlineStr">
        <is>
          <t>Relokasi Jaringan Intra Pemerintah Daerah Provinsi</t>
        </is>
      </c>
      <c r="F50" s="332" t="inlineStr">
        <is>
          <t>Bidang e-Government</t>
        </is>
      </c>
      <c r="G50" s="332" t="n"/>
    </row>
    <row r="51">
      <c r="D51" s="332" t="n">
        <v>49</v>
      </c>
      <c r="E51" s="332" t="inlineStr">
        <is>
          <t>Permohonan Kenaikan Bandwidth Internet</t>
        </is>
      </c>
      <c r="F51" s="332" t="inlineStr">
        <is>
          <t>Bidang e-Government</t>
        </is>
      </c>
      <c r="G51" s="332" t="n"/>
    </row>
    <row r="52">
      <c r="D52" s="332" t="n">
        <v>50</v>
      </c>
      <c r="E52" s="332" t="inlineStr">
        <is>
          <t>Penanganan Insiden Sistem Elektronik Pemerintah Daerah yang terhubung dengan Internet</t>
        </is>
      </c>
      <c r="F52" s="332" t="inlineStr">
        <is>
          <t>Bidang e-Government</t>
        </is>
      </c>
      <c r="G52" s="332" t="n"/>
    </row>
    <row r="53">
      <c r="D53" s="332" t="n">
        <v>51</v>
      </c>
      <c r="E53" s="332" t="inlineStr">
        <is>
          <t>Penanganan Permasalahan Jaringan Internet Pemerintah Daerah Provinsi</t>
        </is>
      </c>
      <c r="F53" s="332" t="inlineStr">
        <is>
          <t>Bidang e-Government</t>
        </is>
      </c>
      <c r="G53" s="332" t="n"/>
    </row>
    <row r="54">
      <c r="D54" s="332" t="n">
        <v>52</v>
      </c>
      <c r="E54" s="332" t="inlineStr">
        <is>
          <t>Pengusulan Lokasi Jaringan Wifi Publik</t>
        </is>
      </c>
      <c r="F54" s="332" t="inlineStr">
        <is>
          <t>Bidang e-Government</t>
        </is>
      </c>
      <c r="G54" s="332" t="n"/>
    </row>
    <row r="55">
      <c r="D55" s="332" t="n">
        <v>53</v>
      </c>
      <c r="E55" s="332" t="inlineStr">
        <is>
          <t>Evaluasi Pemanfaatan Jaringan Wifi Publik</t>
        </is>
      </c>
      <c r="F55" s="332" t="inlineStr">
        <is>
          <t>Bidang e-Government</t>
        </is>
      </c>
      <c r="G55" s="332" t="n"/>
    </row>
    <row r="56">
      <c r="D56" s="332" t="n">
        <v>54</v>
      </c>
      <c r="E56" s="332" t="inlineStr">
        <is>
          <t>Perencanaan Kapasitas Pusat Data</t>
        </is>
      </c>
      <c r="F56" s="332" t="inlineStr">
        <is>
          <t>Bidang e-Government</t>
        </is>
      </c>
      <c r="G56" s="332" t="n"/>
    </row>
    <row r="57">
      <c r="D57" s="332" t="n">
        <v>55</v>
      </c>
      <c r="E57" s="332" t="inlineStr">
        <is>
          <t>Penerimaan Permohonan VPS</t>
        </is>
      </c>
      <c r="F57" s="332" t="inlineStr">
        <is>
          <t>Bidang e-Government</t>
        </is>
      </c>
      <c r="G57" s="332" t="n"/>
    </row>
    <row r="58">
      <c r="D58" s="332" t="n">
        <v>56</v>
      </c>
      <c r="E58" s="332" t="inlineStr">
        <is>
          <t>Pengelolaan Akses Ruang Terbatas</t>
        </is>
      </c>
      <c r="F58" s="332" t="inlineStr">
        <is>
          <t>Bidang e-Government</t>
        </is>
      </c>
      <c r="G58" s="332" t="n"/>
    </row>
    <row r="59">
      <c r="D59" s="332" t="n">
        <v>57</v>
      </c>
      <c r="E59" s="332" t="inlineStr">
        <is>
          <t>Penanganan Permasalahan Jaringan Komunikasi Data</t>
        </is>
      </c>
      <c r="F59" s="332" t="inlineStr">
        <is>
          <t>Bidang e-Government</t>
        </is>
      </c>
      <c r="G59" s="332" t="n"/>
    </row>
    <row r="60">
      <c r="D60" s="332" t="n">
        <v>58</v>
      </c>
      <c r="E60" s="332" t="inlineStr">
        <is>
          <t>Pemuatan (Hosting) di Pusat Data</t>
        </is>
      </c>
      <c r="F60" s="332" t="inlineStr">
        <is>
          <t>Bidang e-Government</t>
        </is>
      </c>
      <c r="G60" s="332" t="n"/>
    </row>
    <row r="61">
      <c r="D61" s="332" t="n">
        <v>59</v>
      </c>
      <c r="E61" s="332" t="inlineStr">
        <is>
          <t>Colocation Server di Pusat Data</t>
        </is>
      </c>
      <c r="F61" s="332" t="inlineStr">
        <is>
          <t>Bidang e-Government</t>
        </is>
      </c>
      <c r="G61" s="332" t="n"/>
    </row>
    <row r="62">
      <c r="D62" s="332" t="n">
        <v>60</v>
      </c>
      <c r="E62" s="332" t="inlineStr">
        <is>
          <t>Pengelolaan Backup dan Restore</t>
        </is>
      </c>
      <c r="F62" s="332" t="inlineStr">
        <is>
          <t>Bidang e-Government</t>
        </is>
      </c>
      <c r="G62" s="332" t="n"/>
    </row>
    <row r="63">
      <c r="D63" s="332" t="n">
        <v>61</v>
      </c>
      <c r="E63" s="332" t="inlineStr">
        <is>
          <t>Pemantauan Kapasitas Server Fisik</t>
        </is>
      </c>
      <c r="F63" s="332" t="inlineStr">
        <is>
          <t>Bidang e-Government</t>
        </is>
      </c>
      <c r="G63" s="332" t="n"/>
    </row>
    <row r="64">
      <c r="D64" s="332" t="n">
        <v>62</v>
      </c>
      <c r="E64" s="332" t="inlineStr">
        <is>
          <t>Pemantauan Pemakaian Jaringan Pusat Data</t>
        </is>
      </c>
      <c r="F64" s="332" t="inlineStr">
        <is>
          <t>Bidang e-Government</t>
        </is>
      </c>
      <c r="G64" s="332" t="n"/>
    </row>
    <row r="65">
      <c r="D65" s="332" t="n">
        <v>63</v>
      </c>
      <c r="E65" s="332" t="inlineStr">
        <is>
          <t>Pengkabelan Jaringan dan Listrik Pusat Data</t>
        </is>
      </c>
      <c r="F65" s="332" t="inlineStr">
        <is>
          <t>Bidang e-Government</t>
        </is>
      </c>
      <c r="G65" s="332" t="n"/>
    </row>
    <row r="66">
      <c r="D66" s="332" t="n">
        <v>64</v>
      </c>
      <c r="E66" s="332" t="inlineStr">
        <is>
          <t>Monitoring dan Pemeliharaan Fasilitas Pendukung Pusat Data</t>
        </is>
      </c>
      <c r="F66" s="332" t="inlineStr">
        <is>
          <t>Bidang e-Government</t>
        </is>
      </c>
      <c r="G66" s="332" t="n"/>
    </row>
    <row r="67">
      <c r="D67" s="332" t="n">
        <v>65</v>
      </c>
      <c r="E67" s="332" t="inlineStr">
        <is>
          <t>Perpindahan Perangkat Server</t>
        </is>
      </c>
      <c r="F67" s="332" t="inlineStr">
        <is>
          <t>Bidang e-Government</t>
        </is>
      </c>
      <c r="G67" s="332" t="n"/>
    </row>
    <row r="68">
      <c r="D68" s="332" t="n">
        <v>66</v>
      </c>
      <c r="E68" s="332" t="inlineStr">
        <is>
          <t>Fasilitasi Layanan Video Conference</t>
        </is>
      </c>
      <c r="F68" s="332" t="inlineStr">
        <is>
          <t>Bidang e-Government</t>
        </is>
      </c>
      <c r="G68" s="332" t="n"/>
    </row>
    <row r="69">
      <c r="D69" s="332" t="n">
        <v>67</v>
      </c>
      <c r="E69" s="332" t="inlineStr">
        <is>
          <t>Fasilitasi Internet On-Demand</t>
        </is>
      </c>
      <c r="F69" s="332" t="inlineStr">
        <is>
          <t>Bidang e-Government</t>
        </is>
      </c>
      <c r="G69" s="332" t="n"/>
    </row>
    <row r="70">
      <c r="D70" s="332" t="n">
        <v>68</v>
      </c>
      <c r="E70" s="332" t="inlineStr">
        <is>
          <t>Fasilitasi Peminjaman Akun Video Conference</t>
        </is>
      </c>
      <c r="F70" s="332" t="inlineStr">
        <is>
          <t>Bidang e-Government</t>
        </is>
      </c>
      <c r="G70" s="332" t="n"/>
    </row>
    <row r="71">
      <c r="D71" s="332" t="n">
        <v>69</v>
      </c>
      <c r="E71" s="332" t="inlineStr">
        <is>
          <t>Layanan Data untuk Pimpinan</t>
        </is>
      </c>
      <c r="F71" s="332" t="inlineStr">
        <is>
          <t>UPTD Pengelola Layanan Digital, Data, dan Informasi Geospasial</t>
        </is>
      </c>
      <c r="G71" s="332" t="inlineStr">
        <is>
          <t>Layanan Permohonan Data</t>
        </is>
      </c>
    </row>
    <row r="72">
      <c r="D72" s="332" t="n">
        <v>70</v>
      </c>
      <c r="E72" s="332" t="inlineStr">
        <is>
          <t>Penyimpanan DG tematik dan IGT</t>
        </is>
      </c>
      <c r="F72" s="332" t="inlineStr">
        <is>
          <t>UPTD Pengelola Layanan Digital, Data, dan Informasi Geospasial</t>
        </is>
      </c>
      <c r="G72" s="332" t="inlineStr">
        <is>
          <t>Layanan Permohonan Data</t>
        </is>
      </c>
    </row>
    <row r="73">
      <c r="D73" s="332" t="n">
        <v>71</v>
      </c>
      <c r="E73" s="332" t="inlineStr">
        <is>
          <t>Pengamanan DG Tematik dan IGT</t>
        </is>
      </c>
      <c r="F73" s="332" t="inlineStr">
        <is>
          <t>UPTD Pengelola Layanan Digital, Data, dan Informasi Geospasial</t>
        </is>
      </c>
      <c r="G73" s="332" t="inlineStr">
        <is>
          <t>Layanan Permohonan Data</t>
        </is>
      </c>
    </row>
    <row r="74">
      <c r="D74" s="332" t="n">
        <v>72</v>
      </c>
      <c r="E74" s="332" t="inlineStr">
        <is>
          <t>Pengaksesan kembali DG Tematik dan IGT</t>
        </is>
      </c>
      <c r="F74" s="332" t="inlineStr">
        <is>
          <t>UPTD Pengelola Layanan Digital, Data, dan Informasi Geospasial</t>
        </is>
      </c>
      <c r="G74" s="332" t="inlineStr">
        <is>
          <t>Layanan Permohonan Data</t>
        </is>
      </c>
    </row>
    <row r="75">
      <c r="D75" s="332" t="n">
        <v>73</v>
      </c>
      <c r="E75" s="332" t="inlineStr">
        <is>
          <t>Pemberian akses DG Tematik dan IGT</t>
        </is>
      </c>
      <c r="F75" s="332" t="inlineStr">
        <is>
          <t>UPTD Pengelola Layanan Digital, Data, dan Informasi Geospasial</t>
        </is>
      </c>
      <c r="G75" s="332" t="inlineStr">
        <is>
          <t>Layanan Permohonan Data</t>
        </is>
      </c>
    </row>
    <row r="76">
      <c r="D76" s="335" t="n">
        <v>74</v>
      </c>
      <c r="E76" s="335" t="inlineStr">
        <is>
          <t>Pendistibusian DG Tematik dan IGT</t>
        </is>
      </c>
      <c r="F76" s="335" t="inlineStr">
        <is>
          <t>UPTD Pengelola Layanan Digital, Data, dan Informasi Geospasial</t>
        </is>
      </c>
      <c r="G76" s="332" t="inlineStr">
        <is>
          <t>Layanan Permohonan Data</t>
        </is>
      </c>
    </row>
    <row r="77">
      <c r="D77" s="332" t="n">
        <v>75</v>
      </c>
      <c r="E77" s="332" t="inlineStr">
        <is>
          <t>Pemerintahan Umum</t>
        </is>
      </c>
      <c r="F77" s="332" t="n"/>
      <c r="G77" s="332" t="n"/>
    </row>
    <row r="78">
      <c r="D78" s="332" t="n">
        <v>76</v>
      </c>
      <c r="E78" s="332" t="inlineStr">
        <is>
          <t>Informasi</t>
        </is>
      </c>
      <c r="F78" s="332" t="n"/>
      <c r="G78" s="332" t="n"/>
    </row>
    <row r="79">
      <c r="D79" s="332" t="n">
        <v>77</v>
      </c>
      <c r="E79" s="332" t="inlineStr">
        <is>
          <t>Penatakelolaan Aplikasi Informatika</t>
        </is>
      </c>
      <c r="F79" s="332" t="n"/>
      <c r="G79" s="332" t="inlineStr">
        <is>
          <t>Penatakelolaan Aplikasi Informatika</t>
        </is>
      </c>
    </row>
    <row r="80">
      <c r="D80" s="332" t="n">
        <v>78</v>
      </c>
      <c r="E80" s="332" t="inlineStr">
        <is>
          <t>Pengelolaan Aplikasi Informatika</t>
        </is>
      </c>
      <c r="F80" s="332" t="n"/>
      <c r="G80" s="332" t="n"/>
    </row>
    <row r="81">
      <c r="D81" s="332" t="n">
        <v>79</v>
      </c>
      <c r="E81" s="332" t="inlineStr">
        <is>
          <t>Fasilitasi Rekayasa Aplikasi</t>
        </is>
      </c>
      <c r="F81" s="332" t="n"/>
      <c r="G81" s="332" t="n"/>
    </row>
    <row r="82">
      <c r="D82" s="332" t="n">
        <v>80</v>
      </c>
      <c r="E82" s="332" t="inlineStr">
        <is>
          <t>Fasilitasi Permohonan Rekomendasi Pembangunan/Pengembangan Aplikasi</t>
        </is>
      </c>
      <c r="F82" s="332" t="n"/>
      <c r="G82" s="332" t="n"/>
    </row>
    <row r="83">
      <c r="D83" s="332" t="n">
        <v>81</v>
      </c>
      <c r="E83" s="332" t="inlineStr">
        <is>
          <t>Pengelolaan Fasilitasi Replikasi Aplikasi</t>
        </is>
      </c>
      <c r="F83" s="332" t="n"/>
      <c r="G83" s="332" t="n"/>
    </row>
    <row r="84">
      <c r="D84" s="332" t="n">
        <v>82</v>
      </c>
      <c r="E84" s="332" t="inlineStr">
        <is>
          <t>Pengelolaan Aplikasi</t>
        </is>
      </c>
      <c r="F84" s="332" t="n"/>
      <c r="G84" s="332" t="n"/>
    </row>
    <row r="85">
      <c r="D85" s="332" t="n">
        <v>83</v>
      </c>
      <c r="E85" s="332" t="inlineStr">
        <is>
          <t>Pengelolaan Aplikasi Portal Layanan</t>
        </is>
      </c>
      <c r="F85" s="332" t="n"/>
      <c r="G85" s="332" t="n"/>
    </row>
    <row r="86">
      <c r="D86" s="332" t="n">
        <v>84</v>
      </c>
      <c r="E86" s="332" t="inlineStr">
        <is>
          <t>Pengelolaan Aplikasi Portal Layanan Administrasi Pemerintahan Jabar</t>
        </is>
      </c>
      <c r="F86" s="332" t="n"/>
      <c r="G86" s="332" t="n"/>
    </row>
    <row r="87">
      <c r="D87" s="332" t="n">
        <v>85</v>
      </c>
      <c r="E87" s="332" t="inlineStr">
        <is>
          <t>Pengelolaan Aplikasi Portal Layanan Publik</t>
        </is>
      </c>
      <c r="F87" s="332" t="n"/>
      <c r="G87" s="332" t="n"/>
    </row>
    <row r="88">
      <c r="D88" s="332" t="n">
        <v>86</v>
      </c>
      <c r="E88" s="332" t="inlineStr">
        <is>
          <t>Pengelolaan Integrasi dan interoperabilitas/Penyelenggaraan Sistem Penghubung Layanan Pemerintahan Daerah</t>
        </is>
      </c>
      <c r="F88" s="332" t="n"/>
      <c r="G88" s="332" t="n"/>
    </row>
    <row r="89">
      <c r="D89" s="332" t="n">
        <v>87</v>
      </c>
      <c r="E89" s="332" t="inlineStr">
        <is>
          <t>Fasilitasi Berbagi Pakai Informasi Elektronik</t>
        </is>
      </c>
      <c r="F89" s="332" t="n"/>
      <c r="G89" s="332" t="n"/>
    </row>
    <row r="90">
      <c r="D90" s="332" t="n">
        <v>88</v>
      </c>
      <c r="E90" s="332" t="inlineStr">
        <is>
          <t>Pengumpulan Informasi Elektronik</t>
        </is>
      </c>
      <c r="F90" s="332" t="n"/>
      <c r="G90" s="332" t="n"/>
    </row>
    <row r="91">
      <c r="D91" s="332" t="n">
        <v>89</v>
      </c>
      <c r="E91" s="332" t="inlineStr">
        <is>
          <t>Pengolahan Informasi Elektronik</t>
        </is>
      </c>
      <c r="F91" s="332" t="n"/>
      <c r="G91" s="332" t="n"/>
    </row>
    <row r="92">
      <c r="D92" s="332" t="n">
        <v>90</v>
      </c>
      <c r="E92" s="332" t="inlineStr">
        <is>
          <t>Penyebarluasan Informasi Elektronik</t>
        </is>
      </c>
      <c r="F92" s="332" t="n"/>
      <c r="G92" s="332" t="n"/>
    </row>
    <row r="93">
      <c r="D93" s="332" t="n">
        <v>91</v>
      </c>
      <c r="E93" s="332" t="inlineStr">
        <is>
          <t>Pengelolaan e-Government di Lingkup Pemerintah Daerah Provinsi</t>
        </is>
      </c>
      <c r="F93" s="332" t="n"/>
      <c r="G93" s="332" t="n"/>
    </row>
    <row r="94">
      <c r="D94" s="332" t="n">
        <v>92</v>
      </c>
      <c r="E94" s="332" t="inlineStr">
        <is>
          <t>Pengkajian Bahan Kebijakan Teknis Bidang e-Government</t>
        </is>
      </c>
      <c r="F94" s="332" t="n"/>
      <c r="G94" s="332" t="n"/>
    </row>
    <row r="95">
      <c r="D95" s="332" t="n">
        <v>93</v>
      </c>
      <c r="E95" s="332" t="inlineStr">
        <is>
          <t>Penyiapan Bahan Perumusan Kebijakan Berbentuk Perda (Referensi Permendagri)</t>
        </is>
      </c>
      <c r="F95" s="332" t="n"/>
      <c r="G95" s="332" t="n"/>
    </row>
    <row r="96">
      <c r="D96" s="332" t="n">
        <v>94</v>
      </c>
      <c r="E96" s="332" t="inlineStr">
        <is>
          <t>Disamakan Dengan Statistik</t>
        </is>
      </c>
      <c r="F96" s="332" t="n"/>
      <c r="G96" s="332" t="n"/>
    </row>
    <row r="97">
      <c r="D97" s="332" t="n">
        <v>95</v>
      </c>
      <c r="E97" s="332" t="inlineStr">
        <is>
          <t>Penyiapan Bahan Perumusan Kebijakan Berbentuk Pergub, Kepgub, atau SK Gub</t>
        </is>
      </c>
      <c r="F97" s="332" t="n"/>
      <c r="G97" s="332" t="n"/>
    </row>
    <row r="98">
      <c r="D98" s="332" t="n">
        <v>96</v>
      </c>
      <c r="E98" s="332" t="inlineStr">
        <is>
          <t>Penyiapan Bahan Perumusan Kebijakan Berbentuk SK, SP dan SE atas nama Gubernur yang Ditandatangani oleh Sekda</t>
        </is>
      </c>
      <c r="F98" s="332" t="n"/>
      <c r="G98" s="332" t="n"/>
    </row>
    <row r="99">
      <c r="D99" s="332" t="n">
        <v>97</v>
      </c>
      <c r="E99" s="332" t="inlineStr">
        <is>
          <t>Penyiapan Bahan Perumusan Kebijakan Berbentuk SP dan SE Sekda</t>
        </is>
      </c>
      <c r="F99" s="332" t="n"/>
      <c r="G99" s="332" t="n"/>
    </row>
    <row r="100">
      <c r="D100" s="332" t="n">
        <v>98</v>
      </c>
      <c r="E100" s="332" t="inlineStr">
        <is>
          <t>Pelaksanaan Audit Internal TIK SPBE</t>
        </is>
      </c>
      <c r="F100" s="332" t="n"/>
      <c r="G100" s="332" t="n"/>
    </row>
    <row r="101">
      <c r="D101" s="332" t="n">
        <v>99</v>
      </c>
      <c r="E101" s="332" t="inlineStr">
        <is>
          <t>Pelaksanaan Audit Internal Keamanan SPBE</t>
        </is>
      </c>
      <c r="F101" s="332" t="inlineStr">
        <is>
          <t>Bidang Persandian dan Keamanan Informasi</t>
        </is>
      </c>
      <c r="G101" s="332" t="n"/>
    </row>
    <row r="102">
      <c r="D102" s="332" t="n">
        <v>100</v>
      </c>
      <c r="E102" s="332" t="inlineStr">
        <is>
          <t>Pelaksanaan Reviu Kebijakan Teknis SPBE</t>
        </is>
      </c>
      <c r="F102" s="332" t="n"/>
      <c r="G102" s="332" t="n"/>
    </row>
    <row r="103">
      <c r="D103" s="332" t="n">
        <v>101</v>
      </c>
      <c r="E103" s="332" t="inlineStr">
        <is>
          <t>Penyusunan Rekomendasi Perencanaan dan Penganggaran SPBE Perangkat Daerah</t>
        </is>
      </c>
      <c r="F103" s="332" t="n"/>
      <c r="G103" s="332" t="n"/>
    </row>
    <row r="104">
      <c r="D104" s="332" t="n">
        <v>102</v>
      </c>
      <c r="E104" s="332" t="inlineStr">
        <is>
          <t>Pengembangan dan Pengelolaan Ekosistem Provinsi Cerdas dan Kota Cerdas</t>
        </is>
      </c>
      <c r="F104" s="332" t="n"/>
      <c r="G104" s="332" t="n"/>
    </row>
    <row r="105">
      <c r="D105" s="332" t="n">
        <v>103</v>
      </c>
      <c r="E105" s="332" t="inlineStr">
        <is>
          <t>Pengembangan dan Pengelolaan Sumber Daya Teknologi Informasi dan Komunikasi Pemerintah Daerah</t>
        </is>
      </c>
      <c r="F105" s="332" t="n"/>
      <c r="G105" s="332" t="n"/>
    </row>
    <row r="106">
      <c r="D106" s="332" t="n">
        <v>104</v>
      </c>
      <c r="E106" s="332" t="inlineStr">
        <is>
          <t>Fasilitasi Usulan Pengembangan Kompetensi SDM SPBE Lingkup Kabupaten/Kota</t>
        </is>
      </c>
      <c r="F106" s="332" t="n"/>
      <c r="G106" s="332" t="n"/>
    </row>
    <row r="107">
      <c r="D107" s="332" t="n">
        <v>105</v>
      </c>
      <c r="E107" s="332" t="inlineStr">
        <is>
          <t>Monitoring, Evaluasi dan Pelaporan Pengembangan Ekosistem SPBE</t>
        </is>
      </c>
      <c r="F107" s="332" t="n"/>
      <c r="G107" s="332" t="n"/>
    </row>
    <row r="108">
      <c r="D108" s="332" t="n">
        <v>106</v>
      </c>
      <c r="E108" s="332" t="inlineStr">
        <is>
          <t>Pelaksanaan Evaluasi Mandiri SPBE Pemprov Jabar</t>
        </is>
      </c>
      <c r="F108" s="332" t="n"/>
      <c r="G108" s="332" t="n"/>
    </row>
    <row r="109">
      <c r="D109" s="332" t="n">
        <v>107</v>
      </c>
      <c r="E109" s="332" t="inlineStr">
        <is>
          <t>Pelaksanaan Evaluasi Eksternal SPBE Pemprov Jabar</t>
        </is>
      </c>
      <c r="F109" s="332" t="n"/>
      <c r="G109" s="332" t="n"/>
    </row>
    <row r="110">
      <c r="D110" s="332" t="n">
        <v>108</v>
      </c>
      <c r="E110" s="332" t="inlineStr">
        <is>
          <t>Penyusunan Rencana Penyelenggaraan Jaringan Intra Pemerintah Daerah Provinsi</t>
        </is>
      </c>
      <c r="F110" s="332" t="n"/>
      <c r="G110" s="332" t="n"/>
    </row>
    <row r="111">
      <c r="D111" s="332" t="n">
        <v>109</v>
      </c>
      <c r="E111" s="332" t="inlineStr">
        <is>
          <t>Pengelolaan Jaringan Intra Pemerintah Daerah Provinsi</t>
        </is>
      </c>
      <c r="F111" s="332" t="n"/>
      <c r="G111" s="332" t="n"/>
    </row>
    <row r="112">
      <c r="D112" s="332" t="n">
        <v>110</v>
      </c>
      <c r="E112" s="332" t="inlineStr">
        <is>
          <t>Pengelolaan Jaringan Intra Pemerintah Daerah Provinsi ke Jaringan Intra Pemerintah Daerah Kabupaten/Kota</t>
        </is>
      </c>
      <c r="F112" s="332" t="n"/>
      <c r="G112" s="332" t="n"/>
    </row>
    <row r="113">
      <c r="D113" s="332" t="n">
        <v>111</v>
      </c>
      <c r="E113" s="332" t="inlineStr">
        <is>
          <t>Pengelolaan Jaringan Intra Pemerintah Daerah Provinsi</t>
        </is>
      </c>
      <c r="F113" s="332" t="n"/>
      <c r="G113" s="332" t="n"/>
    </row>
    <row r="114">
      <c r="D114" s="332" t="n">
        <v>112</v>
      </c>
      <c r="E114" s="332" t="inlineStr">
        <is>
          <t>Pembentukan Tim Pengelolaan Jaringan Intra Pemerintah Daerah Provinsi</t>
        </is>
      </c>
      <c r="F114" s="332" t="n"/>
      <c r="G114" s="332" t="n"/>
    </row>
    <row r="115">
      <c r="D115" s="332" t="n">
        <v>113</v>
      </c>
      <c r="E115" s="332" t="inlineStr">
        <is>
          <t>Pengelolaan Jaringan Internet Pemerintah Daerah Provinsi</t>
        </is>
      </c>
      <c r="F115" s="332" t="n"/>
      <c r="G115" s="332" t="n"/>
    </row>
    <row r="116">
      <c r="D116" s="332" t="n">
        <v>114</v>
      </c>
      <c r="E116" s="332" t="inlineStr">
        <is>
          <t>Penyediaan Akses Internet bagi Pemerintah Daerah Provinsi (Perangkat Daerah, UPTD/Cabang Dinas/Balai, Rumah Sakit)</t>
        </is>
      </c>
      <c r="F116" s="332" t="n"/>
      <c r="G116" s="332" t="n"/>
    </row>
    <row r="117">
      <c r="D117" s="332" t="n">
        <v>115</v>
      </c>
      <c r="E117" s="332" t="inlineStr">
        <is>
          <t>Pemantauan Jaringan Internet Pemerintah Daerah Provinsi</t>
        </is>
      </c>
      <c r="F117" s="332" t="n"/>
      <c r="G117" s="332" t="n"/>
    </row>
    <row r="118">
      <c r="D118" s="332" t="n">
        <v>116</v>
      </c>
      <c r="E118" s="332" t="inlineStr">
        <is>
          <t>Pengelolaan Jaringan Wifi Publik</t>
        </is>
      </c>
      <c r="F118" s="332" t="n"/>
      <c r="G118" s="332" t="n"/>
    </row>
    <row r="119">
      <c r="D119" s="332" t="n">
        <v>117</v>
      </c>
      <c r="E119" s="332" t="inlineStr">
        <is>
          <t>Pengelolaan Jaringan Wifi Publik</t>
        </is>
      </c>
      <c r="F119" s="332" t="n"/>
      <c r="G119" s="332" t="n"/>
    </row>
    <row r="120">
      <c r="D120" s="332" t="n">
        <v>118</v>
      </c>
      <c r="E120" s="332" t="inlineStr">
        <is>
          <t>Pembentukan Tim Pengelolaan Jaringan Wifi Publik</t>
        </is>
      </c>
      <c r="F120" s="332" t="n"/>
      <c r="G120" s="332" t="n"/>
    </row>
    <row r="121">
      <c r="D121" s="332" t="n">
        <v>119</v>
      </c>
      <c r="E121" s="332" t="inlineStr">
        <is>
          <t>Pemantauan Jaringan Wifi Publik</t>
        </is>
      </c>
      <c r="F121" s="332" t="n"/>
      <c r="G121" s="332" t="n"/>
    </row>
    <row r="122">
      <c r="D122" s="332" t="n">
        <v>120</v>
      </c>
      <c r="E122" s="332" t="inlineStr">
        <is>
          <t>Penanganan Permasalahan Jaringan Wifi Publik Provinsi</t>
        </is>
      </c>
      <c r="F122" s="332" t="n"/>
      <c r="G122" s="332" t="n"/>
    </row>
    <row r="123">
      <c r="D123" s="332" t="n">
        <v>121</v>
      </c>
      <c r="E123" s="332" t="inlineStr">
        <is>
          <t>Pengelolaan Jaringan Internet Publik Provinsi</t>
        </is>
      </c>
      <c r="F123" s="332" t="n"/>
      <c r="G123" s="332" t="n"/>
    </row>
    <row r="124">
      <c r="D124" s="332" t="n">
        <v>122</v>
      </c>
      <c r="E124" s="332" t="inlineStr">
        <is>
          <t>Pengusulan Lokasi Jaringan Internet Publik Provinsi</t>
        </is>
      </c>
      <c r="F124" s="332" t="n"/>
      <c r="G124" s="332" t="n"/>
    </row>
    <row r="125">
      <c r="D125" s="332" t="n">
        <v>123</v>
      </c>
      <c r="E125" s="332" t="inlineStr">
        <is>
          <t>Pemantauan Jaringan Internet Publik Provinsi</t>
        </is>
      </c>
      <c r="F125" s="332" t="n"/>
      <c r="G125" s="332" t="n"/>
    </row>
    <row r="126">
      <c r="D126" s="332" t="n">
        <v>124</v>
      </c>
      <c r="E126" s="332" t="inlineStr">
        <is>
          <t>Penanganan Permasalahan Jaringan Wifi Publik Provinsi</t>
        </is>
      </c>
      <c r="F126" s="332" t="n"/>
      <c r="G126" s="332" t="n"/>
    </row>
    <row r="127">
      <c r="D127" s="332" t="n">
        <v>125</v>
      </c>
      <c r="E127" s="332" t="inlineStr">
        <is>
          <t>Evaluasi Pemanfaatan Jaringan Wifi Publik Provinsi</t>
        </is>
      </c>
      <c r="F127" s="332" t="n"/>
      <c r="G127" s="332" t="n"/>
    </row>
    <row r="128">
      <c r="D128" s="332" t="n">
        <v>126</v>
      </c>
      <c r="E128" s="332" t="inlineStr">
        <is>
          <t>Penyusunan Rencana Keberlangsungan Kegiatan Pusat Data</t>
        </is>
      </c>
      <c r="F128" s="332" t="n"/>
      <c r="G128" s="332" t="n"/>
    </row>
    <row r="129">
      <c r="D129" s="332" t="n">
        <v>127</v>
      </c>
      <c r="E129" s="332" t="inlineStr">
        <is>
          <t>Pengujian secara berkala Kelistrikan</t>
        </is>
      </c>
      <c r="F129" s="332" t="n"/>
      <c r="G129" s="332" t="n"/>
    </row>
    <row r="130">
      <c r="D130" s="332" t="n">
        <v>128</v>
      </c>
      <c r="E130" s="332" t="inlineStr">
        <is>
          <t>Penyelenggaraan Pusat Data Pemerintah Daerah</t>
        </is>
      </c>
      <c r="F130" s="332" t="n"/>
      <c r="G130" s="332" t="n"/>
    </row>
    <row r="131">
      <c r="D131" s="332" t="n">
        <v>129</v>
      </c>
      <c r="E131" s="332" t="inlineStr">
        <is>
          <t>Pendampingan Aktivitas Eksternal di Ruangan Terbatas</t>
        </is>
      </c>
      <c r="F131" s="332" t="n"/>
      <c r="G131" s="332" t="n"/>
    </row>
    <row r="132">
      <c r="D132" s="332" t="n">
        <v>130</v>
      </c>
      <c r="E132" s="332" t="inlineStr">
        <is>
          <t>Pemantauan penyelenggaraan Pusat Data Pemerintah Daerah</t>
        </is>
      </c>
      <c r="F132" s="332" t="n"/>
      <c r="G132" s="332" t="n"/>
    </row>
    <row r="133">
      <c r="D133" s="332" t="n">
        <v>131</v>
      </c>
      <c r="E133" s="332" t="inlineStr">
        <is>
          <t>Pemantauan Kapasitas Server</t>
        </is>
      </c>
      <c r="F133" s="332" t="n"/>
      <c r="G133" s="332" t="n"/>
    </row>
    <row r="134">
      <c r="D134" s="332" t="n">
        <v>132</v>
      </c>
      <c r="E134" s="332" t="inlineStr">
        <is>
          <t>Pemeliharaan Infrastruktur Pusat Data Pemerintahan Daerah</t>
        </is>
      </c>
      <c r="F134" s="332" t="n"/>
      <c r="G134" s="332" t="n"/>
    </row>
    <row r="135">
      <c r="D135" s="332" t="n">
        <v>133</v>
      </c>
      <c r="E135" s="332" t="inlineStr">
        <is>
          <t>Pengujian secara berkala Kelistrikan</t>
        </is>
      </c>
      <c r="F135" s="332" t="n"/>
      <c r="G135" s="332" t="n"/>
    </row>
    <row r="136">
      <c r="D136" s="332" t="n">
        <v>134</v>
      </c>
      <c r="E136" s="332" t="inlineStr">
        <is>
          <t>Colocation Server di Pusat Data</t>
        </is>
      </c>
      <c r="F136" s="332" t="n"/>
      <c r="G136" s="332" t="n"/>
    </row>
    <row r="137">
      <c r="D137" s="332" t="n">
        <v>135</v>
      </c>
      <c r="E137" s="332" t="inlineStr">
        <is>
          <t>Pemeriksaan/Monitoring Suhu Data Center</t>
        </is>
      </c>
      <c r="F137" s="332" t="n"/>
      <c r="G137" s="332" t="n"/>
    </row>
    <row r="138">
      <c r="D138" s="332" t="n">
        <v>136</v>
      </c>
      <c r="E138" s="332" t="inlineStr">
        <is>
          <t>Fasilitasi penggunaan sistem elektronik komunikasi intra pemerintah yang disediakan Dinas Kominfo dengan memanfaatkan jaringan intra pemerintah</t>
        </is>
      </c>
      <c r="F138" s="332" t="n"/>
      <c r="G138" s="332" t="n"/>
    </row>
    <row r="139">
      <c r="D139" s="332" t="n">
        <v>137</v>
      </c>
      <c r="E139" s="332" t="inlineStr">
        <is>
          <t>Penyelenggaraan Persandian untuk Pengamanan Informasi Pemerintah Daerah Provinsi</t>
        </is>
      </c>
      <c r="F139" s="332" t="n"/>
      <c r="G139" s="332" t="n"/>
    </row>
    <row r="140">
      <c r="D140" s="332" t="n">
        <v>138</v>
      </c>
      <c r="E140" s="332" t="inlineStr">
        <is>
          <t>Penyusunan Bahan Kebijakan Pengamanan Informasi</t>
        </is>
      </c>
      <c r="F140" s="332" t="n"/>
      <c r="G140" s="332" t="n"/>
    </row>
    <row r="141">
      <c r="D141" s="332" t="n">
        <v>139</v>
      </c>
      <c r="E141" s="332" t="inlineStr">
        <is>
          <t>Penyusunan Bahan Kebijakan Strategis</t>
        </is>
      </c>
      <c r="F141" s="332" t="n"/>
      <c r="G141" s="332" t="n"/>
    </row>
    <row r="142">
      <c r="D142" s="332" t="n">
        <v>140</v>
      </c>
      <c r="E142" s="332" t="inlineStr">
        <is>
          <t>Penyusunan Bahan Kebijakan Tata Kelola</t>
        </is>
      </c>
      <c r="F142" s="332" t="n"/>
      <c r="G142" s="332" t="n"/>
    </row>
    <row r="143">
      <c r="D143" s="332" t="n">
        <v>141</v>
      </c>
      <c r="E143" s="332" t="inlineStr">
        <is>
          <t>Pengkajian Bahan Kebijakan Teknis</t>
        </is>
      </c>
      <c r="F143" s="332" t="n"/>
      <c r="G143" s="332" t="n"/>
    </row>
    <row r="144">
      <c r="D144" s="332" t="n">
        <v>142</v>
      </c>
      <c r="E144" s="332" t="inlineStr">
        <is>
          <t>Penyiapan Bahan Perumusan Kebijakan Pengamanan Informasi berbentuk Pergub, Kepgub, atau SK Gub</t>
        </is>
      </c>
      <c r="F144" s="332" t="inlineStr">
        <is>
          <t>Bidang Persandian dan Keamanan Informasi</t>
        </is>
      </c>
      <c r="G144" s="332" t="inlineStr">
        <is>
          <t>Penyiapan bahan perumusan kebijakan pengamanan 
informasi berbentuk Pergub, Kepgub, atau SK Gub</t>
        </is>
      </c>
    </row>
    <row r="145">
      <c r="D145" s="332" t="n">
        <v>143</v>
      </c>
      <c r="E145" s="332" t="inlineStr">
        <is>
          <t>Penyiapan Bahan Perumusan Kebijakan Pengamanan Informasi berbentuk SP dan SE Sekda</t>
        </is>
      </c>
      <c r="F145" s="332" t="inlineStr">
        <is>
          <t>Bidang Persandian dan Keamanan Informasi</t>
        </is>
      </c>
      <c r="G145" s="332" t="inlineStr">
        <is>
          <t>Penyiapan bahan perumusan kebijakan pengamanan 
informasi berbentuk SP dan SE Sekda</t>
        </is>
      </c>
    </row>
    <row r="146">
      <c r="D146" s="332" t="n">
        <v>144</v>
      </c>
      <c r="E146" s="332" t="inlineStr">
        <is>
          <t>Penyiapan Bahan Perumusan Kebijakan Pengamanan Informasi berbentuk SP/Juklak/Juknis Kadis</t>
        </is>
      </c>
      <c r="F146" s="332" t="inlineStr">
        <is>
          <t>Bidang Persandian dan Keamanan Informasi</t>
        </is>
      </c>
      <c r="G146" s="332" t="inlineStr">
        <is>
          <t>Penyiapan bahan perumusan kebijakan pengamanan
informasi berbentuk SP/Juklak/Juknis Kadis</t>
        </is>
      </c>
    </row>
    <row r="147">
      <c r="D147" s="332" t="n">
        <v>145</v>
      </c>
      <c r="E147" s="332" t="inlineStr">
        <is>
          <t>Pengelolaan Sumber Daya Keamanan Informasi</t>
        </is>
      </c>
      <c r="F147" s="332" t="n"/>
      <c r="G147" s="332" t="n"/>
    </row>
    <row r="148">
      <c r="D148" s="332" t="n">
        <v>146</v>
      </c>
      <c r="E148" s="332" t="inlineStr">
        <is>
          <t>Pengelolaan aset keamanan teknologi informasi dan komunikasi</t>
        </is>
      </c>
      <c r="F148" s="332" t="inlineStr">
        <is>
          <t>Bidang Persandian dan Keamanan Informasi</t>
        </is>
      </c>
      <c r="G148" s="332" t="inlineStr">
        <is>
          <t>Pengelolaan aset keamanan teknologi informasi dan komunikasi</t>
        </is>
      </c>
    </row>
    <row r="149">
      <c r="D149" s="332" t="n">
        <v>147</v>
      </c>
      <c r="E149" s="332" t="inlineStr">
        <is>
          <t>Pengelolaan Sumber Daya Manusia</t>
        </is>
      </c>
      <c r="F149" s="332" t="n"/>
      <c r="G149" s="332" t="n"/>
    </row>
    <row r="150">
      <c r="D150" s="332" t="n">
        <v>148</v>
      </c>
      <c r="E150" s="332" t="inlineStr">
        <is>
          <t>Perencanaan Pengembangan Sumber Daya Manusia Keamanan Informasi</t>
        </is>
      </c>
      <c r="F150" s="332" t="inlineStr">
        <is>
          <t>Bidang Persandian dan Keamanan Informasi</t>
        </is>
      </c>
      <c r="G150" s="332" t="inlineStr">
        <is>
          <t>Perencanaan Pengembangan Sumber Daya Manusia Keamanan Informasi</t>
        </is>
      </c>
    </row>
    <row r="151">
      <c r="D151" s="332" t="n">
        <v>149</v>
      </c>
      <c r="E151" s="332" t="inlineStr">
        <is>
          <t>Pelaksanaan Pengembangan Sumber Daya Manusia Keamanan Informasi</t>
        </is>
      </c>
      <c r="F151" s="332" t="inlineStr">
        <is>
          <t>Bidang Persandian dan Keamanan Informasi</t>
        </is>
      </c>
      <c r="G151" s="332" t="inlineStr">
        <is>
          <t>Pelaksanaan Pengembangan Sumber Daya Manusia Keamanan Informasi</t>
        </is>
      </c>
    </row>
    <row r="152">
      <c r="D152" s="332" t="n">
        <v>150</v>
      </c>
      <c r="E152" s="332" t="inlineStr">
        <is>
          <t>Manajemen Pengetahuan</t>
        </is>
      </c>
      <c r="F152" s="332" t="inlineStr">
        <is>
          <t>Bidang Persandian dan Keamanan Informasi</t>
        </is>
      </c>
      <c r="G152" s="332" t="inlineStr">
        <is>
          <t>Manajemen Pengetahuan</t>
        </is>
      </c>
    </row>
    <row r="153">
      <c r="D153" s="332" t="n">
        <v>151</v>
      </c>
      <c r="E153" s="332" t="inlineStr">
        <is>
          <t>Pengamanan Sistem Elektronik</t>
        </is>
      </c>
      <c r="F153" s="332" t="n"/>
      <c r="G153" s="332" t="n"/>
    </row>
    <row r="154">
      <c r="D154" s="332" t="n">
        <v>152</v>
      </c>
      <c r="E154" s="332" t="inlineStr">
        <is>
          <t>Analisis Kerawanan dan Risiko terhadap Sistem Elektronik</t>
        </is>
      </c>
      <c r="F154" s="332" t="inlineStr">
        <is>
          <t>Bidang Persandian dan Keamanan Informasi</t>
        </is>
      </c>
      <c r="G154" s="332" t="inlineStr">
        <is>
          <t>IT Security Assessment (ITSA)</t>
        </is>
      </c>
    </row>
    <row r="155">
      <c r="D155" s="332" t="n">
        <v>153</v>
      </c>
      <c r="E155" s="332" t="inlineStr">
        <is>
          <t>Deteksi Ancaman atau Kejadian Insiden pada Sistem Elektronik</t>
        </is>
      </c>
      <c r="F155" s="332" t="inlineStr">
        <is>
          <t>Bidang Persandian dan Keamanan Informasi</t>
        </is>
      </c>
      <c r="G155" s="332" t="inlineStr">
        <is>
          <t>Deteksi ancaman atau kejadian insiden pada Sistem Elektronik</t>
        </is>
      </c>
    </row>
    <row r="156">
      <c r="D156" s="332" t="n">
        <v>154</v>
      </c>
      <c r="E156" s="332" t="inlineStr">
        <is>
          <t>Mitigasi Risiko dan Penerapan Pelindungan terhadap Sistem Elektronik</t>
        </is>
      </c>
      <c r="F156" s="332" t="inlineStr">
        <is>
          <t>Bidang Persandian dan Keamanan Informasi</t>
        </is>
      </c>
      <c r="G156" s="332" t="inlineStr">
        <is>
          <t>Mitigasi risiko dan penerapan pelindungan terhadap Sistem Elektronik</t>
        </is>
      </c>
    </row>
    <row r="157">
      <c r="D157" s="332" t="n">
        <v>155</v>
      </c>
      <c r="E157" s="332" t="inlineStr">
        <is>
          <t>Penanggulangan dan Pemulihan Pasca Insiden Keamanan Informasi pada Sistem Elektronik</t>
        </is>
      </c>
      <c r="F157" s="332" t="inlineStr">
        <is>
          <t>Bidang Persandian dan Keamanan Informasi</t>
        </is>
      </c>
      <c r="G157" s="332" t="inlineStr">
        <is>
          <t>Penanggulangan dan pemulihan pasca insiden keamanan informasi pada 
Sistem Elektronik</t>
        </is>
      </c>
    </row>
    <row r="158">
      <c r="D158" s="332" t="n">
        <v>156</v>
      </c>
      <c r="E158" s="332" t="inlineStr">
        <is>
          <t>Pemanfaatan Sertifikat Elektronik pada Sistem Elektronik</t>
        </is>
      </c>
      <c r="F158" s="332" t="n"/>
      <c r="G158" s="332" t="inlineStr">
        <is>
          <t>Pemanfaatan Sertifikat Elektronik pada Sistem Elektronik</t>
        </is>
      </c>
    </row>
    <row r="159">
      <c r="D159" s="332" t="n">
        <v>157</v>
      </c>
      <c r="E159" s="332" t="inlineStr">
        <is>
          <t>Pemanfaatan Sertifikat Elektronik pada data dan informasi</t>
        </is>
      </c>
      <c r="F159" s="332" t="n"/>
      <c r="G159" s="332" t="n"/>
    </row>
    <row r="160">
      <c r="D160" s="332" t="n">
        <v>158</v>
      </c>
      <c r="E160" s="332" t="inlineStr">
        <is>
          <t>Pendaftaran Sertifikat Elektronik</t>
        </is>
      </c>
      <c r="F160" s="332" t="inlineStr">
        <is>
          <t>Bidang Persandian dan Keamanan Informasi</t>
        </is>
      </c>
      <c r="G160" s="332" t="inlineStr">
        <is>
          <t>Pemanfaatan Sertifikat Elektronik pada Sistem Elektronik</t>
        </is>
      </c>
    </row>
    <row r="161">
      <c r="D161" s="332" t="n">
        <v>159</v>
      </c>
      <c r="E161" s="332" t="inlineStr">
        <is>
          <t>Penerbitan Sertifikat Elektronik</t>
        </is>
      </c>
      <c r="F161" s="332" t="inlineStr">
        <is>
          <t>Bidang Persandian dan Keamanan Informasi</t>
        </is>
      </c>
      <c r="G161" s="332" t="inlineStr">
        <is>
          <t>Fasilitasi Pemanfaatan Sertifikat Elektronik</t>
        </is>
      </c>
    </row>
    <row r="162">
      <c r="D162" s="332" t="n">
        <v>160</v>
      </c>
      <c r="E162" s="332" t="inlineStr">
        <is>
          <t>Pencabutan Sertifikat Elektronik</t>
        </is>
      </c>
      <c r="F162" s="332" t="inlineStr">
        <is>
          <t>Bidang Persandian dan Keamanan Informasi</t>
        </is>
      </c>
      <c r="G162" s="332" t="inlineStr">
        <is>
          <t>Fasilitasi Pemanfaatan Sertifikat Elektronik</t>
        </is>
      </c>
    </row>
    <row r="163">
      <c r="D163" s="332" t="n">
        <v>161</v>
      </c>
      <c r="E163" s="332" t="inlineStr">
        <is>
          <t>Pemanfaatan Sertifikat Elektronik pada aplikasi</t>
        </is>
      </c>
      <c r="F163" s="332" t="inlineStr">
        <is>
          <t>Bidang Persandian dan Keamanan Informasi</t>
        </is>
      </c>
      <c r="G163" s="332" t="inlineStr">
        <is>
          <t>Fasilitasi Pemanfaatan Sertifikat Elektronik</t>
        </is>
      </c>
    </row>
    <row r="164">
      <c r="D164" s="332" t="n">
        <v>162</v>
      </c>
      <c r="E164" s="332" t="inlineStr">
        <is>
          <t>Pengamanan informasi Non Elektronik</t>
        </is>
      </c>
      <c r="F164" s="332" t="n"/>
      <c r="G164" s="332" t="n"/>
    </row>
    <row r="165">
      <c r="D165" s="332" t="n">
        <v>163</v>
      </c>
      <c r="E165" s="332" t="inlineStr">
        <is>
          <t>Fasilitasi Pengamanan Dokumen Non Elektronik</t>
        </is>
      </c>
      <c r="F165" s="332" t="n"/>
      <c r="G165" s="332" t="inlineStr">
        <is>
          <t>Fasilitasi pengamanan dokumen non elektronik</t>
        </is>
      </c>
    </row>
    <row r="166">
      <c r="D166" s="332" t="n">
        <v>164</v>
      </c>
      <c r="E166" s="332" t="inlineStr">
        <is>
          <t>Penanganan, Pelabelan dan Penyimpanan data Informasi</t>
        </is>
      </c>
      <c r="F166" s="332" t="inlineStr">
        <is>
          <t>Bidang Persandian dan Keamanan Informasi</t>
        </is>
      </c>
      <c r="G166" s="332" t="inlineStr">
        <is>
          <t>Fasilitasi pengamanan dokumen non elektronik</t>
        </is>
      </c>
    </row>
    <row r="167">
      <c r="D167" s="332" t="n">
        <v>165</v>
      </c>
      <c r="E167" s="332" t="inlineStr">
        <is>
          <t>Pengiriman Data Informasi</t>
        </is>
      </c>
      <c r="F167" s="332" t="inlineStr">
        <is>
          <t>Bidang Persandian dan Keamanan Informasi</t>
        </is>
      </c>
      <c r="G167" s="332" t="inlineStr">
        <is>
          <t>Fasilitasi pengamanan dokumen non elektronik</t>
        </is>
      </c>
    </row>
    <row r="168">
      <c r="D168" s="332" t="n">
        <v>166</v>
      </c>
      <c r="E168" s="332" t="inlineStr">
        <is>
          <t>Penerima Data Informasi</t>
        </is>
      </c>
      <c r="F168" s="332" t="inlineStr">
        <is>
          <t>Bidang Persandian dan Keamanan Informasi</t>
        </is>
      </c>
      <c r="G168" s="332" t="inlineStr">
        <is>
          <t>Fasilitasi pengamanan dokumen non elektronik</t>
        </is>
      </c>
    </row>
    <row r="169">
      <c r="D169" s="332" t="n">
        <v>167</v>
      </c>
      <c r="E169" s="332" t="inlineStr">
        <is>
          <t>Fasilitasi Perlindungan Informasi pada Kegiatan Penting Pemerintah Daerah melalui Teknik Pengamanan Gelombang Frekuensi atau Sinyal</t>
        </is>
      </c>
      <c r="F169" s="332" t="inlineStr">
        <is>
          <t>Bidang Persandian dan Keamanan Informasi</t>
        </is>
      </c>
      <c r="G169" s="332" t="n"/>
    </row>
    <row r="170">
      <c r="D170" s="332" t="n">
        <v>168</v>
      </c>
      <c r="E170" s="332" t="inlineStr">
        <is>
          <t>Fasilitas Perlindungan Informasi pada Aset/Fasilitas Penting Milik atau yang akan Digunakan Pemerintah Daerah melalui Kegiatan Kontra Penginderaan</t>
        </is>
      </c>
      <c r="F170" s="332" t="inlineStr">
        <is>
          <t>Bidang Persandian dan Keamanan Informasi</t>
        </is>
      </c>
      <c r="G170" s="332" t="n"/>
    </row>
    <row r="171">
      <c r="D171" s="332" t="n">
        <v>169</v>
      </c>
      <c r="E171" s="332" t="inlineStr">
        <is>
          <t>Penetapan Pola Hubungan Komunikasi Sandi antar Perangkat Daerah Provinsi</t>
        </is>
      </c>
      <c r="F171" s="332" t="n"/>
      <c r="G171" s="332" t="n"/>
    </row>
    <row r="172">
      <c r="D172" s="332" t="n">
        <v>170</v>
      </c>
      <c r="E172" s="332" t="inlineStr">
        <is>
          <t>Operasionalisasi Jaring Komunikasi Sandi Pemerintah Daerah Provinsi</t>
        </is>
      </c>
      <c r="F172" s="332" t="inlineStr">
        <is>
          <t>Bidang Persandian dan Keamanan Informasi</t>
        </is>
      </c>
      <c r="G172" s="332" t="n"/>
    </row>
    <row r="173">
      <c r="D173" s="332" t="n">
        <v>171</v>
      </c>
      <c r="E173" s="332" t="inlineStr">
        <is>
          <t>Pengelolaan Data Statistik</t>
        </is>
      </c>
      <c r="F173" s="332" t="n"/>
      <c r="G173" s="332" t="n"/>
    </row>
    <row r="174">
      <c r="D174" s="332" t="n">
        <v>172</v>
      </c>
      <c r="E174" s="332" t="inlineStr">
        <is>
          <t>Penyelenggaraan Statistik Sektoral di Lingkup Daerah Provinsi</t>
        </is>
      </c>
      <c r="F174" s="332" t="n"/>
      <c r="G174" s="332" t="n"/>
    </row>
    <row r="175">
      <c r="D175" s="332" t="n">
        <v>173</v>
      </c>
      <c r="E175" s="332" t="inlineStr">
        <is>
          <t>Penyusunan kebijakan terkait penyelenggaraan statistik sektoral</t>
        </is>
      </c>
      <c r="F175" s="332" t="n"/>
      <c r="G175" s="332" t="n"/>
    </row>
    <row r="176">
      <c r="D176" s="332" t="n">
        <v>174</v>
      </c>
      <c r="E176" s="332" t="inlineStr">
        <is>
          <t>Penyiapan bahan perumusan kebijakan penyelenggaraan statistik sektoral</t>
        </is>
      </c>
      <c r="F176" s="332" t="inlineStr">
        <is>
          <t>Bidang Statisik</t>
        </is>
      </c>
      <c r="G176" s="332" t="n"/>
    </row>
    <row r="177">
      <c r="D177" s="332" t="n">
        <v>175</v>
      </c>
      <c r="E177" s="332" t="inlineStr">
        <is>
          <t>Pengumpulan Data</t>
        </is>
      </c>
      <c r="F177" s="332" t="n"/>
      <c r="G177" s="332" t="inlineStr">
        <is>
          <t>Layanan Permohonan Data</t>
        </is>
      </c>
    </row>
    <row r="178">
      <c r="D178" s="332" t="n">
        <v>176</v>
      </c>
      <c r="E178" s="332" t="inlineStr">
        <is>
          <t>Fasilitasi Rekomendasi Kegiatan Statistik Sektoral</t>
        </is>
      </c>
      <c r="F178" s="332" t="inlineStr">
        <is>
          <t>Bidang Statisik</t>
        </is>
      </c>
      <c r="G178" s="332" t="inlineStr">
        <is>
          <t>Layanan Permohonan Data</t>
        </is>
      </c>
    </row>
    <row r="179">
      <c r="D179" s="332" t="n">
        <v>177</v>
      </c>
      <c r="E179" s="332" t="inlineStr">
        <is>
          <t>Pengumpulan Data Statistik Sektoral</t>
        </is>
      </c>
      <c r="F179" s="332" t="inlineStr">
        <is>
          <t>Bidang Statisik</t>
        </is>
      </c>
      <c r="G179" s="332" t="inlineStr">
        <is>
          <t>Layanan Permohonan Data</t>
        </is>
      </c>
    </row>
    <row r="180">
      <c r="D180" s="332" t="n">
        <v>178</v>
      </c>
      <c r="E180" s="332" t="inlineStr">
        <is>
          <t>Pengumpulan Metadata Statistik Sektoral</t>
        </is>
      </c>
      <c r="F180" s="332" t="inlineStr">
        <is>
          <t>Bidang Statisik</t>
        </is>
      </c>
      <c r="G180" s="332" t="inlineStr">
        <is>
          <t>Layanan Permohonan Data</t>
        </is>
      </c>
    </row>
    <row r="181">
      <c r="D181" s="332" t="n">
        <v>179</v>
      </c>
      <c r="E181" s="332" t="inlineStr">
        <is>
          <t>Pengolahan dan Analisis</t>
        </is>
      </c>
      <c r="F181" s="332" t="n"/>
      <c r="G181" s="332" t="inlineStr">
        <is>
          <t>Layanan Permohonan Data</t>
        </is>
      </c>
    </row>
    <row r="182">
      <c r="D182" s="332" t="n">
        <v>180</v>
      </c>
      <c r="E182" s="332" t="inlineStr">
        <is>
          <t>Pengolahan dan Analisis Data Statistik Sektoral</t>
        </is>
      </c>
      <c r="F182" s="332" t="inlineStr">
        <is>
          <t>Bidang Statisik</t>
        </is>
      </c>
      <c r="G182" s="332" t="inlineStr">
        <is>
          <t>Layanan Permohonan Data</t>
        </is>
      </c>
    </row>
    <row r="183">
      <c r="D183" s="332" t="n">
        <v>181</v>
      </c>
      <c r="E183" s="332" t="inlineStr">
        <is>
          <t>Penyebarluasan Data Statistik Sektoral</t>
        </is>
      </c>
      <c r="F183" s="332" t="n"/>
      <c r="G183" s="332" t="n"/>
    </row>
    <row r="184">
      <c r="D184" s="332" t="n">
        <v>182</v>
      </c>
      <c r="E184" s="332" t="inlineStr">
        <is>
          <t>Unggah Data Statistik Sektoral</t>
        </is>
      </c>
      <c r="F184" s="332" t="inlineStr">
        <is>
          <t>Bidang Statisik</t>
        </is>
      </c>
      <c r="G184" s="332" t="n"/>
    </row>
    <row r="185">
      <c r="D185" s="332" t="n">
        <v>183</v>
      </c>
      <c r="E185" s="332" t="inlineStr">
        <is>
          <t>Diseminasi Data Statistik</t>
        </is>
      </c>
      <c r="F185" s="332" t="n"/>
      <c r="G185" s="332" t="inlineStr">
        <is>
          <t>Layanan Permohonan Data</t>
        </is>
      </c>
    </row>
    <row r="186">
      <c r="D186" s="332" t="n">
        <v>184</v>
      </c>
      <c r="E186" s="332" t="inlineStr">
        <is>
          <t>Diseminasi Medsos</t>
        </is>
      </c>
      <c r="F186" s="332" t="inlineStr">
        <is>
          <t>Bidang Statisik</t>
        </is>
      </c>
      <c r="G186" s="332" t="n"/>
    </row>
    <row r="187">
      <c r="D187" s="332" t="n">
        <v>185</v>
      </c>
      <c r="E187" s="332" t="inlineStr">
        <is>
          <t>Layanan Permohonan Data</t>
        </is>
      </c>
      <c r="F187" s="332" t="inlineStr">
        <is>
          <t>Bidang Statisik</t>
        </is>
      </c>
      <c r="G187" s="332" t="inlineStr">
        <is>
          <t>Layanan Permohonan Data</t>
        </is>
      </c>
    </row>
    <row r="188">
      <c r="D188" s="332" t="n">
        <v>186</v>
      </c>
      <c r="E188" s="332" t="inlineStr">
        <is>
          <t>Pembinaan SDM</t>
        </is>
      </c>
      <c r="F188" s="332" t="n"/>
      <c r="G188" s="332" t="n"/>
    </row>
    <row r="189">
      <c r="D189" s="332" t="n">
        <v>187</v>
      </c>
      <c r="E189" s="332" t="inlineStr">
        <is>
          <t>Pengembangan Kapasitas SDM Pengelola Data Statistik Sektoral dan Informasi Geospasial Tematik</t>
        </is>
      </c>
      <c r="F189" s="332" t="inlineStr">
        <is>
          <t>Bidang Statisik</t>
        </is>
      </c>
      <c r="G189" s="332" t="n"/>
    </row>
    <row r="190">
      <c r="D190" s="332" t="n">
        <v>188</v>
      </c>
      <c r="E190" s="332" t="inlineStr">
        <is>
          <t>Pengelolaan Data Geospasial</t>
        </is>
      </c>
      <c r="F190" s="332" t="n"/>
      <c r="G190" s="332" t="n"/>
    </row>
    <row r="191">
      <c r="D191" s="332" t="n">
        <v>189</v>
      </c>
      <c r="E191" s="332" t="inlineStr">
        <is>
          <t>Penyelenggaraan Informasi Geospasial Tematik</t>
        </is>
      </c>
      <c r="F191" s="332" t="n"/>
      <c r="G191" s="332" t="n"/>
    </row>
    <row r="192">
      <c r="D192" s="332" t="n">
        <v>190</v>
      </c>
      <c r="E192" s="332" t="inlineStr">
        <is>
          <t>Pengumpulan Data Geospasial (DG) Tematik</t>
        </is>
      </c>
      <c r="F192" s="332" t="n"/>
      <c r="G192" s="332" t="n"/>
    </row>
    <row r="193">
      <c r="D193" s="332" t="n">
        <v>191</v>
      </c>
      <c r="E193" s="332" t="inlineStr">
        <is>
          <t>Penyusunan Standar Pengumpulan DG Tematik</t>
        </is>
      </c>
      <c r="F193" s="332" t="inlineStr">
        <is>
          <t>Bidang Statisik</t>
        </is>
      </c>
      <c r="G193" s="332" t="inlineStr">
        <is>
          <t>Layanan Permohonan Data</t>
        </is>
      </c>
    </row>
    <row r="194">
      <c r="D194" s="332" t="n">
        <v>192</v>
      </c>
      <c r="E194" s="332" t="inlineStr">
        <is>
          <t>Pengumpulan Data Geospasial</t>
        </is>
      </c>
      <c r="F194" s="332" t="n"/>
      <c r="G194" s="332" t="inlineStr">
        <is>
          <t>Layanan Permohonan Data</t>
        </is>
      </c>
    </row>
    <row r="195">
      <c r="D195" s="332" t="n">
        <v>193</v>
      </c>
      <c r="E195" s="332" t="inlineStr">
        <is>
          <t>Pengumpulan Data Geospasial Tematik</t>
        </is>
      </c>
      <c r="F195" s="332" t="inlineStr">
        <is>
          <t>Bidang Statisik</t>
        </is>
      </c>
      <c r="G195" s="332" t="inlineStr">
        <is>
          <t>Layanan Permohonan Data</t>
        </is>
      </c>
    </row>
    <row r="196">
      <c r="D196" s="332" t="n">
        <v>194</v>
      </c>
      <c r="E196" s="332" t="inlineStr">
        <is>
          <t>Pengumpulan Metadata Geospasial Tematik</t>
        </is>
      </c>
      <c r="F196" s="332" t="inlineStr">
        <is>
          <t>Bidang Statisik</t>
        </is>
      </c>
      <c r="G196" s="332" t="n"/>
    </row>
    <row r="197">
      <c r="D197" s="332" t="n">
        <v>195</v>
      </c>
      <c r="E197" s="332" t="inlineStr">
        <is>
          <t>Pengolahan DG Tematik dan Informasi Geospasial (IG) Tematik</t>
        </is>
      </c>
      <c r="F197" s="332" t="n"/>
      <c r="G197" s="332" t="n"/>
    </row>
    <row r="198">
      <c r="D198" s="332" t="n">
        <v>196</v>
      </c>
      <c r="E198" s="332" t="inlineStr">
        <is>
          <t>Pemrosesan DG Tematik</t>
        </is>
      </c>
      <c r="F198" s="332" t="inlineStr">
        <is>
          <t>Bidang Statisik</t>
        </is>
      </c>
      <c r="G198" s="332" t="n"/>
    </row>
    <row r="199">
      <c r="D199" s="332" t="n">
        <v>197</v>
      </c>
      <c r="E199" s="332" t="inlineStr">
        <is>
          <t>Penyajian IGT</t>
        </is>
      </c>
      <c r="F199" s="332" t="inlineStr">
        <is>
          <t>Bidang Statisik</t>
        </is>
      </c>
      <c r="G199" s="332" t="n"/>
    </row>
    <row r="200">
      <c r="D200" s="332" t="n">
        <v>198</v>
      </c>
      <c r="E200" s="332" t="inlineStr">
        <is>
          <t>Penggunaan IGT</t>
        </is>
      </c>
      <c r="F200" s="332" t="inlineStr">
        <is>
          <t>Bidang Statisik</t>
        </is>
      </c>
      <c r="G200" s="332" t="n"/>
    </row>
    <row r="201">
      <c r="D201" s="332" t="n">
        <v>199</v>
      </c>
      <c r="E201" s="332" t="inlineStr">
        <is>
          <t>Pembinaan SDM</t>
        </is>
      </c>
      <c r="F201" s="332" t="n"/>
      <c r="G201" s="332" t="n"/>
    </row>
    <row r="202">
      <c r="D202" s="332" t="n">
        <v>200</v>
      </c>
      <c r="E202" s="332" t="inlineStr">
        <is>
          <t>Pengembangan Kapasitas SDM Pengelola Data Geospasial</t>
        </is>
      </c>
      <c r="F202" s="332" t="n"/>
      <c r="G202" s="332" t="n"/>
    </row>
    <row r="203">
      <c r="D203" s="332" t="n">
        <v>201</v>
      </c>
      <c r="E203" s="332" t="inlineStr">
        <is>
          <t>Penyimpanan Data Geospasial tematik</t>
        </is>
      </c>
      <c r="F203" s="332" t="n"/>
      <c r="G203" s="332" t="inlineStr">
        <is>
          <t>Layanan Permohonan Data</t>
        </is>
      </c>
    </row>
    <row r="204">
      <c r="D204" s="332" t="n">
        <v>202</v>
      </c>
      <c r="E204" s="332" t="inlineStr">
        <is>
          <t>Pendistribusian Data Geospasial Tematik</t>
        </is>
      </c>
      <c r="F204" s="332" t="n"/>
      <c r="G204" s="332" t="inlineStr">
        <is>
          <t>Layanan Permohonan Data</t>
        </is>
      </c>
    </row>
    <row r="205">
      <c r="D205" s="332" t="n">
        <v>203</v>
      </c>
      <c r="E205" s="332" t="inlineStr">
        <is>
          <t>Penyimpanan dan pengamanan DG Tematik dan IGT</t>
        </is>
      </c>
      <c r="F205" s="332" t="n"/>
      <c r="G205" s="332" t="n"/>
    </row>
    <row r="206">
      <c r="D206" s="332" t="n">
        <v>204</v>
      </c>
      <c r="E206" s="332" t="inlineStr">
        <is>
          <t>Penyebarluasan DG Tematik dan IGT</t>
        </is>
      </c>
      <c r="F206" s="332" t="n"/>
      <c r="G206" s="332" t="n"/>
    </row>
    <row r="207">
      <c r="D207" s="332" t="n">
        <v>205</v>
      </c>
      <c r="E207" s="332" t="inlineStr">
        <is>
          <t>Pertukaran DG Tematik dan IGT</t>
        </is>
      </c>
      <c r="F207" s="332" t="n"/>
      <c r="G207" s="332" t="n"/>
    </row>
    <row r="208">
      <c r="D208" s="332" t="n">
        <v>206</v>
      </c>
      <c r="E208" s="332" t="inlineStr">
        <is>
          <t>Pengelolaan Informasi Publik</t>
        </is>
      </c>
      <c r="F208" s="332" t="n"/>
      <c r="G208" s="332" t="n"/>
    </row>
    <row r="209">
      <c r="D209" s="332" t="n">
        <v>207</v>
      </c>
      <c r="E209" s="332" t="inlineStr">
        <is>
          <t>Perumusan Kebijakan Teknis Bidang Informasi Publik</t>
        </is>
      </c>
      <c r="F209" s="332" t="n"/>
      <c r="G209" s="332" t="n"/>
    </row>
    <row r="210">
      <c r="D210" s="332" t="n">
        <v>208</v>
      </c>
      <c r="E210" s="332" t="inlineStr">
        <is>
          <t>Penyusunan Bahan Kebijakan Teknis Bidang Informasi Publik</t>
        </is>
      </c>
      <c r="F210" s="332" t="inlineStr">
        <is>
          <t>Bidang Informasi dan Komunikasi Publik</t>
        </is>
      </c>
      <c r="G210" s="332" t="n"/>
    </row>
    <row r="211">
      <c r="D211" s="332" t="n">
        <v>209</v>
      </c>
      <c r="E211" s="332" t="inlineStr">
        <is>
          <t>Monitoring Opini dan Aspirasi Publik, serta  Informasi dan Penetapan Agenda Prioritas Komunikasi Pemerintah Daerah</t>
        </is>
      </c>
      <c r="F211" s="332" t="n"/>
      <c r="G211" s="332" t="n"/>
    </row>
    <row r="212">
      <c r="D212" s="332" t="n">
        <v>210</v>
      </c>
      <c r="E212" s="332" t="inlineStr">
        <is>
          <t>Evaluasi dan Pemilihan Isu Publik</t>
        </is>
      </c>
      <c r="F212" s="332" t="inlineStr">
        <is>
          <t>Bidang Informasi dan Komunikasi Publik</t>
        </is>
      </c>
      <c r="G212" s="332" t="inlineStr">
        <is>
          <t>Monitoring Isu publik/informasi kebijakan di media massa dan media sosial</t>
        </is>
      </c>
    </row>
    <row r="213">
      <c r="D213" s="332" t="n">
        <v>211</v>
      </c>
      <c r="E213" s="332" t="inlineStr">
        <is>
          <t>Pengumpulan pendapat umum</t>
        </is>
      </c>
      <c r="F213" s="332" t="inlineStr">
        <is>
          <t>Bidang Informasi dan Komunikasi Publik</t>
        </is>
      </c>
      <c r="G213" s="332" t="inlineStr">
        <is>
          <t>Monitoring Isu publik/informasi kebijakan di media massa dan media sosial</t>
        </is>
      </c>
    </row>
    <row r="214">
      <c r="D214" s="332" t="n">
        <v>212</v>
      </c>
      <c r="E214" s="332" t="inlineStr">
        <is>
          <t>Pemantauan aduan masyarakat</t>
        </is>
      </c>
      <c r="F214" s="332" t="n"/>
      <c r="G214" s="332" t="inlineStr">
        <is>
          <t>Aduan Warga</t>
        </is>
      </c>
    </row>
    <row r="215">
      <c r="D215" s="332" t="n">
        <v>213</v>
      </c>
      <c r="E215" s="332" t="inlineStr">
        <is>
          <t>Pemantauan aduan masyarakat</t>
        </is>
      </c>
      <c r="F215" s="332" t="inlineStr">
        <is>
          <t>Bidang Informasi dan Komunikasi Publik</t>
        </is>
      </c>
      <c r="G215" s="332" t="inlineStr">
        <is>
          <t>Aduan Warga</t>
        </is>
      </c>
    </row>
    <row r="216">
      <c r="D216" s="332" t="n">
        <v>214</v>
      </c>
      <c r="E216" s="332" t="inlineStr">
        <is>
          <t>Pelayanan Informasi Publik</t>
        </is>
      </c>
      <c r="F216" s="332" t="n"/>
      <c r="G216" s="332" t="n"/>
    </row>
    <row r="217">
      <c r="D217" s="332" t="n">
        <v>215</v>
      </c>
      <c r="E217" s="332" t="inlineStr">
        <is>
          <t>Pelaksanaan fungsi PPID</t>
        </is>
      </c>
      <c r="F217" s="332" t="inlineStr">
        <is>
          <t>Bidang Informasi dan Komunikasi Publik</t>
        </is>
      </c>
      <c r="G217" s="332" t="inlineStr">
        <is>
          <t>Layanan Pengelolaan dan Penyediaan Informasi Publik</t>
        </is>
      </c>
    </row>
    <row r="218">
      <c r="D218" s="332" t="n">
        <v>216</v>
      </c>
      <c r="E218" s="332" t="inlineStr">
        <is>
          <t>Pemilahan Informasi Publik berdasarkan informasi berkala, serta merta, tersedia setiap saat, dan yang berpotensi dikecualikan</t>
        </is>
      </c>
      <c r="F218" s="332" t="n"/>
      <c r="G218" s="332" t="n"/>
    </row>
    <row r="219">
      <c r="D219" s="332" t="n">
        <v>217</v>
      </c>
      <c r="E219" s="332" t="inlineStr">
        <is>
          <t>Pengecualian Informasi secara aktif</t>
        </is>
      </c>
      <c r="F219" s="332" t="n"/>
      <c r="G219" s="332" t="n"/>
    </row>
    <row r="220">
      <c r="D220" s="332" t="n">
        <v>218</v>
      </c>
      <c r="E220" s="332" t="inlineStr">
        <is>
          <t>Colocation Server di Pusat Data</t>
        </is>
      </c>
      <c r="F220" s="332" t="n"/>
      <c r="G220" s="332" t="n"/>
    </row>
    <row r="221">
      <c r="D221" s="332" t="n">
        <v>219</v>
      </c>
      <c r="E221" s="332" t="inlineStr">
        <is>
          <t>Pengecualian Informasi secara pasif</t>
        </is>
      </c>
      <c r="F221" s="332" t="n"/>
      <c r="G221" s="332" t="n"/>
    </row>
    <row r="222">
      <c r="D222" s="332" t="n">
        <v>220</v>
      </c>
      <c r="E222" s="332" t="inlineStr">
        <is>
          <t>Evaluasi dan pemilihan isu publik</t>
        </is>
      </c>
      <c r="F222" s="332" t="n"/>
      <c r="G222" s="332" t="inlineStr">
        <is>
          <t>Monitoring Isu publik/informasi kebijakan di media massa dan media sosial</t>
        </is>
      </c>
    </row>
    <row r="223">
      <c r="D223" s="332" t="n">
        <v>221</v>
      </c>
      <c r="E223" s="332" t="inlineStr">
        <is>
          <t>Monitoring Informasi dan Penetapan Agenda Prioritas Komunikasi Pemerintah Daerah</t>
        </is>
      </c>
      <c r="F223" s="332" t="n"/>
      <c r="G223" s="332" t="n"/>
    </row>
    <row r="224">
      <c r="D224" s="332" t="n">
        <v>222</v>
      </c>
      <c r="E224" s="332" t="inlineStr">
        <is>
          <t>Pemantauan informasi kebijakan yang terkait dengan kewenangan daerah berdasarkan agenda prioritas Pemerintah Daerah</t>
        </is>
      </c>
      <c r="F224" s="332" t="n"/>
      <c r="G224" s="332" t="n"/>
    </row>
    <row r="225">
      <c r="D225" s="332" t="n">
        <v>223</v>
      </c>
      <c r="E225" s="332" t="inlineStr">
        <is>
          <t>Pembuatan Daftar Informasi Publik berdasarkan informasi berkala, serta merta, tersedia setiap saat, dan yang berpotensi dikecualikan</t>
        </is>
      </c>
      <c r="F225" s="332" t="n"/>
      <c r="G225" s="332" t="n"/>
    </row>
    <row r="226">
      <c r="D226" s="332" t="n">
        <v>224</v>
      </c>
      <c r="E226" s="332" t="inlineStr">
        <is>
          <t>Penyusunan Daftar Informasi Publik</t>
        </is>
      </c>
      <c r="F226" s="332" t="n"/>
      <c r="G226" s="332" t="n"/>
    </row>
    <row r="227">
      <c r="D227" s="332" t="n">
        <v>225</v>
      </c>
      <c r="E227" s="332" t="inlineStr">
        <is>
          <t>Evaluasi dan penetapan agenda prioritas komunikasi Pemerintah Daerah</t>
        </is>
      </c>
      <c r="F227" s="332" t="n"/>
      <c r="G227" s="332" t="n"/>
    </row>
    <row r="228">
      <c r="D228" s="332" t="n">
        <v>226</v>
      </c>
      <c r="E228" s="332" t="inlineStr">
        <is>
          <t>Pelayanan Informasi Publik</t>
        </is>
      </c>
      <c r="F228" s="332" t="n"/>
      <c r="G228" s="332" t="n"/>
    </row>
    <row r="229">
      <c r="D229" s="332" t="n">
        <v>227</v>
      </c>
      <c r="E229" s="332" t="inlineStr">
        <is>
          <t>Pelaksanaan fungsi PPID</t>
        </is>
      </c>
      <c r="F229" s="332" t="n"/>
      <c r="G229" s="332" t="inlineStr">
        <is>
          <t>Layanan Pengelolaan dan Penyediaan Informasi Publik</t>
        </is>
      </c>
    </row>
    <row r="230">
      <c r="D230" s="332" t="n">
        <v>228</v>
      </c>
      <c r="E230" s="332" t="inlineStr">
        <is>
          <t>Pengelolaan Informasi Publik</t>
        </is>
      </c>
      <c r="F230" s="332" t="n"/>
      <c r="G230" s="332" t="n"/>
    </row>
    <row r="231">
      <c r="D231" s="332" t="n">
        <v>229</v>
      </c>
      <c r="E231" s="332" t="inlineStr">
        <is>
          <t>Penetapan dan Pemutakhiran Daftar Informasi Publik</t>
        </is>
      </c>
      <c r="F231" s="332" t="n"/>
      <c r="G231" s="332" t="n"/>
    </row>
    <row r="232">
      <c r="D232" s="332" t="n">
        <v>230</v>
      </c>
      <c r="E232" s="332" t="inlineStr">
        <is>
          <t>Pendokumentasian Informasi Publik sesuai pedoman kearsipan</t>
        </is>
      </c>
      <c r="F232" s="332" t="n"/>
      <c r="G232" s="332" t="n"/>
    </row>
    <row r="233">
      <c r="D233" s="332" t="n">
        <v>231</v>
      </c>
      <c r="E233" s="332" t="inlineStr">
        <is>
          <t>Penyediaan Informasi Publik Berupa Informasi Publik Berkala, Serta Merta dan Daftar Informasi yang Dikecualikan ke dalam Website Pemerintah</t>
        </is>
      </c>
      <c r="F233" s="332" t="n"/>
      <c r="G233" s="332" t="n"/>
    </row>
    <row r="234">
      <c r="D234" s="332" t="n">
        <v>232</v>
      </c>
      <c r="E234" s="332" t="inlineStr">
        <is>
          <t>Koordinasi dengan PPID Pelaksana secara Berkala</t>
        </is>
      </c>
      <c r="F234" s="332" t="n"/>
      <c r="G234" s="332" t="n"/>
    </row>
    <row r="235">
      <c r="D235" s="332" t="n">
        <v>233</v>
      </c>
      <c r="E235" s="332" t="inlineStr">
        <is>
          <t>Pelaksanaan uji konsekuensi</t>
        </is>
      </c>
      <c r="F235" s="332" t="n"/>
      <c r="G235" s="332" t="n"/>
    </row>
    <row r="236">
      <c r="D236" s="332" t="n">
        <v>234</v>
      </c>
      <c r="E236" s="332" t="inlineStr">
        <is>
          <t>Pengujian konsekuensi informasi secara aktif</t>
        </is>
      </c>
      <c r="F236" s="332" t="n"/>
      <c r="G236" s="332" t="n"/>
    </row>
    <row r="237">
      <c r="D237" s="332" t="n">
        <v>235</v>
      </c>
      <c r="E237" s="332" t="inlineStr">
        <is>
          <t>Pengujian konsekuensi informasi secara pasif</t>
        </is>
      </c>
      <c r="F237" s="332" t="n"/>
      <c r="G237" s="332" t="n"/>
    </row>
    <row r="238">
      <c r="D238" s="332" t="n">
        <v>236</v>
      </c>
      <c r="E238" s="332" t="inlineStr">
        <is>
          <t>Pembuatan Maklumat Pelayanan</t>
        </is>
      </c>
      <c r="F238" s="332" t="n"/>
      <c r="G238" s="332" t="n"/>
    </row>
    <row r="239">
      <c r="D239" s="332" t="n">
        <v>237</v>
      </c>
      <c r="E239" s="332" t="inlineStr">
        <is>
          <t>Pelayanan Permohonan Informasi Publik</t>
        </is>
      </c>
      <c r="F239" s="332" t="n"/>
      <c r="G239" s="332" t="n"/>
    </row>
    <row r="240">
      <c r="D240" s="332" t="n">
        <v>238</v>
      </c>
      <c r="E240" s="332" t="inlineStr">
        <is>
          <t>Pengumuman Tata Cara Perolehan Informasi Publik</t>
        </is>
      </c>
      <c r="F240" s="332" t="n"/>
      <c r="G240" s="332" t="n"/>
    </row>
    <row r="241">
      <c r="D241" s="332" t="n">
        <v>239</v>
      </c>
      <c r="E241" s="332" t="inlineStr">
        <is>
          <t>Pelayanan Permohonan Informasi Publik</t>
        </is>
      </c>
      <c r="F241" s="332" t="n"/>
      <c r="G241" s="332" t="n"/>
    </row>
    <row r="242">
      <c r="D242" s="332" t="n">
        <v>240</v>
      </c>
      <c r="E242" s="332" t="inlineStr">
        <is>
          <t>Pengelolaan keberatan pemohon Informasi Publik</t>
        </is>
      </c>
      <c r="F242" s="332" t="n"/>
      <c r="G242" s="332" t="n"/>
    </row>
    <row r="243">
      <c r="D243" s="332" t="n">
        <v>241</v>
      </c>
      <c r="E243" s="332" t="inlineStr">
        <is>
          <t>Pelayanan Informasi Publik</t>
        </is>
      </c>
      <c r="F243" s="332" t="n"/>
      <c r="G243" s="332" t="n"/>
    </row>
    <row r="244">
      <c r="D244" s="332" t="n">
        <v>242</v>
      </c>
      <c r="E244" s="332" t="inlineStr">
        <is>
          <t>Fasilitasi Penyelesaian Sengketa Informasi Publik</t>
        </is>
      </c>
      <c r="F244" s="332" t="n"/>
      <c r="G244" s="332" t="n"/>
    </row>
    <row r="245">
      <c r="D245" s="332" t="n">
        <v>243</v>
      </c>
      <c r="E245" s="332" t="inlineStr">
        <is>
          <t>Pengelolaan pengaduan masyarakat secara tatap muka</t>
        </is>
      </c>
      <c r="F245" s="332" t="n"/>
      <c r="G245" s="332" t="n"/>
    </row>
    <row r="246">
      <c r="D246" s="332" t="n">
        <v>244</v>
      </c>
      <c r="E246" s="332" t="inlineStr">
        <is>
          <t>Komunikasi</t>
        </is>
      </c>
      <c r="F246" s="332" t="n"/>
      <c r="G246" s="332" t="n"/>
    </row>
    <row r="247">
      <c r="D247" s="332" t="n">
        <v>245</v>
      </c>
      <c r="E247" s="332" t="inlineStr">
        <is>
          <t>Pengelolaan Komunikasi Publik</t>
        </is>
      </c>
      <c r="F247" s="332" t="n"/>
      <c r="G247" s="332" t="n"/>
    </row>
    <row r="248">
      <c r="D248" s="332" t="n">
        <v>246</v>
      </c>
      <c r="E248" s="332" t="inlineStr">
        <is>
          <t>Perumusan kebijakan teknis bidang komunikasi publik</t>
        </is>
      </c>
      <c r="F248" s="332" t="n"/>
      <c r="G248" s="332" t="n"/>
    </row>
    <row r="249">
      <c r="D249" s="332" t="n">
        <v>247</v>
      </c>
      <c r="E249" s="332" t="inlineStr">
        <is>
          <t>Penyusunan bahan kebijakan teknis bidang komunikasi publik</t>
        </is>
      </c>
      <c r="F249" s="332" t="inlineStr">
        <is>
          <t>Bidang Informasi dan Komunikasi Publik</t>
        </is>
      </c>
      <c r="G249" s="332" t="n"/>
    </row>
    <row r="250">
      <c r="D250" s="332" t="n">
        <v>248</v>
      </c>
      <c r="E250" s="332" t="inlineStr">
        <is>
          <t>Pengelolaan Konten dan Perencanaan Media Komunikasi Publik</t>
        </is>
      </c>
      <c r="F250" s="332" t="n"/>
      <c r="G250" s="332" t="n"/>
    </row>
    <row r="251">
      <c r="D251" s="332" t="n">
        <v>249</v>
      </c>
      <c r="E251" s="332" t="inlineStr">
        <is>
          <t>Penyusunan strategi komunikasi publik</t>
        </is>
      </c>
      <c r="F251" s="332" t="inlineStr">
        <is>
          <t>Bidang Informasi dan Komunikasi Publik</t>
        </is>
      </c>
      <c r="G251" s="332" t="inlineStr">
        <is>
          <t>Layanan Pengelolaan dan Penyediaan Informasi Publik</t>
        </is>
      </c>
    </row>
    <row r="252">
      <c r="D252" s="332" t="n">
        <v>250</v>
      </c>
      <c r="E252" s="332" t="inlineStr">
        <is>
          <t>Pengemasan konten</t>
        </is>
      </c>
      <c r="F252" s="332" t="n"/>
      <c r="G252" s="332" t="n"/>
    </row>
    <row r="253">
      <c r="D253" s="332" t="n">
        <v>251</v>
      </c>
      <c r="E253" s="332" t="inlineStr">
        <is>
          <t>Penentuan media</t>
        </is>
      </c>
      <c r="F253" s="332" t="inlineStr">
        <is>
          <t>Bidang Informasi dan Komunikasi Publik</t>
        </is>
      </c>
      <c r="G253" s="332" t="inlineStr">
        <is>
          <t>Layanan Pengelolaan dan Penyediaan Informasi Publik</t>
        </is>
      </c>
    </row>
    <row r="254">
      <c r="D254" s="332" t="n">
        <v>252</v>
      </c>
      <c r="E254" s="332" t="inlineStr">
        <is>
          <t>Produksi konten</t>
        </is>
      </c>
      <c r="F254" s="332" t="inlineStr">
        <is>
          <t>Bidang Informasi dan Komunikasi Publik</t>
        </is>
      </c>
      <c r="G254" s="332" t="inlineStr">
        <is>
          <t>Layanan Pengelolaan dan Penyediaan Informasi Publik</t>
        </is>
      </c>
    </row>
    <row r="255">
      <c r="D255" s="332" t="n">
        <v>253</v>
      </c>
      <c r="E255" s="332" t="inlineStr">
        <is>
          <t>Pengelolaan Media Komunikasi Publik</t>
        </is>
      </c>
      <c r="F255" s="332" t="n"/>
      <c r="G255" s="332" t="n"/>
    </row>
    <row r="256">
      <c r="D256" s="332" t="n">
        <v>254</v>
      </c>
      <c r="E256" s="332" t="inlineStr">
        <is>
          <t>Penyelenggaraan Media Komunikasi Publik milik Pemerintah Daerah</t>
        </is>
      </c>
      <c r="F256" s="332" t="inlineStr">
        <is>
          <t>Bidang Informasi dan Komunikasi Publik</t>
        </is>
      </c>
      <c r="G256" s="332" t="inlineStr">
        <is>
          <t>Layanan Pengelolaan dan Penyediaan Informasi Publik</t>
        </is>
      </c>
    </row>
    <row r="257">
      <c r="D257" s="332" t="n">
        <v>255</v>
      </c>
      <c r="E257" s="332" t="inlineStr">
        <is>
          <t>Penyelenggaraan diseminasi pesan di media</t>
        </is>
      </c>
      <c r="F257" s="332" t="inlineStr">
        <is>
          <t>Bidang Informasi dan Komunikasi Publik</t>
        </is>
      </c>
      <c r="G257" s="332" t="inlineStr">
        <is>
          <t>Layanan Media</t>
        </is>
      </c>
    </row>
    <row r="258">
      <c r="D258" s="332" t="n">
        <v>256</v>
      </c>
      <c r="E258" s="332" t="inlineStr">
        <is>
          <t>Evaluasi penggunaan Media Komunikasi Publik</t>
        </is>
      </c>
      <c r="F258" s="332" t="inlineStr">
        <is>
          <t>Bidang Informasi dan Komunikasi Publik</t>
        </is>
      </c>
      <c r="G258" s="332" t="inlineStr">
        <is>
          <t>Layanan Media</t>
        </is>
      </c>
    </row>
    <row r="259">
      <c r="D259" s="332" t="n">
        <v>257</v>
      </c>
      <c r="E259" s="332" t="inlineStr">
        <is>
          <t>Layanan Hubungan Media</t>
        </is>
      </c>
      <c r="F259" s="332" t="n"/>
      <c r="G259" s="332" t="n"/>
    </row>
    <row r="260">
      <c r="D260" s="332" t="n">
        <v>258</v>
      </c>
      <c r="E260" s="332" t="inlineStr">
        <is>
          <t>Membuat siaran pers</t>
        </is>
      </c>
      <c r="F260" s="332" t="n"/>
      <c r="G260" s="332" t="n"/>
    </row>
    <row r="261">
      <c r="D261" s="332" t="n">
        <v>259</v>
      </c>
      <c r="E261" s="332" t="inlineStr">
        <is>
          <t>Mengelola ruang pers</t>
        </is>
      </c>
      <c r="F261" s="332" t="n"/>
      <c r="G261" s="332" t="n"/>
    </row>
    <row r="262">
      <c r="D262" s="332" t="n">
        <v>260</v>
      </c>
      <c r="E262" s="332" t="inlineStr">
        <is>
          <t>Melaksanakan konferensi pers, kunjungan pers, pertemuan dengan media, kunjungan ke media, pertemuan dengan pemimpin redaksi, dan liputan media</t>
        </is>
      </c>
      <c r="F262" s="332" t="n"/>
      <c r="G262" s="332" t="n"/>
    </row>
    <row r="263">
      <c r="D263" s="332" t="n">
        <v>261</v>
      </c>
      <c r="E263" s="332" t="inlineStr">
        <is>
          <t>Memantau pemuatan siaran pers di media</t>
        </is>
      </c>
      <c r="F263" s="332" t="n"/>
      <c r="G263" s="332" t="n"/>
    </row>
    <row r="264">
      <c r="D264" s="332" t="n">
        <v>262</v>
      </c>
      <c r="E264" s="332" t="inlineStr">
        <is>
          <t>Kemitraan dengan Pemangku Kepentingan</t>
        </is>
      </c>
      <c r="F264" s="332" t="n"/>
      <c r="G264" s="332" t="inlineStr">
        <is>
          <t>Kemitraan dengan Pemangku Kepentingan</t>
        </is>
      </c>
    </row>
    <row r="265">
      <c r="D265" s="332" t="n">
        <v>263</v>
      </c>
      <c r="E265" s="332" t="inlineStr">
        <is>
          <t>Fasilitasi Kemitraan dengan Pemangku Kepentingan</t>
        </is>
      </c>
      <c r="F265" s="332" t="n"/>
      <c r="G265" s="332" t="n"/>
    </row>
    <row r="266">
      <c r="D266" s="332" t="n">
        <v>264</v>
      </c>
      <c r="E266" s="332" t="inlineStr">
        <is>
          <t>Pengembangan Kapasitas Pemangku Kepentingan</t>
        </is>
      </c>
      <c r="F266" s="332" t="inlineStr">
        <is>
          <t>Bidang Informasi dan Komunikasi Publik</t>
        </is>
      </c>
      <c r="G266" s="332" t="inlineStr">
        <is>
          <t>kemitraan yang baik dan kondusif dengan
seluruh pemangku kepentingan di Jawa Barat</t>
        </is>
      </c>
    </row>
    <row r="267">
      <c r="D267" s="332" t="n">
        <v>265</v>
      </c>
      <c r="E267" s="332" t="inlineStr">
        <is>
          <t>Penyebaran Bahan Informasi untuk Media yang Dimiliki Pemangku Kepentingan</t>
        </is>
      </c>
      <c r="F267" s="332" t="inlineStr">
        <is>
          <t>Bidang Informasi dan Komunikasi Publik</t>
        </is>
      </c>
      <c r="G267" s="332" t="inlineStr">
        <is>
          <t>Kemitraan dengan Pemangku Kepentingan</t>
        </is>
      </c>
    </row>
    <row r="268">
      <c r="D268" s="332" t="n">
        <v>266</v>
      </c>
      <c r="E268" s="332" t="inlineStr">
        <is>
          <t>Monitoring dan Evaluasi Kemitraan dengan Pemangku Kepentingan</t>
        </is>
      </c>
      <c r="F268" s="332" t="inlineStr">
        <is>
          <t>Bidang Informasi dan Komunikasi Publik</t>
        </is>
      </c>
      <c r="G268" s="332" t="inlineStr">
        <is>
          <t>Kemitraan dengan Pemangku Kepentingan</t>
        </is>
      </c>
    </row>
    <row r="269">
      <c r="D269" s="332" t="n">
        <v>267</v>
      </c>
      <c r="E269" s="332" t="inlineStr">
        <is>
          <t>Identifikasi Potensi dan Jenis Krisis Dari Rekomendasi Pemantauan Isu Publik Dan Rekomendasi Pemantauan Informasi Kebijakan Terkait Kewenangan Daerah</t>
        </is>
      </c>
      <c r="F269" s="332" t="n"/>
      <c r="G269" s="332" t="n"/>
    </row>
    <row r="270">
      <c r="D270" s="332" t="n">
        <v>268</v>
      </c>
      <c r="E270" s="332" t="inlineStr">
        <is>
          <t>Manajemen Komunikasi Krisis</t>
        </is>
      </c>
      <c r="F270" s="332" t="inlineStr">
        <is>
          <t>Bidang Informasi dan Komunikasi Publik</t>
        </is>
      </c>
      <c r="G270" s="332" t="inlineStr">
        <is>
          <t>Manajemen Komunikasi Krisis</t>
        </is>
      </c>
    </row>
    <row r="271">
      <c r="D271" s="332" t="n">
        <v>269</v>
      </c>
      <c r="E271" s="332" t="inlineStr">
        <is>
          <t>Penguatan Kapasitas Sumber Daya Komunikasi Publik</t>
        </is>
      </c>
      <c r="F271" s="332" t="n"/>
      <c r="G271" s="332" t="n"/>
    </row>
    <row r="272">
      <c r="D272" s="332" t="n">
        <v>270</v>
      </c>
      <c r="E272" s="332" t="inlineStr">
        <is>
          <t>Pengembangan Kapasitas Sumber Daya Komunikasi Publik</t>
        </is>
      </c>
      <c r="F272" s="332" t="inlineStr">
        <is>
          <t>Bidang Informasi dan Komunikasi Publik</t>
        </is>
      </c>
      <c r="G272" s="332" t="inlineStr">
        <is>
          <t>Pengembangan Kapasitas Sumber Daya Komunikasi Publik</t>
        </is>
      </c>
    </row>
    <row r="273">
      <c r="D273" s="332" t="n">
        <v>271</v>
      </c>
      <c r="E273" s="332" t="inlineStr">
        <is>
          <t>Penguatan Tata Kelola Komisi Informasi di Daerah</t>
        </is>
      </c>
      <c r="F273" s="332" t="n"/>
      <c r="G273" s="332" t="n"/>
    </row>
    <row r="274">
      <c r="D274" s="332" t="n">
        <v>272</v>
      </c>
      <c r="E274" s="332" t="inlineStr">
        <is>
          <t>Penyediaan dan pemberian konsultasi serta advokasi kepada individu pengelola informasi dan komunikasi publik</t>
        </is>
      </c>
      <c r="F274" s="332" t="inlineStr">
        <is>
          <t>Bidang Informasi dan Komunikasi Publik</t>
        </is>
      </c>
      <c r="G274" s="332" t="n"/>
    </row>
    <row r="275">
      <c r="D275" s="332" t="n">
        <v>273</v>
      </c>
      <c r="E275" s="332" t="inlineStr">
        <is>
          <t>Pelaksanaan fungsi kepaniteraan</t>
        </is>
      </c>
      <c r="F275" s="332" t="n"/>
      <c r="G275" s="332" t="n"/>
    </row>
    <row r="276">
      <c r="D276" s="332" t="n">
        <v>274</v>
      </c>
      <c r="E276" s="332" t="inlineStr">
        <is>
          <t>Penyelesaian sengketa informasi di KI Provinsi Jawa Barat</t>
        </is>
      </c>
      <c r="F276" s="332" t="n"/>
      <c r="G276" s="332" t="n"/>
    </row>
    <row r="277">
      <c r="D277" s="332" t="n">
        <v>275</v>
      </c>
      <c r="E277" s="332" t="inlineStr">
        <is>
          <t>Pelaksanaan administrasi penyelesaian sengketa Informasi Publik</t>
        </is>
      </c>
      <c r="F277" s="332" t="inlineStr">
        <is>
          <t>Bidang Informasi dan Komunikasi Publik</t>
        </is>
      </c>
      <c r="G277" s="332" t="inlineStr">
        <is>
          <t>Layanan Administrasi Penyelesaian Sengketa 
Informasi Publik</t>
        </is>
      </c>
    </row>
    <row r="278">
      <c r="D278" s="332" t="n">
        <v>276</v>
      </c>
      <c r="E278" s="332" t="inlineStr">
        <is>
          <t>Perencanaan Pembangunan Nasional</t>
        </is>
      </c>
      <c r="F278" s="332" t="n"/>
      <c r="G278" s="332" t="n"/>
    </row>
    <row r="279">
      <c r="D279" s="332" t="n">
        <v>277</v>
      </c>
      <c r="E279" s="332" t="inlineStr">
        <is>
          <t>Perencanaan Pembangunan</t>
        </is>
      </c>
      <c r="F279" s="332" t="n"/>
      <c r="G279" s="332" t="n"/>
    </row>
    <row r="280">
      <c r="D280" s="332" t="n">
        <v>278</v>
      </c>
      <c r="E280" s="332" t="inlineStr">
        <is>
          <t>Penyusunan Rencana Kerja</t>
        </is>
      </c>
      <c r="F280" s="332" t="inlineStr">
        <is>
          <t>Sekretariat</t>
        </is>
      </c>
      <c r="G280" s="332" t="n"/>
    </row>
    <row r="281">
      <c r="D281" s="332" t="n">
        <v>279</v>
      </c>
      <c r="E281" s="332" t="inlineStr">
        <is>
          <t>Penyusunan Rencana Strategis</t>
        </is>
      </c>
      <c r="F281" s="332" t="inlineStr">
        <is>
          <t>Sekretariat</t>
        </is>
      </c>
      <c r="G281" s="332" t="n"/>
    </row>
    <row r="282">
      <c r="D282" s="332" t="n">
        <v>280</v>
      </c>
      <c r="E282" s="332" t="inlineStr">
        <is>
          <t>Penyusunan Indikator Kinerja Utama (IKU)</t>
        </is>
      </c>
      <c r="F282" s="332" t="inlineStr">
        <is>
          <t>Sekretariat</t>
        </is>
      </c>
      <c r="G282" s="332" t="n"/>
    </row>
    <row r="283">
      <c r="D283" s="332" t="n">
        <v>281</v>
      </c>
      <c r="E283" s="332" t="inlineStr">
        <is>
          <t>Penyusunan Pemetaan Kinerja (Cascading)</t>
        </is>
      </c>
      <c r="F283" s="332" t="inlineStr">
        <is>
          <t>Sekretariat</t>
        </is>
      </c>
      <c r="G283" s="332" t="n"/>
    </row>
    <row r="284">
      <c r="D284" s="332" t="n">
        <v>282</v>
      </c>
      <c r="E284" s="332" t="inlineStr">
        <is>
          <t>Penyusunan Pohon Kinerja</t>
        </is>
      </c>
      <c r="F284" s="332" t="inlineStr">
        <is>
          <t>Sekretariat</t>
        </is>
      </c>
      <c r="G284" s="332" t="n"/>
    </row>
    <row r="285">
      <c r="D285" s="332" t="n">
        <v>283</v>
      </c>
      <c r="E285" s="332" t="inlineStr">
        <is>
          <t>Pengumpulan Data Kinerja</t>
        </is>
      </c>
      <c r="F285" s="332" t="inlineStr">
        <is>
          <t>Sekretariat</t>
        </is>
      </c>
      <c r="G285" s="332" t="n"/>
    </row>
    <row r="286">
      <c r="D286" s="332" t="n">
        <v>284</v>
      </c>
      <c r="E286" s="332" t="inlineStr">
        <is>
          <t>Penganggaran Pembangunan</t>
        </is>
      </c>
      <c r="F286" s="332" t="n"/>
      <c r="G286" s="332" t="n"/>
    </row>
    <row r="287">
      <c r="D287" s="332" t="n">
        <v>285</v>
      </c>
      <c r="E287" s="332" t="inlineStr">
        <is>
          <t>Penyusunan Kerangka Acuan Kerja</t>
        </is>
      </c>
      <c r="F287" s="332" t="inlineStr">
        <is>
          <t>Sekretariat</t>
        </is>
      </c>
      <c r="G287" s="332" t="n"/>
    </row>
    <row r="288">
      <c r="D288" s="332" t="n">
        <v>286</v>
      </c>
      <c r="E288" s="332" t="inlineStr">
        <is>
          <t>Penyusunan Rencana Kerja Anggaran (RKA)</t>
        </is>
      </c>
      <c r="F288" s="332" t="inlineStr">
        <is>
          <t>Sekretariat</t>
        </is>
      </c>
      <c r="G288" s="332" t="n"/>
    </row>
    <row r="289">
      <c r="D289" s="332" t="n">
        <v>287</v>
      </c>
      <c r="E289" s="332" t="inlineStr">
        <is>
          <t>Penyusunan Dokumen Pelaksanaan Anggaran (DPA)</t>
        </is>
      </c>
      <c r="F289" s="332" t="inlineStr">
        <is>
          <t>Sekretariat</t>
        </is>
      </c>
      <c r="G289" s="332" t="n"/>
    </row>
    <row r="290">
      <c r="D290" s="332" t="n">
        <v>288</v>
      </c>
      <c r="E290" s="332" t="inlineStr">
        <is>
          <t>Pengendalian Pembangunan</t>
        </is>
      </c>
      <c r="F290" s="332" t="n"/>
      <c r="G290" s="332" t="n"/>
    </row>
    <row r="291">
      <c r="D291" s="332" t="n">
        <v>289</v>
      </c>
      <c r="E291" s="332" t="inlineStr">
        <is>
          <t>Penyusunan Laporan Capaian Kinerja Bulanan</t>
        </is>
      </c>
      <c r="F291" s="332" t="n"/>
      <c r="G291" s="332" t="n"/>
    </row>
    <row r="292">
      <c r="D292" s="332" t="n">
        <v>290</v>
      </c>
      <c r="E292" s="332" t="inlineStr">
        <is>
          <t>Penyusunan Laporan Kinerja Instansi Pemerintah</t>
        </is>
      </c>
      <c r="F292" s="332" t="inlineStr">
        <is>
          <t>Sekretariat</t>
        </is>
      </c>
      <c r="G292" s="332" t="n"/>
    </row>
    <row r="293">
      <c r="D293" s="332" t="n">
        <v>291</v>
      </c>
      <c r="E293" s="332" t="inlineStr">
        <is>
          <t>Penyusunan Laporan Penyelenggaraan Pemerintah Daerah</t>
        </is>
      </c>
      <c r="F293" s="332" t="inlineStr">
        <is>
          <t>Sekretariat</t>
        </is>
      </c>
      <c r="G293" s="332" t="n"/>
    </row>
    <row r="294">
      <c r="D294" s="332" t="n">
        <v>292</v>
      </c>
      <c r="E294" s="332" t="inlineStr">
        <is>
          <t>Penyusunan Laporan Keterangan Pertanggungjawaban</t>
        </is>
      </c>
      <c r="F294" s="332" t="inlineStr">
        <is>
          <t>Sekretariat</t>
        </is>
      </c>
      <c r="G294" s="332" t="n"/>
    </row>
    <row r="295">
      <c r="D295" s="332" t="n">
        <v>293</v>
      </c>
      <c r="E295" s="332" t="inlineStr">
        <is>
          <t>Penyelenggaraan Kepegawaian</t>
        </is>
      </c>
      <c r="F295" s="332" t="n"/>
      <c r="G295" s="332" t="n"/>
    </row>
    <row r="296">
      <c r="D296" s="332" t="n">
        <v>294</v>
      </c>
      <c r="E296" s="332" t="inlineStr">
        <is>
          <t>Aparatur Negara</t>
        </is>
      </c>
      <c r="F296" s="332" t="n"/>
      <c r="G296" s="332" t="n"/>
    </row>
    <row r="297">
      <c r="D297" s="332" t="n">
        <v>295</v>
      </c>
      <c r="E297" s="332" t="inlineStr">
        <is>
          <t>Penataan Sumber Daya Manusia Aparatur</t>
        </is>
      </c>
      <c r="F297" s="332" t="n"/>
      <c r="G297" s="332" t="n"/>
    </row>
    <row r="298">
      <c r="D298" s="332" t="n">
        <v>296</v>
      </c>
      <c r="E298" s="332" t="inlineStr">
        <is>
          <t>Pengelolaan Kenaikan Pangkat ASN</t>
        </is>
      </c>
      <c r="F298" s="332" t="n"/>
      <c r="G298" s="332" t="n"/>
    </row>
    <row r="299">
      <c r="D299" s="332" t="n">
        <v>297</v>
      </c>
      <c r="E299" s="332" t="inlineStr">
        <is>
          <t>Penyusunan Kenaikan Gaji Berkala</t>
        </is>
      </c>
      <c r="F299" s="332" t="inlineStr">
        <is>
          <t>Sekretariat</t>
        </is>
      </c>
      <c r="G299" s="332" t="n"/>
    </row>
    <row r="300">
      <c r="D300" s="332" t="n">
        <v>298</v>
      </c>
      <c r="E300" s="332" t="inlineStr">
        <is>
          <t>Pengurusan Taspen</t>
        </is>
      </c>
      <c r="F300" s="332" t="inlineStr">
        <is>
          <t>Sekretariat</t>
        </is>
      </c>
      <c r="G300" s="332" t="n"/>
    </row>
    <row r="301">
      <c r="D301" s="332" t="n">
        <v>299</v>
      </c>
      <c r="E301" s="332" t="inlineStr">
        <is>
          <t>Pengurusan BPJS</t>
        </is>
      </c>
      <c r="F301" s="332" t="inlineStr">
        <is>
          <t>Sekretariat</t>
        </is>
      </c>
      <c r="G301" s="332" t="n"/>
    </row>
    <row r="302">
      <c r="D302" s="332" t="n">
        <v>300</v>
      </c>
      <c r="E302" s="332" t="inlineStr">
        <is>
          <t>Pemberian Surat Izin Cuti bagi PNS</t>
        </is>
      </c>
      <c r="F302" s="332" t="inlineStr">
        <is>
          <t>Sekretariat</t>
        </is>
      </c>
      <c r="G302" s="332" t="n"/>
    </row>
    <row r="303">
      <c r="D303" s="332" t="n">
        <v>301</v>
      </c>
      <c r="E303" s="332" t="inlineStr">
        <is>
          <t>Pemberian Surat Permohonan Pensiun Bagi Pegawai Negeri Sipil</t>
        </is>
      </c>
      <c r="F303" s="332" t="inlineStr">
        <is>
          <t>Sekretariat</t>
        </is>
      </c>
      <c r="G303" s="332" t="n"/>
    </row>
    <row r="304">
      <c r="D304" s="332" t="n">
        <v>302</v>
      </c>
      <c r="E304" s="332" t="inlineStr">
        <is>
          <t>Pemberian Surat Permohonan Izin Belajar Bagi Pegawai Negeri Sipil</t>
        </is>
      </c>
      <c r="F304" s="332" t="inlineStr">
        <is>
          <t>Sekretariat</t>
        </is>
      </c>
      <c r="G304" s="332" t="n"/>
    </row>
    <row r="305">
      <c r="D305" s="332" t="n">
        <v>303</v>
      </c>
      <c r="E305" s="332" t="inlineStr">
        <is>
          <t>Pemberian Surat Permohonan Tugas Belajar Bagi Pegawai Negeri Sipil</t>
        </is>
      </c>
      <c r="F305" s="332" t="inlineStr">
        <is>
          <t>Sekretariat</t>
        </is>
      </c>
      <c r="G305" s="332" t="n"/>
    </row>
    <row r="306">
      <c r="D306" s="332" t="n">
        <v>304</v>
      </c>
      <c r="E306" s="332" t="inlineStr">
        <is>
          <t>Pemberian Surat Permohonan Kartu Pegawai Bagi Pegawai Negeri Sipil</t>
        </is>
      </c>
      <c r="F306" s="332" t="inlineStr">
        <is>
          <t>Sekretariat</t>
        </is>
      </c>
      <c r="G306" s="332" t="n"/>
    </row>
    <row r="307">
      <c r="D307" s="332" t="n">
        <v>305</v>
      </c>
      <c r="E307" s="332" t="inlineStr">
        <is>
          <t>Pemberian Surat Permohonan Karis/Karsu Bagi Pegawai Negeri Sipil</t>
        </is>
      </c>
      <c r="F307" s="332" t="inlineStr">
        <is>
          <t>Sekretariat</t>
        </is>
      </c>
      <c r="G307" s="332" t="n"/>
    </row>
    <row r="308">
      <c r="D308" s="332" t="n">
        <v>306</v>
      </c>
      <c r="E308" s="332" t="inlineStr">
        <is>
          <t>Pengelolaan Sistem Aplikasi Pelayanan Kepegawaian (SAPK/SIAP)</t>
        </is>
      </c>
      <c r="F308" s="332" t="inlineStr">
        <is>
          <t>Sekretariat</t>
        </is>
      </c>
      <c r="G308" s="332" t="n"/>
    </row>
    <row r="309">
      <c r="D309" s="332" t="n">
        <v>307</v>
      </c>
      <c r="E309" s="332" t="inlineStr">
        <is>
          <t>Pengelolaan Sistem Aplikasi KMOB</t>
        </is>
      </c>
      <c r="F309" s="332" t="inlineStr">
        <is>
          <t>Sekretariat</t>
        </is>
      </c>
      <c r="G309" s="332" t="n"/>
    </row>
    <row r="310">
      <c r="D310" s="332" t="n">
        <v>308</v>
      </c>
      <c r="E310" s="332" t="inlineStr">
        <is>
          <t>Pengelolaan Sistem Aplikasi TRK</t>
        </is>
      </c>
      <c r="F310" s="332" t="inlineStr">
        <is>
          <t>Sekretariat</t>
        </is>
      </c>
      <c r="G310" s="332" t="n"/>
    </row>
    <row r="311">
      <c r="D311" s="332" t="n">
        <v>309</v>
      </c>
      <c r="E311" s="332" t="inlineStr">
        <is>
          <t>Pemberian Surat Permohonan Izin Cerai Bagi Pegawai Negeri Sipil</t>
        </is>
      </c>
      <c r="F311" s="332" t="inlineStr">
        <is>
          <t>Sekretariat</t>
        </is>
      </c>
      <c r="G311" s="332" t="n"/>
    </row>
    <row r="312">
      <c r="D312" s="332" t="n">
        <v>310</v>
      </c>
      <c r="E312" s="332" t="inlineStr">
        <is>
          <t>Penataan Sistem Kelembagaan</t>
        </is>
      </c>
      <c r="F312" s="332" t="n"/>
      <c r="G312" s="332" t="n"/>
    </row>
    <row r="313">
      <c r="D313" s="332" t="n">
        <v>311</v>
      </c>
      <c r="E313" s="332" t="inlineStr">
        <is>
          <t>Pengelolaan dan Pengembangan Kelembagaan dan Analisis Jabatan</t>
        </is>
      </c>
      <c r="F313" s="332" t="n"/>
      <c r="G313" s="332" t="n"/>
    </row>
    <row r="314">
      <c r="D314" s="332" t="n">
        <v>312</v>
      </c>
      <c r="E314" s="332" t="inlineStr">
        <is>
          <t>Penyusunan Analisis Jabatan</t>
        </is>
      </c>
      <c r="F314" s="332" t="inlineStr">
        <is>
          <t>Sekretariat</t>
        </is>
      </c>
      <c r="G314" s="332" t="n"/>
    </row>
    <row r="315">
      <c r="D315" s="332" t="n">
        <v>313</v>
      </c>
      <c r="E315" s="332" t="inlineStr">
        <is>
          <t>Penyusunan Analisis Beban Kerja</t>
        </is>
      </c>
      <c r="F315" s="332" t="inlineStr">
        <is>
          <t>Sekretariat</t>
        </is>
      </c>
      <c r="G315" s="332" t="n"/>
    </row>
    <row r="316">
      <c r="D316" s="332" t="n">
        <v>314</v>
      </c>
      <c r="E316" s="332" t="inlineStr">
        <is>
          <t>Penyusunan Usulan Peta Jabatan</t>
        </is>
      </c>
      <c r="F316" s="332" t="inlineStr">
        <is>
          <t>Sekretariat</t>
        </is>
      </c>
      <c r="G316" s="332" t="n"/>
    </row>
    <row r="317">
      <c r="D317" s="332" t="n">
        <v>315</v>
      </c>
      <c r="E317" s="332" t="inlineStr">
        <is>
          <t>Penyusunan Evaluasi Jabatan</t>
        </is>
      </c>
      <c r="F317" s="332" t="inlineStr">
        <is>
          <t>Sekretariat</t>
        </is>
      </c>
      <c r="G317" s="332" t="n"/>
    </row>
    <row r="318">
      <c r="D318" s="332" t="n">
        <v>316</v>
      </c>
      <c r="E318" s="332" t="inlineStr">
        <is>
          <t>Penyusunan Promosi Jabatan</t>
        </is>
      </c>
      <c r="F318" s="332" t="inlineStr">
        <is>
          <t>Sekretariat</t>
        </is>
      </c>
      <c r="G318" s="332" t="n"/>
    </row>
    <row r="319">
      <c r="D319" s="332" t="n">
        <v>317</v>
      </c>
      <c r="E319" s="332" t="inlineStr">
        <is>
          <t>Penyusunan Formasi Jabatan Fungsional</t>
        </is>
      </c>
      <c r="F319" s="332" t="inlineStr">
        <is>
          <t>Sekretariat</t>
        </is>
      </c>
      <c r="G319" s="332" t="n"/>
    </row>
    <row r="320">
      <c r="D320" s="332" t="n">
        <v>318</v>
      </c>
      <c r="E320" s="332" t="inlineStr">
        <is>
          <t>Penyusunan Formasi Jabatan Fungsional Umum</t>
        </is>
      </c>
      <c r="F320" s="332" t="inlineStr">
        <is>
          <t>Sekretariat</t>
        </is>
      </c>
      <c r="G320" s="332" t="n"/>
    </row>
    <row r="321">
      <c r="D321" s="332" t="n">
        <v>319</v>
      </c>
      <c r="E321" s="332" t="inlineStr">
        <is>
          <t>Penilaian Angka Kredit Pranata Komputer</t>
        </is>
      </c>
      <c r="F321" s="332" t="inlineStr">
        <is>
          <t>Sekretariat</t>
        </is>
      </c>
      <c r="G321" s="332" t="n"/>
    </row>
    <row r="322">
      <c r="D322" s="332" t="n">
        <v>320</v>
      </c>
      <c r="E322" s="332" t="inlineStr">
        <is>
          <t>Penilaian Angka Kredit Manggala Informatika</t>
        </is>
      </c>
      <c r="F322" s="332" t="inlineStr">
        <is>
          <t>Sekretariat</t>
        </is>
      </c>
      <c r="G322" s="332" t="n"/>
    </row>
    <row r="323">
      <c r="D323" s="332" t="n">
        <v>321</v>
      </c>
      <c r="E323" s="332" t="inlineStr">
        <is>
          <t>Penilaian Angka Kredit Sandiman</t>
        </is>
      </c>
      <c r="F323" s="332" t="inlineStr">
        <is>
          <t>Sekretariat</t>
        </is>
      </c>
      <c r="G323" s="332" t="n"/>
    </row>
    <row r="324">
      <c r="D324" s="332" t="n">
        <v>322</v>
      </c>
      <c r="E324" s="332" t="inlineStr">
        <is>
          <t>Penilaian Angka Kredit Pranata Humas</t>
        </is>
      </c>
      <c r="F324" s="332" t="inlineStr">
        <is>
          <t>Sekretariat</t>
        </is>
      </c>
      <c r="G324" s="332" t="n"/>
    </row>
    <row r="325">
      <c r="D325" s="332" t="n">
        <v>323</v>
      </c>
      <c r="E325" s="332" t="inlineStr">
        <is>
          <t>Penilaian Angka Kredit Statistisi</t>
        </is>
      </c>
      <c r="F325" s="332" t="inlineStr">
        <is>
          <t>Sekretariat</t>
        </is>
      </c>
      <c r="G325" s="332" t="n"/>
    </row>
    <row r="326">
      <c r="D326" s="332" t="n">
        <v>324</v>
      </c>
      <c r="E326" s="332" t="inlineStr">
        <is>
          <t>Penyusunan Rekomendasi Standar Kompetensi Jabatan</t>
        </is>
      </c>
      <c r="F326" s="332" t="inlineStr">
        <is>
          <t>Sekretariat</t>
        </is>
      </c>
      <c r="G326" s="332" t="n"/>
    </row>
    <row r="327">
      <c r="D327" s="332" t="n">
        <v>325</v>
      </c>
      <c r="E327" s="332" t="inlineStr">
        <is>
          <t>Penyusunan Rencana Kegiatan Peningkatan Kompetensi Aparatur</t>
        </is>
      </c>
      <c r="F327" s="332" t="inlineStr">
        <is>
          <t>Sekretariat</t>
        </is>
      </c>
      <c r="G327" s="332" t="n"/>
    </row>
    <row r="328">
      <c r="D328" s="332" t="n">
        <v>326</v>
      </c>
      <c r="E328" s="332" t="inlineStr">
        <is>
          <t>Pelaksanaan Penjatuhan Hukuman Disiplin Pns</t>
        </is>
      </c>
      <c r="F328" s="332" t="inlineStr">
        <is>
          <t>Sekretariat</t>
        </is>
      </c>
      <c r="G328" s="332" t="n"/>
    </row>
    <row r="329">
      <c r="D329" s="332" t="n">
        <v>327</v>
      </c>
      <c r="E329" s="332" t="inlineStr">
        <is>
          <t>Pemberian Surat Permohonan Mutasi Antar Perangkat Daerah Bagi Pegawai Negeri Sipil</t>
        </is>
      </c>
      <c r="F329" s="332" t="inlineStr">
        <is>
          <t>Sekretariat</t>
        </is>
      </c>
      <c r="G329" s="332" t="n"/>
    </row>
    <row r="330">
      <c r="D330" s="332" t="n">
        <v>328</v>
      </c>
      <c r="E330" s="332" t="inlineStr">
        <is>
          <t>Pemberian Surat Penghargaan Satya Lancana Bagi Pegawai Negeri Sipil</t>
        </is>
      </c>
      <c r="F330" s="332" t="inlineStr">
        <is>
          <t>Sekretariat</t>
        </is>
      </c>
      <c r="G330" s="332" t="n"/>
    </row>
    <row r="331">
      <c r="D331" s="332" t="n">
        <v>329</v>
      </c>
      <c r="E331" s="332" t="inlineStr">
        <is>
          <t>Pengurusan Mutasi Antar Unit Kerja / Internal</t>
        </is>
      </c>
      <c r="F331" s="332" t="inlineStr">
        <is>
          <t>Sekretariat</t>
        </is>
      </c>
      <c r="G331" s="332" t="n"/>
    </row>
    <row r="332">
      <c r="D332" s="332" t="n">
        <v>330</v>
      </c>
      <c r="E332" s="332" t="inlineStr">
        <is>
          <t>Pelaksanaan Pelaporan Harta Kekayaan ASN dan Pejabat Negara (Lhkasn Dan Lhkpn)</t>
        </is>
      </c>
      <c r="F332" s="332" t="inlineStr">
        <is>
          <t>Sekretariat</t>
        </is>
      </c>
      <c r="G332" s="332" t="n"/>
    </row>
    <row r="333">
      <c r="D333" s="332" t="n">
        <v>331</v>
      </c>
      <c r="E333" s="332" t="inlineStr">
        <is>
          <t>Penyusunan Pemetaan Kinerja (IKI Tahunan dan Bulanan)</t>
        </is>
      </c>
      <c r="F333" s="332" t="inlineStr">
        <is>
          <t>Sekretariat</t>
        </is>
      </c>
      <c r="G333" s="332" t="n"/>
    </row>
    <row r="334">
      <c r="D334" s="332" t="n">
        <v>332</v>
      </c>
      <c r="E334" s="332" t="inlineStr">
        <is>
          <t>Informasi</t>
        </is>
      </c>
      <c r="F334" s="332" t="n"/>
      <c r="G334" s="332" t="n"/>
    </row>
    <row r="335">
      <c r="D335" s="332" t="n">
        <v>333</v>
      </c>
      <c r="E335" s="332" t="inlineStr">
        <is>
          <t>Pengelolaan Komunikasi Publik</t>
        </is>
      </c>
      <c r="F335" s="332" t="n"/>
      <c r="G335" s="332" t="n"/>
    </row>
    <row r="336">
      <c r="D336" s="332" t="n">
        <v>334</v>
      </c>
      <c r="E336" s="332" t="inlineStr">
        <is>
          <t>Penyusunan Daftar Informasi Publik</t>
        </is>
      </c>
      <c r="F336" s="332" t="inlineStr">
        <is>
          <t>Sekretariat</t>
        </is>
      </c>
      <c r="G336" s="332" t="n"/>
    </row>
    <row r="337">
      <c r="D337" s="332" t="n">
        <v>335</v>
      </c>
      <c r="E337" s="332" t="inlineStr">
        <is>
          <t>Permintaan Informasi Publik</t>
        </is>
      </c>
      <c r="F337" s="332" t="inlineStr">
        <is>
          <t>Sekretariat</t>
        </is>
      </c>
      <c r="G337" s="332" t="n"/>
    </row>
    <row r="338">
      <c r="D338" s="332" t="n">
        <v>336</v>
      </c>
      <c r="E338" s="332" t="inlineStr">
        <is>
          <t>Pengecualian Informasi secara Aktif</t>
        </is>
      </c>
      <c r="F338" s="332" t="inlineStr">
        <is>
          <t>Sekretariat</t>
        </is>
      </c>
      <c r="G338" s="332" t="n"/>
    </row>
    <row r="339">
      <c r="D339" s="332" t="n">
        <v>337</v>
      </c>
      <c r="E339" s="332" t="inlineStr">
        <is>
          <t>Pengecualian Informasi secara Pasif</t>
        </is>
      </c>
      <c r="F339" s="332" t="inlineStr">
        <is>
          <t>Sekretariat</t>
        </is>
      </c>
      <c r="G339" s="332" t="n"/>
    </row>
    <row r="340">
      <c r="D340" s="332" t="n">
        <v>338</v>
      </c>
      <c r="E340" s="332" t="inlineStr">
        <is>
          <t>Penanganan Pernyataan Keberatan</t>
        </is>
      </c>
      <c r="F340" s="332" t="inlineStr">
        <is>
          <t>Sekretariat</t>
        </is>
      </c>
      <c r="G340" s="332" t="n"/>
    </row>
    <row r="341">
      <c r="D341" s="332" t="n">
        <v>339</v>
      </c>
      <c r="E341" s="332" t="inlineStr">
        <is>
          <t>Fasilitasi Sengketa Informasi</t>
        </is>
      </c>
      <c r="F341" s="332" t="inlineStr">
        <is>
          <t>Sekretariat</t>
        </is>
      </c>
      <c r="G341" s="332" t="n"/>
    </row>
    <row r="342">
      <c r="D342" s="332" t="n">
        <v>340</v>
      </c>
      <c r="E342" s="332" t="inlineStr">
        <is>
          <t>Publikasi Kegiatan Bidang</t>
        </is>
      </c>
      <c r="F342" s="332" t="inlineStr">
        <is>
          <t>Sekretariat</t>
        </is>
      </c>
      <c r="G342" s="332" t="n"/>
    </row>
    <row r="343">
      <c r="D343" s="332" t="n">
        <v>341</v>
      </c>
      <c r="E343" s="332" t="inlineStr">
        <is>
          <t>Publikasi Informasi Dinas</t>
        </is>
      </c>
      <c r="F343" s="332" t="inlineStr">
        <is>
          <t>Sekretariat</t>
        </is>
      </c>
      <c r="G343" s="332" t="n"/>
    </row>
    <row r="344">
      <c r="D344" s="332" t="n">
        <v>342</v>
      </c>
      <c r="E344" s="332" t="inlineStr">
        <is>
          <t>Publikasi Website</t>
        </is>
      </c>
      <c r="F344" s="332" t="inlineStr">
        <is>
          <t>Sekretariat</t>
        </is>
      </c>
      <c r="G344" s="332" t="n"/>
    </row>
    <row r="345">
      <c r="D345" s="332" t="n">
        <v>343</v>
      </c>
      <c r="E345" s="332" t="inlineStr">
        <is>
          <t>Pengelolaan SP4N LAPOR</t>
        </is>
      </c>
      <c r="F345" s="332" t="inlineStr">
        <is>
          <t>Sekretariat</t>
        </is>
      </c>
      <c r="G345" s="332" t="n"/>
    </row>
    <row r="346">
      <c r="D346" s="332" t="n">
        <v>344</v>
      </c>
      <c r="E346" s="332" t="inlineStr">
        <is>
          <t>Keuangan</t>
        </is>
      </c>
      <c r="F346" s="332" t="n"/>
      <c r="G346" s="332" t="n"/>
    </row>
    <row r="347">
      <c r="D347" s="332" t="n">
        <v>345</v>
      </c>
      <c r="E347" s="332" t="inlineStr">
        <is>
          <t>Akuntansi Dan Pelaporan Keuangan</t>
        </is>
      </c>
      <c r="F347" s="332" t="n"/>
      <c r="G347" s="332" t="n"/>
    </row>
    <row r="348">
      <c r="D348" s="332" t="n">
        <v>346</v>
      </c>
      <c r="E348" s="332" t="inlineStr">
        <is>
          <t>Pelaporan Keuangan</t>
        </is>
      </c>
      <c r="F348" s="332" t="n"/>
      <c r="G348" s="332" t="n"/>
    </row>
    <row r="349">
      <c r="D349" s="332" t="n">
        <v>347</v>
      </c>
      <c r="E349" s="332" t="inlineStr">
        <is>
          <t>Verifikasi SPJ</t>
        </is>
      </c>
      <c r="F349" s="332" t="n"/>
      <c r="G349" s="332" t="n"/>
    </row>
    <row r="350">
      <c r="D350" s="332" t="n">
        <v>348</v>
      </c>
      <c r="E350" s="332" t="inlineStr">
        <is>
          <t>Pengelolaan Pengeluaran dan Belanja Daerah</t>
        </is>
      </c>
      <c r="F350" s="332" t="inlineStr">
        <is>
          <t>Sekretariat</t>
        </is>
      </c>
      <c r="G350" s="332" t="n"/>
    </row>
    <row r="351">
      <c r="D351" s="332" t="n">
        <v>349</v>
      </c>
      <c r="E351" s="332" t="inlineStr">
        <is>
          <t>Pengajuan UP</t>
        </is>
      </c>
      <c r="F351" s="332" t="inlineStr">
        <is>
          <t>Sekretariat</t>
        </is>
      </c>
      <c r="G351" s="332" t="n"/>
    </row>
    <row r="352">
      <c r="D352" s="332" t="n">
        <v>350</v>
      </c>
      <c r="E352" s="332" t="inlineStr">
        <is>
          <t>Pengajuan GU</t>
        </is>
      </c>
      <c r="F352" s="332" t="n"/>
      <c r="G352" s="332" t="n"/>
    </row>
    <row r="353">
      <c r="D353" s="332" t="n">
        <v>351</v>
      </c>
      <c r="E353" s="332" t="inlineStr">
        <is>
          <t>Pengajuan GU KKPD</t>
        </is>
      </c>
      <c r="F353" s="332" t="n"/>
      <c r="G353" s="332" t="n"/>
    </row>
    <row r="354">
      <c r="D354" s="332" t="n">
        <v>352</v>
      </c>
      <c r="E354" s="332" t="n"/>
      <c r="F354" s="332" t="inlineStr">
        <is>
          <t>Sekretariat</t>
        </is>
      </c>
      <c r="G354" s="332" t="n"/>
    </row>
    <row r="355">
      <c r="D355" s="332" t="n">
        <v>353</v>
      </c>
      <c r="E355" s="332" t="n"/>
      <c r="F355" s="332" t="inlineStr">
        <is>
          <t>Sekretariat</t>
        </is>
      </c>
      <c r="G355" s="332" t="n"/>
    </row>
    <row r="356">
      <c r="D356" s="332" t="n">
        <v>354</v>
      </c>
      <c r="E356" s="332" t="inlineStr">
        <is>
          <t>Pengajuan TU</t>
        </is>
      </c>
      <c r="F356" s="332" t="inlineStr">
        <is>
          <t>Sekretariat</t>
        </is>
      </c>
      <c r="G356" s="332" t="n"/>
    </row>
    <row r="357">
      <c r="D357" s="332" t="n">
        <v>355</v>
      </c>
      <c r="E357" s="332" t="inlineStr">
        <is>
          <t>Pengajuan LS Gaji dan Tunjangan</t>
        </is>
      </c>
      <c r="F357" s="332" t="inlineStr">
        <is>
          <t>Sekretariat</t>
        </is>
      </c>
      <c r="G357" s="332" t="n"/>
    </row>
    <row r="358">
      <c r="D358" s="332" t="n">
        <v>356</v>
      </c>
      <c r="E358" s="332" t="inlineStr">
        <is>
          <t>Pengajuan LS Barang dan Jasa</t>
        </is>
      </c>
      <c r="F358" s="332" t="inlineStr">
        <is>
          <t>Sekretariat</t>
        </is>
      </c>
      <c r="G358" s="332" t="n"/>
    </row>
    <row r="359">
      <c r="D359" s="332" t="n">
        <v>357</v>
      </c>
      <c r="E359" s="332" t="inlineStr">
        <is>
          <t>Pengajuan LS Pihak Ketiga</t>
        </is>
      </c>
      <c r="F359" s="332" t="inlineStr">
        <is>
          <t>Sekretariat</t>
        </is>
      </c>
      <c r="G359" s="332" t="n"/>
    </row>
    <row r="360">
      <c r="D360" s="332" t="n">
        <v>358</v>
      </c>
      <c r="E360" s="332" t="n"/>
      <c r="F360" s="332" t="inlineStr">
        <is>
          <t>Sekretariat</t>
        </is>
      </c>
      <c r="G360" s="332" t="n"/>
    </row>
    <row r="361">
      <c r="D361" s="332" t="n">
        <v>359</v>
      </c>
      <c r="E361" s="332" t="n"/>
      <c r="F361" s="332" t="inlineStr">
        <is>
          <t>Sekretariat</t>
        </is>
      </c>
      <c r="G361" s="332" t="n"/>
    </row>
    <row r="362">
      <c r="D362" s="332" t="n">
        <v>360</v>
      </c>
      <c r="E362" s="332" t="inlineStr">
        <is>
          <t>Pengadaan Barang/Jasa Pemerintah</t>
        </is>
      </c>
      <c r="F362" s="332" t="n"/>
      <c r="G362" s="332" t="n"/>
    </row>
    <row r="363">
      <c r="D363" s="332" t="n">
        <v>361</v>
      </c>
      <c r="E363" s="332" t="inlineStr">
        <is>
          <t>Penyusunan Standar Kebutuhan Barang setiap Pegawai</t>
        </is>
      </c>
      <c r="F363" s="332" t="inlineStr">
        <is>
          <t>Sekretariat</t>
        </is>
      </c>
      <c r="G363" s="332" t="n"/>
    </row>
    <row r="364">
      <c r="D364" s="332" t="n">
        <v>362</v>
      </c>
      <c r="E364" s="332" t="inlineStr">
        <is>
          <t>Permohonan Permintaan Barang</t>
        </is>
      </c>
      <c r="F364" s="332" t="inlineStr">
        <is>
          <t>Sekretariat</t>
        </is>
      </c>
      <c r="G364" s="332" t="n"/>
    </row>
    <row r="365">
      <c r="D365" s="332" t="n">
        <v>363</v>
      </c>
      <c r="E365" s="332" t="inlineStr">
        <is>
          <t>Penyusunan Rencana Kebutuhan Barang Milik Daerah (RKBMD) Tahap 1</t>
        </is>
      </c>
      <c r="F365" s="332" t="inlineStr">
        <is>
          <t>Sekretariat</t>
        </is>
      </c>
      <c r="G365" s="332" t="n"/>
    </row>
    <row r="366">
      <c r="D366" s="332" t="n">
        <v>364</v>
      </c>
      <c r="E366" s="332" t="inlineStr">
        <is>
          <t>Penyusunan Rencana Kebutuhan Barang Milik Daerah (RKBMD) Tahap 2</t>
        </is>
      </c>
      <c r="F366" s="332" t="inlineStr">
        <is>
          <t>Sekretariat</t>
        </is>
      </c>
      <c r="G366" s="332" t="n"/>
    </row>
    <row r="367">
      <c r="D367" s="332" t="n">
        <v>365</v>
      </c>
      <c r="E367" s="332" t="inlineStr">
        <is>
          <t>Penyusunan Rencana Kebutuhan Barang Milik Daerah (RKBMD) Tahap 3</t>
        </is>
      </c>
      <c r="F367" s="332" t="inlineStr">
        <is>
          <t>Sekretariat</t>
        </is>
      </c>
      <c r="G367" s="332" t="n"/>
    </row>
    <row r="368">
      <c r="D368" s="332" t="n">
        <v>366</v>
      </c>
      <c r="E368" s="332" t="inlineStr">
        <is>
          <t>Pendistibusian Barang Milik Daerah (BMD)</t>
        </is>
      </c>
      <c r="F368" s="332" t="inlineStr">
        <is>
          <t>Sekretariat</t>
        </is>
      </c>
      <c r="G368" s="332" t="n"/>
    </row>
    <row r="369">
      <c r="D369" s="332" t="n">
        <v>367</v>
      </c>
      <c r="E369" s="332" t="inlineStr">
        <is>
          <t>Laporan Hasil Pengadaan Barang Milik Daerah (BMD)</t>
        </is>
      </c>
      <c r="F369" s="332" t="inlineStr">
        <is>
          <t>Sekretariat</t>
        </is>
      </c>
      <c r="G369" s="332" t="n"/>
    </row>
    <row r="370">
      <c r="D370" s="332" t="n">
        <v>368</v>
      </c>
      <c r="E370" s="332" t="inlineStr">
        <is>
          <t>Pengelolaan Kekayaan Negara</t>
        </is>
      </c>
      <c r="F370" s="332" t="n"/>
      <c r="G370" s="332" t="n"/>
    </row>
    <row r="371">
      <c r="D371" s="332" t="n">
        <v>369</v>
      </c>
      <c r="E371" s="332" t="inlineStr">
        <is>
          <t>Pelaksanaan Inventarisasi Barang Milik Daerah (BMD)</t>
        </is>
      </c>
      <c r="F371" s="332" t="inlineStr">
        <is>
          <t>Sekretariat</t>
        </is>
      </c>
      <c r="G371" s="332" t="n"/>
    </row>
    <row r="372">
      <c r="D372" s="332" t="n">
        <v>370</v>
      </c>
      <c r="E372" s="332" t="inlineStr">
        <is>
          <t>Penghapusan Barang Milik Daerah (BMD)</t>
        </is>
      </c>
      <c r="F372" s="332" t="inlineStr">
        <is>
          <t>Sekretariat</t>
        </is>
      </c>
      <c r="G372" s="332" t="n"/>
    </row>
    <row r="373">
      <c r="D373" s="332" t="n">
        <v>371</v>
      </c>
      <c r="E373" s="332" t="inlineStr">
        <is>
          <t>Pemusnahan Barang Milik Daerah (BMD)</t>
        </is>
      </c>
      <c r="F373" s="332" t="inlineStr">
        <is>
          <t>Sekretariat</t>
        </is>
      </c>
      <c r="G373" s="332" t="n"/>
    </row>
    <row r="374">
      <c r="D374" s="332" t="n">
        <v>372</v>
      </c>
      <c r="E374" s="332" t="inlineStr">
        <is>
          <t>Penyusunan Laporan Barang Milik Daerah (BMD)</t>
        </is>
      </c>
      <c r="F374" s="332" t="inlineStr">
        <is>
          <t>Sekretariat</t>
        </is>
      </c>
      <c r="G374" s="332" t="n"/>
    </row>
    <row r="375">
      <c r="D375" s="332" t="n">
        <v>373</v>
      </c>
      <c r="E375" s="332" t="inlineStr">
        <is>
          <t>Peminjaman Barang Milik Daerah (BMD)</t>
        </is>
      </c>
      <c r="F375" s="332" t="inlineStr">
        <is>
          <t>Sekretariat</t>
        </is>
      </c>
      <c r="G375" s="332" t="n"/>
    </row>
    <row r="376">
      <c r="D376" s="332" t="n">
        <v>374</v>
      </c>
      <c r="E376" s="332" t="inlineStr">
        <is>
          <t>Peminjaman Kendaraan R2/R4</t>
        </is>
      </c>
      <c r="F376" s="332" t="inlineStr">
        <is>
          <t>Sekretariat</t>
        </is>
      </c>
      <c r="G376" s="332" t="n"/>
    </row>
    <row r="377">
      <c r="D377" s="332" t="n">
        <v>375</v>
      </c>
      <c r="E377" s="332" t="inlineStr">
        <is>
          <t>Peminjaman Ruangan Rapat</t>
        </is>
      </c>
      <c r="F377" s="332" t="inlineStr">
        <is>
          <t>Sekretariat</t>
        </is>
      </c>
      <c r="G377" s="332" t="n"/>
    </row>
    <row r="378">
      <c r="D378" s="332" t="n">
        <v>376</v>
      </c>
      <c r="E378" s="332" t="inlineStr">
        <is>
          <t>Laporan Pemeliharaan Barang Milik Daerah (BMD)</t>
        </is>
      </c>
      <c r="F378" s="332" t="inlineStr">
        <is>
          <t>Sekretariat</t>
        </is>
      </c>
      <c r="G378" s="332" t="n"/>
    </row>
    <row r="379">
      <c r="D379" s="332" t="n">
        <v>377</v>
      </c>
      <c r="E379" s="332" t="inlineStr">
        <is>
          <t>Pemeliharaan Kendaraan Dinas</t>
        </is>
      </c>
      <c r="F379" s="332" t="n"/>
      <c r="G379" s="332" t="n"/>
    </row>
    <row r="380">
      <c r="D380" s="332" t="n">
        <v>378</v>
      </c>
      <c r="E380" s="332" t="inlineStr">
        <is>
          <t>Pemeliharaan Gedung Kantor</t>
        </is>
      </c>
      <c r="F380" s="332" t="inlineStr">
        <is>
          <t>Sekretariat</t>
        </is>
      </c>
      <c r="G380" s="332" t="n"/>
    </row>
    <row r="381">
      <c r="D381" s="332" t="n">
        <v>379</v>
      </c>
      <c r="E381" s="332" t="inlineStr">
        <is>
          <t>Pemeliharaan Peralatan Kerja</t>
        </is>
      </c>
      <c r="F381" s="332" t="inlineStr">
        <is>
          <t>Sekretariat</t>
        </is>
      </c>
      <c r="G381" s="332" t="n"/>
    </row>
    <row r="382">
      <c r="D382" s="332" t="n">
        <v>380</v>
      </c>
      <c r="E382" s="332" t="inlineStr">
        <is>
          <t>Permohonan Penetapan Status Penggunaan Barang Milik Daerah (BMD)</t>
        </is>
      </c>
      <c r="F382" s="332" t="inlineStr">
        <is>
          <t>Sekretariat</t>
        </is>
      </c>
      <c r="G382" s="332" t="n"/>
    </row>
    <row r="383">
      <c r="D383" s="332" t="n">
        <v>381</v>
      </c>
      <c r="E383" s="332" t="inlineStr">
        <is>
          <t>Kesekretariatan Negara</t>
        </is>
      </c>
      <c r="F383" s="332" t="n"/>
      <c r="G383" s="332" t="n"/>
    </row>
    <row r="384">
      <c r="D384" s="332" t="n">
        <v>382</v>
      </c>
      <c r="E384" s="332" t="inlineStr">
        <is>
          <t>Penyelenggaraan Kegiatan Presiden Dan Wakil Presiden Melalui Dukungan Kerumahtanggaan, Keprotokolan, Pers Media, Dokumentasi Dan Diseminasi Informasi, Serta Koordinasi Pengamanan</t>
        </is>
      </c>
      <c r="F384" s="332" t="n"/>
      <c r="G384" s="332" t="n"/>
    </row>
    <row r="385">
      <c r="D385" s="332" t="n">
        <v>383</v>
      </c>
      <c r="E385" s="332" t="inlineStr">
        <is>
          <t>Penyelenggaraan Kegiatan Pemerintah Daerah melalui Dukungan Kerumahtanggan</t>
        </is>
      </c>
      <c r="F385" s="332" t="n"/>
      <c r="G385" s="332" t="n"/>
    </row>
    <row r="386">
      <c r="D386" s="332" t="n">
        <v>384</v>
      </c>
      <c r="E386" s="332" t="inlineStr">
        <is>
          <t>Konsultasi Tamu</t>
        </is>
      </c>
      <c r="F386" s="332" t="inlineStr">
        <is>
          <t>Sekretariat</t>
        </is>
      </c>
      <c r="G386" s="332" t="n"/>
    </row>
    <row r="387">
      <c r="D387" s="332" t="n">
        <v>385</v>
      </c>
      <c r="E387" s="332" t="inlineStr">
        <is>
          <t>Kunjungan Tamu</t>
        </is>
      </c>
      <c r="F387" s="332" t="inlineStr">
        <is>
          <t>Sekretariat</t>
        </is>
      </c>
      <c r="G387" s="332" t="n"/>
    </row>
    <row r="388">
      <c r="D388" s="332" t="n">
        <v>386</v>
      </c>
      <c r="E388" s="332" t="inlineStr">
        <is>
          <t>Permohonan Magang</t>
        </is>
      </c>
      <c r="F388" s="332" t="inlineStr">
        <is>
          <t>Sekretariat</t>
        </is>
      </c>
      <c r="G388" s="332" t="n"/>
    </row>
    <row r="389">
      <c r="D389" s="332" t="n">
        <v>387</v>
      </c>
      <c r="E389" s="332" t="inlineStr">
        <is>
          <t>Penerimaan Kunjungan Kerja</t>
        </is>
      </c>
      <c r="F389" s="332" t="inlineStr">
        <is>
          <t>Sekretariat</t>
        </is>
      </c>
      <c r="G389" s="332" t="n"/>
    </row>
    <row r="390">
      <c r="D390" s="332" t="n">
        <v>388</v>
      </c>
      <c r="E390" s="332" t="inlineStr">
        <is>
          <t>Pelaksanaan Rapat Dinas</t>
        </is>
      </c>
      <c r="F390" s="332" t="inlineStr">
        <is>
          <t>Sekretariat</t>
        </is>
      </c>
      <c r="G390" s="332" t="n"/>
    </row>
    <row r="391">
      <c r="D391" s="332" t="n">
        <v>389</v>
      </c>
      <c r="E391" s="332" t="inlineStr">
        <is>
          <t>Penyelenggaraan Sosialisasi</t>
        </is>
      </c>
      <c r="F391" s="332" t="inlineStr">
        <is>
          <t>Sekretariat</t>
        </is>
      </c>
      <c r="G391" s="332" t="n"/>
    </row>
    <row r="392">
      <c r="D392" s="332" t="n">
        <v>390</v>
      </c>
      <c r="E392" s="332" t="inlineStr">
        <is>
          <t>Administrasi Perjalanan Dinas</t>
        </is>
      </c>
      <c r="F392" s="332" t="inlineStr">
        <is>
          <t>Sekretariat</t>
        </is>
      </c>
      <c r="G392" s="332" t="n"/>
    </row>
    <row r="393">
      <c r="D393" s="332" t="n">
        <v>391</v>
      </c>
      <c r="E393" s="332" t="inlineStr">
        <is>
          <t>Fasilitasi Ruang Rapat dan Konsumsi Rapat</t>
        </is>
      </c>
      <c r="F393" s="332" t="inlineStr">
        <is>
          <t>Sekretariat</t>
        </is>
      </c>
      <c r="G393" s="332" t="n"/>
    </row>
    <row r="394">
      <c r="D394" s="332" t="n">
        <v>392</v>
      </c>
      <c r="E394" s="332" t="inlineStr">
        <is>
          <t>Fasilitasi Jamuan Snack/Mamin</t>
        </is>
      </c>
      <c r="F394" s="332" t="inlineStr">
        <is>
          <t>Sekretariat</t>
        </is>
      </c>
      <c r="G394" s="332" t="n"/>
    </row>
    <row r="395">
      <c r="D395" s="332" t="n">
        <v>393</v>
      </c>
      <c r="E395" s="332" t="inlineStr">
        <is>
          <t>Pelaksanaan Penjagaan Keamanan Gedung Kantor</t>
        </is>
      </c>
      <c r="F395" s="332" t="inlineStr">
        <is>
          <t>Sekretariat</t>
        </is>
      </c>
      <c r="G395" s="332" t="n"/>
    </row>
    <row r="396">
      <c r="D396" s="332" t="n">
        <v>394</v>
      </c>
      <c r="E396" s="332" t="inlineStr">
        <is>
          <t>Penyusunan Notulensi Rapat Teknis Oleh Kepala Sub Bagian</t>
        </is>
      </c>
      <c r="F396" s="332" t="inlineStr">
        <is>
          <t>Sekretariat</t>
        </is>
      </c>
      <c r="G396" s="332" t="n"/>
    </row>
    <row r="397">
      <c r="D397" s="332" t="n">
        <v>395</v>
      </c>
      <c r="E397" s="332" t="inlineStr">
        <is>
          <t>Pelaksanaan Rapat Internal/ Teknis</t>
        </is>
      </c>
      <c r="F397" s="332" t="inlineStr">
        <is>
          <t>Sekretariat</t>
        </is>
      </c>
      <c r="G397" s="332" t="n"/>
    </row>
    <row r="398">
      <c r="D398" s="332" t="n">
        <v>396</v>
      </c>
      <c r="E398" s="332" t="inlineStr">
        <is>
          <t>Penyusunan Pengeluaran Disposisi/ Penugasan</t>
        </is>
      </c>
      <c r="F398" s="332" t="inlineStr">
        <is>
          <t>Sekretariat</t>
        </is>
      </c>
      <c r="G398" s="332" t="n"/>
    </row>
    <row r="399">
      <c r="D399" s="332" t="n">
        <v>397</v>
      </c>
      <c r="E399" s="332" t="inlineStr">
        <is>
          <t>Pelaksanaan Pendokumentasian Kegiatan</t>
        </is>
      </c>
      <c r="F399" s="332" t="inlineStr">
        <is>
          <t>Sekretariat</t>
        </is>
      </c>
      <c r="G399" s="332" t="n"/>
    </row>
    <row r="400">
      <c r="D400" s="332" t="n">
        <v>398</v>
      </c>
      <c r="E400" s="332" t="inlineStr">
        <is>
          <t>Pembuatan Akun Access Control Magang</t>
        </is>
      </c>
      <c r="F400" s="332" t="inlineStr">
        <is>
          <t>Sekretariat</t>
        </is>
      </c>
      <c r="G400" s="332" t="n"/>
    </row>
    <row r="401">
      <c r="D401" s="332" t="n">
        <v>399</v>
      </c>
      <c r="E401" s="332" t="inlineStr">
        <is>
          <t>Penghapusan Akun Access Control Magang</t>
        </is>
      </c>
      <c r="F401" s="332" t="inlineStr">
        <is>
          <t>Sekretariat</t>
        </is>
      </c>
      <c r="G401" s="332" t="n"/>
    </row>
    <row r="402">
      <c r="D402" s="332" t="n">
        <v>400</v>
      </c>
      <c r="E402" s="332" t="inlineStr">
        <is>
          <t>Penyelenggaraan Kegiatan Pemerintah Daerah melalui Dukungan Ketatausahaan</t>
        </is>
      </c>
      <c r="F402" s="332" t="n"/>
      <c r="G402" s="332" t="n"/>
    </row>
    <row r="403">
      <c r="D403" s="332" t="n">
        <v>401</v>
      </c>
      <c r="E403" s="332" t="inlineStr">
        <is>
          <t>Penyusunan Program Kerja Sekretariat</t>
        </is>
      </c>
      <c r="F403" s="332" t="inlineStr">
        <is>
          <t>Sekretariat</t>
        </is>
      </c>
      <c r="G403" s="332" t="n"/>
    </row>
    <row r="404">
      <c r="D404" s="332" t="n">
        <v>402</v>
      </c>
      <c r="E404" s="332" t="inlineStr">
        <is>
          <t>Penyusunan Bahan Kebijakan ditandatangani Gubernur</t>
        </is>
      </c>
      <c r="F404" s="332" t="inlineStr">
        <is>
          <t>Sekretariat</t>
        </is>
      </c>
      <c r="G404" s="332" t="n"/>
    </row>
    <row r="405">
      <c r="D405" s="332" t="n">
        <v>403</v>
      </c>
      <c r="E405" s="332" t="inlineStr">
        <is>
          <t>Penyusunan Nota Pengantar Bahan Kebijakan Teknis</t>
        </is>
      </c>
      <c r="F405" s="332" t="inlineStr">
        <is>
          <t>Sekretariat</t>
        </is>
      </c>
      <c r="G405" s="332" t="n"/>
    </row>
    <row r="406">
      <c r="D406" s="332" t="n">
        <v>404</v>
      </c>
      <c r="E406" s="332" t="inlineStr">
        <is>
          <t>Pelaksanaan Rapat Koordinasi Rancangan Kebijakan</t>
        </is>
      </c>
      <c r="F406" s="332" t="inlineStr">
        <is>
          <t>Sekretariat</t>
        </is>
      </c>
      <c r="G406" s="332" t="n"/>
    </row>
    <row r="407">
      <c r="D407" s="332" t="n">
        <v>405</v>
      </c>
      <c r="E407" s="332" t="inlineStr">
        <is>
          <t>Pelaksanaan Rapat Pengkajian Bahan Saran Pertimbangan</t>
        </is>
      </c>
      <c r="F407" s="332" t="inlineStr">
        <is>
          <t>Sekretariat</t>
        </is>
      </c>
      <c r="G407" s="332" t="n"/>
    </row>
    <row r="408">
      <c r="D408" s="332" t="n">
        <v>406</v>
      </c>
      <c r="E408" s="332" t="inlineStr">
        <is>
          <t>Kebudayaan</t>
        </is>
      </c>
      <c r="F408" s="332" t="n"/>
      <c r="G408" s="332" t="n"/>
    </row>
    <row r="409">
      <c r="D409" s="332" t="n">
        <v>407</v>
      </c>
      <c r="E409" s="332" t="inlineStr">
        <is>
          <t>Pengelolaan Koleksi Perpustakaan Dan Akses Informasi</t>
        </is>
      </c>
      <c r="F409" s="332" t="n"/>
      <c r="G409" s="332" t="n"/>
    </row>
    <row r="410">
      <c r="D410" s="332" t="n">
        <v>408</v>
      </c>
      <c r="E410" s="332" t="inlineStr">
        <is>
          <t>Pelayanan Perpusatakaan dan Pelayanan Kearsipan</t>
        </is>
      </c>
      <c r="F410" s="332" t="n"/>
      <c r="G410" s="332" t="n"/>
    </row>
    <row r="411">
      <c r="D411" s="332" t="n">
        <v>409</v>
      </c>
      <c r="E411" s="332" t="inlineStr">
        <is>
          <t>Aparatur Negara</t>
        </is>
      </c>
      <c r="F411" s="332" t="n"/>
      <c r="G411" s="332" t="n"/>
    </row>
    <row r="412">
      <c r="D412" s="332" t="n">
        <v>410</v>
      </c>
      <c r="E412" s="332" t="inlineStr">
        <is>
          <t>Penyelenggaraan Kearsipan</t>
        </is>
      </c>
      <c r="F412" s="332" t="inlineStr">
        <is>
          <t>Sekretariat</t>
        </is>
      </c>
      <c r="G412" s="332" t="n"/>
    </row>
    <row r="413">
      <c r="D413" s="332" t="n">
        <v>411</v>
      </c>
      <c r="E413" s="332" t="inlineStr">
        <is>
          <t>Pengelolaan Arsip Statis</t>
        </is>
      </c>
      <c r="F413" s="332" t="inlineStr">
        <is>
          <t>Sekretariat</t>
        </is>
      </c>
      <c r="G413" s="332" t="n"/>
    </row>
    <row r="414">
      <c r="D414" s="332" t="n">
        <v>412</v>
      </c>
      <c r="E414" s="332" t="inlineStr">
        <is>
          <t>Pemeliharaan Arsip</t>
        </is>
      </c>
      <c r="F414" s="332" t="inlineStr">
        <is>
          <t>Sekretariat</t>
        </is>
      </c>
      <c r="G414" s="332" t="n"/>
    </row>
    <row r="415">
      <c r="D415" s="332" t="n">
        <v>413</v>
      </c>
      <c r="E415" s="332" t="inlineStr">
        <is>
          <t>Alih Media Arsip (Generik)</t>
        </is>
      </c>
      <c r="F415" s="332" t="n"/>
      <c r="G415" s="332" t="n"/>
    </row>
    <row r="416">
      <c r="D416" s="332" t="n">
        <v>414</v>
      </c>
      <c r="E416" s="332" t="inlineStr">
        <is>
          <t>Penyusutan Arsip</t>
        </is>
      </c>
      <c r="F416" s="332" t="inlineStr">
        <is>
          <t>Sekretariat</t>
        </is>
      </c>
      <c r="G416" s="332" t="n"/>
    </row>
    <row r="417">
      <c r="D417" s="332" t="n">
        <v>415</v>
      </c>
      <c r="E417" s="332" t="inlineStr">
        <is>
          <t>Penyusunan Daftar Arsip Statis</t>
        </is>
      </c>
      <c r="F417" s="332" t="inlineStr">
        <is>
          <t>Sekretariat</t>
        </is>
      </c>
      <c r="G417" s="332" t="n"/>
    </row>
    <row r="418">
      <c r="D418" s="332" t="n">
        <v>416</v>
      </c>
      <c r="E418" s="332" t="inlineStr">
        <is>
          <t>Pengelolaan Arsip Dinamis</t>
        </is>
      </c>
      <c r="F418" s="332" t="n"/>
      <c r="G418" s="332" t="n"/>
    </row>
    <row r="419">
      <c r="D419" s="332" t="n">
        <v>417</v>
      </c>
      <c r="E419" s="332" t="inlineStr">
        <is>
          <t>Penciptaan Arsip</t>
        </is>
      </c>
      <c r="F419" s="332" t="inlineStr">
        <is>
          <t>Sekretariat</t>
        </is>
      </c>
      <c r="G419" s="332" t="n"/>
    </row>
    <row r="420">
      <c r="D420" s="332" t="n">
        <v>418</v>
      </c>
      <c r="E420" s="332" t="inlineStr">
        <is>
          <t>Pengelolaan Naskah Dinas Masuk (Manual)</t>
        </is>
      </c>
      <c r="F420" s="332" t="inlineStr">
        <is>
          <t>Sekretariat</t>
        </is>
      </c>
      <c r="G420" s="332" t="n"/>
    </row>
    <row r="421">
      <c r="D421" s="332" t="n">
        <v>419</v>
      </c>
      <c r="E421" s="332" t="inlineStr">
        <is>
          <t>Pengelolaan Naskah Dinas Keluar (Manual)</t>
        </is>
      </c>
      <c r="F421" s="332" t="inlineStr">
        <is>
          <t>Sekretariat</t>
        </is>
      </c>
      <c r="G421" s="332" t="n"/>
    </row>
    <row r="422">
      <c r="D422" s="332" t="n">
        <v>420</v>
      </c>
      <c r="E422" s="332" t="inlineStr">
        <is>
          <t>Pengelolaan Naskah Dinas Masuk via email Dinas</t>
        </is>
      </c>
      <c r="F422" s="332" t="inlineStr">
        <is>
          <t>Sekretariat</t>
        </is>
      </c>
      <c r="G422" s="332" t="n"/>
    </row>
    <row r="423">
      <c r="D423" s="332" t="n">
        <v>421</v>
      </c>
      <c r="E423" s="332" t="inlineStr">
        <is>
          <t>Pengelolaan Naskah Dinas Keluar via email Dinas</t>
        </is>
      </c>
      <c r="F423" s="332" t="inlineStr">
        <is>
          <t>Sekretariat</t>
        </is>
      </c>
      <c r="G423" s="332" t="n"/>
    </row>
    <row r="424">
      <c r="D424" s="332" t="n">
        <v>422</v>
      </c>
      <c r="E424" s="332" t="inlineStr">
        <is>
          <t>Pengelolaan Naskah Dinas Masuk Melalui Aplikasi Kearsipan</t>
        </is>
      </c>
      <c r="F424" s="332" t="n"/>
      <c r="G424" s="332" t="n"/>
    </row>
    <row r="425">
      <c r="D425" s="332" t="n">
        <v>423</v>
      </c>
      <c r="E425" s="332" t="inlineStr">
        <is>
          <t>Pengelolaan Naskah Dinas Keluar Melalui Aplikasi Kearsipan</t>
        </is>
      </c>
      <c r="F425" s="332" t="inlineStr">
        <is>
          <t>Sekretariat</t>
        </is>
      </c>
      <c r="G425" s="332" t="n"/>
    </row>
    <row r="426">
      <c r="D426" s="332" t="n">
        <v>424</v>
      </c>
      <c r="E426" s="332" t="inlineStr">
        <is>
          <t>Penggunaan Arsip</t>
        </is>
      </c>
      <c r="F426" s="332" t="n"/>
      <c r="G426" s="332" t="n"/>
    </row>
    <row r="427">
      <c r="D427" s="332" t="n">
        <v>425</v>
      </c>
      <c r="E427" s="332" t="inlineStr">
        <is>
          <t>Pemberkasan Arsip Aktif pada Sekretariat dan Bidang (Manual)</t>
        </is>
      </c>
      <c r="F427" s="332" t="inlineStr">
        <is>
          <t>Sekretariat</t>
        </is>
      </c>
      <c r="G427" s="332" t="n"/>
    </row>
    <row r="428">
      <c r="D428" s="332" t="n">
        <v>426</v>
      </c>
      <c r="E428" s="332" t="inlineStr">
        <is>
          <t>Pemberkasan Arsip Aktif pada Sekretariat dan Bidang Melalui Aplikasi Kearsipan</t>
        </is>
      </c>
      <c r="F428" s="332" t="inlineStr">
        <is>
          <t>Sekretariat</t>
        </is>
      </c>
      <c r="G428" s="332" t="n"/>
    </row>
    <row r="429">
      <c r="D429" s="332" t="n">
        <v>427</v>
      </c>
      <c r="E429" s="332" t="inlineStr">
        <is>
          <t>Pengolahan Informasi Arsip pada Bidang dan Sekretariat</t>
        </is>
      </c>
      <c r="F429" s="332" t="inlineStr">
        <is>
          <t>Sekretariat</t>
        </is>
      </c>
      <c r="G429" s="332" t="n"/>
    </row>
    <row r="430">
      <c r="D430" s="332" t="n">
        <v>428</v>
      </c>
      <c r="E430" s="332" t="inlineStr">
        <is>
          <t>Peminjaman Arsip Inaktif</t>
        </is>
      </c>
      <c r="F430" s="332" t="inlineStr">
        <is>
          <t>Sekretariat</t>
        </is>
      </c>
      <c r="G430" s="332" t="n"/>
    </row>
    <row r="431">
      <c r="D431" s="332" t="n">
        <v>429</v>
      </c>
      <c r="E431" s="332" t="inlineStr">
        <is>
          <t>Pemeliharaan Arsip</t>
        </is>
      </c>
      <c r="F431" s="332" t="inlineStr">
        <is>
          <t>Sekretariat</t>
        </is>
      </c>
      <c r="G431" s="332" t="n"/>
    </row>
    <row r="432">
      <c r="D432" s="332" t="n">
        <v>430</v>
      </c>
      <c r="E432" s="332" t="inlineStr">
        <is>
          <t>Identifikasi Arsip Vital</t>
        </is>
      </c>
      <c r="F432" s="332" t="n"/>
      <c r="G432" s="332" t="n"/>
    </row>
    <row r="433">
      <c r="D433" s="332" t="n">
        <v>431</v>
      </c>
      <c r="E433" s="332" t="inlineStr">
        <is>
          <t>Alih Media Arsip (Generik)</t>
        </is>
      </c>
      <c r="F433" s="332" t="n"/>
      <c r="G433" s="332" t="n"/>
    </row>
    <row r="434">
      <c r="D434" s="332" t="n">
        <v>432</v>
      </c>
      <c r="E434" s="332" t="inlineStr">
        <is>
          <t>Penataan Arsip Inaktif Tidak Teratur pada Record Center</t>
        </is>
      </c>
      <c r="F434" s="332" t="n"/>
      <c r="G434" s="332" t="n"/>
    </row>
    <row r="435">
      <c r="D435" s="332" t="n">
        <v>433</v>
      </c>
      <c r="E435" s="332" t="inlineStr">
        <is>
          <t>Penyusutan Arsip</t>
        </is>
      </c>
      <c r="F435" s="332" t="n"/>
      <c r="G435" s="332" t="n"/>
    </row>
    <row r="436">
      <c r="D436" s="332" t="n">
        <v>434</v>
      </c>
      <c r="E436" s="332" t="inlineStr">
        <is>
          <t>Penyeleksian Arsip yang akan dipindahkan</t>
        </is>
      </c>
      <c r="F436" s="332" t="n"/>
      <c r="G436" s="332" t="n"/>
    </row>
    <row r="437">
      <c r="D437" s="332" t="n">
        <v>435</v>
      </c>
      <c r="E437" s="332" t="inlineStr">
        <is>
          <t>Pemusnahan Arsip sesuai Jadwal Retensi Arsip</t>
        </is>
      </c>
      <c r="F437" s="332" t="inlineStr">
        <is>
          <t>Sekretariat</t>
        </is>
      </c>
      <c r="G437" s="332"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D1:F541"/>
  <sheetViews>
    <sheetView workbookViewId="0">
      <selection activeCell="A1" sqref="A1"/>
    </sheetView>
  </sheetViews>
  <sheetFormatPr baseColWidth="8" defaultColWidth="12.63" defaultRowHeight="15.75" customHeight="1"/>
  <cols>
    <col width="41.75" customWidth="1" style="346" min="4" max="4"/>
    <col width="64.63" customWidth="1" style="346" min="5" max="5"/>
    <col width="73.25" customWidth="1" style="346" min="6" max="6"/>
  </cols>
  <sheetData>
    <row r="1">
      <c r="D1" s="336" t="inlineStr">
        <is>
          <t>Nama dari layanan yang dihasilkan oleh unit
kerja/perangkat daerah</t>
        </is>
      </c>
      <c r="E1" s="337" t="inlineStr">
        <is>
          <t>Penanggung jawab layanan berdasarkan probis</t>
        </is>
      </c>
      <c r="F1" s="338" t="inlineStr">
        <is>
          <t>Keterkaitan dengan proses bisnis</t>
        </is>
      </c>
    </row>
    <row r="2">
      <c r="D2" s="339" t="inlineStr">
        <is>
          <t xml:space="preserve">Nama Layanan </t>
        </is>
      </c>
      <c r="E2" s="339" t="inlineStr">
        <is>
          <t>Penanggung jawab layanan berdasarkan probis</t>
        </is>
      </c>
      <c r="F2" s="339" t="inlineStr">
        <is>
          <t>Proses bisnis</t>
        </is>
      </c>
    </row>
    <row r="3">
      <c r="D3" s="340" t="n"/>
      <c r="E3" s="340" t="n"/>
      <c r="F3" s="340" t="n"/>
    </row>
    <row r="4">
      <c r="D4" s="340" t="n"/>
      <c r="E4" s="340" t="n"/>
      <c r="F4" s="340" t="n"/>
    </row>
    <row r="5">
      <c r="D5" s="341" t="inlineStr">
        <is>
          <t>Layanan Mail Jabarprov</t>
        </is>
      </c>
      <c r="E5" s="342" t="inlineStr">
        <is>
          <t>APTIKA</t>
        </is>
      </c>
      <c r="F5" s="343" t="inlineStr">
        <is>
          <t>1. Fasilitasi Pembuatan eMail Jabarprov 
2. Fasilitasi Reset Password Akun eMail Jabarprov
3. Fasilitasi Penonaktifan Akun eMail Jabarprov</t>
        </is>
      </c>
    </row>
    <row r="6">
      <c r="D6" s="341" t="inlineStr">
        <is>
          <t>Pendaftaran Sistem Elektronik</t>
        </is>
      </c>
      <c r="E6" s="342" t="inlineStr">
        <is>
          <t>APTIKA</t>
        </is>
      </c>
      <c r="F6" s="343" t="inlineStr">
        <is>
          <t xml:space="preserve">1. Pendaftaran Sistem Elektronik </t>
        </is>
      </c>
    </row>
    <row r="7">
      <c r="D7" s="341" t="inlineStr">
        <is>
          <t>Layanan Pendaftaran Domain dan Sub domain Aplikasi</t>
        </is>
      </c>
      <c r="E7" s="342" t="inlineStr">
        <is>
          <t>APTIKA</t>
        </is>
      </c>
      <c r="F7" s="343" t="inlineStr">
        <is>
          <t xml:space="preserve">1. Pengajuan Usulan Pendaftaran Nama Domain
2. Penerimaan Pendaftaran Aplikasi
3.  Penerbitan Nomor Aplikasi </t>
        </is>
      </c>
    </row>
    <row r="8">
      <c r="D8" s="341" t="inlineStr">
        <is>
          <t>Layanan Penerbitan Sertifikat Elektronik</t>
        </is>
      </c>
      <c r="E8" s="340" t="n"/>
      <c r="F8" s="340" t="n"/>
    </row>
    <row r="9">
      <c r="D9" s="341" t="inlineStr">
        <is>
          <t>Layanan Repository Pembangunan dan Pengembangan Aplikasi</t>
        </is>
      </c>
      <c r="E9" s="342" t="inlineStr">
        <is>
          <t>APTIKA</t>
        </is>
      </c>
      <c r="F9" s="343" t="inlineStr">
        <is>
          <t xml:space="preserve">1. Pembuatan Akun Repository </t>
        </is>
      </c>
    </row>
    <row r="10">
      <c r="D10" s="341" t="inlineStr">
        <is>
          <t>Penatakelolaan Aplikasi Informatika</t>
        </is>
      </c>
      <c r="E10" s="342" t="inlineStr">
        <is>
          <t>APTIKA</t>
        </is>
      </c>
      <c r="F10" s="343" t="inlineStr">
        <is>
          <t>1. Monitoring dan Evaluasi Aplikasi</t>
        </is>
      </c>
    </row>
    <row r="11">
      <c r="D11" s="341" t="inlineStr">
        <is>
          <t>Pemeriksaan Kesesuaian Usulan Aplikasi dengan Arsitektur SPBE</t>
        </is>
      </c>
      <c r="E11" s="342" t="inlineStr">
        <is>
          <t>E-GOV</t>
        </is>
      </c>
      <c r="F11" s="343" t="inlineStr">
        <is>
          <t>1. Pemeriksaan Kesesuaian Usulan Aplikasi dengan Arsitektur SPBE</t>
        </is>
      </c>
    </row>
    <row r="12">
      <c r="D12" s="341" t="inlineStr">
        <is>
          <t>Rekayasa Aplikasi</t>
        </is>
      </c>
      <c r="E12" s="342" t="inlineStr">
        <is>
          <t>E-GOV
APTIKA</t>
        </is>
      </c>
      <c r="F12" s="343" t="inlineStr">
        <is>
          <t>1. Pemeriksaan Kesesuaian Usulan Aplikasi dengan Arsitektur SPBE (E-GOV) 
2. Pembangunan Aplikasi Mandiri (APTIKA)
3. Bimbingan Teknis Pemanfaatan Portal Layanan Administrasi Pemerintahan (APTIKA)</t>
        </is>
      </c>
    </row>
    <row r="13">
      <c r="D13" s="341" t="inlineStr">
        <is>
          <t>Fasilitasi Pendampingan Pembangunan/Pengembangan Aplikasi</t>
        </is>
      </c>
      <c r="E13" s="342" t="inlineStr">
        <is>
          <t>APTIKA</t>
        </is>
      </c>
      <c r="F13" s="343" t="inlineStr">
        <is>
          <t>1. Telaahan Rekomendasi Aplikasi
2. Pendampingan Pembangunan/Pengembangan Aplikasi
3. Fasilitasi Replikasi Aplikasi
4. Pendampingan Pengelolaan Pemeliharaan Aplikasi/Situs Web</t>
        </is>
      </c>
    </row>
    <row r="14">
      <c r="D14" s="341" t="inlineStr">
        <is>
          <t>Layanan Pemeliharaan Aplikasi Portal Administrasi Pemerintahan</t>
        </is>
      </c>
      <c r="E14" s="342" t="inlineStr">
        <is>
          <t>APTIKA</t>
        </is>
      </c>
      <c r="F14" s="343" t="inlineStr">
        <is>
          <t xml:space="preserve">1. Pemeliharaan Aplikasi Portal Layanan Administrasi Pemerintahan PemProv
2. Fasilitasi Pemeliharaan Aplikasi Portal Layanan Administrasi Pemerintahan </t>
        </is>
      </c>
    </row>
    <row r="15">
      <c r="D15" s="341" t="inlineStr">
        <is>
          <t>Layanan Integrasi/Interoperabilitas</t>
        </is>
      </c>
      <c r="E15" s="342" t="inlineStr">
        <is>
          <t>APTIKA</t>
        </is>
      </c>
      <c r="F15" s="343" t="inlineStr">
        <is>
          <t>1. Penerimaan Permohonan Integrasi dan Interoperabilias 
2. Penerbitan Berita Acara Penyedia API
3. Penerbitan Berita Acara Pengguna API  
4. Penerbitan Credential Key Development 
5. Uji Integrasi/interoperabilitas 
6. Penerbitan Credential Key Production 
7. Penghapusan Credential Key Production</t>
        </is>
      </c>
    </row>
    <row r="16">
      <c r="D16" s="341" t="inlineStr">
        <is>
          <t>Pengelolaan aset keamanan teknologi informasi dan komunikasi</t>
        </is>
      </c>
      <c r="E16" s="342" t="inlineStr">
        <is>
          <t>SANDIKAMI</t>
        </is>
      </c>
      <c r="F16" s="343" t="inlineStr">
        <is>
          <t xml:space="preserve">1. Pengelolaan Aset Keamanan Teknologi Informasi dan Komunikasi </t>
        </is>
      </c>
    </row>
    <row r="17">
      <c r="D17" s="341" t="inlineStr">
        <is>
          <t>IT Security Assessment (ITSA)</t>
        </is>
      </c>
      <c r="E17" s="342" t="inlineStr">
        <is>
          <t>SANDIKAMI</t>
        </is>
      </c>
      <c r="F17" s="343" t="inlineStr">
        <is>
          <t xml:space="preserve">1. Analisis kerawanan dan risiko terhadap Sistem Elektronik SOP ITSA </t>
        </is>
      </c>
    </row>
    <row r="18">
      <c r="D18" s="341" t="inlineStr">
        <is>
          <t>Deteksi ancaman atau kejadian insiden pada Sistem Elektronik</t>
        </is>
      </c>
      <c r="E18" s="342" t="inlineStr">
        <is>
          <t>SANDIKAMI</t>
        </is>
      </c>
      <c r="F18" s="343" t="inlineStr">
        <is>
          <t xml:space="preserve">1. Deteksi ancaman atau kejadian insiden pada Sistem Elektronik </t>
        </is>
      </c>
    </row>
    <row r="19">
      <c r="D19" s="341" t="inlineStr">
        <is>
          <t>Mitigasi risiko dan penerapan pelindungan terhadap Sistem Elektronik</t>
        </is>
      </c>
      <c r="E19" s="342" t="inlineStr">
        <is>
          <t>SANDIKAMI</t>
        </is>
      </c>
      <c r="F19" s="343" t="inlineStr">
        <is>
          <t xml:space="preserve">1. Mitigasi risiko dan penerapan pelindungan terhadap Sistem Elektronik </t>
        </is>
      </c>
    </row>
    <row r="20">
      <c r="D20" s="341" t="inlineStr">
        <is>
          <t>Penanggulangan dan pemulihan pasca insiden keamanan informasi pada 
Sistem Elektronik</t>
        </is>
      </c>
      <c r="E20" s="342" t="inlineStr">
        <is>
          <t>SANDIKAMI</t>
        </is>
      </c>
      <c r="F20" s="343" t="inlineStr">
        <is>
          <t>1. Pengelolaan Insiden Keamanan Informasi</t>
        </is>
      </c>
    </row>
    <row r="21">
      <c r="D21" s="341" t="inlineStr">
        <is>
          <t>Pemanfaatan Sertifikat Elektronik pada Sistem Elektronik</t>
        </is>
      </c>
      <c r="E21" s="342" t="inlineStr">
        <is>
          <t>SANDIKAMI</t>
        </is>
      </c>
      <c r="F21" s="343" t="inlineStr">
        <is>
          <t xml:space="preserve">1. Pendaftaran Sertifikat Elektronik </t>
        </is>
      </c>
    </row>
    <row r="22">
      <c r="D22" s="341" t="inlineStr">
        <is>
          <t>Fasilitasi Pemanfaatan Sertifikat Elektronik</t>
        </is>
      </c>
      <c r="E22" s="342" t="inlineStr">
        <is>
          <t>SANDIKAMI</t>
        </is>
      </c>
      <c r="F22" s="343" t="inlineStr">
        <is>
          <t xml:space="preserve">1. Penerbitan Sertifikat Elektronik 
2. Pencabutan Sertifikat Elektronik 
3. Pemanfaatan Sertifikat Elektronik pada aplikasi </t>
        </is>
      </c>
    </row>
    <row r="23">
      <c r="D23" s="341" t="inlineStr">
        <is>
          <t>Fasilitasi pengamanan dokumen non elektronik</t>
        </is>
      </c>
      <c r="E23" s="342" t="inlineStr">
        <is>
          <t>SANDIKAMI</t>
        </is>
      </c>
      <c r="F23" s="343" t="inlineStr">
        <is>
          <t xml:space="preserve">1. Penanganan, Pelabelan dan Penyimpanan data informasi
2. Pengiriman data informasi 
3. Penerima data Informasi </t>
        </is>
      </c>
    </row>
    <row r="24">
      <c r="D24" s="340" t="n"/>
      <c r="E24" s="340" t="n"/>
      <c r="F24" s="340" t="n"/>
    </row>
    <row r="25">
      <c r="D25" s="341" t="inlineStr">
        <is>
          <t>Aduan Warga</t>
        </is>
      </c>
      <c r="E25" s="342" t="inlineStr">
        <is>
          <t>IKP</t>
        </is>
      </c>
      <c r="F25" s="343" t="inlineStr">
        <is>
          <t>1. Pemantauan aduan masyarakat</t>
        </is>
      </c>
    </row>
    <row r="26">
      <c r="D26" s="341" t="inlineStr">
        <is>
          <t>Monitoring Isu publik/informasi kebijakan di media massa dan media sosial</t>
        </is>
      </c>
      <c r="E26" s="342" t="inlineStr">
        <is>
          <t>IKP</t>
        </is>
      </c>
      <c r="F26" s="343" t="inlineStr">
        <is>
          <t xml:space="preserve">1. Evaluasi dan pemilihan isu publik 
2. Pengumpulan pendapat umum </t>
        </is>
      </c>
    </row>
    <row r="27">
      <c r="D27" s="341" t="inlineStr">
        <is>
          <t>Layanan Pengelolaan dan Penyediaan Informasi Publik</t>
        </is>
      </c>
      <c r="E27" s="342" t="inlineStr">
        <is>
          <t>IKP</t>
        </is>
      </c>
      <c r="F27" s="343" t="inlineStr">
        <is>
          <t xml:space="preserve">1. Pelaksanaan Fungsi PPID 
2. Penyusunan strategi komunikasi publik 
3. Penentuan Media 
4. Produksi Konten 
5. Penyelenggaraan Media Komunikasi Publik milik Pemerintah Daerah </t>
        </is>
      </c>
    </row>
    <row r="28">
      <c r="D28" s="341" t="inlineStr">
        <is>
          <t>Layanan Media</t>
        </is>
      </c>
      <c r="E28" s="342" t="inlineStr">
        <is>
          <t>IKP</t>
        </is>
      </c>
      <c r="F28" s="343" t="inlineStr">
        <is>
          <t>1. Penyelenggaraan diseminasi pesan di media
2. Evaluasi penggunaan Media Komunikasi Publik</t>
        </is>
      </c>
    </row>
    <row r="29">
      <c r="D29" s="341" t="inlineStr">
        <is>
          <t>Seleksi Anggota Komisi Informasi Provinsi Jawa Barat Tahun 2024-2028</t>
        </is>
      </c>
      <c r="E29" s="340" t="n"/>
      <c r="F29" s="343" t="inlineStr">
        <is>
          <t xml:space="preserve">1.  Pelaksanaan administrasi penyelesaian sengketa Informasi Publik </t>
        </is>
      </c>
    </row>
    <row r="30">
      <c r="D30" s="341" t="inlineStr">
        <is>
          <t>Fasilitasi perlindungan Informasi pada kegiatan penting
pemerintah daerah melalui teknik pengamanan
gelombang frekuensi atau sinyal</t>
        </is>
      </c>
      <c r="E30" s="342" t="inlineStr">
        <is>
          <t>SANDIKAMI</t>
        </is>
      </c>
      <c r="F30" s="343" t="inlineStr">
        <is>
          <t>1. Jamming</t>
        </is>
      </c>
    </row>
    <row r="31">
      <c r="D31" s="341" t="inlineStr">
        <is>
          <t>Fasilitas perlindungan Informasi pada aset/fasilitas 
penting milik atau yang akan digunakan pemerintah 
daerah melalui kegiatan kontra penginderaan</t>
        </is>
      </c>
      <c r="E31" s="342" t="inlineStr">
        <is>
          <t>SANDIKAMI</t>
        </is>
      </c>
      <c r="F31" s="343" t="inlineStr">
        <is>
          <t xml:space="preserve">1. KP </t>
        </is>
      </c>
    </row>
    <row r="32">
      <c r="D32" s="341" t="inlineStr">
        <is>
          <t>Operasionalisasi Jaring Komunikasi Sandi Pemerintah 
Daerah Provinsi</t>
        </is>
      </c>
      <c r="E32" s="342" t="inlineStr">
        <is>
          <t>SANDIKAMI</t>
        </is>
      </c>
      <c r="F32" s="343" t="inlineStr">
        <is>
          <t xml:space="preserve">1. PHKS </t>
        </is>
      </c>
    </row>
    <row r="33">
      <c r="D33" s="341" t="inlineStr">
        <is>
          <t>Layanan advokasi, sosialisasi dan edukasi</t>
        </is>
      </c>
      <c r="E33" s="342" t="inlineStr">
        <is>
          <t>IKP</t>
        </is>
      </c>
      <c r="F33" s="343" t="inlineStr">
        <is>
          <t xml:space="preserve">1.  Advokasi, Sosialisasi dan Edukasi </t>
        </is>
      </c>
    </row>
    <row r="34">
      <c r="D34" s="341" t="inlineStr">
        <is>
          <t>Layanan Administrasi Penyelesaian Sengketa 
Informasi Publik</t>
        </is>
      </c>
      <c r="E34" s="342" t="inlineStr">
        <is>
          <t>IKP</t>
        </is>
      </c>
      <c r="F34" s="343" t="inlineStr">
        <is>
          <t xml:space="preserve">1.  Pelaksanaan administrasi penyelesaian sengketa Informasi Publik </t>
        </is>
      </c>
    </row>
    <row r="35">
      <c r="D35" s="341" t="inlineStr">
        <is>
          <t>Penyiapan bahan perumusan kebijakan pengamanan 
informasi berbentuk Pergub, Kepgub, atau SK Gub</t>
        </is>
      </c>
      <c r="E35" s="342" t="inlineStr">
        <is>
          <t>SANDIKAMI</t>
        </is>
      </c>
      <c r="F35" s="343" t="inlineStr">
        <is>
          <t xml:space="preserve">1. Penyiapan bahan perumusan kebijakan pengamanan informasi berbentuk Pergub,
 Kepgub, atau SK Gub </t>
        </is>
      </c>
    </row>
    <row r="36">
      <c r="D36" s="341" t="inlineStr">
        <is>
          <t>Penyiapan bahan perumusan kebijakan pengamanan 
informasi berbentuk SP dan SE Sekda</t>
        </is>
      </c>
      <c r="E36" s="342" t="inlineStr">
        <is>
          <t>SANDIKAMI</t>
        </is>
      </c>
      <c r="F36" s="343" t="inlineStr">
        <is>
          <t>1. Penyiapan bahan perumusan kebijakan pengamanan informasiber bentuk SP 
dan SE Sekda</t>
        </is>
      </c>
    </row>
    <row r="37">
      <c r="D37" s="341" t="inlineStr">
        <is>
          <t>Penyiapan bahan perumusan kebijakan pengamanan
informasi berbentuk SP/Juklak/Juknis Kadis</t>
        </is>
      </c>
      <c r="E37" s="342" t="inlineStr">
        <is>
          <t>SANDIKAMI</t>
        </is>
      </c>
      <c r="F37" s="343" t="inlineStr">
        <is>
          <t xml:space="preserve">1. Penyiapan bahan perumusan kebijakan pengamanan informasi berbentuk SP/Juklak/
Juknis Kadis </t>
        </is>
      </c>
    </row>
    <row r="38">
      <c r="D38" s="341" t="inlineStr">
        <is>
          <t>Data dan Informasi</t>
        </is>
      </c>
      <c r="E38" s="340" t="n"/>
      <c r="F38" s="340" t="n"/>
    </row>
    <row r="39">
      <c r="D39" s="341" t="inlineStr">
        <is>
          <t>Layanan Permohonan Data</t>
        </is>
      </c>
      <c r="E39" s="342" t="inlineStr">
        <is>
          <t>STATISTIK
UPTD</t>
        </is>
      </c>
      <c r="F39" s="343" t="inlineStr">
        <is>
          <t>1. Penyiapan Bahan Dan Perumusan Kebijakan (Statistik) 
2. Fasilitasi Rekomendasi Kegiatan Statistik Sektoral (Statistik) 
3. Pengumpulan Dan Pemeriksaan Data (Statistik) 
4. Pengumpulan Metadata Statistik Sektoral (Statistik) 
5. Pengolahan Dan Analisis Data (Statistik) 
6. Diseminasi Data Melalui Media Sosial (Statistik) 
7. Permohonan Data (Statistik) 
8. Pengembangan Kapasitas Sdm (Statistik) 
9. Penyusunan Standar Pengumpulan Dg Tematik (Statistik) 
10. Pengumpulan Data Geospasial Tematik (Statistik) 
11. Pengumpulan Metadata Geospasial (Statistik) 
12. Pemrosesan/Pengolahan Data Geospasial Tematik (Statistik) 
13. Penyajian Informasi Geospasial Tematik (Statistik) 
14. Penggunaan Data Geospasial Tematik (Statistik) 
15. Penyimpanan Data Geospasial Tematik (Uptd) 
16. Pengamanan Dg Tematik Dan Igt (Uptd) 
17. Pengaksesan Kembali Dg Tematik Dan Igt (Uptd) 
18. Pemberian Akses Dg Tematik Dan Igt (Uptd) 
19. Pendistribusian Data Geospasial Tematik (Uptd)</t>
        </is>
      </c>
    </row>
    <row r="40">
      <c r="D40" s="340" t="n"/>
      <c r="E40" s="340" t="n"/>
      <c r="F40" s="340" t="n"/>
    </row>
    <row r="41">
      <c r="D41" s="340" t="n"/>
      <c r="E41" s="340" t="n"/>
      <c r="F41" s="340" t="n"/>
    </row>
    <row r="42">
      <c r="D42" s="341" t="inlineStr">
        <is>
          <t>kemitraan yang baik dan kondusif dengan
seluruh pemangku kepentingan di Jawa Barat</t>
        </is>
      </c>
      <c r="E42" s="342" t="inlineStr">
        <is>
          <t>IKP</t>
        </is>
      </c>
      <c r="F42" s="343" t="inlineStr">
        <is>
          <t xml:space="preserve">1. Pengembangan Kapasitas Pemangku Kepentingan </t>
        </is>
      </c>
    </row>
    <row r="43">
      <c r="D43" s="341" t="inlineStr">
        <is>
          <t>Kemitraan dengan Pemangku Kepentingan</t>
        </is>
      </c>
      <c r="E43" s="342" t="inlineStr">
        <is>
          <t>IKP</t>
        </is>
      </c>
      <c r="F43" s="343" t="inlineStr">
        <is>
          <t xml:space="preserve">1. Penyebaran Bahan Informasi untuk Media yang Dimiliki Pemangku Kepentingan 
2. Monitoring dan Evaluasi Kemitraan dengan Pemangku Kepentingan </t>
        </is>
      </c>
    </row>
    <row r="44">
      <c r="D44" s="341" t="inlineStr">
        <is>
          <t>Manajemen Komunikasi Krisis</t>
        </is>
      </c>
      <c r="E44" s="342" t="inlineStr">
        <is>
          <t>IKP</t>
        </is>
      </c>
      <c r="F44" s="343" t="inlineStr">
        <is>
          <t xml:space="preserve">1. Manajemen Komunikasi Krisis </t>
        </is>
      </c>
    </row>
    <row r="45">
      <c r="D45" s="340" t="n"/>
      <c r="E45" s="340" t="n"/>
      <c r="F45" s="340" t="n"/>
    </row>
    <row r="46">
      <c r="D46" s="341" t="inlineStr">
        <is>
          <t>Pengembangan Kapasitas Sumber Daya Komunikasi Publik</t>
        </is>
      </c>
      <c r="E46" s="342" t="inlineStr">
        <is>
          <t>IKP</t>
        </is>
      </c>
      <c r="F46" s="343" t="inlineStr">
        <is>
          <t xml:space="preserve">1. Pengembangan Kapasitas Sumber Daya Komunikasi Publik </t>
        </is>
      </c>
    </row>
    <row r="47">
      <c r="D47" s="341" t="inlineStr">
        <is>
          <t>Perencanaan Pengembangan Sumber Daya Manusia Keamanan Informasi</t>
        </is>
      </c>
      <c r="E47" s="342" t="inlineStr">
        <is>
          <t>SANDIKAMI</t>
        </is>
      </c>
      <c r="F47" s="343" t="inlineStr">
        <is>
          <t>1. Perencanaan Pengembangan Sumber Daya Manusia Keamanan Informasi</t>
        </is>
      </c>
    </row>
    <row r="48">
      <c r="D48" s="341" t="inlineStr">
        <is>
          <t>Pelaksanaan Pengembangan Sumber Daya Manusia Keamanan Informasi</t>
        </is>
      </c>
      <c r="E48" s="342" t="inlineStr">
        <is>
          <t>SANDIKAMI</t>
        </is>
      </c>
      <c r="F48" s="343" t="inlineStr">
        <is>
          <t>1. Pelaksanaan Pengembangan Sumber Daya Manusia Keamanan Informasi</t>
        </is>
      </c>
    </row>
    <row r="49">
      <c r="D49" s="341" t="inlineStr">
        <is>
          <t>Manajemen Pengetahuan</t>
        </is>
      </c>
      <c r="E49" s="342" t="inlineStr">
        <is>
          <t>SANDIKAMI</t>
        </is>
      </c>
      <c r="F49" s="343" t="inlineStr">
        <is>
          <t xml:space="preserve">1. Manajemen Pengetahuan </t>
        </is>
      </c>
    </row>
    <row r="50">
      <c r="D50" s="340" t="n"/>
      <c r="E50" s="340" t="n"/>
      <c r="F50" s="340" t="n"/>
    </row>
    <row r="51">
      <c r="D51" s="341" t="inlineStr">
        <is>
          <t>Fasilitasi Peninjauan Penulisan dan Penerbitan Artikel</t>
        </is>
      </c>
      <c r="E51" s="340" t="n"/>
      <c r="F51" s="340" t="n"/>
    </row>
    <row r="52">
      <c r="D52" s="341" t="inlineStr">
        <is>
          <t>Fasilitasi Pendaftaran Hak Kekayaan Intelektual</t>
        </is>
      </c>
      <c r="E52" s="340" t="n"/>
      <c r="F52" s="340" t="n"/>
    </row>
    <row r="53">
      <c r="D53" s="341" t="inlineStr">
        <is>
          <t>Data dan Informasi</t>
        </is>
      </c>
      <c r="E53" s="340" t="n"/>
      <c r="F53" s="340" t="n"/>
    </row>
    <row r="54">
      <c r="D54" s="340" t="n"/>
      <c r="E54" s="340" t="n"/>
      <c r="F54" s="340" t="n"/>
    </row>
    <row r="55">
      <c r="D55" s="341" t="inlineStr">
        <is>
          <t>Penerbitan Rekomendasi Penyertaan Modal BUMD</t>
        </is>
      </c>
      <c r="E55" s="340" t="n"/>
      <c r="F55" s="340" t="n"/>
    </row>
    <row r="56">
      <c r="D56" s="341" t="inlineStr">
        <is>
          <t>Fasilitasi Penyelesaian Permasalahan Mitra BUMD</t>
        </is>
      </c>
      <c r="E56" s="340" t="n"/>
      <c r="F56" s="340" t="n"/>
    </row>
    <row r="57">
      <c r="D57" s="341" t="inlineStr">
        <is>
          <t>Fasilitasi Pembentukan BLUD</t>
        </is>
      </c>
      <c r="E57" s="340" t="n"/>
      <c r="F57" s="340" t="n"/>
    </row>
    <row r="58">
      <c r="D58" s="341" t="inlineStr">
        <is>
          <t>Data dan Informasi</t>
        </is>
      </c>
      <c r="E58" s="340" t="n"/>
      <c r="F58" s="340" t="n"/>
    </row>
    <row r="59">
      <c r="D59" s="340" t="n"/>
      <c r="E59" s="340" t="n"/>
      <c r="F59" s="340" t="n"/>
    </row>
    <row r="60">
      <c r="D60" s="341" t="inlineStr">
        <is>
          <t>Fasilitasi aspirasi masyarakat terhadap penyusunan Peraturan Perundang-Undangan</t>
        </is>
      </c>
      <c r="E60" s="340" t="n"/>
      <c r="F60" s="340" t="n"/>
    </row>
    <row r="61">
      <c r="D61" s="341" t="inlineStr">
        <is>
          <t>Permohonan Bantuan Hukum Bagi Masyarakat Tidak Mampu</t>
        </is>
      </c>
      <c r="E61" s="340" t="n"/>
      <c r="F61" s="340" t="n"/>
    </row>
    <row r="62">
      <c r="D62" s="341" t="inlineStr">
        <is>
          <t>Fasilitasi Penyusunan Produk Hukum Provinsi</t>
        </is>
      </c>
      <c r="E62" s="340" t="n"/>
      <c r="F62" s="340" t="n"/>
    </row>
    <row r="63">
      <c r="D63" s="341" t="inlineStr">
        <is>
          <t>Fasilitasi dan Evaluasi Produk Hukum Pemerintah Daerah Kabupaten/Kota</t>
        </is>
      </c>
      <c r="E63" s="340" t="n"/>
      <c r="F63" s="340" t="n"/>
    </row>
    <row r="64">
      <c r="D64" s="341" t="inlineStr">
        <is>
          <t>Data dan Informasi</t>
        </is>
      </c>
      <c r="E64" s="340" t="n"/>
      <c r="F64" s="340" t="n"/>
    </row>
    <row r="65">
      <c r="D65" s="340" t="n"/>
      <c r="E65" s="340" t="n"/>
      <c r="F65" s="340" t="n"/>
    </row>
    <row r="66">
      <c r="D66" s="341" t="inlineStr">
        <is>
          <t>Pengujian Laboratorium Mineral</t>
        </is>
      </c>
      <c r="E66" s="340" t="n"/>
      <c r="F66" s="340" t="n"/>
    </row>
    <row r="67">
      <c r="D67" s="341" t="inlineStr">
        <is>
          <t>Pengujian Kualitas Air</t>
        </is>
      </c>
      <c r="E67" s="340" t="n"/>
      <c r="F67" s="340" t="n"/>
    </row>
    <row r="68">
      <c r="D68" s="341" t="inlineStr">
        <is>
          <t>Pengujian Laboratorium Geomekanik</t>
        </is>
      </c>
      <c r="E68" s="340" t="n"/>
      <c r="F68" s="340" t="n"/>
    </row>
    <row r="69">
      <c r="D69" s="341" t="inlineStr">
        <is>
          <t>Penyampaian Laporan Berkala IUPTLU</t>
        </is>
      </c>
      <c r="E69" s="340" t="n"/>
      <c r="F69" s="340" t="n"/>
    </row>
    <row r="70">
      <c r="D70" s="341" t="inlineStr">
        <is>
          <t>Penyampaian Laporan Berkala IUJPTL</t>
        </is>
      </c>
      <c r="E70" s="340" t="n"/>
      <c r="F70" s="340" t="n"/>
    </row>
    <row r="71">
      <c r="D71" s="341" t="inlineStr">
        <is>
          <t>Administrasi Sumur Imbuhan</t>
        </is>
      </c>
      <c r="E71" s="340" t="n"/>
      <c r="F71" s="340" t="n"/>
    </row>
    <row r="72">
      <c r="D72" s="341" t="inlineStr">
        <is>
          <t>Administrasi Sumur Pantau</t>
        </is>
      </c>
      <c r="E72" s="340" t="n"/>
      <c r="F72" s="340" t="n"/>
    </row>
    <row r="73">
      <c r="D73" s="341" t="inlineStr">
        <is>
          <t>Layanan sumur bor</t>
        </is>
      </c>
      <c r="E73" s="340" t="n"/>
      <c r="F73" s="340" t="n"/>
    </row>
    <row r="74">
      <c r="D74" s="341" t="inlineStr">
        <is>
          <t>Pelaporan Penggunaan Air Tanah dan Muka Air Tanah</t>
        </is>
      </c>
      <c r="E74" s="340" t="n"/>
      <c r="F74" s="340" t="n"/>
    </row>
    <row r="75">
      <c r="D75" s="341" t="inlineStr">
        <is>
          <t>Penetapan Wilayah Izin Usaha Pertambangan</t>
        </is>
      </c>
      <c r="E75" s="340" t="n"/>
      <c r="F75" s="340" t="n"/>
    </row>
    <row r="76">
      <c r="D76" s="341" t="inlineStr">
        <is>
          <t>Penetapan NPA (Nilai Perolehan Air) Tanah</t>
        </is>
      </c>
      <c r="E76" s="340" t="n"/>
      <c r="F76" s="340" t="n"/>
    </row>
    <row r="77">
      <c r="D77" s="341" t="inlineStr">
        <is>
          <t>Data dan Informasi</t>
        </is>
      </c>
      <c r="E77" s="340" t="n"/>
      <c r="F77" s="340" t="n"/>
    </row>
    <row r="78">
      <c r="D78" s="340" t="n"/>
      <c r="E78" s="340" t="n"/>
      <c r="F78" s="340" t="n"/>
    </row>
    <row r="79">
      <c r="D79" s="341" t="inlineStr">
        <is>
          <t>Fasilitasi Penyuluhan Perkoperasian</t>
        </is>
      </c>
      <c r="E79" s="340" t="n"/>
      <c r="F79" s="340" t="n"/>
    </row>
    <row r="80">
      <c r="D80" s="341" t="inlineStr">
        <is>
          <t>Pemeriksaan kesehatan koperasi</t>
        </is>
      </c>
      <c r="E80" s="340" t="n"/>
      <c r="F80" s="340" t="n"/>
    </row>
    <row r="81">
      <c r="D81" s="341" t="inlineStr">
        <is>
          <t>Data dan Informasi</t>
        </is>
      </c>
      <c r="E81" s="340" t="n"/>
      <c r="F81" s="340" t="n"/>
    </row>
    <row r="82">
      <c r="D82" s="340" t="n"/>
      <c r="E82" s="340" t="n"/>
      <c r="F82" s="340" t="n"/>
    </row>
    <row r="83">
      <c r="D83" s="341" t="inlineStr">
        <is>
          <t>Wisata Sejarah Gedung Sate - Museum Gedung Sate</t>
        </is>
      </c>
      <c r="E83" s="340" t="n"/>
      <c r="F83" s="340" t="n"/>
    </row>
    <row r="84">
      <c r="D84" s="341" t="inlineStr">
        <is>
          <t>Layanan Pintu Gesat</t>
        </is>
      </c>
      <c r="E84" s="340" t="n"/>
      <c r="F84" s="340" t="n"/>
    </row>
    <row r="85">
      <c r="D85" s="341" t="inlineStr">
        <is>
          <t>Peminjaman Aula Gedung Merdeka</t>
        </is>
      </c>
      <c r="E85" s="340" t="n"/>
      <c r="F85" s="340" t="n"/>
    </row>
    <row r="86">
      <c r="D86" s="341" t="inlineStr">
        <is>
          <t>Layanan Peminjaman Fasilitas Gedung Sate</t>
        </is>
      </c>
      <c r="E86" s="340" t="n"/>
      <c r="F86" s="340" t="n"/>
    </row>
    <row r="87">
      <c r="D87" s="341" t="inlineStr">
        <is>
          <t>Peminjaman area lapangan saparua</t>
        </is>
      </c>
      <c r="E87" s="340" t="n"/>
      <c r="F87" s="340" t="n"/>
    </row>
    <row r="88">
      <c r="D88" s="341" t="inlineStr">
        <is>
          <t>Layanan Fasilitasi Acara lingkup Sekretariat Daerah</t>
        </is>
      </c>
      <c r="E88" s="340" t="n"/>
      <c r="F88" s="340" t="n"/>
    </row>
    <row r="89">
      <c r="D89" s="341" t="inlineStr">
        <is>
          <t>Data dan Informasi</t>
        </is>
      </c>
      <c r="E89" s="340" t="n"/>
      <c r="F89" s="340" t="n"/>
    </row>
    <row r="90">
      <c r="D90" s="340" t="n"/>
      <c r="E90" s="340" t="n"/>
      <c r="F90" s="340" t="n"/>
    </row>
    <row r="91">
      <c r="D91" s="341" t="inlineStr">
        <is>
          <t>Laporan Pengaduan Pelanggaran Perda dan Potensi Gangguan Trantibum</t>
        </is>
      </c>
      <c r="E91" s="340" t="n"/>
      <c r="F91" s="340" t="n"/>
    </row>
    <row r="92">
      <c r="D92" s="341" t="inlineStr">
        <is>
          <t>Penerbitan Rekomendasi Penetapan dan Pembaharuan Status Penyidik PNS</t>
        </is>
      </c>
      <c r="E92" s="340" t="n"/>
      <c r="F92" s="340" t="n"/>
    </row>
    <row r="93">
      <c r="D93" s="341" t="inlineStr">
        <is>
          <t>Data dan Informasi</t>
        </is>
      </c>
      <c r="E93" s="340" t="n"/>
      <c r="F93" s="340" t="n"/>
    </row>
    <row r="94">
      <c r="D94" s="340" t="n"/>
      <c r="E94" s="340" t="n"/>
      <c r="F94" s="340" t="n"/>
    </row>
    <row r="95">
      <c r="D95" s="341" t="inlineStr">
        <is>
          <t>Layanan Konsultasi Perangkat Daerah</t>
        </is>
      </c>
      <c r="E95" s="340" t="n"/>
      <c r="F95" s="340" t="n"/>
    </row>
    <row r="96">
      <c r="D96" s="341" t="inlineStr">
        <is>
          <t>Data dan Informasi</t>
        </is>
      </c>
      <c r="E96" s="340" t="n"/>
      <c r="F96" s="340" t="n"/>
    </row>
    <row r="97">
      <c r="D97" s="340" t="n"/>
      <c r="E97" s="340" t="n"/>
      <c r="F97" s="340" t="n"/>
    </row>
    <row r="98">
      <c r="D98" s="341" t="inlineStr">
        <is>
          <t>Layanan Informasi Hibah Keagamaan</t>
        </is>
      </c>
      <c r="E98" s="340" t="n"/>
      <c r="F98" s="340" t="n"/>
    </row>
    <row r="99">
      <c r="D99" s="341" t="inlineStr">
        <is>
          <t>Bantuan Hibah Pendidikan Non-Kewenangan Dinas Pendidikan Provinsi Jawa Barat</t>
        </is>
      </c>
      <c r="E99" s="340" t="n"/>
      <c r="F99" s="340" t="n"/>
    </row>
    <row r="100">
      <c r="D100" s="341" t="inlineStr">
        <is>
          <t>Fasilitasi Rekomendasi Perumusan Kebijakan</t>
        </is>
      </c>
      <c r="E100" s="340" t="n"/>
      <c r="F100" s="340" t="n"/>
    </row>
    <row r="101">
      <c r="D101" s="341" t="inlineStr">
        <is>
          <t>Data dan Informasi</t>
        </is>
      </c>
      <c r="E101" s="340" t="n"/>
      <c r="F101" s="340" t="n"/>
    </row>
    <row r="102">
      <c r="D102" s="340" t="n"/>
      <c r="E102" s="340" t="n"/>
      <c r="F102" s="340" t="n"/>
    </row>
    <row r="103">
      <c r="D103" s="341" t="inlineStr">
        <is>
          <t>Penyelesaian Perselisihan Hubungan Industrial</t>
        </is>
      </c>
      <c r="E103" s="340" t="n"/>
      <c r="F103" s="340" t="n"/>
    </row>
    <row r="104">
      <c r="D104" s="341" t="inlineStr">
        <is>
          <t>Pelatihan Ketenagakerjaan (Berbasis Kompetensi)</t>
        </is>
      </c>
      <c r="E104" s="340" t="n"/>
      <c r="F104" s="340" t="n"/>
    </row>
    <row r="105">
      <c r="D105" s="341" t="inlineStr">
        <is>
          <t>Pelatihan Calon Pekerja Migran Indonesia (CPMI)</t>
        </is>
      </c>
      <c r="E105" s="340" t="n"/>
      <c r="F105" s="340" t="n"/>
    </row>
    <row r="106">
      <c r="D106" s="341" t="inlineStr">
        <is>
          <t>Konsultasi Kerja Mandiri</t>
        </is>
      </c>
      <c r="E106" s="340" t="n"/>
      <c r="F106" s="340" t="n"/>
    </row>
    <row r="107">
      <c r="D107" s="341" t="inlineStr">
        <is>
          <t>Pelayanan Pengaduan Permasalahan Ketenagakerjaan</t>
        </is>
      </c>
      <c r="E107" s="340" t="n"/>
      <c r="F107" s="340" t="n"/>
    </row>
    <row r="108">
      <c r="D108" s="341" t="inlineStr">
        <is>
          <t>Pelatihan Kerja Mandiri</t>
        </is>
      </c>
      <c r="E108" s="340" t="n"/>
      <c r="F108" s="340" t="n"/>
    </row>
    <row r="109">
      <c r="D109" s="341" t="inlineStr">
        <is>
          <t>Penerbitan Lisensi dan Buku Kerja petugas P3K</t>
        </is>
      </c>
      <c r="E109" s="340" t="n"/>
      <c r="F109" s="340" t="n"/>
    </row>
    <row r="110">
      <c r="D110" s="341" t="inlineStr">
        <is>
          <t>Pengesahan Penyelenggaraan Pelayanan Kesehatan Kerja</t>
        </is>
      </c>
      <c r="E110" s="340" t="n"/>
      <c r="F110" s="340" t="n"/>
    </row>
    <row r="111">
      <c r="D111" s="341" t="inlineStr">
        <is>
          <t>Penerbitan Surat Keterangan Keselamatan dan Kesehatan Kerja (K3)</t>
        </is>
      </c>
      <c r="E111" s="340" t="n"/>
      <c r="F111" s="340" t="n"/>
    </row>
    <row r="112">
      <c r="D112" s="341" t="inlineStr">
        <is>
          <t>Layanan Pemeriksaan Pengendalian Potensi Bahaya</t>
        </is>
      </c>
      <c r="E112" s="340" t="n"/>
      <c r="F112" s="340" t="n"/>
    </row>
    <row r="113">
      <c r="D113" s="341" t="inlineStr">
        <is>
          <t>Fasilitasi Pendaftaran Perjanjian Kerjasama (PKB)</t>
        </is>
      </c>
      <c r="E113" s="340" t="n"/>
      <c r="F113" s="340" t="n"/>
    </row>
    <row r="114">
      <c r="D114" s="341" t="inlineStr">
        <is>
          <t>Fasilitasi Surat Pengantar Permohonan Nota Riksus ke Pengadilan Negeri</t>
        </is>
      </c>
      <c r="E114" s="340" t="n"/>
      <c r="F114" s="340" t="n"/>
    </row>
    <row r="115">
      <c r="D115" s="341" t="inlineStr">
        <is>
          <t>Fasilitasi Pengesahan Peraturan Perusahaan (PP)</t>
        </is>
      </c>
      <c r="E115" s="340" t="n"/>
      <c r="F115" s="340" t="n"/>
    </row>
    <row r="116">
      <c r="D116" s="341" t="inlineStr">
        <is>
          <t>Pendayagunaan Alumni Pelatihan Kompetensi</t>
        </is>
      </c>
      <c r="E116" s="340" t="n"/>
      <c r="F116" s="340" t="n"/>
    </row>
    <row r="117">
      <c r="D117" s="341" t="inlineStr">
        <is>
          <t>Rekomendasi Catering di Perusahaan (Yang Mengelola Makanan di Tempat Kerja)</t>
        </is>
      </c>
      <c r="E117" s="340" t="n"/>
      <c r="F117" s="340" t="n"/>
    </row>
    <row r="118">
      <c r="D118" s="341" t="inlineStr">
        <is>
          <t>Pelaporan dan Pencatatan Kecelakaan Kerja dan Penyakit Akibat Kerja</t>
        </is>
      </c>
      <c r="E118" s="340" t="n"/>
      <c r="F118" s="340" t="n"/>
    </row>
    <row r="119">
      <c r="D119" s="341" t="inlineStr">
        <is>
          <t>Data dan Informasi</t>
        </is>
      </c>
      <c r="E119" s="340" t="n"/>
      <c r="F119" s="340" t="n"/>
    </row>
    <row r="120">
      <c r="D120" s="340" t="n"/>
      <c r="E120" s="340" t="n"/>
      <c r="F120" s="340" t="n"/>
    </row>
    <row r="121">
      <c r="D121" s="341" t="inlineStr">
        <is>
          <t>Layanan aspirasi masyarakat mengenai pemerintah provinsi jawa barat</t>
        </is>
      </c>
      <c r="E121" s="340" t="n"/>
      <c r="F121" s="340" t="n"/>
    </row>
    <row r="122">
      <c r="D122" s="341" t="inlineStr">
        <is>
          <t>Data dan Informasi</t>
        </is>
      </c>
      <c r="E122" s="340" t="n"/>
      <c r="F122" s="340" t="n"/>
    </row>
    <row r="123">
      <c r="D123" s="340" t="n"/>
      <c r="E123" s="340" t="n"/>
      <c r="F123" s="340" t="n"/>
    </row>
    <row r="124">
      <c r="D124" s="341" t="inlineStr">
        <is>
          <t>Perpustakaan Keliling</t>
        </is>
      </c>
      <c r="E124" s="340" t="n"/>
      <c r="F124" s="340" t="n"/>
    </row>
    <row r="125">
      <c r="D125" s="341" t="inlineStr">
        <is>
          <t>Kunjungan Perpustakaan Deposit</t>
        </is>
      </c>
      <c r="E125" s="340" t="n"/>
      <c r="F125" s="340" t="n"/>
    </row>
    <row r="126">
      <c r="D126" s="341" t="inlineStr">
        <is>
          <t>Candil (Maca Dina Digital) e-Library</t>
        </is>
      </c>
      <c r="E126" s="340" t="n"/>
      <c r="F126" s="340" t="n"/>
    </row>
    <row r="127">
      <c r="D127" s="341" t="inlineStr">
        <is>
          <t>Layanan Perpustakaan Umum Daerah</t>
        </is>
      </c>
      <c r="E127" s="340" t="n"/>
      <c r="F127" s="340" t="n"/>
    </row>
    <row r="128">
      <c r="D128" s="341" t="inlineStr">
        <is>
          <t>WAKAF BUKU</t>
        </is>
      </c>
      <c r="E128" s="340" t="n"/>
      <c r="F128" s="340" t="n"/>
    </row>
    <row r="129">
      <c r="D129" s="341" t="inlineStr">
        <is>
          <t>Layanan Kearsipan</t>
        </is>
      </c>
      <c r="E129" s="340" t="n"/>
      <c r="F129" s="340" t="n"/>
    </row>
    <row r="130">
      <c r="D130" s="341" t="inlineStr">
        <is>
          <t>Akreditasi Perpustakaan</t>
        </is>
      </c>
      <c r="E130" s="340" t="n"/>
      <c r="F130" s="340" t="n"/>
    </row>
    <row r="131">
      <c r="D131" s="341" t="inlineStr">
        <is>
          <t>Book Bulk Loan (Peminjaman Buku Dalam Jumlah Besar)</t>
        </is>
      </c>
      <c r="E131" s="340" t="n"/>
      <c r="F131" s="340" t="n"/>
    </row>
    <row r="132">
      <c r="D132" s="341" t="inlineStr">
        <is>
          <t>Pembinaan Kepustakawan</t>
        </is>
      </c>
      <c r="E132" s="340" t="n"/>
      <c r="F132" s="340" t="n"/>
    </row>
    <row r="133">
      <c r="D133" s="341" t="inlineStr">
        <is>
          <t>Data dan Informasi</t>
        </is>
      </c>
      <c r="E133" s="340" t="n"/>
      <c r="F133" s="340" t="n"/>
    </row>
    <row r="134">
      <c r="D134" s="340" t="n"/>
      <c r="E134" s="340" t="n"/>
      <c r="F134" s="340" t="n"/>
    </row>
    <row r="135">
      <c r="D135" s="341" t="inlineStr">
        <is>
          <t>Andalalin (Analisa Dampak Lalu Lintas)</t>
        </is>
      </c>
      <c r="E135" s="340" t="n"/>
      <c r="F135" s="340" t="n"/>
    </row>
    <row r="136">
      <c r="D136" s="341" t="inlineStr">
        <is>
          <t>Penerbitan dan Perpanjangan Kartu Pengawasan</t>
        </is>
      </c>
      <c r="E136" s="340" t="n"/>
      <c r="F136" s="340" t="n"/>
    </row>
    <row r="137">
      <c r="D137" s="341" t="inlineStr">
        <is>
          <t>Data dan Informasi</t>
        </is>
      </c>
      <c r="E137" s="340" t="n"/>
      <c r="F137" s="340" t="n"/>
    </row>
    <row r="138">
      <c r="D138" s="340" t="n"/>
      <c r="E138" s="340" t="n"/>
      <c r="F138" s="340" t="n"/>
    </row>
    <row r="139">
      <c r="D139" s="341" t="inlineStr">
        <is>
          <t>Layanan Pengaduan Jalan dan Jembatan</t>
        </is>
      </c>
      <c r="E139" s="340" t="n"/>
      <c r="F139" s="340" t="n"/>
    </row>
    <row r="140">
      <c r="D140" s="341" t="inlineStr">
        <is>
          <t>Pelatihan tenaga kerja konstruksi kualifikasi Ahli</t>
        </is>
      </c>
      <c r="E140" s="340" t="n"/>
      <c r="F140" s="340" t="n"/>
    </row>
    <row r="141">
      <c r="D141" s="341" t="inlineStr">
        <is>
          <t>Data dan Informasi</t>
        </is>
      </c>
      <c r="E141" s="340" t="n"/>
      <c r="F141" s="340" t="n"/>
    </row>
    <row r="142">
      <c r="D142" s="340" t="n"/>
      <c r="E142" s="340" t="n"/>
      <c r="F142" s="340" t="n"/>
    </row>
    <row r="143">
      <c r="D143" s="341" t="inlineStr">
        <is>
          <t>Mall Pelayanan Publik Digital Jabar</t>
        </is>
      </c>
      <c r="E143" s="340" t="n"/>
      <c r="F143" s="340" t="n"/>
    </row>
    <row r="144">
      <c r="D144" s="341" t="inlineStr">
        <is>
          <t>West Java Investment Hub</t>
        </is>
      </c>
      <c r="E144" s="340" t="n"/>
      <c r="F144" s="340" t="n"/>
    </row>
    <row r="145">
      <c r="D145" s="341" t="inlineStr">
        <is>
          <t>Pendampingan Pengajuan Perizinan melalui OSS-RBA (Online Single Submission Risk based Approach)</t>
        </is>
      </c>
      <c r="E145" s="340" t="n"/>
      <c r="F145" s="340" t="n"/>
    </row>
    <row r="146">
      <c r="D146" s="341" t="inlineStr">
        <is>
          <t>Pendampingan pembuatan Nomor Induk Berusaha (NIB), Pengisian dan Permasalahan LKPM</t>
        </is>
      </c>
      <c r="E146" s="340" t="n"/>
      <c r="F146" s="340" t="n"/>
    </row>
    <row r="147">
      <c r="D147" s="341" t="inlineStr">
        <is>
          <t>Persetujuan kesesuaian kegiatan pemanfaatan ruang (PKKPR) untuk kegiatan Non-Berusaha</t>
        </is>
      </c>
      <c r="E147" s="340" t="n"/>
      <c r="F147" s="340" t="n"/>
    </row>
    <row r="148">
      <c r="D148" s="341" t="inlineStr">
        <is>
          <t>Konfirmasi Kesesuaian Kegiatan Pemanfaatan Ruang Untuk Kegiatan Non Berusaha</t>
        </is>
      </c>
      <c r="E148" s="340" t="n"/>
      <c r="F148" s="340" t="n"/>
    </row>
    <row r="149">
      <c r="D149" s="341" t="inlineStr">
        <is>
          <t>Persetujuan Penggunaan Sumber Daya Air untuk kebutuhan bukan usaha</t>
        </is>
      </c>
      <c r="E149" s="340" t="n"/>
      <c r="F149" s="340" t="n"/>
    </row>
    <row r="150">
      <c r="D150" s="341" t="inlineStr">
        <is>
          <t>Lisensi Arsitek</t>
        </is>
      </c>
      <c r="E150" s="340" t="n"/>
      <c r="F150" s="340" t="n"/>
    </row>
    <row r="151">
      <c r="D151" s="341" t="inlineStr">
        <is>
          <t>Izin Pendirian Laboratorium Kesehatan Pratama Pemerintah Non BLUD</t>
        </is>
      </c>
      <c r="E151" s="340" t="n"/>
      <c r="F151" s="340" t="n"/>
    </row>
    <row r="152">
      <c r="D152" s="341" t="inlineStr">
        <is>
          <t>Izin Pendirian Sekolah Luar Biasa (SLB) Yang Diselenggarakan Oleh Masyarakat</t>
        </is>
      </c>
      <c r="E152" s="340" t="n"/>
      <c r="F152" s="340" t="n"/>
    </row>
    <row r="153">
      <c r="D153" s="341" t="inlineStr">
        <is>
          <t>Izin Pendirian SMA yang diselenggarakan oleh masyarakat</t>
        </is>
      </c>
      <c r="E153" s="340" t="n"/>
      <c r="F153" s="340" t="n"/>
    </row>
    <row r="154">
      <c r="D154" s="341" t="inlineStr">
        <is>
          <t>Izin Pendirian Sekolah Menengah Kejuruan (SMK) yang Diselenggarakan oleh Masyarakat</t>
        </is>
      </c>
      <c r="E154" s="340" t="n"/>
      <c r="F154" s="340" t="n"/>
    </row>
    <row r="155">
      <c r="D155" s="341" t="inlineStr">
        <is>
          <t>Izin pengusahaan sumber daya air non berusaha instansi/perorangan</t>
        </is>
      </c>
      <c r="E155" s="340" t="n"/>
      <c r="F155" s="340" t="n"/>
    </row>
    <row r="156">
      <c r="D156" s="341" t="inlineStr">
        <is>
          <t>Izin Usaha Penyediaan Tenaga Listrik untuk Kepentingan Sendiri instansi Pemerintah</t>
        </is>
      </c>
      <c r="E156" s="340" t="n"/>
      <c r="F156" s="340" t="n"/>
    </row>
    <row r="157">
      <c r="D157" s="341" t="inlineStr">
        <is>
          <t>Izin Pemanfaatan dan Penggunaan Bagian-Bagian Jalan Non Tol Untuk Pemerintah Perorangan Non Usaha</t>
        </is>
      </c>
      <c r="E157" s="340" t="n"/>
      <c r="F157" s="340" t="n"/>
    </row>
    <row r="158">
      <c r="D158" s="341" t="inlineStr">
        <is>
          <t>Izin Penambahan Kompetensi Keahlian Baru Sekolah Menengah Kejuruan yang Diselenggarakan oleh Masyarakat</t>
        </is>
      </c>
      <c r="E158" s="340" t="n"/>
      <c r="F158" s="340" t="n"/>
    </row>
    <row r="159">
      <c r="D159" s="341" t="inlineStr">
        <is>
          <t>Unit Transfusi Darah (UTD) Pemerintah Non BLUD</t>
        </is>
      </c>
      <c r="E159" s="340" t="n"/>
      <c r="F159" s="340" t="n"/>
    </row>
    <row r="160">
      <c r="D160" s="341" t="inlineStr">
        <is>
          <t>Data dan Informasi</t>
        </is>
      </c>
      <c r="E160" s="340" t="n"/>
      <c r="F160" s="340" t="n"/>
    </row>
    <row r="161">
      <c r="D161" s="340" t="n"/>
      <c r="E161" s="340" t="n"/>
      <c r="F161" s="340" t="n"/>
    </row>
    <row r="162">
      <c r="D162" s="341" t="inlineStr">
        <is>
          <t>Layanan Aduan Disiplin ASN</t>
        </is>
      </c>
      <c r="E162" s="340" t="n"/>
      <c r="F162" s="340" t="n"/>
    </row>
    <row r="163">
      <c r="D163" s="341" t="inlineStr">
        <is>
          <t>Try Out CASN</t>
        </is>
      </c>
      <c r="E163" s="340" t="n"/>
      <c r="F163" s="340" t="n"/>
    </row>
    <row r="164">
      <c r="D164" s="341" t="inlineStr">
        <is>
          <t>Layanan Pengelolaan Data dan Informasi Kepegawaian</t>
        </is>
      </c>
      <c r="E164" s="340" t="n"/>
      <c r="F164" s="340" t="n"/>
    </row>
    <row r="165">
      <c r="D165" s="341" t="inlineStr">
        <is>
          <t>Penerbitan Rekomendasi Penugasan Khusus</t>
        </is>
      </c>
      <c r="E165" s="340" t="n"/>
      <c r="F165" s="340" t="n"/>
    </row>
    <row r="166">
      <c r="D166" s="341" t="inlineStr">
        <is>
          <t>Pemberhentian PNS BUP</t>
        </is>
      </c>
      <c r="E166" s="340" t="n"/>
      <c r="F166" s="340" t="n"/>
    </row>
    <row r="167">
      <c r="D167" s="341" t="inlineStr">
        <is>
          <t>Layanan Penerbitan Kartu istri / Kartu suami</t>
        </is>
      </c>
      <c r="E167" s="340" t="n"/>
      <c r="F167" s="340" t="n"/>
    </row>
    <row r="168">
      <c r="D168" s="341" t="inlineStr">
        <is>
          <t>K-Mob</t>
        </is>
      </c>
      <c r="E168" s="340" t="n"/>
      <c r="F168" s="340" t="n"/>
    </row>
    <row r="169">
      <c r="D169" s="341" t="inlineStr">
        <is>
          <t>Sertifikasi jabatan</t>
        </is>
      </c>
      <c r="E169" s="340" t="n"/>
      <c r="F169" s="340" t="n"/>
    </row>
    <row r="170">
      <c r="D170" s="341" t="inlineStr">
        <is>
          <t>Pengusulan Mengikuti Pendidikan dan Pelatihan Kepemimpinan 1 dan 2</t>
        </is>
      </c>
      <c r="E170" s="340" t="n"/>
      <c r="F170" s="340" t="n"/>
    </row>
    <row r="171">
      <c r="D171" s="341" t="inlineStr">
        <is>
          <t>Pemberian Izin Tugas Belajar Mandiri Bagi PNSD Pemerintah Provinsi Jawa Barat</t>
        </is>
      </c>
      <c r="E171" s="340" t="n"/>
      <c r="F171" s="340" t="n"/>
    </row>
    <row r="172">
      <c r="D172" s="341" t="inlineStr">
        <is>
          <t>Pemberian Tugas Belajar Bagi PNS Pemerintah Provinsi Jawa Barat</t>
        </is>
      </c>
      <c r="E172" s="340" t="n"/>
      <c r="F172" s="340" t="n"/>
    </row>
    <row r="173">
      <c r="D173" s="341" t="inlineStr">
        <is>
          <t>Pelayanan Izin Pencantuman Gelar Akademik</t>
        </is>
      </c>
      <c r="E173" s="340" t="n"/>
      <c r="F173" s="340" t="n"/>
    </row>
    <row r="174">
      <c r="D174" s="341" t="inlineStr">
        <is>
          <t>Mutasi PNS Atas Permintaan Sendiri</t>
        </is>
      </c>
      <c r="E174" s="340" t="n"/>
      <c r="F174" s="340" t="n"/>
    </row>
    <row r="175">
      <c r="D175" s="341" t="inlineStr">
        <is>
          <t>Mutasi Masuk Pemerintah Provinsi Jawa Barat</t>
        </is>
      </c>
      <c r="E175" s="340" t="n"/>
      <c r="F175" s="340" t="n"/>
    </row>
    <row r="176">
      <c r="D176" s="341" t="inlineStr">
        <is>
          <t>Mutasi Keluar Pemerintah Provinsi Jawa Barat</t>
        </is>
      </c>
      <c r="E176" s="340" t="n"/>
      <c r="F176" s="340" t="n"/>
    </row>
    <row r="177">
      <c r="D177" s="341" t="inlineStr">
        <is>
          <t>Mutasi antar Kabupaten/Kota di Wilayah Pemerintah Provinsi Jawa Barat</t>
        </is>
      </c>
      <c r="E177" s="340" t="n"/>
      <c r="F177" s="340" t="n"/>
    </row>
    <row r="178">
      <c r="D178" s="341" t="inlineStr">
        <is>
          <t>Fasilitasi Rekomendasi Pengisian Kekosongan Jabatan</t>
        </is>
      </c>
      <c r="E178" s="340" t="n"/>
      <c r="F178" s="340" t="n"/>
    </row>
    <row r="179">
      <c r="D179" s="341" t="inlineStr">
        <is>
          <t>Fasilitasi Usulan Mutasi di Lingkungan Internal Perangkat Daerah</t>
        </is>
      </c>
      <c r="E179" s="340" t="n"/>
      <c r="F179" s="340" t="n"/>
    </row>
    <row r="180">
      <c r="D180" s="341" t="inlineStr">
        <is>
          <t>Kenaikan Pangkat Mandiri</t>
        </is>
      </c>
      <c r="E180" s="340" t="n"/>
      <c r="F180" s="340" t="n"/>
    </row>
    <row r="181">
      <c r="D181" s="341" t="inlineStr">
        <is>
          <t>Usulan Peninjauan Masa Kerja</t>
        </is>
      </c>
      <c r="E181" s="340" t="n"/>
      <c r="F181" s="340" t="n"/>
    </row>
    <row r="182">
      <c r="D182" s="341" t="inlineStr">
        <is>
          <t>Kenaikan Gaji Berkala</t>
        </is>
      </c>
      <c r="E182" s="340" t="n"/>
      <c r="F182" s="340" t="n"/>
    </row>
    <row r="183">
      <c r="D183" s="341" t="inlineStr">
        <is>
          <t>Fasilitasi Ujian Dinas dan Ujian Kenaikan Pangkat Penyesuaian Ijazah</t>
        </is>
      </c>
      <c r="E183" s="340" t="n"/>
      <c r="F183" s="340" t="n"/>
    </row>
    <row r="184">
      <c r="D184" s="341" t="inlineStr">
        <is>
          <t>Pelayanan Cuti Pegawai</t>
        </is>
      </c>
      <c r="E184" s="340" t="n"/>
      <c r="F184" s="340" t="n"/>
    </row>
    <row r="185">
      <c r="D185" s="341" t="inlineStr">
        <is>
          <t>Pelayanan Izin Perceraian ASN</t>
        </is>
      </c>
      <c r="E185" s="340" t="n"/>
      <c r="F185" s="340" t="n"/>
    </row>
    <row r="186">
      <c r="D186" s="341" t="inlineStr">
        <is>
          <t>Surat Keterangan Bebas Hukuman Disiplin</t>
        </is>
      </c>
      <c r="E186" s="340" t="n"/>
      <c r="F186" s="340" t="n"/>
    </row>
    <row r="187">
      <c r="D187" s="341" t="inlineStr">
        <is>
          <t>Surat Izin Pencalonan Kepala Desa Bagi PNS</t>
        </is>
      </c>
      <c r="E187" s="340" t="n"/>
      <c r="F187" s="340" t="n"/>
    </row>
    <row r="188">
      <c r="D188" s="341" t="inlineStr">
        <is>
          <t>Penerbitan Surat Keputusan dan Piagam Penghargaan Daerah Lainnya</t>
        </is>
      </c>
      <c r="E188" s="340" t="n"/>
      <c r="F188" s="340" t="n"/>
    </row>
    <row r="189">
      <c r="D189" s="341" t="inlineStr">
        <is>
          <t>Pengusulan Tanda Kehormatan Satyalancana Karya Satya</t>
        </is>
      </c>
      <c r="E189" s="340" t="n"/>
      <c r="F189" s="340" t="n"/>
    </row>
    <row r="190">
      <c r="D190" s="341" t="inlineStr">
        <is>
          <t>Konseling Kinerja ASN</t>
        </is>
      </c>
      <c r="E190" s="340" t="n"/>
      <c r="F190" s="340" t="n"/>
    </row>
    <row r="191">
      <c r="D191" s="341" t="inlineStr">
        <is>
          <t>Pengangkatan Kembali PNS</t>
        </is>
      </c>
      <c r="E191" s="340" t="n"/>
      <c r="F191" s="340" t="n"/>
    </row>
    <row r="192">
      <c r="D192" s="341" t="inlineStr">
        <is>
          <t>Data dan Informasi</t>
        </is>
      </c>
      <c r="E192" s="340" t="n"/>
      <c r="F192" s="340" t="n"/>
    </row>
    <row r="193">
      <c r="D193" s="341" t="inlineStr">
        <is>
          <t>Pendaftaran Anggota Perpustakaan BPSDM</t>
        </is>
      </c>
      <c r="E193" s="340" t="n"/>
      <c r="F193" s="340" t="n"/>
    </row>
    <row r="194">
      <c r="D194" s="341" t="inlineStr">
        <is>
          <t>Penyewaan Fasilitas penginapan</t>
        </is>
      </c>
      <c r="E194" s="340" t="n"/>
      <c r="F194" s="340" t="n"/>
    </row>
    <row r="195">
      <c r="D195" s="341" t="inlineStr">
        <is>
          <t>Penyewaan Fasilitas Umum di Area BPSDM</t>
        </is>
      </c>
      <c r="E195" s="340" t="n"/>
      <c r="F195" s="340" t="n"/>
    </row>
    <row r="196">
      <c r="D196" s="341" t="inlineStr">
        <is>
          <t>Penyewaan Fasilitas Olahraga</t>
        </is>
      </c>
      <c r="E196" s="340" t="n"/>
      <c r="F196" s="340" t="n"/>
    </row>
    <row r="197">
      <c r="D197" s="341" t="inlineStr">
        <is>
          <t>Penerimaan Magang/PKL (ASN/Mahasiswa/SMK)</t>
        </is>
      </c>
      <c r="E197" s="340" t="n"/>
      <c r="F197" s="340" t="n"/>
    </row>
    <row r="198">
      <c r="D198" s="341" t="inlineStr">
        <is>
          <t>In House Training</t>
        </is>
      </c>
      <c r="E198" s="340" t="n"/>
      <c r="F198" s="340" t="n"/>
    </row>
    <row r="199">
      <c r="D199" s="341" t="inlineStr">
        <is>
          <t>Layanan Sertifikasi Profesi ASN melalui LSP Perangkat Daerah</t>
        </is>
      </c>
      <c r="E199" s="340" t="n"/>
      <c r="F199" s="340" t="n"/>
    </row>
    <row r="200">
      <c r="D200" s="341" t="inlineStr">
        <is>
          <t>E-Learning Mandiri Aparatur Sipil Negara Provinsi Jawa Barat</t>
        </is>
      </c>
      <c r="E200" s="340" t="n"/>
      <c r="F200" s="340" t="n"/>
    </row>
    <row r="201">
      <c r="D201" s="341" t="inlineStr">
        <is>
          <t>Data dan Informasi</t>
        </is>
      </c>
      <c r="E201" s="340" t="n"/>
      <c r="F201" s="340" t="n"/>
    </row>
    <row r="202">
      <c r="D202" s="340" t="n"/>
      <c r="E202" s="340" t="n"/>
      <c r="F202" s="340" t="n"/>
    </row>
    <row r="203">
      <c r="D203" s="341" t="inlineStr">
        <is>
          <t>Klinik Kebidanan dan Kandungan - RSUD Pameungpeuk</t>
        </is>
      </c>
      <c r="E203" s="340" t="n"/>
      <c r="F203" s="340" t="n"/>
    </row>
    <row r="204">
      <c r="D204" s="341" t="inlineStr">
        <is>
          <t>Klinik Penyakit Dalam - RSUD Pameungpeuk</t>
        </is>
      </c>
      <c r="E204" s="340" t="n"/>
      <c r="F204" s="340" t="n"/>
    </row>
    <row r="205">
      <c r="D205" s="341" t="inlineStr">
        <is>
          <t>Klinik Bedah Umum - RSUD Pameungpeuk</t>
        </is>
      </c>
      <c r="E205" s="340" t="n"/>
      <c r="F205" s="340" t="n"/>
    </row>
    <row r="206">
      <c r="D206" s="341" t="inlineStr">
        <is>
          <t>Klinik Thalassemia - RSUD Pameungpeuk</t>
        </is>
      </c>
      <c r="E206" s="340" t="n"/>
      <c r="F206" s="340" t="n"/>
    </row>
    <row r="207">
      <c r="D207" s="341" t="inlineStr">
        <is>
          <t>Klinik Gigi dan Mulut - RSUD Pameungpeuk</t>
        </is>
      </c>
      <c r="E207" s="340" t="n"/>
      <c r="F207" s="340" t="n"/>
    </row>
    <row r="208">
      <c r="D208" s="341" t="inlineStr">
        <is>
          <t>Klinik TB Dot - RSUD Pameungpeuk</t>
        </is>
      </c>
      <c r="E208" s="340" t="n"/>
      <c r="F208" s="340" t="n"/>
    </row>
    <row r="209">
      <c r="D209" s="341" t="inlineStr">
        <is>
          <t>Klinik Jantung dan Pembuluh Darah - RSUD Pameungpeuk</t>
        </is>
      </c>
      <c r="E209" s="340" t="n"/>
      <c r="F209" s="340" t="n"/>
    </row>
    <row r="210">
      <c r="D210" s="341" t="inlineStr">
        <is>
          <t>Klinik Anestesi dan Manajemen Nyeri - RSUD Pameungpeuk</t>
        </is>
      </c>
      <c r="E210" s="340" t="n"/>
      <c r="F210" s="340" t="n"/>
    </row>
    <row r="211">
      <c r="D211" s="341" t="inlineStr">
        <is>
          <t>Klinik Gizi - RSUD Pameungpeuk</t>
        </is>
      </c>
      <c r="E211" s="340" t="n"/>
      <c r="F211" s="340" t="n"/>
    </row>
    <row r="212">
      <c r="D212" s="341" t="inlineStr">
        <is>
          <t>Klinik Azalea - RSUD Pameungpeuk</t>
        </is>
      </c>
      <c r="E212" s="340" t="n"/>
      <c r="F212" s="340" t="n"/>
    </row>
    <row r="213">
      <c r="D213" s="341" t="inlineStr">
        <is>
          <t>Klinik Fisioterapi - RSUD Pameungpeuk</t>
        </is>
      </c>
      <c r="E213" s="340" t="n"/>
      <c r="F213" s="340" t="n"/>
    </row>
    <row r="214">
      <c r="D214" s="341" t="inlineStr">
        <is>
          <t>Klinik Anak - RSUD Pameungpeuk</t>
        </is>
      </c>
      <c r="E214" s="340" t="n"/>
      <c r="F214" s="340" t="n"/>
    </row>
    <row r="215">
      <c r="D215" s="341" t="inlineStr">
        <is>
          <t>Klinik Umum - RSUD Pameungpeuk</t>
        </is>
      </c>
      <c r="E215" s="340" t="n"/>
      <c r="F215" s="340" t="n"/>
    </row>
    <row r="216">
      <c r="D216" s="341" t="inlineStr">
        <is>
          <t>Instalasi Gawat Darurat - RSUD Pameungpeuk</t>
        </is>
      </c>
      <c r="E216" s="340" t="n"/>
      <c r="F216" s="340" t="n"/>
    </row>
    <row r="217">
      <c r="D217" s="341" t="inlineStr">
        <is>
          <t>Layanan Pelatihan Kesehatan - Upelkes</t>
        </is>
      </c>
      <c r="E217" s="340" t="n"/>
      <c r="F217" s="340" t="n"/>
    </row>
    <row r="218">
      <c r="D218" s="341" t="inlineStr">
        <is>
          <t>Pelayanan Pemeriksaan EKG - Labkesprov</t>
        </is>
      </c>
      <c r="E218" s="340" t="n"/>
      <c r="F218" s="340" t="n"/>
    </row>
    <row r="219">
      <c r="D219" s="341" t="inlineStr">
        <is>
          <t>Pelayanan Pemeriksaan USG - Labkesprov</t>
        </is>
      </c>
      <c r="E219" s="340" t="n"/>
      <c r="F219" s="340" t="n"/>
    </row>
    <row r="220">
      <c r="D220" s="341" t="inlineStr">
        <is>
          <t>Laboratorium Patologi Klinik - Labkesprov</t>
        </is>
      </c>
      <c r="E220" s="340" t="n"/>
      <c r="F220" s="340" t="n"/>
    </row>
    <row r="221">
      <c r="D221" s="341" t="inlineStr">
        <is>
          <t>Laboratorium Mikrobiologi Klinik - Labkesprov</t>
        </is>
      </c>
      <c r="E221" s="340" t="n"/>
      <c r="F221" s="340" t="n"/>
    </row>
    <row r="222">
      <c r="D222" s="341" t="inlineStr">
        <is>
          <t>Laboratorium Biomolekular - Labkesprov</t>
        </is>
      </c>
      <c r="E222" s="340" t="n"/>
      <c r="F222" s="340" t="n"/>
    </row>
    <row r="223">
      <c r="D223" s="341" t="inlineStr">
        <is>
          <t>Laboratorium Kimia Kesehatan Lingkungan - Labkesprov</t>
        </is>
      </c>
      <c r="E223" s="340" t="n"/>
      <c r="F223" s="340" t="n"/>
    </row>
    <row r="224">
      <c r="D224" s="341" t="inlineStr">
        <is>
          <t>Pelayanan Pemeriksaan X-Ray - Labkesprov</t>
        </is>
      </c>
      <c r="E224" s="340" t="n"/>
      <c r="F224" s="340" t="n"/>
    </row>
    <row r="225">
      <c r="D225" s="341" t="inlineStr">
        <is>
          <t>Layanan Medical Check Up - Labkesprov</t>
        </is>
      </c>
      <c r="E225" s="340" t="n"/>
      <c r="F225" s="340" t="n"/>
    </row>
    <row r="226">
      <c r="D226" s="341" t="inlineStr">
        <is>
          <t>Pemeriksaan Skrining Neonatus - Labkesprov</t>
        </is>
      </c>
      <c r="E226" s="340" t="n"/>
      <c r="F226" s="340" t="n"/>
    </row>
    <row r="227">
      <c r="D227" s="341" t="inlineStr">
        <is>
          <t>Konsultasi Dokter - Labkesprov</t>
        </is>
      </c>
      <c r="E227" s="340" t="n"/>
      <c r="F227" s="340" t="n"/>
    </row>
    <row r="228">
      <c r="D228" s="341" t="inlineStr">
        <is>
          <t>Pelayanan Laboratorium- RS Jiwa</t>
        </is>
      </c>
      <c r="E228" s="340" t="n"/>
      <c r="F228" s="340" t="n"/>
    </row>
    <row r="229">
      <c r="D229" s="341" t="inlineStr">
        <is>
          <t>Tim Reaksi Cepat (T-ReC) - RS Jiwa</t>
        </is>
      </c>
      <c r="E229" s="340" t="n"/>
      <c r="F229" s="340" t="n"/>
    </row>
    <row r="230">
      <c r="D230" s="341" t="inlineStr">
        <is>
          <t>Klinik Napza - RS Jiwa</t>
        </is>
      </c>
      <c r="E230" s="340" t="n"/>
      <c r="F230" s="340" t="n"/>
    </row>
    <row r="231">
      <c r="D231" s="341" t="inlineStr">
        <is>
          <t>Instalasi Gawat darurat - RS Jiwa</t>
        </is>
      </c>
      <c r="E231" s="340" t="n"/>
      <c r="F231" s="340" t="n"/>
    </row>
    <row r="232">
      <c r="D232" s="341" t="inlineStr">
        <is>
          <t>Pelayanan Rehabilitasi medik - RS Jiwa</t>
        </is>
      </c>
      <c r="E232" s="340" t="n"/>
      <c r="F232" s="340" t="n"/>
    </row>
    <row r="233">
      <c r="D233" s="341" t="inlineStr">
        <is>
          <t>Pelayanan Kesehatan Jiwa Dewasa - RS Jiwa</t>
        </is>
      </c>
      <c r="E233" s="340" t="n"/>
      <c r="F233" s="340" t="n"/>
    </row>
    <row r="234">
      <c r="D234" s="341" t="inlineStr">
        <is>
          <t>Pelayanan kesehatan jiwa lansia/psikogeriatri - RS Jiwa</t>
        </is>
      </c>
      <c r="E234" s="340" t="n"/>
      <c r="F234" s="340" t="n"/>
    </row>
    <row r="235">
      <c r="D235" s="341" t="inlineStr">
        <is>
          <t>Pelayanan kesehatan gigi dan mulut - RS Jiwa</t>
        </is>
      </c>
      <c r="E235" s="340" t="n"/>
      <c r="F235" s="340" t="n"/>
    </row>
    <row r="236">
      <c r="D236" s="341" t="inlineStr">
        <is>
          <t>Skrining dan Konsultasi Jiwa Online - RS Jiwa</t>
        </is>
      </c>
      <c r="E236" s="340" t="n"/>
      <c r="F236" s="340" t="n"/>
    </row>
    <row r="237">
      <c r="D237" s="341" t="inlineStr">
        <is>
          <t>Pelayanan Kesehatan Jiwa Anak dan Remaja - RS Jiwa</t>
        </is>
      </c>
      <c r="E237" s="340" t="n"/>
      <c r="F237" s="340" t="n"/>
    </row>
    <row r="238">
      <c r="D238" s="341" t="inlineStr">
        <is>
          <t>Pelayanan Kesehatan Jiwa Forensik/Psikoforensik - RS Jiwa</t>
        </is>
      </c>
      <c r="E238" s="340" t="n"/>
      <c r="F238" s="340" t="n"/>
    </row>
    <row r="239">
      <c r="D239" s="341" t="inlineStr">
        <is>
          <t>Pelayanan Radiologi - RS Jiwa</t>
        </is>
      </c>
      <c r="E239" s="340" t="n"/>
      <c r="F239" s="340" t="n"/>
    </row>
    <row r="240">
      <c r="D240" s="341" t="inlineStr">
        <is>
          <t>Dukungan Psikologis Awal (DUPA) - RS Jiwa</t>
        </is>
      </c>
      <c r="E240" s="340" t="n"/>
      <c r="F240" s="340" t="n"/>
    </row>
    <row r="241">
      <c r="D241" s="340" t="n"/>
      <c r="E241" s="340" t="n"/>
      <c r="F241" s="340" t="n"/>
    </row>
    <row r="242">
      <c r="D242" s="341" t="inlineStr">
        <is>
          <t>Register Ormas / LSM</t>
        </is>
      </c>
      <c r="E242" s="340" t="n"/>
      <c r="F242" s="340" t="n"/>
    </row>
    <row r="243">
      <c r="D243" s="341" t="inlineStr">
        <is>
          <t>Pelayanan Surat Keterangan Magang/Pkl/KKN/Pengabdian Masyarakat</t>
        </is>
      </c>
      <c r="E243" s="340" t="n"/>
      <c r="F243" s="340" t="n"/>
    </row>
    <row r="244">
      <c r="D244" s="341" t="inlineStr">
        <is>
          <t>Pelayanan Penerbitan Surat Keterangan Penelitian</t>
        </is>
      </c>
      <c r="E244" s="340" t="n"/>
      <c r="F244" s="340" t="n"/>
    </row>
    <row r="245">
      <c r="D245" s="341" t="inlineStr">
        <is>
          <t>Data dan Informasi</t>
        </is>
      </c>
      <c r="E245" s="340" t="n"/>
      <c r="F245" s="340" t="n"/>
    </row>
    <row r="246">
      <c r="D246" s="341" t="inlineStr">
        <is>
          <t>Penerbitan Naskah Kerjasama Dengan Pihak Ke-3</t>
        </is>
      </c>
      <c r="E246" s="340" t="n"/>
      <c r="F246" s="340" t="n"/>
    </row>
    <row r="247">
      <c r="D247" s="341" t="inlineStr">
        <is>
          <t>Permohonan Izin atau Cuti dengan alasan Kampanye</t>
        </is>
      </c>
      <c r="E247" s="340" t="n"/>
      <c r="F247" s="340" t="n"/>
    </row>
    <row r="248">
      <c r="D248" s="341" t="inlineStr">
        <is>
          <t>Fasilitasi Usulan Daerah Calon Persiapan Otonomi Baru (CPerangkat DaerahOB)</t>
        </is>
      </c>
      <c r="E248" s="340" t="n"/>
      <c r="F248" s="340" t="n"/>
    </row>
    <row r="249">
      <c r="D249" s="341" t="inlineStr">
        <is>
          <t>Penerbitan Naskah Kerjasama Luar Negeri</t>
        </is>
      </c>
      <c r="E249" s="340" t="n"/>
      <c r="F249" s="340" t="n"/>
    </row>
    <row r="250">
      <c r="D250" s="341" t="inlineStr">
        <is>
          <t>Penerbitan Naskah Kerjasama Dalam Negeri</t>
        </is>
      </c>
      <c r="E250" s="340" t="n"/>
      <c r="F250" s="340" t="n"/>
    </row>
    <row r="251">
      <c r="D251" s="341" t="inlineStr">
        <is>
          <t>Permohonan Izin atau Cuti dengan Alasan Penting</t>
        </is>
      </c>
      <c r="E251" s="340" t="n"/>
      <c r="F251" s="340" t="n"/>
    </row>
    <row r="252">
      <c r="D252" s="341" t="inlineStr">
        <is>
          <t>Fasilitasi Perubahan Nama Jalan</t>
        </is>
      </c>
      <c r="E252" s="340" t="n"/>
      <c r="F252" s="340" t="n"/>
    </row>
    <row r="253">
      <c r="D253" s="341" t="inlineStr">
        <is>
          <t>Fasilitasi Perijinan Perjalanan Dinas Luar Negeri</t>
        </is>
      </c>
      <c r="E253" s="340" t="n"/>
      <c r="F253" s="340" t="n"/>
    </row>
    <row r="254">
      <c r="D254" s="341" t="inlineStr">
        <is>
          <t>Data dan Informasi</t>
        </is>
      </c>
      <c r="E254" s="340" t="n"/>
      <c r="F254" s="340" t="n"/>
    </row>
    <row r="255">
      <c r="D255" s="340" t="n"/>
      <c r="E255" s="340" t="n"/>
      <c r="F255" s="340" t="n"/>
    </row>
    <row r="256">
      <c r="D256" s="341" t="inlineStr">
        <is>
          <t>Pelayanan Komunikasi, Informasi dan Edukasi Kebencanaan</t>
        </is>
      </c>
      <c r="E256" s="340" t="n"/>
      <c r="F256" s="340" t="n"/>
    </row>
    <row r="257">
      <c r="D257" s="341" t="inlineStr">
        <is>
          <t>Peminjaman Sarana dan Prasarana Kebencanaan</t>
        </is>
      </c>
      <c r="E257" s="340" t="n"/>
      <c r="F257" s="340" t="n"/>
    </row>
    <row r="258">
      <c r="D258" s="341" t="inlineStr">
        <is>
          <t>Fasilitasi Pengkajian Kebutuhan Pasca Bencana</t>
        </is>
      </c>
      <c r="E258" s="340" t="n"/>
      <c r="F258" s="340" t="n"/>
    </row>
    <row r="259">
      <c r="D259" s="341" t="inlineStr">
        <is>
          <t>Data dan Informasi</t>
        </is>
      </c>
      <c r="E259" s="340" t="n"/>
      <c r="F259" s="340" t="n"/>
    </row>
    <row r="260">
      <c r="D260" s="340" t="n"/>
      <c r="E260" s="340" t="n"/>
      <c r="F260" s="340" t="n"/>
    </row>
    <row r="261">
      <c r="D261" s="341" t="inlineStr">
        <is>
          <t>Layanan Tukar menukar Barang dan Milik Daerah</t>
        </is>
      </c>
      <c r="E261" s="340" t="n"/>
      <c r="F261" s="340" t="n"/>
    </row>
    <row r="262">
      <c r="D262" s="341" t="inlineStr">
        <is>
          <t>Layanan Hibah Barang Milik Daerah</t>
        </is>
      </c>
      <c r="E262" s="340" t="n"/>
      <c r="F262" s="340" t="n"/>
    </row>
    <row r="263">
      <c r="D263" s="341" t="inlineStr">
        <is>
          <t>Fasilitasi Pemanfataan Sewa BMD</t>
        </is>
      </c>
      <c r="E263" s="340" t="n"/>
      <c r="F263" s="340" t="n"/>
    </row>
    <row r="264">
      <c r="D264" s="341" t="inlineStr">
        <is>
          <t>Fasilitasi Pemanfaatan KSP</t>
        </is>
      </c>
      <c r="E264" s="340" t="n"/>
      <c r="F264" s="340" t="n"/>
    </row>
    <row r="265">
      <c r="D265" s="341" t="inlineStr">
        <is>
          <t>Pemanfaatan BMD dalam bentuk Bangun Guna Serah (BGS)/ Bangun Serah Guna (BSG)</t>
        </is>
      </c>
      <c r="E265" s="340" t="n"/>
      <c r="F265" s="340" t="n"/>
    </row>
    <row r="266">
      <c r="D266" s="341" t="inlineStr">
        <is>
          <t>Layanan Penjualan Barang dan Milik Daerah</t>
        </is>
      </c>
      <c r="E266" s="340" t="n"/>
      <c r="F266" s="340" t="n"/>
    </row>
    <row r="267">
      <c r="D267" s="341" t="inlineStr">
        <is>
          <t>Fasilitasi Evaluasi Raperda dan Raperkada P2APBD Kabupaten/Kota</t>
        </is>
      </c>
      <c r="E267" s="340" t="n"/>
      <c r="F267" s="340" t="n"/>
    </row>
    <row r="268">
      <c r="D268" s="341" t="inlineStr">
        <is>
          <t>Fasilitasi Penilaian Barang Milik Daerah pada Pengguna Barang</t>
        </is>
      </c>
      <c r="E268" s="340" t="n"/>
      <c r="F268" s="340" t="n"/>
    </row>
    <row r="269">
      <c r="D269" s="341" t="inlineStr">
        <is>
          <t>Fasilitasi Permohonan Keterangan Atas Status Kepemilikan Barang Milik Daerah</t>
        </is>
      </c>
      <c r="E269" s="340" t="n"/>
      <c r="F269" s="340" t="n"/>
    </row>
    <row r="270">
      <c r="D270" s="341" t="inlineStr">
        <is>
          <t>Fasilitasi Peminjaman Dokumen Barang Milik Daerah</t>
        </is>
      </c>
      <c r="E270" s="340" t="n"/>
      <c r="F270" s="340" t="n"/>
    </row>
    <row r="271">
      <c r="D271" s="341" t="inlineStr">
        <is>
          <t>Fasilitasi Legalisir Dokumen Barang Milik Daerah</t>
        </is>
      </c>
      <c r="E271" s="340" t="n"/>
      <c r="F271" s="340" t="n"/>
    </row>
    <row r="272">
      <c r="D272" s="341" t="inlineStr">
        <is>
          <t>Fasilitasi Penerbitan Perangkat Daerah dan pengesahan DPA</t>
        </is>
      </c>
      <c r="E272" s="340" t="n"/>
      <c r="F272" s="340" t="n"/>
    </row>
    <row r="273">
      <c r="D273" s="341" t="inlineStr">
        <is>
          <t>Fasilitasi Penerbitan Keputusan Gubernur tentang Rekening Bendahara</t>
        </is>
      </c>
      <c r="E273" s="340" t="n"/>
      <c r="F273" s="340" t="n"/>
    </row>
    <row r="274">
      <c r="D274" s="341" t="inlineStr">
        <is>
          <t>Fasilitasi Penerbitan Keputusan Gubernur Pengelola Keuangan</t>
        </is>
      </c>
      <c r="E274" s="340" t="n"/>
      <c r="F274" s="340" t="n"/>
    </row>
    <row r="275">
      <c r="D275" s="341" t="inlineStr">
        <is>
          <t>Fasilitasi Penerbitan SKPP</t>
        </is>
      </c>
      <c r="E275" s="340" t="n"/>
      <c r="F275" s="340" t="n"/>
    </row>
    <row r="276">
      <c r="D276" s="341" t="inlineStr">
        <is>
          <t>Fasilitasi Penerbitan SP2D</t>
        </is>
      </c>
      <c r="E276" s="340" t="n"/>
      <c r="F276" s="340" t="n"/>
    </row>
    <row r="277">
      <c r="D277" s="341" t="inlineStr">
        <is>
          <t>Data dan Informasi</t>
        </is>
      </c>
      <c r="E277" s="340" t="n"/>
      <c r="F277" s="340" t="n"/>
    </row>
    <row r="278">
      <c r="D278" s="340" t="n"/>
      <c r="E278" s="340" t="n"/>
      <c r="F278" s="340" t="n"/>
    </row>
    <row r="279">
      <c r="D279" s="341" t="inlineStr">
        <is>
          <t>Sistem Informasi Data Kependudukan (SIDATUK)</t>
        </is>
      </c>
      <c r="E279" s="340" t="n"/>
      <c r="F279" s="340" t="n"/>
    </row>
    <row r="280">
      <c r="D280" s="341" t="inlineStr">
        <is>
          <t>Data dan Informasi</t>
        </is>
      </c>
      <c r="E280" s="340" t="n"/>
      <c r="F280" s="340" t="n"/>
    </row>
    <row r="281">
      <c r="D281" s="340" t="n"/>
      <c r="E281" s="340" t="n"/>
      <c r="F281" s="340" t="n"/>
    </row>
    <row r="282">
      <c r="D282" s="341" t="inlineStr">
        <is>
          <t>Perlindungan Perempuan dan Anak Korban Kekerasan</t>
        </is>
      </c>
      <c r="E282" s="340" t="n"/>
      <c r="F282" s="340" t="n"/>
    </row>
    <row r="283">
      <c r="D283" s="341" t="inlineStr">
        <is>
          <t>Data dan Informasi</t>
        </is>
      </c>
      <c r="E283" s="340" t="n"/>
      <c r="F283" s="340" t="n"/>
    </row>
    <row r="284">
      <c r="D284" s="340" t="n"/>
      <c r="E284" s="340" t="n"/>
      <c r="F284" s="340" t="n"/>
    </row>
    <row r="285">
      <c r="D285" s="341" t="inlineStr">
        <is>
          <t>Pembayaran BBNKB II Perorangan dan Badan</t>
        </is>
      </c>
      <c r="E285" s="340" t="n"/>
      <c r="F285" s="340" t="n"/>
    </row>
    <row r="286">
      <c r="D286" s="341" t="inlineStr">
        <is>
          <t>Pembayaran Pajak Kendaraan Bermotor (PKB)</t>
        </is>
      </c>
      <c r="E286" s="340" t="n"/>
      <c r="F286" s="340" t="n"/>
    </row>
    <row r="287">
      <c r="D287" s="341" t="inlineStr">
        <is>
          <t>Pembayaran Pajak Kendaraan Bermotor atas perubahan Ubah Bentuk dan Ganti Warna</t>
        </is>
      </c>
      <c r="E287" s="340" t="n"/>
      <c r="F287" s="340" t="n"/>
    </row>
    <row r="288">
      <c r="D288" s="341" t="inlineStr">
        <is>
          <t>Pembayaran Pajak Kendaraan Bermotor (PKB) STNK Tahunan E-Samsat</t>
        </is>
      </c>
      <c r="E288" s="340" t="n"/>
      <c r="F288" s="340" t="n"/>
    </row>
    <row r="289">
      <c r="D289" s="341" t="inlineStr">
        <is>
          <t>Pembayaran Bea Balik Nama Kendaraan Bermotor (BBNKB II) Alih Kepemilikan atas dasar hibah dan warisan</t>
        </is>
      </c>
      <c r="E289" s="340" t="n"/>
      <c r="F289" s="340" t="n"/>
    </row>
    <row r="290">
      <c r="D290" s="341" t="inlineStr">
        <is>
          <t>Pembayaran Pajak Kendaraan Bermotor (PKB) 5 Tahunan</t>
        </is>
      </c>
      <c r="E290" s="340" t="n"/>
      <c r="F290" s="340" t="n"/>
    </row>
    <row r="291">
      <c r="D291" s="341" t="inlineStr">
        <is>
          <t>Pembayaran Bea Balik Nama Kendaraan Bermotor (BBNKB I) Kendaraan Baru</t>
        </is>
      </c>
      <c r="E291" s="340" t="n"/>
      <c r="F291" s="340" t="n"/>
    </row>
    <row r="292">
      <c r="D292" s="341" t="inlineStr">
        <is>
          <t>Pembayaran Pajak Bahan Bakar Kendaraan Bermotor</t>
        </is>
      </c>
      <c r="E292" s="340" t="n"/>
      <c r="F292" s="340" t="n"/>
    </row>
    <row r="293">
      <c r="D293" s="341" t="inlineStr">
        <is>
          <t>Pembayaran Pajak Air Permukaan (PAP) dan Mata Air</t>
        </is>
      </c>
      <c r="E293" s="340" t="n"/>
      <c r="F293" s="340" t="n"/>
    </row>
    <row r="294">
      <c r="D294" s="341" t="inlineStr">
        <is>
          <t>Data dan Informasi</t>
        </is>
      </c>
      <c r="E294" s="340" t="n"/>
      <c r="F294" s="340" t="n"/>
    </row>
    <row r="295">
      <c r="D295" s="341" t="inlineStr">
        <is>
          <t>Informasi data pelaku usaha</t>
        </is>
      </c>
      <c r="E295" s="340" t="n"/>
      <c r="F295" s="340" t="n"/>
    </row>
    <row r="296">
      <c r="D296" s="341" t="inlineStr">
        <is>
          <t>Perubahan data</t>
        </is>
      </c>
      <c r="E296" s="340" t="n"/>
      <c r="F296" s="340" t="n"/>
    </row>
    <row r="297">
      <c r="D297" s="341" t="inlineStr">
        <is>
          <t>Perubahan email</t>
        </is>
      </c>
      <c r="E297" s="340" t="n"/>
      <c r="F297" s="340" t="n"/>
    </row>
    <row r="298">
      <c r="D298" s="341" t="inlineStr">
        <is>
          <t>Pelatihan Sistem Pengadan Secara Elektronik (SPSE)</t>
        </is>
      </c>
      <c r="E298" s="340" t="n"/>
      <c r="F298" s="340" t="n"/>
    </row>
    <row r="299">
      <c r="D299" s="341" t="inlineStr">
        <is>
          <t>Pembuatan Akun Sistem Pengadaan Secara Elektronik (SPSE)</t>
        </is>
      </c>
      <c r="E299" s="340" t="n"/>
      <c r="F299" s="340" t="n"/>
    </row>
    <row r="300">
      <c r="D300" s="341" t="inlineStr">
        <is>
          <t>Data dan Informasi</t>
        </is>
      </c>
      <c r="E300" s="340" t="n"/>
      <c r="F300" s="340" t="n"/>
    </row>
    <row r="301">
      <c r="D301" s="340" t="n"/>
      <c r="E301" s="340" t="n"/>
      <c r="F301" s="340" t="n"/>
    </row>
    <row r="302">
      <c r="D302" s="341" t="inlineStr">
        <is>
          <t>SIPAT (Sistem Informasi Pengelolaan Apartemen Transit)</t>
        </is>
      </c>
      <c r="E302" s="340" t="n"/>
      <c r="F302" s="340" t="n"/>
    </row>
    <row r="303">
      <c r="D303" s="341" t="inlineStr">
        <is>
          <t>Data dan Informasi</t>
        </is>
      </c>
      <c r="E303" s="340" t="n"/>
      <c r="F303" s="340" t="n"/>
    </row>
    <row r="304">
      <c r="D304" s="340" t="n"/>
      <c r="E304" s="340" t="n"/>
      <c r="F304" s="340" t="n"/>
    </row>
    <row r="305">
      <c r="D305" s="341" t="inlineStr">
        <is>
          <t>Layanan Reservasi Online Venue SPOrT Jabar Arcamanik</t>
        </is>
      </c>
      <c r="E305" s="340" t="n"/>
      <c r="F305" s="340" t="n"/>
    </row>
    <row r="306">
      <c r="D306" s="341" t="inlineStr">
        <is>
          <t>Data dan Informasi</t>
        </is>
      </c>
      <c r="E306" s="340" t="n"/>
      <c r="F306" s="340" t="n"/>
    </row>
    <row r="307">
      <c r="D307" s="340" t="n"/>
      <c r="E307" s="340" t="n"/>
      <c r="F307" s="340" t="n"/>
    </row>
    <row r="308">
      <c r="D308" s="341" t="inlineStr">
        <is>
          <t>Kunjungan Anjungan Jawa Barat pada TMII Jakarta</t>
        </is>
      </c>
      <c r="E308" s="340" t="n"/>
      <c r="F308" s="340" t="n"/>
    </row>
    <row r="309">
      <c r="D309" s="341" t="inlineStr">
        <is>
          <t>Fasilitasi Kegiatan di Anjungan Jawa Barat TMII Jakarta</t>
        </is>
      </c>
      <c r="E309" s="340" t="n"/>
      <c r="F309" s="340" t="n"/>
    </row>
    <row r="310">
      <c r="D310" s="341" t="inlineStr">
        <is>
          <t>Fasilitasi Hubungan Antar Lembaga</t>
        </is>
      </c>
      <c r="E310" s="340" t="n"/>
      <c r="F310" s="340" t="n"/>
    </row>
    <row r="311">
      <c r="D311" s="341" t="inlineStr">
        <is>
          <t>Fasilitasi ruang rapat di Kantor Badan Penghubung Provinsi Jawa Barat</t>
        </is>
      </c>
      <c r="E311" s="340" t="n"/>
      <c r="F311" s="340" t="n"/>
    </row>
    <row r="312">
      <c r="D312" s="341" t="inlineStr">
        <is>
          <t>Fasilitasi Menginap di Kantor Badan Penghubung Provinsi Jawa Barat</t>
        </is>
      </c>
      <c r="E312" s="340" t="n"/>
      <c r="F312" s="340" t="n"/>
    </row>
    <row r="313">
      <c r="D313" s="341" t="inlineStr">
        <is>
          <t>Data dan Informasi</t>
        </is>
      </c>
      <c r="E313" s="340" t="n"/>
      <c r="F313" s="340" t="n"/>
    </row>
    <row r="314">
      <c r="D314" s="340" t="n"/>
      <c r="E314" s="340" t="n"/>
      <c r="F314" s="340" t="n"/>
    </row>
    <row r="315">
      <c r="D315" s="341" t="inlineStr">
        <is>
          <t>Pengawasan BBM Industri</t>
        </is>
      </c>
      <c r="E315" s="340" t="n"/>
      <c r="F315" s="340" t="n"/>
    </row>
    <row r="316">
      <c r="D316" s="341" t="inlineStr">
        <is>
          <t>Laboratorium Kesehatan Ikan dan Lingkungan</t>
        </is>
      </c>
      <c r="E316" s="340" t="n"/>
      <c r="F316" s="340" t="n"/>
    </row>
    <row r="317">
      <c r="D317" s="341" t="inlineStr">
        <is>
          <t>Bantuan Calon Induk Ikan</t>
        </is>
      </c>
      <c r="E317" s="340" t="n"/>
      <c r="F317" s="340" t="n"/>
    </row>
    <row r="318">
      <c r="D318" s="341" t="inlineStr">
        <is>
          <t>Penerbitan E-SLO (Standar Laik Operasional)</t>
        </is>
      </c>
      <c r="E318" s="340" t="n"/>
      <c r="F318" s="340" t="n"/>
    </row>
    <row r="319">
      <c r="D319" s="341" t="inlineStr">
        <is>
          <t>Sertifikasi Produk Perikanan</t>
        </is>
      </c>
      <c r="E319" s="340" t="n"/>
      <c r="F319" s="340" t="n"/>
    </row>
    <row r="320">
      <c r="D320" s="341" t="inlineStr">
        <is>
          <t>Penerbitan Surat Tanda Bukti Lapor Kedatangan Kapal (STBLKK)</t>
        </is>
      </c>
      <c r="E320" s="340" t="n"/>
      <c r="F320" s="340" t="n"/>
    </row>
    <row r="321">
      <c r="D321" s="341" t="inlineStr">
        <is>
          <t>Ekowisata Konservasi Penyu Pantai Pangumbahan</t>
        </is>
      </c>
      <c r="E321" s="340" t="n"/>
      <c r="F321" s="340" t="n"/>
    </row>
    <row r="322">
      <c r="D322" s="341" t="inlineStr">
        <is>
          <t>Pendampingan Nelayan dalam Pembuatan Dokumen Pas Kecil</t>
        </is>
      </c>
      <c r="E322" s="340" t="n"/>
      <c r="F322" s="340" t="n"/>
    </row>
    <row r="323">
      <c r="D323" s="341" t="inlineStr">
        <is>
          <t>Rekomendasi Elektronik Buku Kapal Perikanan</t>
        </is>
      </c>
      <c r="E323" s="340" t="n"/>
      <c r="F323" s="340" t="n"/>
    </row>
    <row r="324">
      <c r="D324" s="341" t="inlineStr">
        <is>
          <t>Penerbitan Sertifikat Hasil Tangkapan Ikan (SHTI) Lembar Awal</t>
        </is>
      </c>
      <c r="E324" s="340" t="n"/>
      <c r="F324" s="340" t="n"/>
    </row>
    <row r="325">
      <c r="D325" s="341" t="inlineStr">
        <is>
          <t>Penerbitan Surat Persetujuan Berlayar (SPB) Kapal Perikanan</t>
        </is>
      </c>
      <c r="E325" s="340" t="n"/>
      <c r="F325" s="340" t="n"/>
    </row>
    <row r="326">
      <c r="D326" s="341" t="inlineStr">
        <is>
          <t>Pengujian dan Penerapan Mutu Produk Hasil Perikanan</t>
        </is>
      </c>
      <c r="E326" s="340" t="n"/>
      <c r="F326" s="340" t="n"/>
    </row>
    <row r="327">
      <c r="D327" s="341" t="inlineStr">
        <is>
          <t>Pelayanan Check Point Distribusi Produk Perikanan</t>
        </is>
      </c>
      <c r="E327" s="340" t="n"/>
      <c r="F327" s="340" t="n"/>
    </row>
    <row r="328">
      <c r="D328" s="341" t="inlineStr">
        <is>
          <t>Rekomendasi Usulan Pembangunan Stasiun Pengisian BBM</t>
        </is>
      </c>
      <c r="E328" s="340" t="n"/>
      <c r="F328" s="340" t="n"/>
    </row>
    <row r="329">
      <c r="D329" s="341" t="inlineStr">
        <is>
          <t>Penyimpanan dan Pembekuan Produk Perikanan</t>
        </is>
      </c>
      <c r="E329" s="340" t="n"/>
      <c r="F329" s="340" t="n"/>
    </row>
    <row r="330">
      <c r="D330" s="341" t="inlineStr">
        <is>
          <t>Data dan Informasi</t>
        </is>
      </c>
      <c r="E330" s="340" t="n"/>
      <c r="F330" s="340" t="n"/>
    </row>
    <row r="331">
      <c r="D331" s="340" t="n"/>
      <c r="E331" s="340" t="n"/>
      <c r="F331" s="340" t="n"/>
    </row>
    <row r="332">
      <c r="D332" s="341" t="inlineStr">
        <is>
          <t>Jasa Layanan Penggunaan Alat dan Mesin Logam</t>
        </is>
      </c>
      <c r="E332" s="340" t="n"/>
      <c r="F332" s="340" t="n"/>
    </row>
    <row r="333">
      <c r="D333" s="341" t="inlineStr">
        <is>
          <t>Pengaduan Konsumen</t>
        </is>
      </c>
      <c r="E333" s="340" t="n"/>
      <c r="F333" s="340" t="n"/>
    </row>
    <row r="334">
      <c r="D334" s="341" t="inlineStr">
        <is>
          <t>Pengujian Cemaran Logam</t>
        </is>
      </c>
      <c r="E334" s="340" t="n"/>
      <c r="F334" s="340" t="n"/>
    </row>
    <row r="335">
      <c r="D335" s="341" t="inlineStr">
        <is>
          <t>Kalibrasi Alat Ukur</t>
        </is>
      </c>
      <c r="E335" s="340" t="n"/>
      <c r="F335" s="340" t="n"/>
    </row>
    <row r="336">
      <c r="D336" s="341" t="inlineStr">
        <is>
          <t>Pengujian Mutu Barang Agro</t>
        </is>
      </c>
      <c r="E336" s="340" t="n"/>
      <c r="F336" s="340" t="n"/>
    </row>
    <row r="337">
      <c r="D337" s="341" t="inlineStr">
        <is>
          <t>Fasilitasi Halal</t>
        </is>
      </c>
      <c r="E337" s="340" t="n"/>
      <c r="F337" s="340" t="n"/>
    </row>
    <row r="338">
      <c r="D338" s="341" t="inlineStr">
        <is>
          <t>Penerbitan Surat Rekomendasi IKM Binaan</t>
        </is>
      </c>
      <c r="E338" s="340" t="n"/>
      <c r="F338" s="340" t="n"/>
    </row>
    <row r="339">
      <c r="D339" s="341" t="inlineStr">
        <is>
          <t>Fasilitasi Merek</t>
        </is>
      </c>
      <c r="E339" s="340" t="n"/>
      <c r="F339" s="340" t="n"/>
    </row>
    <row r="340">
      <c r="D340" s="341" t="inlineStr">
        <is>
          <t>Penerbitan Surat Keterangan Asal (SKA)</t>
        </is>
      </c>
      <c r="E340" s="340" t="n"/>
      <c r="F340" s="340" t="n"/>
    </row>
    <row r="341">
      <c r="D341" s="341" t="inlineStr">
        <is>
          <t>Layanan Kemasan</t>
        </is>
      </c>
      <c r="E341" s="340" t="n"/>
      <c r="F341" s="340" t="n"/>
    </row>
    <row r="342">
      <c r="D342" s="341" t="inlineStr">
        <is>
          <t>Layanan Fasilitasi Mesin Industri Olahan</t>
        </is>
      </c>
      <c r="E342" s="340" t="n"/>
      <c r="F342" s="340" t="n"/>
    </row>
    <row r="343">
      <c r="D343" s="341" t="inlineStr">
        <is>
          <t>Pengujian Mutu Barang Keramik dan Tabung Gas</t>
        </is>
      </c>
      <c r="E343" s="340" t="n"/>
      <c r="F343" s="340" t="n"/>
    </row>
    <row r="344">
      <c r="D344" s="341" t="inlineStr">
        <is>
          <t>Pengujian Mutu Barang Air Minum Dalam Kemasan</t>
        </is>
      </c>
      <c r="E344" s="340" t="n"/>
      <c r="F344" s="340" t="n"/>
    </row>
    <row r="345">
      <c r="D345" s="341" t="inlineStr">
        <is>
          <t>Jasa Sewa Tanah dan/atau Bangunan UPTD Industri Pangan Olahan dan Kemasan</t>
        </is>
      </c>
      <c r="E345" s="340" t="n"/>
      <c r="F345" s="340" t="n"/>
    </row>
    <row r="346">
      <c r="D346" s="341" t="inlineStr">
        <is>
          <t>Jasa Sewa Tanah dan/atau Bangunan UPTD Industri Logam</t>
        </is>
      </c>
      <c r="E346" s="340" t="n"/>
      <c r="F346" s="340" t="n"/>
    </row>
    <row r="347">
      <c r="D347" s="341" t="inlineStr">
        <is>
          <t>Data dan Informasi</t>
        </is>
      </c>
      <c r="E347" s="340" t="n"/>
      <c r="F347" s="340" t="n"/>
    </row>
    <row r="348">
      <c r="D348" s="340" t="n"/>
      <c r="E348" s="340" t="n"/>
      <c r="F348" s="340" t="n"/>
    </row>
    <row r="349">
      <c r="D349" s="341" t="inlineStr">
        <is>
          <t>Pengolahan Hasil Hutan</t>
        </is>
      </c>
      <c r="E349" s="340" t="n"/>
      <c r="F349" s="340" t="n"/>
    </row>
    <row r="350">
      <c r="D350" s="341" t="inlineStr">
        <is>
          <t>Kunjungan Wisata Kawasan Taman Hutan Raya (TAHURA) Djuanda</t>
        </is>
      </c>
      <c r="E350" s="340" t="n"/>
      <c r="F350" s="340" t="n"/>
    </row>
    <row r="351">
      <c r="D351" s="341" t="inlineStr">
        <is>
          <t>Bantuan Bibit Tanaman Kehutanan</t>
        </is>
      </c>
      <c r="E351" s="340" t="n"/>
      <c r="F351" s="340" t="n"/>
    </row>
    <row r="352">
      <c r="D352" s="341" t="inlineStr">
        <is>
          <t>Sertifikasi Mutu Benih Tanaman Hutan</t>
        </is>
      </c>
      <c r="E352" s="340" t="n"/>
      <c r="F352" s="340" t="n"/>
    </row>
    <row r="353">
      <c r="D353" s="341" t="inlineStr">
        <is>
          <t>Sewa pondok tamu, ruang pertemuan, panggung terbuka, plaza, lapangan tennis, dll di TAHURA Djuanda</t>
        </is>
      </c>
      <c r="E353" s="340" t="n"/>
      <c r="F353" s="340" t="n"/>
    </row>
    <row r="354">
      <c r="D354" s="341" t="inlineStr">
        <is>
          <t>Penyewaan Sewa Tenda Pleton, Tenda kecil, Peralatan Outbond tertentu Kawasan TAHURA Djuanda</t>
        </is>
      </c>
      <c r="E354" s="340" t="n"/>
      <c r="F354" s="340" t="n"/>
    </row>
    <row r="355">
      <c r="D355" s="341" t="inlineStr">
        <is>
          <t>Fasilitas Outbound, Paintball, Berkemah, Panahan, Flying Fox, dan khusus di TAHURA Djuanda</t>
        </is>
      </c>
      <c r="E355" s="340" t="n"/>
      <c r="F355" s="340" t="n"/>
    </row>
    <row r="356">
      <c r="D356" s="341" t="inlineStr">
        <is>
          <t>Penyewaan Lokasi Resepsi Pernikahan di Kawasan Taman Hutan Raya (TAHURA) Djuanda</t>
        </is>
      </c>
      <c r="E356" s="340" t="n"/>
      <c r="F356" s="340" t="n"/>
    </row>
    <row r="357">
      <c r="D357" s="341" t="inlineStr">
        <is>
          <t>Fasilitasi Masuk Menara Pengawas/ Pemantau di Kawasan Taman Hutan Raya (TAHURA) Djuanda</t>
        </is>
      </c>
      <c r="E357" s="340" t="n"/>
      <c r="F357" s="340" t="n"/>
    </row>
    <row r="358">
      <c r="D358" s="341" t="inlineStr">
        <is>
          <t>Fasilitasi Lokasi Pengambilan Gambar/Video di Kawasan Taman Hutan Raya (TAHURA) Djuanda</t>
        </is>
      </c>
      <c r="E358" s="340" t="n"/>
      <c r="F358" s="340" t="n"/>
    </row>
    <row r="359">
      <c r="D359" s="341" t="inlineStr">
        <is>
          <t>Wisata Berkuda Kawasan Taman Hutan Raya (TAHURA) Djuanda</t>
        </is>
      </c>
      <c r="E359" s="340" t="n"/>
      <c r="F359" s="340" t="n"/>
    </row>
    <row r="360">
      <c r="D360" s="341" t="inlineStr">
        <is>
          <t>Fasilitasi Kegiatan Pelatihan di Kawasan Taman Hutan Raya (TAHURA) Djuanda</t>
        </is>
      </c>
      <c r="E360" s="340" t="n"/>
      <c r="F360" s="340" t="n"/>
    </row>
    <row r="361">
      <c r="D361" s="341" t="inlineStr">
        <is>
          <t>Fasilitasi Penelitian Bidang Kehutanan di Kawasan Taman Hutan Raya (TAHURA) Djuanda</t>
        </is>
      </c>
      <c r="E361" s="340" t="n"/>
      <c r="F361" s="340" t="n"/>
    </row>
    <row r="362">
      <c r="D362" s="341" t="inlineStr">
        <is>
          <t>Penyewaan Sewa Kios, Warung Kreatif, Kantin di Kawasan Taman Hutan Raya (TAHURA) Djuanda</t>
        </is>
      </c>
      <c r="E362" s="340" t="n"/>
      <c r="F362" s="340" t="n"/>
    </row>
    <row r="363">
      <c r="D363" s="341" t="inlineStr">
        <is>
          <t>Data dan Informasi</t>
        </is>
      </c>
      <c r="E363" s="340" t="n"/>
      <c r="F363" s="340" t="n"/>
    </row>
    <row r="364">
      <c r="D364" s="340" t="n"/>
      <c r="E364" s="340" t="n"/>
      <c r="F364" s="340" t="n"/>
    </row>
    <row r="365">
      <c r="D365" s="341" t="inlineStr">
        <is>
          <t>Poliklinik ilmu Penyakit Dalam RSUD Al-Ihsan</t>
        </is>
      </c>
      <c r="E365" s="340" t="n"/>
      <c r="F365" s="340" t="n"/>
    </row>
    <row r="366">
      <c r="D366" s="341" t="inlineStr">
        <is>
          <t>Poliklinik Gigi dan Mulut RSUD Al-Ihsan</t>
        </is>
      </c>
      <c r="E366" s="340" t="n"/>
      <c r="F366" s="340" t="n"/>
    </row>
    <row r="367">
      <c r="D367" s="341" t="inlineStr">
        <is>
          <t>Pelayanan Rehabilitasi Medik RSUD Al-Ihsan</t>
        </is>
      </c>
      <c r="E367" s="340" t="n"/>
      <c r="F367" s="340" t="n"/>
    </row>
    <row r="368">
      <c r="D368" s="341" t="inlineStr">
        <is>
          <t>Klinik Paru RSUD Al-Ihsan</t>
        </is>
      </c>
      <c r="E368" s="340" t="n"/>
      <c r="F368" s="340" t="n"/>
    </row>
    <row r="369">
      <c r="D369" s="341" t="inlineStr">
        <is>
          <t>Poliklinik Bedah RSUD Al-Ihsan</t>
        </is>
      </c>
      <c r="E369" s="340" t="n"/>
      <c r="F369" s="340" t="n"/>
    </row>
    <row r="370">
      <c r="D370" s="341" t="inlineStr">
        <is>
          <t>Klinik Kedokteran Okupasi RSUD Al-Ihsan</t>
        </is>
      </c>
      <c r="E370" s="340" t="n"/>
      <c r="F370" s="340" t="n"/>
    </row>
    <row r="371">
      <c r="D371" s="341" t="inlineStr">
        <is>
          <t>Poliklinik Jantung RSUD Al-Ihsan</t>
        </is>
      </c>
      <c r="E371" s="340" t="n"/>
      <c r="F371" s="340" t="n"/>
    </row>
    <row r="372">
      <c r="D372" s="341" t="inlineStr">
        <is>
          <t>Klinik YANKESPEG</t>
        </is>
      </c>
      <c r="E372" s="340" t="n"/>
      <c r="F372" s="340" t="n"/>
    </row>
    <row r="373">
      <c r="D373" s="341" t="inlineStr">
        <is>
          <t>Klinik Mata RSUD Al-Ihsan</t>
        </is>
      </c>
      <c r="E373" s="340" t="n"/>
      <c r="F373" s="340" t="n"/>
    </row>
    <row r="374">
      <c r="D374" s="341" t="inlineStr">
        <is>
          <t>Klinik THT RSUD Al-Ihsan</t>
        </is>
      </c>
      <c r="E374" s="340" t="n"/>
      <c r="F374" s="340" t="n"/>
    </row>
    <row r="375">
      <c r="D375" s="341" t="inlineStr">
        <is>
          <t>Pelayanan Thalasemia RSUD Al-Ihsan</t>
        </is>
      </c>
      <c r="E375" s="340" t="n"/>
      <c r="F375" s="340" t="n"/>
    </row>
    <row r="376">
      <c r="D376" s="341" t="inlineStr">
        <is>
          <t>Klinik Kulit &amp; Kelamin RSUD Al-Ihsan</t>
        </is>
      </c>
      <c r="E376" s="340" t="n"/>
      <c r="F376" s="340" t="n"/>
    </row>
    <row r="377">
      <c r="D377" s="341" t="inlineStr">
        <is>
          <t>Klinik Obgyn RSUD Al-Ihsan</t>
        </is>
      </c>
      <c r="E377" s="340" t="n"/>
      <c r="F377" s="340" t="n"/>
    </row>
    <row r="378">
      <c r="D378" s="341" t="inlineStr">
        <is>
          <t>Klinik Psikiater RSUD Al-Ihsan</t>
        </is>
      </c>
      <c r="E378" s="340" t="n"/>
      <c r="F378" s="340" t="n"/>
    </row>
    <row r="379">
      <c r="D379" s="341" t="inlineStr">
        <is>
          <t>Klinik Syaraf RSUD Al-Ihsan</t>
        </is>
      </c>
      <c r="E379" s="340" t="n"/>
      <c r="F379" s="340" t="n"/>
    </row>
    <row r="380">
      <c r="D380" s="341" t="inlineStr">
        <is>
          <t>Poliklinik Anak RSUD Al-Ihsan</t>
        </is>
      </c>
      <c r="E380" s="340" t="n"/>
      <c r="F380" s="340" t="n"/>
    </row>
    <row r="381">
      <c r="D381" s="341" t="inlineStr">
        <is>
          <t>Pelayanan Kemoterapi RSUD Al-Ihsan</t>
        </is>
      </c>
      <c r="E381" s="340" t="n"/>
      <c r="F381" s="340" t="n"/>
    </row>
    <row r="382">
      <c r="D382" s="341" t="inlineStr">
        <is>
          <t>Instalasi Rawat Inap RSUD Al-Ihsan</t>
        </is>
      </c>
      <c r="E382" s="340" t="n"/>
      <c r="F382" s="340" t="n"/>
    </row>
    <row r="383">
      <c r="D383" s="341" t="inlineStr">
        <is>
          <t>Instalasi Gawat Darurat RSUD Al-Ihsan</t>
        </is>
      </c>
      <c r="E383" s="340" t="n"/>
      <c r="F383" s="340" t="n"/>
    </row>
    <row r="384">
      <c r="D384" s="341" t="inlineStr">
        <is>
          <t>Klinik Hemato Onkologi Anak RSUD Al-Ihsan</t>
        </is>
      </c>
      <c r="E384" s="340" t="n"/>
      <c r="F384" s="340" t="n"/>
    </row>
    <row r="385">
      <c r="D385" s="341" t="inlineStr">
        <is>
          <t>Klinik Ginek Onkologi RSUD Al-Ihsan</t>
        </is>
      </c>
      <c r="E385" s="340" t="n"/>
      <c r="F385" s="340" t="n"/>
    </row>
    <row r="386">
      <c r="D386" s="341" t="inlineStr">
        <is>
          <t>Klinik Hemato Onkologi Dewasa RSUD Al-Ihsan</t>
        </is>
      </c>
      <c r="E386" s="340" t="n"/>
      <c r="F386" s="340" t="n"/>
    </row>
    <row r="387">
      <c r="D387" s="341" t="inlineStr">
        <is>
          <t>Klinik MCU RSUD Al-Ihsan</t>
        </is>
      </c>
      <c r="E387" s="340" t="n"/>
      <c r="F387" s="340" t="n"/>
    </row>
    <row r="388">
      <c r="D388" s="340" t="n"/>
      <c r="E388" s="340" t="n"/>
      <c r="F388" s="340" t="n"/>
    </row>
    <row r="389">
      <c r="D389" s="341" t="inlineStr">
        <is>
          <t>Tapal Desa (Ketahanan Pangan Digital Desa)</t>
        </is>
      </c>
      <c r="E389" s="340" t="n"/>
      <c r="F389" s="340" t="n"/>
    </row>
    <row r="390">
      <c r="D390" s="341" t="inlineStr">
        <is>
          <t>Gerai Berdesa</t>
        </is>
      </c>
      <c r="E390" s="340" t="n"/>
      <c r="F390" s="340" t="n"/>
    </row>
    <row r="391">
      <c r="D391" s="341" t="inlineStr">
        <is>
          <t>Data dan Informasi</t>
        </is>
      </c>
      <c r="E391" s="340" t="n"/>
      <c r="F391" s="340" t="n"/>
    </row>
    <row r="392">
      <c r="D392" s="340" t="n"/>
      <c r="E392" s="340" t="n"/>
      <c r="F392" s="340" t="n"/>
    </row>
    <row r="393">
      <c r="D393" s="341" t="inlineStr">
        <is>
          <t>Layanan Bantuan Bahan Banjiran dan atau Kekeringan</t>
        </is>
      </c>
      <c r="E393" s="340" t="n"/>
      <c r="F393" s="340" t="n"/>
    </row>
    <row r="394">
      <c r="D394" s="341" t="inlineStr">
        <is>
          <t>Layanan Persetujuan Persyaratan Izin Pendayagunaan Sumber Daya Air</t>
        </is>
      </c>
      <c r="E394" s="340" t="n"/>
      <c r="F394" s="340" t="n"/>
    </row>
    <row r="395">
      <c r="D395" s="341" t="inlineStr">
        <is>
          <t>Layanan Pengesahan Gambar Teknis</t>
        </is>
      </c>
      <c r="E395" s="340" t="n"/>
      <c r="F395" s="340" t="n"/>
    </row>
    <row r="396">
      <c r="D396" s="341" t="inlineStr">
        <is>
          <t>Layanan Fasilitasi Bantuan Teknis Usulan DAK Fisik Bidang Irigasi</t>
        </is>
      </c>
      <c r="E396" s="340" t="n"/>
      <c r="F396" s="340" t="n"/>
    </row>
    <row r="397">
      <c r="D397" s="341" t="inlineStr">
        <is>
          <t>Data dan Informasi</t>
        </is>
      </c>
      <c r="E397" s="340" t="n"/>
      <c r="F397" s="340" t="n"/>
    </row>
    <row r="398">
      <c r="D398" s="340" t="n"/>
      <c r="E398" s="340" t="n"/>
      <c r="F398" s="340" t="n"/>
    </row>
    <row r="399">
      <c r="D399" s="341" t="inlineStr">
        <is>
          <t>Bimbingan dan Pembinaan Teknis Pembenihan Tanaman Perkebunan</t>
        </is>
      </c>
      <c r="E399" s="340" t="n"/>
      <c r="F399" s="340" t="n"/>
    </row>
    <row r="400">
      <c r="D400" s="341" t="inlineStr">
        <is>
          <t>Rekomendasi Izin Usaha Produksi Benih Tanaman Perkebunan</t>
        </is>
      </c>
      <c r="E400" s="340" t="n"/>
      <c r="F400" s="340" t="n"/>
    </row>
    <row r="401">
      <c r="D401" s="341" t="inlineStr">
        <is>
          <t>Sertifikasi Benih Perkebunan Pra-Tanam</t>
        </is>
      </c>
      <c r="E401" s="340" t="n"/>
      <c r="F401" s="340" t="n"/>
    </row>
    <row r="402">
      <c r="D402" s="341" t="inlineStr">
        <is>
          <t>Sertifikasi Benih Perkebunan Siap Tanam</t>
        </is>
      </c>
      <c r="E402" s="340" t="n"/>
      <c r="F402" s="340" t="n"/>
    </row>
    <row r="403">
      <c r="D403" s="341" t="inlineStr">
        <is>
          <t>Data dan Informasi</t>
        </is>
      </c>
      <c r="E403" s="340" t="n"/>
      <c r="F403" s="340" t="n"/>
    </row>
    <row r="404">
      <c r="D404" s="340" t="n"/>
      <c r="E404" s="340" t="n"/>
      <c r="F404" s="340" t="n"/>
    </row>
    <row r="405">
      <c r="D405" s="341" t="inlineStr">
        <is>
          <t>Pengujian Mutu Sarana Produksi dan Produk Pertanian</t>
        </is>
      </c>
      <c r="E405" s="340" t="n"/>
      <c r="F405" s="340" t="n"/>
    </row>
    <row r="406">
      <c r="D406" s="341" t="inlineStr">
        <is>
          <t>Bantuan Benih Hortikultura</t>
        </is>
      </c>
      <c r="E406" s="340" t="n"/>
      <c r="F406" s="340" t="n"/>
    </row>
    <row r="407">
      <c r="D407" s="341" t="inlineStr">
        <is>
          <t>Sertifikasi Benih Tanaman Hortikultura</t>
        </is>
      </c>
      <c r="E407" s="340" t="n"/>
      <c r="F407" s="340" t="n"/>
    </row>
    <row r="408">
      <c r="D408" s="341" t="inlineStr">
        <is>
          <t>Sertifikasi Benih Tanaman Pangan</t>
        </is>
      </c>
      <c r="E408" s="340" t="n"/>
      <c r="F408" s="340" t="n"/>
    </row>
    <row r="409">
      <c r="D409" s="341" t="inlineStr">
        <is>
          <t>Data dan Informasi</t>
        </is>
      </c>
      <c r="E409" s="340" t="n"/>
      <c r="F409" s="340" t="n"/>
    </row>
    <row r="410">
      <c r="D410" s="340" t="n"/>
      <c r="E410" s="340" t="n"/>
      <c r="F410" s="340" t="n"/>
    </row>
    <row r="411">
      <c r="D411" s="341" t="inlineStr">
        <is>
          <t>Museum Monumen Perjuangan Rakyat (Monpera)</t>
        </is>
      </c>
      <c r="E411" s="340" t="n"/>
      <c r="F411" s="340" t="n"/>
    </row>
    <row r="412">
      <c r="D412" s="341" t="inlineStr">
        <is>
          <t>Peminjaman Tempat Gedung Pusat Kebudayaan (GPK)</t>
        </is>
      </c>
      <c r="E412" s="340" t="n"/>
      <c r="F412" s="340" t="n"/>
    </row>
    <row r="413">
      <c r="D413" s="341" t="inlineStr">
        <is>
          <t>Peminjaman Tempat Teater Rumentang Siang</t>
        </is>
      </c>
      <c r="E413" s="340" t="n"/>
      <c r="F413" s="340" t="n"/>
    </row>
    <row r="414">
      <c r="D414" s="341" t="inlineStr">
        <is>
          <t>Peminjaman/ Penyewaan Tempat Gedung Taman Budaya Jawa Barat</t>
        </is>
      </c>
      <c r="E414" s="340" t="n"/>
      <c r="F414" s="340" t="n"/>
    </row>
    <row r="415">
      <c r="D415" s="341" t="inlineStr">
        <is>
          <t>Rumah Angklung</t>
        </is>
      </c>
      <c r="E415" s="340" t="n"/>
      <c r="F415" s="340" t="n"/>
    </row>
    <row r="416">
      <c r="D416" s="341" t="inlineStr">
        <is>
          <t>Kunjungan Rumah Bersejarah Inggit Garnasih</t>
        </is>
      </c>
      <c r="E416" s="340" t="n"/>
      <c r="F416" s="340" t="n"/>
    </row>
    <row r="417">
      <c r="D417" s="341" t="inlineStr">
        <is>
          <t>Kunjungan Gedung Indonesia Menggugat</t>
        </is>
      </c>
      <c r="E417" s="340" t="n"/>
      <c r="F417" s="340" t="n"/>
    </row>
    <row r="418">
      <c r="D418" s="341" t="inlineStr">
        <is>
          <t>Museum Sri Baduga</t>
        </is>
      </c>
      <c r="E418" s="340" t="n"/>
      <c r="F418" s="340" t="n"/>
    </row>
    <row r="419">
      <c r="D419" s="341" t="inlineStr">
        <is>
          <t>Pendampingan Pengurusan Hak Kekayaan Intelektual bagi Para Pelaku Ekonomi Kreatif Jawa Barat</t>
        </is>
      </c>
      <c r="E419" s="340" t="n"/>
      <c r="F419" s="340" t="n"/>
    </row>
    <row r="420">
      <c r="D420" s="341" t="inlineStr">
        <is>
          <t>Data dan Informasi</t>
        </is>
      </c>
      <c r="E420" s="340" t="n"/>
      <c r="F420" s="340" t="n"/>
    </row>
    <row r="421">
      <c r="D421" s="340" t="n"/>
      <c r="E421" s="340" t="n"/>
      <c r="F421" s="340" t="n"/>
    </row>
    <row r="422">
      <c r="D422" s="341" t="inlineStr">
        <is>
          <t>Fasilitasi Rekomendasi Perumusan Kebijakan</t>
        </is>
      </c>
      <c r="E422" s="340" t="n"/>
      <c r="F422" s="340" t="n"/>
    </row>
    <row r="423">
      <c r="D423" s="341" t="inlineStr">
        <is>
          <t>Data dan Informasi</t>
        </is>
      </c>
      <c r="E423" s="340" t="n"/>
      <c r="F423" s="340" t="n"/>
    </row>
    <row r="424">
      <c r="D424" s="341" t="inlineStr">
        <is>
          <t>Penataan Kelembagaan Pemerintahan Daerah Kabupaten/Kota</t>
        </is>
      </c>
      <c r="E424" s="340" t="n"/>
      <c r="F424" s="340" t="n"/>
    </row>
    <row r="425">
      <c r="D425" s="341" t="inlineStr">
        <is>
          <t>Data dan Informasi</t>
        </is>
      </c>
      <c r="E425" s="340" t="n"/>
      <c r="F425" s="340" t="n"/>
    </row>
    <row r="426">
      <c r="D426" s="340" t="n"/>
      <c r="E426" s="340" t="n"/>
      <c r="F426" s="340" t="n"/>
    </row>
    <row r="427">
      <c r="D427" s="341" t="inlineStr">
        <is>
          <t>Penerimaan Peserta Didik Baru (Perangkat Daerah)</t>
        </is>
      </c>
      <c r="E427" s="340" t="n"/>
      <c r="F427" s="340" t="n"/>
    </row>
    <row r="428">
      <c r="D428" s="341" t="inlineStr">
        <is>
          <t>Jabar Future Leaders Scholarship (JFLS)</t>
        </is>
      </c>
      <c r="E428" s="340" t="n"/>
      <c r="F428" s="340" t="n"/>
    </row>
    <row r="429">
      <c r="D429" s="341" t="inlineStr">
        <is>
          <t>Legalisir Ijazah SMA, SMK, SLB</t>
        </is>
      </c>
      <c r="E429" s="340" t="n"/>
      <c r="F429" s="340" t="n"/>
    </row>
    <row r="430">
      <c r="D430" s="341" t="inlineStr">
        <is>
          <t>Mutasi Peserta Didik jenjang SMA, SMK, SLB.</t>
        </is>
      </c>
      <c r="E430" s="340" t="n"/>
      <c r="F430" s="340" t="n"/>
    </row>
    <row r="431">
      <c r="D431" s="341" t="inlineStr">
        <is>
          <t>Pengajuan Mutasi GTK PNS</t>
        </is>
      </c>
      <c r="E431" s="340" t="n"/>
      <c r="F431" s="340" t="n"/>
    </row>
    <row r="432">
      <c r="D432" s="341" t="inlineStr">
        <is>
          <t>Layanan Fasilitasi Magang</t>
        </is>
      </c>
      <c r="E432" s="340" t="n"/>
      <c r="F432" s="340" t="n"/>
    </row>
    <row r="433">
      <c r="D433" s="341" t="inlineStr">
        <is>
          <t>Data dan Informasi</t>
        </is>
      </c>
      <c r="E433" s="340" t="n"/>
      <c r="F433" s="340" t="n"/>
    </row>
    <row r="434">
      <c r="D434" s="340" t="n"/>
      <c r="E434" s="340" t="n"/>
      <c r="F434" s="340" t="n"/>
    </row>
    <row r="435">
      <c r="D435" s="341" t="inlineStr">
        <is>
          <t>Program Taman Keanekaragaman Hayati (Kehati)</t>
        </is>
      </c>
      <c r="E435" s="340" t="n"/>
      <c r="F435" s="340" t="n"/>
    </row>
    <row r="436">
      <c r="D436" s="341" t="inlineStr">
        <is>
          <t>ECIS (Environmental Complaints Information System)</t>
        </is>
      </c>
      <c r="E436" s="340" t="n"/>
      <c r="F436" s="340" t="n"/>
    </row>
    <row r="437">
      <c r="D437" s="341" t="inlineStr">
        <is>
          <t>Pengambilan dan Pengujian Contoh Uji Kualitas Lingkungan</t>
        </is>
      </c>
      <c r="E437" s="340" t="n"/>
      <c r="F437" s="340" t="n"/>
    </row>
    <row r="438">
      <c r="D438" s="341" t="inlineStr">
        <is>
          <t>Pembinaan Calon Lokasi Program Kampung Iklim (Proklim)</t>
        </is>
      </c>
      <c r="E438" s="340" t="n"/>
      <c r="F438" s="340" t="n"/>
    </row>
    <row r="439">
      <c r="D439" s="341" t="inlineStr">
        <is>
          <t>Layanan Pencalonan Penghargaan Lingkungan Hidup</t>
        </is>
      </c>
      <c r="E439" s="340" t="n"/>
      <c r="F439" s="340" t="n"/>
    </row>
    <row r="440">
      <c r="D440" s="341" t="inlineStr">
        <is>
          <t>Layanan Pengembangan Kapasitas Masyarakat di Bidang Lingkungan Hidup</t>
        </is>
      </c>
      <c r="E440" s="340" t="n"/>
      <c r="F440" s="340" t="n"/>
    </row>
    <row r="441">
      <c r="D441" s="341" t="inlineStr">
        <is>
          <t>Layanan Persetujuan Teknis Emisi</t>
        </is>
      </c>
      <c r="E441" s="340" t="n"/>
      <c r="F441" s="340" t="n"/>
    </row>
    <row r="442">
      <c r="D442" s="341" t="inlineStr">
        <is>
          <t>Perizinan Pengelolaan Limbah B3 Untuk Kegiatan Penyimpanan dan Pengumpulan Limbah B3</t>
        </is>
      </c>
      <c r="E442" s="340" t="n"/>
      <c r="F442" s="340" t="n"/>
    </row>
    <row r="443">
      <c r="D443" s="341" t="inlineStr">
        <is>
          <t>Permohonan Persetujuan Lingkungan</t>
        </is>
      </c>
      <c r="E443" s="340" t="n"/>
      <c r="F443" s="340" t="n"/>
    </row>
    <row r="444">
      <c r="D444" s="341" t="inlineStr">
        <is>
          <t>Layanan Pembinaan Ketaatan Industri</t>
        </is>
      </c>
      <c r="E444" s="340" t="n"/>
      <c r="F444" s="340" t="n"/>
    </row>
    <row r="445">
      <c r="D445" s="341" t="inlineStr">
        <is>
          <t>Layanan Persetujuan Teknis Air Limbah</t>
        </is>
      </c>
      <c r="E445" s="340" t="n"/>
      <c r="F445" s="340" t="n"/>
    </row>
    <row r="446">
      <c r="D446" s="341" t="inlineStr">
        <is>
          <t>Layanan Sosialisasi dan Bimtek Program Sekolah Berbudaya Lingkungan/Adiwiyata</t>
        </is>
      </c>
      <c r="E446" s="340" t="n"/>
      <c r="F446" s="340" t="n"/>
    </row>
    <row r="447">
      <c r="D447" s="341" t="inlineStr">
        <is>
          <t>Data dan Informasi</t>
        </is>
      </c>
      <c r="E447" s="340" t="n"/>
      <c r="F447" s="340" t="n"/>
    </row>
    <row r="448">
      <c r="D448" s="340" t="n"/>
      <c r="E448" s="340" t="n"/>
      <c r="F448" s="340" t="n"/>
    </row>
    <row r="449">
      <c r="D449" s="341" t="inlineStr">
        <is>
          <t>Simpul Juara</t>
        </is>
      </c>
      <c r="E449" s="340" t="n"/>
      <c r="F449" s="340" t="n"/>
    </row>
    <row r="450">
      <c r="D450" s="341" t="inlineStr">
        <is>
          <t>Fasilitasi Tapping Video Pimpinan</t>
        </is>
      </c>
      <c r="E450" s="340" t="n"/>
      <c r="F450" s="340" t="n"/>
    </row>
    <row r="451">
      <c r="D451" s="341" t="inlineStr">
        <is>
          <t>Temu Pemimpin untuk Aspirasi Masyarakat (TEPAS)</t>
        </is>
      </c>
      <c r="E451" s="340" t="n"/>
      <c r="F451" s="340" t="n"/>
    </row>
    <row r="452">
      <c r="D452" s="341" t="inlineStr">
        <is>
          <t>Fasilitasi Iklan Layanan Masyarakat (Media Luar Ruang)</t>
        </is>
      </c>
      <c r="E452" s="340" t="n"/>
      <c r="F452" s="340" t="n"/>
    </row>
    <row r="453">
      <c r="D453" s="341" t="inlineStr">
        <is>
          <t>Fasilitasi Petugas Protokol</t>
        </is>
      </c>
      <c r="E453" s="340" t="n"/>
      <c r="F453" s="340" t="n"/>
    </row>
    <row r="454">
      <c r="D454" s="341" t="inlineStr">
        <is>
          <t>Penerbitan Undangan Plat Merah</t>
        </is>
      </c>
      <c r="E454" s="340" t="n"/>
      <c r="F454" s="340" t="n"/>
    </row>
    <row r="455">
      <c r="D455" s="341" t="inlineStr">
        <is>
          <t>JAPRI (Jabar Punya Informasi)</t>
        </is>
      </c>
      <c r="E455" s="340" t="n"/>
      <c r="F455" s="340" t="n"/>
    </row>
    <row r="456">
      <c r="D456" s="341" t="inlineStr">
        <is>
          <t>Data dan Informasi</t>
        </is>
      </c>
      <c r="E456" s="340" t="n"/>
      <c r="F456" s="340" t="n"/>
    </row>
    <row r="457">
      <c r="D457" s="341" t="inlineStr">
        <is>
          <t>Fasilitasi Kegiatan Corporate Social Responsibility (CSR)</t>
        </is>
      </c>
      <c r="E457" s="340" t="n"/>
      <c r="F457" s="340" t="n"/>
    </row>
    <row r="458">
      <c r="D458" s="341" t="inlineStr">
        <is>
          <t>Data dan Informasi</t>
        </is>
      </c>
      <c r="E458" s="340" t="n"/>
      <c r="F458" s="340" t="n"/>
    </row>
    <row r="459">
      <c r="D459" s="340" t="n"/>
      <c r="E459" s="340" t="n"/>
      <c r="F459" s="340" t="n"/>
    </row>
    <row r="460">
      <c r="D460" s="341" t="inlineStr">
        <is>
          <t>Pelatihan Ketahanan Pangan dan Peternakan</t>
        </is>
      </c>
      <c r="E460" s="340" t="n"/>
      <c r="F460" s="340" t="n"/>
    </row>
    <row r="461">
      <c r="D461" s="341" t="inlineStr">
        <is>
          <t>Pelayanan Kesehatan Hewan</t>
        </is>
      </c>
      <c r="E461" s="340" t="n"/>
      <c r="F461" s="340" t="n"/>
    </row>
    <row r="462">
      <c r="D462" s="341" t="inlineStr">
        <is>
          <t>Pengujian Penyakit dan Produk Hewan</t>
        </is>
      </c>
      <c r="E462" s="340" t="n"/>
      <c r="F462" s="340" t="n"/>
    </row>
    <row r="463">
      <c r="D463" s="341" t="inlineStr">
        <is>
          <t>Sertifikasi Mutu dan Keamanan Pakan</t>
        </is>
      </c>
      <c r="E463" s="340" t="n"/>
      <c r="F463" s="340" t="n"/>
    </row>
    <row r="464">
      <c r="D464" s="341" t="inlineStr">
        <is>
          <t>Pasif Servis Pengujian Mutu dan Keamanan Pakan / Bahan Pakan</t>
        </is>
      </c>
      <c r="E464" s="340" t="n"/>
      <c r="F464" s="340" t="n"/>
    </row>
    <row r="465">
      <c r="D465" s="341" t="inlineStr">
        <is>
          <t>Pelayanan Penjualan Susu Segar</t>
        </is>
      </c>
      <c r="E465" s="340" t="n"/>
      <c r="F465" s="340" t="n"/>
    </row>
    <row r="466">
      <c r="D466" s="341" t="inlineStr">
        <is>
          <t>Penyediaan Bibit Ternak Unggas Lokal</t>
        </is>
      </c>
      <c r="E466" s="340" t="n"/>
      <c r="F466" s="340" t="n"/>
    </row>
    <row r="467">
      <c r="D467" s="341" t="inlineStr">
        <is>
          <t>Fasilitasi Kunjungan Edukasi Peternakan</t>
        </is>
      </c>
      <c r="E467" s="340" t="n"/>
      <c r="F467" s="340" t="n"/>
    </row>
    <row r="468">
      <c r="D468" s="341" t="inlineStr">
        <is>
          <t>Surveilance Sampel Pengujian Penyakit Hewan dan Produk Hewan</t>
        </is>
      </c>
      <c r="E468" s="340" t="n"/>
      <c r="F468" s="340" t="n"/>
    </row>
    <row r="469">
      <c r="D469" s="341" t="inlineStr">
        <is>
          <t>Penerbitan Surat Rekomendasi Lalu Lintas Hewan dan Produk Asal Hewan</t>
        </is>
      </c>
      <c r="E469" s="340" t="n"/>
      <c r="F469" s="340" t="n"/>
    </row>
    <row r="470">
      <c r="D470" s="341" t="inlineStr">
        <is>
          <t>Izin Keamanan PSAT (Health Certificate)</t>
        </is>
      </c>
      <c r="E470" s="340" t="n"/>
      <c r="F470" s="340" t="n"/>
    </row>
    <row r="471">
      <c r="D471" s="341" t="inlineStr">
        <is>
          <t>Sertifikasi Prima 2 atau Prima 3</t>
        </is>
      </c>
      <c r="E471" s="340" t="n"/>
      <c r="F471" s="340" t="n"/>
    </row>
    <row r="472">
      <c r="D472" s="341" t="inlineStr">
        <is>
          <t>Penyediaan Benih Sapi Potong</t>
        </is>
      </c>
      <c r="E472" s="340" t="n"/>
      <c r="F472" s="340" t="n"/>
    </row>
    <row r="473">
      <c r="D473" s="341" t="inlineStr">
        <is>
          <t>Penyediaan Bibit Ternak Domba</t>
        </is>
      </c>
      <c r="E473" s="340" t="n"/>
      <c r="F473" s="340" t="n"/>
    </row>
    <row r="474">
      <c r="D474" s="341" t="inlineStr">
        <is>
          <t>Data dan Informasi</t>
        </is>
      </c>
      <c r="E474" s="340" t="n"/>
      <c r="F474" s="340" t="n"/>
    </row>
    <row r="475">
      <c r="D475" s="340" t="n"/>
      <c r="E475" s="340" t="n"/>
      <c r="F475" s="340" t="n"/>
    </row>
    <row r="476">
      <c r="D476" s="341" t="inlineStr">
        <is>
          <t>Izin Pendaftaran dan Daftar Ulang LKS (Lembaga Kesejahteraan Sosial)</t>
        </is>
      </c>
      <c r="E476" s="340" t="n"/>
      <c r="F476" s="340" t="n"/>
    </row>
    <row r="477">
      <c r="D477" s="341" t="inlineStr">
        <is>
          <t>Penerbitan Rekomendasi Izin Pengumpulan Uang atau Barang (PUB)</t>
        </is>
      </c>
      <c r="E477" s="340" t="n"/>
      <c r="F477" s="340" t="n"/>
    </row>
    <row r="478">
      <c r="D478" s="341" t="inlineStr">
        <is>
          <t>Penerbitan Izin Pengangkatan Anak</t>
        </is>
      </c>
      <c r="E478" s="340" t="n"/>
      <c r="F478" s="340" t="n"/>
    </row>
    <row r="479">
      <c r="D479" s="341" t="inlineStr">
        <is>
          <t>Layanan Aduan dan Respon Kasus Kesejahteraan Sosial</t>
        </is>
      </c>
      <c r="E479" s="340" t="n"/>
      <c r="F479" s="340" t="n"/>
    </row>
    <row r="480">
      <c r="D480" s="341" t="inlineStr">
        <is>
          <t>Penerbitan Rekomendasi Izin Undian Gratis Berhadiah (UGB)</t>
        </is>
      </c>
      <c r="E480" s="340" t="n"/>
      <c r="F480" s="340" t="n"/>
    </row>
    <row r="481">
      <c r="D481" s="341" t="inlineStr">
        <is>
          <t>Data dan Informasi</t>
        </is>
      </c>
      <c r="E481" s="340" t="n"/>
      <c r="F481" s="340" t="n"/>
    </row>
    <row r="482">
      <c r="D482" s="341" t="inlineStr">
        <is>
          <t>Penerimaan Warga Binaan Sosial</t>
        </is>
      </c>
      <c r="E482" s="340" t="n"/>
      <c r="F482" s="340" t="n"/>
    </row>
    <row r="483">
      <c r="D483" s="341" t="inlineStr">
        <is>
          <t>Rangganis (Rumah Singgah Humanis)</t>
        </is>
      </c>
      <c r="E483" s="340" t="n"/>
      <c r="F483" s="340" t="n"/>
    </row>
    <row r="484">
      <c r="D484" s="340" t="n"/>
      <c r="E484" s="340" t="n"/>
      <c r="F484" s="340" t="n"/>
    </row>
    <row r="485">
      <c r="D485" s="341" t="inlineStr">
        <is>
          <t>Klinik Spesialis Paru - RS Paru Sidawangi</t>
        </is>
      </c>
      <c r="E485" s="340" t="n"/>
      <c r="F485" s="340" t="n"/>
    </row>
    <row r="486">
      <c r="D486" s="341" t="inlineStr">
        <is>
          <t>Pelayanan TB Resistan Obat (MDR) - RS Paru Sidawangi</t>
        </is>
      </c>
      <c r="E486" s="340" t="n"/>
      <c r="F486" s="340" t="n"/>
    </row>
    <row r="487">
      <c r="D487" s="341" t="inlineStr">
        <is>
          <t>Klinik Penyakit Dalam - RS Paru Sidawangi</t>
        </is>
      </c>
      <c r="E487" s="340" t="n"/>
      <c r="F487" s="340" t="n"/>
    </row>
    <row r="488">
      <c r="D488" s="341" t="inlineStr">
        <is>
          <t>Klinik Spesialis Bedah - RS Paru Sidawangi</t>
        </is>
      </c>
      <c r="E488" s="340" t="n"/>
      <c r="F488" s="340" t="n"/>
    </row>
    <row r="489">
      <c r="D489" s="341" t="inlineStr">
        <is>
          <t>Layanan Berhenti Merokok - RS Paru Sidawangi</t>
        </is>
      </c>
      <c r="E489" s="340" t="n"/>
      <c r="F489" s="340" t="n"/>
    </row>
    <row r="490">
      <c r="D490" s="341" t="inlineStr">
        <is>
          <t>Klinik Spesialis Bedah Anak - RS Paru Sidawangi</t>
        </is>
      </c>
      <c r="E490" s="340" t="n"/>
      <c r="F490" s="340" t="n"/>
    </row>
    <row r="491">
      <c r="D491" s="341" t="inlineStr">
        <is>
          <t>Klinik Spesialis Bedah orthopedi - RS Paru Sidawangi</t>
        </is>
      </c>
      <c r="E491" s="340" t="n"/>
      <c r="F491" s="340" t="n"/>
    </row>
    <row r="492">
      <c r="D492" s="341" t="inlineStr">
        <is>
          <t>Klinik Spesialis Gizi Klinik - RS Paru Sidawangi</t>
        </is>
      </c>
      <c r="E492" s="340" t="n"/>
      <c r="F492" s="340" t="n"/>
    </row>
    <row r="493">
      <c r="D493" s="341" t="inlineStr">
        <is>
          <t>Klinik Kesehatan Jiwa - RS Paru Sidawangi</t>
        </is>
      </c>
      <c r="E493" s="340" t="n"/>
      <c r="F493" s="340" t="n"/>
    </row>
    <row r="494">
      <c r="D494" s="341" t="inlineStr">
        <is>
          <t>Klinik Spesialis Anak - RS Paru Sidawangi</t>
        </is>
      </c>
      <c r="E494" s="340" t="n"/>
      <c r="F494" s="340" t="n"/>
    </row>
    <row r="495">
      <c r="D495" s="341" t="inlineStr">
        <is>
          <t>Klinik Spesialis Kandungan dan Kebidanan - RS Paru Sidawangi</t>
        </is>
      </c>
      <c r="E495" s="340" t="n"/>
      <c r="F495" s="340" t="n"/>
    </row>
    <row r="496">
      <c r="D496" s="341" t="inlineStr">
        <is>
          <t>Klinik Spesialis Fisik dan Rehabilitasi - RS Paru Sidawangi</t>
        </is>
      </c>
      <c r="E496" s="340" t="n"/>
      <c r="F496" s="340" t="n"/>
    </row>
    <row r="497">
      <c r="D497" s="341" t="inlineStr">
        <is>
          <t>Klinik Gigi - RS Paru Sidawangi</t>
        </is>
      </c>
      <c r="E497" s="340" t="n"/>
      <c r="F497" s="340" t="n"/>
    </row>
    <row r="498">
      <c r="D498" s="341" t="inlineStr">
        <is>
          <t>Pelayanan Klinik Medical Check Up - RS Paru Sidawangi</t>
        </is>
      </c>
      <c r="E498" s="340" t="n"/>
      <c r="F498" s="340" t="n"/>
    </row>
    <row r="499">
      <c r="D499" s="341" t="inlineStr">
        <is>
          <t>Klinik Rosalina - RS Paru Sidawangi</t>
        </is>
      </c>
      <c r="E499" s="340" t="n"/>
      <c r="F499" s="340" t="n"/>
    </row>
    <row r="500">
      <c r="D500" s="341" t="inlineStr">
        <is>
          <t>Instalasi Gizi - RS Paru Sidawangi</t>
        </is>
      </c>
      <c r="E500" s="340" t="n"/>
      <c r="F500" s="340" t="n"/>
    </row>
    <row r="501">
      <c r="D501" s="341" t="inlineStr">
        <is>
          <t>Pelayanan Kesehatan Pasien HIV - RS Paru Sidawangi</t>
        </is>
      </c>
      <c r="E501" s="340" t="n"/>
      <c r="F501" s="340" t="n"/>
    </row>
    <row r="502">
      <c r="D502" s="341" t="inlineStr">
        <is>
          <t>Pelayanan Laboratorium - RS Paru Sidawangi</t>
        </is>
      </c>
      <c r="E502" s="340" t="n"/>
      <c r="F502" s="340" t="n"/>
    </row>
    <row r="503">
      <c r="D503" s="341" t="inlineStr">
        <is>
          <t>Poliklinik Mata RSUD Jampangkulon</t>
        </is>
      </c>
      <c r="E503" s="340" t="n"/>
      <c r="F503" s="340" t="n"/>
    </row>
    <row r="504">
      <c r="D504" s="341" t="inlineStr">
        <is>
          <t>Poliklinik THT RSUD Jampangkulon</t>
        </is>
      </c>
      <c r="E504" s="340" t="n"/>
      <c r="F504" s="340" t="n"/>
    </row>
    <row r="505">
      <c r="D505" s="341" t="inlineStr">
        <is>
          <t>Poliklinik Penyakit Dalam RSUD Jampangkulon</t>
        </is>
      </c>
      <c r="E505" s="340" t="n"/>
      <c r="F505" s="340" t="n"/>
    </row>
    <row r="506">
      <c r="D506" s="341" t="inlineStr">
        <is>
          <t>Poliklinik Gigi RSUD Jampangkulon</t>
        </is>
      </c>
      <c r="E506" s="340" t="n"/>
      <c r="F506" s="340" t="n"/>
    </row>
    <row r="507">
      <c r="D507" s="341" t="inlineStr">
        <is>
          <t>Poliklinik Anak RSUD Jampangkulon</t>
        </is>
      </c>
      <c r="E507" s="340" t="n"/>
      <c r="F507" s="340" t="n"/>
    </row>
    <row r="508">
      <c r="D508" s="341" t="inlineStr">
        <is>
          <t>Poliklinik Thalasemia RSUD Jampangkulon</t>
        </is>
      </c>
      <c r="E508" s="340" t="n"/>
      <c r="F508" s="340" t="n"/>
    </row>
    <row r="509">
      <c r="D509" s="341" t="inlineStr">
        <is>
          <t>Poliklinik Obgyn RSUD Jampangkulon</t>
        </is>
      </c>
      <c r="E509" s="340" t="n"/>
      <c r="F509" s="340" t="n"/>
    </row>
    <row r="510">
      <c r="D510" s="341" t="inlineStr">
        <is>
          <t>Poliklinik Bedah RSUD Jampangkulon</t>
        </is>
      </c>
      <c r="E510" s="340" t="n"/>
      <c r="F510" s="340" t="n"/>
    </row>
    <row r="511">
      <c r="D511" s="341" t="inlineStr">
        <is>
          <t>Poliklinik Syaraf RSUD Jampangkulon</t>
        </is>
      </c>
      <c r="E511" s="340" t="n"/>
      <c r="F511" s="340" t="n"/>
    </row>
    <row r="512">
      <c r="D512" s="341" t="inlineStr">
        <is>
          <t>Poliklinik Geriatri RSUD Jampangkulon</t>
        </is>
      </c>
      <c r="E512" s="340" t="n"/>
      <c r="F512" s="340" t="n"/>
    </row>
    <row r="513">
      <c r="D513" s="341" t="inlineStr">
        <is>
          <t>Poliklinik Gizi RSUD Jampangkulon</t>
        </is>
      </c>
      <c r="E513" s="340" t="n"/>
      <c r="F513" s="340" t="n"/>
    </row>
    <row r="514">
      <c r="D514" s="341" t="inlineStr">
        <is>
          <t>Poliklinik MCU RSUD Jampangkulon</t>
        </is>
      </c>
      <c r="E514" s="340" t="n"/>
      <c r="F514" s="340" t="n"/>
    </row>
    <row r="515">
      <c r="D515" s="341" t="inlineStr">
        <is>
          <t>Poliklinik DOT RSUD Jampangkulon</t>
        </is>
      </c>
      <c r="E515" s="340" t="n"/>
      <c r="F515" s="340" t="n"/>
    </row>
    <row r="516">
      <c r="D516" s="341" t="inlineStr">
        <is>
          <t>Poliklinik Anggrek RSUD Jampangkulon</t>
        </is>
      </c>
      <c r="E516" s="340" t="n"/>
      <c r="F516" s="340" t="n"/>
    </row>
    <row r="517">
      <c r="D517" s="341" t="inlineStr">
        <is>
          <t>Rawat Inap RSUD Jampangkulon</t>
        </is>
      </c>
      <c r="E517" s="340" t="n"/>
      <c r="F517" s="340" t="n"/>
    </row>
    <row r="518">
      <c r="D518" s="341" t="inlineStr">
        <is>
          <t>Instalasi Gawat Darurat RSUD Jampangkulon</t>
        </is>
      </c>
      <c r="E518" s="340" t="n"/>
      <c r="F518" s="340" t="n"/>
    </row>
    <row r="519">
      <c r="D519" s="341" t="inlineStr">
        <is>
          <t>Rawat Inap - RSUD Kesehatan Kerja</t>
        </is>
      </c>
      <c r="E519" s="340" t="n"/>
      <c r="F519" s="340" t="n"/>
    </row>
    <row r="520">
      <c r="D520" s="341" t="inlineStr">
        <is>
          <t>Instalasi Gawat Darurat - RSUD Kesehatan Kerja</t>
        </is>
      </c>
      <c r="E520" s="340" t="n"/>
      <c r="F520" s="340" t="n"/>
    </row>
    <row r="521">
      <c r="D521" s="341" t="inlineStr">
        <is>
          <t>Instalasi Radiologi - RSUD Kesehatan Kerja</t>
        </is>
      </c>
      <c r="E521" s="340" t="n"/>
      <c r="F521" s="340" t="n"/>
    </row>
    <row r="522">
      <c r="D522" s="341" t="inlineStr">
        <is>
          <t>Medical Check Up (MCU) - RSUD Kesehatan Kerja</t>
        </is>
      </c>
      <c r="E522" s="340" t="n"/>
      <c r="F522" s="340" t="n"/>
    </row>
    <row r="523">
      <c r="D523" s="341" t="inlineStr">
        <is>
          <t>Laboratorium - RSUD Kesehatan Kerja</t>
        </is>
      </c>
      <c r="E523" s="340" t="n"/>
      <c r="F523" s="340" t="n"/>
    </row>
    <row r="524">
      <c r="D524" s="341" t="inlineStr">
        <is>
          <t>Klinik Bedah Umum - RSUD Kesehatan Kerja</t>
        </is>
      </c>
      <c r="E524" s="340" t="n"/>
      <c r="F524" s="340" t="n"/>
    </row>
    <row r="525">
      <c r="D525" s="341" t="inlineStr">
        <is>
          <t>Klinik Rehabilitasi Medik - RSUD Kesehatan Kerja</t>
        </is>
      </c>
      <c r="E525" s="340" t="n"/>
      <c r="F525" s="340" t="n"/>
    </row>
    <row r="526">
      <c r="D526" s="341" t="inlineStr">
        <is>
          <t>Klinik Dots - RSUD Kesehatan Kerja</t>
        </is>
      </c>
      <c r="E526" s="340" t="n"/>
      <c r="F526" s="340" t="n"/>
    </row>
    <row r="527">
      <c r="D527" s="341" t="inlineStr">
        <is>
          <t>Klinik Gigi dan Mulut - RSUD Kesehatan Kerja</t>
        </is>
      </c>
      <c r="E527" s="340" t="n"/>
      <c r="F527" s="340" t="n"/>
    </row>
    <row r="528">
      <c r="D528" s="341" t="inlineStr">
        <is>
          <t>Klinik Anak - RSUD Kesehatan Kerja</t>
        </is>
      </c>
      <c r="E528" s="340" t="n"/>
      <c r="F528" s="340" t="n"/>
    </row>
    <row r="529">
      <c r="D529" s="341" t="inlineStr">
        <is>
          <t>Klinik Okupasi - RSUD Kesehatan Kerja</t>
        </is>
      </c>
      <c r="E529" s="340" t="n"/>
      <c r="F529" s="340" t="n"/>
    </row>
    <row r="530">
      <c r="D530" s="341" t="inlineStr">
        <is>
          <t>Klinik Orthopedi dan Traumatologi - RSUD Kesehatan Kerja</t>
        </is>
      </c>
      <c r="E530" s="340" t="n"/>
      <c r="F530" s="340" t="n"/>
    </row>
    <row r="531">
      <c r="D531" s="341" t="inlineStr">
        <is>
          <t>Klinik Psikososial (Jiwa) - RSUD Kesehatan Kerja</t>
        </is>
      </c>
      <c r="E531" s="340" t="n"/>
      <c r="F531" s="340" t="n"/>
    </row>
    <row r="532">
      <c r="D532" s="341" t="inlineStr">
        <is>
          <t>Konseling Gizi - RSUD Kesehatan Kerja</t>
        </is>
      </c>
      <c r="E532" s="340" t="n"/>
      <c r="F532" s="340" t="n"/>
    </row>
    <row r="533">
      <c r="D533" s="341" t="inlineStr">
        <is>
          <t>Klinik Penyakit Dalam - RSUD Kesehatan Kerja</t>
        </is>
      </c>
      <c r="E533" s="340" t="n"/>
      <c r="F533" s="340" t="n"/>
    </row>
    <row r="534">
      <c r="D534" s="341" t="inlineStr">
        <is>
          <t>Farmasi - RSUD Kesehatan Kerja</t>
        </is>
      </c>
      <c r="E534" s="340" t="n"/>
      <c r="F534" s="340" t="n"/>
    </row>
    <row r="535">
      <c r="D535" s="341" t="inlineStr">
        <is>
          <t>Klinik Syaraf - RSUD Kesehatan Kerja</t>
        </is>
      </c>
      <c r="E535" s="340" t="n"/>
      <c r="F535" s="340" t="n"/>
    </row>
    <row r="536">
      <c r="D536" s="341" t="inlineStr">
        <is>
          <t>Klinik Kebidanan dan Penyakit Kandungan - RSUD Kesehatan Kerja</t>
        </is>
      </c>
      <c r="E536" s="340" t="n"/>
      <c r="F536" s="340" t="n"/>
    </row>
    <row r="537">
      <c r="D537" s="344" t="n"/>
      <c r="E537" s="344" t="n"/>
      <c r="F537" s="344" t="n"/>
    </row>
    <row r="538">
      <c r="D538" s="344" t="n"/>
      <c r="E538" s="344" t="n"/>
      <c r="F538" s="344" t="n"/>
    </row>
    <row r="539">
      <c r="D539" s="345" t="inlineStr">
        <is>
          <t>Total Layanan Teridentifikasi</t>
        </is>
      </c>
      <c r="E539" s="344" t="n"/>
      <c r="F539" s="344" t="n"/>
    </row>
    <row r="540">
      <c r="D540" s="345" t="inlineStr">
        <is>
          <t>Total Layanan Diskominfo</t>
        </is>
      </c>
      <c r="E540" s="344" t="n"/>
      <c r="F540" s="344" t="n"/>
    </row>
    <row r="541">
      <c r="D541" s="345" t="inlineStr">
        <is>
          <t>Total Layanan DP3AKB</t>
        </is>
      </c>
      <c r="E541" s="344" t="n"/>
      <c r="F541" s="34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2026-06-10T23:09:07Z</dcterms:created>
  <dcterms:modified xsi:type="dcterms:W3CDTF">2026-06-10T23:09:07Z</dcterms:modified>
</cp:coreProperties>
</file>
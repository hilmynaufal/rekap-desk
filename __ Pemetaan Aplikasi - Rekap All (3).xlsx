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opy of Kertas Kerja" sheetId="1" r:id="rId5"/>
    <sheet state="visible" name="Ref" sheetId="2" r:id="rId6"/>
    <sheet state="visible" name="Kertas Kerja - All" sheetId="3" r:id="rId7"/>
    <sheet state="visible" name="cleansing Kertas Kerja" sheetId="4" r:id="rId8"/>
    <sheet state="visible" name="Kertaskerja_Final" sheetId="5" r:id="rId9"/>
    <sheet state="visible" name="Rekap - Jumlah Aplikasi" sheetId="6" r:id="rId10"/>
    <sheet state="visible" name="Rekap - Layanan" sheetId="7" r:id="rId11"/>
    <sheet state="visible" name="Rekap - Progress Pengisian" sheetId="8" r:id="rId12"/>
    <sheet state="hidden" name="Sheet3" sheetId="9" r:id="rId13"/>
    <sheet state="hidden" name="Sheet4" sheetId="10" r:id="rId14"/>
    <sheet state="hidden" name="Sheet5" sheetId="11" r:id="rId15"/>
  </sheets>
  <definedNames>
    <definedName hidden="1" localSheetId="2" name="_xlnm._FilterDatabase">'Kertas Kerja - All'!$A$4:$AR$540</definedName>
    <definedName hidden="1" localSheetId="3" name="_xlnm._FilterDatabase">'cleansing Kertas Kerja'!$A$1:$AR$218</definedName>
    <definedName hidden="1" localSheetId="4" name="_xlnm._FilterDatabase">Kertaskerja_Final!$A$1:$AR$204</definedName>
    <definedName hidden="1" localSheetId="5" name="_xlnm._FilterDatabase">'Rekap - Jumlah Aplikasi'!$A$2:$E$208</definedName>
  </definedNames>
  <calcPr/>
</workbook>
</file>

<file path=xl/sharedStrings.xml><?xml version="1.0" encoding="utf-8"?>
<sst xmlns="http://schemas.openxmlformats.org/spreadsheetml/2006/main" count="24904" uniqueCount="4801">
  <si>
    <t>No</t>
  </si>
  <si>
    <t>Nama Layanan</t>
  </si>
  <si>
    <t>Tujuan dan Fungsi Layanan</t>
  </si>
  <si>
    <t>Dasar Hukum Layanan</t>
  </si>
  <si>
    <t>SOP / Proses Bisnis Layanan</t>
  </si>
  <si>
    <t>Referensi Layanan</t>
  </si>
  <si>
    <t>Target Layanan</t>
  </si>
  <si>
    <t>Data yang dimasukan</t>
  </si>
  <si>
    <t>Data yang dihasilkan</t>
  </si>
  <si>
    <t>Sifat Data</t>
  </si>
  <si>
    <t>Data Pribadi</t>
  </si>
  <si>
    <t>Interval update data yang dihasilkan</t>
  </si>
  <si>
    <t>Aplikasi Pendukung</t>
  </si>
  <si>
    <t>Pengembang</t>
  </si>
  <si>
    <t>Pemilik</t>
  </si>
  <si>
    <t>Platform</t>
  </si>
  <si>
    <t>Alamat Aplikasi</t>
  </si>
  <si>
    <t>Kategori Akses</t>
  </si>
  <si>
    <t>Jenis Aplikasi</t>
  </si>
  <si>
    <t>Tahun Pembuatan</t>
  </si>
  <si>
    <t>Status Aplikasi</t>
  </si>
  <si>
    <t>Telah Terintegrasi</t>
  </si>
  <si>
    <t>Terintegrasi dengan Aplikasi</t>
  </si>
  <si>
    <t>Mekanisme Integrasi</t>
  </si>
  <si>
    <t>Frekuensi Sinkronisasi</t>
  </si>
  <si>
    <t>Bidang / Unit Kerja</t>
  </si>
  <si>
    <t>OPD</t>
  </si>
  <si>
    <t>Nama</t>
  </si>
  <si>
    <t>No. HP</t>
  </si>
  <si>
    <t>Email</t>
  </si>
  <si>
    <t>Panduan</t>
  </si>
  <si>
    <t>Isikan dengan nama layanan yang selenggarakan</t>
  </si>
  <si>
    <t>Isikan dengan tujuan dan fungsi diselenggarakan layanan</t>
  </si>
  <si>
    <t>Isikan dengan dasar hukum penyelenggaraan layanan (Isikan dengan peraturan tingkat daerah, jika tidak ada dapat mengacu ke peraturan tingkat pusat)</t>
  </si>
  <si>
    <t>isikan dengan link dokumen berbentuk pdf terkait SOP / Proses Bisnis layanan</t>
  </si>
  <si>
    <t>Isikan referensi layanan sesuai daftar (Isikan dengan referensi layanan yang mendekati, dapat dilihat pada sheet referensi)</t>
  </si>
  <si>
    <t>Isikan dengan penerima layanan</t>
  </si>
  <si>
    <t>Isikan dengan input data</t>
  </si>
  <si>
    <t>Isikan dengan output data</t>
  </si>
  <si>
    <t>Isikan dengan sifat data</t>
  </si>
  <si>
    <t>Apakah terdapat Data Pribadi yang digunakan ?</t>
  </si>
  <si>
    <t>Pemutakhiran data hasil dari proses layanan</t>
  </si>
  <si>
    <t>Masukan nama aplikasi pendukung layanan, jika tidak ada maka isikan dengan "Belum terdapat aplikasi"</t>
  </si>
  <si>
    <t>Isikan dengan pengembang aplikasi</t>
  </si>
  <si>
    <t>Isikan dengan pemilik aplikasi</t>
  </si>
  <si>
    <t>Isikan dengan platform aplikasi</t>
  </si>
  <si>
    <t>Isikan dengan alamat akses aplikasi, jika berbasis mobile isikan dengan link download</t>
  </si>
  <si>
    <t>Isikan dengan metode akses aplikasi</t>
  </si>
  <si>
    <t>Isikan dengan jenis aplikasi, informasi untuk satu arah, transaksi untuk dua arah)</t>
  </si>
  <si>
    <t>Isikan dengan tahun pembuatan</t>
  </si>
  <si>
    <t>Isikan dengan status aplikasi</t>
  </si>
  <si>
    <t>Apakah aplikasi telah terintegrasi ?</t>
  </si>
  <si>
    <t>Terintegrasi dengan aplikasi ? (Isikan dengan nama aplikasi, jika tidak isikan Tidak Terintegrasi</t>
  </si>
  <si>
    <t>Bagaimana proses integrasi berlangsung ?</t>
  </si>
  <si>
    <t>Berapa lama integrasi data/layanan mutakhirkan ?</t>
  </si>
  <si>
    <t>Isikan dengan unit kerja pelaksana layanan</t>
  </si>
  <si>
    <t>Isikan dengan OPD pelaksana layanan</t>
  </si>
  <si>
    <t>Isikan dengan Nama PIC pelaksana layanan</t>
  </si>
  <si>
    <t>Isikan dengan nomor kontak pelaksana layanan</t>
  </si>
  <si>
    <t>Isikan dengan email pelaksana layanan</t>
  </si>
  <si>
    <t>Contoh</t>
  </si>
  <si>
    <t>Layanan Pengaduan Masyarakat</t>
  </si>
  <si>
    <t>Layanan Pengaduan Masyarakat (LPM) adalah wadah atau sistem yang disediakan oleh instansi pemerintah (atau lembaga publik lainnya) bagi masyarakat untuk menyampaikan keluhan, saran, masukan, aspirasi, hingga laporan atas dugaan penyimpangan atau maladministrasi dalam penyelenggaraan pemerintahan dan pelayanan publik.</t>
  </si>
  <si>
    <t>Undang-Undang Nomor 25 Tahun 2009 tentang Pelayanan Publik</t>
  </si>
  <si>
    <t>abcd.pdf</t>
  </si>
  <si>
    <t>PENINGKATAN KUALITAS PELAYANAN PUBLIK</t>
  </si>
  <si>
    <t>Masyarakat</t>
  </si>
  <si>
    <t>Data Pengguna, Data Adun</t>
  </si>
  <si>
    <t>Data Aduan Masyarakat</t>
  </si>
  <si>
    <t>Tertutup</t>
  </si>
  <si>
    <t>Terdapat</t>
  </si>
  <si>
    <t>Harian</t>
  </si>
  <si>
    <t>SP4N Lapor</t>
  </si>
  <si>
    <t>Pusat</t>
  </si>
  <si>
    <t>Website dan Mobile</t>
  </si>
  <si>
    <t>https://lapor.go.id/</t>
  </si>
  <si>
    <t>Secara Online</t>
  </si>
  <si>
    <t>Transaksi</t>
  </si>
  <si>
    <t>Aktif</t>
  </si>
  <si>
    <t>Tidak</t>
  </si>
  <si>
    <t>Tidak Terintegrasi</t>
  </si>
  <si>
    <t>Bidang Informasi Komunikasi Publik</t>
  </si>
  <si>
    <t>Diskominfo</t>
  </si>
  <si>
    <r>
      <rPr>
        <rFont val="Calibri"/>
        <sz val="12.0"/>
      </rPr>
      <t xml:space="preserve">Rima Diani, </t>
    </r>
    <r>
      <rPr>
        <rFont val="Calibri"/>
        <color rgb="FF1155CC"/>
        <sz val="12.0"/>
        <u/>
      </rPr>
      <t>S.Si</t>
    </r>
    <r>
      <rPr>
        <rFont val="Calibri"/>
        <sz val="12.0"/>
      </rPr>
      <t>.Kom</t>
    </r>
  </si>
  <si>
    <t>rima@bandungkab.go.id</t>
  </si>
  <si>
    <t>Layanan Call center 112</t>
  </si>
  <si>
    <t>Layanan Nomor Panggilan Darurat 112 merupakan layanan yang dapat digunakan saat terjadi keadaan darurat dengan menghubungi nomor 112 (Bebas Pulsa) yang akan terhubung dengan Pusat Panggilan Darurat (Call Center 112) yang dibangun oleh pemerintah daerah</t>
  </si>
  <si>
    <t xml:space="preserve">Permenkominfo 10/2016 tentang Layanan Nomor Tunggal Panggilan Darurat dan Keputusan Dirjen PPI 112/2019 tentang Pedoman Teknis Penyediaan Layanan Nomor Panggilan Darurat 112.
</t>
  </si>
  <si>
    <t>Belum Tersedia</t>
  </si>
  <si>
    <t>Data Pelapor dan Kejadian</t>
  </si>
  <si>
    <t>Data Laporan Kedaruratan</t>
  </si>
  <si>
    <t>Terbuka</t>
  </si>
  <si>
    <t>Sakti112</t>
  </si>
  <si>
    <t>Pihak Ke 3</t>
  </si>
  <si>
    <t>Pihak Ke 3 (Lisensi)</t>
  </si>
  <si>
    <t>Website</t>
  </si>
  <si>
    <t>https://kabbandungv2.sakti112.id/</t>
  </si>
  <si>
    <t>Informasi</t>
  </si>
  <si>
    <t>Ya</t>
  </si>
  <si>
    <t>Tersedia untuk di integrasi ke aplikasi lain dan sudah dicoba ke aplikasi APAR milik disdamkar</t>
  </si>
  <si>
    <t>API</t>
  </si>
  <si>
    <t>Lainnya</t>
  </si>
  <si>
    <t>Gugun</t>
  </si>
  <si>
    <t>gugun@bandungkab.go.id</t>
  </si>
  <si>
    <t>Layanan Data</t>
  </si>
  <si>
    <t>Pengelolaan Data Statistik Sektoral untuk pemanfaatan data melalui Portal Satu Data</t>
  </si>
  <si>
    <t>Perbup Simasda</t>
  </si>
  <si>
    <t>PENGELOLAAN DATA STATISTIK</t>
  </si>
  <si>
    <t>Data Statistik Sektoral yang bersumber dari produsen data/OPD</t>
  </si>
  <si>
    <t>Daftar Data Hasil Kegiatan Statistik di OPD yang tersaji pada portal satu data</t>
  </si>
  <si>
    <t>Tidak terdapat</t>
  </si>
  <si>
    <t>Tahunan</t>
  </si>
  <si>
    <t>Simasda dan Portal Satu Data</t>
  </si>
  <si>
    <t>Kab. Bandung</t>
  </si>
  <si>
    <r>
      <rPr>
        <rFont val="Calibri"/>
        <color rgb="FF1155CC"/>
        <sz val="12.0"/>
        <u/>
      </rPr>
      <t>https://simasda.bandungkab.go.id/</t>
    </r>
    <r>
      <rPr>
        <rFont val="Calibri"/>
        <sz val="12.0"/>
      </rPr>
      <t xml:space="preserve"> dan </t>
    </r>
    <r>
      <rPr>
        <rFont val="Calibri"/>
        <color rgb="FF1155CC"/>
        <sz val="12.0"/>
        <u/>
      </rPr>
      <t>https://satudata.bandungkab.go.id/</t>
    </r>
  </si>
  <si>
    <t xml:space="preserve">Open data Provinsi Jawa Barat dan Satu Data Indonesia </t>
  </si>
  <si>
    <t>Bidang Statistik</t>
  </si>
  <si>
    <t>Nyimas Ayu Kikie Zakiyah</t>
  </si>
  <si>
    <t>0813-2184-5099</t>
  </si>
  <si>
    <t>kikiezaki72@gmail.com</t>
  </si>
  <si>
    <t>Layanan Pembangunan dan Pengembangan Aplikasi</t>
  </si>
  <si>
    <t>Bertujuan untuk menjadi fasilitator dalam membangun dan mengembangkan aplikasi dpada Perangkat Daerah</t>
  </si>
  <si>
    <t>PENATAKELOLAAN APLIKASI INFORMATIKA</t>
  </si>
  <si>
    <t>Instansi Pemerintah Lainnya</t>
  </si>
  <si>
    <t>Permohonan Pembangunan dan Pengembangan Aplikasi dari OPD</t>
  </si>
  <si>
    <t>Layanan Akses dan Kualitas Informasi Publik Pemerintah Daerah</t>
  </si>
  <si>
    <t>Bertujuan untuk menghitung indeks  Layanan Akses dan Kualitas Informasi Publik Pemerintah Daerah</t>
  </si>
  <si>
    <t>PENGELOLAAN INFORMASI PUBLIK</t>
  </si>
  <si>
    <t>Layanan Penerbitan Tanda Tangan Elektronik</t>
  </si>
  <si>
    <t>Sebagai Fasilitator dalam pelayanan penerbitan tanda tangan elektronik</t>
  </si>
  <si>
    <t>MANAJEMEN KEAMANAN INFORMASI</t>
  </si>
  <si>
    <t>Pegawai</t>
  </si>
  <si>
    <t>REFERENSI LAYANAN</t>
  </si>
  <si>
    <t>Bidang</t>
  </si>
  <si>
    <t>JUMLAH LAYANAN</t>
  </si>
  <si>
    <t>JUMLAH APLIKASI</t>
  </si>
  <si>
    <t>Tersedia</t>
  </si>
  <si>
    <t>STRATEGI PERTAHANAN</t>
  </si>
  <si>
    <t>Pelaku Bisnis</t>
  </si>
  <si>
    <t>Realtime</t>
  </si>
  <si>
    <t>Setda</t>
  </si>
  <si>
    <t>Tidak Tersedia</t>
  </si>
  <si>
    <t>PERENCANAAN PERTAHANAN</t>
  </si>
  <si>
    <t>Mingguan</t>
  </si>
  <si>
    <t>Provinsi</t>
  </si>
  <si>
    <t>Mobile</t>
  </si>
  <si>
    <t>Secara Offline</t>
  </si>
  <si>
    <t>Non Aktif</t>
  </si>
  <si>
    <t>Web Service</t>
  </si>
  <si>
    <t>Setwan</t>
  </si>
  <si>
    <t>POTENSI PERTAHANAN</t>
  </si>
  <si>
    <t>Terbatas</t>
  </si>
  <si>
    <t>Bulanan</t>
  </si>
  <si>
    <t>Desktop</t>
  </si>
  <si>
    <t>Maintenance</t>
  </si>
  <si>
    <t>Database to Database</t>
  </si>
  <si>
    <t>Inspektorat</t>
  </si>
  <si>
    <t>KEKUATAN PERTAHANAN</t>
  </si>
  <si>
    <t>Rahasia</t>
  </si>
  <si>
    <t>Manual</t>
  </si>
  <si>
    <t>Disdik</t>
  </si>
  <si>
    <t>PENYELENGGARAAN HUBUNGAN LUAR NEGERI DAN POLITIK LUAR NEGERI</t>
  </si>
  <si>
    <t>Dinkes</t>
  </si>
  <si>
    <t>HUKUM DAN PERJANJIAN INTERNASIONAL</t>
  </si>
  <si>
    <t>DPUTR</t>
  </si>
  <si>
    <t>INFORMASI DAN DIPLOMASI PUBLIK</t>
  </si>
  <si>
    <t>Disperkimtan</t>
  </si>
  <si>
    <t>PROTOKOL DAN KONSULER</t>
  </si>
  <si>
    <t>Dinsos</t>
  </si>
  <si>
    <t>PELINDUNGAN WNI</t>
  </si>
  <si>
    <t>Disnaker</t>
  </si>
  <si>
    <t>FASILITAS DIPLOMATIK</t>
  </si>
  <si>
    <t>DP2KBP3A</t>
  </si>
  <si>
    <t>PENINGKATAN DAYA SAING DAN KEMANDIRIAN INDUSTRI</t>
  </si>
  <si>
    <t>DLH</t>
  </si>
  <si>
    <t>PENGUATAN IMPLEMENTASI MAKING INDONESIA 4</t>
  </si>
  <si>
    <t>Disdukcapil</t>
  </si>
  <si>
    <t>PENINGKATAN KEMAMPUAN INDUSTRI BARANG DAN JASA SERTA INDUSTRI HALAL DALAM NEGERI</t>
  </si>
  <si>
    <t>DPMD</t>
  </si>
  <si>
    <t>PERLUASAN PENGUASAAN PASAR INDUSTRI</t>
  </si>
  <si>
    <t>Dishub</t>
  </si>
  <si>
    <t>PENGUATAN KEWIRAUSAHAAN DAN INDUSTRI KECIL DAN MENENGAH</t>
  </si>
  <si>
    <t>PEMERATAAN PERSEBARAN INDUSTRI</t>
  </si>
  <si>
    <t>DPMPTSP</t>
  </si>
  <si>
    <t>PENGELOLAAN INDUSTRI KREATIF</t>
  </si>
  <si>
    <t>Dispora</t>
  </si>
  <si>
    <t>PENGUATAN DAN PENGEMBANGAN PERDAGANGAN DALAM NEGERI</t>
  </si>
  <si>
    <t>Disperdagin</t>
  </si>
  <si>
    <t>PENGUATAN PERDAGANGAN LUAR NEGERI</t>
  </si>
  <si>
    <t>Distan</t>
  </si>
  <si>
    <t>PERLINDUNGAN KONSUMEN DAN TERTIB NIAGA</t>
  </si>
  <si>
    <t>Dispakan</t>
  </si>
  <si>
    <t>OPTIMALISASI AKSES PASAR INTERNASIONAL MELALUI DIPLOMASI PERDAGANGAN</t>
  </si>
  <si>
    <t>Disbud</t>
  </si>
  <si>
    <t>PENINGKATAN KINERJA EKSPOR NASIONAL</t>
  </si>
  <si>
    <t>DISKOP-UKM</t>
  </si>
  <si>
    <t>OPTIMALISASI PERANAN PBK, SRG, DAN PLK</t>
  </si>
  <si>
    <t>Dispusip</t>
  </si>
  <si>
    <t>OPTIMALISASI REKOMENDASI KEBIJAKAN PERDAGANGAN</t>
  </si>
  <si>
    <t>Disdamkar</t>
  </si>
  <si>
    <t>PENGELOLAAN BENIH TANAMAN PANGAN DAN HORTIKULTURA</t>
  </si>
  <si>
    <t>Disparekraf</t>
  </si>
  <si>
    <t>PENGEMBANGAN KOMODITAS TANAMAN PANGAN DAN HORTIKULTURA</t>
  </si>
  <si>
    <t>Satpol PP</t>
  </si>
  <si>
    <t>PERLINDUNGAN TANAMAN PANGAN DAN HORTIKULTURA</t>
  </si>
  <si>
    <t>Bapperida</t>
  </si>
  <si>
    <t>PENINGKATAN PENGELOLAAN PASCA PANEN TANAMAN PANGAN DAN HORTIKULTURA</t>
  </si>
  <si>
    <t>BKAD</t>
  </si>
  <si>
    <t>PENINGKATAN PENGOLAHAN HASIL KOMODITAS TANAMAN PANGAN DAN HORTIKULTURA</t>
  </si>
  <si>
    <t>Bapenda</t>
  </si>
  <si>
    <t>PENINGKATAN PEMASARAN HASIL KOMODITAS TANAMAN PANGAN DAN HORTIKULTURA</t>
  </si>
  <si>
    <t>BKPSDM</t>
  </si>
  <si>
    <t>PENGEMBANGAN KUALITAS SDM PERTANIAN</t>
  </si>
  <si>
    <t>Bakesbangpol</t>
  </si>
  <si>
    <t>PENGEMBANGAN KELEMBAGAAN PETANI</t>
  </si>
  <si>
    <t>BPBD</t>
  </si>
  <si>
    <t>PENGELOLAAN STANDARDISASI DAN PENILAIAN KESESUAIAN KOMODITAS TANAMAN PANGAN DAN HORTIKULTURA</t>
  </si>
  <si>
    <t>PENGELOLAAN STANDARDISASI DAN PENILAIAN KESESUAIAN PASCA PANEN TANAMAN PANGAN DAN HORTIKULTURA</t>
  </si>
  <si>
    <t>PENGELOLAAN STANDARDISASI DAN PENILAIAN KESESUAIAN PRASARANA DAN SARANA TANAMAN PANGAN DAN HORTIKULTURA</t>
  </si>
  <si>
    <t>PENGELOLAAN REKOMENDASI KEBIJAKAN SOSIAL EKONOMI PEMBANGUNAN TANAMAN PANGAN DAN HORTIKULTURA</t>
  </si>
  <si>
    <t>PENGELOLAAN LAHAN PERTANIAN</t>
  </si>
  <si>
    <t>PENGELOLAAN PUPUK DAN PESTISIDA</t>
  </si>
  <si>
    <t>PENGELOLAAN IRIGASI PERTANIAN, KONSERVASI AIR DAN LINGKUNGAN HIDUP</t>
  </si>
  <si>
    <t>PENGELOLAAN ALAT DAN MESIN PERTANIAN</t>
  </si>
  <si>
    <t>PENGELOLAAN PEMBIAYAAN TANAMAN PANGAN DAN HORTIKULTURA</t>
  </si>
  <si>
    <t>PENGELOLAAN LAYANAN PERIZINAN BERUSAHA BIDANG PERTANIAN DAN PERLINDUNGAN VARIETAS TANAMAN</t>
  </si>
  <si>
    <t>KETERSEDIAN PANGAN</t>
  </si>
  <si>
    <t>STABILITAS PASOKAN DAN HARGA PANGAN</t>
  </si>
  <si>
    <t>KERAWANAN PANGAN DAN GIZI</t>
  </si>
  <si>
    <t>KEAMANAN PANGAN</t>
  </si>
  <si>
    <t>PENGANEKARAGAMAN KONSUMSI PANGAN</t>
  </si>
  <si>
    <t>PENGELOLAAN BENIH TANAMAN PERKEBUNAN</t>
  </si>
  <si>
    <t>PENGEMBANGAN KOMODITAS TANAMAN PERKEBUNAN</t>
  </si>
  <si>
    <t>PERLINDUNGAN TANAMAN PERKEBUNAN</t>
  </si>
  <si>
    <t>PENINGKATAN PENGELOLAAN PASCA PANEN TANAMAN PERKEBUNAN</t>
  </si>
  <si>
    <t>PENINGKATAN PENGOLAHAN HASIL KOMODITAS TANAMAN PERKEBUNAN</t>
  </si>
  <si>
    <t>PENINGKATAN PEMASARAN HASIL KOMODITAS TANAMAN PERKEBUNAN</t>
  </si>
  <si>
    <t>PENGELOLAAN STANDARDISASI DAN PENILAIAN KESESUAIAN KOMODITAS TANAMAN PERKEBUNAN</t>
  </si>
  <si>
    <t>PENGELOLAAN STANDARDISASI DAN PENILAIAN KESESUAIAN PASCA PANEN TANAMAN PERKEBUNAN</t>
  </si>
  <si>
    <t>PENGELOLAAN STANDARDISASI DAN PENILAIAN KESESUAIAN PRASARANA DAN SARANA TANAMAN PERKEBUNAN</t>
  </si>
  <si>
    <t>PENGELOLAAN REKOMENDASI KEBIJAKAN SOSIAL EKONOMI PEMBANGUNAN TANAMAN PERKEBUNAN</t>
  </si>
  <si>
    <t>PENGELOLAAN PEMBIAYAAN TANAMAN PERKEBUNAN</t>
  </si>
  <si>
    <t>PENGELOLAAN BENIH/ BIBIT TERNAK</t>
  </si>
  <si>
    <t>PENGEMBANGAN KOMODITAS PETERNAKAN</t>
  </si>
  <si>
    <t>PENGELOLAAN PAKAN TERNAK</t>
  </si>
  <si>
    <t>PENGELOLAAN KESEHATAN HEWAN</t>
  </si>
  <si>
    <t>PENGELOLAAN KESEHATAN MASYARAKAT VETERINER</t>
  </si>
  <si>
    <t>PENINGKATAN PENGELOLAAN PASCA PANEN PETERNAKAN</t>
  </si>
  <si>
    <t>PENINGKATAN PENGOLAHAN HASIL KOMODITAS PETERNAKAN</t>
  </si>
  <si>
    <t>PENINGKATAN PEMASARAN HASIL KOMODITAS PETERNAKAN</t>
  </si>
  <si>
    <t>PENGELOLAAN STANDARDISASI DAN PENILAIAN KESESUAIAN KOMODITAS PETERNAKAN</t>
  </si>
  <si>
    <t>PENGELOLAAN STANDARDISASI DAN PENILAIAN KESESUAIAN PASCA PANEN PETERNAKAN</t>
  </si>
  <si>
    <t>PENGELOLAAN STANDARDISASI DAN PENILAIAN KESESUAIAN PRASARANA DAN SARANA PETERNAKAN</t>
  </si>
  <si>
    <t>PENGELOLAAN REKOMENDASI KEBIJAKAN SOSIAL EKONOMI PEMBANGUNAN PETERNAKAN</t>
  </si>
  <si>
    <t>PENGELOLAAN PEMBIAYAAN PETERNAKAN</t>
  </si>
  <si>
    <t>PENGELOLAAN PERIKANAN TANGKAP</t>
  </si>
  <si>
    <t>PENGELOLAAN PERIKANAN BUDI DAYA</t>
  </si>
  <si>
    <t>PENGUATAN DAYA SAING PRODUK PERIKANAN</t>
  </si>
  <si>
    <t>PENGAWASAN PENGELOLAAN SUMBER DAYA PERIKANAN</t>
  </si>
  <si>
    <t>PENGEMBANGAN USAHA BADAN USAHA MILIK NEGARA</t>
  </si>
  <si>
    <t>INISIATIF BISNIS STRATEGIS BADAN USAHA MILIK NEGARA</t>
  </si>
  <si>
    <t>PENGUATAN DAYA SAING DAN SINERGI BADAN USAHA MILIK NEGARA</t>
  </si>
  <si>
    <t>PENGUATAN KINERJA BADAN USAHA MILIK NEGARA</t>
  </si>
  <si>
    <t>PENCIPTAAN PERTUMBUHAN BERKELANJUTAN BADAN USAHA MILIK NEGARA</t>
  </si>
  <si>
    <t>RESTRUKTURISASI BADAN USAHA MILIK NEGARA</t>
  </si>
  <si>
    <t>PENGELOLAAN HUKUM DAN PERATURAN PERUNDANG-UNDANGAN BADAN USAHA MILIK NEGARA</t>
  </si>
  <si>
    <t>MANAJEMEN SUMBER DAYA MANUSIA BADAN USAHA MILIK NEGARA</t>
  </si>
  <si>
    <t>TEKNOLOGI DAN INFORMASI BADAN USAHA MILIK NEGARA</t>
  </si>
  <si>
    <t>KEUANGAN BADAN USAHA MILIK NEGARA</t>
  </si>
  <si>
    <t>MANAJEMEN RISIKO BADAN USAHA MILIK NEGARA</t>
  </si>
  <si>
    <t>PENGELOLAAN BADAN USAHA KAWASAN</t>
  </si>
  <si>
    <t>PENGEMBANGAN IKLIM PENANAMAN MODAL</t>
  </si>
  <si>
    <t>KERJA SAMA PENANAMAN MODAL</t>
  </si>
  <si>
    <t>PROMOSI PENANAMAN MODAL</t>
  </si>
  <si>
    <t>PENGENDALIAN PELAKSANAAN PENANAMAN MODAL</t>
  </si>
  <si>
    <t>HILIRISASI INVESTASI STRATEGIS</t>
  </si>
  <si>
    <t>PENGELOLAAN PERIZINAN BERUSAHA BERBASIS RISIKO</t>
  </si>
  <si>
    <t>PEMBINAAN KOPERASI</t>
  </si>
  <si>
    <t>PENGELOLAAN PRODUKSI DAN PEMASARAN KOPERASI</t>
  </si>
  <si>
    <t>PEMBERDAYAAN DAN PEMBIAYAAN KOPERASI</t>
  </si>
  <si>
    <t>PENGAWASAN KOPERASI</t>
  </si>
  <si>
    <t>USAHA MIKRO</t>
  </si>
  <si>
    <t>USAHA KECIL DAN MENENGAH</t>
  </si>
  <si>
    <t>KEWIRAUSAHAAN</t>
  </si>
  <si>
    <t>SUMBERDAYA DAN KELEMBAGAAN PARIWISATA</t>
  </si>
  <si>
    <t>DESTINASI PARIWISATA</t>
  </si>
  <si>
    <t>INDUSTRI PARIWISATA</t>
  </si>
  <si>
    <t>PEMASARAN PARIWISATA</t>
  </si>
  <si>
    <t>PENYELENGGARAAN KEGIATAN (EVENTS)</t>
  </si>
  <si>
    <t>KEBIJAKAN STRATEGIS PARIWISATA</t>
  </si>
  <si>
    <t>PENGELOLAAN PEMBANGUNAN INFRASTRUKTUR BIDANG PUPR</t>
  </si>
  <si>
    <t>PENGELOLAAN PEREKAYASAAN TEKNOLOGI DAN LAYANAN ADMINISTRATIF BIDANG PUPR</t>
  </si>
  <si>
    <t>PENGELOLAAN SUMBER DAYA MANUSIA BIDANG PUPR</t>
  </si>
  <si>
    <t>PENGELOLAAN KERJA SAMA DAN PEMBIAYAAN INFRASTRUKTUR BIDANG PUPR</t>
  </si>
  <si>
    <t>PENGELOLAAN FASILITASI INFRASTRUKTUR DAERAH BIDANG PUPR</t>
  </si>
  <si>
    <t>FASILITASI PERENCANAAN TEKNIS PERWUJUDAN KAWASAN TRANSMIGRASI</t>
  </si>
  <si>
    <t>FASILITASI PEMBANGUNAN DAN PENGEMBANGAN SARANA DAN PRASARANA SERTA JARINGAN KONEKTIVITAS INTRA KAWASAN TRANSMIGRASI, DAN ANTARA KAWASAN TRANSMIGRASI DENGAN KAWASAN SEKITAR</t>
  </si>
  <si>
    <t>FASILITASI PENATAAN PERSEBARAN PENDUDUK DI KAWASAN TRANSMIGRASI</t>
  </si>
  <si>
    <t>FASILITASI PENGEMBANGAN SUMBER DAYA MANUSIA DAN PEMBERDAYAAN MASYARAKAT TRANSMIGRASI</t>
  </si>
  <si>
    <t>FASILITASI PENGEMBANGAN SUMBER DAYA ALAM DAN LINGKUNGAN KAWASAN TRANSMIGRASI</t>
  </si>
  <si>
    <t>FASILITASI PENGEMBANGAN SOSIAL BUDAYA DAN KELEMBAGAAN MASYARAKAT TRANSMIGRASI</t>
  </si>
  <si>
    <t>FASILITASI PENGEMBANGAN EKONOMI DAN INVESTASI DI KAWASAN TRANSMIGRASI</t>
  </si>
  <si>
    <t>PELAYANAN TRANSPORTASI</t>
  </si>
  <si>
    <t>PENGELOLAAN KESELAMATAN DAN KEAMANAN TRANSPORTASI</t>
  </si>
  <si>
    <t>PENGELOLAAN SARANA DAN PRASARANA TRANSPORTASI</t>
  </si>
  <si>
    <t>AKSESIBILITAS DAN KONEKTIVITAS TRANSPORTASI</t>
  </si>
  <si>
    <t>PENGELOLAAN SDM TRANSPORTASI</t>
  </si>
  <si>
    <t>MANAJEMEN PEMBIAYAAN INFRASTRUKTUR TRANSPORTASI NON APBN</t>
  </si>
  <si>
    <t>PENGELOLAAN TRANSPORTASI BERKELANJUTAN</t>
  </si>
  <si>
    <t>PENATAAN BANGUNAN GEDUNG</t>
  </si>
  <si>
    <t>PENGEMBANGAN KAWASAN PERMUKIMAN</t>
  </si>
  <si>
    <t>PENGEMBANGAN SARANA PRASARANA STRATEGIS</t>
  </si>
  <si>
    <t>PENYELENGGARAAN PERUMAHAN</t>
  </si>
  <si>
    <t>PERENCANAAN TEKNIS PERWUJUDAN DESA BERKEMBANG DAN DESA MANDIRI SERTA KAWASAN PERDESAAN SERTA KAWASAN PERDESAAN</t>
  </si>
  <si>
    <t>PENGEMBANGAN SARANA DAN PRASARANA DESA DAN PERDESAAN SERTA KAWASAN PERDESAAN</t>
  </si>
  <si>
    <t>PENGEMBANGAN SUMBER DAYA ALAM DAN LINGKUNGAN DESA DAN PERDESAAN SERTA KAWASAN PERDESAAN</t>
  </si>
  <si>
    <t>PENGEMBANGAN SUMBER DAYA MANUSIA DAN PEMBERDAYAAN MASYARAKAT DESA DAN PERDESAAN SERTA KAWASAN PERDESAAN</t>
  </si>
  <si>
    <t>PENGEMBANGAN SOSIAL BUDAYA DAN KELEMBAGAAN DESA DAN PERDESAAN SERTA KAWASAN PERDESAAN</t>
  </si>
  <si>
    <t>PENGEMBANGAN EKONOMI DAN INVESTASI DESA DAN PERDESAAN SERTA KAWASAN PERDESAAN</t>
  </si>
  <si>
    <t>PENGGUNAAN DAN PENGELOLAAN DANA DESA</t>
  </si>
  <si>
    <t>PENYERASIAN DAN PENYUSUNAN KEBIJAKAN, RENCANA DAN PROGRAM PERCEPATAN PEMBANGUNAN DAERAH TERTINGGAL DAN DAERAH KHUSUS</t>
  </si>
  <si>
    <t>PENYERASIAN DAN FASILITASI PENGEMBANGAN SARANA DAN PRASARANA DAERAH TERTINGGAL</t>
  </si>
  <si>
    <t>PENYERASIAN DAN FASILITASI PENGEMBANGAN SUMBER DAYA ALAM DAN LINGKUNGAN DAERAH TERTINGGAL</t>
  </si>
  <si>
    <t>PENYERASIAN DAN FASILITASI PENGEMBANGAN SUMBER DAYA MANUSIA DAN PEMBERDAYAAN MASYARAKAT DAERAH TERTINGGAL</t>
  </si>
  <si>
    <t>PENYERASIAN DAN FASILITASI PENGEMBANGAN SOSIAL BUDAYA DAN KELEMBAGAAN DAERAH TERTINGGAL</t>
  </si>
  <si>
    <t>PENYERASIAN DAN FASILITASI PENGEMBANGAN EKONOMI DAN INVESTASI DAERAH TERTINGGAL</t>
  </si>
  <si>
    <t>PENYERASIAN DAN FASILITASI PEMBANGUNAN DAERAH KHUSUS</t>
  </si>
  <si>
    <t>PERENCANAAN TATA RUANG DAN PEMANFAATAN RUANG</t>
  </si>
  <si>
    <t>PENYEDIAAN INFRASTRUKTUR DASAR GEOSPASIAL TEMATIK PERTANAHAN DAN RUANG</t>
  </si>
  <si>
    <t>KEPASTIAN HAK ATAS TANAH DAN RUANG</t>
  </si>
  <si>
    <t>PENYELENGGARA REFORMA AGRARIA</t>
  </si>
  <si>
    <t>PENGADAAN TANAH DAN PENCADANGAN TANAH</t>
  </si>
  <si>
    <t>PENGEMBANGAN EKONOMI PERTANAHAN</t>
  </si>
  <si>
    <t>PENGENDALIAN DAN PENERTIBAN RUANG</t>
  </si>
  <si>
    <t>PENGENDALIAN PENGUASAAN DAN PEMANFAATAN TANAH</t>
  </si>
  <si>
    <t>PENANGANAN SENGKETA KONFLIK DAN PERKARA PERTANAHAN</t>
  </si>
  <si>
    <t>PENGENDALIAN PENDUDUK</t>
  </si>
  <si>
    <t>KELUARGA BERENCANA DAN KESEHATAN REPRODUKSI</t>
  </si>
  <si>
    <t>PEMBANGUNAN KELUARGA DAN KELUARGA SEJAHTERA</t>
  </si>
  <si>
    <t>PEMBERDAYAAN DAN PERAN MASYARAKAT</t>
  </si>
  <si>
    <t>PENDATAAN KELUARGA</t>
  </si>
  <si>
    <t>PENGEMBANGAN DAN PEMBERDAYAAN SUMBER DAYA MANUSIA KESEHATAN</t>
  </si>
  <si>
    <t>PENGELOLAAN KEFARMASIAN</t>
  </si>
  <si>
    <t>PENGELOLAAN ALAT KESEHATAN</t>
  </si>
  <si>
    <t>PENGELOLAAN PELAYANAN KESEHATAN</t>
  </si>
  <si>
    <t>PENCEGAHAN DAN PENGENDALIAN PENYAKIT</t>
  </si>
  <si>
    <t>PENGELOLAAN KESEHATAN MASYARAKAT</t>
  </si>
  <si>
    <t>PEMBERANTASAN PENYALAHGUNAAN DAN PEREDARAN GELAP NARKOBA (P4GN)</t>
  </si>
  <si>
    <t>PENGAWASAN OBAT DAN MAKANAN</t>
  </si>
  <si>
    <t>PENYELENGGARAAN REHABILITAS SOSIAL</t>
  </si>
  <si>
    <t>PENYELENGGARAAN JAMINAN SOSIAL</t>
  </si>
  <si>
    <t>PENYELENGGARAAN PERLINDUNGAN SOSIAL</t>
  </si>
  <si>
    <t>PENYELENGGARAAN PEMBERDAYAAN SOSIAL</t>
  </si>
  <si>
    <t>SISTEM PENGELOLAAN DATA TERPADU KESEJAHTERAAN SOSIAL</t>
  </si>
  <si>
    <t>PENYELENGGARAAN PENANGGULANGAN BENCANA</t>
  </si>
  <si>
    <t>KESETARAAN GENDER</t>
  </si>
  <si>
    <t>PEMENUHAN HAK ANAK</t>
  </si>
  <si>
    <t>PERLINDUNGAN HAK PEREMPUAN</t>
  </si>
  <si>
    <t>PERLINDUNGAN KHUSUS ANAK</t>
  </si>
  <si>
    <t>PENYEDIA LAYANAN BAGI ANAK YANG MEMERLUKAN PERLINDUNGAN KHUSUS DAN PEREMPUAN KORBAN KEKERASAN YANG MEMERLUKAN KOORDINASI LINTAS PROVINSI, TINGKAT NASIONAL, DAN INTERNASIONAL</t>
  </si>
  <si>
    <t>PENYELENGGARAAN PERATURAN PERUNDANG-UNDANGAN</t>
  </si>
  <si>
    <t>ADMINISTRASI HUKUM UMUM</t>
  </si>
  <si>
    <t>PEMASYARAKATAN</t>
  </si>
  <si>
    <t>KEIMIGRASIAN</t>
  </si>
  <si>
    <t>PENGELOLAAN KEKAYAAN INTELEKTUAL</t>
  </si>
  <si>
    <t>PENYIDIKAN</t>
  </si>
  <si>
    <t>PERLINDUNGAN SAKSI DAN KORBAN</t>
  </si>
  <si>
    <t>PENCEGAHAN DAN PEMBERANTASAN TPPU DAN TPPT</t>
  </si>
  <si>
    <t>PERADILAN</t>
  </si>
  <si>
    <t>PENUNTUTAN</t>
  </si>
  <si>
    <t>PEMELIHARAAN KEAMANAN DAN KETERTIBAN MASYARAKAT</t>
  </si>
  <si>
    <t>PENEGAKAN HUKUM</t>
  </si>
  <si>
    <t>PERLINDUNGAN, PENGAYOMAN DAN PELAYANAN MASYARAKAT</t>
  </si>
  <si>
    <t>PENANGGULANGAN KEJAHATAN TRANSNASIONAL DAN TERORISME</t>
  </si>
  <si>
    <t>PERLINDUNGAN HAM</t>
  </si>
  <si>
    <t>PEMAJUAN HAM</t>
  </si>
  <si>
    <t>PENEGAKAN HAM</t>
  </si>
  <si>
    <t>PEMENUHAN HAM</t>
  </si>
  <si>
    <t>PENDIDIK DAN TENAGA KEPENDIDIKAN</t>
  </si>
  <si>
    <t>PENDIDIKAN FORMAL PADA PENDIDIKAN ANAK USIA DINI, PENDIDIKAN DASAR, DAN PENDIDIKAN MENENGAH</t>
  </si>
  <si>
    <t>PENDIDIKAN NON FORMAL</t>
  </si>
  <si>
    <t>PENDIDIKAN TINGGI</t>
  </si>
  <si>
    <t>PENGELOLAAN DAN PENGEMBANGAN SUBSTANSI PENDIDIKAN</t>
  </si>
  <si>
    <t>PENJAMINAN MUTU DAN AKREDITASI SATUAN PENDIDIKAN</t>
  </si>
  <si>
    <t>PEMBINAAN PELATIHAN VOKASI DAN PRODUKTIVITAS</t>
  </si>
  <si>
    <t>PENINGKATAN PENEMPATAN TENAGA KERJA DAN PERLUASAN KESEMPATAN KERJA</t>
  </si>
  <si>
    <t>PENGEMBANGAN PEMBINAAN HUBUNGAN INDUSTRIAL DAN JAMINAN SOSIAL TENAGA KERJA</t>
  </si>
  <si>
    <t>PEMBINAAN PENGAWASAN KETENAGAKERJAAN DAN KESELAMATAN DAN KESEHATAN KERJA</t>
  </si>
  <si>
    <t>PENGELOLAAN PELINDUNGAN PEKERJA MIGRAN</t>
  </si>
  <si>
    <t>REKOMENDASI KEBIJAKAN BERBASIS RISET</t>
  </si>
  <si>
    <t>RISET DAN INOVASI</t>
  </si>
  <si>
    <t>PENGUATAN EKOSISTEM RISET DAN INOVASI</t>
  </si>
  <si>
    <t>PEMBERDAYAAN PEMUDA</t>
  </si>
  <si>
    <t>PENGEMBANGAN PEMUDA</t>
  </si>
  <si>
    <t>PEMBUDAYAAN OLAHRAGA</t>
  </si>
  <si>
    <t>PENINGKATAN PRESTASI OLAHRAGA</t>
  </si>
  <si>
    <t>PENGELOLAAN MINYAK</t>
  </si>
  <si>
    <t>PENGELOLAAN GAS BUMI</t>
  </si>
  <si>
    <t>PENGELOLAAN MINERAL</t>
  </si>
  <si>
    <t>PENGELOLAAN BATUBARA</t>
  </si>
  <si>
    <t>PENGELOLAAN GEOLOGI</t>
  </si>
  <si>
    <t>PENGELOLAAN ENERGI BARU</t>
  </si>
  <si>
    <t>PENGELOLAAN ENERGI TERBARUKAN</t>
  </si>
  <si>
    <t>PENGELOLAAN ENERGI TAK TERBARUKAN</t>
  </si>
  <si>
    <t>PERENCANAAN KEHUTANAN YANG BERKELANJUTAN</t>
  </si>
  <si>
    <t>PENINGKATAN DAYA SAING INDUSTRI PRIMER HASIL HUTAN</t>
  </si>
  <si>
    <t>PENGENDALIAN KEBAKARAN HUTAN DAN LAHAN</t>
  </si>
  <si>
    <t>PENINGKATAN DAYA DUKUNG DAERAH ALIRAN SUNGAI</t>
  </si>
  <si>
    <t>PENINGKATAN REHABILITASI HUTAN</t>
  </si>
  <si>
    <t>PENYELENGGARAAN PEMANTAPAN KAWASAN HUTAN</t>
  </si>
  <si>
    <t>PENGELOLAAN LAUT</t>
  </si>
  <si>
    <t>PENGELOLAAN RUANG LAUT</t>
  </si>
  <si>
    <t>PELINDUNGAN LINGKUNGAN LAUT</t>
  </si>
  <si>
    <t>PENGUATAN DAYA SAING PRODUK KELAUTAN</t>
  </si>
  <si>
    <t>PENGAWASAN PENGELOLAAN SUMBER DAYA KELAUTAN</t>
  </si>
  <si>
    <t>PENYULUHAN DAN PENGEMBANGAN SUMBER DAYA MANUSIA KELAUTAN</t>
  </si>
  <si>
    <t>PENGAWASAN DAN PENGENDALIAN MUTU DAN KEAMANAN HASIL KELAUTAN</t>
  </si>
  <si>
    <t>PENATAAN LINGKUNGAN HIDUP SECARA BERKELANJUTAN</t>
  </si>
  <si>
    <t>PELESTARIAN LINGKUNGAN HIDUP</t>
  </si>
  <si>
    <t>PENGENDALIAN PENCEMARAN DAN KERUSAKAN LINGKUNGAN</t>
  </si>
  <si>
    <t>PENGELOLAAN SAMPAH</t>
  </si>
  <si>
    <t>PENGELOLAAN LIMBAH BAHAN BERBAHAYA DAN BERACUN</t>
  </si>
  <si>
    <t>PENGENDALIAN PERUBAHAN IKLIM</t>
  </si>
  <si>
    <t>PENYELENGGARAAN KEMITRAAN LINGKUNGAN</t>
  </si>
  <si>
    <t>PEMAHAMAN DAN LAYANAN KEAGAMAAN</t>
  </si>
  <si>
    <t>PEMELIHARAAN KERUKUNAN UMAT BERAGAMA</t>
  </si>
  <si>
    <t>OPTIMALISASI POTENSI EKONOMI KEAGAMAAN</t>
  </si>
  <si>
    <t>PENJAMINAN PRODUK HALAL</t>
  </si>
  <si>
    <t>PENINGKATAN KUALITAS PENDIDIKAN AGAMA DAN KEAGAMAAN</t>
  </si>
  <si>
    <t>PENINGKATAN AKSES DAN MUTU PENDIDIKAN MADRASAH</t>
  </si>
  <si>
    <t>PENINGKATAN AKSES, MUTU, RELEVANSI DAN DAYA SAING PENDIDIKAN TINGGI KEAGAMAAN</t>
  </si>
  <si>
    <t>PENINGKATAN MUTU PESANTREN</t>
  </si>
  <si>
    <t>PENINGKATAN KUALITAS PENYELENGGARAAN HAJI DAN UMRAH</t>
  </si>
  <si>
    <t>PENGELOLAAN PROGRAM KEBUDAYAAN</t>
  </si>
  <si>
    <t>PENGELOLAAN PROGRAM KEBAHASAAN DAN KESASTRAAN</t>
  </si>
  <si>
    <t>PERIZINAN KEBUDAYAAN</t>
  </si>
  <si>
    <t>PENGELOLAAN BANTUAN KEBUDAYAAN DAN KEBAHASAAN</t>
  </si>
  <si>
    <t>PENGELOLAAN KOLEKSI PERPUSTAKAAN DAN AKSES INFORMASI</t>
  </si>
  <si>
    <t>PENINGKATAN KUALITAS PERPUSTAKAAN</t>
  </si>
  <si>
    <t>POLITIK DAN PEMERINTAHAN UMUM</t>
  </si>
  <si>
    <t>OTONOMI DAERAH</t>
  </si>
  <si>
    <t>PEMBINAAN ADMINISTRASI KEWILAYAHAN</t>
  </si>
  <si>
    <t>PEMBINAAN PEMERINTAHAN DESA</t>
  </si>
  <si>
    <t>PEMBINAAN URUSAN PEMERINTAHAN DAN PEMBANGUNAN DAERAH</t>
  </si>
  <si>
    <t>PEMBINAAN KEUANGAN DAERAH</t>
  </si>
  <si>
    <t>KEPENDUDUKAN DAN PENCATATAN SIPIL</t>
  </si>
  <si>
    <t>PERENCANAAN DAN PENGANGGARAN APBN</t>
  </si>
  <si>
    <t>PENGELOLAAN KAS NEGARA</t>
  </si>
  <si>
    <t>PENGELOLAAN PENERIMAAN DAN PENDAPATAN NEGARA</t>
  </si>
  <si>
    <t>PENGELOLAAN PENGELUARAN DAN BELANJA NEGARA</t>
  </si>
  <si>
    <t>PENGELOLAAN PEMBIAYAAN</t>
  </si>
  <si>
    <t>PENGELOLAAN KEKAYAAN NEGARA</t>
  </si>
  <si>
    <t>MONITORING DAN EVALUASI ANGGARAN</t>
  </si>
  <si>
    <t>AKUNTANSI DAN PELAPORAN KEUANGAN</t>
  </si>
  <si>
    <t>PERUBAHAN APBN DAN REVISI ANGGARAN</t>
  </si>
  <si>
    <t>PENGELOLAAN FISKAL LAINNYA</t>
  </si>
  <si>
    <t>PENGADAAN BARANG/JASA PEMERINTAH</t>
  </si>
  <si>
    <t>PENGELOLAAN SUMBER DAYA DAN PERANGKAT INFORMATIKA</t>
  </si>
  <si>
    <t>PENGELOLAAN DATA GEOSPASIAL</t>
  </si>
  <si>
    <t>PENYIARAN RADIO PUBLIK</t>
  </si>
  <si>
    <t>PENYIARAN TELEVISI PUBLIK</t>
  </si>
  <si>
    <t>PENGELOLAAN SUMBER DAYA DAN PERANGKAT POS</t>
  </si>
  <si>
    <t>PENGELOLAAN KOMUNIKASI PUBLIK</t>
  </si>
  <si>
    <t>PERENCANAAN PEMBANGUNAN</t>
  </si>
  <si>
    <t>PENGANGGARAN PEMBANGUNAN</t>
  </si>
  <si>
    <t>PENGENDALIAN PEMBANGUNAN</t>
  </si>
  <si>
    <t>PRAKARSA STRATEGIS (ENABLER)</t>
  </si>
  <si>
    <t>PENATAAN SISTEM TATA LAKSANA</t>
  </si>
  <si>
    <t>PENATAAN SISTEM KELEMBAGAAN</t>
  </si>
  <si>
    <t>PENATAAN SUMBER DAYA MANUSIA APARATUR</t>
  </si>
  <si>
    <t>PENINGKATAN KUALITAS REFORMASI BIROKRASI, PENGAWASAN, DAN AKUNTABILITAS KINERJA</t>
  </si>
  <si>
    <t>PENYELENGGARAAN KEARSIPAN</t>
  </si>
  <si>
    <t>PENYELENGGARAAN HUBUNGAN KELEMBAGAAN DAN PEMBERIAN ANALISIS KEBIJAKAN PADA PRESIDEN DAN WAKIL PRESIDEN</t>
  </si>
  <si>
    <t>PEMBERIAN ANALISIS PENDAPAT HUKUM DAN RANCANGAN PERATURAN PERUNDANG-UNDANGAN</t>
  </si>
  <si>
    <t>PENYELENGGARAAN KOORDINASI KERJA SAMA TEKNIK LUAR NEGERI DAN PENANGANAN ADMINISTRASI PERJALANAN DINAS LUAR NEGERI</t>
  </si>
  <si>
    <t>PENANGANAN PENETAPAN KEPUTUSAN DALAM KEWENANGAN PRESIDEN</t>
  </si>
  <si>
    <t>PENYELENGGARAAN KEGIATAN PRESIDEN DAN WAKIL PRESIDEN MELALUI DUKUNGAN KERUMAHTANGGAAN, KEPROTOKOLAN, PERS MEDIA, DOKUMENTASI DAN DISEMINASI INFORMASI, SERTA KOORDINASI PENGAMANAN</t>
  </si>
  <si>
    <t>PENGENDALIAN PROGRAM PRIORITAS NASIONAL</t>
  </si>
  <si>
    <t>PENGELOLAAN ISU STRATEGIS</t>
  </si>
  <si>
    <t>PENGELOLAAN KOMUNIKASI POLITIK PRESIDEN</t>
  </si>
  <si>
    <t>DUKUNGAN TEKNIS DAN ADMINISTRASI KSP</t>
  </si>
  <si>
    <t>DUKUNGAN MANAJEMEN KABINET KEPADA PRESIDEN DAN WAKIL PRESIDEN DALAM PENYELENGGARAAN PEMERINTAHAN</t>
  </si>
  <si>
    <t>PENGEMBANGAN NILAI-NILAI KEBANGSAAN</t>
  </si>
  <si>
    <t>OPTIMALISASI REKOMENDASI KEBIJAKAN PERDAGAGAN</t>
  </si>
  <si>
    <t>Keterkaitan 58 Rencana Aksi</t>
  </si>
  <si>
    <t>Frekuensi Penggunaan Aplikasi</t>
  </si>
  <si>
    <t>TA</t>
  </si>
  <si>
    <t>Isikan keterkaitan layanan/probis/data dengan 58 Rencana Aksi. Sebutkan nomor rencana aksi tersebut.</t>
  </si>
  <si>
    <t>Isikan sesuai dengan frekuensi penggunaan aplikasi. Harian / Mingguan / Bulanan / Tahunan / Insidentil</t>
  </si>
  <si>
    <r>
      <rPr>
        <rFont val="Calibri"/>
        <sz val="12.0"/>
      </rPr>
      <t xml:space="preserve">Rima Diani, </t>
    </r>
    <r>
      <rPr>
        <rFont val="Calibri"/>
        <color rgb="FF1155CC"/>
        <sz val="12.0"/>
        <u/>
      </rPr>
      <t>S.Si</t>
    </r>
    <r>
      <rPr>
        <rFont val="Calibri"/>
        <sz val="12.0"/>
      </rPr>
      <t>.Kom</t>
    </r>
  </si>
  <si>
    <t>Layanan Penerbitan Sertifikasi Elektronik</t>
  </si>
  <si>
    <t>layanan bagi para pejabat, Kepala Sekolah, dan Kepala Desa untuk memproleh
Tanda tangan digital yang tersertifikasi BSSN</t>
  </si>
  <si>
    <t>Data Tanda Tangan Elektronik</t>
  </si>
  <si>
    <t>Persandian</t>
  </si>
  <si>
    <t>Layanan Radio Kandaga</t>
  </si>
  <si>
    <t>layanan bagi para pembicara yang telah menyampaiakan informasi melalui Podcast Radio Kandaga</t>
  </si>
  <si>
    <t>Data Siaran atau Podcast</t>
  </si>
  <si>
    <t>KANDAGA</t>
  </si>
  <si>
    <t>https://play.google.com/store/apps/details?id=com.diskominfo.radiokandagabedas&amp;pcampaignid=web_share</t>
  </si>
  <si>
    <t>Penyelenggaraan Informasi dan Komunikasi Publik</t>
  </si>
  <si>
    <t>Layanan Data Statisktik Sektoral</t>
  </si>
  <si>
    <t>memudahkan pengambilan keputusan yang akurat dari
instansi pemerintah terkait, dapat dilakukan dengan pengujian terhadap
system dan data sebelumnya dengan pembuatan aplikasi atau system informasi versi beta untuk menghasilkan analisa yang tepat serta sasaran
yang akurat dari produk yang akan dihasilkan melalui produk kompilasi,
produk survey, produk komparasi dan produk lainnya baik dari data sektoral
suatu daerah yang akan digunakan nantinya untun meminimalisir masalah
yang ada</t>
  </si>
  <si>
    <t>Data Statistik Sektoral</t>
  </si>
  <si>
    <t>SIMASDA</t>
  </si>
  <si>
    <t>https://simasda.bandungkab.go.id/</t>
  </si>
  <si>
    <t>Statistik</t>
  </si>
  <si>
    <t>Layanan Domain dan Sub Domain</t>
  </si>
  <si>
    <t>membangun branding Pemerintah Kabupaten Bandung yaitu bandungkab.go.id</t>
  </si>
  <si>
    <t>Data Domain dan Sub Domain</t>
  </si>
  <si>
    <t>TIK</t>
  </si>
  <si>
    <t>Layanan Cpanel</t>
  </si>
  <si>
    <t>menyelenggarakan website Desa dan Website SMP</t>
  </si>
  <si>
    <t>Data Cpanel</t>
  </si>
  <si>
    <t>Layanan SSL</t>
  </si>
  <si>
    <t>mengamankan lalu lintas data dari domain bandungkab.go.id beserta subdomainnya</t>
  </si>
  <si>
    <t>Data SSL</t>
  </si>
  <si>
    <t>Layanan Pengembangan Aplikasi</t>
  </si>
  <si>
    <t>Layanan Pengembangan Aplikasi: Menyediakan pembuatan aplikasi sesuai kebutuhan pemerintah daerah.</t>
  </si>
  <si>
    <t>Data Aplikasi</t>
  </si>
  <si>
    <t>Layanan Pembinaan dan Fasilitasi KIM</t>
  </si>
  <si>
    <t>Layanan Pembinaan dan Fasilitasi KIM: Mendorong pengembangan kawasan industri melalui pembinaan dan fasilitasi.</t>
  </si>
  <si>
    <t>Data Peserta KIM</t>
  </si>
  <si>
    <t>KIM</t>
  </si>
  <si>
    <t>https://kimonline.bandungkab.go.id/ kim/</t>
  </si>
  <si>
    <t>Layanan Informasi Publik Pejabat Pelaksana Informasi dan Dokumentasi (PPID)</t>
  </si>
  <si>
    <t>Layanan Informasi Publik PPID: Memberikan akses informasi publik dan dokumen pemerintah melalui pejabat pelaksana.</t>
  </si>
  <si>
    <t>Data PPID</t>
  </si>
  <si>
    <t>PPID</t>
  </si>
  <si>
    <t>http://ppid.bandungkab.go.id/</t>
  </si>
  <si>
    <t>Layanan Helpdesk TIK</t>
  </si>
  <si>
    <t>Layanan Helpdesk TIK: Menyediakan bantuan dan dukungan teknis dalam penggunaan teknologi informasi dan komunikasi.</t>
  </si>
  <si>
    <t>Data Helpdesk TIK</t>
  </si>
  <si>
    <t>Layanan Pengelolaan Jaringan dan Keamanan TIK</t>
  </si>
  <si>
    <t>Layanan Pengelolaan Jaringan dan Keamanan TIK: Menyediakan pengelolaan jaringan dan keamanan sistem teknologi informasi.</t>
  </si>
  <si>
    <t>Data Jaringan dan Keamanan TIK</t>
  </si>
  <si>
    <t>Layanan Portal Aplikasi</t>
  </si>
  <si>
    <t>Layanan Portal Aplikasi: Memberikan akses terpadu ke berbagai aplikasi pemerintah daerah.</t>
  </si>
  <si>
    <t>Data Portal Layanan</t>
  </si>
  <si>
    <t>PORTAL KAB BANDUNG</t>
  </si>
  <si>
    <t>https://bandungkab.go.id/</t>
  </si>
  <si>
    <t>Layanan Publikasi Infromasi dan Berita</t>
  </si>
  <si>
    <t>Layanan Publikasi Informasi dan Berita: Menyajikan informasi dan berita terkini terkait pemerintahan daerah.</t>
  </si>
  <si>
    <t>Data Publikasi Informasi dan Berita</t>
  </si>
  <si>
    <t>Layanan Diskusi Publik</t>
  </si>
  <si>
    <t>Layanan Diskusi Publik: Memberikan platform untuk diskusi dan partisipasi masyarakat dalam pengambilan keputusan.</t>
  </si>
  <si>
    <t>Data Diskusi Publik</t>
  </si>
  <si>
    <t>Layanan Pengaduan Masyarakat: Memfasilitasi masyarakat untuk menyampaikan keluhan dan pengaduan terkait pelayanan publik.</t>
  </si>
  <si>
    <t>Layanan Smart CIty</t>
  </si>
  <si>
    <t>Layanan Smart City: Mengintegrasikan teknologi untuk meningkatkan efisiensi dan kualitas hidup warga dalam konteks perkotaan.</t>
  </si>
  <si>
    <t>Data Smart City</t>
  </si>
  <si>
    <t>SMART CITY</t>
  </si>
  <si>
    <t>https://smartcity.bandungkab.go.id/</t>
  </si>
  <si>
    <t>BAGIAN PERENCKEU</t>
  </si>
  <si>
    <t>Layanan Sistem Informasi Tindak Lanjut Hasil Layanan Terpadu</t>
  </si>
  <si>
    <t>Layanan Sistem Informasi Tindak Lanjut Hasil Layanan Terpadu mengacu pada sistem informasi berbasis web untuk mengelola dan memantau proses tindak lanjut (TL) hasil rekomendasi pemeriksaan oleh lembaga seperti Badan Pemeriksa Keuangan (BPK), agar prosesnya menjadi lebih efisien, transparan, dan akuntabel melalui digitalisasi data dan komunikasi online secara real-time antara BPK dan entitas yang diperiksa.</t>
  </si>
  <si>
    <t>Undang-Undang Nomor 25 Tahun 2009 tentang Pelayanan Publik, Peraturan Pemerintah Nomor 96 Tahun 2012</t>
  </si>
  <si>
    <t>Data Evidence Tindak Lanjut yang Direkomendasikan</t>
  </si>
  <si>
    <t>Data Hasil Tindak Lanjut</t>
  </si>
  <si>
    <t>SIMASLAHAT</t>
  </si>
  <si>
    <r>
      <rPr>
        <rFont val="Arial, sans-serif"/>
        <color rgb="FF1155CC"/>
        <sz val="11.0"/>
        <u/>
      </rPr>
      <t>https://simaslahat.bandungkab.go.id</t>
    </r>
  </si>
  <si>
    <t>Bagian Perencanaan dan Keuangan</t>
  </si>
  <si>
    <t>VERRYNOVYANDI SADIKIN, SE., MM</t>
  </si>
  <si>
    <t>setdakab.bdg@gmail.com</t>
  </si>
  <si>
    <t>-</t>
  </si>
  <si>
    <r>
      <rPr>
        <rFont val="Arial, sans-serif"/>
        <color rgb="FF1155CC"/>
        <sz val="11.0"/>
        <u/>
      </rPr>
      <t>https://lapor.go.id/</t>
    </r>
  </si>
  <si>
    <t>ALIPHIO DYAKSHA PUTRA, A.Md.Ak.</t>
  </si>
  <si>
    <t>Insidentil</t>
  </si>
  <si>
    <t>Layanan Data Sektoral</t>
  </si>
  <si>
    <t>Layanan data sektoral adalah statistik yang dihasilkan oleh instansi pemerintah pusat atau daerah sesuai dengan tugas dan fungsi masing-masing, yang bertujuan untuk memenuhi kebutuhan internal instansi tersebut dalam penyelenggaraan pemerintahan dan pembangunan.</t>
  </si>
  <si>
    <t>PERATURAN BADAN PUSAT STATISTIK NOMOR 3 TAHUN 2022 TENTANG EVALUASI PENYELENGGARAAN STATISTIK SEKTORAL</t>
  </si>
  <si>
    <t>Data Sektoral</t>
  </si>
  <si>
    <r>
      <rPr>
        <rFont val="Arial, sans-serif"/>
        <color rgb="FF1155CC"/>
        <sz val="11.0"/>
        <u/>
      </rPr>
      <t>https://simasda.bandungkab.go.id/</t>
    </r>
  </si>
  <si>
    <t>Terintegrasi dengan Bedas, E-Walidata dan Satu Data Kab Bandung</t>
  </si>
  <si>
    <t>DHANTI AURILIA PRATIWI, M.Stat</t>
  </si>
  <si>
    <t>Layanan Rekonsiliasi Pajak Pusat</t>
  </si>
  <si>
    <t>Rekonsiliasi pajak pusat atas belanja daerah adalah proses penyesuaian atau pencocokan antara jumlah pajak yang harus dibayarkan oleh pemerintah daerah kepada pemerintah pusat dengan total belanja yang telah dilakukan oleh pemerintah daerah dalam kerangka Anggaran Pendapatan dan Belanja Daerah (APBD)</t>
  </si>
  <si>
    <t>PERBUP Nomor 165 Tahun 2021 dan PERBUP Nomor 289 Tahun 2022</t>
  </si>
  <si>
    <t>Data Pajak Pusat (ID Billing &amp; NTPN)</t>
  </si>
  <si>
    <t>Rekap Data Pajak Pusat</t>
  </si>
  <si>
    <t>SIREKON</t>
  </si>
  <si>
    <r>
      <rPr>
        <rFont val="Arial, sans-serif"/>
        <color rgb="FF1155CC"/>
        <sz val="11.0"/>
        <u/>
      </rPr>
      <t>https://sirekonpajak.bandungkab.go.id/</t>
    </r>
  </si>
  <si>
    <t>Layanan Pajak</t>
  </si>
  <si>
    <t>Fungsi layanan pajak meliputi pengumpulan pajak daerah, pengelolaan data wajib pajak, pengawasan kepatuhan, serta penyediaan kemudahan pembayaran menggunakan aplikasi digital yang mendukung optimalisasi penerimaan pajak dan peningkatan kualitas pelayanan kepada masyarakat.</t>
  </si>
  <si>
    <t>UU No. 1 Tahun 2022</t>
  </si>
  <si>
    <t>Data Pajak</t>
  </si>
  <si>
    <t>ID Billing</t>
  </si>
  <si>
    <t>Coretax</t>
  </si>
  <si>
    <r>
      <rPr>
        <rFont val="Arial, sans-serif"/>
        <color rgb="FF1155CC"/>
        <sz val="11.0"/>
        <u/>
      </rPr>
      <t>coretaxdjp.pajak.go.id</t>
    </r>
  </si>
  <si>
    <t>Layanan Pajak Daerah</t>
  </si>
  <si>
    <t>Pajak daerah yang ada digunakan untuk membiayai semua kepentingan umum. Termasuk untuk membuka lapangan kerja baru, sehingga terjadi pemerataan pendapatan agar kesenjangan ekonomi antara yang kaya dan miskin tidak terlalu menonjol. Pajak daerah diharapkan dapat meningkatkan pemerataan di setiap daerah.</t>
  </si>
  <si>
    <t>Undang-Undang Nomor 28 Tahun 2009 tentang Pajak Daerah dan Retribusi Daerah (UU PDRD)</t>
  </si>
  <si>
    <t>Data Pajak Daerah</t>
  </si>
  <si>
    <t>Data Rekap Pajak Daerah</t>
  </si>
  <si>
    <t>E-SPTPD</t>
  </si>
  <si>
    <r>
      <rPr>
        <rFont val="Arial, sans-serif"/>
        <color rgb="FF1155CC"/>
        <sz val="11.0"/>
        <u/>
      </rPr>
      <t>https://e-sptpd.bandungkab.go.id/</t>
    </r>
  </si>
  <si>
    <t>Setda, Bapenda</t>
  </si>
  <si>
    <t>Layanan Transaksi</t>
  </si>
  <si>
    <t>Fungsi utama layanan transaksi di Kabupaten Bandung adalah untuk memudahkan masyarakat dalam memenuhi kewajiban pembayaran pajak daerah dan mendukung efisiensi pengelolaan pajak oleh pemerintah daerah. Layanan ini meliputi berbagai fasilitas dan sistem, seperti pengesahan STNK, pembayaran PKB, dan pemanfaatan teknologi untuk pelaporan data transaksi usaha secara online.</t>
  </si>
  <si>
    <t>Peraturan Bupati (Perbup) Kabupaten Bandung Nomor 22 Tahun 2018 tentang Implementasi Transaksi Non Tunai, yang telah beberapa kali diubah dengan Perbup Nomor 6 Tahun 2020 dan Perbup Nomor 15 Tahun 2020.</t>
  </si>
  <si>
    <t>Data Transaksi</t>
  </si>
  <si>
    <t>Data Rekening Koran</t>
  </si>
  <si>
    <t>IBC (Internet Banking Corporate)</t>
  </si>
  <si>
    <t>Aplikasi dari BJB</t>
  </si>
  <si>
    <t>Layanan Penatausahaan Keuangan</t>
  </si>
  <si>
    <t>Fungsi layanan penatausahaan keuangan di Kabupaten Bandung adalah mencatat dan menyimpan semua transaksi penerimaan dan pengeluaran kas daerah secara akurat dan tertib untuk penyusunan laporan keuangan, pengendalian APBD, serta penyediaan data dan informasi keuangan yang dapat dipertanggungjawabkan. Penatausahaan ini mendukung efektivitas pengelolaan keuangan daerah dan memastikan transparansi serta akuntabilitas dalam penggunaan dana publik.</t>
  </si>
  <si>
    <t>Peraturan Bupati (Perbup) Kabupaten Bandung Nomor 48 Tahun 2025 tentang Perubahan Atas Peraturan Bupati Nomor 83 Tahun 2024</t>
  </si>
  <si>
    <t>Data APBD</t>
  </si>
  <si>
    <t>SIPD</t>
  </si>
  <si>
    <r>
      <rPr>
        <rFont val="Arial, sans-serif"/>
        <color rgb="FF1155CC"/>
        <sz val="11.0"/>
        <u/>
      </rPr>
      <t>SIPD.kemendagri.go.id</t>
    </r>
  </si>
  <si>
    <t>Layanan Tata Naskah Dinas</t>
  </si>
  <si>
    <t>Fungsi utama layanan Tata Naskah Dinas (TND) di Kabupaten Bandung adalah untuk menciptakan kelancaran komunikasi tertulis yang efektif dan efisien, memastikan keotentikan, keterpercayaan, kepastian, dan akuntabilitas informasi, serta mendukung terwujudnya tata kelola pemerintahan yang baik (good governance) melalui penerapan penggunaan naskah dinas secara elektronik. TND juga berfungsi sebagai sarana untuk mengatur jenis dan penyusunan naskah dinas, penggunaan lambang negara dan cap dinas, serta penggunaan bahasa Indonesia yang sesuai dalam komunikasi resmi.</t>
  </si>
  <si>
    <t>Peraturan Bupati (PERBUP) Nomor 82 Tahun 2024 tentang Pedoman Tata Naskah Dinas di Lingkungan Pemerintah Kabupaten Bandung.</t>
  </si>
  <si>
    <t>Naskah Surat</t>
  </si>
  <si>
    <t>Surat yang dilegalisasi</t>
  </si>
  <si>
    <t>SULTAN (e-office)</t>
  </si>
  <si>
    <r>
      <rPr>
        <rFont val="Arial, sans-serif"/>
        <color rgb="FF1155CC"/>
        <sz val="11.0"/>
        <u/>
      </rPr>
      <t>https://sultan.bandungkab.go.id/</t>
    </r>
  </si>
  <si>
    <t>Terintegrasi dengan SIPPHADE, dll</t>
  </si>
  <si>
    <t>Semua Bagian</t>
  </si>
  <si>
    <t>Layanan Perencanaan BMD</t>
  </si>
  <si>
    <t>Untuk mengidentifikasi kebutuhan aset, merencanakan pengadaan, pemanfaatan, pemeliharaan, dan pengelolaan aset agar sesuai dengan tugas dan fungsi SKPD, mendukung pelayanan publik, dan memastikan pengelolaan yang akuntabel dan transparan sesuai regulasi. Layanan ini bertujuan untuk menciptakan pengelolaan aset yang efisien dan efektif, mencegah pemborosan, serta mengoptimalkan penggunaan aset daerah untuk pembangunan.</t>
  </si>
  <si>
    <t>Undang-Undang Nomor 1 Tahun 2004 tentang Perbendaharaan Negara, Peraturan Pemerintah Nomor 27 Tahun 2014 tentang Pengelolaan BMD.</t>
  </si>
  <si>
    <t>Data Kebutuhan Aset</t>
  </si>
  <si>
    <t>Pengadaan Aset</t>
  </si>
  <si>
    <t>E-Planning BMD</t>
  </si>
  <si>
    <r>
      <rPr>
        <rFont val="Arial, sans-serif"/>
        <color rgb="FF1155CC"/>
        <sz val="11.0"/>
        <u/>
      </rPr>
      <t>sshsbu.e-planningbmd.id</t>
    </r>
  </si>
  <si>
    <t>YATI KURNIATI, SE., M.K.P.</t>
  </si>
  <si>
    <t>bagianprogramsetdakab.bandung@gmail.com</t>
  </si>
  <si>
    <t>Layanan Statistik</t>
  </si>
  <si>
    <t>Indonesia Data Hub merupakan one stop collaboration platform yang bertujuan untuk meningkatkan literasi data dan value of statistics serta mendukung interoperabilitas data dan kolaborasi eksplorasi terhadap data.</t>
  </si>
  <si>
    <t>Undang-Undang Nomor 16 Tahun 1997 tentang Statistik sebagai dasar umum, serta Peraturan Presiden Nomor 86 Tahun 2007 dan Peraturan Kepala Badan Pusat Statistik (BPS) Nomor 78 Tahun 2020 yang mengatur pelayanan statistik terpadu di tingkat pusat.</t>
  </si>
  <si>
    <t>Metadata dan Standar Data Statistik</t>
  </si>
  <si>
    <t>INDAH</t>
  </si>
  <si>
    <r>
      <rPr>
        <rFont val="Arial, sans-serif"/>
        <color rgb="FF1155CC"/>
        <sz val="11.0"/>
        <u/>
      </rPr>
      <t>https://indah.bps.go.id/</t>
    </r>
  </si>
  <si>
    <t>Terintegrasi dengan Aplikasi Romantik</t>
  </si>
  <si>
    <t>Layanan Informasi Pengawasan SAKIP, SPIP, MR</t>
  </si>
  <si>
    <t>Fungsinya adalah menyediakan data dan laporan pengawasan yang terintegrasi untuk mendukung perbaikan tata kelola, meningkatkan transparansi, mengurangi potensi penyimpangan, dan memperkuat pengambilan keputusan berbasis bukti dalam rangka mewujudkan pemerintahan yang efektif, efisien, dan akuntabel.</t>
  </si>
  <si>
    <t>Nomor 60 Tahun 2008 tentang Sistem Pengendalian Intern Pemerintah (SPIP), Peraturan Presiden (Perpres) Nomor 29 Tahun 2014 tentang Sistem Akuntabilitas Kinerja Instansi Pemerintah (SAKIP).</t>
  </si>
  <si>
    <t>Data Evidence SAKIP, SPIP, MR</t>
  </si>
  <si>
    <t>Nilai SAKIP dan MR</t>
  </si>
  <si>
    <t>SIMWAS</t>
  </si>
  <si>
    <r>
      <rPr>
        <rFont val="Calibri, sans-serif"/>
        <color rgb="FF1155CC"/>
        <sz val="12.0"/>
        <u/>
      </rPr>
      <t>simwas.bandungkab.go.id</t>
    </r>
  </si>
  <si>
    <t>Setda, Inspektorat</t>
  </si>
  <si>
    <t>DEBI RIANA S.STP., M.Si.</t>
  </si>
  <si>
    <t>mungkin berkaitan dengan 27</t>
  </si>
  <si>
    <t>Layanan Informasi Data, Pengendalian, Evaluasi, dan Pelaporan</t>
  </si>
  <si>
    <t>Mencakup penyediaan dan pengelolaan data dan informasi pembangunan, pemantauan dan pengendalian pelaksanaan program/kegiatan, serta penyusunan laporan hasil evaluasi untuk mendukung perumusan kebijakan dan pengambilan keputusan. Layanan ini bertugas menganalisis data, mengoordinasikan evaluasi, dan menyusun pelaporan program pembangunan daerah.</t>
  </si>
  <si>
    <t>Undang-Undang Nomor 14 Tahun 2008 tentang Keterbukaan Informasi Publik, Undang-Undang Nomor 25 Tahun 2009 tentang Pelayanan Publik.</t>
  </si>
  <si>
    <t>Data Kinerja dan Realisasi Anggaran</t>
  </si>
  <si>
    <t>Data Capaian Kinerja dan Realisasi Anggaran</t>
  </si>
  <si>
    <t>SIDALMONEP</t>
  </si>
  <si>
    <r>
      <rPr>
        <rFont val="Arial, sans-serif"/>
        <color rgb="FF1155CC"/>
        <sz val="11.0"/>
        <u/>
      </rPr>
      <t>sidalmonep.bandungkab.go.id/</t>
    </r>
  </si>
  <si>
    <t>Setda, Bapperida</t>
  </si>
  <si>
    <t>BAGIAN UMUM</t>
  </si>
  <si>
    <t>Layanan Pengelolaan Administrasi Kepegawaian</t>
  </si>
  <si>
    <t>mengelola administrasi, pengembangan, dan pelayanan pegawai secara efektif untuk mendukung kinerja Sekretariat Daerah. Fungsinya meliputi penyiapan bahan kebijakan, manajemen mutasi, kenaikan pangkat, pensiun, disiplin, hingga pengembangan kompetensi pegawai</t>
  </si>
  <si>
    <t>Undang-Undang Nomor 20 Tahun 2023 tentang Aparatur Sipil Negara</t>
  </si>
  <si>
    <t>Data Kepegawaian</t>
  </si>
  <si>
    <t>SIMPEL BKPSDM</t>
  </si>
  <si>
    <r>
      <rPr>
        <rFont val="Arial, sans-serif"/>
        <color rgb="FF1155CC"/>
        <u/>
      </rPr>
      <t>https://simpelbkpsdm.bandungkab.go.id/</t>
    </r>
  </si>
  <si>
    <t>Terintegrasi</t>
  </si>
  <si>
    <t>Bagian Umum</t>
  </si>
  <si>
    <t>Iman Herman Sudrajat, S.IP.</t>
  </si>
  <si>
    <t>bag_umum@bandungkab.go.id</t>
  </si>
  <si>
    <t>Layanan Surat Masuk dan Penomoran Surat Keluar</t>
  </si>
  <si>
    <t>mengelola tata usaha, surat-menyurat, dan arsip secara tertib, aman, dan efisien. Fungsinya meliputi pengendalian naskah dinas masuk/keluar, penataan kearsipan, serta memfasilitasi administrasi pimpinan, staf ahli, dan perangkat daerah guna mendukung kelancaran kebijakan</t>
  </si>
  <si>
    <t>Surat Masuk. Naskah Dinas</t>
  </si>
  <si>
    <t>Nomor Surat</t>
  </si>
  <si>
    <t>SULTAN (E-Office)</t>
  </si>
  <si>
    <r>
      <rPr>
        <rFont val="Arial, sans-serif"/>
        <color rgb="FF1155CC"/>
        <u/>
      </rPr>
      <t>https://sultan.bandungkab.go.id/</t>
    </r>
  </si>
  <si>
    <t>Layanan Piagam Penghargaan Bupati Bandung</t>
  </si>
  <si>
    <t>Layanan Fasilitasi Piagam Penghargaan Bupati berupa administrasi penerbitan, penyiapan naskah, dan pendokumentasian piagam penghargaan Bupati Bandung</t>
  </si>
  <si>
    <t>Permohonan Piagam</t>
  </si>
  <si>
    <t>Naskah dan Dokumen Piagam</t>
  </si>
  <si>
    <t>Microsoft Excel</t>
  </si>
  <si>
    <t>BAGIAN ORGANISASI</t>
  </si>
  <si>
    <t>Layanan Informasi Akuntabilitas Kinerja</t>
  </si>
  <si>
    <t>Layanan Sistem Informasi Akuntabilitas Kinerja adalah sebuah sistem elektronik yang digunakan oleh instansi pemerintah untuk mengelola, mengukur, dan melaporkan kinerja secara terukur dan transparan. Sistem ini bertujuan untuk mewujudkan pemerintahan yang akuntabel, efektif, dan efisien, serta memberikan pertanggungjawaban atas penggunaan anggaran dan pencapaian tujuan organisasi kepada masyarakat.</t>
  </si>
  <si>
    <t>Peraturan Presiden Nomor 29 Tahun 2014 tentang Sistem Akuntabilitas Kinerja Instansi Pemerintah, serta peraturan pelaksanaannya seperti Peraturan Menteri Pendayagunaan Aparatur Negara dan Reformasi Birokrasi Nomor 88 Tahun 2021 tentang Evaluasi Akuntabilitas Kinerja Instansi Pemerintah</t>
  </si>
  <si>
    <t>Data Akuntabilitas Kinerja</t>
  </si>
  <si>
    <t>SIAKANG</t>
  </si>
  <si>
    <r>
      <rPr>
        <rFont val="Arial, sans-serif"/>
        <color rgb="FF1155CC"/>
        <sz val="11.0"/>
        <u/>
      </rPr>
      <t>siakang.bandungkab.go.id</t>
    </r>
  </si>
  <si>
    <t>Bagian Organisasi</t>
  </si>
  <si>
    <r>
      <rPr>
        <rFont val="Arial, sans-serif"/>
        <color rgb="FF1155CC"/>
        <sz val="11.0"/>
        <u/>
      </rPr>
      <t xml:space="preserve">IRMA PURNAMA, S.STP, </t>
    </r>
    <r>
      <rPr>
        <rFont val="Arial, sans-serif"/>
        <color rgb="FF1155CC"/>
        <sz val="11.0"/>
        <u/>
      </rPr>
      <t>M.Tr</t>
    </r>
    <r>
      <rPr>
        <rFont val="Arial, sans-serif"/>
        <color rgb="FF1155CC"/>
        <sz val="11.0"/>
        <u/>
      </rPr>
      <t>.A.P</t>
    </r>
  </si>
  <si>
    <t>Layanan Reformasi Birokrasi</t>
  </si>
  <si>
    <t>Fungsi utama layanan Reformasi Birokrasi (RB) di Kabupaten Bandung adalah meningkatkan birokrasi yang bersih dan akuntabel, pelayanan publik yang prima, serta efektivitas kelembagaan agar menjadi organisasi yang adaptif, inovatif, dan berintegritas tinggi dalam melayani masyarakat. Tujuannya adalah menciptakan aparatur negara yang profesional, profesional, dan sejahtera, yang bekerja dengan integritas tinggi untuk memberikan pelayanan terbaik kepada masyarakat.</t>
  </si>
  <si>
    <t>Perpres No. 81 Tahun 2010 tentang Grand Design RB, Perbup No. 286 Tahun 2022 tentang Roadmap Reformasi Birokrasi Kabupaten Bandung.</t>
  </si>
  <si>
    <t>Data Capaian dan Evidence setiap Indikator RB</t>
  </si>
  <si>
    <t>Indeks Reformasi Birokrasi (IRB)</t>
  </si>
  <si>
    <t>SURABI</t>
  </si>
  <si>
    <r>
      <rPr>
        <rFont val="Arial, sans-serif"/>
        <color rgb="FF1155CC"/>
        <sz val="11.0"/>
        <u/>
      </rPr>
      <t>https://surabi.jabarprov.go.id/</t>
    </r>
  </si>
  <si>
    <r>
      <rPr>
        <rFont val="Arial, sans-serif"/>
        <color rgb="FF1155CC"/>
        <sz val="11.0"/>
        <u/>
      </rPr>
      <t xml:space="preserve">IRMA PURNAMA, S.STP, </t>
    </r>
    <r>
      <rPr>
        <rFont val="Arial, sans-serif"/>
        <color rgb="FF1155CC"/>
        <sz val="11.0"/>
        <u/>
      </rPr>
      <t>M.Tr</t>
    </r>
    <r>
      <rPr>
        <rFont val="Arial, sans-serif"/>
        <color rgb="FF1155CC"/>
        <sz val="11.0"/>
        <u/>
      </rPr>
      <t>.A.P</t>
    </r>
  </si>
  <si>
    <t>Layanan Survey Kepuasan Masyarakat</t>
  </si>
  <si>
    <t>Fungsi utama layanan Survey Kepuasan Masyarakat (SKM) di Kabupaten Bandung adalah mengukur tingkat kepuasan masyarakat terhadap kualitas layanan publik yang diberikan oleh instansi pemerintah daerah, guna mengidentifikasi kelemahan dan kekurangan untuk selanjutnya menetapkan kebijakan dan tindakan perbaikan yang bertujuan meningkatkan kualitas pelayanan di masa mendatang.</t>
  </si>
  <si>
    <t>Undang-Undang Nomor 25 Tahun 2009 tentang Pelayanan Publik dan Peraturan Menteri Pendayagunaan Aparatur Negara dan Reformasi Birokrasi (PermenPAN-RB) Nomor 14 Tahun 2017 tentang Pedoman Penyusunan Survei Kepuasan Masyarakat Unit Penyelenggara Pelayanan Publik.</t>
  </si>
  <si>
    <t>Hasil Survei Kepuasan Masyarakat</t>
  </si>
  <si>
    <t>Nilai Survei Kepuasan Masyarakat</t>
  </si>
  <si>
    <t>E-SKM</t>
  </si>
  <si>
    <r>
      <rPr>
        <rFont val="Arial, sans-serif"/>
        <color rgb="FF1155CC"/>
        <sz val="11.0"/>
        <u/>
      </rPr>
      <t>https://skm.bandungkab.go.id/</t>
    </r>
  </si>
  <si>
    <t>RAFSANJANI M. AMIN, S.STP</t>
  </si>
  <si>
    <t>Layanan Tambahan Penghasilan ASN</t>
  </si>
  <si>
    <t>Tujuannya untuk menyusun Kepbup besaran TPP-ASN dan Memberi kemudahan dalam penyusunan TPP-ASN dan mengontrol realisasi TPP setiap Perangkat Daerah</t>
  </si>
  <si>
    <t>Pasal 58-PP 12/2019 Tentang PENGELOLAAN KEUANGAN DAERAH,
 Permendagri 14/2025 Tentang PEDOMAN PENYUSUNAN ANGGARAN PENDAPATAN DAN BELANJA DAERAH TAHUN ANGGARAN 2026
 Kepmendagri 900.1.3.2-1287 Tahun 2024 Tentang Tata Cara Persetujuan Menteri Dalam Negeri Terhadap Pemberian Tambahan Penghasilan Pegawai Aparatur Sipil Negara di Pemerintah Daerah</t>
  </si>
  <si>
    <t>Data Jabatan, Jumlah Pegawai dan Pagu Anggaran</t>
  </si>
  <si>
    <t>Keputusan Bupati Tentang Besaran TPP-ASN</t>
  </si>
  <si>
    <t>SITAMPAN</t>
  </si>
  <si>
    <r>
      <rPr>
        <rFont val="Arial, sans-serif"/>
        <color rgb="FF1155CC"/>
        <sz val="11.0"/>
        <u/>
      </rPr>
      <t>https://sitampan-insaba.web.app/</t>
    </r>
  </si>
  <si>
    <t>Belum Terintegrasi</t>
  </si>
  <si>
    <r>
      <rPr>
        <rFont val="Arial, sans-serif"/>
        <color rgb="FF1155CC"/>
        <sz val="11.0"/>
        <u/>
      </rPr>
      <t xml:space="preserve">IRMA PURNAMA, S.STP, </t>
    </r>
    <r>
      <rPr>
        <rFont val="Arial, sans-serif"/>
        <color rgb="FF1155CC"/>
        <sz val="11.0"/>
        <u/>
      </rPr>
      <t>M.Tr</t>
    </r>
    <r>
      <rPr>
        <rFont val="Arial, sans-serif"/>
        <color rgb="FF1155CC"/>
        <sz val="11.0"/>
        <u/>
      </rPr>
      <t>.A.P</t>
    </r>
  </si>
  <si>
    <t>BAGIAN PROKOPIM</t>
  </si>
  <si>
    <t>Layanan Informasi Agenda Pimpinan</t>
  </si>
  <si>
    <t>Fungsi Utama layanan agenda pimpinan adalah agar PD dan ASN di pemerintah kabupaten bandung dapat dengan mudah melihat detail jadwal Bapak Bupati dan mengajukan permohonan untuk mengundang Bapak Bupati</t>
  </si>
  <si>
    <t>Data Pengajuan Agenda</t>
  </si>
  <si>
    <t>Data Agenda Pimpinan</t>
  </si>
  <si>
    <t>SIAGAN BEDAS</t>
  </si>
  <si>
    <r>
      <rPr>
        <rFont val="Arial, sans-serif"/>
        <color rgb="FF1155CC"/>
        <sz val="11.0"/>
        <u/>
      </rPr>
      <t>https://play.google.com/store/apps/details?id=com.diskominfo.siagan_bedas&amp;hl=id</t>
    </r>
  </si>
  <si>
    <t>Bagian Prokopim</t>
  </si>
  <si>
    <t>Ira</t>
  </si>
  <si>
    <t>Analisi Media Monitoring</t>
  </si>
  <si>
    <t>Data berita dan sosial media</t>
  </si>
  <si>
    <t>Statistik Data berita &amp; sosial medi</t>
  </si>
  <si>
    <t>SIMANIS</t>
  </si>
  <si>
    <t>{{need url}}</t>
  </si>
  <si>
    <t>Web Prokopim</t>
  </si>
  <si>
    <t>Vita</t>
  </si>
  <si>
    <t>62 813-1222-9386</t>
  </si>
  <si>
    <t>Semua</t>
  </si>
  <si>
    <t>BAGIAN TAPEM</t>
  </si>
  <si>
    <t>Layanan Informasi Nama Rupabumi</t>
  </si>
  <si>
    <t>Fungsi utama layanan aplikasi adalah melaksanakan Penyelenggaraan Nama Rupabumi pada tahapan pendataan Nama Rupabumi dan penelaaahan Nama Rupabumi dengan output berupa Nama Rupabumi baku beserta atributnya sebagai dasar penyusunan Gazeter RI</t>
  </si>
  <si>
    <t>PP Nomor 2 Tahun 2021 tentang Penyelenggaraan Nama Rupabumi</t>
  </si>
  <si>
    <t>Objek Rupabumi buatan dan alami</t>
  </si>
  <si>
    <t>Nama Rupabumi Baku</t>
  </si>
  <si>
    <t>SINAR</t>
  </si>
  <si>
    <r>
      <rPr>
        <rFont val="Arial, sans-serif"/>
        <color rgb="FF1155CC"/>
        <sz val="11.0"/>
        <u/>
      </rPr>
      <t>Sinar.big.go.id</t>
    </r>
  </si>
  <si>
    <t>Tim Pembakuan Nama Rupabumi Kab. Bandung (Sekretariat: Bagian Tata Pemerintahan)</t>
  </si>
  <si>
    <r>
      <rPr>
        <rFont val="Arial, sans-serif"/>
        <color rgb="FF1155CC"/>
        <sz val="11.0"/>
        <u/>
      </rPr>
      <t xml:space="preserve">Gugum Gumilar, S.STP., </t>
    </r>
    <r>
      <rPr>
        <rFont val="Arial, sans-serif"/>
        <color rgb="FF1155CC"/>
        <sz val="11.0"/>
        <u/>
      </rPr>
      <t>M.Si</t>
    </r>
  </si>
  <si>
    <t>0819-1001-1980</t>
  </si>
  <si>
    <t>admkewilayah@gmail.com</t>
  </si>
  <si>
    <t>Layanan Laporan Penyelenggaraan Pemerintahan Daerah</t>
  </si>
  <si>
    <t>Sebagai sistem aplikasi terpusat yang mempermudah Pemerintah Daerah (Provinsi, Kabupaten, Kota) untuk menyampaikan Laporan Penyelenggaraan Pemerintahan Daerah (LPPD) dan melakukan evaluasi secara online dan real-time, sehingga menghasilkan satu data yang akurat, mengurangi redundansi data, dan mempercepat penyebaran informasi pelaporan</t>
  </si>
  <si>
    <t>Peraturan Menteri Dalam Negeri Nomor 19 Tahun 2024 tentang Peraturan Pelaksana Peraturan Pemerintah Nomor 13 Tahun 2019 tentang Laporan dan Evaluasi Penyelenggaraan Pemerintahan Daerah;</t>
  </si>
  <si>
    <t>Laporan Penyelenggaraan Pemerintahan Daerah (LPPD)</t>
  </si>
  <si>
    <t>SILPPD</t>
  </si>
  <si>
    <r>
      <rPr>
        <rFont val="Arial, sans-serif"/>
        <color rgb="FF1155CC"/>
        <sz val="11.0"/>
        <u/>
      </rPr>
      <t>https://elppd.kemendagri.go.id/</t>
    </r>
  </si>
  <si>
    <t>Bagian Tata Pemerintahan</t>
  </si>
  <si>
    <t>Setda, Disdik, Dinkes, DPUTR, Disperkimtan, Dinsos, Disdamkar, Satpol PP, BPBD, Inspektorat, Disnaker, DP2KBP3A, DLH, Disdukcapil, DPMD, Dishub, Diskominfo, DPMPTSP, Dispora, Disperdagin, Distan, Dispakan, Disbud, DISKOP-UKM, Dispusip, Disparekraf, BKAD, BKPSDM</t>
  </si>
  <si>
    <r>
      <rPr>
        <rFont val="Arial, sans-serif"/>
        <color rgb="FF1155CC"/>
        <sz val="11.0"/>
        <u/>
      </rPr>
      <t xml:space="preserve">Gugum Gumilar, S.STP., </t>
    </r>
    <r>
      <rPr>
        <rFont val="Arial, sans-serif"/>
        <color rgb="FF1155CC"/>
        <sz val="11.0"/>
        <u/>
      </rPr>
      <t>M.Si</t>
    </r>
  </si>
  <si>
    <t>Layanan Pelaporan Standar Pelayanan Minimal (SPM) Ditjen Bina Pembangunan Daerah Kementerian Dalam Negeri</t>
  </si>
  <si>
    <t>Sebagai dasar untuk melakukan monitoring dan evaluasi terpadu, mengelola data dan menganalisis capaian penerapan SPM di daerah, serta menjadi alat untuk mengkoordinasikan implementasi SPM antara pemerintah pusat dan daerah agar pelayanan dasar yang diberikan kepada masyarakat sesuai dengan ketentuan yang berlaku</t>
  </si>
  <si>
    <t>Peraturan Menteri Dalam Negeri Nomor 59 Tahun 2021 Tentang Penerapan Standar Pelayanan Minimal</t>
  </si>
  <si>
    <t>Laporan Penerapan Standar Pelayanan Minimal (SPM)</t>
  </si>
  <si>
    <t>e-SPM</t>
  </si>
  <si>
    <r>
      <rPr>
        <rFont val="Arial, sans-serif"/>
        <color rgb="FF1155CC"/>
        <sz val="11.0"/>
        <u/>
      </rPr>
      <t>https://spm.bangda.kemendagri.go.id/</t>
    </r>
  </si>
  <si>
    <t>Setda, Disdik, Dinkes, DPUTR, Disperkimtan, BPBD, Disdamkar, Satpol PP</t>
  </si>
  <si>
    <r>
      <rPr>
        <rFont val="Arial, sans-serif"/>
        <color rgb="FF1155CC"/>
        <sz val="11.0"/>
        <u/>
      </rPr>
      <t xml:space="preserve">Gugum Gumilar, S.STP., </t>
    </r>
    <r>
      <rPr>
        <rFont val="Arial, sans-serif"/>
        <color rgb="FF1155CC"/>
        <sz val="11.0"/>
        <u/>
      </rPr>
      <t>M.Si</t>
    </r>
  </si>
  <si>
    <t>BAGIAN KESRA</t>
  </si>
  <si>
    <t>Layanan informasi publik</t>
  </si>
  <si>
    <t>Keterbukaan informasi publik merupakan sarana dalam mengoptimalkan pengawasan publik terhadap penyelenggaraan negara dan Badan Publik lainnya dan segala sesuatu yang berakibat pada kepentingan publik sebagaimana yang diamanatkan dalam Undang-Undang Nomor 14 Tahun 2008</t>
  </si>
  <si>
    <t>Undang-Undang Nomor 14 Tahun 2008</t>
  </si>
  <si>
    <t>Data Informasi Publik</t>
  </si>
  <si>
    <r>
      <rPr>
        <rFont val="Arial, sans-serif"/>
        <color rgb="FF1155CC"/>
        <u/>
      </rPr>
      <t>https://ppid.bandungkab.go.id/</t>
    </r>
  </si>
  <si>
    <t>Bagian Kesra</t>
  </si>
  <si>
    <t>BAGIAN HUKUM</t>
  </si>
  <si>
    <t>Layanan Pengajuan Produk Hukum</t>
  </si>
  <si>
    <t>Sipphade, yang juga disebut BEDAS Sipphade (akronim dari “Sistem Informasi Penyusunan Produk Hukum Daerah”), adalah sebuah aplikasi digital yang diluncurkan oleh Pemerintah Kabupaten Bandung. Aplikasi ini dirancang untuk:Mempermudah proses pengajuan produk hukum daerah oleh perangkat daerah.</t>
  </si>
  <si>
    <t>Undang-Undang Nomor 12 Tahun 2011 tentang Pembentukan Peraturan Perundang-Undangan sebagaimana telah diubah dengan Undang-Undang Nomor 13 Tahun 2022 tentang Perubahan Kedua atas Undang-Undang Nomor 12 Tahun 2011 tentang Pembentukan Peraturan Perundang-Undangan</t>
  </si>
  <si>
    <t>Identitas Perangkat Daerah Pengusul</t>
  </si>
  <si>
    <t>surat keputusan</t>
  </si>
  <si>
    <t>SIPPHADE</t>
  </si>
  <si>
    <r>
      <rPr>
        <rFont val="Arial, sans-serif"/>
        <color rgb="FF1155CC"/>
        <sz val="11.0"/>
        <u/>
      </rPr>
      <t>https://sipphade.bandungkab.go.id/</t>
    </r>
  </si>
  <si>
    <t>TERINTERGRASI DENGAN E OFFICE DAN BSRE</t>
  </si>
  <si>
    <t>Bagian Hukum Sekretariat Daerah Kabupaten Bandung</t>
  </si>
  <si>
    <t>DADAN SUNANDAR, SH</t>
  </si>
  <si>
    <t>baghukum17@gmail.com</t>
  </si>
  <si>
    <t>Layanan Penanganan litigasi Hukum bedas</t>
  </si>
  <si>
    <t>Sistem Penanganan litigasi Hukum bedas</t>
  </si>
  <si>
    <t>para pihak yang berperkara</t>
  </si>
  <si>
    <t>panggilan sidang</t>
  </si>
  <si>
    <t>SIPATUHBEDAS</t>
  </si>
  <si>
    <r>
      <rPr>
        <rFont val="Arial, sans-serif"/>
        <color rgb="FF1155CC"/>
        <sz val="11.0"/>
        <u/>
      </rPr>
      <t>https://sipatuhbedas.bandungkab.go.id/</t>
    </r>
  </si>
  <si>
    <t>bagian Hukum Sekretariat Daerah Kabupaten Bandung</t>
  </si>
  <si>
    <t>ZAENAL MUTTAQIN,SH</t>
  </si>
  <si>
    <t>zaenal1972.zm@gmail.com</t>
  </si>
  <si>
    <t>BAGIAN KERJA SAMA</t>
  </si>
  <si>
    <t>Layanan Fasilitasi Kerja Sama Daerah</t>
  </si>
  <si>
    <t>Mempercepat transformasi digital dalam tata kelola pemerintahan dan penyusunan peraturan perundang-undangan.</t>
  </si>
  <si>
    <t>PP No 28 Tahun 2018 tentang Kerja Sama Daerah. Permendagri No 22 Tahun 2020 tentang Tata Cara Kerja Sama Daerah dengan Daerah Lain dan Kerja Sama Daerah dengan Pihak Ketiga, Permendagri No 25 Tahun 2020 tentang Tata Cara Kerja Sama Daerah dengan Pemerintah Daerah di Luar Negeri dan Kerja Sama Daerah dengan Lembaga di Luar Negeri</t>
  </si>
  <si>
    <t>Ada sesuai Keputusan Sekretaris Dearah No.415.4/KEP.25-KSM/2023 tentang Penetapan Standar Operasional Prosedur Kerja Sama Daerah di Lingkungan Pemerintah Kabupaten Bandung</t>
  </si>
  <si>
    <t>Pelaku Bisnis, Masyarakat, Pegawai, Instansi Pemerintah Lainnya</t>
  </si>
  <si>
    <t>Data Pengguna, data persyaratan permohonan kerja sama, laporan dan perencanaan</t>
  </si>
  <si>
    <t>Data kerja sama, data permohonan, data perencanaan dan data laporan</t>
  </si>
  <si>
    <t>SiBERKAH</t>
  </si>
  <si>
    <r>
      <rPr>
        <rFont val="Arial, sans-serif"/>
        <color rgb="FF1155CC"/>
        <sz val="11.0"/>
        <u/>
      </rPr>
      <t>kerjasama.bandungkab.go.id</t>
    </r>
  </si>
  <si>
    <t>BDS</t>
  </si>
  <si>
    <t>Bagian Kerja Sama SETDA</t>
  </si>
  <si>
    <t>Ir. Elis Kusmawati,MM</t>
  </si>
  <si>
    <t>kerjasamabandungkab@gmail.com</t>
  </si>
  <si>
    <t>harian</t>
  </si>
  <si>
    <t>data kerjasama daerah dengan daerah atau daerah dengan pihak ketiga perangkat daerah sudah punya admin sendiri pengguna mitra kerja dan perangkat daerah, kabupaten lain Mitra kerja itu perangkat daerah lain dan oerguruan tinggi</t>
  </si>
  <si>
    <t>BAGIAN PEREKONOMIAN</t>
  </si>
  <si>
    <t>Layanan informasi data terkait penyerapan KUR untuk UMKM Kabupaten Bandung</t>
  </si>
  <si>
    <t>Meningkatkan kapasitas SDM (sumber daya manusia) yang merancang produk hukum.</t>
  </si>
  <si>
    <t>keputusan bupati bandung nomor 500/KEP..671-Perek/2017 tentang pembentukan tim inflasi darah kabupaten bandung</t>
  </si>
  <si>
    <t>dataUMKM yang membutuhkan KUR</t>
  </si>
  <si>
    <t>data UMKM yang telah menerima KUR</t>
  </si>
  <si>
    <t>SIKP</t>
  </si>
  <si>
    <r>
      <rPr>
        <rFont val="Arial, sans-serif"/>
        <color rgb="FF1155CC"/>
        <sz val="11.0"/>
        <u/>
      </rPr>
      <t>https://sikp.kemenkeu.go.id/login</t>
    </r>
  </si>
  <si>
    <t>bagian perekonomian</t>
  </si>
  <si>
    <t>herrier mustari</t>
  </si>
  <si>
    <t>usmankaryana1961@gmail.com</t>
  </si>
  <si>
    <t>Layanan informasi dan penginputan realisasi terkait program percepatan keuangan daerah</t>
  </si>
  <si>
    <t>keputusan bupati bandung nomor 539/Kep.481-Perek/2021 tentang pembentukan tim percepatan akses keuangan daerah kabupaten bandung</t>
  </si>
  <si>
    <t>target dan realisasi program percepatan akses keuangan daerah</t>
  </si>
  <si>
    <t>realisasi program percepatan akses keuangan daerah</t>
  </si>
  <si>
    <t>SITPAKD</t>
  </si>
  <si>
    <r>
      <rPr>
        <rFont val="Arial, sans-serif"/>
        <color rgb="FF1155CC"/>
        <sz val="11.0"/>
        <u/>
      </rPr>
      <t>https://sitpakd.ojk.go.id/Account/Login</t>
    </r>
  </si>
  <si>
    <t>Layanan penginputan rencana kerja anggaran, laporan hasil kegiatan dan realisasi DBHCHT</t>
  </si>
  <si>
    <t>Meningkatkan kualitas produk hukum agar sesuai tujuan seperti kepastian hukum, manfaat, dan keadilan bagi pemangku kepentingan</t>
  </si>
  <si>
    <t>KEPUTUSAN BUPATI BANDUNG NOMOR : 900.1.14.3/KEP.746-PEREK/2024 Penetapan Pagu Alokasi Dana Bagi Hasil Cukai Hasil Tembakau Bagian Pemerintah Daerah Kabupaten Bandung Tahun Anggaran 2025 dan KEPUTUSAN BUPATI BANDUNG NOMOR : 000.8.1.1/KEP.738-PEREK/202 TIM KOORDINASI PENGELOLAAN DANA BAGI HASIL CUKAI HASIL TEMBAKAU
 DAERAH KABUPATEN BANDUNG TAHUN 2025</t>
  </si>
  <si>
    <t>realisasi dan laporan hasil kegiatan DBHCHT</t>
  </si>
  <si>
    <t>e-DBHCHT</t>
  </si>
  <si>
    <r>
      <rPr>
        <rFont val="Arial, sans-serif"/>
        <color rgb="FF1155CC"/>
        <sz val="11.0"/>
        <u/>
      </rPr>
      <t>https://www.appsheet.com/Account/Login?appName=DBHCHT%20App&amp;FullScope=False&amp;provider=google&amp;returnUrl=https%3A%2F%2Fwww.appsheet.com%2Fstart%2F93891b63-df85-4aa1-a7bf-d007dfa96cf8%3Fplatform%3Ddesktop#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t>
    </r>
  </si>
  <si>
    <t>selly rossela</t>
  </si>
  <si>
    <t>1. Meningkatkan Efektivitas dan Efisiensi kerja Pimpinan.
 2. Mempermudah koordinasi eksternal.
 3. Transparansi dan akuntabilitas.
 4. Dokumentasi dan arsip digital.
 5. Mendukung pengambilan keputusan.
 6. Memudahkan akses dan mobilitas.</t>
  </si>
  <si>
    <t>SIKD</t>
  </si>
  <si>
    <r>
      <rPr>
        <rFont val="Arial, sans-serif"/>
        <color rgb="FF1155CC"/>
        <sz val="11.0"/>
        <u/>
      </rPr>
      <t>https://sikd.djpk.kemenkeu.go.id/lapordbh/</t>
    </r>
  </si>
  <si>
    <t>Layanan Informasi pemerintah Daerah</t>
  </si>
  <si>
    <t>Pasal 391 Undang-Undang Nomor 23 Tahun 2014 tentang Pemerintahan Daerah</t>
  </si>
  <si>
    <t>data realisasi keuangan dan anggaran</t>
  </si>
  <si>
    <r>
      <rPr>
        <rFont val="Arial, sans-serif"/>
        <color rgb="FF1155CC"/>
        <sz val="11.0"/>
        <u/>
      </rPr>
      <t>https://SIPD.kemendagri.go.id/auth/login</t>
    </r>
  </si>
  <si>
    <t>HERRIER MUSTARI, MM</t>
  </si>
  <si>
    <t>Layanan realisasi pengendalian inflasi per triwulan</t>
  </si>
  <si>
    <t>keputusan bupati bandung nomor 500/KEP.671-Perek/2017 tentang pembentukan tim inflasi Daerah</t>
  </si>
  <si>
    <t>laporan pertriwulan pengendalian inflasi daerah</t>
  </si>
  <si>
    <t>TPIN</t>
  </si>
  <si>
    <r>
      <rPr>
        <rFont val="Arial, sans-serif"/>
        <color rgb="FF1155CC"/>
        <sz val="11.0"/>
        <u/>
      </rPr>
      <t>https://tpin.id/login</t>
    </r>
  </si>
  <si>
    <t>MUHAMAD IFAN HERMANTO, S.E</t>
  </si>
  <si>
    <t>Layanan laporan realisasi proram reformasi birokrasi di tiap bagian</t>
  </si>
  <si>
    <t>PORTALRB</t>
  </si>
  <si>
    <r>
      <rPr>
        <rFont val="Arial, sans-serif"/>
        <color rgb="FF1155CC"/>
        <sz val="11.0"/>
        <u/>
      </rPr>
      <t>https://www.portalrb.id/</t>
    </r>
  </si>
  <si>
    <t>Layanan analisis kebutuhan jabatan dan analisis beban kerja</t>
  </si>
  <si>
    <t>keputusan sekretaris daerah nomor 800/Kep.29-Umum/2022 tentang pembentukan tim penyusunan analisis jabatan (ANJAB)analisis beban kerja (ABK) evaluasi jabatan (EVJAB) dan standar kompetensi jabatan ASN pada sekretariat daerah kabupaten bandung</t>
  </si>
  <si>
    <t>hasil analisis jabatan, beban kinerja dan evaluasi jabatan</t>
  </si>
  <si>
    <t>BISAKERJA</t>
  </si>
  <si>
    <r>
      <rPr>
        <rFont val="Arial, sans-serif"/>
        <color rgb="FF1155CC"/>
        <sz val="11.0"/>
        <u/>
      </rPr>
      <t>https://bisakerja.bandungkab.go.id/login</t>
    </r>
  </si>
  <si>
    <t>LIES BETTY HIDAYANTI, SE</t>
  </si>
  <si>
    <t>Layanan Laporan Keuangan BUMD</t>
  </si>
  <si>
    <t>Peraturan Pemerintah Nomor 54 Tahun 2017 tentang Badan Usaha Milik Daerah (BUMD)</t>
  </si>
  <si>
    <t>Laporan Keuangan BUMD</t>
  </si>
  <si>
    <t>e-BUMD</t>
  </si>
  <si>
    <r>
      <rPr>
        <rFont val="Arial, sans-serif"/>
        <color rgb="FF1155CC"/>
        <sz val="11.0"/>
        <u/>
      </rPr>
      <t>http://e-bumd.com//dashboard</t>
    </r>
  </si>
  <si>
    <t>ROBBY IRAWAN, S.Sos</t>
  </si>
  <si>
    <t>BAGIAN ADBANG</t>
  </si>
  <si>
    <t>Layanan Administrasi Pembangunan</t>
  </si>
  <si>
    <t>Membantu memfasilitasi perangkat daerah dalam informasi yang berkaitan dengan kegiatan pembangunan fisik/non fisik di lingkup Pemerintah Daerah Kabupaten Bandung yang bertujuan untuk mendorong terciptanya mekanisme informasi pembangunan yang berkualitas dan tertib administrasi</t>
  </si>
  <si>
    <t>PP No. 26 Tahun 2006 Tentang Tata Cara Pengendalian dan Evaluasi Pelaksanaan Rencana Pembangunan; PP No. 38 Tahun 2019 Tantang Inovasi Daerah; Perpres No. 95 Tahun 2018 Tentang Sistem Pemerintahan Berbasis Elektronik; Peraturan Bupati No 281 Tahun 2023 Tentang Penerapan Inovasi Berupa Pelaksanaan Monitoring Kegiatan Pembangunan Daerah Melalui Sistem Informasi Manajemen Administrasi Pembangunan; Peraturan Bupati No. 281 Tahun 2023 Tentang Penerapan Inovasi Berupa Pelaksanaan Monitoring Kegiatan Pembangunan Daerah Melalui Sistem Informasi Manajemen Administrasi Pembangunan; Keputusan Bupati Bandung No. 500.12/KEP.754-ADBANG/2024 Tentang Penetapan Pengelola Sistem Informasi Manajemen Administrasi Pembangunan Kabupaten Bandung.</t>
  </si>
  <si>
    <r>
      <rPr>
        <rFont val="Arial, sans-serif"/>
        <color rgb="FF1155CC"/>
        <sz val="11.0"/>
        <u/>
      </rPr>
      <t xml:space="preserve">SOP Simbangun: </t>
    </r>
    <r>
      <rPr>
        <rFont val="Arial, sans-serif"/>
        <color rgb="FF1155CC"/>
        <sz val="11.0"/>
        <u/>
      </rPr>
      <t>https://drive.google.com/drive/folders/1uT9c4NGjI41uZyGgKpyquckLoM2rSaQa?usp=sharing</t>
    </r>
  </si>
  <si>
    <t>Data Tenaga Ahli, Data Tenaga Terampil, Data Badan Usaha, Data Quarry, Data Lab. Uji Konstruksi, Data Sewa Alat, Data Paket Pekerjaan, Data Progres Paket Pekerjaan, BPJS</t>
  </si>
  <si>
    <t>Kurva-S, Diagram Rekap Data, Tagging Kordinat Lokasi dan Dokumentasi</t>
  </si>
  <si>
    <t>SIMBANGUN</t>
  </si>
  <si>
    <r>
      <rPr>
        <rFont val="Arial, sans-serif"/>
        <color rgb="FF1155CC"/>
        <sz val="11.0"/>
        <u/>
      </rPr>
      <t>https://simbangun.bandungkab.go.id</t>
    </r>
  </si>
  <si>
    <t>Link ke Amel, sireka</t>
  </si>
  <si>
    <t>Bagian Administrasi Pembangunan</t>
  </si>
  <si>
    <t>Wawan Purwanto, ST.</t>
  </si>
  <si>
    <t>wawan.purwanto3@gmail.com</t>
  </si>
  <si>
    <t>OPD, Kecamatan</t>
  </si>
  <si>
    <t>Layanan Evaluasi Pelaporan Program Pembangunan</t>
  </si>
  <si>
    <t>Untuk mengevaluasi pencapaian hasil dari program pembangunan yang telah dilaksanakan. Ini melibatkan analisis terhadap kinerja program, dampak terhadap masyarakat, efisiensi penggunaan sumber daya, dan ketaatan terhadap peraturan.</t>
  </si>
  <si>
    <t>Peraturan Pemerintah Nomor 13
 Tahun 2019 dan Peraturan Menteri Dalam Negeri No. 18 Tahun 2020</t>
  </si>
  <si>
    <t>Data Evaluasi Program Pembangunan</t>
  </si>
  <si>
    <t>LKPJ, Tugas Perbantuan, DAK</t>
  </si>
  <si>
    <t>e-LKPJ</t>
  </si>
  <si>
    <r>
      <rPr>
        <rFont val="Arial, sans-serif"/>
        <color rgb="FF1155CC"/>
        <u/>
      </rPr>
      <t>https://e-lkpj.id/bandungkab/web/index.php?r=dashboard%2Flogin</t>
    </r>
  </si>
  <si>
    <t>BAGIAN BARJAS</t>
  </si>
  <si>
    <t>Layanan Pengadaaan Barang dan Jasa</t>
  </si>
  <si>
    <t>meningkatkan kualitas layanan,
 kapasitas dan keamanan informasi dalam
 penyelenggaraan layanan pengadaan Barang/Jasa
 secara elektronik dan memfasilitasi pelaksanaan Pengadaan Barang/Jasa secara elektronik</t>
  </si>
  <si>
    <t>Perpres Nomor 46 Tahun 2025 tentang Perubahan Kedua atas Peraturan Presiden Nomor 16 Tahun 2018 tentang Pengadaan Barang/Jasa Pemerintah</t>
  </si>
  <si>
    <r>
      <rPr>
        <rFont val="Arial, sans-serif"/>
        <color rgb="FF1155CC"/>
        <sz val="11.0"/>
        <u/>
      </rPr>
      <t>https://drive.google.com/file/d/1bfEasna0yACDkjKfdw6Q1Zy2Ku88gtKx/view?usp=sharing</t>
    </r>
  </si>
  <si>
    <t>Proses Pengadaan Barang/Jasa Tender dan Non Tender, Akun PA/KPA, PPK dan Penyedia</t>
  </si>
  <si>
    <t>Data Pengadaan Barang/Jasa yang dilaksakan secara Tender dan Non Tender</t>
  </si>
  <si>
    <t>SPSE</t>
  </si>
  <si>
    <r>
      <rPr>
        <rFont val="Arial, sans-serif"/>
        <color rgb="FF1155CC"/>
        <sz val="11.0"/>
        <u/>
      </rPr>
      <t>https://spse.inaproc.id/bandungkab</t>
    </r>
  </si>
  <si>
    <t>Bagian Pengadaan Barang/Jasa</t>
  </si>
  <si>
    <t>Ana Suryana, ST., MM.</t>
  </si>
  <si>
    <t>helpdesk.bandung.kab@gmail.com</t>
  </si>
  <si>
    <t>BAGIAN SDA</t>
  </si>
  <si>
    <t>Layanan Satgas Percepatan Penyelenggaraan MBG Kabupaten Bandung</t>
  </si>
  <si>
    <t>1. Mengatur, mendokumentasikan, dan menyimpan seluruh dokumen 
 administrasi yang berkaitan dengan pelaksanaan program, seperti 
 notulen rapat, surat-menyurat, laporan, dan arsip lainnya;
 2. Memfasilitasi komunikasi dan koordinasi antar anggota Satuan 
 Tugas serta dengan pihak-pihak terkait lainnya agar informasi 
 tersampaikan dengan baik dan tepat waktu;
 3. Menyusun dan mengatur jadwal rapat, kunjungan lapangan, dan 
 kegiatan Satuan Tugas lainnya, serta memastikan pelaksanaan 
 kegiatan sesuai dengan jadwal yang ditetapkan;
 4. Membantu dalam penyusunan laporan pelaksanaan program, yang 
 akan disampaikan kepada pembina atau pengarah;
 5. Menyiapkan agenda rapat, mengundang peserta rapat, menyiapkan 
 bahan rapat, dan mencatat hasil rapat sebagai bahan tindak lanjut;
 6. Menjaga dan mengelola arsip data program makan siang bergizi 
 gratis untuk memudahkan akses informasi dan dokumentasi yang 
 dibutuhkan Satuan Tugas; dan
 7. Membantu dalam pengumpulan dan pendataan kebutuhan, 
 capaian, dan kendala pelaksanaan program makan siang bergizi 
 gratis.</t>
  </si>
  <si>
    <t>KEPUTUSAN BUPATI BANDUNG NOMOR : 000.8.1.1/KEP.465-HUK/2025 PEMBENTUKAN SATUAN TUGAS PERCEPATAN PENYELENGGARAAN 
 PROGRAM MAKAN SIANG BERGIZI GRATIS KABUPATEN BANDUNG</t>
  </si>
  <si>
    <t>Data Koordinasi dan Fasilitasi Pelaksanaan Program Pemerintah Daerah</t>
  </si>
  <si>
    <t>SK Pembentukan Satgas MBG Kabupaten BandungDokumen rencana kerja / rencana aksi percepatan penyelenggaraan MBG, Notulen atau berita acara rapat koordinasi Satgas MBG, Laporan pelaksanaan kegiatan Satgas, Laporan monitoring dan evaluasi pelaksanaan MBG, Rekomendasi kebijakan atau tindak lanjut percepatan MBG dan Data progres pelaksanaan program MBG di Kabupaten Bandung</t>
  </si>
  <si>
    <t>Dashboard Satgas MBG</t>
  </si>
  <si>
    <r>
      <rPr>
        <rFont val="Arial, sans-serif"/>
        <color rgb="FF1155CC"/>
        <sz val="11.0"/>
        <u/>
      </rPr>
      <t>https://aplikasi.bandungkab.go.id/publik/dashboard-pendataan-profil-sppg-aktif-untuk-satgas-mbg</t>
    </r>
  </si>
  <si>
    <t>Terintegrasi (Dashboard Pimpinan)</t>
  </si>
  <si>
    <t>bagian SDA</t>
  </si>
  <si>
    <t>Setda, Inspektorat, Disdik, Dinkes, DPUTR</t>
  </si>
  <si>
    <r>
      <rPr>
        <rFont val="Arial, sans-serif"/>
        <color rgb="FF1155CC"/>
        <sz val="11.0"/>
        <u/>
      </rPr>
      <t>RUSLI BAIJURI,</t>
    </r>
    <r>
      <rPr>
        <rFont val="Arial, sans-serif"/>
        <color rgb="FF1155CC"/>
        <sz val="11.0"/>
        <u/>
      </rPr>
      <t>AP.M.KP</t>
    </r>
  </si>
  <si>
    <t>bagsdasetdakabbandung@gmail.com</t>
  </si>
  <si>
    <t>Prioritas Nasional</t>
  </si>
  <si>
    <t>Desa, Kecamatan &amp; Kabupaten</t>
  </si>
  <si>
    <t>KEPUTUSAN BUPATI BANDUNG NOMOR : 900.1.14.3/KEP.657-PEREK/2025 PENETAPAN PAGU ALOKASI DANA BAGI HASIL CUKAI HASIL TEMBAKAU
 BAGIAN PEMERINTAH KABUPATEN BANDUNG TAHUN ANGGARAN 2026</t>
  </si>
  <si>
    <r>
      <rPr>
        <rFont val="Arial, sans-serif"/>
        <color rgb="FF1155CC"/>
        <sz val="11.0"/>
        <u/>
      </rPr>
      <t>https://www.appsheet.com/Account/Login?appName=DBHCHT%20App&amp;FullScope=False&amp;provider=google&amp;returnUrl=https%3A%2F%2Fwww.appsheet.com%2Fstart%2F93891b63-df85-4aa1-a7bf-d007dfa96cf8%3Fplatform%3Ddesktop#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t>
    </r>
  </si>
  <si>
    <t>Setda, Dinkes, Disnaker, Dinsos, Disperdagin, Distan, Satpol PP</t>
  </si>
  <si>
    <r>
      <rPr>
        <rFont val="Arial, sans-serif"/>
        <color rgb="FF1155CC"/>
        <sz val="11.0"/>
        <u/>
      </rPr>
      <t>RUSLI BAIJURI,</t>
    </r>
    <r>
      <rPr>
        <rFont val="Arial, sans-serif"/>
        <color rgb="FF1155CC"/>
        <sz val="11.0"/>
        <u/>
      </rPr>
      <t>AP.M.KP</t>
    </r>
  </si>
  <si>
    <t>SETWAN</t>
  </si>
  <si>
    <t>Layanan Penyerapan Asiparasi Masyarakat Kepada DPRD</t>
  </si>
  <si>
    <t>Layanan Penyerapan Aspirasi Masyarakat kepada DPRD memungkinkan warga Kabupaten Bandung untuk mengungkapkan aspirasi, usulan, dan kekhawatiran mereka kepada DPRD. Warga Kabupaten Bandung dapat dengan mudah menulis pesan atau mengirimkan keluhan terkait isu-isu seperti infrastruktur, pendidikan,kesehatan, lingkungan, dan lainnya.</t>
  </si>
  <si>
    <t>Peraturan Bupati Bandung Nomor 245 Tahun 2023 Tentang Layanan Aspirasi Masyarakat Secara Elektronik Melalui DPRD Bedas Mendengar Rakyat Bandung (D'Benderang)</t>
  </si>
  <si>
    <r>
      <rPr>
        <rFont val="Calibri, sans-serif"/>
        <color rgb="FF1155CC"/>
        <sz val="12.0"/>
        <u/>
      </rPr>
      <t>https://drive.google.com/file/d/1Xev2F7vScZDTlBaqHqPh8lzFUMNB_y8a/view?usp=sharing</t>
    </r>
  </si>
  <si>
    <t>Data Pengaduan dan Aspirasi Masyarakat</t>
  </si>
  <si>
    <t>D'benderang</t>
  </si>
  <si>
    <t>Hilmy Farhan</t>
  </si>
  <si>
    <t>Layanan Sistem Informasi Hukum DPRD</t>
  </si>
  <si>
    <t>Layanan Sistem Informasi Hukum DPRD merupakan layanan yang berada di Sekretariat DPRD yang memiliki manfaat agar seluruh masyarakat di kabupaten Bandung maupun Indonesia dapat mengakses seluruh produk hukum Peraturan Daerah (Perda), Peraturan DPRD, Surat Keputusan Pimpinan DPRD dan Surat Keputusan Sekretaris DPRD yang telah ditetapkan.</t>
  </si>
  <si>
    <t>Peraturan Presiden Nomor 33 Tahun 2012 tentang Jaringan Dokumentasi dan Informasi Hukum Nasional</t>
  </si>
  <si>
    <t>Data Keputusan dan Peraturan DPRD</t>
  </si>
  <si>
    <t>Bersih DPRD</t>
  </si>
  <si>
    <r>
      <rPr>
        <rFont val="Calibri, sans-serif"/>
        <color rgb="FF1155CC"/>
        <sz val="12.0"/>
        <u/>
      </rPr>
      <t>https://jdihdprd.bandungkab.go.id/</t>
    </r>
  </si>
  <si>
    <t>JDIH</t>
  </si>
  <si>
    <t>Bagian Persidangan dan Perundang-undangan</t>
  </si>
  <si>
    <t>HAIFA NUR GHAIDA, S.I.Kom</t>
  </si>
  <si>
    <t>Layanan Penerimaan Tamu DPRD</t>
  </si>
  <si>
    <t>Layanan Penerimaan Tamu DPRD merupakan Layanan penerimaan kunjungan Tamu baik DPRD maupun Sekretariat DPRD ke Kantor Sekretariat DPRD Kabupaten Bandung dalam rangka kunjungan kerja dan studi komparasi.</t>
  </si>
  <si>
    <t>Peraturan Bupati Bandung Nomor 49 Tahun 2016 Tentang Pengelolaan Tamu Dinas di Lingkungan Pemerintah Kabupaten Bandung</t>
  </si>
  <si>
    <t>Data Kunjungan Tamu DPRD</t>
  </si>
  <si>
    <r>
      <rPr>
        <rFont val="Calibri, sans-serif"/>
        <color rgb="FF1155CC"/>
        <sz val="12.0"/>
        <u/>
      </rPr>
      <t>https://aplikasi.bandungkab.go.id/publik/dashboard-kunjungan-dprd-kab-bandung</t>
    </r>
  </si>
  <si>
    <t>Dashboard Kabupaten Bandung</t>
  </si>
  <si>
    <t>NOOR DINA CAMELIA, S.I.Kom</t>
  </si>
  <si>
    <t>Layanan MCU DPRD</t>
  </si>
  <si>
    <t>Layanan MCU DPRD merupakan layanan pemeriksaan kesehatan kepada Anggota DPRD yang bertujuan untuk mengetahui status kesehatan di luar cakupan pelayanan kesehatan yang diberikan oleh Badan penyelenggara Jaminan Sosial Kesehatan</t>
  </si>
  <si>
    <t>Peraturan Pemerintah Republik Indonesia Nomor 18 Tahun 2017 Tentang Hak Keuangan dan Administratif Pimpinan dan Anggota DPRD</t>
  </si>
  <si>
    <t>Data MCU DPRD</t>
  </si>
  <si>
    <t>Bagian Program dan Keuangan</t>
  </si>
  <si>
    <t>THIA RAHMAWATI, S.E</t>
  </si>
  <si>
    <t>INSPEKTORAT</t>
  </si>
  <si>
    <t>Pengawasan real-time perkembangan proyek pembangunan fisik</t>
  </si>
  <si>
    <t>Pengawasan real-time perkembangan proyek pembangunan fisik, mulai dari perencanaan hingga serah terima. Aplikasi ini juga mendukung Bupati dalam memantau proyek secara langsung serta berfungsi sebagai alat pelaksanaan probity audit oleh APIP.</t>
  </si>
  <si>
    <t>Peraturan Pemerintah Nomor 12 Tahun 2017 tentang
 Pembinaan dan Pengawasan Penyelenggaraan
 Pemerintahan Daerah</t>
  </si>
  <si>
    <r>
      <rPr>
        <rFont val="Calibri, sans-serif"/>
        <color rgb="FF1155CC"/>
        <sz val="12.0"/>
        <u/>
      </rPr>
      <t>https://drive.google.com/file/d/1YdxVCrqCKB2IhPmEjmI3enR0CnpLLtYZ/view?usp=sharing</t>
    </r>
  </si>
  <si>
    <t>Database Objek Pemeriksaan, Data Inputan Laporan Hasil Pemeriksaan</t>
  </si>
  <si>
    <t>Laporan perkembangan proyek strategis secara real-time dan Dasbor monitoring</t>
  </si>
  <si>
    <t>SIMPRODAS</t>
  </si>
  <si>
    <r>
      <rPr>
        <rFont val="Calibri, sans-serif"/>
        <color rgb="FF1155CC"/>
        <sz val="12.0"/>
        <u/>
      </rPr>
      <t>https://simprodas.bandungkab.go.id/</t>
    </r>
  </si>
  <si>
    <t>tidak terintegrasi</t>
  </si>
  <si>
    <t>Inspektur Pembantu IV</t>
  </si>
  <si>
    <t>Naufal Rifki Pratama</t>
  </si>
  <si>
    <t>Pelayanan konsultasi pada APIP</t>
  </si>
  <si>
    <t>Untuk membuat dan mengatur janji temu (sebagai layanan konsultasi)</t>
  </si>
  <si>
    <r>
      <rPr>
        <rFont val="Calibri, sans-serif"/>
        <color rgb="FF1155CC"/>
        <sz val="12.0"/>
        <u/>
      </rPr>
      <t>https://drive.google.com/file/d/1hfZl5u33jLRHizH-t5QZsOhlwNoiUSfh/view?usp=sharing</t>
    </r>
  </si>
  <si>
    <t>Data Konsultasi Permasalahan</t>
  </si>
  <si>
    <t>Data Solusi Permasalahan</t>
  </si>
  <si>
    <t>SANTAI</t>
  </si>
  <si>
    <r>
      <rPr>
        <rFont val="Calibri, sans-serif"/>
        <color rgb="FF1155CC"/>
        <sz val="12.0"/>
        <u/>
      </rPr>
      <t>https://calendly.com/inspekkabbdg/santai-saranatanyaapipinteraktif</t>
    </r>
  </si>
  <si>
    <t>Sekertariat Inspektorat Daerah</t>
  </si>
  <si>
    <t>Yuda Maulid</t>
  </si>
  <si>
    <t>ZI</t>
  </si>
  <si>
    <t>Meningkatkan kualitas substansi dan pemahaman SDM TPI (Tim Penilai Internal) dalam pembangunan Zona Integritas (ZI) agar hasil evaluasi internal lebih baik dan sesuai kriteria WBK/WBBM. Melaksanakan monitoring, evaluasi, serta penyusunan dokumen</t>
  </si>
  <si>
    <t>PermenPANRB 90/2021 tentang Pembangunan dan Evaluasi ZI Menuju WBK/WBBM.</t>
  </si>
  <si>
    <t>LHE (Laporan Hasil Evaluasi)</t>
  </si>
  <si>
    <t>Nilai Zona Integritas 2025</t>
  </si>
  <si>
    <t>BERSIH</t>
  </si>
  <si>
    <t>Belum Launching</t>
  </si>
  <si>
    <t>Inspektur Pembantu III</t>
  </si>
  <si>
    <t>Wiwin</t>
  </si>
  <si>
    <t>Penilaian Managemen Resiko</t>
  </si>
  <si>
    <t>Alat bantu digital yang memfasilitasi monitoring, evaluasi, dan pelaporan kinerja secara elektronik. Untuk mendukung pelaksanaan tugas pengawasan secara optimal, cepat, dan akurat.</t>
  </si>
  <si>
    <t>Permenpan RB Nomor 88 Tahun 2021 tentang Petunjuk Teknis Penyusunan Penilaian SAKIP;</t>
  </si>
  <si>
    <t>Dokumen pendukung SAKIP</t>
  </si>
  <si>
    <t>Hasil evaluasi SAKIP</t>
  </si>
  <si>
    <r>
      <rPr>
        <rFont val="Calibri, sans-serif"/>
        <color rgb="FF1155CC"/>
        <sz val="12.0"/>
        <u/>
      </rPr>
      <t>simwas.bandungkab.go.id</t>
    </r>
  </si>
  <si>
    <t>tidak Terintegrasi</t>
  </si>
  <si>
    <t>Ratna</t>
  </si>
  <si>
    <t>Pengawasan Tindak Lanjut Pemeriksaan APIP</t>
  </si>
  <si>
    <t>Sistem Layanan untuk proses monitoring dan evaluasi tindak lanjut atas Laporan Hasil Pemeriksaan untuk Objek Pemeriksaan seperti, Perangkat Daerah, Kecamatan, Sekolah, Puskesmas, dsb.</t>
  </si>
  <si>
    <t>PERBUP NO 77 TAHUN 2023PEDOMAN PEMANTAUAN PELAKSANAAN TINDAK LANJUT REKOMENDASI HASIL PEMERIKSAAN APARAT PENG AW AS AN INTERN PEMERINTAH DI LINGKUNGAN PEMERINTAH DAERAH KABUPATEN BANDUNG</t>
  </si>
  <si>
    <t>Persentase Tindak Lanjut atas Laporan Hasil Pemeriksaan</t>
  </si>
  <si>
    <r>
      <rPr>
        <rFont val="Calibri, sans-serif"/>
        <color rgb="FF1155CC"/>
        <sz val="12.0"/>
        <u/>
      </rPr>
      <t>https://simaslahat.bandungkab.go.id/</t>
    </r>
  </si>
  <si>
    <t>Sub Bagian Analisis dan Evaluasi</t>
  </si>
  <si>
    <t>Rani</t>
  </si>
  <si>
    <t>813-2247-5890</t>
  </si>
  <si>
    <t>Peilaian Sistem Akuntabilitas Kinerja Instansi Pemerintah (SAKIP)</t>
  </si>
  <si>
    <t>Meningkatkan efisiensi pengawasan, pengelolaan data pengawasan yang terintegrasi, transparan, akuntabel, serta mendukung perencanaan, pelaksanaan, pelaporan, dan evaluasi kinerja APIP</t>
  </si>
  <si>
    <t>PermenPANRB 53/2014 tentang Perjanjian Kinerja dan Pelaporan Kinerja.
 PermenPANRB 88/2021 tentang Evaluasi AKIP.</t>
  </si>
  <si>
    <t>Data kinerja perangkat daerah.</t>
  </si>
  <si>
    <t>Laporan evaluasi kinerja</t>
  </si>
  <si>
    <t>Inspektur Pembantu I</t>
  </si>
  <si>
    <t>Ilham Nurhidayat</t>
  </si>
  <si>
    <t>Whistleblower System</t>
  </si>
  <si>
    <t>Penanganan pengaduan tindak pidana korupsi di lingkungan Pemerintah Daerah</t>
  </si>
  <si>
    <t>MenPANRB Nomor 8/M.PAN-RB/06/2012 tentang Sistem Penanganan Pengaduan (Whistleblower System)</t>
  </si>
  <si>
    <t>Laporan/pengaduan dugaan tindak pidana korupsi</t>
  </si>
  <si>
    <t>Laporan hasil penanganan</t>
  </si>
  <si>
    <t>website (BEDAS Digital Services)</t>
  </si>
  <si>
    <t>Inspektur Pembantu Khusus</t>
  </si>
  <si>
    <t>Aan</t>
  </si>
  <si>
    <t>DISDIK</t>
  </si>
  <si>
    <t>Standar Pelayanan Penerbitan Suket Pengganti Ijazah/STTB</t>
  </si>
  <si>
    <t>Layanan masyarakat untuk mendapatkan surat keterangan pengganti ijazah/STTB apabila dokumen tersebut hilang, terdapat kesalahan penulisan, atau rusak.</t>
  </si>
  <si>
    <t>LAMPIRAN KEPUTUSAN KEPALA DINAS PENDIDIKAN : 9. Standar Pelayanan Penerbitan Suket Pengganti Ijazah/STTB</t>
  </si>
  <si>
    <t>Dokumen yang diperlukan</t>
  </si>
  <si>
    <t>Surat Keterangan Pengganti</t>
  </si>
  <si>
    <t>Sukizah</t>
  </si>
  <si>
    <r>
      <rPr>
        <rFont val="Calibri, sans-serif"/>
        <color rgb="FF1155CC"/>
        <sz val="12.0"/>
        <u/>
      </rPr>
      <t>simpeldisdik.bandungkab.go.id/Sukizah</t>
    </r>
  </si>
  <si>
    <t>Simpel BKPSDM</t>
  </si>
  <si>
    <t>Sekretariat</t>
  </si>
  <si>
    <t>Faturochman Nuroni</t>
  </si>
  <si>
    <t>Standar Pelayanan Fasilitasi Data Pokok Pendidikan (Dapodik)</t>
  </si>
  <si>
    <t>Layanan masyarakat terkait status verifikasi di Dapodik seperti Penugasan Pendidik dan Tenaga Kependidikan, Peserta Didik, Kondisi Bangunan, Mutasi PTK, Manajemen Dapodik Sekolah, Validasi Akun Dapodik Sekolah, Sinkronisasi Data Dapodik, dll.</t>
  </si>
  <si>
    <t>LAMPIRAN KEPUTUSAN KEPALA DINAS PENDIDIKAN : 13. Standar Pelayanan Fasilitasi Data Pokok Pendidikan (Dapodik)</t>
  </si>
  <si>
    <t>Surat pengantar/tugas</t>
  </si>
  <si>
    <t>Sinkronisasi atau verifikasi data</t>
  </si>
  <si>
    <t>Dapodik</t>
  </si>
  <si>
    <r>
      <rPr>
        <rFont val="Calibri, sans-serif"/>
        <color rgb="FF1155CC"/>
        <sz val="12.0"/>
        <u/>
      </rPr>
      <t>https://dapo.kemendikdasmen.go.id/</t>
    </r>
  </si>
  <si>
    <t>[Belum tahu]</t>
  </si>
  <si>
    <t>SD, SMP</t>
  </si>
  <si>
    <t>SD : Erik Sugiarto
 SMP : Lina Sarlina</t>
  </si>
  <si>
    <t>Penyediaan Website Untuk Sekolah-sekolah di kabupaten Bandung</t>
  </si>
  <si>
    <t>Layanan bagi lembaga/yayasan PAUD, SD, SMP dan PNF yang ingin melakukan pembuatan website sebagai media Informasi dan Branding</t>
  </si>
  <si>
    <t>Data Sekolah</t>
  </si>
  <si>
    <t>Informasi Tampilan Data Sekolah</t>
  </si>
  <si>
    <t>Multisite Edu</t>
  </si>
  <si>
    <r>
      <rPr>
        <rFont val="Calibri, sans-serif"/>
        <color rgb="FF1155CC"/>
        <sz val="12.0"/>
        <u/>
      </rPr>
      <t>simpeldisdik.bandungkab.go.id/MultisiteEdu</t>
    </r>
  </si>
  <si>
    <t>Raza Candra Anwar S.T</t>
  </si>
  <si>
    <t>razacandraanwar@gmail.com</t>
  </si>
  <si>
    <t>Layanan SPMBE</t>
  </si>
  <si>
    <t>Sistem Penerimaan Murid Baru. Layanan terhadap masyarakat dalam rangka penerima siswa baru untuk jenjang pendidikan dasar dan menengah.</t>
  </si>
  <si>
    <t>Peraturan Menteri Pendidikan Dasar dan Menengah Nomor 3 Tahun 2025 tentang Sistem Penerimaan Murid Baru (Permendikdasmen No. 3 Tahun 2025)</t>
  </si>
  <si>
    <t>Data calon siswa</t>
  </si>
  <si>
    <t>Data Siswa baru</t>
  </si>
  <si>
    <t>SPMBE</t>
  </si>
  <si>
    <r>
      <rPr>
        <rFont val="Calibri, sans-serif"/>
        <color rgb="FF1155CC"/>
        <sz val="12.0"/>
        <u/>
      </rPr>
      <t>https://spmb.bandungkab.go.id/</t>
    </r>
  </si>
  <si>
    <t>SD : 
 SMP :</t>
  </si>
  <si>
    <t>DINKES</t>
  </si>
  <si>
    <t>Layanan Perizinan Perorangan</t>
  </si>
  <si>
    <t>Untuk mengeluarkan rekomendasi surat izin praktik bagi tenaga kesehatan</t>
  </si>
  <si>
    <t>verif pemohon registrasi fasyankes</t>
  </si>
  <si>
    <t>Data Rekomendasi Perizinan Perorangan Nakes</t>
  </si>
  <si>
    <t>SAMIRINDU</t>
  </si>
  <si>
    <r>
      <rPr>
        <rFont val="Calibri, sans-serif"/>
        <color rgb="FF1155CC"/>
        <sz val="12.0"/>
        <u/>
      </rPr>
      <t>dpmptsp.bandungkab.go.id</t>
    </r>
  </si>
  <si>
    <t>Bidang Sumber Daya Kesehatan</t>
  </si>
  <si>
    <t>Arnaningsih</t>
  </si>
  <si>
    <t>perijinandinkes@gmail.com</t>
  </si>
  <si>
    <t>Layanan PSC 119 (Public Safety Center)</t>
  </si>
  <si>
    <t>Untuk menangani kegawatdaruratan dan rujukan medis</t>
  </si>
  <si>
    <t>Rujukan Kasus Gawat Darurat</t>
  </si>
  <si>
    <t>Data Kasus Gawat Darurat Pra Hospital</t>
  </si>
  <si>
    <t>PSC Kemenkes</t>
  </si>
  <si>
    <r>
      <rPr>
        <rFont val="Arial, sans-serif"/>
        <b/>
        <color rgb="FF1155CC"/>
        <u/>
      </rPr>
      <t>psc.kemkes.go.id</t>
    </r>
  </si>
  <si>
    <t>Bidang Pelayanan Kesehatan</t>
  </si>
  <si>
    <t>Ekawati Triyani</t>
  </si>
  <si>
    <t>psc119bandungkab@gmail.com</t>
  </si>
  <si>
    <t>Layanan Kesehatan Ibu dan Bayi Baru Lahir</t>
  </si>
  <si>
    <t>Untuk membantu menurunkan AKI dan AKB serta melakuakan informasi rujukan pada kasus kegawatdaruratan ibu dan bayi baru lahir</t>
  </si>
  <si>
    <t>Rujukan Kasus Maternal Neonatal</t>
  </si>
  <si>
    <t>Data Panggilan Masuk Rujukan dan RS Rujukan</t>
  </si>
  <si>
    <r>
      <rPr>
        <rFont val="Arial, sans-serif"/>
        <b/>
        <color rgb="FF1155CC"/>
        <u/>
      </rPr>
      <t>psc.kemkes.go.id</t>
    </r>
  </si>
  <si>
    <t>Layanan Pendaftaran Pemeriksaan Laboratorium Kesehatan</t>
  </si>
  <si>
    <t>Untuk mengambil sampel dan pemeriksaan laboratorium klinis</t>
  </si>
  <si>
    <t>Data Riwayat Pasien</t>
  </si>
  <si>
    <t>SILABKES</t>
  </si>
  <si>
    <t>Layanan Surveilans Puskesmas dan Dinkes</t>
  </si>
  <si>
    <t>Untuk mendeteksi secara dini kejadian luar biasa dan wabah di suatu wilayah</t>
  </si>
  <si>
    <t>Data Peringatan Potensi KLB dan Wabah</t>
  </si>
  <si>
    <t>APLIKASI Sistem Kewaspadaan Dini dan Respon</t>
  </si>
  <si>
    <r>
      <rPr>
        <rFont val="Calibri, sans-serif"/>
        <color rgb="FF1155CC"/>
        <sz val="12.0"/>
        <u/>
      </rPr>
      <t>skdr.kemkes.go.id</t>
    </r>
  </si>
  <si>
    <t>Bidang Pengendalian dan Pencegahan Penyakit</t>
  </si>
  <si>
    <t>Stella Wirasto Dwiputra</t>
  </si>
  <si>
    <t>survimkabbandung@gmail.com</t>
  </si>
  <si>
    <t>Layanan Pelaporan Skrining Faktor Resiko Penyakit Tidak Menular</t>
  </si>
  <si>
    <t>Untuk melaporkan kegiatan skrining faktor resiko</t>
  </si>
  <si>
    <t>Data Pelaporan Kegiatan PTM</t>
  </si>
  <si>
    <t>SIPTM</t>
  </si>
  <si>
    <r>
      <rPr>
        <rFont val="Calibri, sans-serif"/>
        <color rgb="FF1155CC"/>
        <sz val="12.0"/>
        <u/>
      </rPr>
      <t>https://surveilans-pptm.kemkes.go.id/</t>
    </r>
  </si>
  <si>
    <t>Layanan Program Imunisasi</t>
  </si>
  <si>
    <t>Untuk memberikan pelayanan imunisasi pada bayi, balita dan wanita usia subur</t>
  </si>
  <si>
    <t>Surat Edaran Kementerian Kesehatan nomor : HK.02.02/C/5961/2022 tentang Penggunaan Aplikasi Sehat Indonesiaku (ASIK) untuk Imunisasi rutin</t>
  </si>
  <si>
    <t>Data Imunisasi</t>
  </si>
  <si>
    <t>SEHAT INDONESIAKU</t>
  </si>
  <si>
    <r>
      <rPr>
        <rFont val="Arial, sans-serif"/>
        <b/>
        <color rgb="FF1155CC"/>
        <u/>
      </rPr>
      <t>https://sehatindonesiaku.kemkes.go.id</t>
    </r>
  </si>
  <si>
    <t>Endang Sunandar</t>
  </si>
  <si>
    <t>Layanan Pelaporan Penggunaan Sediaan Narkotika dan Psikotropika</t>
  </si>
  <si>
    <t>Untuk melaporkan penggunaan sediaan narkotika dan psikotropika dari seluruh unit pelayanan (apotek, klinik dan rumah sakit) instalasi farmasi kabupatek/kota, dinas kesehatan kabupaten/ kota dan dinas kesehatan provinsi seluruh indonesia</t>
  </si>
  <si>
    <t>Data Laporan Penggunaan Sediaan NAPSA Nasional</t>
  </si>
  <si>
    <t>SIPNAP</t>
  </si>
  <si>
    <r>
      <rPr>
        <rFont val="Calibri, sans-serif"/>
        <color rgb="FF1155CC"/>
        <sz val="12.0"/>
        <u/>
      </rPr>
      <t>sipnap.kemkes.go.id</t>
    </r>
  </si>
  <si>
    <t>Layanan Monitoring dan Pembinaan Fasilitas Pelayanan Kefarmasian</t>
  </si>
  <si>
    <t>Untuk menjadi salah satu dasar pelaksanaan pembinaan dan pengawasan pelayanan kefarmasian di Fasyankes</t>
  </si>
  <si>
    <t>Data Kegiatan Pelayanan Kefarmasian</t>
  </si>
  <si>
    <t>SIMONA</t>
  </si>
  <si>
    <t>Layanan Perekaman Data RM Pasien Elektronik</t>
  </si>
  <si>
    <t>Untuk mencatat data rekam medis pasien yang berkunjung ke puskesmas</t>
  </si>
  <si>
    <t>Data Rekam Medis</t>
  </si>
  <si>
    <t>SIMPUS</t>
  </si>
  <si>
    <t>Layanan Pendataan Tuberkulosis</t>
  </si>
  <si>
    <t>Untuk memantau keadaan pasien TBC</t>
  </si>
  <si>
    <t>Data Pasien TBC</t>
  </si>
  <si>
    <t>Sistem Informasi Tuberkulosis (SITB)</t>
  </si>
  <si>
    <r>
      <rPr>
        <rFont val="Calibri, sans-serif"/>
        <color rgb="FF1155CC"/>
        <sz val="12.0"/>
        <u/>
      </rPr>
      <t>https://sitb.kemkes.go.id/</t>
    </r>
  </si>
  <si>
    <t>dr.Lucy</t>
  </si>
  <si>
    <t>seksipmptmkabupatenbandung@gmail.com</t>
  </si>
  <si>
    <t>Layanan Penanggulangan Penderita Malaria</t>
  </si>
  <si>
    <t>Untuk melaporkan penderita malaria</t>
  </si>
  <si>
    <t>Data Pasien Penderita Malaria</t>
  </si>
  <si>
    <t>ESISMAL</t>
  </si>
  <si>
    <r>
      <rPr>
        <rFont val="Calibri, sans-serif"/>
        <color rgb="FF1155CC"/>
        <sz val="12.0"/>
        <u/>
      </rPr>
      <t>sismal.kemkes.go.id</t>
    </r>
  </si>
  <si>
    <t>Ratna Wulan Sari</t>
  </si>
  <si>
    <t>Layanan Penyakit Tular Vektor, Zoonotik dan DBD</t>
  </si>
  <si>
    <t>Untuk mempersiapkan kewaspadaan dini terhadap penyakit tulat vektor dan zoonotik</t>
  </si>
  <si>
    <t>Data Penyakit Tular Vektor dan Zoonotik</t>
  </si>
  <si>
    <t>SILANTOR</t>
  </si>
  <si>
    <r>
      <rPr>
        <rFont val="Calibri, sans-serif"/>
        <color rgb="FF1155CC"/>
        <sz val="12.0"/>
        <u/>
      </rPr>
      <t>silantor.kemkes.go.id</t>
    </r>
  </si>
  <si>
    <t>Layanan Pendataan Tenaga Fasyankes Kabupaten Bandung</t>
  </si>
  <si>
    <t>Untuk mencatat data semua tenaga kesehatan dan non kesehatan yang bekerja di fasilitas pelayanan kesehatan kabupaten Bandung</t>
  </si>
  <si>
    <t>Data Nakes dan Non Kesehatan Fasyankes</t>
  </si>
  <si>
    <t>SISDMK</t>
  </si>
  <si>
    <t>Dewi</t>
  </si>
  <si>
    <t>Layanan Perencanaan Kebutuhan Tenaga Fasyankes Kabupaten Bandung</t>
  </si>
  <si>
    <t>Untuk merencanakan jumlah kebutuhan tenaga kesehatan di fasyankes pemerintah kabupaten bandung</t>
  </si>
  <si>
    <t>Data Formasi Nakes Fayankes</t>
  </si>
  <si>
    <t>RENBUT</t>
  </si>
  <si>
    <t>Sari</t>
  </si>
  <si>
    <t>Layanan Pencegahan dan Pengendalian HIV AIDS</t>
  </si>
  <si>
    <t>Untuk melaksanakan upaya-upaya pencegahan dan pengendalian penyakit HIV</t>
  </si>
  <si>
    <t>Data Penderita Penyakit HIV AIDS</t>
  </si>
  <si>
    <t>SIHA</t>
  </si>
  <si>
    <r>
      <rPr>
        <rFont val="Calibri, sans-serif"/>
        <color rgb="FF1155CC"/>
        <sz val="12.0"/>
        <u/>
      </rPr>
      <t>https://sihapims2.kemkes.go.id</t>
    </r>
  </si>
  <si>
    <t>Layanan Pembayaran Jaminan Kesehatan</t>
  </si>
  <si>
    <t>Untuk melaksanakan pembayaran tagihan iuran jaminan kesehatan peserta PBI</t>
  </si>
  <si>
    <t>Data Pembayaran Jaminan Kesehatan PBI</t>
  </si>
  <si>
    <t>Layanan Komdat dan Microsite</t>
  </si>
  <si>
    <t>Untuk mengetahui data kegiatan Germas dan posyandu aktif</t>
  </si>
  <si>
    <t>Data Posyandu Aktif &amp; Kegiatan Germas</t>
  </si>
  <si>
    <t>KOMDAT &amp; MICROSITE</t>
  </si>
  <si>
    <t>Pelaporan data realisasi hasil pemantauan pelaksanaan Renja _K/L</t>
  </si>
  <si>
    <t>untuk Pelaporan data realisasi hasil pemantauan pelaksanaan Renja _K/L</t>
  </si>
  <si>
    <t>Data TFU ( Tempat Fasilitas Umum )</t>
  </si>
  <si>
    <t>E-MONEV TFU</t>
  </si>
  <si>
    <t>Pencatatan dan pelaporan status gizi</t>
  </si>
  <si>
    <t>untuk memperoleh informasi status gizi individu dan kinerja program gizi secara cepat, akurat, teratur dan berkelanjutan untuk penyusunan perencanaan dan perumusan kebijakan gizi</t>
  </si>
  <si>
    <t>Data Gizi</t>
  </si>
  <si>
    <t>Sigizi Terpadu</t>
  </si>
  <si>
    <t>Sistem Monitoring Inventaris Logistik Kesehatan Secara Elektronik</t>
  </si>
  <si>
    <t>membantu dalam mencatat dan memantau pemesanan, distribusi, dan logistik vaksin, obat dan alat kesehatan secara real-time</t>
  </si>
  <si>
    <t>SMILE HEALTH</t>
  </si>
  <si>
    <r>
      <rPr>
        <rFont val="Calibri, sans-serif"/>
        <color rgb="FF1155CC"/>
        <sz val="12.0"/>
        <u/>
      </rPr>
      <t>https://smile.kemkes.go.id/</t>
    </r>
  </si>
  <si>
    <t>SITB, SIHA</t>
  </si>
  <si>
    <t>Farmasi</t>
  </si>
  <si>
    <t>SIJALAK (Sistem Informasi Jalan dan Jembatan Kabupaten Bandung)</t>
  </si>
  <si>
    <t>Si Jalak merupakan sebuah platform digital inovatif yang bertujuan
 untuk mempermudah masyarakat dalam melaporkan kondisi kerusakan
 infrastruktur publik, seperti jalan raya, jembatan, saluran air, dan tembok penahan.</t>
  </si>
  <si>
    <t>Peraturan Daerah Nomor 23 Tahun 2016 tentang Penyelenggaraan Jalan</t>
  </si>
  <si>
    <t>Data Pelapor dan Aduan Lokasi Kerusakan Jalan, Jembatan, Saluran Tepi Jalan dan Tembok Penahan Tanah</t>
  </si>
  <si>
    <t>Data Hasil Pelaporan dan Aduan Masyarakat Terkait Kerusakan Jalan, Jembatan, Saluran Tepi Jalan dan Tembok Penahan Tanah</t>
  </si>
  <si>
    <t>SI PUTRA (sijalak)</t>
  </si>
  <si>
    <r>
      <rPr>
        <rFont val="Calibri, sans-serif"/>
        <color rgb="FF1155CC"/>
        <sz val="12.0"/>
        <u/>
      </rPr>
      <t>https://sijalak-kab-bandung.com/</t>
    </r>
  </si>
  <si>
    <t>Bidang Jalan</t>
  </si>
  <si>
    <t>Luthfi Jauhari, S.T</t>
  </si>
  <si>
    <t>SIBEDAS PBG</t>
  </si>
  <si>
    <t>SIBEDAS PBG merupakan dashboard untuk memonitoring berkas permohonan Persetujuan Bangunan Gedung (PBG). Pada Dashboard juga terdapat fitur yang digunakan untuk mempermudah melihat pemetaan persebaran karena tersajikan dalam bentuk peta. SIBEDAS PBG bertujuan untuk memonitoring setiap berkas PBG berdasarkan satus permohonan seperti belum diverifikasi, perbaikan ulang, verifikasi ulang dan selesai verifikasi. Selain itu SIBEDAS PBG untuk mempermudah melihat pemetaan persebaran karena tersajikan dalam bentuk peta serta untuk mempermudah merekap data.</t>
  </si>
  <si>
    <t>Permen PUPR Nomor 22 Tahun 2021 tentang Pedoman Teknis Pendataan Bangunan Gedung</t>
  </si>
  <si>
    <r>
      <rPr>
        <rFont val="Calibri, sans-serif"/>
        <color rgb="FF1155CC"/>
        <sz val="12.0"/>
        <u/>
      </rPr>
      <t>https://drive.google.com/drive/folders/187_7CPT7sxhjamsZJOlN2T4qhrxFpoWq?hl=id</t>
    </r>
  </si>
  <si>
    <t>Data Pemohon dan Kelengkapan Berkas PBG</t>
  </si>
  <si>
    <t>Data Tahapan Progres Permohonan PBG</t>
  </si>
  <si>
    <t>SI PUTRA (sibedaspbg)</t>
  </si>
  <si>
    <r>
      <rPr>
        <rFont val="Calibri, sans-serif"/>
        <color rgb="FF1155CC"/>
        <sz val="12.0"/>
        <u/>
      </rPr>
      <t>https://sibedaspbg.bandungkab.go.id/</t>
    </r>
  </si>
  <si>
    <t>Dashboard Pimpinan</t>
  </si>
  <si>
    <t>Bidang Bangunan Gedung dan Pengembangan Permukiman</t>
  </si>
  <si>
    <t>Dirgantara Putra Mappaono, ST</t>
  </si>
  <si>
    <t>dirgantaraaapm@gmail.com</t>
  </si>
  <si>
    <t>34,37, dan 42</t>
  </si>
  <si>
    <t>LINKTREE PENGADUAN DPUTR KAB. BANDUNG</t>
  </si>
  <si>
    <t>LINKTREE menjadi wadah yang dapat memonitoring sekaligus memberikan informasi penyelesaian pengaduan untuk kepentingan dinas. LINKTREE Pengaduan DPUTR bertujuan untuk memonitoring setiap pengaduan secara elektronik sehingga memudahkan masyarakat dan untuk mempermudah setiap bidang dalam proses penyelesaian pengaduan serta untuk mempermudah merekap data.</t>
  </si>
  <si>
    <r>
      <rPr>
        <rFont val="Calibri, sans-serif"/>
        <color rgb="FF1155CC"/>
        <sz val="12.0"/>
        <u/>
      </rPr>
      <t>https://drive.google.com/drive/folders/1zpVBSJQx0K3N4_wyw8qZeOJVWGrdlDAe?hl=ID</t>
    </r>
  </si>
  <si>
    <t>Data Pengguna, Data Aduan</t>
  </si>
  <si>
    <t>SI PUTRA (pengaduan)</t>
  </si>
  <si>
    <r>
      <rPr>
        <rFont val="Calibri, sans-serif"/>
        <color rgb="FF1155CC"/>
        <sz val="12.0"/>
        <u/>
      </rPr>
      <t>linktr.ee/PENGADUAN_DPUTR_KABBDG</t>
    </r>
  </si>
  <si>
    <t>Bidang dan UPTD</t>
  </si>
  <si>
    <t>Operator Bidang dan UPTD</t>
  </si>
  <si>
    <t>SIPEDAS (Sistem Informasi Pemetaan Drainase)</t>
  </si>
  <si>
    <t>SIPEDAS merupakan sistem informasi elektronik untuk menyediakan data pemetaan dan memantau pembangunan saluran drainase, sanitasi dan persampahan.</t>
  </si>
  <si>
    <t>Permen PUPR Nomor 12 Tahun 2014 tentang Penyelenggaraan Sistem Drainase Perkotaan</t>
  </si>
  <si>
    <t>Data Perencanaan Pembangunan dan Pemeliharaan Saluran Drainase</t>
  </si>
  <si>
    <t>Capaian dan Kondisi Saluran Drainase</t>
  </si>
  <si>
    <t>SI PUTRA (sipedas)</t>
  </si>
  <si>
    <r>
      <rPr>
        <rFont val="Calibri, sans-serif"/>
        <color rgb="FF1155CC"/>
        <sz val="12.0"/>
        <u/>
      </rPr>
      <t>https://sites.google.com/view/aplikasi-sipedas-drainase/home</t>
    </r>
  </si>
  <si>
    <t>Bidang Drainase dan Penyedia Infrastruktur Persampahan</t>
  </si>
  <si>
    <t>Roni Romansa</t>
  </si>
  <si>
    <t>roni.romansa78@gmail.com</t>
  </si>
  <si>
    <t>SIJAGA (Sistem Informasi Jaringan Irigasi)</t>
  </si>
  <si>
    <t>Si Jaga merupakan aplikasi yang menyediakan data pengelolaan jaringan irigasi di Kabupaten Bandung. Aplikasi ini memanfaatkan teknologi GIS (Geographic Information System) untuk memberikan tampilan peta jaringan irigasi dan informasi terkait aset-aset irigasi seperti bendungan, saluran, pintu air, dan sebagainya.</t>
  </si>
  <si>
    <t>Permen PUPR Nomor 12 Tahun 2015 tentang Eksploitasi dan Pemeliharaan Jaringan Irigasi</t>
  </si>
  <si>
    <r>
      <rPr>
        <rFont val="Calibri, sans-serif"/>
        <color rgb="FF1155CC"/>
        <sz val="12.0"/>
        <u/>
      </rPr>
      <t>https://drive.google.com/drive/folders/1foPXyzm-sQ7KaSp-qTysnVqAWt_Dif53?hl=id</t>
    </r>
  </si>
  <si>
    <t>Data Aduan/
 Pelaporan Jaringan Irigasi</t>
  </si>
  <si>
    <t>Data Hasil Aduan/
 Pelaporan Masyarakat</t>
  </si>
  <si>
    <t>SI PUTRA (sijaga)</t>
  </si>
  <si>
    <r>
      <rPr>
        <rFont val="Calibri, sans-serif"/>
        <color rgb="FF1155CC"/>
        <sz val="12.0"/>
        <u/>
      </rPr>
      <t>https://sijaga.kabbdg.com/</t>
    </r>
  </si>
  <si>
    <t>Bidang Pengelolaan Sumber Daya Air dan Penyediaan Air Minum</t>
  </si>
  <si>
    <t>Dian Noorcahya Permana, S.T.</t>
  </si>
  <si>
    <t>dian.noorcahya1221@gmail.com</t>
  </si>
  <si>
    <t>SIBEDAS JAKON</t>
  </si>
  <si>
    <t>SIBEDAS JAKON merupakan aplikasi yang memberikan informasi mengenai paket pekerjaan, penyedia jasa konstruksi, tenaga terampil bersertifikat, dan lain sebagainya.</t>
  </si>
  <si>
    <t>Permen PUPR Nomor 22 Tahun 2018 tentang Pembangunan Gedung Negara</t>
  </si>
  <si>
    <r>
      <rPr>
        <rFont val="Calibri, sans-serif"/>
        <color rgb="FF1155CC"/>
        <sz val="12.0"/>
        <u/>
      </rPr>
      <t>https://drive.google.com/drive/folders/1sHKD9PH8GG_yqtIurnieYvG1qyHCbekF?hl=id</t>
    </r>
  </si>
  <si>
    <t>Data Peserta Bimtek Tenaga Terampil Konstruksi</t>
  </si>
  <si>
    <t>Data Tenaga Terampil Konstruksi yang Bersertifikat</t>
  </si>
  <si>
    <t>SI PUTRA (sibedas jakon)</t>
  </si>
  <si>
    <r>
      <rPr>
        <rFont val="Calibri, sans-serif"/>
        <color rgb="FF1155CC"/>
        <sz val="12.0"/>
        <u/>
      </rPr>
      <t>https://sibedasjakon.bandungkab.go.id/</t>
    </r>
  </si>
  <si>
    <t>Bidang Pengembangan Jasa Konstruksi</t>
  </si>
  <si>
    <t>Fuat Ardi Jaya, S.T.</t>
  </si>
  <si>
    <t>fuatardi222@gmail.com</t>
  </si>
  <si>
    <t>Dashboard Persampahan</t>
  </si>
  <si>
    <t>Dashboard Persampahan bertujuan untuk menyediakan platform efisien dan terpadu dalam mengumpulkan, merekam, dan memantau data pemilahan, penanganan dan volume sampah sebelum masuk ke Tempat Pembuangan Akhir (TPA)</t>
  </si>
  <si>
    <t>Peraturan Bupati Bandung Nomor 25 Tahun 2010 tentang Pengelolaan Sampah</t>
  </si>
  <si>
    <t>Data Jenis dan Volume Sampah dari Masyarakat</t>
  </si>
  <si>
    <t>Data Hasil Pemilahan dan Banyaknya Sampah yang Terkumpul dari Masyarakat</t>
  </si>
  <si>
    <t>SI PUTRA (sibedasok)</t>
  </si>
  <si>
    <r>
      <rPr>
        <rFont val="Calibri, sans-serif"/>
        <color rgb="FF1155CC"/>
        <sz val="12.0"/>
        <u/>
      </rPr>
      <t>https://linktr.ee/SIBEDASOK</t>
    </r>
  </si>
  <si>
    <t>H. Imam Yudha Pratama, S.T., M.T., M.M.</t>
  </si>
  <si>
    <t>imamprogdbm@gmail.com</t>
  </si>
  <si>
    <t>41 dan 46</t>
  </si>
  <si>
    <t>Drainase Vertikal</t>
  </si>
  <si>
    <t>Drainase Vertikal adalah model drainase yang menggunakan gravitasi untuk membantu infiltrasi air ke dalam tanah.</t>
  </si>
  <si>
    <r>
      <rPr>
        <rFont val="Calibri, sans-serif"/>
        <color rgb="FF1155CC"/>
        <sz val="12.0"/>
        <u/>
      </rPr>
      <t>https://drive.google.com/drive/folders/1dJpV-zPgcGeUPh1r03v0LvnCMsf7y8oq?hl=id</t>
    </r>
  </si>
  <si>
    <t>Beton Poros, Tangki Resapan, Perforated Pipe, Agregat Kelas A, Geotextile/
 Geomembran</t>
  </si>
  <si>
    <t>Sumur Resapan, Beton Berpori</t>
  </si>
  <si>
    <t>Eco Enzim</t>
  </si>
  <si>
    <t>Eco Enzim ini adalah cairan multifungsi yang dihasilkan dari proses fermentasi selama 3 bulan dengan bahan sederhana, gula merah/tetes tebu, limbah atau sampah organik dengan menggunakan komposisi 1:3:10</t>
  </si>
  <si>
    <t>Air Bersih, Gula Merah Tebu Asli, Sampah Dapur Organik (Sisa Buah dan Sayuran), Timbangan, Wadah Plastik dan Penutupnya, Pengaduk</t>
  </si>
  <si>
    <t>Pupuk Organik</t>
  </si>
  <si>
    <t>Fitrisina Sukandar</t>
  </si>
  <si>
    <t>fitrisinha@gmail.com</t>
  </si>
  <si>
    <t>SIPERA (Sistem Informasi Pemetaan Ruang Real Time)</t>
  </si>
  <si>
    <t>- Meningkatkan transparansi pelayanan publik pada permohonan dokumen Keterangan Rencana Kota (KRK)
 - Meningkatkan efektivitas dan efisiensi dalam proses pelaksanaan penyelenggaraan dokumen Keterangan Rencana Kota (KRK)
 - Memudahkan pengecekan progres dokumen Keterangan Rencana Kota (KRK) bagi pemohon
 - Meningkatkan pelaksanaan analisis terhadap permohonan dokumen Keterangan Rencana Kota (KRK)</t>
  </si>
  <si>
    <t>- Undang-Undang Nomor 26 Tahun 2007 tentang Penataan Ruang
 - Peraturan Pemerintah Nomor 21 Tahun 2021 tentang Penyelenggaraan Penataan Ruang
 - Peraturan Menteri Agraria dan Tata Ruang/Kepala Badan Pertanahan Nasional Republik Indonesia Nomor 13 Tahun 2021 tentang Pelaksanaan Kesesuaian Kegiatan Pemanfaatan Ruang dan Sinkronisasi Program Pemanfaatan Ruang</t>
  </si>
  <si>
    <t>Masyarakat, Pelaku Bisnis</t>
  </si>
  <si>
    <t>- Pemohon membuat akun pada website SIPERA
 - Pemohon mengisi data (informasi diri, perusahaan, lahan, dll) dan input dokumen sesuai dengan rencana kegiatan yang akan dilaksanakan
 - Pemohon melakukan submit terhadap pendaftaran yang sudah lengkap
 - Verifikator melakukan pengecekan kelengkapan berkas, apabilan dinyatakan lengkap maka dilanjutkan ke proses analisis, jika kurang lengkap maka akan dikembalikan kepada pemohon untuk dilengkapi
 - Petugas analisis melakukan analisis terhadap rencana kegiatan yang akan dilaksanakan oleh pemohon
 - Pemohon melakukan pengecekan progres melalui website SIPERA
 - Produk dokumen Keterangan Rencana Kota (KRK) terbit
 - Pemohon mengambil dokumen Keterangan Rencana Kota (KRK) di Dinas Pekerjaan Umum dan Tata Ruang Kabupaten Bandung</t>
  </si>
  <si>
    <t>Dokumen Keterangan Rencana Kota (KRK)</t>
  </si>
  <si>
    <t>https://www.sipera.getsurvey.id/ (Pemohon)
 https://bandung.getsurvey.id/home (Admin)</t>
  </si>
  <si>
    <t>Bidang Tata Ruang</t>
  </si>
  <si>
    <t>Muhammad Fahreza, S.P.W.</t>
  </si>
  <si>
    <t>mfahreza30@gmail.com</t>
  </si>
  <si>
    <t>MADU NAON (Media Edukasi Pembuatan Poligon KML)</t>
  </si>
  <si>
    <t>- Memberikan edukasi cara pembuatan poligon KML bagi masyarakat umum
 - Meningkatkan efisiensi dan efektivitas petugas dalam melaksanakan pelayanan publik
 - Meningkatkan transparansi pelayanan publik
 - Memudahkan masyarakat dalam membuat poligon KML secara mandiri
 - Mempercepat proses pendaftaran dokumen Keterangan Rencana Kota (KRK) dan dokumen Kesesuaian Kegiatan Pemanfaatan Ruang (KKPR) Non-Berusaha</t>
  </si>
  <si>
    <t>- Masyarakat melakukan scan barcode yang akan mengarahkan ke tempat penyimpanan digital media informasinya pada Google Drive
 - Masyarakat mengunduh dokumen media edukasi pembuatan poligon KML
 - Dokumen media informasi edukasi pembuatan poligon KML berbentuk digital
 - Masyarakat memilih perangkat yang akan digunakan dalam membuat poligon KML
 - Masyarakat membuat poligon KML dengan mengikuti media edukasi pembuatan poligon KML
 - Poligon KML disimpan dalam bentuk digital di penyimpanan perangkat
 - Poligon KML siap dikirimkan kepada petugas permohonan dokumen Keterangan Rencana Kota (KRK) atau diinput dalan sistem pendaftaran dokumen Kesesuaian Kegiatan Pemanfaatan Ruang (KKPR) Non-Berusaha</t>
  </si>
  <si>
    <t>- Dokumen Kesesuaian Kegiatan Pemanfaatan Ruang (KKPR) Non-Berusaha</t>
  </si>
  <si>
    <t>Barcode atau link yang mengarah pada media edukasi pembuatan poligon KML</t>
  </si>
  <si>
    <t>M.SYAIFUDDIN AL-FAQIH A.Md.</t>
  </si>
  <si>
    <t>syaifuddin.alfaqih@gmail.com</t>
  </si>
  <si>
    <t>DISPERKIMTAN</t>
  </si>
  <si>
    <t>Layanan Informasi Perumahan</t>
  </si>
  <si>
    <t>memberikan layanan informasi perumahan yang sudah dan akan melaksanakan serah terima PSU perumahan Kabupaten Bandung</t>
  </si>
  <si>
    <t>1. Undang - Undang Nomor 1 Tahun 2011 tentang Perumahan dan Kawasan Permukiman
 2. Peraturan Pemerintah Nomor 12 Tahun 2021 tentang Perumahan Atas Peraturan Pemerintah Nomor 14 Tahun 2016 tentang Penyelenggaraan Perumahan dan Kawasan Permukiman
 3. Peraturan Menteri Dalam Negeri Nomor 9 Tahun 2009 Tentang Pedoman Penyerahan Prasarana, Sarana, dan Utilitas Perumahan dan Permukiman di Daerah
 4. Peraturan Daerah Kabupaten Bandung Nomor 5 Tahun 2020 dan Peraturan Bupati Nomor 5 TahunTentang Penyediaan, Penyerahan dan Pengelolaan Prasarana, Sarana dan Utilitas Umum Perumahan dan Permukiman
 5. Peraturan Bupati Bandung Nomor 4 Tahun 2021 tentang Peratura Pelaksanaan Peraturan Daerah Nomor 5 Tahun 2020 tentang Penyediaan, Penyerahan, dan Pengelolaan Prasarana, Sarana, dan Utilitas Umum Perumahan dan Permukiman</t>
  </si>
  <si>
    <r>
      <rPr>
        <rFont val="Calibri, sans-serif"/>
        <color rgb="FF1155CC"/>
        <sz val="12.0"/>
        <u/>
      </rPr>
      <t>https://drive.google.com/file/d/1kvVSSjFHbdSKP4vPWzb0wDWs5x8kMCbU/view?usp=sharing</t>
    </r>
  </si>
  <si>
    <t>Data Perumahan
 Data Fasos Fasum</t>
  </si>
  <si>
    <t>SIPIKAT</t>
  </si>
  <si>
    <r>
      <rPr>
        <rFont val="Calibri, sans-serif"/>
        <color rgb="FF1155CC"/>
        <sz val="12.0"/>
        <u/>
      </rPr>
      <t>https://aplikasi.bandungkab.com/publik/landing-page-aplikasi-sipikat</t>
    </r>
  </si>
  <si>
    <t>Bidang PSU</t>
  </si>
  <si>
    <t>DINSOS</t>
  </si>
  <si>
    <t>Surat Keterangan Tidak Mampu (SKTM) Online</t>
  </si>
  <si>
    <t>Surat Keterangan Tidak Mampu (SKTM) adalah surat resmi yang dikeluarkan oleh pemerintah desa/kelurahan Dinas Sosial yang menerangkan bahwa seseorang atau keluarga berada dalam kondisi ekonomi kurang mampu. SKTM biasanya digunakan sebagai syarat untuk mendapatkan keringanan biaya, bantuan sosial, atau akses layanan tertentu dari pemerintah maupun lembaga lain.</t>
  </si>
  <si>
    <t>- Peraturan Bupati Bandung Nomor 318 Tahun 2022 tentang Pusat Kesejahteraan Sosial Penanganan Kemiskinan
 - Peraturan Bupati Bandung No 50 Tahun 2018 Tentang Surat Keterangan Tidak Mampu (SKTM)</t>
  </si>
  <si>
    <r>
      <rPr>
        <rFont val="Calibri, sans-serif"/>
        <color rgb="FF1155CC"/>
        <sz val="12.0"/>
        <u/>
      </rPr>
      <t>https://drive.google.com/file/d/1Ramy4vxff2nlZwmQYryTo4j9HIjXgRt2/view?usp=sharing</t>
    </r>
  </si>
  <si>
    <t>Berkas
 persyaratan
 pengajuan
 rekomendasi
 SKTM</t>
  </si>
  <si>
    <t>Berkas
 rekomendasi
 SKTM</t>
  </si>
  <si>
    <t>DIBEDASKEN</t>
  </si>
  <si>
    <r>
      <rPr>
        <rFont val="Calibri, sans-serif"/>
        <color rgb="FF1155CC"/>
        <sz val="12.0"/>
        <u/>
      </rPr>
      <t>https://dibedasken.bandungkab.go.id/</t>
    </r>
  </si>
  <si>
    <t>Bidang Perlindungan dan Jaminan Sosial</t>
  </si>
  <si>
    <t>M. Fitrian Ramadan, S.Psi., MM</t>
  </si>
  <si>
    <t>programdinsoskabbdg@gmail.com</t>
  </si>
  <si>
    <t>Setiap Saat</t>
  </si>
  <si>
    <t>Rekomendasi ke Rumah Sakit Jiwa</t>
  </si>
  <si>
    <t>Rekomendasi ke Rumah Sakit Jiwa adalah suatu bentuk layanan administratif dan sosial berupa pemberian surat atau dokumen rujukan resmi oleh instansi berwenang dalam hal ini Dinas Sosial atau lembaga terkait, yang menyatakan bahwa seseorang memerlukan pemeriksaan, perawatan, atau rehabilitasi kesehatan jiwa di Rumah Sakit Jiwa berdasarkan hasil asesmen awal sosial maupun kondisi yang teridentifikasi di lapangan.</t>
  </si>
  <si>
    <t>- Peraturan Pemerintah Nomor 39 Tahun 2012 tentang Penyelenggaraan Kesejahteraan Sosial
 - Peraturan Pemerintah Nomor 2 Tahun 2018 tentang Standar Pelayanan Minimal
 - Peraturan Menteri Sosial Nomor 9 Tahun 2018 tentang Standar Teknis Pelayanan Dasar pada Standar Pelayanan Minimal Bidang Sosial di Daerah Provinsi dan di Daerah Kabupaten/ Kota</t>
  </si>
  <si>
    <r>
      <rPr>
        <rFont val="Calibri, sans-serif"/>
        <color rgb="FF1155CC"/>
        <sz val="12.0"/>
        <u/>
      </rPr>
      <t>https://drive.google.com/file/d/1Ramy4vxff2nlZwmQYryTo4j9HIjXgRt2/view?usp=sharing</t>
    </r>
  </si>
  <si>
    <t>Data Diri Klien</t>
  </si>
  <si>
    <t>Berkas Rekomendasi Untuk Ke Rumah Sakit Jiwa</t>
  </si>
  <si>
    <t>Bidang Rehabilitasi Sosial</t>
  </si>
  <si>
    <t>Erna Beti Rustiati, S.Sos., M.Si.</t>
  </si>
  <si>
    <t>Rekomendasi Calon Orang Tua Angkat (COTA)</t>
  </si>
  <si>
    <t>Rekomendasi Calon Orang Tua Angkat (COTA) adalah dokumen atau surat keterangan resmi yang diterbitkan oleh instansi yang berwenang, khususnya Dinas Sosial, sebagai hasil penilaian dan pertimbangan sosial terhadap kelayakan seseorang atau pasangan suami istri untuk menjadi orang tua angkat berdasarkan hasil asesmen sosial, administratif, dan psikologis sesuai ketentuan peraturan perundang-undangan.</t>
  </si>
  <si>
    <t>- Undang-Undang RI Nomor 35 Tahun 2014 tentang Perlindungan Anak
 - Peraturan Pemerintah Nomor 54 Tahun 2007 tentang Pelakasanaan Pengangkatan Anak
 - Peraturan Menteri Sosial Nomor 9 Tahun 2018 tentang Standar Teknis Pelayanan Dasar pada Standar Pelayanan Minimal Bidang Sosial di Daerah Provinsi dan di Daerah Kabupaten/ Kota 
 - Permensos RI Nomor 4 tahun 2020 tentang Rehabilitasi Sosial Dasar bagi Anak Terlantar
 - Peraturan Menteri Sosial Republik Indonesia Nomor 110/HUK/2009 tentang Persyaratan Pengangkatan Anak</t>
  </si>
  <si>
    <r>
      <rPr>
        <rFont val="Calibri, sans-serif"/>
        <color rgb="FF1155CC"/>
        <sz val="12.0"/>
        <u/>
      </rPr>
      <t>https://drive.google.com/file/d/1Ramy4vxff2nlZwmQYryTo4j9HIjXgRt2/view?usp=sharing</t>
    </r>
  </si>
  <si>
    <t>Data Diri Calon Orang Tua Asuh dan Calon Anak Asuh</t>
  </si>
  <si>
    <t>Berkas Rekomendasi COTA</t>
  </si>
  <si>
    <t>Layanan Keterlantaran dan Disabilitas</t>
  </si>
  <si>
    <t>Layanan Keterlantaran dan Disabilitas adalah rangkaian pelayanan sosial yang diselenggarakan oleh pemerintah atau lembaga pelayanan sosial untuk memberikan perlindungan, pemenuhan kebutuhan dasar, rehabilitasi sosial, serta pemberdayaan kepada individu atau kelompok masyarakat yang mengalami kondisi keterlantaran dan/atau penyandang disabilitas, guna meningkatkan kesejahteraan sosial, kemandirian, serta fungsi sosialnya dalam kehidupan bermasyarakat.</t>
  </si>
  <si>
    <t>- Undang-Undang RI Nomor 35 Tahun 2014 tentang Perlindungan Anak
 - Undang- Undang RI Nomor 18 Tahun 2016 Tentang Penyandang Disabilitas
 - Permensos RI Nomor 25 Tahun 2012 tentang Standar Rehabilitasi Sosial Penyandang Disabilitas oleh Lembaga di Bidang Kesejahteraan Sosial
 - Permensos RI Nomor 5 Tahun 2018 tentang Standar Nasional Rehabilitasi Sosial Lanjut Usia
 - Peraturan Menteri Sosial Nomor 9 Tahun 2018 tentang Standar Teknis Pelayanan Dasar pada Standar Pelayanan Minimal Bidang Sosial di Daerah Provinsi dan di Daerah Kabupaten/ Kota</t>
  </si>
  <si>
    <r>
      <rPr>
        <rFont val="Calibri, sans-serif"/>
        <color rgb="FF1155CC"/>
        <sz val="12.0"/>
        <u/>
      </rPr>
      <t>https://drive.google.com/file/d/1Ramy4vxff2nlZwmQYryTo4j9HIjXgRt2/view?usp=sharing</t>
    </r>
  </si>
  <si>
    <t>Surat Pengantar dan Proses Reunifikasi</t>
  </si>
  <si>
    <t>Dedik Dwi Marika, S.Sos</t>
  </si>
  <si>
    <t>Layanan Tuna Sosial</t>
  </si>
  <si>
    <t>Layanan Tuna Sosial adalah rangkaian pelayanan kesejahteraan sosial yang diberikan kepada individu atau kelompok masyarakat yang mengalami hambatan fungsi sosial akibat perilaku sosial menyimpang, kerentanan sosial, atau kondisi sosial tertentu sehingga memerlukan pembinaan, rehabilitasi sosial, perlindungan, dan pemberdayaan agar mampu kembali melaksanakan fungsi sosialnya secara wajar dalam kehidupan bermasyarakat.</t>
  </si>
  <si>
    <t>Peraturan Menteri Sosial Nomor 9 Tahun 2018 tentang Standar Teknis Pelayanan Dasar pada Standar Pelayanan Minimal Bidang Sosial di Daerah Provinsi dan di Daerah Kabupaten/ Kota</t>
  </si>
  <si>
    <r>
      <rPr>
        <rFont val="Calibri, sans-serif"/>
        <color rgb="FF1155CC"/>
        <sz val="12.0"/>
        <u/>
      </rPr>
      <t>https://drive.google.com/file/d/1Ramy4vxff2nlZwmQYryTo4j9HIjXgRt2/view?usp=sharing</t>
    </r>
  </si>
  <si>
    <t>Pelayanan konsultasi dari Tim Pekerja Sosial bagi korban tindak kekerasan dan pendampingan keluarga</t>
  </si>
  <si>
    <t>Imam Soewardi, S.Sos</t>
  </si>
  <si>
    <t>Rekomendasi Pengumpulan Uang dan Barang (PUB)</t>
  </si>
  <si>
    <t>Rekomendasi Pengumpulan Uang dan Barang (PUB) adalah dokumen atau surat keterangan resmi yang diterbitkan oleh instansi pemerintah yang berwenang, khususnya Dinas Sosial, sebagai bentuk persetujuan dan pertimbangan administratif terhadap permohonan kegiatan pengumpulan uang dan/atau barang dari masyarakat yang dilakukan oleh individu, lembaga, atau organisasi untuk tujuan sosial, kemanusiaan, keagamaan, atau kesejahteraan sosial sesuai dengan ketentuan peraturan perundang-undangan.</t>
  </si>
  <si>
    <t>- Undang-Undang Nomor 9 Tahun 1961 tentang Pengumpulan Uang atau Barang
 - Undang-undang Nomor 28 Tahun 2004 tentang Perubahan atas Undang undang RI Nomor 16 Tahun 2001 tentang Yayasan
 - Peraturan Pemerintah Nomor 29 Tahun 1980 tentang Pelaksanaan Pengumpulan Uang atau Barang
 - Peraturan Menteri Sosial Nomor 8 Tahun 2021 tentang Pengumpulan Uang atau Barang</t>
  </si>
  <si>
    <r>
      <rPr>
        <rFont val="Calibri, sans-serif"/>
        <color rgb="FF1155CC"/>
        <sz val="12.0"/>
        <u/>
      </rPr>
      <t>https://drive.google.com/file/d/1Ramy4vxff2nlZwmQYryTo4j9HIjXgRt2/view?usp=sharing</t>
    </r>
  </si>
  <si>
    <t>Data Lembaga Kesejahteraan Sosial</t>
  </si>
  <si>
    <t>Surat Rekomendasi/Pengantar Pengumpulan Uang dan Barang</t>
  </si>
  <si>
    <t>Bidang Pemberdayaan Sosial</t>
  </si>
  <si>
    <r>
      <rPr>
        <rFont val="Calibri, sans-serif"/>
        <color rgb="FF1155CC"/>
        <sz val="12.0"/>
        <u/>
      </rPr>
      <t xml:space="preserve">Sri Soviyani, </t>
    </r>
    <r>
      <rPr>
        <rFont val="Calibri, sans-serif"/>
        <color rgb="FF1155CC"/>
        <sz val="12.0"/>
        <u/>
      </rPr>
      <t>S.ST</t>
    </r>
  </si>
  <si>
    <t>Layanan Bantuan Sosial Kebutuhan Logistik Bencana</t>
  </si>
  <si>
    <t>Layanan Bantuan Sosial Kebutuhan Logistik Bencana adalah bentuk pelayanan sosial yang diberikan oleh pemerintah kepada masyarakat terdampak bencana melalui penyediaan dan penyaluran bantuan kebutuhan dasar berupa logistik secara cepat, tepat sasaran, dan terkoordinasi guna memenuhi kebutuhan hidup dasar korban bencana serta mengurangi risiko kerentanan sosial selama masa tanggap darurat dan pemulihan awal.</t>
  </si>
  <si>
    <r>
      <rPr>
        <rFont val="Calibri, sans-serif"/>
        <color rgb="FF1155CC"/>
        <sz val="12.0"/>
        <u/>
      </rPr>
      <t>https://drive.google.com/file/d/1Ramy4vxff2nlZwmQYryTo4j9HIjXgRt2/view?usp=sharing</t>
    </r>
  </si>
  <si>
    <t>Data Diri Korban Bencana Alam dan Sosial</t>
  </si>
  <si>
    <t>Bantuan Logistik untuk Korban Bencana &amp; Berita Acara Serah Terima (BAST)</t>
  </si>
  <si>
    <t>Bidang Penanganan Bencana</t>
  </si>
  <si>
    <t>Herminingsih, S.Pd</t>
  </si>
  <si>
    <t>DISNAKER</t>
  </si>
  <si>
    <t>Layanan AK1</t>
  </si>
  <si>
    <t>Layanan AK1: Meningkatkan akses dan pelayanan terkait Ketenagakerjaan untuk mendukung keberlanjutan karir pekerja.</t>
  </si>
  <si>
    <t>Permenaker 18 Tahun 2024 tentang Penempatan Tenaga Kerja Dalam Negeri</t>
  </si>
  <si>
    <r>
      <rPr>
        <rFont val="Calibri, sans-serif"/>
        <color rgb="FF1155CC"/>
        <sz val="12.0"/>
        <u/>
      </rPr>
      <t>https://drive.google.com/drive/folders/1Uinu-ZgkI_8xZeYLw7yaEW1HRhG7prDv?usp=drive_link</t>
    </r>
  </si>
  <si>
    <t>Data Pencari Kerja</t>
  </si>
  <si>
    <t>Kartu AK 1</t>
  </si>
  <si>
    <t>SIAP KERJA</t>
  </si>
  <si>
    <r>
      <rPr>
        <rFont val="Calibri, sans-serif"/>
        <color rgb="FF1155CC"/>
        <sz val="12.0"/>
        <u/>
      </rPr>
      <t>siapkerja.kemnaker.go.id</t>
    </r>
  </si>
  <si>
    <r>
      <rPr>
        <rFont val="Calibri, sans-serif"/>
        <color rgb="FF1155CC"/>
        <sz val="12.0"/>
        <u/>
      </rPr>
      <t>https://dashnaker.bandungkab.go.id/login</t>
    </r>
  </si>
  <si>
    <t>Bidang Penempatan Tenaga Kerja</t>
  </si>
  <si>
    <t>Panji Subakti</t>
  </si>
  <si>
    <t>bidangpenempatan04@gmail.com</t>
  </si>
  <si>
    <t>masyarakat</t>
  </si>
  <si>
    <t>Layanan Informasi Lowongan Pekerjaan</t>
  </si>
  <si>
    <t>Layanan Informasi Lowongan Pekerjaan: Memberikan informasi terkini mengenai peluang pekerjaan untuk membantu pengangguran atau pencari kerja.</t>
  </si>
  <si>
    <t>Undang-Undang Nomor 13 Tahun 2003 tentang Ketenagakerjaan Pasal 31 s.d. 34 Pemerintah bertanggung jawab menyediakan informasi pasar kerja serta bursa kerja untuk masyarakat, Undang-Undang Nomor 25 Tahun 2009 tentang Pelayanan Publik, Mengatur kewajiban instansi pemerintah dalam memberikan pelayanan publik yang cepat, tepat, transparan, dan akuntabel, termasuk layanan informasi lowongan kerja</t>
  </si>
  <si>
    <t>Belum tersedia</t>
  </si>
  <si>
    <t>Pelaku Bisnis, Masyarakat</t>
  </si>
  <si>
    <t>Data Informasi Lowongan Kerja</t>
  </si>
  <si>
    <t>Data Lowongan Kerja, Data penempatan</t>
  </si>
  <si>
    <t>Dashnaker Plus</t>
  </si>
  <si>
    <r>
      <rPr>
        <rFont val="Calibri, sans-serif"/>
        <color rgb="FF1155CC"/>
        <sz val="12.0"/>
        <u/>
      </rPr>
      <t>https://dashnaker.bandungkab.go.id/login</t>
    </r>
  </si>
  <si>
    <r>
      <rPr>
        <rFont val="Calibri, sans-serif"/>
        <color rgb="FF1155CC"/>
        <sz val="12.0"/>
        <u/>
      </rPr>
      <t>http://siapkerja.kemnaker.go.id/</t>
    </r>
  </si>
  <si>
    <t>Bidang Perencanaan Tenaga Kerja dan Informasi Pasar Kerja</t>
  </si>
  <si>
    <t>Yogie Noor Hidayat, S.I.Kom</t>
  </si>
  <si>
    <t>bidjamsosdisnaker@gmail.com</t>
  </si>
  <si>
    <t>masyarakat dan perushaan</t>
  </si>
  <si>
    <t>Layanan Pengajuan dan Registrasi Transmigrasi</t>
  </si>
  <si>
    <t>Layanan Pengajuan dan Registrasi Transmigrasi: Memfasilitasi proses pendaftaran dan registrasi bagi individu yang ingin mengikuti program transmigrasi.</t>
  </si>
  <si>
    <t>Undang-Undang Nomor 29 Tahun 2009 tentang Perubahan atas UU No. 15 Tahun 1997 tentang Ketransmigrasian.
 Peraturan Pemerintah Nomor 3 Tahun 2014 tentang Pelaksanaan UU No. 15 Tahun 1997 tentang Ketransmigrasian.
 Peraturan Menteri Tenaga Kerja dan Transmigrasi Nomor 25 Tahun 2009 tentang Tingkat Perkembangan Permukiman Transmigrasi dan Kesejahteraan Transmigran.
 Peraturan Menteri Tenaga Kerja dan Transmigrasi Nomor 9 Tahun 2012 tentang Pedoman Pengelolaan Data dan Informasi Ketransmigrasian.</t>
  </si>
  <si>
    <t>Data Pemohon</t>
  </si>
  <si>
    <t>Data Animo</t>
  </si>
  <si>
    <t>SIBARDUKTRANS</t>
  </si>
  <si>
    <r>
      <rPr>
        <rFont val="Calibri, sans-serif"/>
        <color rgb="FF1155CC"/>
        <sz val="12.0"/>
        <u/>
      </rPr>
      <t>sibarduktrans.transmigrasi.go.id</t>
    </r>
  </si>
  <si>
    <t>Bidang Penempatan Tenagga Kerja</t>
  </si>
  <si>
    <t>Jana Silniodi</t>
  </si>
  <si>
    <t>Layanan Aduan Perselisihan Perusahaan</t>
  </si>
  <si>
    <t>Layanan Aduan Perselisihan Perusahaan: Menyediakan saluran untuk penyelesaian konflik antara pekerja dan perusahaan.</t>
  </si>
  <si>
    <t>Undang-Undang Nomor 2 Tahun 2004 tentang Penyelesaian Perselisihan Hubungan Industrial jo. Permenaker No 17 tentang Pengangkatan &amp; Pemberhentian Mediator Hubungan Industrial dan Tata Kerja Mediasi jo. Peraturan Bupati Bandung Nomor Tahun 2023 tentang Tugas, Fungsi dan Tata Kerja Dinas Ketenagakerjaan jo. Peraturan Bupati Nomor 16 Tahun 2025 tentang Perubahan Atas Peraturan Bupati Bandung Nomor 91 Tahun 2023 tentang Tugas, Fungsi dan Tata Kerja Dinas Ketenagakerjaan</t>
  </si>
  <si>
    <r>
      <rPr>
        <rFont val="Calibri, sans-serif"/>
        <color rgb="FF1155CC"/>
        <sz val="12.0"/>
        <u/>
      </rPr>
      <t>https://drive.google.com/file/d/1RN-b5_l9kJj-scl7TBdLekEgqnmJB0Ym/view?usp=drive_link</t>
    </r>
  </si>
  <si>
    <t>Identitas Para Pihak, Jenis Perselisihan, Waktu Penanganan, Hasil Penyelesaian Perselisihan</t>
  </si>
  <si>
    <t>data penyelesaian perselisihan hubungan industrial</t>
  </si>
  <si>
    <r>
      <rPr>
        <rFont val="Calibri, sans-serif"/>
        <color rgb="FF1155CC"/>
        <sz val="12.0"/>
        <u/>
      </rPr>
      <t>https://lapor.go.id/</t>
    </r>
  </si>
  <si>
    <t>Bidang Hubungan Industrial</t>
  </si>
  <si>
    <t>Andra G. P., S.Ikom.</t>
  </si>
  <si>
    <t>0896-6838-6168</t>
  </si>
  <si>
    <t>bidanghi.bandungkab@gmail.com</t>
  </si>
  <si>
    <t>msyarakat dan perushaan</t>
  </si>
  <si>
    <t>Layanan Sistem informasi Pelaporan Tindak Kekerasan Perempuan Dan Anak</t>
  </si>
  <si>
    <t>Memberikan Layanan Data Korban kekerasan Terhadap Perempuan dan Anak</t>
  </si>
  <si>
    <t>- Undang-Undang Nomor 23 Tahun 2004 Tentang Penghapusan KDRT
 - Peraturan Daerah Kabupaten Bandung Nomor 20 Tahun 2016 Tentang Perlindungan Hak Anak Di Daerah Kabupaten Bandung</t>
  </si>
  <si>
    <r>
      <rPr>
        <rFont val="Calibri, sans-serif"/>
        <color rgb="FF1155CC"/>
        <sz val="12.0"/>
        <u/>
      </rPr>
      <t>https://drive.google.com/file/d/13kiJLOSVRFOj2CqIpMMxJSxRVwkT4VuN/view?usp=drive_link</t>
    </r>
  </si>
  <si>
    <t>Data Korban,Progres Pendampingan</t>
  </si>
  <si>
    <t>Progres Pendampingan</t>
  </si>
  <si>
    <t>SIPETIK</t>
  </si>
  <si>
    <r>
      <rPr>
        <rFont val="Calibri, sans-serif"/>
        <color rgb="FF1155CC"/>
        <sz val="12.0"/>
        <u/>
      </rPr>
      <t>https://dp2kbp3a.bandungkab.go.id/ppa/</t>
    </r>
  </si>
  <si>
    <t>Bidang pemberdayaan Perempuan</t>
  </si>
  <si>
    <t>Deti Rosdiani</t>
  </si>
  <si>
    <t>Penyusunan Penganggaran Perencanaan Responsif Gender BErsinergi Dalam Anggaran PengaruStamaan - Gender</t>
  </si>
  <si>
    <t>Untuk Mempermudah Instansi Lainya Untuk Mengkases Gender Analysis Pathway dan Gender Budget Statement</t>
  </si>
  <si>
    <t>Peraturan Bupati Nomor 24 tahun 2016 Tentang Pedoman Umum Pelaksanaan Pengarustamaan Gender dalam Pembangunan Daerah di Kabupaten bandung</t>
  </si>
  <si>
    <r>
      <rPr>
        <rFont val="Calibri, sans-serif"/>
        <color rgb="FF1155CC"/>
        <sz val="12.0"/>
        <u/>
      </rPr>
      <t>https://drive.google.com/file/d/1qhJbKAh0RXizTZVD-lHLPJTl4ZBGbOzZ/view?usp=sharing</t>
    </r>
  </si>
  <si>
    <t>Perencanaan Dan Penganggaran Renfonsif Gender</t>
  </si>
  <si>
    <t>Data Gender Analisis Patway,Data Gender Budget Statmen</t>
  </si>
  <si>
    <t>PPRG BEDAS-G</t>
  </si>
  <si>
    <r>
      <rPr>
        <rFont val="Calibri, sans-serif"/>
        <color rgb="FF1155CC"/>
        <sz val="12.0"/>
        <u/>
      </rPr>
      <t>https://dp2kbp3a.bandungkab.go.id/pprg/</t>
    </r>
  </si>
  <si>
    <t>Terintegrasi dengan aplikasi SIPD</t>
  </si>
  <si>
    <t>Raihan Ilhamudin, S. Kep</t>
  </si>
  <si>
    <t>raihanilham6@gmail.com</t>
  </si>
  <si>
    <t>Sistem Informasi Keluarga</t>
  </si>
  <si>
    <t>mengumpulkan, mengelola, dan menyajikan data serta informasi yang akurat dan terkini mengenai kependudukan dan keluarga berencana untuk mendukung perencanaan dan intervensi program-program BKKBN, seperti Program Bangga Kencana dan penurunan stunting.</t>
  </si>
  <si>
    <t>Undang-Undang Nomor 52 Tahun 2009 tentang Perkembangan
 Kependudukan dan Pembangunan Keluarga, Badan Kependudukan dan Keluarga
 Berencana Nasional memiliki tugas untuk melaksanakan Program Pembangunan
 Keluarga, Kependudukan dan Keluarga Berencana (Bangga Kencana)</t>
  </si>
  <si>
    <t>Data Keluarga</t>
  </si>
  <si>
    <t>,Data Hasil Pelayanan KB,Data Pendataan Keluarga</t>
  </si>
  <si>
    <t>SIGA</t>
  </si>
  <si>
    <r>
      <rPr>
        <rFont val="Calibri, sans-serif"/>
        <color rgb="FF1155CC"/>
        <sz val="12.0"/>
        <u/>
      </rPr>
      <t>https://siga.bkkbn.go.id/</t>
    </r>
  </si>
  <si>
    <t>SIPERINDU</t>
  </si>
  <si>
    <t>Bidang Pengendalian Penduduk</t>
  </si>
  <si>
    <t>Sangki Sopyan, S. Pd. OR</t>
  </si>
  <si>
    <t>Satgas Perlindungan Perempuan dan Anak</t>
  </si>
  <si>
    <t>Menciptakan Lingkungan yang Aman Bagi Perempuan dan Anak di Kecamatan dan Desa/Kelurahan dan Memastikan Mendapatkan Hak-Hak untuk Hidup Tumbuh,Berkembang Dan berpartisipasi secara Optimal sesuai harkat dan Martabat Kemanusiaan serta terlindungi dari kekerasan dan diskriminasi</t>
  </si>
  <si>
    <t>- Peraturan Daerah Nomor 20 Tahun 2016 Tentang Perlindungan dan Hak Anak
 - Peraturan Daerah Nomor 21 Tahun 2016 Tenang Perlindungan Perempuan</t>
  </si>
  <si>
    <r>
      <rPr>
        <rFont val="Calibri, sans-serif"/>
        <color rgb="FF1155CC"/>
        <sz val="12.0"/>
        <u/>
      </rPr>
      <t>https://drive.google.com/file/d/16ULKF-_fc7--75zz-4n8WtETaChfDzBD/view?usp=sharing</t>
    </r>
  </si>
  <si>
    <t>Data Perempuan Kepala Keluarga</t>
  </si>
  <si>
    <t>SAPPANA</t>
  </si>
  <si>
    <r>
      <rPr>
        <rFont val="Calibri, sans-serif"/>
        <color rgb="FF1155CC"/>
        <sz val="12.0"/>
        <u/>
      </rPr>
      <t>https://dp2kbp3a.bandungkab.go.id/sappana/</t>
    </r>
  </si>
  <si>
    <t>Terintegrasi dengan SIPETIK</t>
  </si>
  <si>
    <t>Riki Kardina, S. Ag</t>
  </si>
  <si>
    <t>Sistem Informasi Online Perlindungan Perempuan dan Anak</t>
  </si>
  <si>
    <t>Pencatatan dan pelaporan kekerasan terhadap perempuan dan anak yang terjadi di wilayah Indonesia, baik untuk warga negara indonesia maupun warga negara asing. SIMFONI PPA bekerja sama dengan instansi pemerintahan di setiap provinsi / kabupaten / kota sehingga aplikasi dapat diakses oleh semua unit layanan penanganan korban kekerasan perempuan dan anak dibawah pada tingkat nasional meliputi provinsi / kabupaten / kota secara up to date.</t>
  </si>
  <si>
    <t>Undang-Undang Nomor 23 Tahun 2004 Tentang Penghapusan KDRT</t>
  </si>
  <si>
    <r>
      <rPr>
        <rFont val="Calibri, sans-serif"/>
        <color rgb="FF1155CC"/>
        <sz val="12.0"/>
        <u/>
      </rPr>
      <t>https://docs.google.com/spreadsheets/d/1f2FpxtXLWyTMlao3H1cM7ZWvZY62FNOP/edit?usp=drivesdk&amp;ouid=101319060553117315214&amp;rtpof=true&amp;sd=true</t>
    </r>
  </si>
  <si>
    <t>Data Korban Kekerasan Perempuan dan Anak, Progres penanganan Kasus</t>
  </si>
  <si>
    <t>Simfoni PPA</t>
  </si>
  <si>
    <r>
      <rPr>
        <rFont val="Calibri, sans-serif"/>
        <color rgb="FF1155CC"/>
        <sz val="12.0"/>
        <u/>
      </rPr>
      <t>https://simfonippa.kemenpppa.go.id/</t>
    </r>
  </si>
  <si>
    <t>Unit Pelaksana Teknis Daerah Perindungan Perempuan dan Anak</t>
  </si>
  <si>
    <t>Dinda Nurul</t>
  </si>
  <si>
    <t>dindanurul150@gmail.com</t>
  </si>
  <si>
    <t>Layanan Bersama Lindungi Anak</t>
  </si>
  <si>
    <t>pengumpulan data tekait KLA untuk mengumpulkan bukti dukung program pemenuhan hak anak di kabupaten bandung</t>
  </si>
  <si>
    <t>Permen PPA no 4 Tahun 2024 tentang penyelneggaraaan layanan pemenuhan hak anak</t>
  </si>
  <si>
    <t>eviden pelaksanaan kegiatan</t>
  </si>
  <si>
    <t>pemenuhan penilaian KLA</t>
  </si>
  <si>
    <t>aplikasi evaluasi KLA</t>
  </si>
  <si>
    <r>
      <rPr>
        <rFont val="Calibri, sans-serif"/>
        <color rgb="FF1155CC"/>
        <sz val="12.0"/>
        <u/>
      </rPr>
      <t>https://dp2kbp3a.bandungkab.go.id/apps/perlindungan-anak/</t>
    </r>
  </si>
  <si>
    <t>Bidang Perlinudngan anak</t>
  </si>
  <si>
    <t>Wina Sri Utami</t>
  </si>
  <si>
    <t>awinwina4@gmail.com</t>
  </si>
  <si>
    <t>Layanan Pengaduan dan/atau Sengketa Bidang Lingkungan Hidup</t>
  </si>
  <si>
    <t>Untuk menghasilkan penanganan pengaduan atau BA pengaduan sengketa Pemerintah Kabupaten Bandung</t>
  </si>
  <si>
    <t>Berdasarkan Undang-Undang Republik Indonesia Nomor 32 Tahun 2009 Tentang Perlindungan Dan Pengelolaan Lingkungan Hidup
 Berdasarkan Peraturan Menteri Dalam Negeri Republik Indonesia Nomor 8 Tahun 2023 Tentang Pengelolaan Pengaduan Di Lingkungan Kementerian Dalam Negeri Dan Pemerintahan Daerah</t>
  </si>
  <si>
    <t>STANDAR PELAYANAN PADA DINAS LINGKUNGAN HIDUP.pdf</t>
  </si>
  <si>
    <t>Aduan dan/atau sengketa bidang lingkungan hidup</t>
  </si>
  <si>
    <t>Data Pelayanan Pengaduan Dan/Atau Sengketa Bidang Lingkungan Hidup</t>
  </si>
  <si>
    <r>
      <rPr>
        <rFont val="Calibri, sans-serif"/>
        <color rgb="FF1155CC"/>
        <sz val="12.0"/>
        <u/>
      </rPr>
      <t>https://www.lapor.go.id</t>
    </r>
  </si>
  <si>
    <t>Bidang Pengendalian Pencemaran dan Penaatan Hukum Lingkungan</t>
  </si>
  <si>
    <t>Muhammad Helmy Sallima Wijaya, S.H.</t>
  </si>
  <si>
    <t>Layanan Surat Pengelolaan dan Pamantauan Lingkungan Hidup</t>
  </si>
  <si>
    <t>Untuk menghasilkan Surat Keterangan SPPL, Berita Acara Konsultasi Rencana Teknis
 dan Notulensi Rapat</t>
  </si>
  <si>
    <t>Berdasarkan Peraturan Pemerintah Nomor 22 Tahun 2021 tentang Penyelenggaraan Perlindungan dan Pengelolaan Lingkungan Hidup</t>
  </si>
  <si>
    <t>Data Pemrakarsa, Dokumen Lingkungan</t>
  </si>
  <si>
    <t>Data Pengelolaan Dan Pamantauan Lingkungan Hidup</t>
  </si>
  <si>
    <t>Amdalnet</t>
  </si>
  <si>
    <r>
      <rPr>
        <rFont val="Calibri, sans-serif"/>
        <color rgb="FF1155CC"/>
        <sz val="12.0"/>
        <u/>
      </rPr>
      <t>amdalnet.kemenlh.go.id</t>
    </r>
  </si>
  <si>
    <t>Bidang Tata Lingkungan</t>
  </si>
  <si>
    <t>Iqsan Okiyanto / Andri Taufik</t>
  </si>
  <si>
    <t>085225996451 / 081322181254</t>
  </si>
  <si>
    <t>dlh@bandungkab.go.id</t>
  </si>
  <si>
    <t>Layanan Laboratorium Lingkungan</t>
  </si>
  <si>
    <t>Untuk menghasilkan Laporan Hasil Uji (LHU) Laboratorium, diantaranya informasi Kualitas Air Tanah, Kualitas Air Permukaan, Kualitas Air Limbah, Kualitas Udara Ambien, Kualitas Udara Emisi dan Pengukuran Tingkat Kebisingan</t>
  </si>
  <si>
    <t>Berdasarkan Peraturan Menteri Lingkungan Hidup Dan Kehutanan Republik Indonesia Nomor P.23/MENLHK/SETJEN/KUM.1/10/2020 Tentang Laboratorium Lingkungan Pasal 1 Angka 4 Yaitu Laboratorium Lingkungan Adalah Laboratorium Yang Mempunyai Sertifikat Akreditasi Laboratorium Pengujian Parameter Kualitas Lingkungan Dan Pengambilan Contoh Uji Sesuai Peraturan Serta Mempunyai Identitas Registrasi Yang Memiliki Fungsi Mendukung Pengelolaan Lingkungan Hidup.</t>
  </si>
  <si>
    <t>Data Uji</t>
  </si>
  <si>
    <t>Data Pelayanan Laboratorium Lingkungan</t>
  </si>
  <si>
    <r>
      <rPr>
        <rFont val="Calibri, sans-serif"/>
        <color rgb="FF1155CC"/>
        <sz val="12.0"/>
        <u/>
      </rPr>
      <t>https://skm.bandungkab.go.id/</t>
    </r>
  </si>
  <si>
    <t>BLUD</t>
  </si>
  <si>
    <t>Layanan Pengangkutan Sampah Wilayah Kabupaten Bandung</t>
  </si>
  <si>
    <t>Menyediakan layanan pengangkutan sampah secara teratur dan efisien di wilayah Kabupaten Bandung guna menjaga kebersihan lingkungan, mencegah pencemaran, dan memastikan pengelolaan sampah yang ramah lingkungan serta sesuai dengan peraturan yang berlaku.</t>
  </si>
  <si>
    <t>Berdasarkan Peraturan Daerah Kabupaten Bandung Nomor 1 Tahun 2022 Tentang Pengelolaan Sampah</t>
  </si>
  <si>
    <t>Data Sampah yang diangkut</t>
  </si>
  <si>
    <t>Data Pelayanan Pengangkutan Sampah Wilayah Rancaekek
 Data Pelayanan Pengangkutan Sampah Wilayah Soreang
 Data Pelayanan Pengangkutan Sampah Wilayah Ciparay
 Data Pelayanan Pengangkutan Sampah Wilayah Baleendah</t>
  </si>
  <si>
    <t>Sampahkita</t>
  </si>
  <si>
    <r>
      <rPr>
        <rFont val="Calibri, sans-serif"/>
        <color rgb="FF1155CC"/>
        <sz val="12.0"/>
        <u/>
      </rPr>
      <t>https://sampahkita.jabarprov.go.id/</t>
    </r>
  </si>
  <si>
    <t>Bidang Pengelolaan Sampah</t>
  </si>
  <si>
    <t>Layanan Pengelolaan dan Pemanfaatan Sampah</t>
  </si>
  <si>
    <t>Untuk menghasilkan materi penyuluhan atau pelatihan, sarana dan prasarana pelatihan, bibit BSF, pembinaan secara berkala dan surat registrasi pengelola sampah/bank sampah
 tematik/TPS3R</t>
  </si>
  <si>
    <t>Data sampah yang dilakukan pengelolaan</t>
  </si>
  <si>
    <t>Data Pelayanan Pengelolaan Dan Pemanfaatan Sampah</t>
  </si>
  <si>
    <t>SIPSN</t>
  </si>
  <si>
    <r>
      <rPr>
        <rFont val="Calibri, sans-serif"/>
        <color rgb="FF1155CC"/>
        <sz val="12.0"/>
        <u/>
      </rPr>
      <t>https://sipsn.kemenlh.go.id/sipsn/</t>
    </r>
  </si>
  <si>
    <t>Layanan Gep4k Sayang</t>
  </si>
  <si>
    <t>Untuk melayani Gerakan Peduli Penanaman dan Pemeliharaan Pohon Kesayangan (Gep4k Sayang) yang dimana mewajibkan setiap warga Kabupaten Bandung menanam, memiliki, dan memelihara minimal 2 pohon kesayangan seumur hidupnya</t>
  </si>
  <si>
    <t>Peraturan Menteri Lingkungan Hidup Dan Kehutanan Republik Indonesia Nomor 23 Tahun 2021 Tentang Pelaksanaan Rehabilitasi Hutan Dan Lahan</t>
  </si>
  <si>
    <t>Data penanaman pohon</t>
  </si>
  <si>
    <t>Data Gerakan Penanaman dan Pemeliharaan Pohon Kesayangan</t>
  </si>
  <si>
    <t>GeP4K Sayang</t>
  </si>
  <si>
    <r>
      <rPr>
        <rFont val="Calibri, sans-serif"/>
        <color rgb="FF1155CC"/>
        <sz val="12.0"/>
        <u/>
      </rPr>
      <t>https://gepak.bandungkab.go.id/</t>
    </r>
  </si>
  <si>
    <t>Bidang Konservasi dan Pengendalian Kerusakan Lingkungan</t>
  </si>
  <si>
    <t>Layanan Taman Kehati</t>
  </si>
  <si>
    <t>Untuk mengelola Taman Keanekaragaman Hayati (Taman Kehati) dan mengelola kawasan pencadangan sumber daya alam hayati lokal di luar kawasan hutan yang mempunyai fungsi konservasi insitu dan/atau exsitu</t>
  </si>
  <si>
    <t>Peraturan Menteri Lingkungan Hidup Dan Kehutanan Republik Indonesia Nomor 16 Tahun 2024 Tentang Resor Pada Unit Pelaksana Teknis Direktorat Jenderal Konservasi Sumber Daya Alam Dan Ekosistem</t>
  </si>
  <si>
    <t>Data Taman Kehati</t>
  </si>
  <si>
    <t>Taman Kehati</t>
  </si>
  <si>
    <r>
      <rPr>
        <rFont val="Calibri, sans-serif"/>
        <color rgb="FF1155CC"/>
        <sz val="12.0"/>
        <u/>
      </rPr>
      <t>Kehati.bandungkab.go.id</t>
    </r>
  </si>
  <si>
    <t>DISDUKCAPIL</t>
  </si>
  <si>
    <t>Pencatatan Biodata</t>
  </si>
  <si>
    <t>Menjamin ketersediaan data pribadi penduduk yang valid dan terintegrasi dalam database kependudukan nasional.</t>
  </si>
  <si>
    <t>1. Undang-Undang Nomor 23 Tahun 2006 tentang Administrasi Kependudukan sebagaimana telah diubah dengan Undang-Undang Nomor 24 Tahun 2013 tentang Perubahan atas Undang-Undang Nomor 23 Tahun 2006 tentang Administrasi Kependudukan;
  2. Peraturan Pemerintah Nomor 40 Tahun 2019 tentang Pelaksanaan Undang-Undang Nomor 23 Tahun 2006 tentang Administrasi Kependudukan sebagaimana telah diubah dengan Undang-Undang Nomor 24 Tahun 2013 tentang Perubahan atas Undang-Undang Nomor 23 Tahun 2006 tentang Administrasi Kependudukan;
  3. Peraturan Presiden Nomor 96 Tahun 2018 Tentang persyaratan dan Tata Cara Pendaftaran Penduduk dan Pencatatan Sipil;
  4. Permendagri Nomor 119 Tahun 2017 Tentang pengangkatan dan pemberhentian serta tugas pokok pejabat pencatatan sipil dan petugas registrasi;
  5. Permendagri Nomor 7 Tahun 2019 Tentang Pelayanan Administras! Kependudukan Secara Daring Juncto Permendagri Nomor 2 Tahun 2023 Tentang Perubahan Atas Permendagri Nomor 7 Tahun 2019 Tentang Pelayanan Administrasi Kependudukan secara daring;
  6. Permendagri Nomor 108 Tahun 2019 tentang Peraturan Pelaksanaan Peraturan Presiden Nomor 96 Tahun 2018 tentang Persyaratan dan tatacara Pendaftaran Pcnduduk dan Pencatatan Sipil;
  7. Permendagri Nomor 109 Tahun 2019 tentang Formulir dan buku yang digunakan dalam Administrasi Kependudukan;
  8. Peraturan Daerah Kabu paten Bandung Nomor 1 Tahun 2010 Tentang Penyelenggaraan Administrasi Kependudukan di Kabupaten Bandung sebagaimana telah diubah dengan Peraturan Daerah Kabupaten Bandung Nomor 12 Tahun 2014 tentang perubahan atas Peraturan Daerah Kabupaten Bandung Nomor 1 Tahun 2010 tentang Penyelenggaraan Administrasi Kependudukan di Kabupaten Bandung;
  9. Peraturan Bupati Bandung Nomor 75 Tahun 2017 Tentang Pedoman Pengangkatan Dan Pemberhentian Petugas Registrasi Pelayanan Administrasi Kependudukan Desa/Kelurahan di Kabupaten Bandung;
  10. Peraturan Bupati Bandung Nomor 2 Tahun 2019 tentang Persyaratan dan Tatacara Pendaftaran Penduduk dan Pencatatan Sipil di Kabupaten Bandung;
  11. Peraturan Bupati Bandung Nomor 342 Tahun 2022 Tentang Pedoman Tata Cara Pelayanan Administrasi Kependudukan Secara Daring melalui Anjungan Dukcapil Mandiri (ADM) di Kabupaten Bandung.</t>
  </si>
  <si>
    <r>
      <rPr>
        <rFont val="&quot;Arial\, sans-serif&quot;"/>
        <color rgb="FF1155CC"/>
        <u/>
      </rPr>
      <t>SOP Layanan 2025</t>
    </r>
  </si>
  <si>
    <t>Data Pelapor</t>
  </si>
  <si>
    <r>
      <rPr>
        <rFont val="Arial, sans-serif"/>
        <color rgb="FF1155CC"/>
        <u/>
      </rPr>
      <t>Tidak tersedia secara publik. Paket update hanya dapat diunduh via SVN Client internal.</t>
    </r>
    <r>
      <rPr>
        <rFont val="Arial, sans-serif"/>
        <color rgb="FF1155CC"/>
        <u/>
      </rPr>
      <t xml:space="preserve">
 https://bds.bandungkab.go</t>
    </r>
    <r>
      <rPr>
        <rFont val="Arial, sans-serif"/>
      </rPr>
      <t>.id/</t>
    </r>
  </si>
  <si>
    <t>Bidang Pendaftaran Penduduk</t>
  </si>
  <si>
    <t>Riana Aji Iskandar S.T., M.Kom.</t>
  </si>
  <si>
    <t>rianaajiiskandar@gmail.com</t>
  </si>
  <si>
    <t>32. Peningkatan Layanan Kependudukan yang Responsif dan Cepat</t>
  </si>
  <si>
    <t>1. SIAK TERPUSAT : Disdukcapil dan 57 OPD yang sudah melakukan Perjanjian Kerjasama Pemanfaatan Data Kependudukan Tahun 2025 dengan 5 Perangkat Daerah baru yaitu Bagian Kesejahteraan Rakyat Sekretariat Daerah, DPMD, Dishub, Baperida dan Kec. Arjasari, disamping Perjanjian Kerjasama yang masih aktif yakni DPMPTSP, Dinsos, Disdik, Diskominfo, Disnaker, Dispora, Dinkes, Distan, Diskop UKM, DP2KBP3A, Dispakan, Disperdagin, Dispusip, Disperkimtan, Disdamkar, Dinas LH, BPBD, BAPENDA, BKPSDM, Kesbangpol, Satpol PP, Sekretariat DPRD, Kec. Baleendah. Kec. Bojongsoang, Kec. Cicalengka, Kec. Dayeuhkolot, Kec. Katapang, Kec. Kutawaringin, Kec. Nagreg, Kec. Cimenyan, Kec. Cimaung, Kec. Rancaekek, Kec. Pasirjambu, Kec. Margaasih, Kec. Ciparay, Kec. Pacet, Kec. Cileunyi, Kec. Pangalengan, Kec. Rancabali, Kec. Cikancung, Kec. Pameungpeuk, Kec. Margahayu, Kec. Majalaya, Kec. Soreang, Kec. Solokan Jeruk, Kec. Ibun, Kec. Cangkuang, Kec. Ciwidey, Kec. Kertasari, Kec. Paseh, Kec. Banjaran, sehingga sampai dengan akhir Tahun 2025 jumlah Perangkat Daerah yang telah melakukan Perjanjian Kerja Sama Pemanfaatan Data Kependudukan sebanyak 57 PD termasuk Disdukcapil sebagai Leading Sector.
 2. Aplikasi BDS : Seluruh Masyarakat</t>
  </si>
  <si>
    <t>SIAK TERPUSAT</t>
  </si>
  <si>
    <r>
      <rPr>
        <rFont val="Arial, sans-serif"/>
        <color rgb="FF1155CC"/>
        <u/>
      </rPr>
      <t>Tidak tersedia secara publik. Paket update hanya dapat diunduh via SVN Client internal.</t>
    </r>
    <r>
      <rPr>
        <rFont val="Arial, sans-serif"/>
        <color rgb="FF1155CC"/>
        <u/>
      </rPr>
      <t xml:space="preserve">
 https://bds.bandungkab.go</t>
    </r>
    <r>
      <rPr>
        <rFont val="Arial, sans-serif"/>
      </rPr>
      <t>.id/</t>
    </r>
  </si>
  <si>
    <t>LAMPID</t>
  </si>
  <si>
    <t>Menjamin pencatatan empat peristiwa penting (lahir, mati, pindah, datang) secara cepat dan terintegrasi.</t>
  </si>
  <si>
    <r>
      <rPr>
        <rFont val="&quot;Arial\, sans-serif&quot;"/>
        <color rgb="FF1155CC"/>
        <u/>
      </rPr>
      <t>SOP Layanan 2025</t>
    </r>
  </si>
  <si>
    <t>lampid</t>
  </si>
  <si>
    <r>
      <rPr>
        <rFont val="Arial, sans-serif"/>
        <color rgb="FF1155CC"/>
        <u/>
      </rPr>
      <t>http://lampid.bandungkab.go.id/</t>
    </r>
  </si>
  <si>
    <t>Bidang Pencatatan Sipil</t>
  </si>
  <si>
    <t>Aplikasi LAMPID : Disdukcapil dan Desa/Kecamatan</t>
  </si>
  <si>
    <t>Layanan Pengelolaan Keuangan Desa</t>
  </si>
  <si>
    <t>Meningkatkan transparansi, akuntabilitas, dan efisiensi dalam pengelolaan keuangan di tingkat desa untuk memastikan dana desa digunakan secara efektif dan sesuai peruntukannya.</t>
  </si>
  <si>
    <t>- Undang-Undang Nomor 6 Tahun 2014 tentang Desa
 - Permendagri Nomor 20 Tahun 2018 tentang Pengelolaan Keuangan Desa</t>
  </si>
  <si>
    <t>Tidak ada</t>
  </si>
  <si>
    <t>Data Keuangan Desa</t>
  </si>
  <si>
    <t>SISKEUDES</t>
  </si>
  <si>
    <r>
      <rPr>
        <rFont val="Calibri, sans-serif"/>
        <color rgb="FF1155CC"/>
        <sz val="11.0"/>
        <u/>
      </rPr>
      <t>http://siskeudes.bandungkab.go.id:8080/guacamole/#/</t>
    </r>
  </si>
  <si>
    <t>website konsolidasi Kemendagri</t>
  </si>
  <si>
    <t>Bidang Administrasi Pemerintahan Desa</t>
  </si>
  <si>
    <t>Fauzan Pujarahmani</t>
  </si>
  <si>
    <t>Mewujudkan pembangunan berbasis Desa</t>
  </si>
  <si>
    <t>Desa</t>
  </si>
  <si>
    <t>UU Nomor 1 Tahun 2004 tentang Perbendaharaan Negara</t>
  </si>
  <si>
    <t>OM-SPAN</t>
  </si>
  <si>
    <r>
      <rPr>
        <rFont val="Calibri, sans-serif"/>
        <color rgb="FF1155CC"/>
        <sz val="11.0"/>
        <u/>
      </rPr>
      <t>https://spanint.kemenkeu.go.id/tkd/#/home/login</t>
    </r>
  </si>
  <si>
    <t>Terintegrasi dengan SISKEUDES</t>
  </si>
  <si>
    <t>Tsalits Nur F</t>
  </si>
  <si>
    <t>apd.dpmd.bdgkab@gmail.com</t>
  </si>
  <si>
    <t>Layanan Informasi Profil Desa dan Kelurahan</t>
  </si>
  <si>
    <t>Memberikan informasi terkait profil, potensi, dan perkembangan desa atau kelurahan kepada masyarakat serta pihak terkait untuk mendukung pengambilan keputusan dan perencanaan pembangunan.</t>
  </si>
  <si>
    <t>-Undang-Undang Nomor 6 Tahun 2014 tentang Desa
 - Peraturan Menteri Dalam Negeri Nomor 12 Tahun 2007 tentang Pedoman Penyusunan dan Pendayagunaan Data Profil Desa dan Kelurahan
 - Permendagri Nomor 81 Tahun 2015 tentang Evaluasi Perkembangan Desa dan Kelurahan</t>
  </si>
  <si>
    <t>Data Profil Desa dan Kelurahan Desa</t>
  </si>
  <si>
    <t>Data Profil Desa dan Kelurahan</t>
  </si>
  <si>
    <t>PRODESKEL</t>
  </si>
  <si>
    <r>
      <rPr>
        <rFont val="Calibri, sans-serif"/>
        <color rgb="FF1155CC"/>
        <sz val="11.0"/>
        <u/>
      </rPr>
      <t>https://prodeskel.binapemdes.kemendagri.go.id/mpublik/</t>
    </r>
  </si>
  <si>
    <t>Oktavianti</t>
  </si>
  <si>
    <t>-Undang-Undang Nomor 6 Tahun 2014 tentang Desa
 - Permendagri Nomor 81 Tahun 2015 tentang Evaluasi Perkembangan Desa dan Kelurahan
 - Permendagri Nomor 86 Tahun 2017 tentang Tata Cara Perencanaan, Pengendalian, dan Evaluasi Pembangunan Daerah</t>
  </si>
  <si>
    <t>Data tingkat perkembangan desa</t>
  </si>
  <si>
    <t>Status desa</t>
  </si>
  <si>
    <t>EPDESKEL</t>
  </si>
  <si>
    <r>
      <rPr>
        <rFont val="Calibri, sans-serif"/>
        <color rgb="FF1155CC"/>
        <sz val="11.0"/>
        <u/>
      </rPr>
      <t>https://epdeskel.binapemdes.kemendagri.go.id/app_Login/</t>
    </r>
  </si>
  <si>
    <t>Melia H</t>
  </si>
  <si>
    <t>Layanan Aset Desa (Pengelolaan, Pengadaan dan Penghapusan)</t>
  </si>
  <si>
    <t>Mengelola aset desa dengan baik, termasuk dalam proses pengadaan, pengelolaan, dan penghapusan aset agar dapat memberikan manfaat maksimal bagi masyarakat desa.</t>
  </si>
  <si>
    <t>-Undang-Undang Nomor 6 Tahun 2014 tentang Desa
 - Permendagri Nomor 1 Tahun 2016 tentang Pengelolaan Aset Desa</t>
  </si>
  <si>
    <r>
      <rPr>
        <rFont val="Calibri, sans-serif"/>
        <color rgb="FF1155CC"/>
        <sz val="11.0"/>
        <u/>
      </rPr>
      <t>https://drive.google.com/file/d/1CvHE6emS2UxjsAt6IC87kgxEb19CuE3k/view?usp=sharing</t>
    </r>
  </si>
  <si>
    <t>Aset desa</t>
  </si>
  <si>
    <t>Data Aset Desa</t>
  </si>
  <si>
    <t>SIPADES</t>
  </si>
  <si>
    <r>
      <rPr>
        <rFont val="Calibri, sans-serif"/>
        <color rgb="FF1155CC"/>
        <sz val="11.0"/>
        <u/>
      </rPr>
      <t>http://sipades.id/</t>
    </r>
  </si>
  <si>
    <t>Bilal Rizky</t>
  </si>
  <si>
    <t>bilalramadhan30@gmail.com</t>
  </si>
  <si>
    <t>Layanan Pembinaan Lembaga Kemasyarakatan Desa</t>
  </si>
  <si>
    <t>Memberikan pembinaan dan dukungan kepada lembaga kemasyarakatan desa seperti karang taruna, PKK, dan lainnya untuk meningkatkan peran dan kontribusi mereka dalam pembangunan desa.</t>
  </si>
  <si>
    <t>Permendagri 13 tahun 2024 tentang Pos Pelayanan Terpadu</t>
  </si>
  <si>
    <r>
      <rPr>
        <rFont val="Calibri, sans-serif"/>
        <color rgb="FF1155CC"/>
        <sz val="11.0"/>
        <u/>
      </rPr>
      <t>https://drive.google.com/file/d/1YdbXWdCS28ppql72phZoI1RvIMqiXeuL/view?usp=sharing</t>
    </r>
  </si>
  <si>
    <t>Laporan/aduan masyarakat berdasarkan Posyandu 6 SPM (Kesehatan, Pendidikan, PU, PR, Trantibum Linmas, Sosial)</t>
  </si>
  <si>
    <t>SIPANDU BEDAS</t>
  </si>
  <si>
    <r>
      <rPr>
        <rFont val="Calibri, sans-serif"/>
        <color rgb="FF1155CC"/>
        <sz val="11.0"/>
        <u/>
      </rPr>
      <t>http://s.id/sipandubedas</t>
    </r>
  </si>
  <si>
    <t>Kelembagaan dan Peningkatan Partisipasi Masyarakat</t>
  </si>
  <si>
    <t>Ilham Juliana;
 Mariska Ardilla Faza</t>
  </si>
  <si>
    <t>Meningkatkan transparansi, akuntabilitas, dan efisiensi dalam pengelolaan keuangan di tingkat desa untuk memastikan setiap pengajuan bankeu digunakan secara efektif dan sesuai peruntukannya.</t>
  </si>
  <si>
    <t>Peraturan Bupati Bandung Nomor 328 Tahun 2025 tentang Pengelolaan Keuangan Desa</t>
  </si>
  <si>
    <r>
      <rPr>
        <rFont val="Calibri, sans-serif"/>
        <color rgb="FF1155CC"/>
        <sz val="12.0"/>
        <u/>
      </rPr>
      <t>https://drive.google.com/file/d/15CRvlXeoq6lRDTUnunhCxVgWmxrUKQsz/view?usp=drive_link</t>
    </r>
  </si>
  <si>
    <t>Data Keuangan Desa, Informasi Desa</t>
  </si>
  <si>
    <t>Surat Rekomendasi Pencairan Bankeu, Surat Pengantar</t>
  </si>
  <si>
    <t>SiPAKADES</t>
  </si>
  <si>
    <r>
      <rPr>
        <rFont val="Calibri, sans-serif"/>
        <color rgb="FF1155CC"/>
        <sz val="12.0"/>
        <u/>
      </rPr>
      <t>https://sipakades.bandungkab.go.id/</t>
    </r>
  </si>
  <si>
    <t>SIAP BKAD</t>
  </si>
  <si>
    <t>PEMDES</t>
  </si>
  <si>
    <t>Taopik; Fauzan</t>
  </si>
  <si>
    <t>Layanan Penataan Desa</t>
  </si>
  <si>
    <r>
      <rPr>
        <rFont val="Calibri, sans-serif"/>
        <color rgb="FF1155CC"/>
        <sz val="12.0"/>
        <u/>
      </rPr>
      <t>https://bds.bandungkab.go.id/signin</t>
    </r>
  </si>
  <si>
    <t>PENATAAN</t>
  </si>
  <si>
    <t>Mumu Rosadi;
 Agus Khairudin</t>
  </si>
  <si>
    <t>Mewujudkan Pemerintahan yang berorientasi Pelayanan, Akuntable, Kompeten, Harmonis, Loyal, Adaptif dan Kolaboratif (BerAKHLAK) melalui diantaranya fasilitasi pemekaran/penggabungan dan peningkatan desa/kelurahan</t>
  </si>
  <si>
    <t>DISHUB</t>
  </si>
  <si>
    <t>Layanan Informasi dan Pengajuan Uji KIR Kendaraan</t>
  </si>
  <si>
    <t>Memastikan kendaraan bermotor dan trayek angkutan umum aman dan layak operasi sesuai standar.</t>
  </si>
  <si>
    <t>UPTD Pengujian Kendaraan Bermotor</t>
  </si>
  <si>
    <t>-Undang - Undang No 22 tahun 2009 Lalu Lintas dan Angkutan Jalan
 - Peraturan Pemerintah Nomor 55 Tahun 2012 tentang kendaraan
 - Peraturan Menteri No 19 TAHUN2021 tentang Pengujian kendaraan Bermotor
 - Peraturan Menteri 156 Tahun 2016 tentang Kompetensi Penguji kendaraan Bermotor
 - KP.4404 AJ.502 DRJD 2020 TTG AKREDITASI UNIT PELAKSANA UJI BERKALA KB 
 - KEP DITJENHUBDAT BLUE NOMOR KP-DRJD 3291 TAHUN 2021 TENTANG PEDOMAN TEKNIS BUKTI LULUS UJI BERKALA KENDARAAN BERMOTOR</t>
  </si>
  <si>
    <r>
      <rPr>
        <rFont val="Calibri, sans-serif"/>
        <color rgb="FF1155CC"/>
        <sz val="12.0"/>
        <u/>
      </rPr>
      <t>https://drive.google.com/file/d/1r3y4yoWaoByjuAovOlwVhpYcdVHWYZlA/view?usp=drive_link</t>
    </r>
  </si>
  <si>
    <t>Data Pengujian Kendaraan Bermotor</t>
  </si>
  <si>
    <t>Data Hasil Pengujian Kendaraan Bermotor</t>
  </si>
  <si>
    <t>SIKUMIS BOKIR</t>
  </si>
  <si>
    <t>- Aplikasi Pencetakan BLUe Bukti Lulus Uji Elektronik Kementrian Perhubungan
 - Aplikasi MItra Darat Kementrian Perhubungan.</t>
  </si>
  <si>
    <t>- Pratiwi Aprianti Malinda , S.ST
 - Suryana</t>
  </si>
  <si>
    <t>- 085883571918
 - 085758638608</t>
  </si>
  <si>
    <t>uptdpkb383@gmail.com</t>
  </si>
  <si>
    <t>Layanan Penerangan Jalan Umum (PJU)</t>
  </si>
  <si>
    <t>untuk memastikan PJU berfungsi dengan baik</t>
  </si>
  <si>
    <t>UPTD Penerangan Jalan Umum</t>
  </si>
  <si>
    <t>data lokasi, jumlah titik, identitas pelapor, foto pju</t>
  </si>
  <si>
    <t>Data Penerangan Jalan Umum</t>
  </si>
  <si>
    <r>
      <rPr>
        <rFont val="Calibri, sans-serif"/>
        <color rgb="FF1155CC"/>
        <sz val="12.0"/>
        <u/>
      </rPr>
      <t>https://lapor.go.id/</t>
    </r>
  </si>
  <si>
    <t>call centre pengaduan pemeliharaan pju</t>
  </si>
  <si>
    <t>Layanan Perizinan Berusaha Berbasis Risiko (OSS)</t>
  </si>
  <si>
    <t>Untuk mempermudah proses penerbitan Nomor Induk Berusaha (NIB) bagi pelaku usaha dengan pendekatan berbasis risiko, sehingga memberikan kepastian dan kemudahan dalam menunjang perizinan usaha.</t>
  </si>
  <si>
    <t>1. Peraturan Pemerintah Nomor 5 Tahun 2021
 2. Peaturan Menteri BKPM Nomor 3 TAHUN 2021
 3. Peraturan Daerah Kabupaten Bandung Nomor 16 Tahun 2022</t>
  </si>
  <si>
    <t>Data Perizinan Berusaha</t>
  </si>
  <si>
    <t>OSS</t>
  </si>
  <si>
    <r>
      <rPr>
        <rFont val="Calibri, sans-serif"/>
        <color rgb="FF1155CC"/>
        <sz val="12.0"/>
        <u/>
      </rPr>
      <t>https://oss.go.id/</t>
    </r>
  </si>
  <si>
    <t>Terintegrasi dengan KSWP milik Kementerian Keuangan, terintegrasi dengan Kemendagri perihal data KTP, terintegrasi perihal Data Akta Hukum milik DITJEN AHU</t>
  </si>
  <si>
    <t>Bidang Pelayanan Perizinan</t>
  </si>
  <si>
    <t>dpmptsp@bandungkab.go.id</t>
  </si>
  <si>
    <t>Peningkatan kualitas pelayanan perizinan</t>
  </si>
  <si>
    <t>DPMPTSP dan Dinas Teknis sesuai layanan perizinan</t>
  </si>
  <si>
    <t>Layanan Perizinan Non Berusaha (Non OSS)</t>
  </si>
  <si>
    <t>Untuk memberikan layanan perizinan untuk kegiatan yang tidak terkait dengan usaha seperti Penerbitan Izin Pendidikan, Penerbitan Izin Sosial dan Penerbitan Izin Tata Ruang.</t>
  </si>
  <si>
    <t>1. Peraturan Bupati Bandung Nomor 239 Tahun 2025
 2. Keputusan Kepala Dinas DPMPTSP Kabupaten Bandung Nomor 100.3.3/033-KEP/DPMPTSP</t>
  </si>
  <si>
    <t>Data Perizinan Non Berusaha</t>
  </si>
  <si>
    <t>SAMIRINDU SILONCER</t>
  </si>
  <si>
    <r>
      <rPr>
        <rFont val="Calibri, sans-serif"/>
        <color rgb="FF1155CC"/>
        <sz val="12.0"/>
        <u/>
      </rPr>
      <t>https://dpmptsp.bandungkab.go.id/</t>
    </r>
  </si>
  <si>
    <t>Terintegrasi dengan Dukcapil Kab. Bandung dan terintegrasi dengan KSWP Kementerian Keuangan</t>
  </si>
  <si>
    <t>Layanan Persetujuan Bangunan Gedung</t>
  </si>
  <si>
    <t>Untuk memfasilitasi proses perizinan dan menerbitkan Surat Persetujuan Bangunan Gedung atau pembangunan gedung agar sesuai dengan peraturan dan standar yang berlaku.</t>
  </si>
  <si>
    <t>1. Peraturan Pemerintah Nomor 16 Tahun 2021</t>
  </si>
  <si>
    <t>Data Persetujuan Bangunan Gedung</t>
  </si>
  <si>
    <t>SIMBG</t>
  </si>
  <si>
    <r>
      <rPr>
        <rFont val="Calibri, sans-serif"/>
        <color rgb="FF1155CC"/>
        <sz val="12.0"/>
        <u/>
      </rPr>
      <t>https://simbg.pu.go.id/</t>
    </r>
  </si>
  <si>
    <t>DPMPTSP dan DPUTR</t>
  </si>
  <si>
    <t>Layanan MPP DIGITAL</t>
  </si>
  <si>
    <t>Untuk memberikan layanan perizinan untuk sementara kegiatan yang terkait dengan layanan kesehatan seperti Penerbitan Perizinan untuk Tenaga Kesehatan (SIP)</t>
  </si>
  <si>
    <t>1. Peraturan Presiden Nomor 89 Tahun 2021
 2. Peraturan Menteri PAN RB Nomor 92 Tahun 2021
 3. Keputusan Menteri PAN RB Nomor 660 Tahun 2024</t>
  </si>
  <si>
    <t>Data Perizinan Layanan Kesehatan</t>
  </si>
  <si>
    <t>Surat Izin Praktik untuk Petugas Layanan Kesehatan</t>
  </si>
  <si>
    <t>MPP DIGITAL</t>
  </si>
  <si>
    <r>
      <rPr>
        <rFont val="Calibri, sans-serif"/>
        <color rgb="FF1155CC"/>
        <sz val="12.0"/>
        <u/>
      </rPr>
      <t>https://next-gen.mppdigital.go.id/</t>
    </r>
  </si>
  <si>
    <t>Terintegrasi dengan Satu Sehat milik Kementerian Kesehatan</t>
  </si>
  <si>
    <t>DPMPTSP dan DINKES</t>
  </si>
  <si>
    <t>Layanan Legalisir PBG</t>
  </si>
  <si>
    <t>1. Meningkatkan efisiensi proses; dengan e-legalisir, proses legalisir dokumen menjadi lebih cepat dan erisjen karena menghapus langkah-langkah konvensional (proses tanda tangan manual) yang memakan waktu.
 2. Menjaga efektifitas kinerja pemerintah; dengan e-legalisir, durasi kerja pemegang otoritas/ mandat legalisir dokumen dapat digunakan secara lebih efektif.
 3. Meningkatkan keamanan dan jaminan keaslian legalisir; dengan menggunakan teknologi digital seperti tanda tangan elektronik dan kode QR, eJegalisir sulit untuk dipalsukan, karena merekam data dokumen yang dilegalisir serta identitas penandatangan legalisir.
 4. Transparansi dan akuntabilitas; dengan +.legalisir tercipta sistem yang lebih transparan dan akuntabel, karena setiap tahapan proses dapat dipantau dan direkam secara digital.
 5. Pemenuhan target SPBE dalam indikator reformasi birokrasi; eJegalisir sebagai salah satu wujud komitmen digitalisasi layanan publik, meningkatkan kinerja pelayanan kepada masyarakat, serta mengikuti perkembangan teknologi.
 6. Potensi replika sistem verifikasi dokumen dalam sektor lainnya; eJegalisir ini memungkinkan proses replika pada penyelenggaraan urusan pemerintahan bidang lainnya (di luar bidang penanaman modal, pelayanan perizinan, PTSP), serta memungkinkan proses integrasi dengan sistem lain, seperti bidang pendidikan, kependudukan dan catatan sipil.</t>
  </si>
  <si>
    <t>1. Peraturan Daerah Kabupaten Bandung Nomor 2 Tahun 2024</t>
  </si>
  <si>
    <t>Data PBG</t>
  </si>
  <si>
    <t>TTE Qr Code</t>
  </si>
  <si>
    <t>SIRSAK</t>
  </si>
  <si>
    <r>
      <rPr>
        <rFont val="Calibri, sans-serif"/>
        <color rgb="FF1155CC"/>
        <sz val="12.0"/>
        <u/>
      </rPr>
      <t>https://perizinan.bandungkab.go.id/sirsak</t>
    </r>
  </si>
  <si>
    <t>Sekretariat DPMPTSP Kab. Bandung</t>
  </si>
  <si>
    <t>Booking Antrian Imgirasi</t>
  </si>
  <si>
    <t>Tujuan Layanan
 1. Memberikan kemudahan kepada masyarakat dalam melakukan pemesanan antrian pelayanan keimigrasian secara terjadwal.
 2. Mengurangi waktu tunggu masyarakat dalam memperoleh pelayanan di kantor imigrasi.
 3. Menghindari penumpukan atau kerumunan pemohon layanan di lokasi pelayanan.
 4. Meningkatkan ketertiban, efisiensi, dan kualitas pelayanan kepada masyarakat.
 5. Mengatur jumlah pemohon layanan sesuai kuota yang telah ditetapkan yaitu 25 orang per hari, yang dibuka setiap hari Selasa dan Jumat.
 Fungsi Layanan
 1. Sebagai sistem pendaftaran antrian pelayanan keimigrasian secara online.
 2. Membantu masyarakat dalam memilih jadwal pelayanan yang tersedia.
 3. Membantu petugas dalam mengatur dan mengontrol jumlah pemohon yang dilayani setiap hari.
 4. Menciptakan proses pelayanan yang lebih tertib, terorganisir, dan transparan.
 5.Memastikan pelayanan berjalan sesuai dengan jadwal dan kuota yang telah ditentukan.</t>
  </si>
  <si>
    <t>Peraturan Daerah Kabupaten Bandung Nomor 16 Tahun 2022</t>
  </si>
  <si>
    <t>Data KTP</t>
  </si>
  <si>
    <t>Dokumen Booking</t>
  </si>
  <si>
    <t>Booking Antrian Imigrasi</t>
  </si>
  <si>
    <r>
      <rPr>
        <rFont val="Calibri, sans-serif"/>
        <color rgb="FF1155CC"/>
        <sz val="12.0"/>
        <u/>
      </rPr>
      <t>https://perizinan.bandungkab.go.id/layanan-kami/booking-antrian-imigrasi</t>
    </r>
  </si>
  <si>
    <t>DISPORA</t>
  </si>
  <si>
    <t>Layanan Pendataan Atlet Berprestasi</t>
  </si>
  <si>
    <t>Sistem Data Keolahragaan (SIDORA) adalah sistem yang disediakan oleh Dinas Pemuda dan Olahraga bagi internal dan masyarakat untuk mengetahui potensi SDM Keolahragaan dan mengetahui serta menginventarisir Sarana Prasarana olahraga yang berada di Kabupaten Bandung</t>
  </si>
  <si>
    <t>1. Undang – Undang Nomor 3 Tahun 2005 Tentang Sistem Keolahragaan 
 Nasional 
 2. Peraturan Pemerintah Nomor 18 Tahun 2007 Tentang Pendanaan 
 Keolahragaan 
 3. Peraturan Presiden Nomor 95 Tahun 2017 Tentang Peningkatan Prestasi 
 Olahraga Nasional 
 4. Peraturan Menteri Pemuda Dan Olah Raga Nomor 10 Tahun 2015 Tentang 
 Pembinaan dan Pengembangan Industri Olahraga Nasional 
 5. Peraturan Daerah Kabupaten Bandung Nomor 12 Tahun 2013 tentang 
 Partisipasi dan Keterbukaan Informasi Publik Dalam Penyelenggaraan 
 Pemerintahan di Kabupaten Bandung (Lembaran Daerah Kabupaten 
 Bandung Tahun 2013 Nomor 12) 
 6. Peraturan Daerah Kabupaten Bandung Nomor 16 Tahun 2013 Tentang 
 Penyelenggaraan Keolahragaan Daerah 
 7. Peraturan Daerah Kabupaten Bandung Nomor 12 Tahun 2016 Tentang 
 Pembentukan dan Susunan Perangkat Daerah Kabupaten Bandung 
 (Lembaran Daerah Kabupaten Bandung Tahun 2016 Nomor12) 
 8. Peraturan Bupati Nomor 60 Tahun 2020 tentang Tugas Fungsi dan Tata 
 Kerja Dinas Pemuda dan Olahraga</t>
  </si>
  <si>
    <t>Nama, Jenis Kelamin, Alamat, Foto ID, Cabang Olahraga, Jenis Prestasi, Kategori, Tempat Tanggal Lahir, Jenis Organisasi, Peraihan Medali, Tahun peraihan prestasi</t>
  </si>
  <si>
    <t>Data Atlet Berprestasi di ajang Provinsi, Nasional dan internasional</t>
  </si>
  <si>
    <t>SIDORA</t>
  </si>
  <si>
    <r>
      <rPr>
        <rFont val="Calibri, sans-serif"/>
        <color rgb="FF1155CC"/>
        <sz val="12.0"/>
        <u/>
      </rPr>
      <t>https://sidora.bandungkab.go.id/</t>
    </r>
  </si>
  <si>
    <t>Sudah terintegrasi Diskominfo</t>
  </si>
  <si>
    <t>Bidang Pengembangan Organisasi Keolahragaan Prestasi</t>
  </si>
  <si>
    <t>Deden Mulyana</t>
  </si>
  <si>
    <t>bidorpresdispora@gmail.com</t>
  </si>
  <si>
    <t>Layanan Pendataan Pemuda dan Minat Pemuda</t>
  </si>
  <si>
    <t>Sistem Data Kepemudaan (SIDOPA) adalah sistem yang disediakan oleh Dinas Pemuda dan Olahraga khusus untuk pemuda Kabupaten Bandung berusia 16-30 tahun agar dapat belajar, berkarya, dan menjadi agen perubahan.</t>
  </si>
  <si>
    <t>1. Undang-Undang Nomor 40 tahun 2009 Tentang Kepemudaan
 2. PP Nomor 41 Tahun 2011 Tentang Pengembangan Kewirausahaan pemuda dan kepeloporanpemuda serta penyediaan sarana prasarana pemuda
 3. Peraturan Menteri Pemuda dan Olahraga RI No. 1 Tahun 2023 tentang peeningkatan daya saing kewirausahaan pemuda di daerah
 4. Peraturan Daera (PERDA) Provinsi Jawa Barat No. 8 Tahun 2016 tentang pedoman pelayanan kepemudaan
 5. Peraturan Bupati Bandung no 148 Tahun 2021 tentang Petunjuk Pelaksanaan PERDA nomor 30 tahun 2012 tentang pembanagunan kepemudaan</t>
  </si>
  <si>
    <t>Nama, Jenis Kelamin, Alamat, Tempat Tanggal Lahir, NIK, Agama, Pendidikan terakhir, Profesi, Hobi, Data Komunitas, Data Organisasi, Kemampuan, Jumlah Pendapatan, Golongan Darah, Pelatihan yang diminati, status perwkawinan, izin usaha yang sudah dimiliki</t>
  </si>
  <si>
    <t>Data Pemuda di Kabupaten Bandung</t>
  </si>
  <si>
    <t>SIDOPA</t>
  </si>
  <si>
    <r>
      <rPr>
        <rFont val="Calibri, sans-serif"/>
        <color rgb="FF1155CC"/>
        <sz val="12.0"/>
        <u/>
      </rPr>
      <t>https://sidopabandungkab.com</t>
    </r>
  </si>
  <si>
    <t>belum terintegrasi</t>
  </si>
  <si>
    <t>Bidang Pemberdayaan Kepemudaan</t>
  </si>
  <si>
    <t>Obikha Rezeki</t>
  </si>
  <si>
    <t>pemberdayaan.kab.bandung@gmail.com</t>
  </si>
  <si>
    <t>Layanan Pendataan Aset Barang Milik Daerah</t>
  </si>
  <si>
    <t>Sistem Informasi Manajemen Daerah (SIMDA) adalah wadah atau sistem yang disediakan untuk mengolah data terkait informasi barang milik daerah secara terstruktur dan terorganisir dan membantu pemerintah dalam melakukan pencatatan pelaporan dan analisis data BMD.</t>
  </si>
  <si>
    <t>1. UU Nomor 17 Tahun 2023 Tentang Keuangan Negara
 2. UU Nomor 15 Tahun 2024 Tentang Pembendaharaan Negara
 3. UU Nomor 1 Tahun 2024 Tentang Pertanggungjawaban Keuangan Negara</t>
  </si>
  <si>
    <t>Aset (Data Tanah, peralatan dan mesin, bangunan dan gedung, jaringan irigasi dan drainase, aset tetap lainnya), Luas, Jumlah, Harga, Kode barang, Kode Lokasi, Kode regis, Keterangan</t>
  </si>
  <si>
    <t>Laporan Aset</t>
  </si>
  <si>
    <t>SIMDA</t>
  </si>
  <si>
    <t>SIMDA BMD</t>
  </si>
  <si>
    <t>Simda Kabupaten Bandung</t>
  </si>
  <si>
    <t>Kesekretariatan (Barang Milik Daerah)</t>
  </si>
  <si>
    <t>Zidan Fernando</t>
  </si>
  <si>
    <t>disporabmd@gmail.com</t>
  </si>
  <si>
    <t>Layanan Informasi mengenai tata kelola atau informasi</t>
  </si>
  <si>
    <t>SIJALAK adalah sistem informasi mengenai tata layanan dan operasi di kawasan SOR Jalak Harupat</t>
  </si>
  <si>
    <t>tidak tersedia</t>
  </si>
  <si>
    <t>Informasi layanan, pengaduan, lokasi venue</t>
  </si>
  <si>
    <t>Informasi fasilitas</t>
  </si>
  <si>
    <t>SIJALAK</t>
  </si>
  <si>
    <r>
      <rPr>
        <rFont val="Calibri, sans-serif"/>
        <color rgb="FF1155CC"/>
        <sz val="12.0"/>
        <u/>
      </rPr>
      <t xml:space="preserve">rencana membuat sub domain dari </t>
    </r>
    <r>
      <rPr>
        <rFont val="Calibri, sans-serif"/>
        <color rgb="FF1155CC"/>
        <sz val="12.0"/>
        <u/>
      </rPr>
      <t>disporabandungkab.go.id</t>
    </r>
  </si>
  <si>
    <t>Kesekretariatan</t>
  </si>
  <si>
    <t>Imam Budiana, S.E</t>
  </si>
  <si>
    <t>program.dispora.kabbdg@gmail.com</t>
  </si>
  <si>
    <t>Layanan Anggaran dan rencana kerja dinas</t>
  </si>
  <si>
    <t>Sistem Informasi Perangkat Daerah (SIPD) adalah sistem pendataan penatausaha dan keuangan yang bertujuan untuk meningkatkan transparansi, akuntabilitas, dan integrasi data antar daerah di seluruh Indonesia.</t>
  </si>
  <si>
    <t>1. UU 23 Tahun 2014 tentang Pemerintahan Daerah
 2. Peraturan Pemerintah Nomor 12 Tahun 2019 tentang Pengelolaan Keuangan Daerah 
 3. Undang-Undang Nomor 17 Tahun 2003 tentang Keuangan Negara
 4. Undang-Undang Nomor 1 Tahun 2004 tentang Perbendaharaan Negara
 5. Peraturan menteri dalam negeri (permendagri) nomor 77 tahun 2020 tentang Pedoman Teknis Pengelolaan Keuangan Daerah 
 6. Undang-Undang Nomor 15 Tahun 2004 tentang Pemeriksaan Pengelolaan dan Tanggung jawab Keuangan Negara 
 7. Undang-undang Nomor 30 Tahun 2014 tentang Administrasi Pemerintahan</t>
  </si>
  <si>
    <t>Rencana Kinerja, Anggaran, dan Realisasi Anggaran</t>
  </si>
  <si>
    <t>Data Rencana dan Keuangan Dinas Pemuda dan Olahraga</t>
  </si>
  <si>
    <r>
      <rPr>
        <rFont val="Calibri, sans-serif"/>
        <color rgb="FF1155CC"/>
        <sz val="12.0"/>
        <u/>
      </rPr>
      <t>https://sipdkemendagri.go.id</t>
    </r>
  </si>
  <si>
    <t>Sudah Terintegrasi</t>
  </si>
  <si>
    <t>Kesekretariatan (Keuangan)</t>
  </si>
  <si>
    <t>Bambang Triadi</t>
  </si>
  <si>
    <t>abanktriadi@gmail.com</t>
  </si>
  <si>
    <t>Layanan Pengolahan Data Statistik Pemuda dan Olahraga</t>
  </si>
  <si>
    <t>Sistem Manajemen Statistik Daerah (SIMASDA) adalah sistem manajemen data yang mencakup data statistik capaian kinerja suatu perangkat daerah salah satunya DISPORA. SIMASDA bertujuan untuk mengelola data yang kemudian akan dijadikan acuan untuk perencanaan kinerja di tahun berikutnya.</t>
  </si>
  <si>
    <t>Atlet Berprestasi, Pemuda, Kejuaraan Olahraga Prestasi, Kejuaraan Olahraga Masyarakat, Kegiatan Pelatihan Wirausaha, Standarisasi Olahraga, dll</t>
  </si>
  <si>
    <t>Data Pemuda dan Olahraga</t>
  </si>
  <si>
    <r>
      <rPr>
        <rFont val="Calibri, sans-serif"/>
        <color rgb="FF1155CC"/>
        <sz val="12.0"/>
        <u/>
      </rPr>
      <t>https://simasda.bandungkab.go.id/</t>
    </r>
  </si>
  <si>
    <t>(DISPORA) Ghina Senjaningsih, S.Stat</t>
  </si>
  <si>
    <t>Layanan Peminjaman Area/Venue Olahraga</t>
  </si>
  <si>
    <t>Layanan ini bertujuan untuk mengelola peminjaman sarana di kawasan SOR Jalak Harupat sekaligus transaksi untuk penyewaan agar lebih terorganisir. (SIPELOR-SISTEM INFORMASI PENYEWAAN LAPANGAN OLAHRAGA)</t>
  </si>
  <si>
    <r>
      <rPr>
        <rFont val="Calibri, sans-serif"/>
        <color rgb="FF1155CC"/>
        <sz val="12.0"/>
        <u/>
      </rPr>
      <t>https://drive.google.com/file/d/1CK9sB-VkjtVcnm48SmIytt7EAWrjRZba/view?usp=sharing</t>
    </r>
  </si>
  <si>
    <t>Nama, No. HP, Venue yang disewa, Lama Waktu penyewaan (Jam/Hari), Harga</t>
  </si>
  <si>
    <t>Data Sewa Venue Olahraga</t>
  </si>
  <si>
    <t>SIPELOR</t>
  </si>
  <si>
    <t>Data Administrasi</t>
  </si>
  <si>
    <t>-Rencana dan launching 2026</t>
  </si>
  <si>
    <t>Bambang Triadi/ Rama</t>
  </si>
  <si>
    <t>082121790185 / 085150692618</t>
  </si>
  <si>
    <t>abanktriadi@gmail.com / program.dispora.kabbdg@gmail.com</t>
  </si>
  <si>
    <t>DISPERDAGIN</t>
  </si>
  <si>
    <t>Sistem informasi Bahan Pokok dan Penting</t>
  </si>
  <si>
    <t>Tujuan dari SIBAPOKTING adalah menyediakan acuan bagi pemerintah Kabupaten Bandung dalam perencanaan, pelaksanaan, dan evaluasi kebijakan, dengan memuat data perkembangan harga kebutuhan pokok dan barang penting. Database ini juga mendukung penyusunan laporan harga yang lebih efisien dan dapat diakses oleh masyarakat luas. Fungsinya sebagai sarana penyimpanan dan penyajian data BAPOKTING secara terintegrasi, memberikan informasi akurat untuk pengambilan keputusan, serta sebagai alat monitoring perkembangan harga BAPOKTING guna meningkatkan transparansi, efisiensi, dan efektivitas.</t>
  </si>
  <si>
    <t>Undang - Undang Nomor 7 Tahun 2014 Tentang Perdagangan dan Permendag Nomor 22 Tahun 2021 Tentang Tata Cara Pelaporan Barang Kebutuhan
 Pokok dan Barang Penting</t>
  </si>
  <si>
    <r>
      <rPr>
        <rFont val="Calibri, sans-serif"/>
        <color rgb="FF1155CC"/>
        <sz val="12.0"/>
        <u/>
      </rPr>
      <t>SOP SIBAPOKTING 2025 Ttd.pdf</t>
    </r>
  </si>
  <si>
    <t>Data Harga Bahan Pokok dan Barang Penting dari Pasar Pantauan Kabupaten Bandung</t>
  </si>
  <si>
    <t>Data Harga Bapokting</t>
  </si>
  <si>
    <t>SIBAPOKTING</t>
  </si>
  <si>
    <r>
      <rPr>
        <rFont val="Calibri, sans-serif"/>
        <color rgb="FF1155CC"/>
        <sz val="12.0"/>
        <u/>
      </rPr>
      <t>https://sibapokting.bandungkab.go.id/</t>
    </r>
  </si>
  <si>
    <t>Integrasi dengan Silinda Jabar dan BDS Bandungkab</t>
  </si>
  <si>
    <t>Bidang P3BP (Pengembangan Perdagangan dan Pengendalian Barang Pokok dan penting)</t>
  </si>
  <si>
    <t>Elisa Yuniangsih</t>
  </si>
  <si>
    <t>eliasyuniangsih076@gmail.com</t>
  </si>
  <si>
    <t>eSKA (Elektronik Surat Keterangan Asal)</t>
  </si>
  <si>
    <t>Layanan eSKA adalah merupakan sertifikasi asal barang, dimana dinyatakan dalam sertifikat tersebut bahwa barang/ komoditas yang diekspor adalah berasal dari daerah/negara pengekspor. Mendasari hal ini adalah kesepakatan Bilateral, Regional, Multilateral, Unilateral, atau Karena Ketentuan sepihak dari suatu negara pengimpor/ tujuan, yang mewajibkan SKA ini disertakan pada barang ekspor Indonesia. SKA ini yang membuktikan bahwa barang tersebut berasal, dihasilkan dan atau diolah di Indonesia.</t>
  </si>
  <si>
    <t>Keppermendag RI No. 1495 Tahun 2024 Tentang Penetapan Instansi Penerbit SKA. Permendag RI No. 39 Tahun 2020 Tentang Perubahan Ketiga atas Permendag No.24 Tahun 2018 Tentang Ketentuan dan Tata Cara Penerbitan SKA untuk Barang Asal Indonsia</t>
  </si>
  <si>
    <r>
      <rPr>
        <rFont val="Calibri, sans-serif"/>
        <color rgb="FF1155CC"/>
        <sz val="12.0"/>
        <u/>
      </rPr>
      <t>SOP SKA.pdf</t>
    </r>
  </si>
  <si>
    <t>Data Invoice, Packing List, PEB, NPE, dan BL atau AWB</t>
  </si>
  <si>
    <t>Data Ekspor</t>
  </si>
  <si>
    <t>eSKA</t>
  </si>
  <si>
    <r>
      <rPr>
        <rFont val="Calibri, sans-serif"/>
        <color rgb="FF1155CC"/>
        <sz val="12.0"/>
        <u/>
      </rPr>
      <t>ska.kemendag.go.id</t>
    </r>
  </si>
  <si>
    <t>OSS, BI, Kemendag, Kantor IPSKA, Bea Cukai, Perusahaan, Buyer, dan Custom Luar Negeri</t>
  </si>
  <si>
    <t>Didi Kusdiaman, S.E</t>
  </si>
  <si>
    <t>soreang.daglu@gmail.com</t>
  </si>
  <si>
    <t>Pelayanan Tera/Tera Ulang</t>
  </si>
  <si>
    <t>Memastikan kebenaran pengukuran dari alat ukur, takar, timbang dan perlengkapannya (UTTP) yang berada di wilayah Kabupaten Bandung</t>
  </si>
  <si>
    <t>Undang -Undang Nomor 2 Tahun 1981 tentang Metrologi Legal;</t>
  </si>
  <si>
    <r>
      <rPr>
        <rFont val="Calibri, sans-serif"/>
        <color rgb="FF1155CC"/>
        <sz val="12.0"/>
        <u/>
      </rPr>
      <t>SOP Pelayanan Kantor.xlsx</t>
    </r>
  </si>
  <si>
    <t>Data Pemilik dan Alat UTTP</t>
  </si>
  <si>
    <t>Data Hasil Pelayanan Tera/Tera Ulang dan Surat Keterangan Hasil Pengujian</t>
  </si>
  <si>
    <t>Google Form</t>
  </si>
  <si>
    <r>
      <rPr>
        <rFont val="Calibri, sans-serif"/>
        <color rgb="FF1155CC"/>
        <sz val="12.0"/>
        <u/>
      </rPr>
      <t>bit.ly/PendaftaranTTU2025</t>
    </r>
  </si>
  <si>
    <t>UPTD Metrologi Legal</t>
  </si>
  <si>
    <r>
      <rPr>
        <rFont val="Calibri, sans-serif"/>
        <color rgb="FF1155CC"/>
        <sz val="12.0"/>
        <u/>
      </rPr>
      <t xml:space="preserve">Fatihatul Aulia, </t>
    </r>
    <r>
      <rPr>
        <rFont val="Calibri, sans-serif"/>
        <color rgb="FF1155CC"/>
        <sz val="12.0"/>
        <u/>
      </rPr>
      <t>S.Si</t>
    </r>
  </si>
  <si>
    <t>fatihatulaaulia@gmail.com</t>
  </si>
  <si>
    <t>Sistem Informasi Industri Nasional</t>
  </si>
  <si>
    <t>platform digital untuk mengumpulkan, mengelola, dan menyediakan data serta informasi tentang industri nasional</t>
  </si>
  <si>
    <t>Undang-Undang Nomor 3 Tahun 2014 tentang Perindustrian</t>
  </si>
  <si>
    <r>
      <rPr>
        <rFont val="Calibri, sans-serif"/>
        <color rgb="FF1155CC"/>
        <sz val="12.0"/>
        <u/>
      </rPr>
      <t>alur pelaporan siinas.pdf</t>
    </r>
  </si>
  <si>
    <t>Data perusahaan
 Laporan tahap pembangunan industri
 Laporan tahap produks</t>
  </si>
  <si>
    <t>Data industri</t>
  </si>
  <si>
    <t>SIINas</t>
  </si>
  <si>
    <r>
      <rPr>
        <rFont val="Calibri, sans-serif"/>
        <color rgb="FF1155CC"/>
        <sz val="12.0"/>
        <u/>
      </rPr>
      <t>https://siinas.kemenperin.go.id</t>
    </r>
  </si>
  <si>
    <t>Bidang Pengawasan dan Kerjasama Industri</t>
  </si>
  <si>
    <t>Dadang P Permana, SE</t>
  </si>
  <si>
    <t>0823-1226-2303</t>
  </si>
  <si>
    <t>Pdkiindagkabbdg@gmail.com</t>
  </si>
  <si>
    <t>Sistem Pengolahan Data Industri</t>
  </si>
  <si>
    <t>Layanan informasi tentang industri di Kabupaten Bandung</t>
  </si>
  <si>
    <t>Profil Industri</t>
  </si>
  <si>
    <r>
      <rPr>
        <rFont val="Calibri, sans-serif"/>
        <color rgb="FF1155CC"/>
        <sz val="12.0"/>
        <u/>
      </rPr>
      <t>https://OSS.go.id</t>
    </r>
  </si>
  <si>
    <t>Si Pintar Online (Sistem Penarikan Retribusi Pasar Secara Online)</t>
  </si>
  <si>
    <t>inovasi SI PINTAR ONLINE menciptakan sistem penarikan retribusi pasar yang terintegrasi, transparan, dan berbasis digital guna meningkatkan efisiensi pelayanan publik serta optimalisasi PAD Kabupaten Bandung. Melalui digitalisasi berbasis Mobile Point of Sale (MPOS) dan kanal pembayaran non tunai (QRIS, e-wallet, tapbrizi, virtual account), sistem ini memungkinkan transaksi real-time, akurat dan terdokumentasi otomatis.</t>
  </si>
  <si>
    <t>• Perda No. 10 Tahun 2023 tentang Pajak dan Retribusi Daerah,
 • Perda No. 10 Tahun 2022 tentang Penyelenggaraan Perdagangan dan Perindustrian
 • Perbup No. 97 Tahun 2024 tentang Pelaksanaan Perda Perdagangan,
 • Dukungan dalam RPJMD Kabupaten Bandung 2021–2026 dan Renstra Dokumen
 • SK Bupati Bandung tahun 2023 dan 2024 nomor : 050/Kep.955-Bapperida/2023 tentang penetapan Inovasi Perangkat Daerah Kabupaten Bandung 
 • SK Kepala Disperdagin Kab. Bandung Nomor : 511.2/Kep.065-SPD/2023 Tim Fasilitator Inovasi Daerah Sipintar Online</t>
  </si>
  <si>
    <r>
      <rPr>
        <rFont val="Calibri, sans-serif"/>
        <color rgb="FF1155CC"/>
        <sz val="12.0"/>
        <u/>
      </rPr>
      <t>SOP Eretribusi</t>
    </r>
  </si>
  <si>
    <t>Data Wajib Retribusi</t>
  </si>
  <si>
    <t>Laporan Penerimaan Pendapatan Asli Daerah (PAD)</t>
  </si>
  <si>
    <r>
      <rPr>
        <rFont val="Calibri, sans-serif"/>
        <color rgb="FF1155CC"/>
        <sz val="12.0"/>
        <u/>
      </rPr>
      <t>sipintar online</t>
    </r>
  </si>
  <si>
    <r>
      <rPr>
        <rFont val="Calibri, sans-serif"/>
        <color rgb="FF1155CC"/>
        <sz val="12.0"/>
        <u/>
      </rPr>
      <t>https://sipintaronline.bandungkab.go.id/login</t>
    </r>
  </si>
  <si>
    <t>Bidang Sarana dan Pelaku Distribusi</t>
  </si>
  <si>
    <t>Cepi Hendi Sonjaya, SE., MM</t>
  </si>
  <si>
    <t>cepimeker@gmail.com</t>
  </si>
  <si>
    <t>1. Penguatan Tata Kelola Pemerintahan yang Transparan dan Akuntabel, 
 2. Optimalisasi peningkatan Pendapatan Asli Daerah (PAD), dan 
 3. Digitalisasi pelayanan publik berbasis elektronik</t>
  </si>
  <si>
    <t>Penerbitan Surat Tanda Pemakaian Kios Dan Lapak Bagi Pedagang</t>
  </si>
  <si>
    <t>Tujuan dari layanan penerbitan Surat Tanda Pemakaian Kios dan Lapak bagi pedagang adalah untuk memberikan kepastian hukum dan legalitas pemanfaatan sarana perdagangan, sehingga pedagang memiliki dasar yang sah dalam menempati serta menggunakan kios atau lapak yang disediakan pemerintah/instansi terkait, sekaligus mendukung tertib administrasi, pengelolaan, dan pendataan pelaku usaha di lingkungan pasar atau area perdagangan.
 Fungsi layanan ini adalah sebagai instrumen pengaturan dan pengawasan pemanfaatan kios dan lapak oleh pedagang, menjaga keteraturan serta keadilan dalam distribusi sarana perdagangan, mendukung kenyamanan dan keamanan kegiatan jual beli di pasar, serta menjadi acuan dalam pembinaan, penertiban, dan peningkatan kualitas pelayanan publik di sektor perdagangan.</t>
  </si>
  <si>
    <t>PERDA No 10 Tahun 2022 Tentang Penyelenggaraan Perdagangan dan Perindustrian
 Perbup No 97 Tahun 2024 Tentang Peraturan Daerah no 10 Tahun 2022 Tentang penyelenggaraan perdagangan dan perindustrian</t>
  </si>
  <si>
    <r>
      <rPr>
        <rFont val="Calibri, sans-serif"/>
        <color rgb="FF1155CC"/>
        <sz val="12.0"/>
        <u/>
      </rPr>
      <t>SOP STPK STPL</t>
    </r>
  </si>
  <si>
    <t>Data Pengguna Kios dan Lapak</t>
  </si>
  <si>
    <t>Data Kios dan Lapak</t>
  </si>
  <si>
    <t>Depi Supriadi SM.</t>
  </si>
  <si>
    <t>depisupriadi1@gmail.com</t>
  </si>
  <si>
    <t>SPP-IRT-Badan POM</t>
  </si>
  <si>
    <r>
      <rPr>
        <rFont val="Calibri, sans-serif"/>
        <color rgb="FF1155CC"/>
        <sz val="12.0"/>
        <u/>
      </rPr>
      <t>https://sppirt.pom.go.id/</t>
    </r>
  </si>
  <si>
    <t>OSS : 2018
 SPP-IPR - Badan POM : 2021
 DGIP : 2019</t>
  </si>
  <si>
    <t>DGIP</t>
  </si>
  <si>
    <r>
      <rPr>
        <rFont val="Calibri, sans-serif"/>
        <color rgb="FF1155CC"/>
        <sz val="12.0"/>
        <u/>
      </rPr>
      <t>https://www.dgip.go.id/</t>
    </r>
  </si>
  <si>
    <t>Galeri Kriya Bedas</t>
  </si>
  <si>
    <t>Galeri Kriya Bedas merupakan pusat pelayanan dan promosi untuk para pelaku usaha di Kabupaten Bandung, yang dinaungi oleh Dinas Perdagangan dan Perindustrian Kabupaten Bandung. 
 Tujuannya dapat membantu para pelaku usaha di wilayah Kabupaten Bandung mulai dari legalitas hingga promosi pemasaran.</t>
  </si>
  <si>
    <t>1. Undang-Undang Nomor 3 Tahun 2014 tentang Perindustrian
 2. Undang-Undang Nomor 6 Tahun 2023 tentang Penetapan Peraturan Pemerintah 
 3. Peraturan Badan Pengawas Obat dan Makanan (BPOM) Nomor 4 Tahun 2024 tentang Pedoman Penerbitan Sertifikat Pemenuhan Komitmen Produksi Pangan Olahan Industri Rumah Tangga
 4. Undang-Undang Nomor 18 Tahun 2012 tentang Pangan dan Undang-Undang tentang Cipta Kerja
 5. Peraturan Daerah (Perda) Kabupaten Bandung Nomor 10 Tahun 2022 tentang Penyelenggaraan Perdagangan Dan Perindustrian</t>
  </si>
  <si>
    <r>
      <rPr>
        <rFont val="Calibri, sans-serif"/>
        <color rgb="FF1155CC"/>
        <sz val="12.0"/>
        <u/>
      </rPr>
      <t>SOP Galeri Kriya Bedas</t>
    </r>
  </si>
  <si>
    <t>Data Pelaku Usaha / IKM</t>
  </si>
  <si>
    <t>Sertifikat Legalitas, Data IKM</t>
  </si>
  <si>
    <t>Google Formulir</t>
  </si>
  <si>
    <t>https://bit.ly/eFormPembuatanNIB
 https://bit.ly/FormPengajuanPIRT
 https://bit.ly/HKImerek2025
 https://bit.ly/ujinutrisidanumursimpan2025
 https://bit.ly/FasilitasiHALAL2025</t>
  </si>
  <si>
    <t>Bidang Pembangunan dan Pemberdayaan Industri</t>
  </si>
  <si>
    <t>Maya Kusumadewi, ST</t>
  </si>
  <si>
    <t>galerikriyabedas.kabbdg@gmail.com</t>
  </si>
  <si>
    <t>Rumah Kemasan</t>
  </si>
  <si>
    <t>1) Peningkatan Kualitas dan Standarisasi Kemasan IKM
 a) Memberikan layanan desain kemasan yang menarik, fungsional, dan sesuai dengan trend pasar.
 b) Membantu IKM dalam memenuhi standar kemasan yang sesuai dengan peraturan perundangan-undangan yang berlaku.
 2) Optimalisasi Layanan Kemasan
 a) Memfasilitasi layanan pencetakan dan produksi kemasan bagi IKM yang belum memiliki akses ke pihak ketiga yang bekerja sama dengan dinas.
 b) Menyediakan konsultasi bagi IKM mengenai kemasan, strategi pencitraan merek (branding) dan pemasaran berbasis kemasan.
 3) Meningkatkan Daya Saing Produk IKM Kabupaten Bandung
 a) Membantu IKM dalam meningkatkan pencitraan merek (branding) produk melalui kemasan yang profesional.
 b) Mendorong produk IKM Kabupaten Bandung agar lebih kompetitif di pasar nasional maupun internasional.</t>
  </si>
  <si>
    <t>1) PerBPOM No. 6 Tahun 2024 tentang Perubahan Kedua atas PerBPOM No. 31 Tahun 2018 tentang Label Pangan Olahan
 2) Peraturan Daerah (Perda) Kabupaten Bandung Nomor 10 Tahun 2022 tentang Penyelenggaraan Perdagangan Dan Perindustrian
 3) Peraturan Menteri Perindustrian No. 6 Tahun 2025 tentang Pemberlakuan Standar Nasional Indonesia untuk Kertas dan Karton sebagai Bahan Baku Pembuatan Kemasan Primer untuk Pangan secara Wajib
 4) PERATURAN KEPALA BADAN PENGAWAS OBAT DAN MAKANAN REPUBLIK INDONESIA NOMOR : HK 00.05.55.6497 20 Agustus Tahun 2007 TENTANG BAHAN KEMASAN PANGAN</t>
  </si>
  <si>
    <r>
      <rPr>
        <rFont val="Calibri, sans-serif"/>
        <color rgb="FF1155CC"/>
        <sz val="12.0"/>
        <u/>
      </rPr>
      <t>SOP Rumah Kemasan</t>
    </r>
  </si>
  <si>
    <t>Hasil Desain Kemasan, Logo</t>
  </si>
  <si>
    <r>
      <rPr>
        <rFont val="Calibri, sans-serif"/>
        <color rgb="FF1155CC"/>
        <sz val="12.0"/>
        <u/>
      </rPr>
      <t>https://bit.ly/e-Form_KlinikKemasan</t>
    </r>
  </si>
  <si>
    <t>klinikkemasan.kabbdg@gmail.com</t>
  </si>
  <si>
    <t>DISTAN</t>
  </si>
  <si>
    <t>Aplikasi Layanan Guna Sertifikat Veteriner Online</t>
  </si>
  <si>
    <t>Layanan penerbitan surat keterangan kesehatan hewan atau produk hewan.</t>
  </si>
  <si>
    <t>Peraturan Menteri Pertanian Republik Indonesia Nomor 11 Tahun 2020 Tentang Sertifikasi Nomor Kontrol Veteriner Unit Usaha Produk Hewan</t>
  </si>
  <si>
    <r>
      <rPr>
        <rFont val="Calibri, sans-serif"/>
        <color rgb="FF1155CC"/>
        <sz val="12.0"/>
        <u/>
      </rPr>
      <t>https://docs.google.com/document/d/1c-7PUNKaiuUiy_admWwX1iClC1w9eJRB/edit?usp=sharing&amp;ouid=112536090230720318461&amp;rtpof=true&amp;sd=true</t>
    </r>
  </si>
  <si>
    <t>Data pemohon, data hewan atau produk hewan</t>
  </si>
  <si>
    <t>Data sertifikat veteriner</t>
  </si>
  <si>
    <t>ANTERIN</t>
  </si>
  <si>
    <r>
      <rPr>
        <rFont val="Calibri, sans-serif"/>
        <color rgb="FF1155CC"/>
        <sz val="12.0"/>
        <u/>
      </rPr>
      <t>https://anterin.bandungkab.go.id/</t>
    </r>
  </si>
  <si>
    <t>Bidang Keswan Kesmavet</t>
  </si>
  <si>
    <t>Maria</t>
  </si>
  <si>
    <t>Pelaku Bisnis / OPD /</t>
  </si>
  <si>
    <t>Pelayanan penerbitan surat keterangan kesehatan bahan asal hewan</t>
  </si>
  <si>
    <t>Menerbitkan dokumen resmi yang menyatakan bahan asal hewan layak dan sehat untuk diedarkan. Layanan ini memastikan keamanan distribusi produk hewan dan mencegah penyebaran penyakit.</t>
  </si>
  <si>
    <t>UU 18/2009; Permentan 17/2023</t>
  </si>
  <si>
    <r>
      <rPr>
        <rFont val="Calibri, sans-serif"/>
        <color rgb="FF1155CC"/>
        <sz val="12.0"/>
        <u/>
      </rPr>
      <t>https://docs.google.com/document/d/1c-7PUNKaiuUiy_admWwX1iClC1w9eJRB/edit?usp=sharing&amp;ouid=112536090230720318461&amp;rtpof=true&amp;sd=true</t>
    </r>
  </si>
  <si>
    <t>Data pemohon, data hewan/produk</t>
  </si>
  <si>
    <t>SKKH elektronik</t>
  </si>
  <si>
    <t>iSIKHNAS</t>
  </si>
  <si>
    <r>
      <rPr>
        <rFont val="Calibri, sans-serif"/>
        <color rgb="FF1155CC"/>
        <sz val="12.0"/>
        <u/>
      </rPr>
      <t>https://isikhnas.pertanian.go.id/</t>
    </r>
  </si>
  <si>
    <t>Gerakan pengendalian hama dan penyakit tanaman</t>
  </si>
  <si>
    <t>Layanan pengendalian OPT &amp; penyakit tanaman melalui gerakan masal untuk menjaga produksi.</t>
  </si>
  <si>
    <t>UU 12/1992; Permentan 11/2015; Perbup Kab. Bandung ttg Perlindungan Tanaman.</t>
  </si>
  <si>
    <r>
      <rPr>
        <rFont val="Calibri, sans-serif"/>
        <color rgb="FF1155CC"/>
        <sz val="12.0"/>
        <u/>
      </rPr>
      <t>https://docs.google.com/spreadsheets/d/1c7RrRajyzrp7pLX7n6Z-t8K0gRXiw69i/edit?usp=sharing&amp;ouid=112536090230720318461&amp;rtpof=true&amp;sd=true</t>
    </r>
  </si>
  <si>
    <t>Data laporan serangan hama dan penyakit</t>
  </si>
  <si>
    <t>Data laporan hasil pengendalian dan rekomendasi penanganan</t>
  </si>
  <si>
    <t>SIFORTUNA</t>
  </si>
  <si>
    <r>
      <rPr>
        <rFont val="Calibri, sans-serif"/>
        <color rgb="FF1155CC"/>
        <sz val="12.0"/>
        <u/>
      </rPr>
      <t>sifortuna.tanamanpangan.pertanian.go.id</t>
    </r>
  </si>
  <si>
    <t>Bidang Pusdaltan</t>
  </si>
  <si>
    <t>Dinar</t>
  </si>
  <si>
    <t>inayinoy22@gmail.com</t>
  </si>
  <si>
    <t>Aplikasi Pelayanan Prasarana Pertanian</t>
  </si>
  <si>
    <t>Layanan untuk mengajukan Prasarana Pertanian baik web maupun android di khusukan untuk penyuluh pertanian maupun kelompok tani</t>
  </si>
  <si>
    <t>Inpres No 2 Tahun 2025 tentang Percepatan Pembangunan Irigasi</t>
  </si>
  <si>
    <t>Data permohonan prasarana</t>
  </si>
  <si>
    <t>Data terkait Prasarana Pertanian</t>
  </si>
  <si>
    <t>TANGINAS</t>
  </si>
  <si>
    <r>
      <rPr>
        <rFont val="Calibri, sans-serif"/>
        <color rgb="FF1155CC"/>
        <sz val="12.0"/>
        <u/>
      </rPr>
      <t>tanginas.web.id</t>
    </r>
  </si>
  <si>
    <t>Bidang Prasarana</t>
  </si>
  <si>
    <t>Herman</t>
  </si>
  <si>
    <t>hermandistan1990@gmail.com</t>
  </si>
  <si>
    <t>39,25,</t>
  </si>
  <si>
    <t>Pelayanan Administrasi Pupuk Bersubsidi</t>
  </si>
  <si>
    <t>Melayani proses administrasi dan validasi penerima pupuk bersubsidi melalui RDKK dan Kartu Tani agar penyaluran pupuk lebih tepat sasaran, transparan, serta mendukung keberlanjutan produksi pertanian.</t>
  </si>
  <si>
    <t>Permentan 49/2017; Perbup ttg Sibedas</t>
  </si>
  <si>
    <r>
      <rPr>
        <rFont val="Calibri, sans-serif"/>
        <color rgb="FF1155CC"/>
        <sz val="12.0"/>
        <u/>
      </rPr>
      <t>https://docs.google.com/spreadsheets/d/1cLC7YoJU_Mkyr5eJTL-fHfA0D-sQukvz/edit?usp=sharing&amp;ouid=112536090230720318461&amp;rtpof=true&amp;sd=true</t>
    </r>
  </si>
  <si>
    <t>Data petani, luas lahan, NIK, RDKK</t>
  </si>
  <si>
    <t>Daftar penerima pupuk</t>
  </si>
  <si>
    <t>E-RDKK Pupuk Bersubsidi</t>
  </si>
  <si>
    <r>
      <rPr>
        <rFont val="Calibri, sans-serif"/>
        <color rgb="FF1155CC"/>
        <sz val="12.0"/>
        <u/>
      </rPr>
      <t>https://erdkk25.pertanian.go.id/</t>
    </r>
  </si>
  <si>
    <t>Bidang Penyuluhan</t>
  </si>
  <si>
    <t>Yandi</t>
  </si>
  <si>
    <t>Penyuluh Pertanian Keliling (PEPELING)</t>
  </si>
  <si>
    <t>Melaksanakan kegiatan penyuluhan pertanian secara mobile/keliling untuk menjangkau desa-desa, terutama di wilayah terpencil. Tujuannya mempercepat penyampaian inovasi teknologi, memperluas jangkauan layanan penyuluhan, dan meningkatkan kapasitas kelompok tani.</t>
  </si>
  <si>
    <t>UU 16/2006; Permentan 61/2008</t>
  </si>
  <si>
    <r>
      <rPr>
        <rFont val="Calibri, sans-serif"/>
        <color rgb="FF1155CC"/>
        <sz val="12.0"/>
        <u/>
      </rPr>
      <t>https://docs.google.com/spreadsheets/d/1cLZrBaEOapwKOQE9usRXCTW93SFEy7Xj/edit?usp=sharing&amp;ouid=112536090230720318461&amp;rtpof=true&amp;sd=true</t>
    </r>
  </si>
  <si>
    <t>Jadwal, lokasi, peserta</t>
  </si>
  <si>
    <t>Laporan penyuluhan, materi</t>
  </si>
  <si>
    <t>SIMLUHTAN</t>
  </si>
  <si>
    <r>
      <rPr>
        <rFont val="Calibri, sans-serif"/>
        <color rgb="FF1155CC"/>
        <sz val="12.0"/>
        <u/>
      </rPr>
      <t>https://simluh.pertanian.go.id/</t>
    </r>
  </si>
  <si>
    <t>22, 25, 26</t>
  </si>
  <si>
    <t>Sistem Informasi Pos Kesehatan Hewan Kabupaten Bandung</t>
  </si>
  <si>
    <t>Digitalisasi layanan kesehatan hewan melalui poskeswan (pendaftaran, pelayanan, pencatatan penyakit, monitoring vaksinasi, konsultasi).</t>
  </si>
  <si>
    <t>Pusat Kesehatan Hewan yang selanjutnya disingkat Puskeswan adalah Pos Kesehatan Hewan yang memberikan pelayanan di bidang kesehatan hewan sebagaimana dimaksud dalam Keputusan Bersama Menteri Pertanian dan Menteri Dalam Negeri Nomor 690/Kpts/ TN.510/10/1993 dan Nomor 88 Tahun 1993 Tentang Pos Kesehatan Hewan.</t>
  </si>
  <si>
    <r>
      <rPr>
        <rFont val="Calibri, sans-serif"/>
        <color rgb="FF1155CC"/>
        <sz val="12.0"/>
        <u/>
      </rPr>
      <t>https://drive.google.com/drive/folders/1b_wlUHQifUNUdZcrhKipNlD0R6COD8yt?usp=sharing</t>
    </r>
  </si>
  <si>
    <t>Data identitas pengguna, data hewan</t>
  </si>
  <si>
    <t>Data laporan pelayanan kesehatan hewan</t>
  </si>
  <si>
    <t>SIPOLAN</t>
  </si>
  <si>
    <r>
      <rPr>
        <rFont val="Calibri, sans-serif"/>
        <color rgb="FF1155CC"/>
        <sz val="12.0"/>
        <u/>
      </rPr>
      <t>sipolan.bandungkab.go.id</t>
    </r>
  </si>
  <si>
    <t>UPTD Pusat Kesehatan Hewan</t>
  </si>
  <si>
    <t>Eviani</t>
  </si>
  <si>
    <t>evianivanita1011@gmail.com</t>
  </si>
  <si>
    <t>DISPAKAN</t>
  </si>
  <si>
    <t>Layanan Pelaku Budidaya Perikanan, Perikanan Tangkap, dan Pengolahan Ikan</t>
  </si>
  <si>
    <t>Memberikan bantuan dan dukungan kepada para pelaku budidaya perikanan dalam hal teknis, modal, dan pemasaran untuk meningkatkan keberlanjutan usaha mereka.</t>
  </si>
  <si>
    <t>Peraturan Daerah Kabupaten Bandung Nomor 1 Tahun 2025 Tentang Penyelenggaraan Perikanan</t>
  </si>
  <si>
    <r>
      <rPr>
        <rFont val="Calibri, sans-serif"/>
        <color rgb="FF1155CC"/>
        <sz val="12.0"/>
        <u/>
      </rPr>
      <t>01. SOP Sistem Informasi Pangan.pdf</t>
    </r>
  </si>
  <si>
    <t>Data pelaku usaha, data perikanan budidaya, data perikanan tangkap, dan data pengolahan hasil perikanan</t>
  </si>
  <si>
    <t>Data Pelaku Budidaya Perikanan</t>
  </si>
  <si>
    <t>SIP SIKANDUNG</t>
  </si>
  <si>
    <r>
      <rPr>
        <rFont val="Calibri, sans-serif"/>
        <color rgb="FF1155CC"/>
        <sz val="12.0"/>
        <u/>
      </rPr>
      <t>https://sip.bandungkab.go.id/portal/topic/sikandung</t>
    </r>
  </si>
  <si>
    <t>Bidang Budidaya Perikanan
 Bidang Usaha Perikanan</t>
  </si>
  <si>
    <t>RAISA RAMADHANIA S.Pi
 JAJANG RUDIANTO SP
 RIAN HERMAWAN S.Pi</t>
  </si>
  <si>
    <t>082120586902
 087824561374
 082127870192</t>
  </si>
  <si>
    <t>raisarusrus@gmail.com
 jajangrudianto80@gmail.com
 aarianhermawan@gmail.com</t>
  </si>
  <si>
    <t>Layanan Rekomendasi Persetujuan Usaha Perikanan</t>
  </si>
  <si>
    <t>Memberikan persetujuan dan rekomendasi untuk usaha perikanan guna memastikan keberlanjutan sumber daya perikanan dan keberlanjutan ekonomi para pelaku usaha.</t>
  </si>
  <si>
    <t>Peraturan Pemerintah Nomor 27 Tahun 2021 Tentang Penyelenggaraan Bidang Kelautan dan Perikanan</t>
  </si>
  <si>
    <r>
      <rPr>
        <rFont val="Calibri, sans-serif"/>
        <color rgb="FF1155CC"/>
        <sz val="12.0"/>
        <u/>
      </rPr>
      <t>02. SOP Izin Usaha.pdf</t>
    </r>
    <r>
      <rPr>
        <rFont val="Calibri, sans-serif"/>
        <sz val="12.0"/>
      </rPr>
      <t xml:space="preserve">
 03. SOP Si Lele ikan.pdf</t>
    </r>
  </si>
  <si>
    <t>Data pelaku usaha, data perizinan, laporan peksanaan kegiatan</t>
  </si>
  <si>
    <t>Data Usaha Perikanan</t>
  </si>
  <si>
    <t>SI LELE IKAN</t>
  </si>
  <si>
    <r>
      <rPr>
        <rFont val="Calibri, sans-serif"/>
        <color rgb="FF1155CC"/>
        <sz val="12.0"/>
        <u/>
      </rPr>
      <t>https://dispakan.bandungkab.go.id/video/</t>
    </r>
  </si>
  <si>
    <t>Bidang Usaha Perikanan</t>
  </si>
  <si>
    <t>JAJANG RUDIANTO SP</t>
  </si>
  <si>
    <t>jajangrudianto80@gmail.com</t>
  </si>
  <si>
    <t>Layanan Ketahanan dan Kerawanan Pangan</t>
  </si>
  <si>
    <t>Menganalisis dan memantau kondisi ketahanan pangan daerah serta merancang strategi untuk mengatasi potensi kerawanan pangan.</t>
  </si>
  <si>
    <t>Peraturan Pemerintah Nomor 17 Tahun 2015 Tentang Ketahanan Pangan</t>
  </si>
  <si>
    <r>
      <rPr>
        <rFont val="Calibri, sans-serif"/>
        <color rgb="FF1155CC"/>
        <sz val="12.0"/>
        <u/>
      </rPr>
      <t>01. SOP Sistem Informasi Pangan.pdf</t>
    </r>
  </si>
  <si>
    <t>Data penerima bantuan, data bahan pangan yang diberikan, laporan pelaksanaan</t>
  </si>
  <si>
    <t>Data Kerawanan Pangan dan Keamanan Pangan</t>
  </si>
  <si>
    <t>SIP FSVA</t>
  </si>
  <si>
    <r>
      <rPr>
        <rFont val="Calibri, sans-serif"/>
        <color rgb="FF1155CC"/>
        <sz val="12.0"/>
        <u/>
      </rPr>
      <t>https://sip.bandungkab.go.id/portal/topic/fsva</t>
    </r>
  </si>
  <si>
    <t>Bidang Ketersediaan dan Kerawanan Pangan</t>
  </si>
  <si>
    <t>SRINIDIYANTI MISRUN SP</t>
  </si>
  <si>
    <t>srinidiyanti1988@gmail.com</t>
  </si>
  <si>
    <t>DISBUD</t>
  </si>
  <si>
    <t>Layanan Pendataan dan Informasi Kebudayaan</t>
  </si>
  <si>
    <t>Layanan ini menyediakan berbagai data kebudayaan yang dibutuhkan, dimana bentuk layanannya meliputi:
 a. Informasi Data Lembaga Kebudayaan
 b. Informasi Data Pelaku Seni dan Budaya
 c. Informasi Data Warisan Budaya
 d. Pendataan Objek Pemajuan Kebudayaan (OPK)
 e. Pendataan Objek Diduga Cagar Budaya (ODCB)</t>
  </si>
  <si>
    <t>Undang-Undang Nomor 11 tahun 2010 tentang Cagar Budaya
 Undang-Undang Nomor 5 tahun 2017 tentang Pemajuan Kebudayaan
 Perda Kabupaten Bandung Nomor 5 tahun 2021 tentang Penyelenggaraan Pemajuan Kebudayaan Daerah</t>
  </si>
  <si>
    <t>Data Kebudayaan</t>
  </si>
  <si>
    <t>Data dan informasi Kebudayaan</t>
  </si>
  <si>
    <t>Parbud Dalam Angka</t>
  </si>
  <si>
    <r>
      <rPr>
        <rFont val="Calibri, sans-serif"/>
        <color rgb="FF1155CC"/>
        <sz val="12.0"/>
        <u/>
      </rPr>
      <t>https://parbuddalamangka.jabarprov.go.id/</t>
    </r>
  </si>
  <si>
    <t>Bidang Pengembangan Kebudayaan</t>
  </si>
  <si>
    <t>Angga Satria Nugraha, S.Hum</t>
  </si>
  <si>
    <t>buatg844@gmail.com</t>
  </si>
  <si>
    <t>DISKOPUKM</t>
  </si>
  <si>
    <t>Sistem Informasi Pengembangan dan Peningkatan UKM</t>
  </si>
  <si>
    <t>Sibangkitukm (Sistem informasi pengembangan dan peningkatan UKM) merupakan Media pemasaran digital bagi pelaku UKM untuk mempromosikan produk atau jasanya kepada masyarakat luas, serta membuka peluang kemitraan. Selain itu, sistem ini menyediakan fitur agenda kegiatan yang memuat jadwal pelatihan, sosialisasi, dan event terkait pemberdayaan UKM secara terstruktur. Tak hanya itu, sistem ini juga mendukung penerbitan surat keterangan UKM secara otomatis dan berbasis elektronik, guna memudahkan pelaku usaha dalam pengajuan HKI dan pembelian BBM bersubsidi untuk produksi.</t>
  </si>
  <si>
    <t>Peraturan Bupati Bandung Nomor 80 Tahun 2024 tentang Petunjuk pelaksanaan Perda Nomor 6 Tahun 2021 tentang Kemudahan, Pelindungan, dan Pemberdayaan Usaha Mikro.</t>
  </si>
  <si>
    <t>Data Pelaku Usaha, Data Pengguna, Data Agenda Kegiatan</t>
  </si>
  <si>
    <t>Data penerbitan Surat Keterangan UKM</t>
  </si>
  <si>
    <t>Sibangkitukm</t>
  </si>
  <si>
    <r>
      <rPr>
        <rFont val="Calibri, sans-serif"/>
        <color rgb="FF1155CC"/>
        <sz val="12.0"/>
        <u/>
      </rPr>
      <t>https://sibangkitukm.bandungkab.go.id</t>
    </r>
  </si>
  <si>
    <t>Bandung Digital Services</t>
  </si>
  <si>
    <t>Bidang Pemberdayaan dan Pengembangan Usaha Mikro</t>
  </si>
  <si>
    <r>
      <rPr>
        <rFont val="Calibri, sans-serif"/>
        <color rgb="FF1155CC"/>
        <sz val="12.0"/>
        <u/>
      </rPr>
      <t xml:space="preserve">Anne Rahmawati, S.Sos., </t>
    </r>
    <r>
      <rPr>
        <rFont val="Calibri, sans-serif"/>
        <color rgb="FF1155CC"/>
        <sz val="12.0"/>
        <u/>
      </rPr>
      <t>M.Si</t>
    </r>
  </si>
  <si>
    <t>diskopukm@bandungkab.go.id</t>
  </si>
  <si>
    <t>19, 20, 24</t>
  </si>
  <si>
    <t>OPD dan Masyarakat</t>
  </si>
  <si>
    <t>Sistem Informasi Koperasi Terintegrasi Berdaya Saing</t>
  </si>
  <si>
    <t>SIKOPER BEDAS (Sistem Informasi Koperasi Terintegrasi Berdaya Saing) adalah platform digital yang dikembangkan oleh Dinas Koperasi dan UKM Kabupaten Bandung untuk meningkatkan pengelolaan koperasi secara transparan dan efisien. Sistem ini mengintegrasikan berbagai fungsi mulai dari pendataan kelembagaan koperasi, penilaian kesehatan koperasi, pengawasan, hingga pembinaan. Dengan SIKOPER BEDAS, informasi tentang koperasi dapat diakses secara real-time oleh petugas dan pimpinan, mendukung pengambilan keputusan yang berbasis data, meningkatkan akuntabilitas, dan mendorong koperasi agar lebih berdaya saing.</t>
  </si>
  <si>
    <t>Peraturan Menteri Koperasi dan Usaha Kecil dan Menengah Nomor 9 Tahun 2020 tentang Pengawasan Koperasi.</t>
  </si>
  <si>
    <t>Data Koperasi</t>
  </si>
  <si>
    <t>Data hasil Pemeriksaan Kesehatan Koperasi</t>
  </si>
  <si>
    <t>Sikoper</t>
  </si>
  <si>
    <r>
      <rPr>
        <rFont val="Calibri, sans-serif"/>
        <color rgb="FF1155CC"/>
        <sz val="12.0"/>
        <u/>
      </rPr>
      <t>https://sikoperbedas.bandungkab.go.id/</t>
    </r>
  </si>
  <si>
    <t>Bidang Pengawasan dan Pemeriksaan Koperasi</t>
  </si>
  <si>
    <t>HEINTJE HERLANDO, SE</t>
  </si>
  <si>
    <t>Pendaftaran Usaha Pada Sistem Perizinan Berusaha
 Terintegrasi Secara Elektronik</t>
  </si>
  <si>
    <t>Maksud: Memfasilitasi UMKM/Koperasi dalam memperoleh legalitas usaha melalui sistem perizinan daring yang terpadu.
 Tujuan: Menyederhanakan proses administrasi, meningkatkan kepatuhan hukum, serta membuka akses ke program pemerintah (pembiayaan, tender, ekspor) yang memerlukan izin resmi.</t>
  </si>
  <si>
    <t>Permenkop UKM No 9 Tahun 2023 tentang Pusat layanan Terpadu Koperasi dan Usaha mikro, kecil dan Menengah Pasal 3c Pelatihan Teknis dan Manajerial</t>
  </si>
  <si>
    <t>Data Pelaku Usaha, Data Pengguna</t>
  </si>
  <si>
    <t>NIB</t>
  </si>
  <si>
    <r>
      <rPr>
        <rFont val="Calibri, sans-serif"/>
        <color rgb="FF1155CC"/>
        <sz val="12.0"/>
        <u/>
      </rPr>
      <t>https://oss.go.id/</t>
    </r>
  </si>
  <si>
    <t>UPTD PLUT KUMKM</t>
  </si>
  <si>
    <t>DEWI WINDIANI, SH</t>
  </si>
  <si>
    <t>0813-2106-9500</t>
  </si>
  <si>
    <t>20, 24</t>
  </si>
  <si>
    <t>Masyarakat/OPD</t>
  </si>
  <si>
    <t>Sistem Informasi Monitoring Pinjaman Dana Bergulir BEDAS</t>
  </si>
  <si>
    <t>Simanjur BEDAS (Sistem Informasi Monitoring Pinjaman Dana Bergulir BEDAS), merupakan sistem informasi untuk memonitoring Program Dana Bergulir Tanpa Bunga dan Jaminan, program yang hadir untuk membantu para pelaku usaha mikro di Kabupaten Bandung agar bisa mengembangkan usaha dan bisnis UMKM, sekaligus terhindar dari jeratan bank emok dan pinjol yang semakin marak. Program ini menyediakan akses modal usaha dengan proses pengajuan yang lebih mudah, tanpa memerlukan agunan, serta bebas dari bunga pinjaman. Dengan demikian, pengusaha kecil yang membutuhkan modal dapat lebih mudah mengakses pendanaan.</t>
  </si>
  <si>
    <t>Peraturan Daerah Kabupaten Bandung Nomor 16 Tahun 2025 tentang Penyertaan Modal Non Permanen Berupa Pemberian Pinjaman Dana Bergulir Kepada Masyarakat Melalui Lembaga Keuangan Bank</t>
  </si>
  <si>
    <t>Data Pelaku Usaha yang mengikuti Program Dana Bergulir</t>
  </si>
  <si>
    <t>Simanjur BEDAS</t>
  </si>
  <si>
    <r>
      <rPr>
        <rFont val="Calibri, sans-serif"/>
        <color rgb="FF1155CC"/>
        <sz val="12.0"/>
        <u/>
      </rPr>
      <t>https://usahamikro.bandungkab.go.id/</t>
    </r>
  </si>
  <si>
    <r>
      <rPr>
        <rFont val="Calibri, sans-serif"/>
        <color rgb="FF1155CC"/>
        <sz val="12.0"/>
        <u/>
      </rPr>
      <t xml:space="preserve">Anne Rahmawati, S.Sos., </t>
    </r>
    <r>
      <rPr>
        <rFont val="Calibri, sans-serif"/>
        <color rgb="FF1155CC"/>
        <sz val="12.0"/>
        <u/>
      </rPr>
      <t>M.Si</t>
    </r>
  </si>
  <si>
    <t>DISPUSIP</t>
  </si>
  <si>
    <t>Layanan Perpustakaan keliling</t>
  </si>
  <si>
    <t>Meningkatkan akses masyarakat terhadap bahan bacaan di berbagai lokasi.</t>
  </si>
  <si>
    <t>UU No. 43 Tahun 2007 tentang Perpustakaan : Pasal 22 keseluruhan mengatur tentang “Perpustakaan Umum” yang diselenggarakan oleh berbagai tingkatan pemerintahan dan menyebutkan kewajiban untuk memberikan layanan keliling</t>
  </si>
  <si>
    <r>
      <rPr>
        <rFont val="Calibri, sans-serif"/>
        <color rgb="FF1155CC"/>
        <sz val="12.0"/>
        <u/>
      </rPr>
      <t>https://drive.google.com/file/d/1xLGvVqyQdJTXp_gTo9XoOeAPrmSfoy_q/view?usp=sharing</t>
    </r>
  </si>
  <si>
    <t>Data Pengunjung Perpustakaan Keliling</t>
  </si>
  <si>
    <t>iBandungKab</t>
  </si>
  <si>
    <r>
      <rPr>
        <rFont val="Calibri, sans-serif"/>
        <color rgb="FF1155CC"/>
        <sz val="12.0"/>
        <u/>
      </rPr>
      <t>https://ibandungkab.moco.co.id/</t>
    </r>
  </si>
  <si>
    <t>Bidang Pengelolaan Perpustakaan</t>
  </si>
  <si>
    <r>
      <rPr>
        <rFont val="Calibri, sans-serif"/>
        <color rgb="FF1155CC"/>
        <sz val="12.0"/>
        <u/>
      </rPr>
      <t xml:space="preserve">Rizal Mulki Farhan, </t>
    </r>
    <r>
      <rPr>
        <rFont val="Calibri, sans-serif"/>
        <color rgb="FF1155CC"/>
        <sz val="12.0"/>
        <u/>
      </rPr>
      <t>A.Ma</t>
    </r>
    <r>
      <rPr>
        <rFont val="Calibri, sans-serif"/>
        <color rgb="FF1155CC"/>
        <sz val="12.0"/>
        <u/>
      </rPr>
      <t>.Pust.</t>
    </r>
  </si>
  <si>
    <t>perpust.kabbdg@gmail.com</t>
  </si>
  <si>
    <t>Layanan Pendaftaran Member Perpustakaan Online</t>
  </si>
  <si>
    <t>Memfasilitasi masyarakat untuk menjadi anggota perpustakaan secara online.</t>
  </si>
  <si>
    <t>Undang-Undang Nomor 43 Tahun 2007 tentang Perpustakaan : Pasal 5 ayat (1) huruf g</t>
  </si>
  <si>
    <r>
      <rPr>
        <rFont val="Calibri, sans-serif"/>
        <color rgb="FF1155CC"/>
        <sz val="12.0"/>
        <u/>
      </rPr>
      <t>https://drive.google.com/file/d/1FL4agfMs9a3tAmDlzxiGL6UA1alZs_Er/view?usp=sharing</t>
    </r>
  </si>
  <si>
    <t>Data Pengguna</t>
  </si>
  <si>
    <t>Data Member Perpustakaan</t>
  </si>
  <si>
    <t>Inlislite</t>
  </si>
  <si>
    <r>
      <rPr>
        <rFont val="Calibri, sans-serif"/>
        <color rgb="FF1155CC"/>
        <sz val="12.0"/>
        <u/>
      </rPr>
      <t>https://perpus.bandungkab.go.id/pendaftaran</t>
    </r>
  </si>
  <si>
    <t>Reiyaldi Budi Wiguna</t>
  </si>
  <si>
    <t>bidangpp27@gmail.com</t>
  </si>
  <si>
    <t>Layanan Kearsipan Statis</t>
  </si>
  <si>
    <t>Menyediakan layanan penyimpanan dan pemeliharaan arsip statis.</t>
  </si>
  <si>
    <t>Undang Undang Nomor 43 Tahun 2009 tentang Kearsipan</t>
  </si>
  <si>
    <t>Data Kearsipan Statis</t>
  </si>
  <si>
    <t>SIKN</t>
  </si>
  <si>
    <r>
      <rPr>
        <rFont val="Calibri, sans-serif"/>
        <color rgb="FF1155CC"/>
        <sz val="12.0"/>
        <u/>
      </rPr>
      <t>sikn.anri.go.id</t>
    </r>
  </si>
  <si>
    <t>Bidang Perlindungan dan Penyelamatan Arsip</t>
  </si>
  <si>
    <t>Dewi Hastuti</t>
  </si>
  <si>
    <t>Layanan Kearsipan Dinamis</t>
  </si>
  <si>
    <t>Menyediakan layanan pengelolaan arsip yang aktif dan mudah diakses.</t>
  </si>
  <si>
    <t>Data Kearsipan Dinamis</t>
  </si>
  <si>
    <t>SRIKANDI</t>
  </si>
  <si>
    <r>
      <rPr>
        <rFont val="Calibri, sans-serif"/>
        <color rgb="FF1155CC"/>
        <sz val="12.0"/>
        <u/>
      </rPr>
      <t>srikandi.arsip.go.id</t>
    </r>
  </si>
  <si>
    <t>Bidang Pengelolaan Arsip</t>
  </si>
  <si>
    <t>Endang Wahyudi</t>
  </si>
  <si>
    <t>Layanan Pojok Baca Digital</t>
  </si>
  <si>
    <t>Memberikan akses masyarakat terhadap bahan bacaan digital di suatu tempat tertentu.</t>
  </si>
  <si>
    <t>Perda Nomor 9 Tahun 2016 tentang Penyelenggaraan Perpustakaan</t>
  </si>
  <si>
    <t>Data Pojok Baca Digital</t>
  </si>
  <si>
    <t>iPusnas</t>
  </si>
  <si>
    <r>
      <rPr>
        <rFont val="Calibri, sans-serif"/>
        <color rgb="FF1155CC"/>
        <sz val="12.0"/>
        <u/>
      </rPr>
      <t>https://ipusnas2.perpusnas.go.id/login</t>
    </r>
  </si>
  <si>
    <t>Gugi Indra Ardiansyah</t>
  </si>
  <si>
    <t>DISDAMKAR</t>
  </si>
  <si>
    <t>Laporan Kejadian Kebakaran</t>
  </si>
  <si>
    <t>Merupakan layanan untuk monitoring jumlah pelaporan dan progres penanganan kejadian kebakaran yang dilakukan oleh pasukan lapangan</t>
  </si>
  <si>
    <t>Permendagri 114/2028 tentang Standar Teknis Pelayanan Dasar pada Standar Pelayanan Minimal Sub Urusan Kebakaran Daerah Kabupaten/Kota</t>
  </si>
  <si>
    <r>
      <rPr>
        <rFont val="Calibri, sans-serif"/>
        <color rgb="FF1155CC"/>
        <sz val="12.0"/>
        <u/>
      </rPr>
      <t>https://drive.google.com/drive/folders/1Ejl6GsPadSWWZ-gXvbwNU62zsG4t_RcK?usp=drive_link</t>
    </r>
  </si>
  <si>
    <t>Lokasi kejadian, Objek terbakar, Nama, No.HP, Dokumentasi kejadian, NIK</t>
  </si>
  <si>
    <t>Berita Acara Pelaporan (BAP) Kebakaran</t>
  </si>
  <si>
    <t>APAR</t>
  </si>
  <si>
    <r>
      <rPr>
        <rFont val="Calibri, sans-serif"/>
        <color rgb="FF1155CC"/>
        <sz val="12.0"/>
        <u/>
      </rPr>
      <t>https://apar.bandungkab.go.id</t>
    </r>
  </si>
  <si>
    <t>NTPD 112</t>
  </si>
  <si>
    <t>Bidang Sarana, Prasarana dan Informasi</t>
  </si>
  <si>
    <t>Noviyanti Gantini</t>
  </si>
  <si>
    <t>operatorkomunikasi.disdamkar@gmail.com</t>
  </si>
  <si>
    <t>Laporan Kejadian Penyelamatan dan Kedaruratan Lainnya</t>
  </si>
  <si>
    <t>Merupakan layanan untuk monitoring jumlah pelaporan dan progres penanganan kejadian penyelamatan dan darurat lainnya yang dilakukan oleh pasukan lapangan</t>
  </si>
  <si>
    <r>
      <rPr>
        <rFont val="Calibri, sans-serif"/>
        <color rgb="FF1155CC"/>
        <sz val="12.0"/>
        <u/>
      </rPr>
      <t>https://drive.google.com/drive/folders/1Ejl6GsPadSWWZ-gXvbwNU62zsG4t_RcK?usp=drive_link</t>
    </r>
  </si>
  <si>
    <t>Berita Acara Pelaporan (BAP) Penyelamatan dan kedaruratan lainnya</t>
  </si>
  <si>
    <r>
      <rPr>
        <rFont val="Calibri, sans-serif"/>
        <color rgb="FF1155CC"/>
        <sz val="12.0"/>
        <u/>
      </rPr>
      <t>https://apar.bandungkab.go.id</t>
    </r>
  </si>
  <si>
    <t>Permohonan perbaikan dan pemeliharaan kendaraan</t>
  </si>
  <si>
    <t>Merupakan layanan untuk pengajuan perbaikan dan atau pemeliharaan rutin kendaraan operasional pemadam kebakaran dan penyelamatan</t>
  </si>
  <si>
    <t>Permendagri 122/2018 tentang Standardisasi Sarana dan Prasarana Pemadam Kebakaran di Daerah</t>
  </si>
  <si>
    <r>
      <rPr>
        <rFont val="Calibri, sans-serif"/>
        <color rgb="FF1155CC"/>
        <sz val="12.0"/>
        <u/>
      </rPr>
      <t>https://drive.google.com/drive/folders/1Ejl6GsPadSWWZ-gXvbwNU62zsG4t_RcK?usp=drive_link</t>
    </r>
  </si>
  <si>
    <t>Identitas Operator Unit (Driver), Identitas Komandan Regu, Nomor Lambung Unit, Bidang, Regu, Keluhan pada Kendaraan, Rencana Perbaikan (sparepart/service)</t>
  </si>
  <si>
    <t>Laporan perbaikan unit (SPJ realisasi keuangan dan realisasi fisik pemeliharaan)</t>
  </si>
  <si>
    <t>google formulir</t>
  </si>
  <si>
    <r>
      <rPr>
        <rFont val="Calibri, sans-serif"/>
        <color rgb="FF1155CC"/>
        <sz val="12.0"/>
        <u/>
      </rPr>
      <t>https://bit.ly/3J7M46m?r=qr</t>
    </r>
  </si>
  <si>
    <t>Pemeliharaan rutin kendaraan operasional</t>
  </si>
  <si>
    <t>Merupakan layanan untuk monitoring status dan kondisi setiap kendaraan operasional pemadam kebakaran dan penyelamatan</t>
  </si>
  <si>
    <r>
      <rPr>
        <rFont val="Calibri, sans-serif"/>
        <color rgb="FF1155CC"/>
        <sz val="12.0"/>
        <u/>
      </rPr>
      <t>https://drive.google.com/drive/folders/1Ejl6GsPadSWWZ-gXvbwNU62zsG4t_RcK?usp=drive_link</t>
    </r>
  </si>
  <si>
    <t>Identitas Operator Unit (Driver), Identitas Komandan Regu, Nomor Lambung Unit, Bidang, Regu, Ceklis kondisi kendaraan</t>
  </si>
  <si>
    <t>Laporan pemeliharaan kendaraan operasional</t>
  </si>
  <si>
    <r>
      <rPr>
        <rFont val="Calibri, sans-serif"/>
        <color rgb="FF1155CC"/>
        <sz val="12.0"/>
        <u/>
      </rPr>
      <t>https://bit.ly/4maEzdy?r=qr</t>
    </r>
  </si>
  <si>
    <t>Pembentukan dan Pembinaan Relawan Pemadam Kebakaran (REDKAR BEDAS SIAGA)</t>
  </si>
  <si>
    <t>Tujuannya untuk memberdayakan masyarakat desa agak tercipta lingkungan yang aman dari bahaya kebakaran serta fungsi lainnya yaitu sebagai perpanjangan tangan Disdamkar yang dapat bekerja sama dengan pasukan lapangan dalam melaksanakan penanggulangan kebakaran, penyelamatan, penyuluhan/sosialisasi, dan penyebaran informasi</t>
  </si>
  <si>
    <t>Permendagri nomor 364.1-306 tahun 2020 pedoman pembinaan relawan pemadam kebakaran</t>
  </si>
  <si>
    <r>
      <rPr>
        <rFont val="Calibri, sans-serif"/>
        <color rgb="FF1155CC"/>
        <sz val="12.0"/>
        <u/>
      </rPr>
      <t>https://drive.google.com/drive/folders/1Ejl6GsPadSWWZ-gXvbwNU62zsG4t_RcK?usp=drive_link</t>
    </r>
  </si>
  <si>
    <t>Usulan peserta dari hasil Musrenbang</t>
  </si>
  <si>
    <t>SK Keanggotaan REDKAR, Dokumen verifikasi kepesertaan REDKAR dari Kemendagri, Kartu anggota, sertifikat, data base jumlah REDKAR</t>
  </si>
  <si>
    <t>Form manual</t>
  </si>
  <si>
    <t>tidak ada</t>
  </si>
  <si>
    <t>Bidang Pencegahan Kebakaran</t>
  </si>
  <si>
    <t>Salsabila Yasmine</t>
  </si>
  <si>
    <t>0822-1342-3494</t>
  </si>
  <si>
    <t>Pemberdayaan Masyarakat dalam Pencegahan dan Penanggulangan Kebakaran melalui Sosialisai dan Edukasi Masyarakat</t>
  </si>
  <si>
    <t>Merupakan layanan untuk memberikan edukasi dan sosialisasi pencegahan dini kebakaran kepada masyarakat dan dunia usaha</t>
  </si>
  <si>
    <t>Peraturan Bupati Bandung Nomor 80 Tahun 2016 Tentang Uraian Tugas, Fungsi dan Tata Kerja Dinas Kebakaran.</t>
  </si>
  <si>
    <r>
      <rPr>
        <rFont val="Calibri, sans-serif"/>
        <color rgb="FF1155CC"/>
        <sz val="12.0"/>
        <u/>
      </rPr>
      <t>https://drive.google.com/drive/folders/1Ejl6GsPadSWWZ-gXvbwNU62zsG4t_RcK?usp=drive_link</t>
    </r>
  </si>
  <si>
    <t>Surat permohonan</t>
  </si>
  <si>
    <t>Data base jumlah masyarakat yang mendapatkan layanan sosialisasi</t>
  </si>
  <si>
    <t>Pendataan dan Inspeksi Proteksi Kebakaran</t>
  </si>
  <si>
    <t>Merupakan layanan pemeriksaan dan uji riksa sarana dan prasarana proteksi kebakaran pada bangunan gedung di wilayah kabupaten bandung</t>
  </si>
  <si>
    <t>- Undang - Undang Bangunan Gedung Nomor 28 tahun 2002 tentang Bangunan Gedung
 - Peraturan Pemerintah Nomor 16 tahun 2021 tentang Peraturan Pelaksanaan Undang-Undang Nomor 28 Tahun 2002 tentang Bangunan Gedung
 - Peraturan Menteri Pekerjaan Umum dan Perumahan Rakyat Nomor 26/PRT/M/2008 tentang Persyaratan Teknis Sistem Proteksi Kebakaran pada Bangunan Gedung dan Lingkungan
 - Peraturan Daerah Kabupaten Bandung Nomor 7 Tahun 2009 tentang Pencegahan dan Penanggulangan Bahaya Kebakaran
 - Peraturan Daerah Kabupaten Bandung Nomor 14 tahun 2012 tentang Perubahan Atas Peraturan Daerah Kabupaten Bandung Nomor 7 Tahun 2009 Tentang Pencegahan dan Penanggulangan Bahaya Kebakaran
 - Peraturan Bupati Bandung Nomor 13 tahun 2010 tentang Petunjuk Pelaksanaan dan Petunjuk Teknis Peraturan Daerah Kabupaten Bandung Nomor 7 Tahun 2009 tentang Pencegahan dan Penanggulangan Bahaya Kebakaran</t>
  </si>
  <si>
    <r>
      <rPr>
        <rFont val="Calibri, sans-serif"/>
        <color rgb="FF1155CC"/>
        <sz val="12.0"/>
        <u/>
      </rPr>
      <t>https://drive.google.com/drive/folders/1Ejl6GsPadSWWZ-gXvbwNU62zsG4t_RcK?usp=drive_link</t>
    </r>
  </si>
  <si>
    <t>- Data bangunan gedung yang memenuhi standar proteksi kebakaran</t>
  </si>
  <si>
    <t>Bidang Pencegahan pada Disdamkar Kab. Bandung</t>
  </si>
  <si>
    <t>1. Ekki Malik Ibrahim, S.T.
 2. Rifqi Faza Maulana, S.Ars.</t>
  </si>
  <si>
    <t>081320090620
 082120207124</t>
  </si>
  <si>
    <t>Investigasi pasca Kebakaran</t>
  </si>
  <si>
    <t>Merupakan layanan investigasi pada kejadian pasca kebakaran</t>
  </si>
  <si>
    <r>
      <rPr>
        <rFont val="Calibri, sans-serif"/>
        <color rgb="FF1155CC"/>
        <sz val="12.0"/>
        <u/>
      </rPr>
      <t>https://drive.google.com/drive/folders/1Ejl6GsPadSWWZ-gXvbwNU62zsG4t_RcK?usp=drive_link</t>
    </r>
  </si>
  <si>
    <t>Lokasi kejadian, Objek terbakar, Nama, No.HP, Dokumentasi kejadian, NIK, Dugaan penyebab kebakaran, taksiran aset selamat dan terbakar</t>
  </si>
  <si>
    <t>Laporan hasil investigasi</t>
  </si>
  <si>
    <t>Fom manual</t>
  </si>
  <si>
    <t>Bidang Pemadaman</t>
  </si>
  <si>
    <t>Rizki Nauval Mujahid</t>
  </si>
  <si>
    <t>0896-5632-7735</t>
  </si>
  <si>
    <t>Permohonan Informasi Publik Secara Offline</t>
  </si>
  <si>
    <t>Layanan Permohonan Informasi Publik melalui Tatap Muka Langsung / hadir ke lokasi</t>
  </si>
  <si>
    <t>Kepbup nomor 487/Kep.196-Humas/2016 tentang Pengesahan SOP Keterbukaan Informasi Publik di Lingkungan Pemerintah Kabupaten Bandung</t>
  </si>
  <si>
    <t>Form Permohonan Informasi Publik</t>
  </si>
  <si>
    <t>Informasi Publi sesuai Permohonan</t>
  </si>
  <si>
    <t>Sekretariat - Umum dan Kepegawaian</t>
  </si>
  <si>
    <t>Muhammad Heda Nurhidayatulloh</t>
  </si>
  <si>
    <t>0822-1918-5277</t>
  </si>
  <si>
    <t>Permohonan Informasi Publik Secara Online</t>
  </si>
  <si>
    <t>Layanan Permohonan Informasi Publik melalui Aplikasi PPID</t>
  </si>
  <si>
    <t>Permohonan Informasi Publik</t>
  </si>
  <si>
    <r>
      <rPr>
        <rFont val="Calibri, sans-serif"/>
        <color rgb="FF1155CC"/>
        <sz val="12.0"/>
        <u/>
      </rPr>
      <t>ppid.bandungkab.go.id</t>
    </r>
  </si>
  <si>
    <t>Dukungan Pemberdayaan Masyarakat / Relawan Pemadam Kebakaran Melalui Penyediaan Sarana dan Prasarana</t>
  </si>
  <si>
    <t>Meminimalisir dampak kejadian kebakaran berupa korban jiwa dan harta benda,dengan tujuan tercapainya kelancaran pelaksanaan kegiatan</t>
  </si>
  <si>
    <t>Peraturan Bupati Bandung Nomor 13 Tahun 2010 Tentang Petunjuk Pelaksanaan dan Petunjuk Teknis Peraturan Daerah Kabupaten Bandung Nomor 7 Tahun 2009 Tentang Penanggulangan dan Pencegahan Kebakaran.</t>
  </si>
  <si>
    <r>
      <rPr>
        <rFont val="Calibri, sans-serif"/>
        <color rgb="FF1155CC"/>
        <sz val="12.0"/>
        <u/>
      </rPr>
      <t>https://drive.google.com/drive/folders/1Ejl6GsPadSWWZ-gXvbwNU62zsG4t_RcK?usp=drive_link</t>
    </r>
  </si>
  <si>
    <t>Proposal usulan, SK Desa yang mendapatkan dukungan sarpras</t>
  </si>
  <si>
    <t>Laporan hasil kegiatan dukungan sarpas</t>
  </si>
  <si>
    <t>Pencatatan Surat Masuk dan Keluar</t>
  </si>
  <si>
    <t>Untuk Pencatatan Surat Masuk, Surat Keluar, Agenda Kegiatan serta Pencatatan Legalisir Salinan Dokumen</t>
  </si>
  <si>
    <t>Peraturan Arsip Nasional Republik Indonesia nomor 9 Tahun 2018 tentang Pedoman Pemeliharaan Arsip Dinamis</t>
  </si>
  <si>
    <t>Data Surat Masuk, Pengirim Surat</t>
  </si>
  <si>
    <t>Data Pengelolaan Kearsipan Surat Masuk dan Keluar, Agenda Kegiatan, Rekap Legalisir Salinan Dokumen</t>
  </si>
  <si>
    <t>Google form</t>
  </si>
  <si>
    <t>disdamkar@bandungkab.go.id</t>
  </si>
  <si>
    <t>DISPAREKRAF</t>
  </si>
  <si>
    <t>Layanan Pendataan Kunjungan Wisatawan</t>
  </si>
  <si>
    <t>- Menyediakan data mengenai jumlah kunjungan wisatawan, profil usaha pariwisata, dan grafik kunjungan wisatawan (domestik maupun mancanegara).
 - Mendukung perencanaan dan kebijakan pembangunan pariwisata daerah.
 - Memantau perkembangan tren pariwisata secara berkala untuk melihat pertumbuhan sektor pariwisata.
 - Mendorong promosi dan investasi dengan data yang dapat dijadikan dasar analisis potensi pasar wisata.
 - Alat monitoring dan evaluasi dalam pelaksanaan program dan kegiatan kepariwisataan.</t>
  </si>
  <si>
    <t>Undang-Undang Nomor 10 Tahun 2009 tentang Kepariwisataan, terkait :
 - Pasal 14 huruf g: Pemerintah dan pemerintah daerah berkewajiban menyediakan data dan informasi kepariwisataan secara lengkap, akurat, dan terkini.
 - Pasal 30: Setiap usaha pariwisata wajib menyampaikan data dan informasi yang benar kepada pemerintah/pemerintah daerah.
 Peraturan Bupati No 82 Tahun 2019, tentang Tatakelola Satu Data Daerah</t>
  </si>
  <si>
    <r>
      <rPr>
        <rFont val="Calibri, sans-serif"/>
        <color rgb="FF1155CC"/>
        <sz val="12.0"/>
        <u/>
      </rPr>
      <t>https://drive.google.com/drive/u/1/folders/1OmZJCQ07S-vIbWQDO6jSHpZyJaE2oGJM</t>
    </r>
  </si>
  <si>
    <t>- Data Pengunjung/wisatawan domestik maupun mancanegara
 - Data usaha Pariwisata (Daya Tarik Wisata, Akomodasi, Makan dan Minum, Rekreasi dan Hiburan serta Wisata Tirta.)
 - Informasi Destinasi Wisata (tiket masuk, jam operasional dll.)</t>
  </si>
  <si>
    <t>Data tren kunjungan wisatawan dan media promosi usaha wisata</t>
  </si>
  <si>
    <t>SIM BARRAYA</t>
  </si>
  <si>
    <r>
      <rPr>
        <rFont val="Calibri, sans-serif"/>
        <color rgb="FF1155CC"/>
        <sz val="12.0"/>
        <u/>
      </rPr>
      <t>https://simbarraya.bandungkab.go.id/</t>
    </r>
  </si>
  <si>
    <t>Bidang Ekonomi Kreatif</t>
  </si>
  <si>
    <t>- Moch Syahril Anas, S.Kom</t>
  </si>
  <si>
    <t>syahrilanas09@gmail.com</t>
  </si>
  <si>
    <t>pelaku usaha</t>
  </si>
  <si>
    <t>SATPOL PP</t>
  </si>
  <si>
    <t>BAPPERIDA</t>
  </si>
  <si>
    <t>Tujuan Inovasi APIK: · Meningkatkan pengelolaan data inovasi yang tersebar di seluruh Perangkat Daerah · Meningkatkan efektivitas dan efisiensi dalam pelaporan data inovasi dari Perangkat Daerah ke Bappelitbangda · Menyediakan data inovasi untuk pelaksanaan Lomba dan atau Penghargaan Inovasi di tingkat Kabupaten Bandung</t>
  </si>
  <si>
    <t>Peraturan Pemerintah Nomor 38 Tahun 2017 tentang Inovasi Daerah</t>
  </si>
  <si>
    <r>
      <rPr>
        <rFont val="Calibri, sans-serif"/>
        <color rgb="FF1155CC"/>
        <sz val="12.0"/>
        <u/>
      </rPr>
      <t>https://drive.google.com/file/d/1U5Ce3fAIo3YOESTLI_rdag9_xK_sncgn/view?usp=sharing</t>
    </r>
  </si>
  <si>
    <t>Data Inovasi Daerah</t>
  </si>
  <si>
    <t>Indeks Inovasi Daerah Kabupaten Bandung</t>
  </si>
  <si>
    <t>APIK</t>
  </si>
  <si>
    <r>
      <rPr>
        <rFont val="Calibri, sans-serif"/>
        <color rgb="FF1155CC"/>
        <sz val="12.0"/>
        <u/>
      </rPr>
      <t>https://apik.bandungkab.go.id/v2/apik/</t>
    </r>
  </si>
  <si>
    <t>Terintegrasi dengan Aplikasi BDS</t>
  </si>
  <si>
    <t>Bidang Riset dan Inovasi</t>
  </si>
  <si>
    <t>Ajat Sudrajat</t>
  </si>
  <si>
    <t>jatsudrajat@gmail.com</t>
  </si>
  <si>
    <t>Semesteran</t>
  </si>
  <si>
    <t>APIK V2 (Aplikasi Informasi Kelitbangan V2)</t>
  </si>
  <si>
    <t>Merancang dan mengelola rencana pembangunan untuk mencapai pertumbuhan ekonomi, pemerataan pembangunan, dan kesejahteraan masyarakat</t>
  </si>
  <si>
    <r>
      <rPr>
        <rFont val="Calibri, sans-serif"/>
        <color rgb="FF1155CC"/>
        <sz val="12.0"/>
        <u/>
      </rPr>
      <t>https://drive.google.com/file/d/1U5Ce3fAIo3YOESTLI_rdag9_xK_sncgn/view?usp=sharing</t>
    </r>
  </si>
  <si>
    <t>Data Perencanaan Pembangunan Daerah</t>
  </si>
  <si>
    <t>Pusdatin Kemendagri</t>
  </si>
  <si>
    <t>OPD, Kec, Masrakat Umum</t>
  </si>
  <si>
    <t>Layanan Kelitbangan</t>
  </si>
  <si>
    <t>Memberikan informasi dan analisis kepada pemerintah daerah untuk mendukung pengambilan keputusan yang bijaksana</t>
  </si>
  <si>
    <r>
      <rPr>
        <rFont val="Calibri, sans-serif"/>
        <color rgb="FF1155CC"/>
        <sz val="12.0"/>
        <u/>
      </rPr>
      <t>https://drive.google.com/file/d/1U5Ce3fAIo3YOESTLI_rdag9_xK_sncgn/view?usp=sharing</t>
    </r>
  </si>
  <si>
    <r>
      <rPr>
        <rFont val="Calibri, sans-serif"/>
        <color rgb="FF1155CC"/>
        <sz val="12.0"/>
        <u/>
      </rPr>
      <t>https://apik.bandungkab.go.id/apik/login</t>
    </r>
  </si>
  <si>
    <t>Layanan Monev Perencanaan</t>
  </si>
  <si>
    <t>Memastikan implementasi rencana pembangunan berjalan sesuai dengan yang direncanakan dan mengukur capaian hasil secara berkala</t>
  </si>
  <si>
    <t>Permendagri Nomor 86 Tahun 2017 tentang Tata Cara Perencanaan, Pengendalian dan Evaluasi Pembangunan Daerah, Tata Cara Evaluasi Rancangan Peraturan Daerah tentang Rancangan Peraturan Daerah Tentang Rencana Pembangunan Jangka Panjang Daerah dan Rencana Pembangunan Jangka Menengah Daerah, Serta Tata Cara Perubahan Rencana Pembangunan Jangka Panjang Daerah, Rencana Pembangunan Jangka Menengah Daerah, dan Rencana Kerja Pemerintah Daerah</t>
  </si>
  <si>
    <r>
      <rPr>
        <rFont val="Calibri, sans-serif"/>
        <color rgb="FF1155CC"/>
        <sz val="12.0"/>
        <u/>
      </rPr>
      <t>https://drive.google.com/file/d/1AyIKCXVfBqPx9cvvRoccmxKK7sXqNBS7/view?usp=drive_link</t>
    </r>
  </si>
  <si>
    <t>Data Kinerja dan Anggaran perTriwulan</t>
  </si>
  <si>
    <t>Data Capaian Kinerja dan Anggaran</t>
  </si>
  <si>
    <r>
      <rPr>
        <rFont val="Calibri, sans-serif"/>
        <color rgb="FF1155CC"/>
        <sz val="12.0"/>
        <u/>
      </rPr>
      <t>sidalmonep.bandungkab.go.id</t>
    </r>
  </si>
  <si>
    <t>Bidang PPEPD</t>
  </si>
  <si>
    <t>Erwin Jaya Santosa, S.T</t>
  </si>
  <si>
    <t>0878-2500-6421</t>
  </si>
  <si>
    <t>eza.santosa@gmail.com</t>
  </si>
  <si>
    <t>triwulan</t>
  </si>
  <si>
    <t>Layanan Baperida Jurnal Riset</t>
  </si>
  <si>
    <t>Mendorong dan mendukung penelitian serta pengembangan di berbagai sektor untuk meningkatkan inovasi dan pemahaman dalam pembangunan daerah</t>
  </si>
  <si>
    <t>1. Undang-undang Nomor 11 Tahun 2019 tentang Sistem Nasional Ilmu Pengetahuan dan Teknologi.
 2. Daerah Nomor 7 Tahun 2016 tentang Rencana Pembangunan Jangka Menengah Daerah Tahu n
  9. Peraturan Bupati Bandung Nomor 67 Tahun 2017 tentang Pedoman Pelaksanaan Penelitian dan
  Pengembangan di Lingkungan Pemerintah Kabupaten Bandung.</t>
  </si>
  <si>
    <r>
      <rPr>
        <rFont val="Calibri, sans-serif"/>
        <color rgb="FF1155CC"/>
        <sz val="12.0"/>
        <u/>
      </rPr>
      <t>https://drive.google.com/file/d/1JhS_khzdBgbJD9WfRdXNmMfYuI_ppqJR/view?usp=sharing</t>
    </r>
  </si>
  <si>
    <t>Data Jurnal</t>
  </si>
  <si>
    <t>Jurnal</t>
  </si>
  <si>
    <t>BAJURI</t>
  </si>
  <si>
    <r>
      <rPr>
        <rFont val="Calibri, sans-serif"/>
        <color rgb="FF1155CC"/>
        <sz val="12.0"/>
        <u/>
      </rPr>
      <t>https://bajuri.bandungkab.go.id/</t>
    </r>
  </si>
  <si>
    <t>Terintegrasi dengan aplikasi BDS</t>
  </si>
  <si>
    <t>Martius</t>
  </si>
  <si>
    <t>martius2876@gmail.com</t>
  </si>
  <si>
    <t>semesteran</t>
  </si>
  <si>
    <t>Sistem Informasi Pemetaan Desa demi Desa
 Terintegrasi dan Terpadu Berbasis Digital Menuju Kabupaten Bandung Lengkap, yang
 merupakan rencana aplikasi berbasis web</t>
  </si>
  <si>
    <t>Sistem Informasi Pemetaan Desa demi Desa
 Terintegrasi dan Terpadu Berbasis Digital Menuju Kabupaten Bandung Lengkap, yang
 merupakan rencana aplikasi berbasis web yang bertujuan mewujudkan tertib
 administrasi pertanahan Kabupaten Bandung dan memuat antara lain:
 •Forum Satu Data (Berbagi data Lokasi Kemiskinan, Strategis Pembangunan, Pendapatan,
 Kebencanaan, dll);
 •Kerjasama Pemetaan dan Sertifikasi Bidang Tanah Tingkat Desa;
 •Kerjasama Pembinaan Hukum Pertanahan;</t>
  </si>
  <si>
    <t>Undang-Undang Nomor 26 Tahun 2007 tentang Penataan Ruang;
 Undang-Undang Nomor 4 Tahun 2011 Tentang Informasi Geospasial
 Undang-Undang Nomor 23 Tahun 2014 tentang Pemerintahan Daerah;
 Peraturan Pemerintah Nomor 26 Tahun 2008 tentang Rencana Tata Ruang Wilayah Nasional;
 Peraturan Pemerintah Nomor 21 Tahun 2021 tentang Penyelenggaraan Penataan Ruang;
 Peraturan Presiden Republik Indonesia Nomor 39 Tahun 2019 tentang Satu Data Indonesia;
 Peraturan Presiden No. 23 Tahun 2021 tentang Perubahan Atas Peraturan Presiden Nomor 9 Tahun 2016 Tentang Percepatan Pelaksanaan Kebijakan Satu Peta pada Tingkat Ketelitian Peta Skala 1:50.000
 Peraturan Bupati Bandung Nomor 82 tahun 2019 tentang Tata Kelola Satu Data Daerah;</t>
  </si>
  <si>
    <t>Data Spasial;
 Data Tabulasi:</t>
  </si>
  <si>
    <t>Data spasial Hasil Integrasi Pertanahan dan Penataan ruang,</t>
  </si>
  <si>
    <t>Singgih Herdian P</t>
  </si>
  <si>
    <t>singgihherdianp@gmail.com</t>
  </si>
  <si>
    <t>15, 24, 27, 28, 29, 31, 32, 51</t>
  </si>
  <si>
    <t>Bappenda dan BPN</t>
  </si>
  <si>
    <r>
      <rPr>
        <rFont val="Calibri, sans-serif"/>
        <color rgb="FF1155CC"/>
        <sz val="12.0"/>
        <u/>
      </rPr>
      <t>simwas.bandungkab.go.id</t>
    </r>
  </si>
  <si>
    <t>Inspektur Pembantu I dan IV</t>
  </si>
  <si>
    <r>
      <rPr>
        <rFont val="Calibri, sans-serif"/>
        <color rgb="FF1155CC"/>
        <sz val="12.0"/>
        <u/>
      </rPr>
      <t>https://simaslahat.bandungkab.go.id/</t>
    </r>
  </si>
  <si>
    <t>Penyajian kumpulan data statistik sektoral</t>
  </si>
  <si>
    <t>SI-MASDA (Sistem Informasi Manajemen Statistik Daerah) adalah Website Online yang menyajikan kumpulan data statistik sektoral yang dihasilkan dari aktifitas pengumpulan data yang dikelola di Perangkat Daerah (PD) dan diproses melalui pengolahan data di Bidang Statistik Diskominfo untuk disajikan menjadi produk analisis data Statistik Sektoral yang diupload kedalam Website SI-MASDA untuk dipublikasi dan disajikan kepada pengunjung Website dan pengguna lainnya yang membutuhkan data tersebut</t>
  </si>
  <si>
    <r>
      <rPr>
        <rFont val="Calibri, sans-serif"/>
        <color rgb="FF1155CC"/>
        <sz val="12.0"/>
        <u/>
      </rPr>
      <t>https://simasda.bandungkab.go.id/</t>
    </r>
  </si>
  <si>
    <t>Bu Rinrin Destiati</t>
  </si>
  <si>
    <t>DISKOMINFO</t>
  </si>
  <si>
    <t>Layanan pengusulan standar data statistik dan pelaporan metadata statisti</t>
  </si>
  <si>
    <r>
      <rPr>
        <rFont val="Calibri, sans-serif"/>
        <color rgb="FF1155CC"/>
        <sz val="12.0"/>
        <u/>
      </rPr>
      <t>https://indah.bps.go.id/</t>
    </r>
  </si>
  <si>
    <t>Bu Tutut</t>
  </si>
  <si>
    <t>BPS</t>
  </si>
  <si>
    <t>Layanan bagi instansi pemerintah untuk mendapatkan rekomendasi penyelenggaraan kegiatan statistik sektoral dari BPS.</t>
  </si>
  <si>
    <t>Rekomendasi kegiatan statistik merupakan saran dan masukan yang diberikan oleh BPS terhadap rancangan kegiatan statistik sektoral yang disampaikan oleh Kementerian/Lembaga/Dinas/Instansi Pemerintah Lainnya (K/L/D/I).</t>
  </si>
  <si>
    <t>ROMANTIK</t>
  </si>
  <si>
    <r>
      <rPr>
        <rFont val="Calibri, sans-serif"/>
        <color rgb="FF1155CC"/>
        <sz val="12.0"/>
        <u/>
      </rPr>
      <t>https://romantik.web.bps.go.id/</t>
    </r>
  </si>
  <si>
    <t>Layanan rencana kebutuhan barang milik daerah</t>
  </si>
  <si>
    <t>Membantu pemerintah daerah dalam merencanakan kebutuhan barang atau aset daerah secara sistematis, efektif, dan sesuai dengan kebutuhan setiap organisasi perangkat daerah (OPD) sebagai dasar penyusunan anggaran dalam APBD.</t>
  </si>
  <si>
    <t>RKBMD</t>
  </si>
  <si>
    <r>
      <rPr>
        <rFont val="Calibri, sans-serif"/>
        <color rgb="FF1155CC"/>
        <sz val="12.0"/>
        <u/>
      </rPr>
      <t>https://rkbmd.e-planningbmd.id/</t>
    </r>
  </si>
  <si>
    <t>Layanan Pengantar Pajak</t>
  </si>
  <si>
    <t>Membantu pemerintah daerah dalam mengelola, menyimpan, dan mendokumentasikan data serta dokumen Barang Milik Daerah secara digital agar proses perencanaan, pengelolaan, dan pengawasan aset daerah dapat dilakukan dengan lebih efektif, tertib, transparan, dan akuntabel.</t>
  </si>
  <si>
    <t>e-PERSEDIAAN</t>
  </si>
  <si>
    <r>
      <rPr>
        <rFont val="Calibri, sans-serif"/>
        <color rgb="FF1155CC"/>
        <sz val="12.0"/>
        <u/>
      </rPr>
      <t>https://persediaanbmd.bandungkab.go.id/</t>
    </r>
  </si>
  <si>
    <t>Layanan Pengelolaan Kinerja ASN</t>
  </si>
  <si>
    <t>Layanan Pengelolaan Penilaian Kinerja ASN di Lingkungan Pemerintah Kabupaten Bandung untuk mewujudkan suatu layanan kepegawaian yang cepat, efektif, efisien, dan akurat dengan memanfaatkan teknologi komunikasi dan informasi berupa sistem yang terpadu meliputi pendataan, pengolahan, prosedur, sumber daya manusia, dan teknologi informasi.</t>
  </si>
  <si>
    <t>Peraturan Bupati Bandung No. 341 Tahun 2022 Tentang Pengelolaan Kinerja ASN dan Perubahan No. 273 Tahun 2023 Tentang Perubahan Atas Peraturan Bupati Bandung No. 341 Tahun 2022 Tentang Pengelolaan Kinerja ASN</t>
  </si>
  <si>
    <t>Produk Hasil Penilaian Kinerja ASN, seperti Laporan Kinerja Bulanan dan Sasaran Kinerja Pegawai Tahunan</t>
  </si>
  <si>
    <t>SASIKAP EVO</t>
  </si>
  <si>
    <r>
      <rPr>
        <rFont val="Calibri, sans-serif"/>
        <color rgb="FF1155CC"/>
        <sz val="12.0"/>
        <u/>
      </rPr>
      <t>https://sso.bandungkab.go.id/</t>
    </r>
  </si>
  <si>
    <t>DHE ASN</t>
  </si>
  <si>
    <t>Bidang Penilaian Kinerja dan Pengembangan ASN</t>
  </si>
  <si>
    <t>DEDI RADI, S.Kom M.M.</t>
  </si>
  <si>
    <r>
      <rPr>
        <rFont val="Calibri, sans-serif"/>
        <color rgb="FF1155CC"/>
        <sz val="12.0"/>
        <u/>
      </rPr>
      <t>mailto:dediradi@gmail.com</t>
    </r>
  </si>
  <si>
    <t>Layanan Kenaikan Gaji Berkala</t>
  </si>
  <si>
    <t>Layanan Kenaikan Gaji Berkala merupakan pelayanan administrasi kepegawaian yang diberikan kepada ASN sebagai pemenuhan hak atas penyesuaian gaji pokok sesuai dengan masa kerja dan ketentuan peraturan yang berlaku yang berfungsi untuk memastikan tertib administrasi, memberikan kepastian serta penghargaan atas pengabdian pegawai, sekaligus meningkatkan kesejahteraan melalui penyesuaian penghasilan secara berkala.</t>
  </si>
  <si>
    <t>Surat Edaran Sekretariat Daerah No. 800/786/BKPSDM Tanggal 23 Maret 2020 Tentang Pelayanan Administrasi Kepegawaian Paperless pada Badan Kepegawaian dan Pengembangan Sumber Daya Manusia Kabupaten Bandung</t>
  </si>
  <si>
    <r>
      <rPr>
        <rFont val="Calibri, sans-serif"/>
        <color rgb="FF1155CC"/>
        <sz val="12.0"/>
        <u/>
      </rPr>
      <t>https://drive.google.com/file/d/18x4SyFaMTJIHq1ORgmmghi6RwxlrdqOk/view?usp=sharing</t>
    </r>
  </si>
  <si>
    <t>Produk Layanan Kepegawaian</t>
  </si>
  <si>
    <t>SSO</t>
  </si>
  <si>
    <r>
      <rPr>
        <rFont val="Calibri, sans-serif"/>
        <color rgb="FF1155CC"/>
        <sz val="12.0"/>
        <u/>
      </rPr>
      <t>https://sso.bandungkab.go.id/</t>
    </r>
  </si>
  <si>
    <t>SI ASN</t>
  </si>
  <si>
    <t>Bidang Pengadaan Pemberhentian dan Informasi Kepegawaian ASN</t>
  </si>
  <si>
    <t>LEMI CANDRA LESMANA, ST</t>
  </si>
  <si>
    <r>
      <rPr>
        <rFont val="Calibri, sans-serif"/>
        <color rgb="FF1155CC"/>
        <sz val="12.0"/>
        <u/>
      </rPr>
      <t>mailto:lemicandra@gmail.com</t>
    </r>
  </si>
  <si>
    <t>Layanan Administrasi Surat Menyurat</t>
  </si>
  <si>
    <r>
      <rPr>
        <rFont val="Calibri, sans-serif"/>
        <color rgb="FF1155CC"/>
        <sz val="12.0"/>
        <u/>
      </rPr>
      <t>https://sultan.bandungkab.go.id/login</t>
    </r>
  </si>
  <si>
    <t>SURAT MASUK/NASKAH/DOKUMEN</t>
  </si>
  <si>
    <t>Layanan Surat Masuk/Naskah/Dokumen bertujuan untuk memberikan akses informasi publik secara resmi, memastikan setiap naskah dinas diterima, diperiksa, dan didisposisi sesuai ketentuan tata naskah dinas, serta menghasilkan tanggapan atau surat jawaban tertulis bagi pemohon. Fungsi layanan ini meliputi penerimaan dan pemeriksaan permohonan beserta persyaratan, verifikasi serta disposisi berjenjang oleh pejabat terkait (Kasubag Umpeg, Sekretaris Badan, hingga Kepala BKAD), pencatatan dan distribusi naskah dinas sesuai arahan pimpinan, hingga penyediaan kanal pengaduan melalui website resmi BKAD Kabupaten Bandung, dengan prinsip pelayanan cepat, transparan, dan akuntabel.</t>
  </si>
  <si>
    <t>Data Surat Masuk</t>
  </si>
  <si>
    <t>Data Surat Masuk telah di proses</t>
  </si>
  <si>
    <t>SIAP</t>
  </si>
  <si>
    <r>
      <rPr>
        <rFont val="Calibri, sans-serif"/>
        <color rgb="FF1155CC"/>
        <sz val="12.0"/>
        <u/>
      </rPr>
      <t>https://pelayanan.bandungkab.dapda.id/</t>
    </r>
  </si>
  <si>
    <t>PENYUSUNAN HARGA SATUAN POKOK KEGIATAN (HSPK) DAN ANALISIS STANDAR BELANJA (ASB)</t>
  </si>
  <si>
    <t>Sebagai media untuk menghimpun usulan ASB Konstruksi dan Non Konstruksi dari seluruh Perangkat Daerah di lingkungan Pemerintah Kabupaten Bandung dalam rangka penyusunan Peraturan Bupati Bandung tentang HSPK dan ASB</t>
  </si>
  <si>
    <t>Undang-Undang Nomor 23 Tahun 2014 tentang Pemerintah Daerah; Peraturan Pemerintah Nomor 12 Tahun 2019 tentang Pengelolaan Keuangan Daerah; Peraturan Menteri Dalam Negeri Nomor 77 Tahun 2020 tentang Pedoman Teknis Pengelolaan Keuangan Daerah.</t>
  </si>
  <si>
    <r>
      <rPr>
        <rFont val="Calibri, sans-serif"/>
        <color rgb="FF1155CC"/>
        <sz val="12.0"/>
        <u/>
      </rPr>
      <t>https://drive.google.com/file/d/1Wq5fbFaB6cGVodoz0G93rd3_HKNa842I/view?usp=sharing</t>
    </r>
  </si>
  <si>
    <t>Data Usulan ASB Konstruksi dan Non Konstruksi</t>
  </si>
  <si>
    <t>Data Usulan ASB Konstruksi dan Non Konstruksi yang telah diverifikasi oleh Bidang Anggaran</t>
  </si>
  <si>
    <t>HSPKASB E-PLANNING</t>
  </si>
  <si>
    <r>
      <rPr>
        <rFont val="Calibri, sans-serif"/>
        <color rgb="FF1155CC"/>
        <sz val="12.0"/>
        <u/>
      </rPr>
      <t>https://hspkasb.e-planningbmd.id/auth</t>
    </r>
  </si>
  <si>
    <t>SSH SBU E-Planning</t>
  </si>
  <si>
    <t>Bidang Anggaran</t>
  </si>
  <si>
    <t>Yanti Daryati</t>
  </si>
  <si>
    <t>yantidaryati46@gmail.com</t>
  </si>
  <si>
    <t>DANA DESA KEPADA PEMERINTAH DESA</t>
  </si>
  <si>
    <t>Dana Desa (DD) adalah dana yang bersumber dari Anggaran Pendapatan dan Belanja Negara (APBN) yang dialokasikan melalui Anggaran Pendapatan dan Belanja Daerah (APBD) Kabupaten/Kota, dan ditransfer ke rekening desa. Dana ini ditujukan untuk membiayai penyelenggaraan pemerintahan, pembangunan, pembinaan kemasyarakatan, dan pemberdayaan masyarakat desa.</t>
  </si>
  <si>
    <t>Undang-Undang Nomor 17 Tahun 2003 tentang Keuangan Negara.Undang-Undang Nomor 1 Tahun 2004 tentang Perbendaharaan Negara.Undang-Undang Nomor 23 Tahun 2014 tentang Pemerintahan Daerah.Peraturan Presiden Nomor 95 Tahun 2018 tentang Sistem Pemerintahan Berbasis Elektronik (SPBE).</t>
  </si>
  <si>
    <t>Usulan Rekomendasi Dari DPMD</t>
  </si>
  <si>
    <t>Terbitan SP2D</t>
  </si>
  <si>
    <t>Si-Desa</t>
  </si>
  <si>
    <r>
      <rPr>
        <rFont val="Calibri, sans-serif"/>
        <color rgb="FF1155CC"/>
        <sz val="12.0"/>
        <u/>
      </rPr>
      <t>https://sidesa.bandungkab.dapda.id/login</t>
    </r>
  </si>
  <si>
    <t>REKONSILIASI DATA KEUANGAN DALAM RANGKA PENYUSUNAN LAPORAN KEUANGAN</t>
  </si>
  <si>
    <t>Layanan Rekonsiliasi Data Keuangan dalam rangka penyusunan laporan keuangan bertujuan untuk memastikan kesesuaian, kelengkapan, dan keakuratan data keuangan antara SKPD dengan Bidang Akuntansi dan Pelaporan Keuangan. Melalui layanan ini dilakukan verifikasi dan klarifikasi data, pemeriksaan dokumen, serta koordinasi antara pihak terkait, sehingga dapat diterbitkan Berita Acara Rekonsiliasi sebagai bukti kesesuaian angka yang disajikan. Dengan demikian, layanan ini berfungsi untuk mendukung tersusunnya laporan keuangan daerah yang akurat, transparan, dapat dipertanggungjawabkan, dan sesuai dengan ketentuan yang berlaku.</t>
  </si>
  <si>
    <t>belum tersedia</t>
  </si>
  <si>
    <t>data realisasi</t>
  </si>
  <si>
    <t>data rekonsiliasi</t>
  </si>
  <si>
    <t>soreang</t>
  </si>
  <si>
    <r>
      <rPr>
        <rFont val="Calibri, sans-serif"/>
        <color rgb="FF1155CC"/>
        <sz val="12.0"/>
        <u/>
      </rPr>
      <t>soreang.dapda.id</t>
    </r>
  </si>
  <si>
    <t>2024-2025</t>
  </si>
  <si>
    <t>Perben aklap</t>
  </si>
  <si>
    <t>KONSOLIDASI PENYUSUNAN LAPORAN BARANG MILIK DAERAН</t>
  </si>
  <si>
    <t>Merupakan proses menghimpun dan menyusun laporan barang milik daerah 
 dalam rangka penyusunan laporan keuangan pemerintah daerah</t>
  </si>
  <si>
    <t>Peremndagri 47 tahun 2021, Perda no 3 tahun 2017, Perbup no 94 tahun 2020, Perbup 178 tahun 2020, Perbup 240 Tahun 2024</t>
  </si>
  <si>
    <r>
      <rPr>
        <rFont val="Calibri, sans-serif"/>
        <color rgb="FF1155CC"/>
        <sz val="12.0"/>
        <u/>
      </rPr>
      <t>https://drive.google.com/file/d/1YRKKugsMdrXTfIPPP5t9vIuPmcSmeJi-/view?usp=sharing</t>
    </r>
  </si>
  <si>
    <t>Data belanja modal</t>
  </si>
  <si>
    <t>- Laporan neraca
 - Laporan penyusutan
 - Laporan mutasi tambah/kurang aset
 - Laporan KIB</t>
  </si>
  <si>
    <t>DIARVIS BMD</t>
  </si>
  <si>
    <r>
      <rPr>
        <rFont val="Calibri, sans-serif"/>
        <color rgb="FF1155CC"/>
        <sz val="12.0"/>
        <u/>
      </rPr>
      <t>https://penatausahaan-dev-bmd.bandungkab.go.id/login#pembukuan</t>
    </r>
  </si>
  <si>
    <t>Bidang BMD</t>
  </si>
  <si>
    <t>Yohan Nugroho</t>
  </si>
  <si>
    <t>jojonugraha33@gmail.com</t>
  </si>
  <si>
    <t>PERENCANAAN KEBUTUHAN BARANG MILIK DAERAH</t>
  </si>
  <si>
    <t>Sebagai media untuk menghimpun usulan Rencana Kebutuhan Barang Milik Daerah (RKBMD) dari seluruh Perangkat Daerah di lingkungan Pemerintah Kabupaten Bandung dalam rangka penyusunan Keputusan Sekretaris Daerah tentang RKBMD</t>
  </si>
  <si>
    <t>Permendagri 19 Tahun 2016, Permendagri 7 Tahun 2024</t>
  </si>
  <si>
    <r>
      <rPr>
        <rFont val="Calibri, sans-serif"/>
        <color rgb="FF1155CC"/>
        <sz val="12.0"/>
        <u/>
      </rPr>
      <t>https://docs.google.com/spreadsheets/d/1GrF7yl0eJIiOHTS8n_w_9Sp-PAVtSvEu/edit?usp=drive_link&amp;ouid=100880423975394660255&amp;rtpof=true&amp;sd=true</t>
    </r>
  </si>
  <si>
    <t>Usulan RKBMD</t>
  </si>
  <si>
    <t>Keputusan Sekretaris Daerah Kabupaten Bandung Tentang RKBMD</t>
  </si>
  <si>
    <r>
      <rPr>
        <rFont val="Calibri, sans-serif"/>
        <color rgb="FF1155CC"/>
        <sz val="12.0"/>
        <u/>
      </rPr>
      <t>rkbmd.e-planningbmd.id</t>
    </r>
  </si>
  <si>
    <t>Linda Indirawati</t>
  </si>
  <si>
    <t>indirawatilinda@gmail.com</t>
  </si>
  <si>
    <t>STANDAR PELAYANAN PENYUSUNAN STANDAR HARGA SATUAN</t>
  </si>
  <si>
    <t>SHS menjadi acuan bagi seluruh perangkat daerah dalam menetapkan harga satuan barang dan jasa untuk menyusun rencana kerja dan anggaran (RKA) serta rancangan peraturan daerah tentang APBD</t>
  </si>
  <si>
    <t>Perpres 72 Tahun 2025 , Perbup 84 Tahun 2025</t>
  </si>
  <si>
    <r>
      <rPr>
        <rFont val="Calibri, sans-serif"/>
        <color rgb="FF1155CC"/>
        <sz val="12.0"/>
        <u/>
      </rPr>
      <t>https://drive.google.com/file/d/1pRxS9hpYYxPfeElynApRSPgiKe_xbqQZ/view?usp=drive_link</t>
    </r>
  </si>
  <si>
    <t>Data Usulan SHS meliputi SSH dan SBU</t>
  </si>
  <si>
    <t>Data Usulan SHS yang telah diverifikasi oleh Bidang BMD</t>
  </si>
  <si>
    <t>E-PLANNING BMD</t>
  </si>
  <si>
    <r>
      <rPr>
        <rFont val="Calibri, sans-serif"/>
        <color rgb="FF1155CC"/>
        <sz val="12.0"/>
        <u/>
      </rPr>
      <t>https://e-planningbmd.id/</t>
    </r>
  </si>
  <si>
    <t>SSHSBU E-Planning</t>
  </si>
  <si>
    <t>irair712@gmail.com</t>
  </si>
  <si>
    <t>PENGHAPUSAN BARANG MILIK DAERAH (BMD)</t>
  </si>
  <si>
    <t>Mengelola Proses penghapusan BMD meliputi tiga alur utama: 
 - Pemindahtanganan melalui lelang
 - Pemindahtanganan melalui hibah
 - Pemusnahan
 Setiap alur memiliki persyaratan, prosedur, dan dokumen yang berbeda-beda. Kompleksitas ini sering menghambat pengusul dan proses penghapusan karena proses yang panjang sehingga memakan waktu lama dan rentan terhadap kesalahan administrasi. maka dibuat digitalisasi untuk memudahkan pemohon dan pengelola penghapusan.</t>
  </si>
  <si>
    <t>Permendagri No. 7 Tahun 2024 dan Permendagri sebelumnya sebagai pedoman umum,
 Peraturan Pemerintah No. 27 Tahun 2014,
 Peraturan Daerah yang mengatur tata cara pelaksanaan pemindahtanganan, pemusnahan, dan penghapusan</t>
  </si>
  <si>
    <t>Data Barang Rusak Berat, Data Usulan Penghapusan, Dokumen Proses Penghapusan</t>
  </si>
  <si>
    <t>Format Usulan, Informasi Status Progess Penghapusan, SK Penghapusan</t>
  </si>
  <si>
    <t>E-PENGHAPUSAN BMD</t>
  </si>
  <si>
    <r>
      <rPr>
        <rFont val="Calibri, sans-serif"/>
        <color rgb="FF1155CC"/>
        <sz val="12.0"/>
        <u/>
      </rPr>
      <t>https://e-penghapusanbmd.id/</t>
    </r>
  </si>
  <si>
    <t>diarvis (dalam pengembangan)</t>
  </si>
  <si>
    <t>BMD</t>
  </si>
  <si>
    <t>indra</t>
  </si>
  <si>
    <t>indratroya@gmail.com</t>
  </si>
  <si>
    <t>DIGITALISASI PENCATATAN PERSEDIAAN BARANG</t>
  </si>
  <si>
    <t>Digitalisasi ini bertujuan untuk membantu OPD dalam mengelola persediaan barang secara lebih efektif, terstruktur, akurat dan realtime. Dengan digitalisasi, pencatatan transaksi keluar-masuk barang dapat dilakukan secara otomatis dan terdokumentasi dengan baik sehingga meminimalkan kesalahan manual, mempercepat proses administrasi, serta mendukung pengambilan keputusan berdasarkan data yang valid</t>
  </si>
  <si>
    <t>Permendagri 47 Tahun 2021</t>
  </si>
  <si>
    <t>Data Transaksi Masuk dan keluar barang pakai habis</t>
  </si>
  <si>
    <t>- Laporan stockopname
 - Riwayat transaksi
 - Kartu barang persdiaan
 - Laporan Penggunaan barang
 - Laporan barag rusak/usang
 - Rekapitulasi nilai persediaan</t>
  </si>
  <si>
    <r>
      <rPr>
        <rFont val="Calibri, sans-serif"/>
        <color rgb="FF1155CC"/>
        <sz val="12.0"/>
        <u/>
      </rPr>
      <t>https://persediaanbmd.bandungkab.go.id/</t>
    </r>
  </si>
  <si>
    <t>e-penghapusan dan diarvis (dalam pengembangan)</t>
  </si>
  <si>
    <t>Barang Milik Daerah</t>
  </si>
  <si>
    <t>Cecep Sutisna</t>
  </si>
  <si>
    <t>cecepsutisna488@gmail.com</t>
  </si>
  <si>
    <t>DIARVIS E-BMD</t>
  </si>
  <si>
    <t>e-penghapusan dan e-planning (dalam pengembangan)</t>
  </si>
  <si>
    <t>Fadlan</t>
  </si>
  <si>
    <t>‪085155431332‬</t>
  </si>
  <si>
    <t>BAPENDA</t>
  </si>
  <si>
    <t>Pendaftaran Wajib Pajak Baru:
 PBJT Makanan dan/atau Minuman, PBJT Tenaga Listrik, PBJT Jasa Perhotelan, PBJT Jasa Parkir, PBJT Jasa Kesenian dan Hiburan, Pajak Reklame, Pajak Mineral Bukan Logam dan Batuan (MBLB) dan Pajak Air Tanah</t>
  </si>
  <si>
    <t>Layanan yang disediakan oleh Badan Pendapatan Daerah bagi masyarakat untuk pendaftaran wajib pajak baru kategori:
 1. PBJT Makanan dan/atau Minuman
 2. PBJT Tenaga Listrik
 3. PBJT Jasa Perhotelan
 4. PBJT Jasa Parkir
 5. PBJT Jasa Kesenian dan Hiburan
 6. Pajak Reklame
 7. Pajak Mineral Bukan Logam dan Batuan (MBLB)
 8. Pajak Air Tanah</t>
  </si>
  <si>
    <t>1. Peraturan Daerah Kabupaten Bandung Nomor 10 Tahun 2023 tentang Pajak Daerah dan Retribusi Daerah
 2. Peraturan Bupati Bandung Nomor 289 Tahun 2023 tentang Tata Cara Pemungutan Pajak Daerah</t>
  </si>
  <si>
    <r>
      <rPr>
        <rFont val="Calibri, sans-serif"/>
        <color rgb="FF1155CC"/>
        <sz val="12.0"/>
        <u/>
      </rPr>
      <t>https://drive.google.com/file/d/13chpwS3hzckDO6lZ62iqJLre18eSmtSR/view?usp=sharing</t>
    </r>
  </si>
  <si>
    <t>Masyarakat &amp; Pelaku Bisnis</t>
  </si>
  <si>
    <t>1. KTP
 2. Nomor Pokok Wajib Pajak (NPWP)
 3. Izin Usaha</t>
  </si>
  <si>
    <t>NPWPD (Nomor Pokok Wajib Pajak Daerah)</t>
  </si>
  <si>
    <t>e-SPTPD</t>
  </si>
  <si>
    <r>
      <rPr>
        <rFont val="Calibri, sans-serif"/>
        <color rgb="FF1155CC"/>
        <sz val="12.0"/>
        <u/>
      </rPr>
      <t>https://e-sptpd.bandungkab.go.id/site/login</t>
    </r>
  </si>
  <si>
    <t>SIP-PAD (Sistem Informasi Pengelolaan Pendapatan Asli Daerah)</t>
  </si>
  <si>
    <t>Bidang Pajak I</t>
  </si>
  <si>
    <t>Tri Putra Apriyono</t>
  </si>
  <si>
    <t>Pendaftaran Objek Pajak Baru Pajak Bumi dan Bangunan Perdesaan dan Perkotaan (PBB-P2)</t>
  </si>
  <si>
    <t>Layanan yang disediakan oleh Badan Pendapatan Daerah bagi masyarakat untuk pendaftaran objek pajak baru kategori Pajak Bumi dan Bangunan Perdesaan dan Perkotaan (PBB-P2).</t>
  </si>
  <si>
    <r>
      <rPr>
        <rFont val="Calibri, sans-serif"/>
        <color rgb="FF1155CC"/>
        <sz val="12.0"/>
        <u/>
      </rPr>
      <t>https://drive.google.com/file/d/1EleK6UBDx7lBx-8YOCfg6TAbMx8HdYBj/view?usp=sharing</t>
    </r>
  </si>
  <si>
    <t>1. KTP
 2. NPWP
 3. Data Objek Pajak yang sesuai dengan bukti kepemilikan
 4. SPOP
 5. LSPOP</t>
  </si>
  <si>
    <t>SPPT PBB-P2</t>
  </si>
  <si>
    <t>SISMIOP</t>
  </si>
  <si>
    <r>
      <rPr>
        <rFont val="Calibri, sans-serif"/>
        <color rgb="FF1155CC"/>
        <sz val="12.0"/>
        <u/>
      </rPr>
      <t>pbb-online.bandungkab.go.id</t>
    </r>
  </si>
  <si>
    <t>1. Dashboard Pimpinan
 2. Bank BJB</t>
  </si>
  <si>
    <t>Bidang Pajak II</t>
  </si>
  <si>
    <t>Ipang Maulana Ibrahim</t>
  </si>
  <si>
    <t>Penerbitan Salinan Surat Pemberitahuan Pajak Terhutang (SPPT) Pajak Bumi dan Bangunan Perdesaan dan Perkotaan (PBB-P2)</t>
  </si>
  <si>
    <t>Layanan yang disediakan oleh Badan Pendapatan Daerah bagi masyarakat untuk penerbitan Salinan Surat Pemberitahuan Pajak Terhutang (SPPT) Pajak Bumi dan Bangunan Perdesaan dan Perkotaan (PBB-P2).</t>
  </si>
  <si>
    <r>
      <rPr>
        <rFont val="Calibri, sans-serif"/>
        <color rgb="FF1155CC"/>
        <sz val="12.0"/>
        <u/>
      </rPr>
      <t>https://drive.google.com/file/d/1CloKUh40TI8aJ_npp4ASJNSlnRVawVBn/view?usp=sharing</t>
    </r>
  </si>
  <si>
    <t>1. NOP
 2. Tahun Pajak SPPT PBB-P2</t>
  </si>
  <si>
    <t>Aplikasi Cetak SPPT</t>
  </si>
  <si>
    <t>192.168.255.225/bandung-cetak/cetak-SPPT</t>
  </si>
  <si>
    <t>Validasi Bea Perolehan Hak atas Tanah dan Bangunan (BPHTB)</t>
  </si>
  <si>
    <t>Layanan yang disediakan oleh Badan Pendapatan Daerah bagi masyarakat untuk melakukan validasi (pengujian/pengesahan) terhadap Bea Perolehan Hak atas Tanah dan Bangunan (BPHTB) agar sesuai dengan standar dan tujuannya.</t>
  </si>
  <si>
    <r>
      <rPr>
        <rFont val="Calibri, sans-serif"/>
        <color rgb="FF1155CC"/>
        <sz val="12.0"/>
        <u/>
      </rPr>
      <t>https://drive.google.com/drive/folders/1psrMJUnyozjImYwLa6s5MSyj6ohEJYQO?usp=sharing</t>
    </r>
  </si>
  <si>
    <t>1. KTP
 2. NPWP
 3. NOP PBB-P2
 4. Bukti Kepemilikan (SHM/Akte Jual Beli)
 5. Kwitansi (untuk harga transaksi)</t>
  </si>
  <si>
    <t>SSPD BPHTB</t>
  </si>
  <si>
    <t>e-BPHTB Sibedas Tangguh</t>
  </si>
  <si>
    <r>
      <rPr>
        <rFont val="Calibri, sans-serif"/>
        <color rgb="FF1155CC"/>
        <sz val="12.0"/>
        <u/>
      </rPr>
      <t>https://bphtb2.bandungkab.go.id/</t>
    </r>
  </si>
  <si>
    <t>Penetapan Pajak Daerah:
 PBJT Makanan dan/atau Minuman, PBJT Jasa Perhotelan, PBJT Jasa Parkir, PBJT Jasa Kesenian dan Hiburan, Pajak Reklame, Pajak Mineral Bukan Logam dan Batuan (MBLB) dan Pajak Air Tanah</t>
  </si>
  <si>
    <t>Layanan yang disediakan oleh Badan Pendapatan Daerah bagi masyarakat dalam hal menetapkan pajak daerah untuk kategori:
 1. PBJT Makanan dan/atau Minuman
 2. PBJT Jasa Perhotelan
 3. PBJT Jasa Parkir
 4. PBJT Jasa Kesenian dan Hiburan
 5. Pajak Reklame
 6. Pajak Mineral Bukan Logam dan Batuan (MBLB)
 7. Pajak Air Tanah</t>
  </si>
  <si>
    <r>
      <rPr>
        <rFont val="Calibri, sans-serif"/>
        <color rgb="FF1155CC"/>
        <sz val="12.0"/>
        <u/>
      </rPr>
      <t>https://drive.google.com/drive/folders/1YBsK-2pdfsgxA-SPqsa5WMZzipvbo0Zl?usp=sharing</t>
    </r>
  </si>
  <si>
    <t>Nilai Pajak SPTPD</t>
  </si>
  <si>
    <t>Surat Ketetapan Pajak Daerah (SKPD)</t>
  </si>
  <si>
    <t>SIP-PAD</t>
  </si>
  <si>
    <r>
      <rPr>
        <rFont val="Calibri, sans-serif"/>
        <color rgb="FF1155CC"/>
        <sz val="12.0"/>
        <u/>
      </rPr>
      <t>https://e-pad.bandungkab.go.id/index.php/user/login</t>
    </r>
  </si>
  <si>
    <t>e-SPTPD (Eletronik Surat Pemberitahuan Pajak Daerah)</t>
  </si>
  <si>
    <t>Pembetulan Objek Pajak/Identitas Wajib Pajak:
 PBJT Makanan dan/atau Minuman, PBJT Tenaga Listrik, PBJT Jasa Perhotelan, PBJT Jasa Parkir, PBJT Jasa Kesenian dan Hiburan, Pajak Reklame, Pajak Mineral Bukan Logam dan Batuan (MBLB) dan Pajak Air Tanah</t>
  </si>
  <si>
    <t>Layanan yang disediakan oleh Badan Pendapatan Daerah bagi masyarakat dalam hal pembentukan objek pajak/identitas wajib pajak untuk kategori:
 1. PBJT Makanan dan/atau Minuman
 2. PBJT Tenaga Listrik
 3. PBJT Jasa Perhotelan
 4. PBJT Jasa Parkir
 5. PBJT Jasa Kesenian dan Hiburan
 6. Pajak Reklame
 7. Pajak Mineral Bukan Logam dan Batuan (MBLB)
 8. Pajak Air Tanah</t>
  </si>
  <si>
    <r>
      <rPr>
        <rFont val="Calibri, sans-serif"/>
        <color rgb="FF1155CC"/>
        <sz val="12.0"/>
        <u/>
      </rPr>
      <t>https://drive.google.com/file/d/1zeOij3UFpS15e2vMm5gUifY3P4hnkjQm/view?usp=sharing</t>
    </r>
  </si>
  <si>
    <t>1. Nama Usaha
 2. Alamat Usaha
 3. Tanggal Operasional Usaha
 4. Jenis Izin Usaha
 5. Nomor Izin Usaha
 6. Tanggal Izin Usaha
 7. Jenis Pajak
 8. Jenis Pungutan Pajak Daerah</t>
  </si>
  <si>
    <t>Objek Pajak</t>
  </si>
  <si>
    <r>
      <rPr>
        <rFont val="Calibri, sans-serif"/>
        <color rgb="FF1155CC"/>
        <sz val="12.0"/>
        <u/>
      </rPr>
      <t>https://e-sptpd.bandungkab.go.id/site/login</t>
    </r>
  </si>
  <si>
    <t>e-SKM</t>
  </si>
  <si>
    <r>
      <rPr>
        <rFont val="Calibri, sans-serif"/>
        <color rgb="FF1155CC"/>
        <sz val="12.0"/>
        <u/>
      </rPr>
      <t>https://skm.bandungkab.go.id/login</t>
    </r>
  </si>
  <si>
    <t>Website Bapenda Kabupaten Bandung (https://bapenda.bandungkab.go.id/)</t>
  </si>
  <si>
    <t>Biro Organisasi</t>
  </si>
  <si>
    <r>
      <rPr>
        <rFont val="Calibri, sans-serif"/>
        <color rgb="FF1155CC"/>
        <sz val="12.0"/>
        <u/>
      </rPr>
      <t>https://sso.bandungkab.go.id/</t>
    </r>
  </si>
  <si>
    <r>
      <rPr>
        <rFont val="Calibri, sans-serif"/>
        <color rgb="FF1155CC"/>
        <sz val="12.0"/>
        <u/>
      </rPr>
      <t>https://sso.bandungkab.go.id/</t>
    </r>
  </si>
  <si>
    <t>DHE</t>
  </si>
  <si>
    <r>
      <rPr>
        <rFont val="Calibri, sans-serif"/>
        <color rgb="FF1155CC"/>
        <sz val="12.0"/>
        <u/>
      </rPr>
      <t>https://e-absensi.bandungkab.go.id/login</t>
    </r>
  </si>
  <si>
    <r>
      <rPr>
        <rFont val="Calibri, sans-serif"/>
        <color rgb="FF1155CC"/>
        <sz val="12.0"/>
        <u/>
      </rPr>
      <t>surabi.jabarprov.go.id</t>
    </r>
  </si>
  <si>
    <t>Biro Organisasi Sekretariat Daerah Provinsi Jawa Barat</t>
  </si>
  <si>
    <r>
      <rPr>
        <rFont val="Arial, sans-serif"/>
        <color rgb="FF1155CC"/>
        <u/>
      </rPr>
      <t>https://SIPD.kemendagri.go.id/auth/login</t>
    </r>
  </si>
  <si>
    <r>
      <rPr>
        <rFont val="Arial, sans-serif"/>
        <color rgb="FF1155CC"/>
        <u/>
      </rPr>
      <t>https://SIPD.kemendagri.go.id/auth/login</t>
    </r>
  </si>
  <si>
    <r>
      <rPr>
        <rFont val="Arial, sans-serif"/>
        <color rgb="FF1155CC"/>
        <u/>
      </rPr>
      <t>https://spse.inaproc.id/bandungkab/</t>
    </r>
  </si>
  <si>
    <r>
      <rPr>
        <rFont val="Arial, sans-serif"/>
        <color rgb="FF1155CC"/>
        <u/>
      </rPr>
      <t>https://sipphade.bandungkab.go.id/#/pages/login</t>
    </r>
  </si>
  <si>
    <r>
      <rPr>
        <rFont val="Arial, sans-serif"/>
        <color rgb="FF1155CC"/>
        <u/>
      </rPr>
      <t>https://sultan.bandungkab.go.id/login</t>
    </r>
  </si>
  <si>
    <r>
      <rPr>
        <rFont val="Arial, sans-serif"/>
        <color rgb="FF1155CC"/>
        <u/>
      </rPr>
      <t>https://simasda.bandungkab.go.id/</t>
    </r>
  </si>
  <si>
    <r>
      <rPr>
        <rFont val="Calibri, sans-serif"/>
        <color rgb="FF1155CC"/>
        <sz val="12.0"/>
        <u/>
      </rPr>
      <t>https://drive.google.com/file/d/1-u8BdMLGCu4aICHYLsA_St6eYZj99BZB/view?usp=drive_link</t>
    </r>
  </si>
  <si>
    <r>
      <rPr>
        <rFont val="Arial, sans-serif"/>
        <color rgb="FF1155CC"/>
        <u/>
      </rPr>
      <t>https://sso.bandungkab.go.id</t>
    </r>
  </si>
  <si>
    <r>
      <rPr>
        <rFont val="Arial, sans-serif"/>
        <color rgb="FF1155CC"/>
        <u/>
      </rPr>
      <t>dediradi@gmail.com</t>
    </r>
  </si>
  <si>
    <r>
      <rPr>
        <rFont val="Calibri, sans-serif"/>
        <color rgb="FF1155CC"/>
        <sz val="12.0"/>
        <u/>
      </rPr>
      <t>https://drive.google.com/file/d/18x4SyFaMTJIHq1ORgmmghi6RwxlrdqOk/view?usp=sharing</t>
    </r>
  </si>
  <si>
    <r>
      <rPr>
        <rFont val="Arial, sans-serif"/>
        <color rgb="FF1155CC"/>
        <u/>
      </rPr>
      <t>https://sso.bandungkab.go.id</t>
    </r>
  </si>
  <si>
    <r>
      <rPr>
        <rFont val="Arial, sans-serif"/>
        <color rgb="FF1155CC"/>
        <u/>
      </rPr>
      <t>lemicandra@gmail.com</t>
    </r>
  </si>
  <si>
    <t>BAKESBANGPOL</t>
  </si>
  <si>
    <t>Layanan Penerbitan Surat Keterangan Penelitian</t>
  </si>
  <si>
    <t>Layanan penerbitan Surat Keterangan Penelitian di Badan Kesatuan Bangsa dan Politik memiliki tujuan untuk memberikan kepastian hukum dan legalitas bagi mahasiswa, dosen, peneliti, maupun lembaga riset yang akan melakukan penelitian di wilayah daerah. Selain itu, penerbitan Surat Keterangan Penelitian juga dimaksudkan sebagai dasar administrasi bagi instansi pemerintah maupun masyarakat dalam memberikan izin akses data atau informasi kepada peneliti. Layanan ini juga berfungsi sebagai sarana pencatatan dan dokumentasi kegiatan penelitian yang masuk ke daerah, sehingga pemerintah memiliki basis data yang jelas mengenai bidang-bidang penelitian yang dilakukan.</t>
  </si>
  <si>
    <t>Permendagri 7 Tahun 2014</t>
  </si>
  <si>
    <r>
      <rPr>
        <rFont val="Calibri, sans-serif"/>
        <color rgb="FF1155CC"/>
        <sz val="12.0"/>
        <u/>
      </rPr>
      <t>https://drive.google.com/file/d/1PXizS0lsGfzHef1oqj26L6YEq9Ht-TsF/view?usp=sharing</t>
    </r>
  </si>
  <si>
    <t>Ktp, Surat Pengantar dari Kampus, Proposal, Surat ijin Lokasi untuk kkn/pkl</t>
  </si>
  <si>
    <t>Surat Izin Penelitian, Surat Izin magang/PKL/Magang</t>
  </si>
  <si>
    <t>Microsoft Office</t>
  </si>
  <si>
    <t>Word dan Excel</t>
  </si>
  <si>
    <t>Bidang Ideologi, Wawasan Kebangsaan dan Karakter Bangsa</t>
  </si>
  <si>
    <t>Sugiarto, S.Sos</t>
  </si>
  <si>
    <t>alexsugiarto005@gmail.com</t>
  </si>
  <si>
    <t>Layanan Lapor Ormas</t>
  </si>
  <si>
    <t>Layanan Lapor Ormas di Kesbangpol bertujuan untuk mendata dan memantau keberadaan serta aktivitas organisasi kemasyarakatan agar tercipta ketertiban administrasi, akuntabilitas, dan basis data yang valid. Layanan ini berfungsi sebagai sarana pendataan, evaluasi, dan pembinaan ormas, sekaligus memastikan aktivitasnya sesuai aturan hukum serta berkontribusi positif bagi masyarakat dan stabilitas daerah.</t>
  </si>
  <si>
    <t>Undang-Undang Nomor 17 Tahun 2013 tentang Organisasi Kemasyarakatan
 Undang-Undang Nomor 16 Tahun 2017 (tentang Penetapan Perppu Nomor 2 Tahun 2017 menjadi Undang-Undang)
 Peraturan Pemerintah Nomor 58 Tahun 2016 tentang Pelaksanaan Undang-Undang Nomor 17 Tahun 2013 tentang Organisasi Kemasyarakatan
 Peraturan Menteri Dalam Negeri Nomor 57 Tahun 2017 tentang Pendaftaran dan Pengelolaan Sistem Informasi Organisasi Kemasyarakatan</t>
  </si>
  <si>
    <r>
      <rPr>
        <rFont val="Calibri, sans-serif"/>
        <color rgb="FF1155CC"/>
        <sz val="12.0"/>
        <u/>
      </rPr>
      <t>https://drive.google.com/file/d/1Ytr1MO33D981VKk7RIXXUdXU9tmvqtIl/view?usp=sharing</t>
    </r>
  </si>
  <si>
    <t>Data identitas ormas, legalitas ormas, kepengurusan ormas, keanggotaan dan lampiran pendukung</t>
  </si>
  <si>
    <t>Tercatatnya Data Ormas</t>
  </si>
  <si>
    <t>Google formulir</t>
  </si>
  <si>
    <r>
      <rPr>
        <rFont val="Calibri, sans-serif"/>
        <color rgb="FF1155CC"/>
        <sz val="12.0"/>
        <u/>
      </rPr>
      <t>https://docs.google.com/forms/d/e/1FAIpQLScgtcVM1HIFI6Kb84RdU-NURHvy6qz13ikmHRCejwiPs-g2KQ/viewform?pli=1</t>
    </r>
  </si>
  <si>
    <t>Bidang Politik dalam Negeri</t>
  </si>
  <si>
    <t>MUHAMMAD FADLI MUSTHAFA S.M.</t>
  </si>
  <si>
    <t>fadlimusthafa15@gmail.com</t>
  </si>
  <si>
    <t>Layanan Lapor Kejadian Bencana</t>
  </si>
  <si>
    <t>Membantu masyarakat untuk melaporkan kejadian bencana kepada pemerintah daerah sehingga tindakan tanggap darurat dapat dilakukan dengan cepat dan tepat.</t>
  </si>
  <si>
    <t>Undang - undang Nomor 24 Tahun 2007 tentang Penanggulangan Bencana</t>
  </si>
  <si>
    <r>
      <rPr>
        <rFont val="Calibri, sans-serif"/>
        <color rgb="FF1155CC"/>
        <sz val="12.0"/>
        <u/>
      </rPr>
      <t>https://drive.google.com/file/d/1OVv4yCmrgdrfLSeSS5ewogAtczV2aIlF/view?usp=sharing</t>
    </r>
  </si>
  <si>
    <t>Data Kejadian Bencana</t>
  </si>
  <si>
    <t>TITATU</t>
  </si>
  <si>
    <r>
      <rPr>
        <rFont val="Calibri, sans-serif"/>
        <color rgb="FF1155CC"/>
        <sz val="12.0"/>
        <u/>
      </rPr>
      <t>https://play.google.com/store/apps/details?id=com.diskominfo.bpbd</t>
    </r>
  </si>
  <si>
    <t>Bidang Kedaruratan dan Logistik</t>
  </si>
  <si>
    <t>Layanan Pusat Pengendalian Operasi Penanggulangan Bencana</t>
  </si>
  <si>
    <t>Menjadi pusat koordinasi dan pengendalian operasi penanggulangan bencana untuk memastikan respon yang efisien dan terkoordinasi dari berbagai instansi terkait.</t>
  </si>
  <si>
    <r>
      <rPr>
        <rFont val="Calibri, sans-serif"/>
        <color rgb="FF1155CC"/>
        <sz val="12.0"/>
        <u/>
      </rPr>
      <t>https://drive.google.com/file/d/1OVv4yCmrgdrfLSeSS5ewogAtczV2aIlF/view?usp=sharing</t>
    </r>
  </si>
  <si>
    <t>Data Penanggulangan Bencana</t>
  </si>
  <si>
    <t>DIBI</t>
  </si>
  <si>
    <r>
      <rPr>
        <rFont val="Calibri, sans-serif"/>
        <color rgb="FF1155CC"/>
        <sz val="12.0"/>
        <u/>
      </rPr>
      <t>http://dibi.bnpb.go.id/</t>
    </r>
  </si>
  <si>
    <t>Layanan Sosialiasi Bimbingan Bencana</t>
  </si>
  <si>
    <t>Menyediakan informasi dan bimbingan kepada masyarakat tentang cara menghadapi bencana, termasuk tindakan evakuasi, persiapan tanggap darurat, dan pemulihan pasca-bencana.</t>
  </si>
  <si>
    <r>
      <rPr>
        <rFont val="Calibri, sans-serif"/>
        <color rgb="FF1155CC"/>
        <sz val="12.0"/>
        <u/>
      </rPr>
      <t>https://docs.google.com/spreadsheets/d/1l5-2zqpZNcqk1vc27yahE2fBaLI9m7gY/edit?usp=sharing&amp;ouid=116583022603845992448&amp;rtpof=true&amp;sd=true</t>
    </r>
  </si>
  <si>
    <t>Data Sosialisasi Bimbingan Bencana</t>
  </si>
  <si>
    <t>ARJUNA</t>
  </si>
  <si>
    <r>
      <rPr>
        <rFont val="Calibri, sans-serif"/>
        <color rgb="FF1155CC"/>
        <sz val="12.0"/>
        <u/>
      </rPr>
      <t>https://drive.google.com/drive/folders/1B5BkNR_l7v0dpf1e8Y6cIlWcgjAqRVF5?usp=drive_link</t>
    </r>
  </si>
  <si>
    <t>Bidang Pencegahan dan Kesiapsiagaan</t>
  </si>
  <si>
    <t>RSUD MAJALAYA</t>
  </si>
  <si>
    <t>Layanan Integrasi Ekosistem Digital Rumah Sakit (SIMRS)</t>
  </si>
  <si>
    <t>SIMRS bertujuan untuk mendigitalisasi dan mengintegrasikan seluruh alur kerja rumah sakit guna meningkatkan mutu pelayanan, efisiensi operasional, serta transparansi administrasi. Fungsinya mencakup pengelolaan rekam medis elektronik (RME), otomatisasi sistem antrean dan pendaftaran, manajemen stok, hingga integrasi pelaporan dalam satu platform terpadu.</t>
  </si>
  <si>
    <t>Peraturan Menteri Kesehatan Nomor 82 Tahun 2013 Tentang Sistem Informasi Manajemen Rumah Sakit</t>
  </si>
  <si>
    <r>
      <rPr>
        <rFont val="Calibri, sans-serif"/>
        <color rgb="FF1155CC"/>
        <sz val="12.0"/>
        <u/>
      </rPr>
      <t>https://drive.google.com/file/d/1T1U4oNUqZS1NcFlgpFY6CJRp0CcQqlBv/view?usp=drive_link</t>
    </r>
  </si>
  <si>
    <t>Data pasien, mulai dari info pribadi hingga catatan medis pasien</t>
  </si>
  <si>
    <t>Data rekam medis pasien</t>
  </si>
  <si>
    <t>SIMRS Majalaya</t>
  </si>
  <si>
    <t>Internal (Rahasia)</t>
  </si>
  <si>
    <t>VClaim BPJS, Satusehat, Eklaim INACBGs, Siranap</t>
  </si>
  <si>
    <t>Bidang Penunjang Non Medis</t>
  </si>
  <si>
    <t>dr. Yessy Agustina, M.H.</t>
  </si>
  <si>
    <t>yessy_agst@yahoo.com</t>
  </si>
  <si>
    <t>Layanan Pelaporan Kepatuhan Lingkungan Hidup</t>
  </si>
  <si>
    <t>Sistem pendukung keputusan yang menghubungkan data pelaporan lingkungan SIMPEL, memberikan insight real-time bagi pemerintah dalam memantau kepatuhan dari kualitas lingkungan</t>
  </si>
  <si>
    <t>Permen LHK No. P.87/Menlhk/Setjen/Kum.1/11/2016; UU No. 32 Tahun 2009 tentang Perlindungan dan Pengelolaan Lingkungan Hidup (pasal 68) dan PP No. 22 Tahun 2021</t>
  </si>
  <si>
    <r>
      <rPr>
        <rFont val="Calibri, sans-serif"/>
        <color rgb="FF1155CC"/>
        <sz val="12.0"/>
        <u/>
      </rPr>
      <t>https://drive.google.com/drive/folders/1vjgfqjMxOGjNMjW_D5TVCMti_1yMqG0T?usp=sharing</t>
    </r>
  </si>
  <si>
    <t>Hasil Pemantauan Lingkungan RSUD Majalaya</t>
  </si>
  <si>
    <t>SIMPEL Kemenlh</t>
  </si>
  <si>
    <r>
      <rPr>
        <rFont val="Calibri, sans-serif"/>
        <color rgb="FF1155CC"/>
        <sz val="12.0"/>
        <u/>
      </rPr>
      <t>simpel.menlhk.go.id</t>
    </r>
  </si>
  <si>
    <t>OSS RBA dan AMDAL NET</t>
  </si>
  <si>
    <t>Instalasi Kesling dan IPAL</t>
  </si>
  <si>
    <t>Hj. Titin Partini, SKM</t>
  </si>
  <si>
    <t>keslingrsudmajalaya@gmail.com</t>
  </si>
  <si>
    <t>Layanan pelaporan limbah rumah sakit</t>
  </si>
  <si>
    <t>Rekapitulasi pelaporan kelola limbah medis dan kesling fasyankes</t>
  </si>
  <si>
    <t>Timbulan limbah medis</t>
  </si>
  <si>
    <t>website Kobotoolbox</t>
  </si>
  <si>
    <r>
      <rPr>
        <rFont val="Calibri, sans-serif"/>
        <color rgb="FF1155CC"/>
        <sz val="12.0"/>
        <u/>
      </rPr>
      <t>https://ee.kobotoolbox.org/x/YQp13dFa</t>
    </r>
  </si>
  <si>
    <t>Layanan pengelolaan persediaan BMD</t>
  </si>
  <si>
    <t>Aplikasi untuk mengelola BMD berupa barang persediaan. Digunakan untuk mencatat, memantau dan melaporkan stock barang persediaan secara real time guna mendukung operasional rumah sakit dan pemertintah daerah.</t>
  </si>
  <si>
    <t>Peraturan pemerintah dalam negeri no 47 tahun 2021</t>
  </si>
  <si>
    <t>Data barang</t>
  </si>
  <si>
    <t>Catatan transaksi keluar masuk barang</t>
  </si>
  <si>
    <t>e-persediaan</t>
  </si>
  <si>
    <r>
      <rPr>
        <rFont val="Calibri, sans-serif"/>
        <color rgb="FF1155CC"/>
        <sz val="12.0"/>
        <u/>
      </rPr>
      <t>persediaanbmd.bandungkab.go.id</t>
    </r>
  </si>
  <si>
    <t>Bidang Umum dan Kepegawaian</t>
  </si>
  <si>
    <t>Nelly Nurahmayanti, A.Md</t>
  </si>
  <si>
    <t>zenelly79@gmail.com</t>
  </si>
  <si>
    <t>Layanan Informasi Gaji ASN</t>
  </si>
  <si>
    <t>Aplikasi Sistem Informasi Gaji (SIMGaji) Taspen untuk memproses data gaji PNS di lingkungan pemerintah daerah.</t>
  </si>
  <si>
    <t>Peraturan Pemerintah Nomor 5 Tahun 2024 tentang Perubahan Kesembilan Belas atas Peraturan Pemerintah Nomor 7 Tahun 1977 tentang Peraturan Gaji Pegawai Negeri Sipil</t>
  </si>
  <si>
    <t>Data Pegawai, Data Gaji, Data Tunjangan</t>
  </si>
  <si>
    <t>Perubahan Data Gaji Pegawai, Ledger Gaji</t>
  </si>
  <si>
    <t>SIMgaji</t>
  </si>
  <si>
    <r>
      <rPr>
        <rFont val="Calibri, sans-serif"/>
        <color rgb="FF1155CC"/>
        <sz val="12.0"/>
        <u/>
      </rPr>
      <t>https://simgajiweb.taspen.co.id/</t>
    </r>
  </si>
  <si>
    <t>Bagian Keuangan</t>
  </si>
  <si>
    <t>Yanti Widiyanti, S.E.</t>
  </si>
  <si>
    <t>yantiwidiyanti268@gmail.com</t>
  </si>
  <si>
    <t>Layanan pelaporan penerimaan retribusi daerah</t>
  </si>
  <si>
    <t>Aplikasi Entry Laporan Penerimaan Retribusi Daerah</t>
  </si>
  <si>
    <t>Perda Kabupaten Bandung No 10 Tahun 2023 Tentang Pajak Daerah dan Retribusi Daerah</t>
  </si>
  <si>
    <t>Data Pendapatan</t>
  </si>
  <si>
    <t>Laporan Realisasi Pendapatan</t>
  </si>
  <si>
    <t>e-RETRIBUSI</t>
  </si>
  <si>
    <r>
      <rPr>
        <rFont val="Calibri, sans-serif"/>
        <color rgb="FF1155CC"/>
        <sz val="12.0"/>
        <u/>
      </rPr>
      <t>https://e-retribusi.bandungkab.go.id/</t>
    </r>
  </si>
  <si>
    <t>Retribusi Daerah</t>
  </si>
  <si>
    <r>
      <rPr>
        <rFont val="Calibri, sans-serif"/>
        <color rgb="FF1155CC"/>
        <sz val="12.0"/>
        <u/>
      </rPr>
      <t xml:space="preserve">Fidriansyah, </t>
    </r>
    <r>
      <rPr>
        <rFont val="Calibri, sans-serif"/>
        <color rgb="FF1155CC"/>
        <sz val="12.0"/>
        <u/>
      </rPr>
      <t>A.Md</t>
    </r>
  </si>
  <si>
    <t>fidriansyahsena@gmail.com</t>
  </si>
  <si>
    <t>Layanan pengelolaan informasi keuangan daerah</t>
  </si>
  <si>
    <t>Pengelolaan Informasi Keuangan Daerah - meliputi Perencanaan Anggaran Daerah, Penatausahaan Keuangan Daerah, Akuntansi dan Pelaporan Keuangan Daerah.</t>
  </si>
  <si>
    <t>Permendagri No 14 Tahun 2025 tentang Pedoman Penyusunan APBD Tahun 2026 Yang di dukung Oleh UU 23/2014, PP No 12/2019 dan Permendagri 70/2019.</t>
  </si>
  <si>
    <t>Dari Mulai Penganggaran, Penatausahaan dan Pelaporan Keuangan</t>
  </si>
  <si>
    <t>Data perencanaan dan penganggaran</t>
  </si>
  <si>
    <r>
      <rPr>
        <rFont val="Calibri, sans-serif"/>
        <color rgb="FF1155CC"/>
        <sz val="12.0"/>
        <u/>
      </rPr>
      <t>https://sipd.kemendagri.go.id/</t>
    </r>
  </si>
  <si>
    <t>SIRUP, e-planning</t>
  </si>
  <si>
    <t>Bagian Keuangan, Bagian Perencanaan dan Kehumasan</t>
  </si>
  <si>
    <r>
      <rPr>
        <rFont val="Calibri, sans-serif"/>
        <color rgb="FF1155CC"/>
        <sz val="12.0"/>
        <u/>
      </rPr>
      <t xml:space="preserve">Susi Herawati, S.Ak, Fidriansyah </t>
    </r>
    <r>
      <rPr>
        <rFont val="Calibri, sans-serif"/>
        <color rgb="FF1155CC"/>
        <sz val="12.0"/>
        <u/>
      </rPr>
      <t>A.Md</t>
    </r>
  </si>
  <si>
    <t>089656642966 - 089682973688</t>
  </si>
  <si>
    <t>susi.herawati30@yahoo.com - fidriansyahsena@gmail.com</t>
  </si>
  <si>
    <t>bapperida</t>
  </si>
  <si>
    <t>Layanan pengelolaan pengadaan barang dan jasa</t>
  </si>
  <si>
    <t>Untuk membantu proses perencanaan pengadaan barang/jasa pemerintah agar lebih transparan, terencana, dan mudah diakses oleh publik maupun penyedia</t>
  </si>
  <si>
    <t>1) Peraturan Presiden (Perpres) Nomor 46 Tahun 2025 adalah perubahan kedua atas Perpres 16 Tahun 2018 tentang Pengadaan Barang/Jasa Pemerintah;
 2) Peraturan LKPP Nomor 11 Tahun 2021 tentang Pedoman Perencanaan Pengadaan Barang/Jasa Pemerintah;</t>
  </si>
  <si>
    <t>Data rencana umum pengadaan</t>
  </si>
  <si>
    <t>Informasi rencana paket pengadaan barang/jasa pemerintah</t>
  </si>
  <si>
    <t>SIRUP</t>
  </si>
  <si>
    <r>
      <rPr>
        <rFont val="Calibri, sans-serif"/>
        <color rgb="FF1155CC"/>
        <sz val="12.0"/>
        <u/>
      </rPr>
      <t>https://sirup.inaproc.id/sirup/loginctr/index</t>
    </r>
  </si>
  <si>
    <t>SPSE, E-Katalog LKPP</t>
  </si>
  <si>
    <t>Bagian Perencanaan dan Kehumasan</t>
  </si>
  <si>
    <t>Anindya Meilasari Dewi, SE</t>
  </si>
  <si>
    <t>anindyameilasaridewi@gmail.com</t>
  </si>
  <si>
    <t>Layanan Informasi Pengawasan Tindak Lanjut Hasil Pemeriksaan Terpadu</t>
  </si>
  <si>
    <t>Pengelolaan dan pemantauan hasil evaluasi/ tindak lanjut rekomendasi atas pemeriksaan yang dilaksanakan oleh APIP</t>
  </si>
  <si>
    <t>Peraturan Pemerintah Nomor 12 Tahun 2017 tentang pembinaan dan pengawasan penyelenggaraan pemerintah daerah</t>
  </si>
  <si>
    <t>Dokumen Tindak Lanjut rekomendasi hasil pemeriksaan</t>
  </si>
  <si>
    <t>Informasi Capaian Hasil Rekomendasi</t>
  </si>
  <si>
    <r>
      <rPr>
        <rFont val="Calibri, sans-serif"/>
        <color rgb="FF1155CC"/>
        <sz val="12.0"/>
        <u/>
      </rPr>
      <t>https://simaslahat.bandungkab.go.id/login</t>
    </r>
  </si>
  <si>
    <t>Susi Herawati, S.Ak</t>
  </si>
  <si>
    <t>susi.herawati30@yahoo.com</t>
  </si>
  <si>
    <t>Layanan pelaporan pembayaran pajak</t>
  </si>
  <si>
    <t>Fungsi Utama: Melaporkan penghitungan dan pembayaran pajak daerah, objek pajak, serta harta/kewajiban secara digital.</t>
  </si>
  <si>
    <t>1) Peraturan Daerah (Perda) Kabupaten Bandung Nomor 1 Tahun 2011 tentang Pajak Daerah 2) Peraturan Bupati Bandung Nomor 3 Tahun 2018 tentang Pelaksanaan Online System atas Data Transaksi Pembayaran Pajak Hotel, Pajak Restoran, Pajak Hiburan, dan Pajak Parkir. Peraturan ini mewajibkan wajib pajak menggunakan sistem online untuk pelaporan dan pembayaran.
 3) Peraturan Bupati Kabupaten Bandung Nomor 5 Tahun 2018 (dan perubahannya) yang mengatur tata cara pengisian dan penyampaian SPTPD, yang kini diarahkan secara elektronik (e-SPTPD).
 4) Peraturan Bupati Nomor 17 Tahun 2017 tentang Petunjuk Teknis Pemungutan Pajak Restoran, yang menekankan penggunaan SPTPD.</t>
  </si>
  <si>
    <t>SOP E-SPTPD Kabupaten Bandung adalah prosedur online untuk pelaporan dan penyetoran pajak daerah (selain PBB &amp; BPHTB) melalui laman resmi https://e-sptpd.bandungkab.go.id/site/login. Wajib pajak melakukan login menggunakan NPWPD dan password, mengisi data, hingga penyetoran pajak secara elektronik</t>
  </si>
  <si>
    <t>Pajak makanan dan minuman pasien</t>
  </si>
  <si>
    <t>Bukti setor pajak</t>
  </si>
  <si>
    <r>
      <rPr>
        <rFont val="Calibri, sans-serif"/>
        <color rgb="FF1155CC"/>
        <sz val="12.0"/>
        <u/>
      </rPr>
      <t>e-sptpd.bandungkab.go.id</t>
    </r>
    <r>
      <rPr>
        <rFont val="Calibri, sans-serif"/>
        <color rgb="FF1155CC"/>
        <sz val="12.0"/>
        <u/>
      </rPr>
      <t>.</t>
    </r>
  </si>
  <si>
    <t>Mimin Mintarsih dan Haneu Nuraeni</t>
  </si>
  <si>
    <t>081222537833 dan 082116135826</t>
  </si>
  <si>
    <t>mintarsihmimin7990@gmail.com dan haneunuraeni@gmail.com</t>
  </si>
  <si>
    <t>Layanan pengelolaan data statistik</t>
  </si>
  <si>
    <t>Untuk mendukung pengelolaan data statistik di tingkat daerah serta berfungsi untuk mengelola, menyajikan, dan mempublikasikan data statistik sektoral</t>
  </si>
  <si>
    <t>Peraturan Bupati Bandung Nomor 82 Tahun 2019 tentang Tata Kelola Satu Data Daerah</t>
  </si>
  <si>
    <r>
      <rPr>
        <rFont val="Calibri, sans-serif"/>
        <color rgb="FF1155CC"/>
        <sz val="12.0"/>
        <u/>
      </rPr>
      <t>https://simasda.bandungkab.go.id/</t>
    </r>
  </si>
  <si>
    <t>Satu Data Kabupaten Bandung</t>
  </si>
  <si>
    <t>Layanan Pengelolaan Gudang Logistik</t>
  </si>
  <si>
    <t>Pengelolaan barang-barang penunjang operasional rumah sakit di luar obat dan BMHP, pencatatan barang mulai dari masuk hingga keluar disertai dokumentasi dan laporan transaksi</t>
  </si>
  <si>
    <t>Data Barang</t>
  </si>
  <si>
    <t>Layanan Pengelolaan Gudang Logistik Majalaya</t>
  </si>
  <si>
    <t>(Internal)</t>
  </si>
  <si>
    <t>Tidak terintegrasi</t>
  </si>
  <si>
    <t>Bagian Umum dan Kepegawaian</t>
  </si>
  <si>
    <t>Layanan Rujukan</t>
  </si>
  <si>
    <t>SISRUTE (Sistem Rujukan Terintegrasi) adalah aplikasi berbasis internet milik Kementerian Kesehatan yang menghubungkan data faskes (puskesmas/klinik/RS) untuk mempercepat dan mempermudah proses rujukan pasien secara vertikal maupun horizontal. Sistem ini bertujuan meningkatkan keselamatan pasien dengan menyediakan informasi medis dan ketersediaan tempat tidur secara real-time.</t>
  </si>
  <si>
    <t>Surat Edaran Menteri Kesehatan Nomor HK.02.02/I/1161/2022 tentang Implementasi Penggunaan Aplikasi SISRUTE</t>
  </si>
  <si>
    <t>SOP RUJUKAN</t>
  </si>
  <si>
    <t>Data Klinis dan Kebutuhan rujukan pasien</t>
  </si>
  <si>
    <t>Penerimaan rujukan sesuai kebutuhan pasien</t>
  </si>
  <si>
    <t>SISRUTE</t>
  </si>
  <si>
    <r>
      <rPr>
        <rFont val="Calibri, sans-serif"/>
        <color rgb="FF1155CC"/>
        <sz val="12.0"/>
        <u/>
      </rPr>
      <t>https://sisrute.kemkes.go.id/</t>
    </r>
  </si>
  <si>
    <t>Bagian Pelayanan Medik</t>
  </si>
  <si>
    <t>Layanan Pelaporan Pajak</t>
  </si>
  <si>
    <t>Coretax (Core Tax Administration System/CTAS) adalah sistem administrasi perpajakan baru Direktorat Jenderal Pajak (DJP) yang mengintegrasikan seluruh proses bisnis perpajakan—pendaftaran, pelaporan SPT, pembayaran, hingga pemeriksaan—dalam satu portal terpadu</t>
  </si>
  <si>
    <t>Dasar hukum utama Coretax System (Sistem Inti Administrasi Perpajakan/SIAP) adalah Peraturan Menteri Keuangan (PMK) Nomor 81 Tahun 2024 tentang Ketentuan Perpajakan dalam Rangka Pelaksanaan Sistem Inti Administrasi Perpajakan, yang berlaku mulai 1 Januari 2025.</t>
  </si>
  <si>
    <t>Pajak PPH 21, PPH 22, PPH 23 Dan PPN</t>
  </si>
  <si>
    <r>
      <rPr>
        <rFont val="Calibri, sans-serif"/>
        <color rgb="FF1155CC"/>
        <sz val="12.0"/>
        <u/>
      </rPr>
      <t>https://coretaxdjp.pajak.go.id</t>
    </r>
  </si>
  <si>
    <t>coretax</t>
  </si>
  <si>
    <t>Mimin Mintarsih,S.E dan Shandy Budi Oetama,S.E</t>
  </si>
  <si>
    <t>081222537833 dan 085720024777</t>
  </si>
  <si>
    <t>mintarsihmimin7990@gmail.com dan shandy.oetama@gmail.com</t>
  </si>
  <si>
    <t>Layanan Sistem Rekonsiliasi Pajak</t>
  </si>
  <si>
    <t>Sirekonpajak (Sistem Rekonsiliasi Pajak) adalah aplikasi berbasis web yang dikembangkan oleh Pemerintah Daerah (khususnya Kabupaten Bandung sejak 2022) untuk mempermudah rekonsiliasi pajak pusat yang disetorkan pemda ke Rekening Kas Umum Negara (RKUN) dengan Nomor Transaksi Penerimaan Negara (NTPN)</t>
  </si>
  <si>
    <t>PMK 67/PMK.07/2024: Peraturan Menteri Keuangan (PMK) ini mengatur tentang rekonsiliasi pajak pusat yang disetorkan pemda ke RKUN dan menjadi dasar validasi untuk penyaluran Dana Bagi Hasil (DBH) PPh dan DBH PBB.</t>
  </si>
  <si>
    <t>Pajak yang bersumber dari APBD</t>
  </si>
  <si>
    <r>
      <rPr>
        <rFont val="Calibri, sans-serif"/>
        <color rgb="FF1155CC"/>
        <sz val="12.0"/>
        <u/>
      </rPr>
      <t>https://sirekonpajak.bandungkab.go.id/</t>
    </r>
  </si>
  <si>
    <t>Soleh Nurdin,SAB dan Shandy Budi Oetama,S.E</t>
  </si>
  <si>
    <t>081322777660 dan 085720024777</t>
  </si>
  <si>
    <t>solehnurdin1969@gmail.com dan shandy.oetama@gmail.com</t>
  </si>
  <si>
    <t>Layanan Informasi Modul Penerimaan Negara (MPN)</t>
  </si>
  <si>
    <t>memodernisasi pengelolaan penerimaan negara, memudahkan wajib pajak/bayar dalam menyetorkan pajak, bea cukai, dan PNBP secara aman, cepat, dan 24/7.</t>
  </si>
  <si>
    <t>PMK Nomor 225/PMK.05/2020 tentang Sistem Penerimaan Negara secara Elektronik,</t>
  </si>
  <si>
    <t>BPJS 1% dan 4%</t>
  </si>
  <si>
    <t>Bukti setor BPJS 1% dan 4%</t>
  </si>
  <si>
    <t>MPN Kemenkeu</t>
  </si>
  <si>
    <r>
      <rPr>
        <rFont val="Calibri, sans-serif"/>
        <color rgb="FF1155CC"/>
        <sz val="12.0"/>
        <u/>
      </rPr>
      <t>https://mpn.kemenkeu.go.id</t>
    </r>
  </si>
  <si>
    <t>BPJS</t>
  </si>
  <si>
    <t>Soleh Nurdin,SAB , Mimin Mintarih,S.E dan Shandy Budi Oetama,S.E</t>
  </si>
  <si>
    <t>081222537833 , 081322777660 dan 085720024777</t>
  </si>
  <si>
    <t>mintarsihmimin7990@gmail.comsolehnurdin1969@gmail.com dan shandy.oetama@gmail.com</t>
  </si>
  <si>
    <t>Layanan Informasi Tuberkulosis (SITB)</t>
  </si>
  <si>
    <t>Sistem Informasi Tuberkulosis (SITB) merupakan sistem informasi berbasis web yang dikembangkan oleh Kementerian Kesehatan Republik Indonesia untuk mendukung pelaksanaan program penanggulangan tuberkulosis secara nasional. SITB bertujuan untuk menyediakan data kasus TB yang akurat, lengkap, dan terkini melalui sistem pencatatan dan pelaporan terintegrasi dari berbagai fasilitas pelayanan kesehatan seperti puskesmas, rumah sakit, klinik, dan laboratorium. Melalui sistem ini, proses pencatatan kasus TB, hasil pemeriksaan laboratorium, serta pemantauan pengobatan pasien dapat dilakukan secara elektronik dan terstandar sehingga mempermudah koordinasi antar fasilitas kesehatan dan dinas kesehatan. Selain itu, SITB juga berfungsi sebagai sarana monitoring dan evaluasi program TB, termasuk dalam memantau indikator program seperti penemuan kasus, keberhasilan pengobatan, dan kejadian lost to follow-up. Data yang tersedia dalam SITB selanjutnya dapat dimanfaatkan sebagai dasar dalam analisis epidemiologi, perencanaan program, serta pengambilan kebijakan untuk mendukung upaya eliminasi tuberkulosis di Indonesia.</t>
  </si>
  <si>
    <t>Peraturan Menteri Kesehatan Republik Indonesia Nomor 67 Tahun 2016 tentang Penanggulangan Tuberkulosis. Peraturan Menteri Kesehatan Republik Indonesia Nomor 82 Tahun 2013 tentang Sistem Informasi Manajemen Rumah Sakit. Peraturan Menteri Kesehatan Republik Indonesia Nomor 24 Tahun 2022 tentang Rekam Medis. Peraturan Presiden Republik Indonesia Nomor 67 Tahun 2021 tentang Penanggulangan Tuberkulosis.</t>
  </si>
  <si>
    <r>
      <rPr>
        <rFont val="Calibri, sans-serif"/>
        <color rgb="FF1155CC"/>
        <sz val="12.0"/>
        <u/>
      </rPr>
      <t>https://drive.google.com/drive/folders/1MppwIbicgeJnTSmBS08CzfVFAUOfmdja?usp=sharing</t>
    </r>
  </si>
  <si>
    <t>Identitas pasien, data klinis dan faktor risiko, data pemeriksaan diagnostik (mikroskopis sputum, Tes Cepat Molekuler (TCM), kultur, dan uji kepekaan obat), data pengobatan pasien TB, pemantauan dan evaluasi pengobatan.</t>
  </si>
  <si>
    <t>Data jumlah kasus TB yang terlaporkan (distribusi kasus berdasarkan umur, jenis kelamin, wilayah, serta jenis TB ), data hasil pemeriksaan diagnostik, data pemantauan dan data hasil indikator kinerja program TB.</t>
  </si>
  <si>
    <r>
      <rPr>
        <rFont val="Calibri, sans-serif"/>
        <color rgb="FF1155CC"/>
        <sz val="12.0"/>
        <u/>
      </rPr>
      <t>http://dkijabarbanten.sitb.id/</t>
    </r>
  </si>
  <si>
    <t>SATUSEHAT Platform, Sistem Informasi HIV/AIDS dan IMS (SIHA), Sistem Informasi Manajemen Rumah Sakit (SIMRS) dan Sistem Kewaspadaan Dini dan Respons (SKDR).</t>
  </si>
  <si>
    <t>Bidang Pelayanan Medis</t>
  </si>
  <si>
    <t>Yudha Radityadana</t>
  </si>
  <si>
    <t>yudharadityadana@gmail.com dan yudha.radityadana41@ui.ac.id</t>
  </si>
  <si>
    <t>Layanan administrasi kepegawaian</t>
  </si>
  <si>
    <t>Sistem informasi kepegawaian ASN Kabupaten Bandung. Fungsi nya untuk layanan administrasi kepegawaian ASN, mulai dari kenaikan pangkat, kenaikan gaji berkala, cuti, pensiun, ijin belajar dll</t>
  </si>
  <si>
    <t>Undang Undang Nomor 20 Tahun 2023 ttg ASN</t>
  </si>
  <si>
    <t>data kepegawaian</t>
  </si>
  <si>
    <t>layanan administrasi kepegawaian</t>
  </si>
  <si>
    <t>simpel bkpsdm</t>
  </si>
  <si>
    <r>
      <rPr>
        <rFont val="Calibri, sans-serif"/>
        <color rgb="FF1155CC"/>
        <sz val="12.0"/>
        <u/>
      </rPr>
      <t>simpelbkpsdm.bandungkab.go.id</t>
    </r>
  </si>
  <si>
    <t>SIASN</t>
  </si>
  <si>
    <t>Dede Sarifudin, Welga Adibayu</t>
  </si>
  <si>
    <t>kepegawaian.rsud.majalay@gmail.com</t>
  </si>
  <si>
    <t>Layanan Daftar Hadir Eletronik</t>
  </si>
  <si>
    <t>Layanan presensi kehadiran ASN</t>
  </si>
  <si>
    <t>Kehadiran ASN</t>
  </si>
  <si>
    <t>e-absensi, sasikap</t>
  </si>
  <si>
    <t>Dede Sarifudin, Welga Adibayu, Iis Ismawati</t>
  </si>
  <si>
    <t>Layanan surat menyurat elektronik</t>
  </si>
  <si>
    <t>Layanan surat menyurat</t>
  </si>
  <si>
    <t>surat dinas</t>
  </si>
  <si>
    <t>Sultan (E-OFFICE)</t>
  </si>
  <si>
    <r>
      <rPr>
        <rFont val="Calibri, sans-serif"/>
        <color rgb="FF1155CC"/>
        <sz val="12.0"/>
        <u/>
      </rPr>
      <t>sultan.banadungkab.go.id</t>
    </r>
  </si>
  <si>
    <t>semua bidang/bagian</t>
  </si>
  <si>
    <t>Dede Sarifudin, Welga Adibayu, Dea Hiluri, Rahmi Fthorani</t>
  </si>
  <si>
    <t>Laporan aktivitas harian ASN</t>
  </si>
  <si>
    <t>aktivitas ASN</t>
  </si>
  <si>
    <r>
      <rPr>
        <rFont val="Calibri, sans-serif"/>
        <color rgb="FF1155CC"/>
        <sz val="12.0"/>
        <u/>
      </rPr>
      <t>sso.bandungkab.go.id</t>
    </r>
  </si>
  <si>
    <t>e-absensi, DHE</t>
  </si>
  <si>
    <t>Layanan informasi tenaga kesehatan</t>
  </si>
  <si>
    <t>database tenaga kesehatan</t>
  </si>
  <si>
    <t>Undang-undang np 17 Tahun 2023 ttg kesehatn</t>
  </si>
  <si>
    <r>
      <rPr>
        <rFont val="Calibri, sans-serif"/>
        <color rgb="FF1155CC"/>
        <sz val="12.0"/>
        <u/>
      </rPr>
      <t>sisdmk.kemkes.go.id</t>
    </r>
  </si>
  <si>
    <t>Layanan pelaporan pelayanan kesehatan</t>
  </si>
  <si>
    <t>Pelaporan pelayanan kesehatan mencakup Data dasar RS, Profil, Update tempat tidur, Laporan KLB/Pandemi, Kompetensi RS, Rekapitulasi Laporan</t>
  </si>
  <si>
    <t>Direktorat Jenderal Kesehatan Lanjutan Kemenkes</t>
  </si>
  <si>
    <t>Data dasar RS, Profil, Update tempat tidur, Laporan KLB/Pandemi, Kompetensi RS, Rekapitulasi Laporan</t>
  </si>
  <si>
    <t>Laporan Updating</t>
  </si>
  <si>
    <t>RS Online</t>
  </si>
  <si>
    <r>
      <rPr>
        <rFont val="Calibri, sans-serif"/>
        <color rgb="FF1155CC"/>
        <sz val="12.0"/>
        <u/>
      </rPr>
      <t>sirs.kemkes.go.id</t>
    </r>
  </si>
  <si>
    <t>Bidang Penunjang Medik dan Pelayanan Medik</t>
  </si>
  <si>
    <t>Sonia Dwi Octavianti</t>
  </si>
  <si>
    <t>Layanan pelaporan kinerja</t>
  </si>
  <si>
    <t>E-LKPJ (Elektronik Laporan Keterangan Pertanggungjawaban) adalah sistem digital untuk menyusun laporan kinerja kepala daerah secara efisien, terstruktur, dan transparan. Tujuannya adalah mempercepat penyusunan laporan, menstandardisasi format sesuai regulasi Kemendagri. Meningkatkan akuntabilitas kepada DPRD/publik, serta memudahkan konsolidasi data kinerja antarperangkat daerah secara terpusat</t>
  </si>
  <si>
    <t>Aplikasi e-LKPJ dibangun dengan fitur-fitur yang mengakomodasi pelaporan
 seluruh perangkat daerah,dinas dan badan yang ada di Kabupaten dan atau
 Kota dengan menyesuaikan ketentuan dari regulasi peraturan
 perundang-undangan yang berlaku dari pusat seperti Peraturan Pemerintah Nomor 13
 Tahun 2019 dan Peraturan Menteri Dalam Negeri No. 18 Tahun 2020.</t>
  </si>
  <si>
    <t>Data Capaian Kinerja Program dan Kegiatan, Indikator
 Data Capaian Pelaksanaan Anggaran dan Belanja
 Narasi Permasalahan dan Solusi
 Tindak lanjut Reomendasi DPRD
 Data Dukung Capaian Kinerja Berupa Penghargaan</t>
  </si>
  <si>
    <t>Dokumen digital yang terstruktur dan tervalidasi yang nantinya dicetak atau disampaikan secara elektronik sebagai bentuk pertanggungjawaban Kepala Daerah kepada DPRD.</t>
  </si>
  <si>
    <t>E-LKPJ</t>
  </si>
  <si>
    <r>
      <rPr>
        <rFont val="Calibri, sans-serif"/>
        <color rgb="FF1155CC"/>
        <sz val="12.0"/>
        <u/>
      </rPr>
      <t>https://e-lkpj.id/login</t>
    </r>
  </si>
  <si>
    <t>Dadang Hermawan, S.T</t>
  </si>
  <si>
    <t>rsudmajalaya.program@gmail.com</t>
  </si>
  <si>
    <t>Layanan monitoring dan evaluasi</t>
  </si>
  <si>
    <t>Tujuan utama dari aplikasi ini adalah untuk memberikan fleksibilitas kepada administrator dalam melakukan koreksi atau penambahan data secara cepat guna mendukung pengambilan keputusan oleh pimpinan berdasarkan data yang terkini (real-time). dengan salah satu fungsinya yaitu Menghasilkan rekapitulasi laporan sederhana berdasarkan tema tertentu untuk mempermudah proses evaluasi kinerja oleh pimpinan daerah.</t>
  </si>
  <si>
    <t>Permendagri Nomor 86 Tahun 2017: Peraturan menteri ini merupakan dasar utama tentang Tata Cara Perencanaan, Pengendalian, dan Evaluasi Pembangunan Daerah</t>
  </si>
  <si>
    <t>Data Perencanaan pada Renja &amp; RKPD (Target Kinerja, Pagu Anggaran, Indikator Kinerja), Data Realisasi (Fisik &amp; Keuangan), Data Realisasi Keuangan, Realisasi Fisik, Tagging ProgramData SPM dan Indikator lainnya, Rincian Dana Alokasi Khusus -Pusat, Kendala dan Permasalahan, Faktor Penghambat dan Pendorong, Tindak Lanjut</t>
  </si>
  <si>
    <t>Laporan Evaluasi RKPD, Rekapitulasi Capaian Kinerja Perangkat Daerah</t>
  </si>
  <si>
    <t>Sidalmonep</t>
  </si>
  <si>
    <r>
      <rPr>
        <rFont val="Calibri, sans-serif"/>
        <color rgb="FF1155CC"/>
        <sz val="12.0"/>
        <u/>
      </rPr>
      <t>https://sidalmonep.bandungkab.go.id/app</t>
    </r>
  </si>
  <si>
    <t>e-lkpj</t>
  </si>
  <si>
    <t>Layanan survey kepuasan masyarakat</t>
  </si>
  <si>
    <t>1. Mengidentifikasi kelemahan dalam penyelenggaraan pelayanan
 2. Mengetahui kinerja pelayanan yang telah dilaksanakan oleh unit pelayanan publik secara periodik;
 3. Mengetahui indeks kepuasan masyarakat pada lingkup organisasi penyelenggara pelayanan maupun instansi pemerintah; 
 4. Meningkatkan persaingan positif antar organisasi penyelenggara pelayanan;
 5. Menjadi dasar penetapan kebijakan maupun perbaikan kualitas pelayanan; dan
 6. Memberikan gambaran kepada masyarakat mengenai kinerja organisasi penyelenggara pelayanan.</t>
  </si>
  <si>
    <t>-Peraturan Pemerintah Nomor 96 Tahun 2012 tentang Pelaksanaan Undang-undang Nomor 25 Tahun 2009 tentang Pelayanan Publik
 -Peraturan Menteri PANRB No. 14 Tahun 2017 tentang Pedoman Penyusunan Survei Kepuasan Masyarakat (SKM)</t>
  </si>
  <si>
    <t>Hasil Responden Survey Kepuasan Masyarakat (SKM)</t>
  </si>
  <si>
    <t>Laporan dan Hasil rekapan SKM</t>
  </si>
  <si>
    <r>
      <rPr>
        <rFont val="Calibri, sans-serif"/>
        <color rgb="FF1155CC"/>
        <sz val="12.0"/>
        <u/>
      </rPr>
      <t>https://skm.bandungkab.go.id/</t>
    </r>
  </si>
  <si>
    <t>Krisna Aji Putra, S.I.Kom</t>
  </si>
  <si>
    <t>humasrsudmajalaya1@gmail.com</t>
  </si>
  <si>
    <t>Layanan informasi pelayanan publik</t>
  </si>
  <si>
    <t>mempermudah masyarakat mengakses informasi layanan publik secara terpadu, transparan, dan akuntabel. Fungsi utamanya adalah mengintegrasikan data standar pelayanan (syarat, prosedur, waktu, biaya) dari berbagai instansi pemerintah</t>
  </si>
  <si>
    <t>Identitas Instansi, Standar Pelayanan, Informasi Tambahan</t>
  </si>
  <si>
    <t>Informasi komprehensif mengenai penyelanggaraan pelayanan publik oleh instansi pemerintah</t>
  </si>
  <si>
    <t>SIPPN</t>
  </si>
  <si>
    <r>
      <rPr>
        <rFont val="Calibri, sans-serif"/>
        <color rgb="FF1155CC"/>
        <sz val="12.0"/>
        <u/>
      </rPr>
      <t>https://sippn.menpan.go.id/</t>
    </r>
  </si>
  <si>
    <t>layanan pengaduan daring nasional untuk meningkatkan kualitas pelayanan publik agar lebih transparan, cepat, dan akuntabel. Fungsinya menampung aspirasi, keluhan, dan permintaan informasi masyarakat terkait kinerja pemerintah, memantau tindak lanjut secara real-time, serta memastikan penyelesaian masalah melalui satu pintu</t>
  </si>
  <si>
    <t>-Undang-Undang Nomor 25 Tahun 2009 tentang Pelayanan Publik
 -Peraturan Presiden Nomor 76 Tahun 2013 tentang Pengelolaan Pengaduan Pelayanan Publik, dan 
 -Peraturan Menteri PANRB Nomor 3 Tahun 2015</t>
  </si>
  <si>
    <t>Laporan Pengaduan yang telah di disposisikan dari pemda ke OPD</t>
  </si>
  <si>
    <t>Pengaduan yang telah di tindak lanjut</t>
  </si>
  <si>
    <r>
      <rPr>
        <rFont val="Calibri, sans-serif"/>
        <color rgb="FF1155CC"/>
        <sz val="12.0"/>
        <u/>
      </rPr>
      <t>https://www.lapor.go.id/</t>
    </r>
  </si>
  <si>
    <t>Layanan informasi perangkat daerah</t>
  </si>
  <si>
    <t>menjamin hak warga negara atas informasi, mendorong transparansi, akuntabilitas, dan partisipasi publik di badan publik. Fungsinya meliputi pengelolaan, penyimpanan, pendokumentasian, serta penyediaan layanan informasi yang cepat, tepat, dan sederhana</t>
  </si>
  <si>
    <t>Undang-Undang Nomor 14 Tahun 2008 tentang Keterbukaan Informasi Publik (UU KIP)</t>
  </si>
  <si>
    <t>Informasi Keseluruhan pelayanan publik</t>
  </si>
  <si>
    <t>dokumen organisasi, anggaran, laporan tahunan, serta perizinan</t>
  </si>
  <si>
    <r>
      <rPr>
        <rFont val="Calibri, sans-serif"/>
        <color rgb="FF1155CC"/>
        <sz val="12.0"/>
        <u/>
      </rPr>
      <t>https://ppid.bandungkab.go.id/dashboard</t>
    </r>
  </si>
  <si>
    <t>Layanan informasi inovasi perangkat daerah</t>
  </si>
  <si>
    <t>mengoptimalkan pengelolaan, pendokumentasian, dan penyebarluasan hasil penelitian serta inovasi daerah secara digital guna mendukung pengambilan kebijakan berbasis data dan berungsi sebagai tempat penyimpanan data dan kelengkapan satuan inovasi yang ditetapkan oleh Kemendagri</t>
  </si>
  <si>
    <t>- Peraturan BRIN Nomor 5 Tahun 2023: Mengatur tentang tata kelola data riset dan inovasi, termasuk penggunaan aplikasi untuk monitoring dan evaluasi kelitbangan daerah.
 - Peraturan Presiden (Perpres) Nomor 78 Tahun 2021 tentang BRIN: Menetapkan BRIN sebagai lembaga yang mengintegrasikan penelitian, pengembangan, pengkajian, penerapan, serta invensi dan inovasi</t>
  </si>
  <si>
    <t>Inovasi yang terdaftar di APIK</t>
  </si>
  <si>
    <t>Data Inovasi</t>
  </si>
  <si>
    <r>
      <rPr>
        <rFont val="Calibri, sans-serif"/>
        <color rgb="FF1155CC"/>
        <sz val="12.0"/>
        <u/>
      </rPr>
      <t>https://apik.bandungkab.go.id/apik/login</t>
    </r>
  </si>
  <si>
    <t>Layanan informasi mutu fasilitas layanan kesehatan</t>
  </si>
  <si>
    <t>untuk mengumpulkan dan memantau data kualitas pelayanan kesehatan secara terintegrasi, sehingga dapat digunakan untuk evaluasi, peningkatan mutu, dan pengambilan kebijakan di bidang kesehatan.</t>
  </si>
  <si>
    <t>1. Undang - Undang Nomor 36 Tahun 2009 Tentang Kesehatan 
 2. Undang-Undang Nomor 44 Tahun 2009 tentang Rumah Sakit
 3. Peraturan Menteri Kesehatan Nomor 46 Tahun 2015 tentang Akreditasi Puskesmas, Klinik Pratama, Tempat Praktik Mandiri Dokter dan Dokter Gigi
 4. Peraturan Menteri Kesehatan Nomor 11 Tahun 2017 tentang Keselamatan Pasien
 5. Peraturan Menteri Kesehatan Nomor 30 Tahun 2022 tentang Indikator Nasional Mutu Pelayanan Kesehatan</t>
  </si>
  <si>
    <t>1. Indikator Mutu Nasional 
 2. Pelaporan HAIS
 3. Pelaporan Insiden Keselamatan Pasien</t>
  </si>
  <si>
    <t>Data Monitoring dan Evaluasi</t>
  </si>
  <si>
    <t>MUTU FASYANKES</t>
  </si>
  <si>
    <r>
      <rPr>
        <rFont val="Arial, sans-serif"/>
        <color rgb="FF1155CC"/>
        <u/>
      </rPr>
      <t>https://mutufasyankes.kemkes.go.id/</t>
    </r>
  </si>
  <si>
    <t>Komite Mutu</t>
  </si>
  <si>
    <r>
      <rPr>
        <rFont val="Calibri, sans-serif"/>
        <color rgb="FF1155CC"/>
        <sz val="12.0"/>
        <u/>
      </rPr>
      <t xml:space="preserve">Endah Mawarni, </t>
    </r>
    <r>
      <rPr>
        <rFont val="Calibri, sans-serif"/>
        <color rgb="FF1155CC"/>
        <sz val="12.0"/>
        <u/>
      </rPr>
      <t>A.Md</t>
    </r>
    <r>
      <rPr>
        <rFont val="Calibri, sans-serif"/>
        <color rgb="FF1155CC"/>
        <sz val="12.0"/>
        <u/>
      </rPr>
      <t>.Kes</t>
    </r>
  </si>
  <si>
    <t>komite.pmkp.rsudmajalaya@gmail.com</t>
  </si>
  <si>
    <t>Layanan manajemen data fasilitas kesehatan</t>
  </si>
  <si>
    <t>database dan sistem manajemen data fasilitas kesehatan yang bekerja sama dengan BPJS Kesehatan untuk mendukung pelayanan peserta BPJS</t>
  </si>
  <si>
    <t>1. Undang-Undang Nomor 40 Tahun 2004 tentang Sistem Jaminan Sosial Nasional
 2. Undang-Undang Nomor 24 Tahun 2011 tentang Badan Penyelenggara Jaminan Sosial
 3. Peraturan Presiden Nomor 82 Tahun 2018 tentang Jaminan Kesehatan
 4. Peraturan BPJS Kesehatan Nomor 7 Tahun 2019 tentang Petunjuk Pelaksanaan Kerja Sama dengan Fasilitas Kesehatan</t>
  </si>
  <si>
    <t>1. Data Identitas Fasilitas Kesehatan
 2. Data Perizinan dan Legalitas
 3. Data Tenaga Kesehatan
 4. Data Sarana dan Prasarana
 5. Data Jenis Layanan Kesehatan
 6. Data Kapasitas Pelayanan
 7. Data Kerja Sama dengan BPJS
 8. Dokumen Pendukung</t>
  </si>
  <si>
    <t>1. Profil Fasilitas Kesehatan
 2. Data Sebaran Fasilitas Kesehatan
 3. Data Tenaga Kesehatan
 4. Data Sarana dan Prasarana
 5. Data Jenis dan Kapasitas Layanan
 6. Status dan Riwayat Kerja Sama
 7. Laporan dan Monitoring Fasilitas Kesehatan</t>
  </si>
  <si>
    <t>HFIS BPJS</t>
  </si>
  <si>
    <r>
      <rPr>
        <rFont val="Arial, sans-serif"/>
        <color rgb="FF1155CC"/>
        <u/>
      </rPr>
      <t>:Health Facilities Information System (H.F.I.S):</t>
    </r>
  </si>
  <si>
    <t>Mobile JKN</t>
  </si>
  <si>
    <t>Bidang Pelayanan Medik</t>
  </si>
  <si>
    <r>
      <rPr>
        <rFont val="Calibri, sans-serif"/>
        <color rgb="FF1155CC"/>
        <sz val="12.0"/>
        <u/>
      </rPr>
      <t xml:space="preserve">Endah Mawarni, </t>
    </r>
    <r>
      <rPr>
        <rFont val="Calibri, sans-serif"/>
        <color rgb="FF1155CC"/>
        <sz val="12.0"/>
        <u/>
      </rPr>
      <t>A.Md</t>
    </r>
    <r>
      <rPr>
        <rFont val="Calibri, sans-serif"/>
        <color rgb="FF1155CC"/>
        <sz val="12.0"/>
        <u/>
      </rPr>
      <t>.Kes</t>
    </r>
  </si>
  <si>
    <r>
      <rPr>
        <rFont val="Calibri, sans-serif"/>
        <color rgb="FF1155CC"/>
        <sz val="12.0"/>
        <u/>
      </rPr>
      <t>hfisrs.rsudmajalaya@</t>
    </r>
    <r>
      <rPr>
        <rFont val="Calibri, sans-serif"/>
        <color rgb="FF1155CC"/>
        <sz val="12.0"/>
        <u/>
      </rPr>
      <t>gmail.com</t>
    </r>
  </si>
  <si>
    <t>Layanan manajemen data sarana prasarana alat kesehatan</t>
  </si>
  <si>
    <t>sistem informasi berbasis web dari Kementerian Kesehatan untuk menghimpun data sarana, prasarana, dan alat kesehatan (SPA) di fasyankes</t>
  </si>
  <si>
    <t>Permenkes No. 31 Tahun 2018: Mengatur kewajiban pengisian, validasi, dan update data ASPAK oleh Fasyankes, Dinas Kesehatan Kabupaten/Kota, dan Dinas Kesehatan Provinsi</t>
  </si>
  <si>
    <t>data sarana, prasarana, dan alat kesehatan (SPA) di fasyankes</t>
  </si>
  <si>
    <t>ASPAK</t>
  </si>
  <si>
    <r>
      <rPr>
        <rFont val="Calibri, sans-serif"/>
        <color rgb="FF1155CC"/>
        <sz val="12.0"/>
        <u/>
      </rPr>
      <t>https://aspak.kemkes.go.id/aplikasi/site/index</t>
    </r>
  </si>
  <si>
    <t>tidak terintegrasi'</t>
  </si>
  <si>
    <t>Layanan perencanaan BMD</t>
  </si>
  <si>
    <t>RKBMD (Rencana Kebutuhan Barang Milik Daerah) Kabupaten Bandung adalah dokumen perencanaan strategis satu tahun yang disusun oleh Organisasi Perangkat Daerah (OPD) untuk merencanakan pengadaan, pemeliharaan, pemanfaatan, pemindahtanganan, dan penghapusan aset daerah</t>
  </si>
  <si>
    <t>Peraturan Menteri Dalam Negeri Nomor 7 Tahun 2024 tentang Pedoman Pengelolaan Barang Milik Daerah</t>
  </si>
  <si>
    <t>perencanaan untuk pengadaan, pemeliharaan, pemanfaatan, pemindahtanganan, dan penghapusan</t>
  </si>
  <si>
    <r>
      <rPr>
        <rFont val="Calibri, sans-serif"/>
        <color rgb="FF1155CC"/>
        <sz val="12.0"/>
        <u/>
      </rPr>
      <t>https://rkbmd.e-planningbmd.id/</t>
    </r>
  </si>
  <si>
    <t>Bidang umum logistik</t>
  </si>
  <si>
    <t>RSUD OTO ISKANDAR</t>
  </si>
  <si>
    <r>
      <rPr>
        <rFont val="Calibri, sans-serif"/>
        <color rgb="FF1155CC"/>
        <sz val="12.0"/>
        <u/>
      </rPr>
      <t>https://drive.google.com/file/d/1T1U4oNUqZS1NcFlgpFY6CJRp0CcQqlBv/view?usp=drive_link</t>
    </r>
  </si>
  <si>
    <t>SIMRS OTO ISKANDAR</t>
  </si>
  <si>
    <r>
      <rPr>
        <rFont val="Calibri, sans-serif"/>
        <color rgb="FF1155CC"/>
        <sz val="12.0"/>
        <u/>
      </rPr>
      <t>https://drive.google.com/drive/folders/1vjgfqjMxOGjNMjW_D5TVCMti_1yMqG0T?usp=sharing</t>
    </r>
  </si>
  <si>
    <r>
      <rPr>
        <rFont val="Calibri, sans-serif"/>
        <color rgb="FF1155CC"/>
        <sz val="12.0"/>
        <u/>
      </rPr>
      <t>simpel.menlhk.go.id</t>
    </r>
  </si>
  <si>
    <r>
      <rPr>
        <rFont val="Calibri, sans-serif"/>
        <color rgb="FF1155CC"/>
        <sz val="12.0"/>
        <u/>
      </rPr>
      <t>https://ee.kobotoolbox.org/x/YQp13dFa</t>
    </r>
  </si>
  <si>
    <r>
      <rPr>
        <rFont val="Calibri, sans-serif"/>
        <color rgb="FF1155CC"/>
        <sz val="12.0"/>
        <u/>
      </rPr>
      <t>persediaanbmd.bandungkab.go.id</t>
    </r>
  </si>
  <si>
    <r>
      <rPr>
        <rFont val="Calibri, sans-serif"/>
        <color rgb="FF1155CC"/>
        <sz val="12.0"/>
        <u/>
      </rPr>
      <t>https://simgajiweb.taspen.co.id/</t>
    </r>
  </si>
  <si>
    <r>
      <rPr>
        <rFont val="Calibri, sans-serif"/>
        <color rgb="FF1155CC"/>
        <sz val="12.0"/>
        <u/>
      </rPr>
      <t>https://e-retribusi.bandungkab.go.id/</t>
    </r>
  </si>
  <si>
    <r>
      <rPr>
        <rFont val="Calibri, sans-serif"/>
        <color rgb="FF1155CC"/>
        <sz val="12.0"/>
        <u/>
      </rPr>
      <t xml:space="preserve">Fidriansyah, </t>
    </r>
    <r>
      <rPr>
        <rFont val="Calibri, sans-serif"/>
        <color rgb="FF1155CC"/>
        <sz val="12.0"/>
        <u/>
      </rPr>
      <t>A.Md</t>
    </r>
  </si>
  <si>
    <r>
      <rPr>
        <rFont val="Calibri, sans-serif"/>
        <color rgb="FF1155CC"/>
        <sz val="12.0"/>
        <u/>
      </rPr>
      <t>https://sipd.kemendagri.go.id/</t>
    </r>
  </si>
  <si>
    <r>
      <rPr>
        <rFont val="Calibri, sans-serif"/>
        <color rgb="FF1155CC"/>
        <sz val="12.0"/>
        <u/>
      </rPr>
      <t xml:space="preserve">Susi Herawati, S.Ak, Fidriansyah </t>
    </r>
    <r>
      <rPr>
        <rFont val="Calibri, sans-serif"/>
        <color rgb="FF1155CC"/>
        <sz val="12.0"/>
        <u/>
      </rPr>
      <t>A.Md</t>
    </r>
  </si>
  <si>
    <r>
      <rPr>
        <rFont val="Calibri, sans-serif"/>
        <color rgb="FF1155CC"/>
        <sz val="12.0"/>
        <u/>
      </rPr>
      <t>https://sirup.inaproc.id/sirup/loginctr/index</t>
    </r>
  </si>
  <si>
    <r>
      <rPr>
        <rFont val="Calibri, sans-serif"/>
        <color rgb="FF1155CC"/>
        <sz val="12.0"/>
        <u/>
      </rPr>
      <t>https://simaslahat.bandungkab.go.id/login</t>
    </r>
  </si>
  <si>
    <r>
      <rPr>
        <rFont val="Calibri, sans-serif"/>
        <color rgb="FF1155CC"/>
        <sz val="12.0"/>
        <u/>
      </rPr>
      <t>e-sptpd.bandungkab.go.id</t>
    </r>
    <r>
      <rPr>
        <rFont val="Calibri, sans-serif"/>
        <color rgb="FF1155CC"/>
        <sz val="12.0"/>
        <u/>
      </rPr>
      <t>.</t>
    </r>
  </si>
  <si>
    <r>
      <rPr>
        <rFont val="Calibri, sans-serif"/>
        <color rgb="FF1155CC"/>
        <sz val="12.0"/>
        <u/>
      </rPr>
      <t>https://simasda.bandungkab.go.id/</t>
    </r>
  </si>
  <si>
    <t>Layanan Pengelolaan Gudang Logistik OTO</t>
  </si>
  <si>
    <r>
      <rPr>
        <rFont val="Calibri, sans-serif"/>
        <color rgb="FF1155CC"/>
        <sz val="12.0"/>
        <u/>
      </rPr>
      <t>https://sisrute.kemkes.go.id/</t>
    </r>
  </si>
  <si>
    <r>
      <rPr>
        <rFont val="Calibri, sans-serif"/>
        <color rgb="FF1155CC"/>
        <sz val="12.0"/>
        <u/>
      </rPr>
      <t>https://coretaxdjp.pajak.go.id</t>
    </r>
  </si>
  <si>
    <r>
      <rPr>
        <rFont val="Calibri, sans-serif"/>
        <color rgb="FF1155CC"/>
        <sz val="12.0"/>
        <u/>
      </rPr>
      <t>https://sirekonpajak.bandungkab.go.id/</t>
    </r>
  </si>
  <si>
    <r>
      <rPr>
        <rFont val="Calibri, sans-serif"/>
        <color rgb="FF1155CC"/>
        <sz val="12.0"/>
        <u/>
      </rPr>
      <t>https://mpn.kemenkeu.go.id</t>
    </r>
  </si>
  <si>
    <r>
      <rPr>
        <rFont val="Calibri, sans-serif"/>
        <color rgb="FF1155CC"/>
        <sz val="12.0"/>
        <u/>
      </rPr>
      <t>https://drive.google.com/drive/folders/1MppwIbicgeJnTSmBS08CzfVFAUOfmdja?usp=sharing</t>
    </r>
  </si>
  <si>
    <r>
      <rPr>
        <rFont val="Calibri, sans-serif"/>
        <color rgb="FF1155CC"/>
        <sz val="12.0"/>
        <u/>
      </rPr>
      <t>http://dkijabarbanten.sitb.id/</t>
    </r>
  </si>
  <si>
    <r>
      <rPr>
        <rFont val="Calibri, sans-serif"/>
        <color rgb="FF1155CC"/>
        <sz val="12.0"/>
        <u/>
      </rPr>
      <t>simpelbkpsdm.bandungkab.go.id</t>
    </r>
  </si>
  <si>
    <t>Sultan</t>
  </si>
  <si>
    <r>
      <rPr>
        <rFont val="Calibri, sans-serif"/>
        <color rgb="FF1155CC"/>
        <sz val="12.0"/>
        <u/>
      </rPr>
      <t>sultan.banadungkab.go.id</t>
    </r>
  </si>
  <si>
    <t>SASIKAP</t>
  </si>
  <si>
    <r>
      <rPr>
        <rFont val="Calibri, sans-serif"/>
        <color rgb="FF1155CC"/>
        <sz val="12.0"/>
        <u/>
      </rPr>
      <t>sso.bandungkab.go.id</t>
    </r>
  </si>
  <si>
    <r>
      <rPr>
        <rFont val="Calibri, sans-serif"/>
        <color rgb="FF1155CC"/>
        <sz val="12.0"/>
        <u/>
      </rPr>
      <t>sisdmk.kemkes.go.id</t>
    </r>
  </si>
  <si>
    <r>
      <rPr>
        <rFont val="Calibri, sans-serif"/>
        <color rgb="FF1155CC"/>
        <sz val="12.0"/>
        <u/>
      </rPr>
      <t>sirs.kemkes.go.id</t>
    </r>
  </si>
  <si>
    <r>
      <rPr>
        <rFont val="Calibri, sans-serif"/>
        <color rgb="FF1155CC"/>
        <sz val="12.0"/>
        <u/>
      </rPr>
      <t>https://e-lkpj.id/login</t>
    </r>
  </si>
  <si>
    <r>
      <rPr>
        <rFont val="Calibri, sans-serif"/>
        <color rgb="FF1155CC"/>
        <sz val="12.0"/>
        <u/>
      </rPr>
      <t>https://sidalmonep.bandungkab.go.id/app</t>
    </r>
  </si>
  <si>
    <r>
      <rPr>
        <rFont val="Calibri, sans-serif"/>
        <color rgb="FF1155CC"/>
        <sz val="12.0"/>
        <u/>
      </rPr>
      <t>https://skm.bandungkab.go.id/</t>
    </r>
  </si>
  <si>
    <r>
      <rPr>
        <rFont val="Calibri, sans-serif"/>
        <color rgb="FF1155CC"/>
        <sz val="12.0"/>
        <u/>
      </rPr>
      <t>https://sippn.menpan.go.id/</t>
    </r>
  </si>
  <si>
    <r>
      <rPr>
        <rFont val="Calibri, sans-serif"/>
        <color rgb="FF1155CC"/>
        <sz val="12.0"/>
        <u/>
      </rPr>
      <t>https://www.lapor.go.id/</t>
    </r>
  </si>
  <si>
    <r>
      <rPr>
        <rFont val="Calibri, sans-serif"/>
        <color rgb="FF1155CC"/>
        <sz val="12.0"/>
        <u/>
      </rPr>
      <t>https://ppid.bandungkab.go.id/dashboard</t>
    </r>
  </si>
  <si>
    <r>
      <rPr>
        <rFont val="Calibri, sans-serif"/>
        <color rgb="FF1155CC"/>
        <sz val="12.0"/>
        <u/>
      </rPr>
      <t>https://apik.bandungkab.go.id/apik/login</t>
    </r>
  </si>
  <si>
    <r>
      <rPr>
        <rFont val="Arial, sans-serif"/>
        <color rgb="FF1155CC"/>
        <u/>
      </rPr>
      <t>https://mutufasyankes.kemkes.go.id/</t>
    </r>
  </si>
  <si>
    <r>
      <rPr>
        <rFont val="Calibri, sans-serif"/>
        <color rgb="FF1155CC"/>
        <sz val="12.0"/>
        <u/>
      </rPr>
      <t xml:space="preserve">Endah Mawarni, </t>
    </r>
    <r>
      <rPr>
        <rFont val="Calibri, sans-serif"/>
        <color rgb="FF1155CC"/>
        <sz val="12.0"/>
        <u/>
      </rPr>
      <t>A.Md</t>
    </r>
    <r>
      <rPr>
        <rFont val="Calibri, sans-serif"/>
        <color rgb="FF1155CC"/>
        <sz val="12.0"/>
        <u/>
      </rPr>
      <t>.Kes</t>
    </r>
  </si>
  <si>
    <r>
      <rPr>
        <rFont val="Arial, sans-serif"/>
        <color rgb="FF1155CC"/>
        <u/>
      </rPr>
      <t>:Health Facilities Information System (H.F.I.S):</t>
    </r>
  </si>
  <si>
    <r>
      <rPr>
        <rFont val="Calibri, sans-serif"/>
        <color rgb="FF1155CC"/>
        <sz val="12.0"/>
        <u/>
      </rPr>
      <t xml:space="preserve">Endah Mawarni, </t>
    </r>
    <r>
      <rPr>
        <rFont val="Calibri, sans-serif"/>
        <color rgb="FF1155CC"/>
        <sz val="12.0"/>
        <u/>
      </rPr>
      <t>A.Md</t>
    </r>
    <r>
      <rPr>
        <rFont val="Calibri, sans-serif"/>
        <color rgb="FF1155CC"/>
        <sz val="12.0"/>
        <u/>
      </rPr>
      <t>.Kes</t>
    </r>
  </si>
  <si>
    <r>
      <rPr>
        <rFont val="Calibri, sans-serif"/>
        <color rgb="FF1155CC"/>
        <sz val="12.0"/>
        <u/>
      </rPr>
      <t>hfisrs.rsudmajalaya@</t>
    </r>
    <r>
      <rPr>
        <rFont val="Calibri, sans-serif"/>
        <color rgb="FF1155CC"/>
        <sz val="12.0"/>
        <u/>
      </rPr>
      <t>gmail.com</t>
    </r>
  </si>
  <si>
    <r>
      <rPr>
        <rFont val="Calibri, sans-serif"/>
        <color rgb="FF1155CC"/>
        <sz val="12.0"/>
        <u/>
      </rPr>
      <t>https://aspak.kemkes.go.id/aplikasi/site/index</t>
    </r>
  </si>
  <si>
    <r>
      <rPr>
        <rFont val="Calibri, sans-serif"/>
        <color rgb="FF1155CC"/>
        <sz val="12.0"/>
        <u/>
      </rPr>
      <t>https://rkbmd.e-planningbmd.id/</t>
    </r>
  </si>
  <si>
    <t>RSUD CICALENGKA</t>
  </si>
  <si>
    <r>
      <rPr>
        <rFont val="&quot;Hind Siliguri&quot;"/>
        <color rgb="FF1155CC"/>
        <u/>
      </rPr>
      <t>https://drive.google.com/file/d/1T1U4oNUqZS1NcFlgpFY6CJRp0CcQqlBv/view?usp=drive_link</t>
    </r>
  </si>
  <si>
    <t>SIMRS CICALENGKA</t>
  </si>
  <si>
    <t>Rizki Bachtiar, S.Kom</t>
  </si>
  <si>
    <t>rz1302@gmail.com</t>
  </si>
  <si>
    <r>
      <rPr>
        <rFont val="&quot;Hind Siliguri&quot;"/>
        <color rgb="FF1155CC"/>
        <u/>
      </rPr>
      <t>https://drive.google.com/drive/folders/1vjgfqjMxOGjNMjW_D5TVCMti_1yMqG0T?usp=sharing</t>
    </r>
  </si>
  <si>
    <r>
      <rPr>
        <rFont val="&quot;Hind Siliguri&quot;"/>
        <color rgb="FF1155CC"/>
        <u/>
      </rPr>
      <t>simpel.menlhk.go.id</t>
    </r>
  </si>
  <si>
    <t>Yoga Hanifah, A.Md.KL</t>
  </si>
  <si>
    <t>yogahans27@gmail.com</t>
  </si>
  <si>
    <r>
      <rPr>
        <rFont val="&quot;Hind Siliguri&quot;"/>
        <color rgb="FF1155CC"/>
        <u/>
      </rPr>
      <t>https://ee.kobotoolbox.org/x/YQp13dFa</t>
    </r>
  </si>
  <si>
    <t>Yuyun Siti Nurjanah, S.K.M</t>
  </si>
  <si>
    <t>sitinurjanahyuyun@gmail.com</t>
  </si>
  <si>
    <r>
      <rPr>
        <rFont val="&quot;Hind Siliguri&quot;"/>
        <color rgb="FF1155CC"/>
        <u/>
      </rPr>
      <t>persediaanbmd.bandungkab.go.id</t>
    </r>
  </si>
  <si>
    <t>Andi Kusdiana, S.Si</t>
  </si>
  <si>
    <t>0896-8335-3506</t>
  </si>
  <si>
    <t>andi_kusdiana@yahoo.co.id</t>
  </si>
  <si>
    <r>
      <rPr>
        <rFont val="&quot;Hind Siliguri&quot;"/>
        <color rgb="FF1155CC"/>
        <u/>
      </rPr>
      <t>https://simgajiweb.taspen.co.id/</t>
    </r>
  </si>
  <si>
    <t>Nurfatikhah, SST</t>
  </si>
  <si>
    <t>nurfatikhahp@gmail.com</t>
  </si>
  <si>
    <t>e-retribusi</t>
  </si>
  <si>
    <r>
      <rPr>
        <rFont val="&quot;Hind Siliguri&quot;"/>
        <color rgb="FF1155CC"/>
        <u/>
      </rPr>
      <t>https://e-retribusi.bandungkab.go.id/</t>
    </r>
  </si>
  <si>
    <t>Dadang Senjaya</t>
  </si>
  <si>
    <t>dadangsenjaya69@gmail.com</t>
  </si>
  <si>
    <r>
      <rPr>
        <rFont val="&quot;Hind Siliguri&quot;"/>
        <color rgb="FF1155CC"/>
        <u/>
      </rPr>
      <t>https://sipd.kemendagri.go.id/</t>
    </r>
  </si>
  <si>
    <r>
      <rPr>
        <rFont val="&quot;Hind Siliguri&quot;"/>
        <color rgb="FF1155CC"/>
        <u/>
      </rPr>
      <t>https://sirup.inaproc.id/sirup/loginctr/index</t>
    </r>
  </si>
  <si>
    <r>
      <rPr>
        <rFont val="&quot;Hind Siliguri&quot;"/>
        <color rgb="FF1155CC"/>
        <u/>
      </rPr>
      <t>https://simaslahat.bandungkab.go.id/login</t>
    </r>
  </si>
  <si>
    <r>
      <rPr>
        <rFont val="&quot;Hind Siliguri&quot;"/>
        <color rgb="FF1155CC"/>
        <u/>
      </rPr>
      <t>e-sptpd.bandungkab.go.id</t>
    </r>
    <r>
      <rPr>
        <rFont val="&quot;Hind Siliguri&quot;"/>
        <color rgb="FF1155CC"/>
        <u/>
      </rPr>
      <t>.</t>
    </r>
  </si>
  <si>
    <t>Dhini Lestika Anggraeni, A.Md</t>
  </si>
  <si>
    <t>dhini.101205@gmail.com</t>
  </si>
  <si>
    <r>
      <rPr>
        <rFont val="&quot;Hind Siliguri&quot;"/>
        <color rgb="FF1155CC"/>
        <u/>
      </rPr>
      <t>https://simasda.bandungkab.go.id/</t>
    </r>
  </si>
  <si>
    <r>
      <rPr>
        <rFont val="&quot;Hind Siliguri&quot;"/>
        <color rgb="FF1155CC"/>
        <u/>
      </rPr>
      <t>https://sisrute.kemkes.go.id/</t>
    </r>
  </si>
  <si>
    <r>
      <rPr>
        <rFont val="&quot;Hind Siliguri&quot;"/>
        <color rgb="FF1155CC"/>
        <u/>
      </rPr>
      <t>https://coretaxdjp.pajak.go.id</t>
    </r>
  </si>
  <si>
    <t>- Yasmina Natasya, S.Ak dan Iip Nadifah, A.Md.M</t>
  </si>
  <si>
    <t>082111311546 dan 082326462698</t>
  </si>
  <si>
    <t>natasyayasmina08@gmail.com dan Iip Nadifah, A.Md.M</t>
  </si>
  <si>
    <r>
      <rPr>
        <rFont val="&quot;Hind Siliguri&quot;"/>
        <color rgb="FF1155CC"/>
        <u/>
      </rPr>
      <t>https://sirekonpajak.bandungkab.go.id/</t>
    </r>
  </si>
  <si>
    <t>Yasmina Natasya, S.Ak</t>
  </si>
  <si>
    <r>
      <rPr>
        <rFont val="&quot;Hind Siliguri&quot;"/>
        <color rgb="FF1155CC"/>
        <u/>
      </rPr>
      <t>https://mpn.kemenkeu.go.id</t>
    </r>
  </si>
  <si>
    <r>
      <rPr>
        <rFont val="&quot;Hind Siliguri&quot;"/>
        <color rgb="FF1155CC"/>
        <u/>
      </rPr>
      <t>https://drive.google.com/drive/folders/1MppwIbicgeJnTSmBS08CzfVFAUOfmdja?usp=sharing</t>
    </r>
  </si>
  <si>
    <r>
      <rPr>
        <rFont val="&quot;Hind Siliguri&quot;"/>
        <color rgb="FF1155CC"/>
        <u/>
      </rPr>
      <t>http://dkijabarbanten.sitb.id/</t>
    </r>
  </si>
  <si>
    <r>
      <rPr>
        <rFont val="&quot;Hind Siliguri&quot;"/>
        <color rgb="FF1155CC"/>
        <u/>
      </rPr>
      <t>simpelbkpsdm.bandungkab.go.id</t>
    </r>
  </si>
  <si>
    <t>Sultan (e-office)</t>
  </si>
  <si>
    <r>
      <rPr>
        <rFont val="&quot;Hind Siliguri&quot;"/>
        <color rgb="FF1155CC"/>
        <u/>
      </rPr>
      <t>sultan.banadungkab.go.id</t>
    </r>
  </si>
  <si>
    <r>
      <rPr>
        <rFont val="&quot;Hind Siliguri&quot;"/>
        <color rgb="FF1155CC"/>
        <u/>
      </rPr>
      <t>sso.bandungkab.go.id</t>
    </r>
  </si>
  <si>
    <r>
      <rPr>
        <rFont val="&quot;Hind Siliguri&quot;"/>
        <color rgb="FF1155CC"/>
        <u/>
      </rPr>
      <t>sisdmk.kemkes.go.id</t>
    </r>
  </si>
  <si>
    <r>
      <rPr>
        <rFont val="&quot;Hind Siliguri&quot;"/>
        <color rgb="FF1155CC"/>
        <u/>
      </rPr>
      <t>sirs.kemkes.go.id</t>
    </r>
  </si>
  <si>
    <r>
      <rPr>
        <rFont val="&quot;Hind Siliguri&quot;"/>
        <color rgb="FF1155CC"/>
        <u/>
      </rPr>
      <t>SIRS.KEMKES.GO.ID</t>
    </r>
  </si>
  <si>
    <r>
      <rPr>
        <rFont val="&quot;Hind Siliguri&quot;"/>
        <color rgb="FF1155CC"/>
        <u/>
      </rPr>
      <t>https://e-lkpj.id/login</t>
    </r>
  </si>
  <si>
    <r>
      <rPr>
        <rFont val="&quot;Hind Siliguri&quot;"/>
        <color rgb="FF1155CC"/>
        <u/>
      </rPr>
      <t>https://sidalmonep.bandungkab.go.id/app</t>
    </r>
  </si>
  <si>
    <t>ESKM</t>
  </si>
  <si>
    <r>
      <rPr>
        <rFont val="&quot;Hind Siliguri&quot;"/>
        <color rgb="FF1155CC"/>
        <u/>
      </rPr>
      <t>https://skm.bandungkab.go.id/</t>
    </r>
  </si>
  <si>
    <r>
      <rPr>
        <rFont val="&quot;Hind Siliguri&quot;"/>
        <color rgb="FF1155CC"/>
        <u/>
      </rPr>
      <t>https://sippn.menpan.go.id/</t>
    </r>
  </si>
  <si>
    <r>
      <rPr>
        <rFont val="&quot;Hind Siliguri&quot;"/>
        <color rgb="FF1155CC"/>
        <u/>
      </rPr>
      <t>https://www.lapor.go.id/</t>
    </r>
  </si>
  <si>
    <r>
      <rPr>
        <rFont val="&quot;Hind Siliguri&quot;"/>
        <color rgb="FF1155CC"/>
        <u/>
      </rPr>
      <t>https://ppid.bandungkab.go.id/dashboard</t>
    </r>
  </si>
  <si>
    <r>
      <rPr>
        <rFont val="&quot;Hind Siliguri&quot;"/>
        <color rgb="FF1155CC"/>
        <u/>
      </rPr>
      <t>https://mutufasyankes.kemkes.go.id/</t>
    </r>
  </si>
  <si>
    <r>
      <rPr>
        <rFont val="&quot;Hind Siliguri&quot;"/>
        <color rgb="FF1155CC"/>
        <u/>
      </rPr>
      <t>:Health Facilities Information System (H.F.I.S):</t>
    </r>
  </si>
  <si>
    <r>
      <rPr>
        <rFont val="&quot;Hind Siliguri&quot;"/>
        <color rgb="FF1155CC"/>
        <u/>
      </rPr>
      <t>https://aspak.kemkes.go.id/aplikasi/site/index</t>
    </r>
  </si>
  <si>
    <r>
      <rPr>
        <rFont val="&quot;Hind Siliguri&quot;"/>
        <color rgb="FF1155CC"/>
        <u/>
      </rPr>
      <t>https://rkbmd.e-planningbmd.id/</t>
    </r>
  </si>
  <si>
    <t>Layanan perencanaan penganggaran kebutuhan operasional rumah sakit</t>
  </si>
  <si>
    <t>Menghasilkan database usulan kebutuhan setiap unit instalasi di RSUD cicalengka</t>
  </si>
  <si>
    <t>Surat Keputusan Direktur RSUD Cicalengka Kabupaten Bandung Nomor 445/SK/Sekr.180.30/RSUDCCLK/VII/2019</t>
  </si>
  <si>
    <t>usulan kebutuhan rumah sakit dari unit ke manajemen</t>
  </si>
  <si>
    <t>data kebutuhan rumah sakit</t>
  </si>
  <si>
    <t>sikeren</t>
  </si>
  <si>
    <r>
      <rPr>
        <rFont val="&quot;Hind Siliguri&quot;"/>
        <color rgb="FF1155CC"/>
        <u/>
      </rPr>
      <t>http://192.168.40.89/sikeren</t>
    </r>
  </si>
  <si>
    <t>Bidang perencanaan</t>
  </si>
  <si>
    <t>Muhamad Yusup</t>
  </si>
  <si>
    <t>dochumas.rsdc@gmail.com</t>
  </si>
  <si>
    <t>Layanan sistem informasi pelaporan terintegrasi indikator mutu dan keselamatan pasien</t>
  </si>
  <si>
    <t>Untuk menjamin kesehatan yang aman, efektif, dan sesuai dengan standar sebagai alat ukur untuk mengevaluasi dan meningkatkan kualitas layanan secara berkesinambungan</t>
  </si>
  <si>
    <t>Data mutu setiap layanan instalasi RSUD, jenis layanan, indikator, standar</t>
  </si>
  <si>
    <t>data SPM</t>
  </si>
  <si>
    <t>siimut</t>
  </si>
  <si>
    <t>Bidang Pelayanan</t>
  </si>
  <si>
    <t>Sistem pelayanan antar obat sampai tujuan</t>
  </si>
  <si>
    <t>Untuk memfasilitasi pasien khusus lansia, ibu hamil maupun sakit berat untuk mendapatkan layanan pengantaran obat sampai tujuan / rumah pasien</t>
  </si>
  <si>
    <t>Data pasien dan resep obat</t>
  </si>
  <si>
    <t>obat dan bnhp</t>
  </si>
  <si>
    <t>sipantosan</t>
  </si>
  <si>
    <t>Instalasi Farmasi</t>
  </si>
  <si>
    <t>Layanan Kepegawaian</t>
  </si>
  <si>
    <t>SIKEP</t>
  </si>
  <si>
    <t>Bidang Humas</t>
  </si>
  <si>
    <t>SIPD PENATAUSAHAAN</t>
  </si>
  <si>
    <t>Data SPP dan SPM, Buku Bantu Piutang, Buku Persiediaan, Buku Piutag,data Aset</t>
  </si>
  <si>
    <t>SP2D, BKU, SPJ fungsional dan Laporan Keuangan</t>
  </si>
  <si>
    <r>
      <rPr>
        <rFont val="&quot;Hind Siliguri&quot;"/>
        <color rgb="FF1155CC"/>
        <u/>
      </rPr>
      <t>https://sipd.kemendagri.go.id/penatausahaan/login</t>
    </r>
  </si>
  <si>
    <t>Bidang Keuangan</t>
  </si>
  <si>
    <t>LAYANAN ADMINISTRASI KEPEGAWAIAN</t>
  </si>
  <si>
    <t>Aplikasi SIMPEL (Sistem Informasi Pelayanan) BKPSDM Kabupaten Bandung berfungsi sebagai layanan kepegawaian online terintegrasi untuk memudahkan ASN dalam pengajuan layanan (eLayanan), pembaruan data profil mandiri (ePersonal), pemantauan status berkas digital, serta pengumpulan dokumen, seperti kenaikan jabatan fungsional, guna meningkatkan efisiensi dan efektivitas administrasi</t>
  </si>
  <si>
    <t>1. Undang-Undang Nomor 5 Tahun 2014 tentang Aparatur Sipil Negara, yang mengatur manajemen ASN secara profesional, transparan, dan berbasis sistem merit.
 2. Undang-Undang Nomor 23 Tahun 2014 tentang Pemerintahan Daerah sebagaimana telah beberapa kali diubah terakhir dengan Undang-Undang Nomor 9 Tahun 2015, yang memberikan kewenangan kepada pemerintah daerah dalam pengelolaan manajemen ASN daerah.
 3. Undang-Undang Nomor 11 Tahun 2008 tentang Informasi dan Transaksi Elektronik sebagaimana telah diubah dengan Undang-Undang Nomor 19 Tahun 2016, yang mengatur pemanfaatan teknologi informasi dalam penyelenggaraan layanan elektronik.
 4. Undang-Undang Nomor 25 Tahun 2009 tentang Pelayanan Publik, yang mewajibkan penyelenggara pelayanan publik memberikan pelayanan yang cepat, mudah, terjangkau, dan terukur.
 5. Peraturan Pemerintah Nomor 11 Tahun 2017 tentang Manajemen Pegawai Negeri Sipil sebagaimana telah diubah dengan Peraturan Pemerintah Nomor 17 Tahun 2020, yang mengatur pengelolaan administrasi kepegawaian PNS termasuk pengembangan sistem informasi manajemen ASN.
 6. Peraturan Presiden Nomor 95 Tahun 2018 tentang Sistem Pemerintahan Berbasis Elektronik (SPBE), yang mendorong penerapan sistem pemerintahan berbasis elektronik untuk meningkatkan kualitas layanan pemerintahan.
 7. Peraturan Menteri Pendayagunaan Aparatur Negara dan Reformasi Birokrasi Nomor 40 Tahun 2018 tentang Pedoman Sistem Merit dalam Manajemen ASN, yang menekankan penggunaan sistem informasi dalam pengelolaan data ASN.
 8.Peraturan Badan Kepegawaian Negara Nomor 5 Tahun 2019 tentang Tata Cara Pelaksanaan Mutasi, yang mendukung pemanfaatan sistem informasi dalam proses administrasi kepegawaian.</t>
  </si>
  <si>
    <t>Data yang dimasukkan dalam Aplikasi SIMPEL merupakan data kepegawaian Aparatur Sipil Negara (ASN) yang digunakan untuk mendukung pelayanan administrasi kepegawaian secara elektronik. Data tersebut meliputi:
 1. Data Identitas Pegawai
 2. Data Kepegawaian
 3. Data Pendidikan
 4. Data Jabatan dan Karier
 5. Data Pengembangan Kompetensi
 6. Data Layanan Kepegawaian (e-Layanan)
 7. Dokumen Pendukung Digital
 8. Data Profil Mandiri (e-Personal)</t>
  </si>
  <si>
    <t>Aplikasi SIMPEL (Sistem Informasi Pelayanan) menghasilkan berbagai keluaran berupa informasi, dokumen administrasi, serta pemantauan layanan kepegawaian secara elektronik yang digunakan untuk mendukung pengelolaan manajemen ASN. Hasil yang diperoleh dari penggunaan aplikasi SIMPEL antara lain:
 1. Informasi Status Layanan Kepegawaian
 2. Dokumen Administrasi Kepegawaian Digital
 3. Database Kepegawaian Terintegrasi
 4. Monitoring dan Rekapitulasi Layanan Kepegawaian
 5. Pemutakhiran Data Profil ASN
 6. Efisiensi dan Transparansi Pelayanan Kepegawaian</t>
  </si>
  <si>
    <r>
      <rPr>
        <rFont val="&quot;Hind Siliguri&quot;"/>
        <color rgb="FF1155CC"/>
        <u/>
      </rPr>
      <t>simpelbkpsdm.bandungkab.go.id</t>
    </r>
  </si>
  <si>
    <t>Belum Diintegrasikan
 contoh Pembuatan KGB Sudah terbit di BKPSDM tertulis Kepada YTH Kepala BKAD Kabupaten Bandung, tetapi KGB tersebut tetap harus di kirimkan bendahara rs ke BKAD</t>
  </si>
  <si>
    <t>Bagian Kepegawaian</t>
  </si>
  <si>
    <r>
      <rPr>
        <rFont val="&quot;Hind Siliguri&quot;"/>
        <color rgb="FF1155CC"/>
        <u/>
      </rPr>
      <t xml:space="preserve">AYI RAHADIAN, </t>
    </r>
    <r>
      <rPr>
        <rFont val="&quot;Hind Siliguri&quot;"/>
        <color rgb="FF1155CC"/>
        <u/>
      </rPr>
      <t>S.Tr</t>
    </r>
    <r>
      <rPr>
        <rFont val="&quot;Hind Siliguri&quot;"/>
        <color rgb="FF1155CC"/>
        <u/>
      </rPr>
      <t>.Kom</t>
    </r>
  </si>
  <si>
    <t>rahadianayi@gmail.com</t>
  </si>
  <si>
    <t>PENILAIAN KINERJA PEGAWAI</t>
  </si>
  <si>
    <t>Aplikasi SASIKAP adalah aplikasi yang dibuat untuk layanan penilaian kinerja Aparatur Sipil Negara (ASN/PNS) di lingkungan Pemerintah Kabupaten Bandung.</t>
  </si>
  <si>
    <t>1. Undang-Undang Nomor 5 Tahun 2014 tentang Aparatur Sipil Negara (ASN)
  2. Peraturan Pemerintah Nomor 30 Tahun 2019 tentang Penilaian Kinerja Pegawai Negeri Sipil
  3. Peraturan Menteri PANRB Nomor 6 Tahun 2022 tentang Pengelolaan Kinerja Pegawai Aparatur Sipil Negara
  4. Peraturan Badan Kepegawaian Negara (BKN) Nomor 24 Tahun 2017 tentang Tata Cara Penilaian Kinerja Pegawai Negeri Sipil
  5. Peraturan Badan Kepegawaian Negara Nomor 3 Tahun 2023 tentang Angka Kredit, Kenaikan Pangkat, dan Jenjang Jabatan Fungsional
  6. Peraturan Kepala BKN Nomor 1 Tahun 2013 tentang Ketentuan Pelaksanaan PP Nomor 46 Tahun 2011</t>
  </si>
  <si>
    <t>Data yang dimasukkan dalam aplikasi SASIKAP merupakan data yang digunakan untuk mendukung proses pengelolaan dan penilaian kinerja ASN di lingkungan Pemerintah Kabupaten Bandung. Data tersebut meliputi:
  1. Data Identitas Pegawai
  2. Data Perencanaan Kinerja (SKP)
  3. Data Aktivitas Kinerja
  4. Data Realisasi Kinerja
  5. Data Penilaian Kinerja
  6. Data Monitoring dan Evaluasi
  7. Dokumen Pendukung</t>
  </si>
  <si>
    <t>Data yang Dihasilkan
  Aplikasi SASIKAP menghasilkan berbagai data dan informasi yang berkaitan dengan pengelolaan serta penilaian kinerja pegawai ASN di lingkungan Pemerintah Kabupaten Bandung. Data yang dihasilkan antara lain:
  1. Nilai Capaian Kinerja Pegawai
  2. Nilai Perilaku Kerja Pegawai
  3. Nilai Akhir Kinerja Pegawai
  4. Laporan Kinerja Pegawai
  5. Rekapitulasi Penilaian Kinerja Pegawai
  6. Riwayat Penilaian Kinerja Pegawai
  7. Data Monitoring dan Evaluasi Kinerja
  8. TPP asn
  9. Laporan Statistik Kinerja ASN</t>
  </si>
  <si>
    <r>
      <rPr>
        <rFont val="&quot;Hind Siliguri&quot;"/>
        <color rgb="FF1155CC"/>
        <u/>
      </rPr>
      <t>https://dev2.bandungkab.go.id</t>
    </r>
  </si>
  <si>
    <r>
      <rPr>
        <rFont val="&quot;Hind Siliguri&quot;"/>
        <color rgb="FF1155CC"/>
        <u/>
      </rPr>
      <t>AYI RAHADIAN, S.Tr.Kom</t>
    </r>
  </si>
  <si>
    <t>Sistem Informasi Sumber Daya Manusia Kesehatan (SISDMK)</t>
  </si>
  <si>
    <t>SISDMK merupakan sistem informasi yang dikembangkan oleh Kementerian Kesehatan Republik Indonesia untuk mengelola dan memantau data tenaga kesehatan dan tenaga penunjang kesehatan di seluruh fasilitas pelayanan kesehatan di Indonesia.</t>
  </si>
  <si>
    <t>Dasar Layanan
 1. Undang-Undang Nomor 36 Tahun 2009 tentang Kesehatan
 2. Undang-Undang Nomor 36 Tahun 2014 tentang Tenaga Kesehatan
 3. Undang-Undang Nomor 44 Tahun 2009 tentang Rumah Sakit
 4. Peraturan Presiden Nomor 72 Tahun 2012 tentang Sistem Kesehatan Nasional
 5. Peraturan Presiden Nomor 95 Tahun 2018 tentang Sistem Pemerintahan Berbasis Elektronik (SPBE)
 6. Peraturan Menteri Kesehatan Nomor 31 Tahun 2019 tentang Sistem Informasi Puskesmas dan Fasilitas Pelayanan Kesehatan</t>
  </si>
  <si>
    <t>Data yang dimasukkan dalam aplikasi SISDMK merupakan data terkait tenaga kesehatan dan tenaga penunjang kesehatan yang bekerja pada fasilitas pelayanan kesehatan. Data tersebut meliputi:
 1. Data Identitas Tenaga Kesehatan
 2. Data Kepegawaian
 3. Data Profesi Tenaga Kesehatan
 4. Data Pendidikan
 5. Data Registrasi dan Perizinan
 6. Data Tempat Kerja
 7. Data Pengembangan Kompetensi
 8. Dokumen Pendukung</t>
  </si>
  <si>
    <t>Data yang dihasilkan antara lain:
 1. Database Tenaga Kesehatan
 2. Data Distribusi Tenaga Kesehatan
 3. Data Ketersediaan Tenaga Kesehatan
 4. Data Kualifikasi dan Kompetensi Tenaga Kesehatan
 5. Data Status Registrasi dan Perizinan
 6. Laporan Rekapitulasi SDM Kesehatan
 7. Data Monitoring dan Evaluasi SDM Kesehatan
 8. Laporan Kebutuhan Tenaga Kesehatan</t>
  </si>
  <si>
    <r>
      <rPr>
        <rFont val="&quot;Hind Siliguri&quot;"/>
        <color rgb="FF1155CC"/>
        <u/>
      </rPr>
      <t>https://sisdmk.kemkes.go.id</t>
    </r>
  </si>
  <si>
    <r>
      <rPr>
        <rFont val="&quot;Hind Siliguri&quot;"/>
        <color rgb="FF1155CC"/>
        <u/>
      </rPr>
      <t>satusehat.kemkes.go.id/sdmk</t>
    </r>
  </si>
  <si>
    <r>
      <rPr>
        <rFont val="&quot;Hind Siliguri&quot;"/>
        <color rgb="FF1155CC"/>
        <u/>
      </rPr>
      <t>AYI RAHADIAN, S.Tr.Kom</t>
    </r>
  </si>
  <si>
    <t>layanan administrasi kepesertaan BPJS Kesehatan secara online oleh instansi atau badan usaha.</t>
  </si>
  <si>
    <t>Aplikasi EDABU (Elektronik Data Badan Usaha) bertujuan untuk mempermudah pengelolaan administrasi kepesertaan Jaminan Kesehatan Nasional (JKN) bagi pegawai di instansi pemerintah maupun badan usaha melalui sistem layanan berbasis elektronik yang disediakan oleh BPJS Kesehatan.</t>
  </si>
  <si>
    <t>Dasar Hukum Layanan
 1. Undang-Undang Nomor 40 Tahun 2004 tentang Sistem Jaminan Sosial Nasional (SJSN)
 2. Undang-Undang Nomor 24 Tahun 2011 tentang Badan Penyelenggara Jaminan Sosial
 3. Peraturan Presiden Nomor 82 Tahun 2018 tentang Jaminan Kesehatan
 4. Peraturan Presiden Nomor 64 Tahun 2020 tentang Perubahan Kedua atas Peraturan Presiden Nomor 82 Tahun 2018 tentang Jaminan Kesehatan
 5. Peraturan BPJS Kesehatan Nomor 1 Tahun 2014 tentang Penyelenggaraan Jaminan Kesehatan
 6. Peraturan BPJS Kesehatan tentang Tata Cara Pendaftaran dan Perubahan Data Peserta Pekerja Penerima Upah (PPU)</t>
  </si>
  <si>
    <t>Data yang dimasukkan dalam aplikasi EDABU merupakan data kepesertaan Jaminan Kesehatan Nasional (JKN) bagi pegawai dan anggota keluarganya yang dikelola oleh instansi atau badan usaha melalui sistem yang disediakan oleh BPJS Kesehatan.
 Meliputi:
 1. Data Identitas Peserta
 2. Data Kepegawaian
 3. Data Kepesertaan BPJS Kesehatan
 4. Data Anggota Keluarga
 5. Data Fasilitas Kesehatan
 6. Data Penggajian/Iuran
 7. Dokumen Pendukung</t>
  </si>
  <si>
    <t>Data Output Aplikasi EDABU
 1. Data Kepesertaan BPJS Kesehatan Pegawai
 2. Data Kepesertaan Anggota Keluarga
 3. Status Kepesertaan Peserta
 4. Rekapitulasi Data Peserta Instansi
 5. Perubahan Data Peserta
 6. Data Fasilitas Kesehatan Peserta
 7. Laporan Monitoring Kepesertaan</t>
  </si>
  <si>
    <t>EDABU BPJS</t>
  </si>
  <si>
    <r>
      <rPr>
        <rFont val="&quot;Hind Siliguri&quot;"/>
        <color rgb="FF1155CC"/>
        <u/>
      </rPr>
      <t>https://edabu.bpjs-kesehatan.go.id/Edabu/Home/Login?AspxAutoDetectCookieSupport=1</t>
    </r>
  </si>
  <si>
    <r>
      <rPr>
        <rFont val="&quot;Hind Siliguri&quot;"/>
        <color rgb="FF1155CC"/>
        <u/>
      </rPr>
      <t>satusehat.kemkes.go.id/sdmk</t>
    </r>
  </si>
  <si>
    <r>
      <rPr>
        <rFont val="&quot;Hind Siliguri&quot;"/>
        <color rgb="FF1155CC"/>
        <u/>
      </rPr>
      <t>AYI RAHADIAN, S.Tr.Kom</t>
    </r>
  </si>
  <si>
    <t>RSUD BEDAS CIMAUNG</t>
  </si>
  <si>
    <t>simrs cimaung</t>
  </si>
  <si>
    <t>Kepala Seksi Penunjang</t>
  </si>
  <si>
    <t>Irfan</t>
  </si>
  <si>
    <t>SI IMAN (Sistem Informasi Manajemen Anggaran)</t>
  </si>
  <si>
    <t>Meningkatkan efektivitas dan efisiensi dalam pembuatan perencanaan anggaran baik itu perencanaan bulanan ataupun tahunan</t>
  </si>
  <si>
    <t>Undang-Undang Nomor 5 Tahun 2014 tentang Aparatur Sipil Negara
 Peraturan Menteri Dalam Negeri Nomor 13 Tahun 2006 tentang Pedoman teknis
 pengelolaan Keuangan Daerah</t>
  </si>
  <si>
    <r>
      <rPr>
        <rFont val="Calibri, sans-serif"/>
        <color rgb="FF1155CC"/>
        <sz val="12.0"/>
        <u/>
      </rPr>
      <t>https://drive.google.com/file/d/1-OkimWi2XkYVZbq8aStpKFlsMtErBFog/view?usp=drivesdk</t>
    </r>
  </si>
  <si>
    <t>Perencanaan dan Keuangan RSUD Bedas Cimaung</t>
  </si>
  <si>
    <t>RBA dan Form Keuangan</t>
  </si>
  <si>
    <t>siiman</t>
  </si>
  <si>
    <t>Kasubag Tata Usaha</t>
  </si>
  <si>
    <t>Juang</t>
  </si>
  <si>
    <r>
      <rPr>
        <rFont val="Calibri, sans-serif"/>
        <color rgb="FF1155CC"/>
        <sz val="12.0"/>
        <u/>
      </rPr>
      <t>persediaanbmd.bandungkab.go.id</t>
    </r>
  </si>
  <si>
    <t>Diah Patoni</t>
  </si>
  <si>
    <r>
      <rPr>
        <rFont val="Calibri, sans-serif"/>
        <color rgb="FF1155CC"/>
        <sz val="12.0"/>
        <u/>
      </rPr>
      <t>https://simgajiweb.taspen.co.id/</t>
    </r>
  </si>
  <si>
    <t>Tita</t>
  </si>
  <si>
    <r>
      <rPr>
        <rFont val="Calibri, sans-serif"/>
        <color rgb="FF1155CC"/>
        <sz val="12.0"/>
        <u/>
      </rPr>
      <t>https://e-retribusi.bandungkab.go.id/</t>
    </r>
  </si>
  <si>
    <t>Irna dewi</t>
  </si>
  <si>
    <r>
      <rPr>
        <rFont val="Calibri, sans-serif"/>
        <color rgb="FF1155CC"/>
        <sz val="12.0"/>
        <u/>
      </rPr>
      <t>https://sipd.kemendagri.go.id/</t>
    </r>
  </si>
  <si>
    <t>Juang Rizki</t>
  </si>
  <si>
    <r>
      <rPr>
        <rFont val="Calibri, sans-serif"/>
        <color rgb="FF1155CC"/>
        <sz val="12.0"/>
        <u/>
      </rPr>
      <t>https://sirup.inaproc.id/sirup/loginctr/index</t>
    </r>
  </si>
  <si>
    <r>
      <rPr>
        <rFont val="Calibri, sans-serif"/>
        <color rgb="FF1155CC"/>
        <sz val="12.0"/>
        <u/>
      </rPr>
      <t>https://simaslahat.bandungkab.go.id/login</t>
    </r>
  </si>
  <si>
    <t>Turiman</t>
  </si>
  <si>
    <r>
      <rPr>
        <rFont val="Calibri, sans-serif"/>
        <color rgb="FF1155CC"/>
        <sz val="12.0"/>
        <u/>
      </rPr>
      <t>e-sptpd.bandungkab.go.id</t>
    </r>
    <r>
      <rPr>
        <rFont val="Calibri, sans-serif"/>
        <color rgb="FF1155CC"/>
        <sz val="12.0"/>
        <u/>
      </rPr>
      <t>.</t>
    </r>
  </si>
  <si>
    <t>Diyan</t>
  </si>
  <si>
    <r>
      <rPr>
        <rFont val="Calibri, sans-serif"/>
        <color rgb="FF1155CC"/>
        <sz val="12.0"/>
        <u/>
      </rPr>
      <t>https://simasda.bandungkab.go.id/</t>
    </r>
  </si>
  <si>
    <r>
      <rPr>
        <rFont val="Calibri, sans-serif"/>
        <color rgb="FF1155CC"/>
        <sz val="12.0"/>
        <u/>
      </rPr>
      <t>https://sisrute.kemkes.go.id/</t>
    </r>
  </si>
  <si>
    <t>Riyanti</t>
  </si>
  <si>
    <r>
      <rPr>
        <rFont val="Calibri, sans-serif"/>
        <color rgb="FF1155CC"/>
        <sz val="12.0"/>
        <u/>
      </rPr>
      <t>https://coretaxdjp.pajak.go.id</t>
    </r>
  </si>
  <si>
    <r>
      <rPr>
        <rFont val="Calibri, sans-serif"/>
        <color rgb="FF1155CC"/>
        <sz val="12.0"/>
        <u/>
      </rPr>
      <t>https://sirekonpajak.bandungkab.go.id/</t>
    </r>
  </si>
  <si>
    <r>
      <rPr>
        <rFont val="Calibri, sans-serif"/>
        <color rgb="FF1155CC"/>
        <sz val="12.0"/>
        <u/>
      </rPr>
      <t>https://drive.google.com/drive/folders/1MppwIbicgeJnTSmBS08CzfVFAUOfmdja?usp=sharing</t>
    </r>
  </si>
  <si>
    <r>
      <rPr>
        <rFont val="Calibri, sans-serif"/>
        <color rgb="FF1155CC"/>
        <sz val="12.0"/>
        <u/>
      </rPr>
      <t>http://dkijabarbanten.sitb.id/</t>
    </r>
  </si>
  <si>
    <t>Triyani tungga</t>
  </si>
  <si>
    <r>
      <rPr>
        <rFont val="Calibri, sans-serif"/>
        <color rgb="FF1155CC"/>
        <sz val="12.0"/>
        <u/>
      </rPr>
      <t>simpelbkpsdm.bandungkab.go.id</t>
    </r>
  </si>
  <si>
    <r>
      <rPr>
        <rFont val="Calibri, sans-serif"/>
        <color rgb="FF1155CC"/>
        <sz val="12.0"/>
        <u/>
      </rPr>
      <t>sultan.banadungkab.go.id</t>
    </r>
  </si>
  <si>
    <r>
      <rPr>
        <rFont val="Calibri, sans-serif"/>
        <color rgb="FF1155CC"/>
        <sz val="12.0"/>
        <u/>
      </rPr>
      <t>sso.bandungkab.go.id</t>
    </r>
  </si>
  <si>
    <r>
      <rPr>
        <rFont val="Calibri, sans-serif"/>
        <color rgb="FF1155CC"/>
        <sz val="12.0"/>
        <u/>
      </rPr>
      <t>sisdmk.kemkes.go.id</t>
    </r>
  </si>
  <si>
    <r>
      <rPr>
        <rFont val="Calibri, sans-serif"/>
        <color rgb="FF1155CC"/>
        <sz val="12.0"/>
        <u/>
      </rPr>
      <t>sirs.kemkes.go.id</t>
    </r>
  </si>
  <si>
    <r>
      <rPr>
        <rFont val="Arial, sans-serif"/>
        <color rgb="FF1155CC"/>
        <u/>
      </rPr>
      <t>SIRS.KEMKES.GO.ID</t>
    </r>
  </si>
  <si>
    <r>
      <rPr>
        <rFont val="Calibri, sans-serif"/>
        <color rgb="FF1155CC"/>
        <sz val="12.0"/>
        <u/>
      </rPr>
      <t>https://e-lkpj.id/login</t>
    </r>
  </si>
  <si>
    <r>
      <rPr>
        <rFont val="Calibri, sans-serif"/>
        <color rgb="FF1155CC"/>
        <sz val="12.0"/>
        <u/>
      </rPr>
      <t>https://sidalmonep.bandungkab.go.id/app</t>
    </r>
  </si>
  <si>
    <r>
      <rPr>
        <rFont val="Calibri, sans-serif"/>
        <color rgb="FF1155CC"/>
        <sz val="12.0"/>
        <u/>
      </rPr>
      <t>https://skm.bandungkab.go.id/</t>
    </r>
  </si>
  <si>
    <t>Nuni</t>
  </si>
  <si>
    <r>
      <rPr>
        <rFont val="Calibri, sans-serif"/>
        <color rgb="FF1155CC"/>
        <sz val="12.0"/>
        <u/>
      </rPr>
      <t>https://sippn.menpan.go.id/</t>
    </r>
  </si>
  <si>
    <t>SP4N LAPOR</t>
  </si>
  <si>
    <r>
      <rPr>
        <rFont val="Calibri, sans-serif"/>
        <color rgb="FF1155CC"/>
        <sz val="12.0"/>
        <u/>
      </rPr>
      <t>https://www.lapor.go.id/</t>
    </r>
  </si>
  <si>
    <r>
      <rPr>
        <rFont val="Calibri, sans-serif"/>
        <color rgb="FF1155CC"/>
        <sz val="12.0"/>
        <u/>
      </rPr>
      <t>https://ppid.bandungkab.go.id/dashboard</t>
    </r>
  </si>
  <si>
    <r>
      <rPr>
        <rFont val="Arial, sans-serif"/>
        <color rgb="FF1155CC"/>
        <u/>
      </rPr>
      <t>https://mutufasyankes.kemkes.go.id/</t>
    </r>
  </si>
  <si>
    <r>
      <rPr>
        <rFont val="Arial, sans-serif"/>
        <color rgb="FF1155CC"/>
        <u/>
      </rPr>
      <t>:Health Facilities Information System (H.F.I.S):</t>
    </r>
  </si>
  <si>
    <t>Riya Barliyani</t>
  </si>
  <si>
    <r>
      <rPr>
        <rFont val="Calibri, sans-serif"/>
        <color rgb="FF1155CC"/>
        <sz val="12.0"/>
        <u/>
      </rPr>
      <t>https://aspak.kemkes.go.id/aplikasi/site/index</t>
    </r>
  </si>
  <si>
    <t>RSUD BEDAS KERTASARI</t>
  </si>
  <si>
    <t>bdskts</t>
  </si>
  <si>
    <r>
      <rPr>
        <rFont val="Calibri, sans-serif"/>
        <color rgb="FF1155CC"/>
        <sz val="12.0"/>
        <u/>
      </rPr>
      <t>bdskts.id</t>
    </r>
  </si>
  <si>
    <t>Cepi firmansyah</t>
  </si>
  <si>
    <r>
      <rPr>
        <rFont val="Calibri, sans-serif"/>
        <color rgb="FF1155CC"/>
        <sz val="12.0"/>
        <u/>
      </rPr>
      <t>https://simgajiweb.taspen.co.id/</t>
    </r>
  </si>
  <si>
    <t>Reki kirana</t>
  </si>
  <si>
    <r>
      <rPr>
        <rFont val="Calibri, sans-serif"/>
        <color rgb="FF1155CC"/>
        <sz val="12.0"/>
        <u/>
      </rPr>
      <t>https://e-retribusi.bandungkab.go.id/</t>
    </r>
  </si>
  <si>
    <t>Tati</t>
  </si>
  <si>
    <r>
      <rPr>
        <rFont val="Calibri, sans-serif"/>
        <color rgb="FF1155CC"/>
        <sz val="12.0"/>
        <u/>
      </rPr>
      <t>https://sipd.kemendagri.go.id/</t>
    </r>
  </si>
  <si>
    <t>Caca</t>
  </si>
  <si>
    <r>
      <rPr>
        <rFont val="Calibri, sans-serif"/>
        <color rgb="FF1155CC"/>
        <sz val="12.0"/>
        <u/>
      </rPr>
      <t>https://sirup.inaproc.id/sirup/loginctr/index</t>
    </r>
  </si>
  <si>
    <t>Wahyu wahidin</t>
  </si>
  <si>
    <r>
      <rPr>
        <rFont val="Calibri, sans-serif"/>
        <color rgb="FF1155CC"/>
        <sz val="12.0"/>
        <u/>
      </rPr>
      <t>https://simaslahat.bandungkab.go.id/login</t>
    </r>
  </si>
  <si>
    <r>
      <rPr>
        <rFont val="Calibri, sans-serif"/>
        <color rgb="FF1155CC"/>
        <sz val="12.0"/>
        <u/>
      </rPr>
      <t>e-sptpd.bandungkab.go.id</t>
    </r>
    <r>
      <rPr>
        <rFont val="Calibri, sans-serif"/>
        <color rgb="FF1155CC"/>
        <sz val="12.0"/>
        <u/>
      </rPr>
      <t>.</t>
    </r>
  </si>
  <si>
    <r>
      <rPr>
        <rFont val="Calibri, sans-serif"/>
        <color rgb="FF1155CC"/>
        <sz val="12.0"/>
        <u/>
      </rPr>
      <t>https://simasda.bandungkab.go.id/</t>
    </r>
  </si>
  <si>
    <t>Husni hanafi</t>
  </si>
  <si>
    <r>
      <rPr>
        <rFont val="Calibri, sans-serif"/>
        <color rgb="FF1155CC"/>
        <sz val="12.0"/>
        <u/>
      </rPr>
      <t>https://sisrute.kemkes.go.id/</t>
    </r>
  </si>
  <si>
    <t>erlina ratna</t>
  </si>
  <si>
    <r>
      <rPr>
        <rFont val="Calibri, sans-serif"/>
        <color rgb="FF1155CC"/>
        <sz val="12.0"/>
        <u/>
      </rPr>
      <t>https://coretaxdjp.pajak.go.id</t>
    </r>
  </si>
  <si>
    <r>
      <rPr>
        <rFont val="Calibri, sans-serif"/>
        <color rgb="FF1155CC"/>
        <sz val="12.0"/>
        <u/>
      </rPr>
      <t>https://sirekonpajak.bandungkab.go.id/</t>
    </r>
  </si>
  <si>
    <r>
      <rPr>
        <rFont val="Calibri, sans-serif"/>
        <color rgb="FF1155CC"/>
        <sz val="12.0"/>
        <u/>
      </rPr>
      <t>https://drive.google.com/drive/folders/1MppwIbicgeJnTSmBS08CzfVFAUOfmdja?usp=sharing</t>
    </r>
  </si>
  <si>
    <r>
      <rPr>
        <rFont val="Calibri, sans-serif"/>
        <color rgb="FF1155CC"/>
        <sz val="12.0"/>
        <u/>
      </rPr>
      <t>http://dkijabarbanten.sitb.id/</t>
    </r>
  </si>
  <si>
    <t>Iqbal</t>
  </si>
  <si>
    <r>
      <rPr>
        <rFont val="Calibri, sans-serif"/>
        <color rgb="FF1155CC"/>
        <sz val="12.0"/>
        <u/>
      </rPr>
      <t>simpelbkpsdm.bandungkab.go.id</t>
    </r>
  </si>
  <si>
    <r>
      <rPr>
        <rFont val="Calibri, sans-serif"/>
        <color rgb="FF1155CC"/>
        <sz val="12.0"/>
        <u/>
      </rPr>
      <t>sultan.banadungkab.go.id</t>
    </r>
  </si>
  <si>
    <r>
      <rPr>
        <rFont val="Calibri, sans-serif"/>
        <color rgb="FF1155CC"/>
        <sz val="12.0"/>
        <u/>
      </rPr>
      <t>sso.bandungkab.go.id</t>
    </r>
  </si>
  <si>
    <t>sistem informasi database tenaga kesehatan, ketersediaan fasilitas rumah sakit</t>
  </si>
  <si>
    <r>
      <rPr>
        <rFont val="Calibri, sans-serif"/>
        <color rgb="FF1155CC"/>
        <sz val="12.0"/>
        <u/>
      </rPr>
      <t>sisdmk.kemkes.go.id</t>
    </r>
  </si>
  <si>
    <t>Raca Abdul</t>
  </si>
  <si>
    <r>
      <rPr>
        <rFont val="Calibri, sans-serif"/>
        <color rgb="FF1155CC"/>
        <sz val="12.0"/>
        <u/>
      </rPr>
      <t>sirs.kemkes.go.id</t>
    </r>
  </si>
  <si>
    <r>
      <rPr>
        <rFont val="Arial, sans-serif"/>
        <color rgb="FF1155CC"/>
        <u/>
      </rPr>
      <t>SIRS.KEMKES.GO.ID</t>
    </r>
  </si>
  <si>
    <r>
      <rPr>
        <rFont val="Calibri, sans-serif"/>
        <color rgb="FF1155CC"/>
        <sz val="12.0"/>
        <u/>
      </rPr>
      <t>https://e-lkpj.id/login</t>
    </r>
  </si>
  <si>
    <r>
      <rPr>
        <rFont val="Calibri, sans-serif"/>
        <color rgb="FF1155CC"/>
        <sz val="12.0"/>
        <u/>
      </rPr>
      <t>https://sidalmonep.bandungkab.go.id/app</t>
    </r>
  </si>
  <si>
    <t>e-skm</t>
  </si>
  <si>
    <r>
      <rPr>
        <rFont val="Calibri, sans-serif"/>
        <color rgb="FF1155CC"/>
        <sz val="12.0"/>
        <u/>
      </rPr>
      <t>https://skm.bandungkab.go.id/</t>
    </r>
  </si>
  <si>
    <r>
      <rPr>
        <rFont val="Calibri, sans-serif"/>
        <color rgb="FF1155CC"/>
        <sz val="12.0"/>
        <u/>
      </rPr>
      <t>https://www.lapor.go.id/</t>
    </r>
  </si>
  <si>
    <r>
      <rPr>
        <rFont val="Calibri, sans-serif"/>
        <color rgb="FF1155CC"/>
        <sz val="12.0"/>
        <u/>
      </rPr>
      <t>https://ppid.bandungkab.go.id/dashboard</t>
    </r>
  </si>
  <si>
    <r>
      <rPr>
        <rFont val="Arial, sans-serif"/>
        <color rgb="FF1155CC"/>
        <u/>
      </rPr>
      <t>https://mutufasyankes.kemkes.go.id/</t>
    </r>
  </si>
  <si>
    <r>
      <rPr>
        <rFont val="Arial, sans-serif"/>
        <color rgb="FF1155CC"/>
        <u/>
      </rPr>
      <t>:Health Facilities Information System (H.F.I.S):</t>
    </r>
  </si>
  <si>
    <r>
      <rPr>
        <rFont val="Calibri, sans-serif"/>
        <color rgb="FF1155CC"/>
        <sz val="12.0"/>
        <u/>
      </rPr>
      <t>https://aspak.kemkes.go.id/aplikasi/site/index</t>
    </r>
  </si>
  <si>
    <t>RSUD BEDAS ARJASARI</t>
  </si>
  <si>
    <t>Sasikap EVO</t>
  </si>
  <si>
    <r>
      <rPr>
        <rFont val="Calibri, sans-serif"/>
        <color rgb="FF1155CC"/>
        <sz val="12.0"/>
        <u/>
      </rPr>
      <t>sasikapevo.com</t>
    </r>
  </si>
  <si>
    <t>Layanan Daftar Hadir elekto</t>
  </si>
  <si>
    <t>Untuk memudahkan pencatatan dan pengelolaan kehadiran secara digital sehingga lebih cepat, akurat, serta meningkatkan disiplin dan pengawasan terhadap kehadiran pegawai.</t>
  </si>
  <si>
    <t>Peraturan Bupati Bandung Nomor 108 Tahun 2019</t>
  </si>
  <si>
    <t>Data Pegawai</t>
  </si>
  <si>
    <t>Rekapan Daftar Hadir elektronik</t>
  </si>
  <si>
    <r>
      <rPr>
        <rFont val="Calibri, sans-serif"/>
        <color rgb="FF1155CC"/>
        <sz val="12.0"/>
        <u/>
      </rPr>
      <t>https://e-absensi.bandungkab.go.id/login</t>
    </r>
  </si>
  <si>
    <t>terhubung dengan portal SSO (Single Sign-On) milik Pemkab Bandung</t>
  </si>
  <si>
    <t>SAEPUL HAROM, SKM., M.K.P. Rikeu kamelia</t>
  </si>
  <si>
    <t>0877-2535-4094</t>
  </si>
  <si>
    <t>rsudbedasarjasari@gmail.com</t>
  </si>
  <si>
    <t>Mutufasyankes</t>
  </si>
  <si>
    <t>layanan untuk melaporkan data INM ke kemenkes</t>
  </si>
  <si>
    <t>Permenkes no 30 tahun 2022</t>
  </si>
  <si>
    <t>dat INM</t>
  </si>
  <si>
    <t>capaian INM</t>
  </si>
  <si>
    <t>mutufasyankes</t>
  </si>
  <si>
    <t>Wina Garlina</t>
  </si>
  <si>
    <t>mutursba@gmail.com</t>
  </si>
  <si>
    <t>Sistem Informasi Rawat Inap</t>
  </si>
  <si>
    <t>Layanan informasi ketersediaan tempat tidur rawat inap kepada masyarakat</t>
  </si>
  <si>
    <t>Permenkes No. 82 Tahun 2013 tentang Sistem Informasi Manajemen Rumah Sakit</t>
  </si>
  <si>
    <t>Data ketersediaan tempat tidur rawat inap</t>
  </si>
  <si>
    <t>Data ketersediaan tempat tidur rawat inap di RSUD Bedas Arjasari</t>
  </si>
  <si>
    <t>siranap</t>
  </si>
  <si>
    <r>
      <rPr>
        <rFont val="Arial, sans-serif"/>
        <color rgb="FF1155CC"/>
        <u/>
      </rPr>
      <t>SIRANAP</t>
    </r>
  </si>
  <si>
    <t>Instalasi Rekam Medis</t>
  </si>
  <si>
    <t>Susi Lelawanti</t>
  </si>
  <si>
    <t>MPDN</t>
  </si>
  <si>
    <t>laporan kelahiran, kematian ibu dan bayi</t>
  </si>
  <si>
    <t>UU No 36 Tahun 2009 tentang Kesehatan dan Peraturan Bersama Menkes dan Mendagri No 15 Tahun 2010/No 162/Menkes/PB/2010 tentang Pelaporan kematian dan penyebab Kematian ibu dan bayi</t>
  </si>
  <si>
    <t>angka kelahiran, angka kematian ibu dan bayi</t>
  </si>
  <si>
    <t>mpdn</t>
  </si>
  <si>
    <t>PONEK,VK,PERINATOLOGI</t>
  </si>
  <si>
    <t>Bd. Lastiar dan Yusi</t>
  </si>
  <si>
    <t>081322030083 085315705418</t>
  </si>
  <si>
    <t>RS Online, Registrasi Fasyankes, Sistem Informasi Rumah Sakit, dan KRIS</t>
  </si>
  <si>
    <t>Melaporkan data rekapitulasi kegiatan pelayanan dan data kompilasi penyakit/morbiditas. Pasien IGD, rawat inap, dan rawat jalan secara periodik, baik bulanan maupun tahunan;</t>
  </si>
  <si>
    <t>Peraturan Menteri Kesehatan Nomor 1171 Tahun 2011 tentang Sistem Informasi Rumah Sakit (SIRS)</t>
  </si>
  <si>
    <r>
      <rPr>
        <rFont val="Calibri, sans-serif"/>
        <color rgb="FF1155CC"/>
        <sz val="12.0"/>
        <u/>
      </rPr>
      <t>https://drive.google.com/drive/u/1/folders/12dUcuD3FJiM5lhmxZqNrZc05M-qKTqaU</t>
    </r>
  </si>
  <si>
    <t>RL.3-RL.5;
 Kompetensi RS; Update Bed, dll</t>
  </si>
  <si>
    <t>Output data pelaporan data Rumah Sakit ke Kemenkes</t>
  </si>
  <si>
    <t>yankes</t>
  </si>
  <si>
    <r>
      <rPr>
        <rFont val="Calibri, sans-serif"/>
        <color rgb="FF1155CC"/>
        <sz val="11.0"/>
        <u/>
      </rPr>
      <t>Yankes Single SIGN-ON</t>
    </r>
  </si>
  <si>
    <t>ASPAK, SISDMK, SIRANAP, SISRUTE, dll</t>
  </si>
  <si>
    <t>Gesi Rahman
 Ghina Najla</t>
  </si>
  <si>
    <t>08112199575
 085624585808</t>
  </si>
  <si>
    <t>UJI PROFISIENSI</t>
  </si>
  <si>
    <t>Pendaftaran, penginputan hasil dan sertifikat uji PME</t>
  </si>
  <si>
    <t>KEPUTUSAN DIREKTUR JENDERAL PELAYANAN KESEHATAN NOMOR HK.02.02/D/47104/2024 tentang V</t>
  </si>
  <si>
    <t>Hasil Pemeriksaan Laboratorium</t>
  </si>
  <si>
    <t>Sertifikat UJI PME</t>
  </si>
  <si>
    <t>ujiprof</t>
  </si>
  <si>
    <r>
      <rPr>
        <rFont val="Calibri, sans-serif"/>
        <color rgb="FF1155CC"/>
        <sz val="12.0"/>
        <u/>
      </rPr>
      <t>https://ujiprof.labkesjabar.com/</t>
    </r>
  </si>
  <si>
    <t>Laboratorium</t>
  </si>
  <si>
    <t>Siti Juwita</t>
  </si>
  <si>
    <t>laboratoriumbedasarjasari@gmail.com</t>
  </si>
  <si>
    <t>BPS - Kegiatan Statistik (Romantik)</t>
  </si>
  <si>
    <t>Penyelenggaraan Statistik Sektoral</t>
  </si>
  <si>
    <t>Peraturan Presiden No.39 Tahun 2019 tentang Satu Data Indonesia;
 Peraturan Bupati No.82 Tahun 2019 Tata Kelola Satu Data</t>
  </si>
  <si>
    <r>
      <rPr>
        <rFont val="Calibri, sans-serif"/>
        <color rgb="FF1155CC"/>
        <sz val="11.0"/>
        <u/>
      </rPr>
      <t>https://drive.google.com/drive/folders/1msJHh9jrvyH7j0q1rPu11WaF49MEVukW</t>
    </r>
  </si>
  <si>
    <t>Kegiatan Statistik Rumah Sakit</t>
  </si>
  <si>
    <t>Data Statistik Rumah Sakit</t>
  </si>
  <si>
    <r>
      <rPr>
        <rFont val="Calibri, sans-serif"/>
        <color rgb="FF1155CC"/>
        <sz val="11.0"/>
        <u/>
      </rPr>
      <t>https://romantik.web.bps.go.id/</t>
    </r>
  </si>
  <si>
    <t>IT/ Instalasi SIMRS</t>
  </si>
  <si>
    <t>Muhammad Yassin, S.Kom</t>
  </si>
  <si>
    <t>SDMK</t>
  </si>
  <si>
    <t>Dashboard Keadaan SDMK RS, Dashboard Monitoring Validasi SDMK, Feedback data, Laporan , Validasi SIP SDMK, dan Data SDMK</t>
  </si>
  <si>
    <t>Peraturan Menteri Kesehatan Nomor 13 Tahun 2025 tentang Pengelolaan Sumber Daya Manusia Kesehatan: Peraturan ini (berlaku per November 2025), Surat Edaran SE No. HK.02.01-MENKES-6-2024 tentang Perizinan Bagi Tenaga Medis dan Tenaga Kesehatan: Mengatur bahwa proses Surat Izin Praktik (SIP) terintegrasi dengan data di SISDMK/SATUSEHAT SDMK</t>
  </si>
  <si>
    <t>identitas, Pendidikan,Pekerjaan, STR, dan SIP</t>
  </si>
  <si>
    <t>rekapan dan validasi</t>
  </si>
  <si>
    <r>
      <rPr>
        <rFont val="Calibri, sans-serif"/>
        <color rgb="FF1155CC"/>
        <sz val="12.0"/>
        <u/>
      </rPr>
      <t>https://sisdmk.kemkes.go.id/satusehat/verifikasi_pekerja</t>
    </r>
  </si>
  <si>
    <t>RS online dan Satu sehat, Regfasyankes</t>
  </si>
  <si>
    <t>Kepegaawaian dan tata usaha rsud</t>
  </si>
  <si>
    <t>Bawuk endah, SST,. Bdn</t>
  </si>
  <si>
    <t>bawukendah@gmail.com</t>
  </si>
  <si>
    <t>Dashboard Pemantauan aliran Data Satu sehat</t>
  </si>
  <si>
    <t>Pemantauan aliran data satu sehat</t>
  </si>
  <si>
    <r>
      <rPr>
        <rFont val="Arial, sans-serif"/>
        <color rgb="FF1155CC"/>
        <sz val="12.0"/>
        <u/>
      </rPr>
      <t>UU No. 17 Tahun 2023 tentang Kesehatan</t>
    </r>
    <r>
      <rPr>
        <rFont val="&quot;Google Sans&quot;"/>
        <color rgb="FF1155CC"/>
        <sz val="12.0"/>
        <u/>
      </rPr>
      <t xml:space="preserve"> (pengelolaan data nasional) dan </t>
    </r>
    <r>
      <rPr>
        <rFont val="Arial, sans-serif"/>
        <color rgb="FF1155CC"/>
        <sz val="12.0"/>
        <u/>
      </rPr>
      <t>UU No. 27 Tahun 2022 tentang Pelindungan Data Pribadi</t>
    </r>
    <r>
      <rPr>
        <rFont val="&quot;Google Sans&quot;"/>
        <color rgb="FF1155CC"/>
        <sz val="12.0"/>
        <u/>
      </rPr>
      <t xml:space="preserve"> (dasar pemrosesan data)</t>
    </r>
  </si>
  <si>
    <r>
      <rPr>
        <rFont val="Calibri, sans-serif"/>
        <color rgb="FF1155CC"/>
        <sz val="12.0"/>
        <u/>
      </rPr>
      <t>https://drive.google.com/drive/u/1/folders/1BMJeHVe0f6zjx97q_TOFnGkZBTxNZTBd</t>
    </r>
  </si>
  <si>
    <t>Encounter - Aliran Data Satu Sehat</t>
  </si>
  <si>
    <t>Persentase - Aliran Data Satu Sehat</t>
  </si>
  <si>
    <t>SIMRS arjasari</t>
  </si>
  <si>
    <r>
      <rPr>
        <rFont val="Arial, sans-serif"/>
        <color rgb="FF1155CC"/>
        <u/>
      </rPr>
      <t>Workbook: Dashboard Pemantauan Aliran Data SATUSEHAT</t>
    </r>
  </si>
  <si>
    <t>SIMRS</t>
  </si>
  <si>
    <t>Instalasi Rekam Medis dan Instalasi SIMRS</t>
  </si>
  <si>
    <t>Gesi Rahman
 Anjar Surachman</t>
  </si>
  <si>
    <t>08112199575
 087743579775</t>
  </si>
  <si>
    <r>
      <rPr>
        <rFont val="Calibri, sans-serif"/>
        <color rgb="FF1155CC"/>
        <sz val="12.0"/>
        <u/>
      </rPr>
      <t xml:space="preserve">sistem informasi berbasis web dari </t>
    </r>
    <r>
      <rPr>
        <rFont val="Calibri, sans-serif"/>
        <color rgb="FF1155CC"/>
        <sz val="12.0"/>
        <u/>
      </rPr>
      <t>Kementerian Kesehatan</t>
    </r>
    <r>
      <rPr>
        <rFont val="Calibri, sans-serif"/>
        <color rgb="FF1155CC"/>
        <sz val="12.0"/>
        <u/>
      </rPr>
      <t xml:space="preserve"> untuk menghimpun data sarana, prasarana, dan alat kesehatan (SPA) di fasyankes</t>
    </r>
  </si>
  <si>
    <r>
      <rPr>
        <rFont val="Calibri, sans-serif"/>
        <color rgb="FF1155CC"/>
        <sz val="12.0"/>
        <u/>
      </rPr>
      <t>https://aspak.kemkes.go.id/aplikasi/site/index</t>
    </r>
  </si>
  <si>
    <t>octaviantimiharjasonia@gmail.com</t>
  </si>
  <si>
    <t>SIMDA-BMD (Sistem Informasi Manajemen Daerah - Barang Milik Daerah) adalah aplikasi berbasis komputer yang dikembangkan oleh BPKP untuk membantu pemerintah daerah mengelola aset secara efisien dan transparan</t>
  </si>
  <si>
    <r>
      <rPr>
        <rFont val="Calibri, sans-serif"/>
        <b/>
        <color rgb="FF1155CC"/>
        <sz val="12.0"/>
        <u/>
      </rPr>
      <t>Permendagri No. 47 Tahun 2021</t>
    </r>
    <r>
      <rPr>
        <rFont val="Calibri, sans-serif"/>
        <b/>
        <color rgb="FF1155CC"/>
        <sz val="12.0"/>
        <u/>
      </rPr>
      <t xml:space="preserve"> tentang Tata Cara Pelaksanaan Pembukuan, Inventarisasi, dan Pelaporan Barang Milik Daerah</t>
    </r>
  </si>
  <si>
    <t>Meningkatkan transparansi, akurasi data, dan efisiensi pengelolaan aset daerah</t>
  </si>
  <si>
    <t>Permendagri Nomor 47 Tahun 2021 tentang cara pelaksanaan pembukuan, inventarisasi, dan pelaporan BMD</t>
  </si>
  <si>
    <t>penginputan saldo awal, pengadaan (APBD/BOS), penyaluran, kartu barang, dan pelaporan</t>
  </si>
  <si>
    <r>
      <rPr>
        <rFont val="Calibri, sans-serif"/>
        <color rgb="FF1155CC"/>
        <sz val="12.0"/>
        <u/>
      </rPr>
      <t>https://persediaanbmd.bandungkab.go.id/#/</t>
    </r>
  </si>
  <si>
    <r>
      <rPr>
        <rFont val="Calibri, sans-serif"/>
        <color rgb="FF1155CC"/>
        <sz val="12.0"/>
        <u/>
      </rPr>
      <t>https://rkbmd.e-planningbmd.id/</t>
    </r>
  </si>
  <si>
    <t>SI-MASDA Adalah Website Online yang menyajikan kumpulan data statistik sektoral yang dihasilkan dari aktifitas pengumpulan data yang dikelola di Perangkat Daerah (PD) dan diproses melalui pengolahan data di Bidang Statistik Diskominfo untuk disajikan menjadi produk analisis data Statistik Sektoral yang diupload kedalam Website SI-MASDA untuk dipublikasi dan disajikan kepada pengunjung Website dan pengguna lainnya yang membutuhkan data tersebut</t>
  </si>
  <si>
    <t>Pengelolaan data didukung oleh regulasi turunan, termasuk Peraturan Kepala BPS No. 9 Tahun 2009 tentang Penyelenggaraan Statistik Sektoral oleh Pemerintah Daerah, yang mengatur perolehan data melalui survei, kompilasi produk administrasi, dan cara lain</t>
  </si>
  <si>
    <r>
      <rPr>
        <rFont val="Calibri, sans-serif"/>
        <color rgb="FF1155CC"/>
        <sz val="12.0"/>
        <u/>
      </rPr>
      <t>https://simasda.bandungkab.go.id/login</t>
    </r>
  </si>
  <si>
    <t>Anjar Suarchman</t>
  </si>
  <si>
    <t>SISRUTE (Sistem Rujukan Terintegrasi) adalah aplikasi berbasis internet dari Kementerian Kesehatan yang menghubungkan fasilitas pelayanan kesehatan (Puskesmas ke RS, atau antar-RS) secara digital. Tujuannya mempermudah, mempercepat rujukan, dan memastikan ketersediaan tempat tidur/kompetensi dokter di faskes tujuan, guna meningkatkan keselamatan pasien.</t>
  </si>
  <si>
    <r>
      <rPr>
        <rFont val="Arial, sans-serif"/>
        <color rgb="FF1155CC"/>
        <sz val="12.0"/>
        <u/>
      </rPr>
      <t>Permenkes No. 16 Tahun 2024</t>
    </r>
    <r>
      <rPr>
        <rFont val="&quot;Google Sans&quot;"/>
        <color rgb="FF1155CC"/>
        <sz val="12.0"/>
        <u/>
      </rPr>
      <t xml:space="preserve"> tentang Sistem Rujukan Pelayanan Kesehatan Perorangan dan </t>
    </r>
    <r>
      <rPr>
        <rFont val="Arial, sans-serif"/>
        <color rgb="FF1155CC"/>
        <sz val="12.0"/>
        <u/>
      </rPr>
      <t>SE Dirjen Yankes Nomor HK.02.02/I/1161/2022</t>
    </r>
    <r>
      <rPr>
        <rFont val="&quot;Google Sans&quot;"/>
        <color rgb="FF1155CC"/>
        <sz val="12.0"/>
        <u/>
      </rPr>
      <t xml:space="preserve"> ya</t>
    </r>
    <r>
      <rPr>
        <rFont val="&quot;Google Sans&quot;"/>
        <color rgb="FF1155CC"/>
        <sz val="12.0"/>
        <u/>
      </rPr>
      <t>ng mewajibkan fasyankes menggunakan aplikasi ini untuk mempercepat rujukan.</t>
    </r>
  </si>
  <si>
    <t>Data Pasien yang dirujuk Via aplikasi sisrute</t>
  </si>
  <si>
    <t>Jumlah, Data Pasien yang dirujuk Via aplikasi sisrute</t>
  </si>
  <si>
    <r>
      <rPr>
        <rFont val="Arial, sans-serif"/>
        <color rgb="FF1155CC"/>
        <u/>
      </rPr>
      <t>SISRUTE Nas - Sistem Informasi Rujukan Terintegrasi Nasional</t>
    </r>
  </si>
  <si>
    <t>dr. Ari Kurniawan</t>
  </si>
  <si>
    <t>igdrsba2024@gmail.com</t>
  </si>
  <si>
    <t>DMI</t>
  </si>
  <si>
    <t>Digital Maturity Index (DMI) Kemenkes adalah instrumen pengukuran mandiri untuk mengevaluasi tingkat kematangan digital dan kesiapan Rekam Medis Elektronik (RME) di fasilitas kesehatan (rumah sakit, puskesmas, klinik). DMI menilai 7 komponen (infrastruktur, tata kelola, keamanan, dll) dengan skala 0-5 untuk merencanakan transformasi digital yang efektif dan terintegrasi.</t>
  </si>
  <si>
    <t>Peraturan Menteri Kesehatan Nomor 24 Tahun 2022 tentang Rekam Medis</t>
  </si>
  <si>
    <t>Sistem Informasi, tata kelola, Infrastruktur TIK, standar interoperabilitas, SDM, Data Analitik, dan kemanan Informasi</t>
  </si>
  <si>
    <t>Penilaian menggunakan skala 0 hingga 5 (untuk DMI) dan 0 hingga 7 (khusus RME).</t>
  </si>
  <si>
    <r>
      <rPr>
        <rFont val="Arial, sans-serif"/>
        <color rgb="FF1155CC"/>
        <u/>
      </rPr>
      <t>https://dmi.kemkes.go.id/dhis-web-commons/security/login.action</t>
    </r>
  </si>
  <si>
    <t>Anjar Surachman</t>
  </si>
  <si>
    <t>Survey Kepuasaan Masyarakat</t>
  </si>
  <si>
    <t>Surat Dari Deputi Bidang pelayanan Publik Kementrian Pendayagunan aparatur negara dan reformasi birokrasi Republik Indonesia No. B/39/PP.00.01/2026 Hal pendampingan kebijakan pelayanan publik Lingkup pulau Jawa</t>
  </si>
  <si>
    <t>Survey Kepuasan</t>
  </si>
  <si>
    <t>Indeks Kepuasan Masyarakat</t>
  </si>
  <si>
    <r>
      <rPr>
        <rFont val="Calibri, sans-serif"/>
        <color rgb="FF1155CC"/>
        <sz val="12.0"/>
        <u/>
      </rPr>
      <t>https://skm.bandungkab.go.id/eskm/22978</t>
    </r>
  </si>
  <si>
    <t>Diskominfo dan SETDA</t>
  </si>
  <si>
    <t>Lastiar Kristina,S.Keb.,Bdn</t>
  </si>
  <si>
    <t>Aplikasi SIPNAP berfungsi sebagai sistem pelaporan elektronik yang membantu fasilitas kesehatan melaporkan penggunaan narkotika dan psikotropika secara rutin kepada Kementerian Kesehatan, sekaligus menjadi alat pengawasan untuk mencegah penyalahgunaan obat tersebut.</t>
  </si>
  <si>
    <t>UU No. 35 Tahun 2009 tentang Narkotika: Mewajibkan fasilitas pelayanan kefarmasianUU No. 5 Tahun 1997 tentang Psikotropika: Mewajibkan pelaporan penggunaan psikotropika. Permenkes No. 5 Tahun 2023 tentang Narkotika, Psikotropika, dan Prekursor: Mengatur tentang kewajiban pelaporanPermenkes No. 72 Tahun 2016 tentang Standar Pelayanan Kefarmasian di Rumah Sakit.</t>
  </si>
  <si>
    <t>Data Identitas Fasilitas Kesehatan,Data Obat Narkotika Psikotropika,Data Pengelolaan Obat</t>
  </si>
  <si>
    <t>Laporan Pemakaian Narkotika dan psikotropika,Laporan Stok Obat,Rekapitulasi Pelapotran bulanan</t>
  </si>
  <si>
    <r>
      <rPr>
        <rFont val="&quot;Google Sans&quot;"/>
        <color rgb="FF1155CC"/>
        <sz val="12.0"/>
        <u/>
      </rPr>
      <t xml:space="preserve">: </t>
    </r>
    <r>
      <rPr>
        <rFont val="&quot;Google Sans&quot;"/>
        <sz val="12.0"/>
      </rPr>
      <t>https://sipnap.kemkes.go.id/</t>
    </r>
  </si>
  <si>
    <t>Komariah S,Si&lt;Apt</t>
  </si>
  <si>
    <t>ummifatifa@gmail.com</t>
  </si>
  <si>
    <t>Balis Perijinan / BAPETEN</t>
  </si>
  <si>
    <t>Aplikasi untuk mengurus erijinan Alat-alat Radiologi dengan sumber radiasi pengion ke BAPETEN</t>
  </si>
  <si>
    <t>Peraturan Badan Pengawas Tenaga Nuklir Nomor 4 Tahun 2024 tentang Izin Bekerja Petugas pada Fasilitas Radiasi dan/atau Kegiatan Pemanfaatan Sumber Radiasi Pengion</t>
  </si>
  <si>
    <t>Data-data persyaratan perijinan alat dengan sumber radiasi pengion</t>
  </si>
  <si>
    <t>Sertifikat ijin alat oleh BAPETEN</t>
  </si>
  <si>
    <t>BALIS BAPETEN</t>
  </si>
  <si>
    <r>
      <rPr>
        <rFont val="Inter"/>
        <color rgb="FF1155CC"/>
        <u/>
      </rPr>
      <t>https://balis.bapeten.go.id/frontend2/public/panel/dashboard</t>
    </r>
  </si>
  <si>
    <t>Ari Nurhayati, AMR</t>
  </si>
  <si>
    <t>radiologirsba01@gmail.com</t>
  </si>
  <si>
    <t>SITB</t>
  </si>
  <si>
    <t>SITB (Sistem Informasi Tuberkulosis) adalah platform digital terintegrasi milik Kementerian Kesehatan RI untuk pencatatan dan pelaporan kasus TBC secara real-time. Tujuannya adalah mempercepat eliminasi TBC 2030, mendeteksi dini kasus, serta meningkatkan akurasi data pengobatan dan logistik TBC dari fasilitas kesehatan di seluruh Indonesia.</t>
  </si>
  <si>
    <t>Peraturan Presiden Nomor 67 Tahun 2021 tentang Penanggulangan Tuberkulosis</t>
  </si>
  <si>
    <t>Data pasien tuberkulosis</t>
  </si>
  <si>
    <t>jumlah, data pasien tuberkulosis</t>
  </si>
  <si>
    <r>
      <rPr>
        <rFont val="Calibri, sans-serif"/>
        <color rgb="FF1155CC"/>
        <sz val="12.0"/>
        <u/>
      </rPr>
      <t>https://dkijabarbanten.sitb.id/sitb2024/app</t>
    </r>
  </si>
  <si>
    <t>hesty asdiana, A.Md.Kep</t>
  </si>
  <si>
    <t>hestyasdiana@gmail.com</t>
  </si>
  <si>
    <t>SIPD (Sistem Informasi Pemerintahan Daerah) adalah platform digital dari Kemendagri yang berfungsi untuk mengintegrasikan perencanaan, penganggaran, pelaksanaan, hingga pelaporan keuangan daerah dalam satu basis data tunggal. SIPD bertujuan menciptakan tata kelola pemerintahan yang akuntabel, transparan, dan efisien, serta mempermudah pengawasan.</t>
  </si>
  <si>
    <t>Dasar hukum utama Sistem Informasi Pemerintahan Daerah (SIPD) adalah Peraturan Menteri Dalam Negeri Nomor 70 Tahun 2019 tentang Sistem Informasi Pemerintahan Daerah. SIPD diwajibkan sebagai sistem terintegrasi untuk perencanaan, penganggaran, pelaksanaan, dan pelaporan keuangan daerah berdasarkan UU No. 23 Tahun 2014.</t>
  </si>
  <si>
    <t>Perencanaan,penganggaran,pelaksanaan,pelaporan</t>
  </si>
  <si>
    <r>
      <rPr>
        <rFont val="Calibri, sans-serif"/>
        <color rgb="FF1155CC"/>
        <sz val="12.0"/>
        <u/>
      </rPr>
      <t>sipd.ri.id</t>
    </r>
  </si>
  <si>
    <t>bag tata usaha</t>
  </si>
  <si>
    <t>SAEPUL HAROM, SKM., M.K.P.</t>
  </si>
  <si>
    <t>E MESO</t>
  </si>
  <si>
    <t>Layanan e-MESO bertujuan untuk melaporkan dan memantau efek samping obat secara nasional sehingga dapat meningkatkan keamanan penggunaan obat dan keselamatan pasien melalui sistem pelaporan elektronik.</t>
  </si>
  <si>
    <t>Undang undang no 17 Tahun 2023 tentang Kesehatan,Peraturan BPOM No. 15 Tahun 2022 tentang Penerapan Farmakovigilans,Keputusan Kepala BPOM Tahun 2024 tentang Pusat Farmakovigilans/MESO Nasional</t>
  </si>
  <si>
    <t>Data Pasien,Data Obat yang diduga menyebabkan efeksamping,Data efek samping obat,Tindakan yang dilakukan ,Data pelapor</t>
  </si>
  <si>
    <t>laporan efek samping obat, rekap laporan nasional, serta analisis keamanan obat untuk mendukung kebijakan pengawasan obat.</t>
  </si>
  <si>
    <t>E-MESO</t>
  </si>
  <si>
    <r>
      <rPr>
        <rFont val="&quot;Google Sans&quot;"/>
        <b/>
        <color rgb="FF1155CC"/>
        <sz val="9.0"/>
        <u/>
      </rPr>
      <t>https://e-meso.pom.go.id/ADR</t>
    </r>
  </si>
  <si>
    <t>Komariah S,Si,Apt</t>
  </si>
  <si>
    <t>kobotoolbox</t>
  </si>
  <si>
    <t>kobotoolbox bertujuan untuk memudahkan pencatatan dan pelaporan timbulan Limbah medis</t>
  </si>
  <si>
    <t>Permenkes No.7 Tahun 2019 Tentang Kesehatan Lingkungan Rumah Sakit, Permenkes No.2 Tahun 2023 Tentang Peraturan Pelaksanaan PP No.66 Tahun 2014 tentang Kesehatan Lingkungan, Peraturan Menteri Lingkungan Hidup No.56 Tahun 2015 tentang Tata Cara dan Persyaratan Teknis Pengelolaan Limbah B3 dari Fasyankes</t>
  </si>
  <si>
    <t>Data penimbangan limbah medis,jumlah petugas kebersihan,jumlah kunjungan pasien pd bl itu,sarana dan prasarana pengelolaan limbah medis,pembuangan limbah cair</t>
  </si>
  <si>
    <t>Pelaporan limbah medis setiap bulan</t>
  </si>
  <si>
    <r>
      <rPr>
        <rFont val="Calibri, sans-serif"/>
        <color rgb="FF1155CC"/>
        <sz val="12.0"/>
        <u/>
      </rPr>
      <t>https://ee.kobotoolbox.org/x/YQp13dFa</t>
    </r>
  </si>
  <si>
    <t>Rika Permata, S.K.M</t>
  </si>
  <si>
    <t>rikapermata1976@gmail.com</t>
  </si>
  <si>
    <t>Layanan SIMONA berfungsi sebagai sistem pemantauan ketersediaan obat secara nasional yang membantu pemerintah dan fasilitas kesehatan dalam mengendalikan stok obat, mencegah kekosongan obat, dan meningkatkan efisiensi pengelolaan obat.</t>
  </si>
  <si>
    <t>UU Kesehatan, PP tentang Pekerjaan Kefarmasian, serta Permenkes tentang standar pelayanan kefarmasian, yang mengamanatkan pemantauan dan pengelolaan ketersediaan obat secara sistematis di fasilitas kesehatan</t>
  </si>
  <si>
    <t>Identitas fasilitas kesehatan, data obat, data stok obat (stok awal, penerimaan, penggunaan, rusak, stok akhir), serta periode pelaporan</t>
  </si>
  <si>
    <t>laporan ketersediaan obat, laporan kekosongan obat, rekap stok obat, dan analisis monitoring obat secara nasional.</t>
  </si>
  <si>
    <t>https://simona.kemkes.go.id.</t>
  </si>
  <si>
    <r>
      <rPr>
        <rFont val="Calibri, sans-serif"/>
        <color rgb="FF1155CC"/>
        <sz val="12.0"/>
        <u/>
      </rPr>
      <t xml:space="preserve">Komariah </t>
    </r>
    <r>
      <rPr>
        <rFont val="Calibri, sans-serif"/>
        <color rgb="FF1155CC"/>
        <sz val="12.0"/>
        <u/>
      </rPr>
      <t>S.Si</t>
    </r>
    <r>
      <rPr>
        <rFont val="Calibri, sans-serif"/>
        <color rgb="FF1155CC"/>
        <sz val="12.0"/>
        <u/>
      </rPr>
      <t>,Apt</t>
    </r>
  </si>
  <si>
    <t>Layanan SIHA bertujuan untuk mencatat, memantau, dan melaporkan kasus HIV/AIDS serta IMS secara nasional, sehingga pemerintah dapat melakukan pengendalian penyakit, pemantauan terapi ARV, dan perencanaan program kesehatan secara lebih efektif.</t>
  </si>
  <si>
    <t>UU Kesehatan No 17 Tahun 2023 Tentang Kesehatan, Permenkes 23 Tahun 2022 tentang Penanggulangan HIV,AIDS dan IMS</t>
  </si>
  <si>
    <t>identitas pasien, hasil pemeriksaan HIV, diagnosis, data terapi ARV, monitoring pasien, dan data IMS.</t>
  </si>
  <si>
    <t>laporan kasus HIV/AIDS, laporan terapi ARV, laporan IMS, serta analisis epidemiologi untuk program pengendalian HIV/AIDS nasional.</t>
  </si>
  <si>
    <t>https://siha.kemkes.go.id.</t>
  </si>
  <si>
    <t>Komariah S.Si,Apt</t>
  </si>
  <si>
    <t>SMILE</t>
  </si>
  <si>
    <t>bertujuan untuk memantau, mencatat, dan mengelola distribusi vaksin, obat obatan,(CKG, TB, HIV) serta alat kesehatan secara real time dan akurat dari pusat ke fasilitas kesehatan</t>
  </si>
  <si>
    <t>KMK Nomor HK.01.07/MENKES/1568/2024</t>
  </si>
  <si>
    <t>permintaan dan penggunaan obat dan alkes program</t>
  </si>
  <si>
    <t>laporan SMILE</t>
  </si>
  <si>
    <t>SMILE health</t>
  </si>
  <si>
    <r>
      <rPr>
        <rFont val="Calibri, sans-serif"/>
        <color rgb="FF1155CC"/>
        <sz val="12.0"/>
        <u/>
      </rPr>
      <t>https://play.google.com/store/apps/details?id=com.smilemonitor</t>
    </r>
  </si>
  <si>
    <t>apt. Siska Oktaviani, S.Farm</t>
  </si>
  <si>
    <t>siskaokta.1510@gmail.com</t>
  </si>
  <si>
    <t>mencatat , mengelola, dan memantau stok obat dan bmhp program TB secara terpadu</t>
  </si>
  <si>
    <t>stok obat dan alkes program TB</t>
  </si>
  <si>
    <t>laporan SITB</t>
  </si>
  <si>
    <t>RSUD BEDAS TEGALLUAR</t>
  </si>
  <si>
    <t>Belum Terdapat Aplikasi</t>
  </si>
  <si>
    <r>
      <rPr>
        <rFont val="Calibri, sans-serif"/>
        <color rgb="FF1155CC"/>
        <sz val="12.0"/>
        <u/>
      </rPr>
      <t>https://simgajiweb.taspen.co.id/</t>
    </r>
  </si>
  <si>
    <r>
      <rPr>
        <rFont val="Calibri, sans-serif"/>
        <color rgb="FF1155CC"/>
        <sz val="12.0"/>
        <u/>
      </rPr>
      <t>https://e-retribusi.bandungkab.go.id/</t>
    </r>
  </si>
  <si>
    <r>
      <rPr>
        <rFont val="Calibri, sans-serif"/>
        <color rgb="FF1155CC"/>
        <sz val="12.0"/>
        <u/>
      </rPr>
      <t>https://sipd.kemendagri.go.id/</t>
    </r>
  </si>
  <si>
    <r>
      <rPr>
        <rFont val="Calibri, sans-serif"/>
        <color rgb="FF1155CC"/>
        <sz val="12.0"/>
        <u/>
      </rPr>
      <t>https://sirup.inaproc.id/sirup/loginctr/index</t>
    </r>
  </si>
  <si>
    <r>
      <rPr>
        <rFont val="Calibri, sans-serif"/>
        <color rgb="FF1155CC"/>
        <sz val="12.0"/>
        <u/>
      </rPr>
      <t>https://simaslahat.bandungkab.go.id/login</t>
    </r>
  </si>
  <si>
    <r>
      <rPr>
        <rFont val="Calibri, sans-serif"/>
        <color rgb="FF1155CC"/>
        <sz val="12.0"/>
        <u/>
      </rPr>
      <t>e-sptpd.bandungkab.go.id</t>
    </r>
    <r>
      <rPr>
        <rFont val="Calibri, sans-serif"/>
        <color rgb="FF1155CC"/>
        <sz val="12.0"/>
        <u/>
      </rPr>
      <t>.</t>
    </r>
  </si>
  <si>
    <r>
      <rPr>
        <rFont val="Calibri, sans-serif"/>
        <color rgb="FF1155CC"/>
        <sz val="12.0"/>
        <u/>
      </rPr>
      <t>https://simasda.bandungkab.go.id/</t>
    </r>
  </si>
  <si>
    <r>
      <rPr>
        <rFont val="Calibri, sans-serif"/>
        <color rgb="FF1155CC"/>
        <sz val="12.0"/>
        <u/>
      </rPr>
      <t>https://sisrute.kemkes.go.id/</t>
    </r>
  </si>
  <si>
    <r>
      <rPr>
        <rFont val="Calibri, sans-serif"/>
        <color rgb="FF1155CC"/>
        <sz val="12.0"/>
        <u/>
      </rPr>
      <t>https://coretaxdjp.pajak.go.id</t>
    </r>
  </si>
  <si>
    <r>
      <rPr>
        <rFont val="Calibri, sans-serif"/>
        <color rgb="FF1155CC"/>
        <sz val="12.0"/>
        <u/>
      </rPr>
      <t>https://sirekonpajak.bandungkab.go.id/</t>
    </r>
  </si>
  <si>
    <r>
      <rPr>
        <rFont val="Calibri, sans-serif"/>
        <color rgb="FF1155CC"/>
        <sz val="12.0"/>
        <u/>
      </rPr>
      <t>http://dkijabarbanten.sitb.id/</t>
    </r>
  </si>
  <si>
    <r>
      <rPr>
        <rFont val="Calibri, sans-serif"/>
        <color rgb="FF1155CC"/>
        <sz val="12.0"/>
        <u/>
      </rPr>
      <t>simpelbkpsdm.bandungkab.go.id</t>
    </r>
  </si>
  <si>
    <r>
      <rPr>
        <rFont val="Calibri, sans-serif"/>
        <color rgb="FF1155CC"/>
        <sz val="12.0"/>
        <u/>
      </rPr>
      <t>sultan.banadungkab.go.id</t>
    </r>
  </si>
  <si>
    <r>
      <rPr>
        <rFont val="Calibri, sans-serif"/>
        <color rgb="FF1155CC"/>
        <sz val="12.0"/>
        <u/>
      </rPr>
      <t>sso.bandungkab.go.id</t>
    </r>
  </si>
  <si>
    <r>
      <rPr>
        <rFont val="Calibri, sans-serif"/>
        <color rgb="FF1155CC"/>
        <sz val="12.0"/>
        <u/>
      </rPr>
      <t>sisdmk.kemkes.go.id</t>
    </r>
  </si>
  <si>
    <r>
      <rPr>
        <rFont val="Calibri, sans-serif"/>
        <color rgb="FF1155CC"/>
        <sz val="12.0"/>
        <u/>
      </rPr>
      <t>sirs.kemkes.go.id</t>
    </r>
  </si>
  <si>
    <r>
      <rPr>
        <rFont val="Arial, sans-serif"/>
        <color rgb="FF1155CC"/>
        <u/>
      </rPr>
      <t>SIRS.KEMKES.GO.ID</t>
    </r>
  </si>
  <si>
    <r>
      <rPr>
        <rFont val="Calibri, sans-serif"/>
        <color rgb="FF1155CC"/>
        <sz val="12.0"/>
        <u/>
      </rPr>
      <t>https://e-lkpj.id/login</t>
    </r>
  </si>
  <si>
    <r>
      <rPr>
        <rFont val="Calibri, sans-serif"/>
        <color rgb="FF1155CC"/>
        <sz val="12.0"/>
        <u/>
      </rPr>
      <t>https://sidalmonep.bandungkab.go.id/app</t>
    </r>
  </si>
  <si>
    <r>
      <rPr>
        <rFont val="Calibri, sans-serif"/>
        <color rgb="FF1155CC"/>
        <sz val="12.0"/>
        <u/>
      </rPr>
      <t>https://skm.bandungkab.go.id/</t>
    </r>
  </si>
  <si>
    <r>
      <rPr>
        <rFont val="Calibri, sans-serif"/>
        <color rgb="FF1155CC"/>
        <sz val="12.0"/>
        <u/>
      </rPr>
      <t>https://www.lapor.go.id/</t>
    </r>
  </si>
  <si>
    <r>
      <rPr>
        <rFont val="Calibri, sans-serif"/>
        <color rgb="FF1155CC"/>
        <sz val="12.0"/>
        <u/>
      </rPr>
      <t>https://ppid.bandungkab.go.id/dashboard</t>
    </r>
  </si>
  <si>
    <r>
      <rPr>
        <rFont val="Arial, sans-serif"/>
        <color rgb="FF1155CC"/>
        <u/>
      </rPr>
      <t>https://mutufasyankes.kemkes.go.id/</t>
    </r>
  </si>
  <si>
    <r>
      <rPr>
        <rFont val="Arial, sans-serif"/>
        <color rgb="FF1155CC"/>
        <u/>
      </rPr>
      <t>:Health Facilities Information System (H.F.I.S):</t>
    </r>
  </si>
  <si>
    <r>
      <rPr>
        <rFont val="Calibri, sans-serif"/>
        <color rgb="FF1155CC"/>
        <sz val="12.0"/>
        <u/>
      </rPr>
      <t>https://aspak.kemkes.go.id/aplikasi/site/index</t>
    </r>
  </si>
  <si>
    <t>RSUD BEDAS PACIRA</t>
  </si>
  <si>
    <t>Sasikap evo</t>
  </si>
  <si>
    <r>
      <rPr>
        <rFont val="Calibri, sans-serif"/>
        <color rgb="FF1155CC"/>
        <sz val="12.0"/>
        <u/>
      </rPr>
      <t>sasikapevo.com</t>
    </r>
  </si>
  <si>
    <t>Kehadiran</t>
  </si>
  <si>
    <t>Rekap kehadiran</t>
  </si>
  <si>
    <t>DHE PHL</t>
  </si>
  <si>
    <r>
      <rPr>
        <rFont val="Calibri, sans-serif"/>
        <color rgb="FF1155CC"/>
        <sz val="12.0"/>
        <u/>
      </rPr>
      <t>https://dhephl.bandungkab.go.id/</t>
    </r>
  </si>
  <si>
    <t>Pelayanan</t>
  </si>
  <si>
    <t>rekapitulasi angka</t>
  </si>
  <si>
    <r>
      <rPr>
        <rFont val="Calibri, sans-serif"/>
        <color rgb="FF1155CC"/>
        <sz val="12.0"/>
        <u/>
      </rPr>
      <t>https://mutufasyankes.kemkes.go.id/</t>
    </r>
  </si>
  <si>
    <t>sementara belum aktif</t>
  </si>
  <si>
    <t>dr. Dimas enggar</t>
  </si>
  <si>
    <t>rsudpacira.official@gmail.com</t>
  </si>
  <si>
    <r>
      <rPr>
        <rFont val="Calibri, sans-serif"/>
        <color rgb="FF1155CC"/>
        <sz val="11.0"/>
        <u/>
      </rPr>
      <t>Yankes Single SIGN-ON</t>
    </r>
  </si>
  <si>
    <t>ASPAK, SISDMK, dll</t>
  </si>
  <si>
    <t>Ilyas Aditya Rahadian</t>
  </si>
  <si>
    <r>
      <rPr>
        <rFont val="Calibri, sans-serif"/>
        <color rgb="FF1155CC"/>
        <sz val="12.0"/>
        <u/>
      </rPr>
      <t>https://sisdmk.kemkes.go.id/satusehat/verifikasi_pekerja</t>
    </r>
  </si>
  <si>
    <t>Annisa Eliawati</t>
  </si>
  <si>
    <r>
      <rPr>
        <rFont val="Arial, sans-serif"/>
        <color rgb="FF1155CC"/>
        <sz val="12.0"/>
        <u/>
      </rPr>
      <t>UU No. 17 Tahun 2023 tentang Kesehatan</t>
    </r>
    <r>
      <rPr>
        <rFont val="&quot;Google Sans&quot;"/>
        <color rgb="FF1155CC"/>
        <sz val="12.0"/>
        <u/>
      </rPr>
      <t xml:space="preserve"> (pengelolaan data nasional) dan </t>
    </r>
    <r>
      <rPr>
        <rFont val="Arial, sans-serif"/>
        <color rgb="FF1155CC"/>
        <sz val="12.0"/>
        <u/>
      </rPr>
      <t>UU No. 27 Tahun 2022 tentang Pelindungan Data Pribadi</t>
    </r>
    <r>
      <rPr>
        <rFont val="&quot;Google Sans&quot;"/>
        <color rgb="FF1155CC"/>
        <sz val="12.0"/>
        <u/>
      </rPr>
      <t xml:space="preserve"> (dasar pemrosesan data)</t>
    </r>
  </si>
  <si>
    <r>
      <rPr>
        <rFont val="Calibri, sans-serif"/>
        <color rgb="FF1155CC"/>
        <sz val="12.0"/>
        <u/>
      </rPr>
      <t>https://drive.google.com/drive/u/1/folders/1BMJeHVe0f6zjx97q_TOFnGkZBTxNZTBd</t>
    </r>
  </si>
  <si>
    <t>SIMRS PACIRA</t>
  </si>
  <si>
    <r>
      <rPr>
        <rFont val="Arial, sans-serif"/>
        <color rgb="FF1155CC"/>
        <u/>
      </rPr>
      <t>Workbook: Dashboard Pemantauan Aliran Data SATUSEHAT</t>
    </r>
  </si>
  <si>
    <t>Ammar Zhorif, S.Kom</t>
  </si>
  <si>
    <r>
      <rPr>
        <rFont val="Calibri, sans-serif"/>
        <color rgb="FF1155CC"/>
        <sz val="12.0"/>
        <u/>
      </rPr>
      <t xml:space="preserve">sistem informasi berbasis web dari </t>
    </r>
    <r>
      <rPr>
        <rFont val="Calibri, sans-serif"/>
        <color rgb="FF1155CC"/>
        <sz val="12.0"/>
        <u/>
      </rPr>
      <t>Kementerian Kesehatan</t>
    </r>
    <r>
      <rPr>
        <rFont val="Calibri, sans-serif"/>
        <color rgb="FF1155CC"/>
        <sz val="12.0"/>
        <u/>
      </rPr>
      <t xml:space="preserve"> untuk menghimpun data sarana, prasarana, dan alat kesehatan (SPA) di fasyankes</t>
    </r>
  </si>
  <si>
    <r>
      <rPr>
        <rFont val="Calibri, sans-serif"/>
        <color rgb="FF1155CC"/>
        <sz val="12.0"/>
        <u/>
      </rPr>
      <t>https://aspak.kemkes.go.id/aplikasi/site/index</t>
    </r>
  </si>
  <si>
    <t>IPS RS</t>
  </si>
  <si>
    <t>Raga Abdurrahman, S.Farm</t>
  </si>
  <si>
    <r>
      <rPr>
        <rFont val="Calibri, sans-serif"/>
        <b/>
        <color rgb="FF1155CC"/>
        <sz val="12.0"/>
        <u/>
      </rPr>
      <t>Permendagri No. 47 Tahun 2021</t>
    </r>
    <r>
      <rPr>
        <rFont val="Calibri, sans-serif"/>
        <b/>
        <color rgb="FF1155CC"/>
        <sz val="12.0"/>
        <u/>
      </rPr>
      <t xml:space="preserve"> tentang Tata Cara Pelaksanaan Pembukuan, Inventarisasi, dan Pelaporan Barang Milik Daerah</t>
    </r>
  </si>
  <si>
    <r>
      <rPr>
        <rFont val="Calibri, sans-serif"/>
        <color rgb="FF1155CC"/>
        <sz val="12.0"/>
        <u/>
      </rPr>
      <t>https://persediaanbmd.bandungkab.go.id/#/</t>
    </r>
  </si>
  <si>
    <t>SIP-RI, E-BMD</t>
  </si>
  <si>
    <r>
      <rPr>
        <rFont val="Calibri, sans-serif"/>
        <color rgb="FF1155CC"/>
        <sz val="12.0"/>
        <u/>
      </rPr>
      <t>https://rkbmd.e-planningbmd.id/</t>
    </r>
  </si>
  <si>
    <r>
      <rPr>
        <rFont val="Calibri, sans-serif"/>
        <color rgb="FF1155CC"/>
        <sz val="12.0"/>
        <u/>
      </rPr>
      <t xml:space="preserve">Josefan Dohardo Sihite, </t>
    </r>
    <r>
      <rPr>
        <rFont val="Calibri, sans-serif"/>
        <color rgb="FF1155CC"/>
        <sz val="12.0"/>
        <u/>
      </rPr>
      <t>S.Tr</t>
    </r>
    <r>
      <rPr>
        <rFont val="Calibri, sans-serif"/>
        <color rgb="FF1155CC"/>
        <sz val="12.0"/>
        <u/>
      </rPr>
      <t>.AK</t>
    </r>
  </si>
  <si>
    <r>
      <rPr>
        <rFont val="Calibri, sans-serif"/>
        <color rgb="FF1155CC"/>
        <sz val="12.0"/>
        <u/>
      </rPr>
      <t>https://skm.bandungkab.go.id/eskm/22978</t>
    </r>
  </si>
  <si>
    <r>
      <rPr>
        <rFont val="Calibri, sans-serif"/>
        <color rgb="FF1155CC"/>
        <sz val="12.0"/>
        <u/>
      </rPr>
      <t xml:space="preserve">Efa Nurjanah, </t>
    </r>
    <r>
      <rPr>
        <rFont val="Calibri, sans-serif"/>
        <color rgb="FF1155CC"/>
        <sz val="12.0"/>
        <u/>
      </rPr>
      <t>A.Md</t>
    </r>
    <r>
      <rPr>
        <rFont val="Calibri, sans-serif"/>
        <color rgb="FF1155CC"/>
        <sz val="12.0"/>
        <u/>
      </rPr>
      <t>.RMIK</t>
    </r>
  </si>
  <si>
    <t>e retribusi</t>
  </si>
  <si>
    <t>Laporan perihal PAD, Retribusi Daerah</t>
  </si>
  <si>
    <t>Peraturan Daerah (Perda) Kabupaten Bandung Nomor 10 Tahun 2023 tentang Pajak Daerah dan Retribusi Daerah. Perda ini merupakan aturan terbaru yang menyesuaikan dengan amanat UU HKPD.</t>
  </si>
  <si>
    <t>Penghasilan harian</t>
  </si>
  <si>
    <t>Rekap penghasilan</t>
  </si>
  <si>
    <t>E-RETRIBUSI</t>
  </si>
  <si>
    <r>
      <rPr>
        <rFont val="Arial, sans-serif"/>
        <color rgb="FF1155CC"/>
        <u/>
      </rPr>
      <t>https://e-retribusi.bandungkab.go.id/site/login</t>
    </r>
  </si>
  <si>
    <r>
      <rPr>
        <rFont val="Arial, sans-serif"/>
        <color rgb="FF1155CC"/>
        <u/>
      </rPr>
      <t xml:space="preserve">Tita Sariningsih, </t>
    </r>
    <r>
      <rPr>
        <rFont val="Arial, sans-serif"/>
        <color rgb="FF1155CC"/>
        <u/>
      </rPr>
      <t>A.Md</t>
    </r>
    <r>
      <rPr>
        <rFont val="Arial, sans-serif"/>
        <color rgb="FF1155CC"/>
        <u/>
      </rPr>
      <t>.Kep</t>
    </r>
  </si>
  <si>
    <t>SIPD RI</t>
  </si>
  <si>
    <t>sipd</t>
  </si>
  <si>
    <r>
      <rPr>
        <rFont val="Calibri, sans-serif"/>
        <color rgb="FF1155CC"/>
        <sz val="12.0"/>
        <u/>
      </rPr>
      <t>sipd.ri.id</t>
    </r>
  </si>
  <si>
    <r>
      <rPr>
        <rFont val="Calibri, sans-serif"/>
        <color rgb="FF1155CC"/>
        <sz val="12.0"/>
        <u/>
      </rPr>
      <t xml:space="preserve">Josefan Dohardo Sihite, </t>
    </r>
    <r>
      <rPr>
        <rFont val="Calibri, sans-serif"/>
        <color rgb="FF1155CC"/>
        <sz val="12.0"/>
        <u/>
      </rPr>
      <t>S.Tr</t>
    </r>
    <r>
      <rPr>
        <rFont val="Calibri, sans-serif"/>
        <color rgb="FF1155CC"/>
        <sz val="12.0"/>
        <u/>
      </rPr>
      <t>.AK</t>
    </r>
  </si>
  <si>
    <r>
      <rPr>
        <rFont val="Calibri, sans-serif"/>
        <color rgb="FF1155CC"/>
        <sz val="12.0"/>
        <u/>
      </rPr>
      <t>https://e-lkpj.id/login</t>
    </r>
  </si>
  <si>
    <r>
      <rPr>
        <rFont val="Calibri, sans-serif"/>
        <color rgb="FF1155CC"/>
        <sz val="12.0"/>
        <u/>
      </rPr>
      <t xml:space="preserve">Josefan Dohardo Sihite, </t>
    </r>
    <r>
      <rPr>
        <rFont val="Calibri, sans-serif"/>
        <color rgb="FF1155CC"/>
        <sz val="12.0"/>
        <u/>
      </rPr>
      <t>S.Tr</t>
    </r>
    <r>
      <rPr>
        <rFont val="Calibri, sans-serif"/>
        <color rgb="FF1155CC"/>
        <sz val="12.0"/>
        <u/>
      </rPr>
      <t>.AK</t>
    </r>
  </si>
  <si>
    <r>
      <rPr>
        <rFont val="Arial, sans-serif"/>
        <color rgb="FF1155CC"/>
        <sz val="11.0"/>
        <u/>
      </rPr>
      <t>https://simaslahat.bandungkab.go.id</t>
    </r>
  </si>
  <si>
    <r>
      <rPr>
        <rFont val="Arial, sans-serif"/>
        <color rgb="FF1155CC"/>
        <sz val="11.0"/>
        <u/>
      </rPr>
      <t>https://lapor.go.id/</t>
    </r>
  </si>
  <si>
    <r>
      <rPr>
        <rFont val="Arial, sans-serif"/>
        <color rgb="FF1155CC"/>
        <sz val="11.0"/>
        <u/>
      </rPr>
      <t>https://simasda.bandungkab.go.id/</t>
    </r>
  </si>
  <si>
    <r>
      <rPr>
        <rFont val="Arial, sans-serif"/>
        <color rgb="FF1155CC"/>
        <sz val="11.0"/>
        <u/>
      </rPr>
      <t>https://sirekonpajak.bandungkab.go.id/</t>
    </r>
  </si>
  <si>
    <r>
      <rPr>
        <rFont val="Arial, sans-serif"/>
        <color rgb="FF1155CC"/>
        <sz val="11.0"/>
        <u/>
      </rPr>
      <t>coretaxdjp.pajak.go.id</t>
    </r>
  </si>
  <si>
    <r>
      <rPr>
        <rFont val="Arial, sans-serif"/>
        <color rgb="FF1155CC"/>
        <sz val="11.0"/>
        <u/>
      </rPr>
      <t>https://e-sptpd.bandungkab.go.id/</t>
    </r>
  </si>
  <si>
    <t>sipd.kemendagri.go.id</t>
  </si>
  <si>
    <r>
      <rPr>
        <rFont val="Arial, sans-serif"/>
        <color rgb="FF1155CC"/>
        <sz val="11.0"/>
        <u/>
      </rPr>
      <t>https://sultan.bandungkab.go.id/</t>
    </r>
  </si>
  <si>
    <t>SSH SBU</t>
  </si>
  <si>
    <r>
      <rPr>
        <rFont val="Arial, sans-serif"/>
        <color rgb="FF1155CC"/>
        <sz val="11.0"/>
        <u/>
      </rPr>
      <t>sshsbu.e-planningbmd.id</t>
    </r>
  </si>
  <si>
    <r>
      <rPr>
        <rFont val="Arial, sans-serif"/>
        <color rgb="FF1155CC"/>
        <sz val="11.0"/>
        <u/>
      </rPr>
      <t>https://indah.bps.go.id/</t>
    </r>
  </si>
  <si>
    <r>
      <rPr>
        <rFont val="Calibri, sans-serif"/>
        <color rgb="FF1155CC"/>
        <sz val="12.0"/>
        <u/>
      </rPr>
      <t>simwas.bandungkab.go.id</t>
    </r>
  </si>
  <si>
    <r>
      <rPr>
        <rFont val="Arial, sans-serif"/>
        <color rgb="FF1155CC"/>
        <sz val="11.0"/>
        <u/>
      </rPr>
      <t>sidalmonep.bandungkab.go.id/</t>
    </r>
  </si>
  <si>
    <r>
      <rPr>
        <rFont val="Arial, sans-serif"/>
        <color rgb="FF1155CC"/>
        <u/>
      </rPr>
      <t>https://simpelbkpsdm.bandungkab.go.id/</t>
    </r>
  </si>
  <si>
    <r>
      <rPr>
        <rFont val="Arial, sans-serif"/>
        <color rgb="FF1155CC"/>
        <sz val="11.0"/>
        <u/>
      </rPr>
      <t>siakang.bandungkab.go.id</t>
    </r>
  </si>
  <si>
    <r>
      <rPr>
        <rFont val="Arial, sans-serif"/>
        <color rgb="FF1155CC"/>
        <sz val="11.0"/>
        <u/>
      </rPr>
      <t xml:space="preserve">IRMA PURNAMA, S.STP, </t>
    </r>
    <r>
      <rPr>
        <rFont val="Arial, sans-serif"/>
        <color rgb="FF1155CC"/>
        <sz val="11.0"/>
        <u/>
      </rPr>
      <t>M.Tr</t>
    </r>
    <r>
      <rPr>
        <rFont val="Arial, sans-serif"/>
        <color rgb="FF1155CC"/>
        <sz val="11.0"/>
        <u/>
      </rPr>
      <t>.A.P</t>
    </r>
  </si>
  <si>
    <r>
      <rPr>
        <rFont val="Arial, sans-serif"/>
        <color rgb="FF1155CC"/>
        <sz val="11.0"/>
        <u/>
      </rPr>
      <t>https://surabi.jabarprov.go.id/</t>
    </r>
  </si>
  <si>
    <r>
      <rPr>
        <rFont val="Arial, sans-serif"/>
        <color rgb="FF1155CC"/>
        <sz val="11.0"/>
        <u/>
      </rPr>
      <t xml:space="preserve">IRMA PURNAMA, S.STP, </t>
    </r>
    <r>
      <rPr>
        <rFont val="Arial, sans-serif"/>
        <color rgb="FF1155CC"/>
        <sz val="11.0"/>
        <u/>
      </rPr>
      <t>M.Tr</t>
    </r>
    <r>
      <rPr>
        <rFont val="Arial, sans-serif"/>
        <color rgb="FF1155CC"/>
        <sz val="11.0"/>
        <u/>
      </rPr>
      <t>.A.P</t>
    </r>
  </si>
  <si>
    <r>
      <rPr>
        <rFont val="Arial, sans-serif"/>
        <color rgb="FF1155CC"/>
        <sz val="11.0"/>
        <u/>
      </rPr>
      <t>https://skm.bandungkab.go.id/</t>
    </r>
  </si>
  <si>
    <r>
      <rPr>
        <rFont val="Arial, sans-serif"/>
        <color rgb="FF1155CC"/>
        <sz val="11.0"/>
        <u/>
      </rPr>
      <t>https://sitampan-insaba.web.app/</t>
    </r>
  </si>
  <si>
    <r>
      <rPr>
        <rFont val="Arial, sans-serif"/>
        <color rgb="FF1155CC"/>
        <sz val="11.0"/>
        <u/>
      </rPr>
      <t xml:space="preserve">IRMA PURNAMA, S.STP, </t>
    </r>
    <r>
      <rPr>
        <rFont val="Arial, sans-serif"/>
        <color rgb="FF1155CC"/>
        <sz val="11.0"/>
        <u/>
      </rPr>
      <t>M.Tr</t>
    </r>
    <r>
      <rPr>
        <rFont val="Arial, sans-serif"/>
        <color rgb="FF1155CC"/>
        <sz val="11.0"/>
        <u/>
      </rPr>
      <t>.A.P</t>
    </r>
  </si>
  <si>
    <r>
      <rPr>
        <rFont val="Arial, sans-serif"/>
        <color rgb="FF1155CC"/>
        <sz val="11.0"/>
        <u/>
      </rPr>
      <t>https://play.google.com/store/apps/details?id=com.diskominfo.siagan_bedas&amp;hl=id</t>
    </r>
  </si>
  <si>
    <r>
      <rPr>
        <rFont val="Arial, sans-serif"/>
        <color rgb="FF1155CC"/>
        <sz val="11.0"/>
        <u/>
      </rPr>
      <t>Sinar.big.go.id</t>
    </r>
  </si>
  <si>
    <r>
      <rPr>
        <rFont val="Arial, sans-serif"/>
        <color rgb="FF1155CC"/>
        <sz val="11.0"/>
        <u/>
      </rPr>
      <t xml:space="preserve">Gugum Gumilar, S.STP., </t>
    </r>
    <r>
      <rPr>
        <rFont val="Arial, sans-serif"/>
        <color rgb="FF1155CC"/>
        <sz val="11.0"/>
        <u/>
      </rPr>
      <t>M.Si</t>
    </r>
  </si>
  <si>
    <r>
      <rPr>
        <rFont val="Arial, sans-serif"/>
        <color rgb="FF1155CC"/>
        <sz val="11.0"/>
        <u/>
      </rPr>
      <t>https://elppd.kemendagri.go.id/</t>
    </r>
  </si>
  <si>
    <r>
      <rPr>
        <rFont val="Arial, sans-serif"/>
        <color rgb="FF1155CC"/>
        <sz val="11.0"/>
        <u/>
      </rPr>
      <t xml:space="preserve">Gugum Gumilar, S.STP., </t>
    </r>
    <r>
      <rPr>
        <rFont val="Arial, sans-serif"/>
        <color rgb="FF1155CC"/>
        <sz val="11.0"/>
        <u/>
      </rPr>
      <t>M.Si</t>
    </r>
  </si>
  <si>
    <r>
      <rPr>
        <rFont val="Arial, sans-serif"/>
        <color rgb="FF1155CC"/>
        <sz val="11.0"/>
        <u/>
      </rPr>
      <t>https://spm.bangda.kemendagri.go.id/</t>
    </r>
  </si>
  <si>
    <r>
      <rPr>
        <rFont val="Arial, sans-serif"/>
        <color rgb="FF1155CC"/>
        <sz val="11.0"/>
        <u/>
      </rPr>
      <t xml:space="preserve">Gugum Gumilar, S.STP., </t>
    </r>
    <r>
      <rPr>
        <rFont val="Arial, sans-serif"/>
        <color rgb="FF1155CC"/>
        <sz val="11.0"/>
        <u/>
      </rPr>
      <t>M.Si</t>
    </r>
  </si>
  <si>
    <r>
      <rPr>
        <rFont val="Arial, sans-serif"/>
        <color rgb="FF1155CC"/>
        <u/>
      </rPr>
      <t>https://ppid.bandungkab.go.id/</t>
    </r>
  </si>
  <si>
    <r>
      <rPr>
        <rFont val="Arial, sans-serif"/>
        <color rgb="FF1155CC"/>
        <sz val="11.0"/>
        <u/>
      </rPr>
      <t>https://sipphade.bandungkab.go.id/</t>
    </r>
  </si>
  <si>
    <r>
      <rPr>
        <rFont val="Arial, sans-serif"/>
        <color rgb="FF1155CC"/>
        <sz val="11.0"/>
        <u/>
      </rPr>
      <t>https://sipatuhbedas.bandungkab.go.id/</t>
    </r>
  </si>
  <si>
    <r>
      <rPr>
        <rFont val="Arial, sans-serif"/>
        <color rgb="FF1155CC"/>
        <sz val="11.0"/>
        <u/>
      </rPr>
      <t>kerjasama.bandungkab.go.id</t>
    </r>
  </si>
  <si>
    <r>
      <rPr>
        <rFont val="Arial, sans-serif"/>
        <color rgb="FF1155CC"/>
        <sz val="11.0"/>
        <u/>
      </rPr>
      <t>https://sikp.kemenkeu.go.id/login</t>
    </r>
  </si>
  <si>
    <r>
      <rPr>
        <rFont val="Arial, sans-serif"/>
        <color rgb="FF1155CC"/>
        <sz val="11.0"/>
        <u/>
      </rPr>
      <t>https://sitpakd.ojk.go.id/Account/Login</t>
    </r>
  </si>
  <si>
    <r>
      <rPr>
        <rFont val="Arial, sans-serif"/>
        <color rgb="FF1155CC"/>
        <sz val="11.0"/>
        <u/>
      </rPr>
      <t>https://sikd.djpk.kemenkeu.go.id/lapordbh/</t>
    </r>
  </si>
  <si>
    <r>
      <rPr>
        <rFont val="Arial, sans-serif"/>
        <color rgb="FF1155CC"/>
        <sz val="11.0"/>
        <u/>
      </rPr>
      <t>https://tpin.id/login</t>
    </r>
  </si>
  <si>
    <r>
      <rPr>
        <rFont val="Arial, sans-serif"/>
        <color rgb="FF1155CC"/>
        <sz val="11.0"/>
        <u/>
      </rPr>
      <t>https://www.portalrb.id/</t>
    </r>
  </si>
  <si>
    <r>
      <rPr>
        <rFont val="Arial, sans-serif"/>
        <color rgb="FF1155CC"/>
        <sz val="11.0"/>
        <u/>
      </rPr>
      <t>https://bisakerja.bandungkab.go.id/login</t>
    </r>
  </si>
  <si>
    <r>
      <rPr>
        <rFont val="Arial, sans-serif"/>
        <color rgb="FF1155CC"/>
        <sz val="11.0"/>
        <u/>
      </rPr>
      <t>http://e-bumd.com//dashboard</t>
    </r>
  </si>
  <si>
    <r>
      <rPr>
        <rFont val="Arial, sans-serif"/>
        <color rgb="FF1155CC"/>
        <sz val="11.0"/>
        <u/>
      </rPr>
      <t xml:space="preserve">SOP Simbangun: </t>
    </r>
    <r>
      <rPr>
        <rFont val="Arial, sans-serif"/>
        <color rgb="FF1155CC"/>
        <sz val="11.0"/>
        <u/>
      </rPr>
      <t>https://drive.google.com/drive/folders/1uT9c4NGjI41uZyGgKpyquckLoM2rSaQa?usp=sharing</t>
    </r>
  </si>
  <si>
    <r>
      <rPr>
        <rFont val="Arial, sans-serif"/>
        <color rgb="FF1155CC"/>
        <sz val="11.0"/>
        <u/>
      </rPr>
      <t>https://simbangun.bandungkab.go.id</t>
    </r>
  </si>
  <si>
    <t>https://e-lkpj.id/login</t>
  </si>
  <si>
    <r>
      <rPr>
        <rFont val="Arial, sans-serif"/>
        <color rgb="FF1155CC"/>
        <sz val="11.0"/>
        <u/>
      </rPr>
      <t>https://drive.google.com/file/d/1bfEasna0yACDkjKfdw6Q1Zy2Ku88gtKx/view?usp=sharing</t>
    </r>
  </si>
  <si>
    <r>
      <rPr>
        <rFont val="Arial, sans-serif"/>
        <color rgb="FF1155CC"/>
        <sz val="11.0"/>
        <u/>
      </rPr>
      <t>https://spse.inaproc.id/bandungkab</t>
    </r>
  </si>
  <si>
    <r>
      <rPr>
        <rFont val="Arial, sans-serif"/>
        <color rgb="FF1155CC"/>
        <sz val="11.0"/>
        <u/>
      </rPr>
      <t>https://aplikasi.bandungkab.go.id/publik/dashboard-pendataan-profil-sppg-aktif-untuk-satgas-mbg</t>
    </r>
  </si>
  <si>
    <r>
      <rPr>
        <rFont val="Arial, sans-serif"/>
        <color rgb="FF1155CC"/>
        <sz val="11.0"/>
        <u/>
      </rPr>
      <t>RUSLI BAIJURI,</t>
    </r>
    <r>
      <rPr>
        <rFont val="Arial, sans-serif"/>
        <color rgb="FF1155CC"/>
        <sz val="11.0"/>
        <u/>
      </rPr>
      <t>AP.M.KP</t>
    </r>
  </si>
  <si>
    <r>
      <rPr>
        <rFont val="Arial, sans-serif"/>
        <color rgb="FF1155CC"/>
        <sz val="11.0"/>
        <u/>
      </rPr>
      <t>https://www.appsheet.com/Account/Login?appName=DBHCHT%20App&amp;FullScope=False&amp;provider=google&amp;returnUrl=https%3A%2F%2Fwww.appsheet.com%2Fstart%2F93891b63-df85-4aa1-a7bf-d007dfa96cf8%3Fplatform%3Ddesktop#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t>
    </r>
  </si>
  <si>
    <r>
      <rPr>
        <rFont val="Arial, sans-serif"/>
        <color rgb="FF1155CC"/>
        <sz val="11.0"/>
        <u/>
      </rPr>
      <t>RUSLI BAIJURI,</t>
    </r>
    <r>
      <rPr>
        <rFont val="Arial, sans-serif"/>
        <color rgb="FF1155CC"/>
        <sz val="11.0"/>
        <u/>
      </rPr>
      <t>AP.M.KP</t>
    </r>
  </si>
  <si>
    <r>
      <rPr>
        <rFont val="Calibri, sans-serif"/>
        <color rgb="FF1155CC"/>
        <sz val="12.0"/>
        <u/>
      </rPr>
      <t>https://drive.google.com/file/d/1Xev2F7vScZDTlBaqHqPh8lzFUMNB_y8a/view?usp=sharing</t>
    </r>
  </si>
  <si>
    <r>
      <rPr>
        <rFont val="Calibri, sans-serif"/>
        <color rgb="FF1155CC"/>
        <sz val="12.0"/>
        <u/>
      </rPr>
      <t>https://jdihdprd.bandungkab.go.id/</t>
    </r>
  </si>
  <si>
    <t>Dashboard kunjungan dprd kab bandung</t>
  </si>
  <si>
    <r>
      <rPr>
        <rFont val="Calibri, sans-serif"/>
        <color rgb="FF1155CC"/>
        <sz val="12.0"/>
        <u/>
      </rPr>
      <t>https://aplikasi.bandungkab.go.id/publik/dashboard-kunjungan-dprd-kab-bandung</t>
    </r>
  </si>
  <si>
    <r>
      <rPr>
        <rFont val="Calibri, sans-serif"/>
        <color rgb="FF1155CC"/>
        <sz val="12.0"/>
        <u/>
      </rPr>
      <t>https://drive.google.com/file/d/1YdxVCrqCKB2IhPmEjmI3enR0CnpLLtYZ/view?usp=sharing</t>
    </r>
  </si>
  <si>
    <r>
      <rPr>
        <rFont val="Calibri, sans-serif"/>
        <color rgb="FF1155CC"/>
        <sz val="12.0"/>
        <u/>
      </rPr>
      <t>https://simprodas.bandungkab.go.id/</t>
    </r>
  </si>
  <si>
    <r>
      <rPr>
        <rFont val="Calibri, sans-serif"/>
        <color rgb="FF1155CC"/>
        <sz val="12.0"/>
        <u/>
      </rPr>
      <t>https://drive.google.com/file/d/1hfZl5u33jLRHizH-t5QZsOhlwNoiUSfh/view?usp=sharing</t>
    </r>
  </si>
  <si>
    <r>
      <rPr>
        <rFont val="Calibri, sans-serif"/>
        <color rgb="FF1155CC"/>
        <sz val="12.0"/>
        <u/>
      </rPr>
      <t>https://calendly.com/inspekkabbdg/santai-saranatanyaapipinteraktif</t>
    </r>
  </si>
  <si>
    <r>
      <rPr>
        <rFont val="Calibri, sans-serif"/>
        <color rgb="FF1155CC"/>
        <sz val="12.0"/>
        <u/>
      </rPr>
      <t>simpeldisdik.bandungkab.go.id/Sukizah</t>
    </r>
  </si>
  <si>
    <r>
      <rPr>
        <rFont val="Calibri, sans-serif"/>
        <color rgb="FF1155CC"/>
        <sz val="12.0"/>
        <u/>
      </rPr>
      <t>https://dapo.kemendikdasmen.go.id/</t>
    </r>
  </si>
  <si>
    <r>
      <rPr>
        <rFont val="Calibri, sans-serif"/>
        <color rgb="FF1155CC"/>
        <sz val="12.0"/>
        <u/>
      </rPr>
      <t>simpeldisdik.bandungkab.go.id/MultisiteEdu</t>
    </r>
  </si>
  <si>
    <r>
      <rPr>
        <rFont val="Calibri, sans-serif"/>
        <color rgb="FF1155CC"/>
        <sz val="12.0"/>
        <u/>
      </rPr>
      <t>https://spmb.bandungkab.go.id/</t>
    </r>
  </si>
  <si>
    <r>
      <rPr>
        <rFont val="Arial, sans-serif"/>
        <b/>
        <color rgb="FF1155CC"/>
        <u/>
      </rPr>
      <t>psc.kemkes.go.id</t>
    </r>
  </si>
  <si>
    <r>
      <rPr>
        <rFont val="Calibri, sans-serif"/>
        <color rgb="FF1155CC"/>
        <sz val="12.0"/>
        <u/>
      </rPr>
      <t>skdr.kemkes.go.id</t>
    </r>
  </si>
  <si>
    <r>
      <rPr>
        <rFont val="Calibri, sans-serif"/>
        <color rgb="FF1155CC"/>
        <sz val="12.0"/>
        <u/>
      </rPr>
      <t>https://surveilans-pptm.kemkes.go.id/</t>
    </r>
  </si>
  <si>
    <r>
      <rPr>
        <rFont val="Arial, sans-serif"/>
        <b/>
        <color rgb="FF1155CC"/>
        <u/>
      </rPr>
      <t>https://sehatindonesiaku.kemkes.go.id</t>
    </r>
  </si>
  <si>
    <r>
      <rPr>
        <rFont val="Calibri, sans-serif"/>
        <color rgb="FF1155CC"/>
        <sz val="12.0"/>
        <u/>
      </rPr>
      <t>sipnap.kemkes.go.id</t>
    </r>
  </si>
  <si>
    <r>
      <rPr>
        <rFont val="Calibri, sans-serif"/>
        <color rgb="FF1155CC"/>
        <sz val="12.0"/>
        <u/>
      </rPr>
      <t>https://sitb.kemkes.go.id/</t>
    </r>
  </si>
  <si>
    <r>
      <rPr>
        <rFont val="Calibri, sans-serif"/>
        <color rgb="FF1155CC"/>
        <sz val="12.0"/>
        <u/>
      </rPr>
      <t>sismal.kemkes.go.id</t>
    </r>
  </si>
  <si>
    <r>
      <rPr>
        <rFont val="Calibri, sans-serif"/>
        <color rgb="FF1155CC"/>
        <sz val="12.0"/>
        <u/>
      </rPr>
      <t>silantor.kemkes.go.id</t>
    </r>
  </si>
  <si>
    <r>
      <rPr>
        <rFont val="Calibri, sans-serif"/>
        <color rgb="FF1155CC"/>
        <sz val="12.0"/>
        <u/>
      </rPr>
      <t>https://sihapims2.kemkes.go.id</t>
    </r>
  </si>
  <si>
    <r>
      <rPr>
        <rFont val="Calibri, sans-serif"/>
        <color rgb="FF1155CC"/>
        <sz val="12.0"/>
        <u/>
      </rPr>
      <t>https://smile.kemkes.go.id/</t>
    </r>
  </si>
  <si>
    <r>
      <rPr>
        <rFont val="Calibri, sans-serif"/>
        <color rgb="FF1155CC"/>
        <sz val="12.0"/>
        <u/>
      </rPr>
      <t>https://sijalak-kab-bandung.com/</t>
    </r>
  </si>
  <si>
    <r>
      <rPr>
        <rFont val="Calibri, sans-serif"/>
        <color rgb="FF1155CC"/>
        <sz val="12.0"/>
        <u/>
      </rPr>
      <t>https://drive.google.com/drive/folders/187_7CPT7sxhjamsZJOlN2T4qhrxFpoWq?hl=id</t>
    </r>
  </si>
  <si>
    <r>
      <rPr>
        <rFont val="Calibri, sans-serif"/>
        <color rgb="FF1155CC"/>
        <sz val="12.0"/>
        <u/>
      </rPr>
      <t>https://sibedaspbg.bandungkab.go.id/</t>
    </r>
  </si>
  <si>
    <r>
      <rPr>
        <rFont val="Calibri, sans-serif"/>
        <color rgb="FF1155CC"/>
        <sz val="12.0"/>
        <u/>
      </rPr>
      <t>https://drive.google.com/drive/folders/1zpVBSJQx0K3N4_wyw8qZeOJVWGrdlDAe?hl=ID</t>
    </r>
  </si>
  <si>
    <r>
      <rPr>
        <rFont val="Calibri, sans-serif"/>
        <color rgb="FF1155CC"/>
        <sz val="12.0"/>
        <u/>
      </rPr>
      <t>linktr.ee/PENGADUAN_DPUTR_KABBDG</t>
    </r>
  </si>
  <si>
    <r>
      <rPr>
        <rFont val="Calibri, sans-serif"/>
        <color rgb="FF1155CC"/>
        <sz val="12.0"/>
        <u/>
      </rPr>
      <t>https://sites.google.com/view/aplikasi-sipedas-drainase/home</t>
    </r>
  </si>
  <si>
    <r>
      <rPr>
        <rFont val="Calibri, sans-serif"/>
        <color rgb="FF1155CC"/>
        <sz val="12.0"/>
        <u/>
      </rPr>
      <t>https://drive.google.com/drive/folders/1foPXyzm-sQ7KaSp-qTysnVqAWt_Dif53?hl=id</t>
    </r>
  </si>
  <si>
    <r>
      <rPr>
        <rFont val="Calibri, sans-serif"/>
        <color rgb="FF1155CC"/>
        <sz val="12.0"/>
        <u/>
      </rPr>
      <t>https://sijaga.kabbdg.com/</t>
    </r>
  </si>
  <si>
    <r>
      <rPr>
        <rFont val="Calibri, sans-serif"/>
        <color rgb="FF1155CC"/>
        <sz val="12.0"/>
        <u/>
      </rPr>
      <t>https://drive.google.com/drive/folders/1sHKD9PH8GG_yqtIurnieYvG1qyHCbekF?hl=id</t>
    </r>
  </si>
  <si>
    <r>
      <rPr>
        <rFont val="Calibri, sans-serif"/>
        <color rgb="FF1155CC"/>
        <sz val="12.0"/>
        <u/>
      </rPr>
      <t>https://sibedasjakon.bandungkab.go.id/</t>
    </r>
  </si>
  <si>
    <r>
      <rPr>
        <rFont val="Calibri, sans-serif"/>
        <color rgb="FF1155CC"/>
        <sz val="12.0"/>
        <u/>
      </rPr>
      <t>https://linktr.ee/SIBEDASOK</t>
    </r>
  </si>
  <si>
    <r>
      <rPr>
        <rFont val="Calibri, sans-serif"/>
        <color rgb="FF1155CC"/>
        <sz val="12.0"/>
        <u/>
      </rPr>
      <t>https://drive.google.com/file/d/1kvVSSjFHbdSKP4vPWzb0wDWs5x8kMCbU/view?usp=sharing</t>
    </r>
  </si>
  <si>
    <r>
      <rPr>
        <rFont val="Calibri, sans-serif"/>
        <color rgb="FF1155CC"/>
        <sz val="12.0"/>
        <u/>
      </rPr>
      <t>https://aplikasi.bandungkab.com/publik/landing-page-aplikasi-sipikat</t>
    </r>
  </si>
  <si>
    <r>
      <rPr>
        <rFont val="Calibri, sans-serif"/>
        <color rgb="FF1155CC"/>
        <sz val="12.0"/>
        <u/>
      </rPr>
      <t>https://drive.google.com/file/d/1Ramy4vxff2nlZwmQYryTo4j9HIjXgRt2/view?usp=sharing</t>
    </r>
  </si>
  <si>
    <r>
      <rPr>
        <rFont val="Calibri, sans-serif"/>
        <color rgb="FF1155CC"/>
        <sz val="12.0"/>
        <u/>
      </rPr>
      <t>https://dibedasken.bandungkab.go.id/</t>
    </r>
  </si>
  <si>
    <r>
      <rPr>
        <rFont val="Calibri, sans-serif"/>
        <color rgb="FF1155CC"/>
        <sz val="12.0"/>
        <u/>
      </rPr>
      <t>https://drive.google.com/drive/folders/1Uinu-ZgkI_8xZeYLw7yaEW1HRhG7prDv?usp=drive_link</t>
    </r>
  </si>
  <si>
    <r>
      <rPr>
        <rFont val="Calibri, sans-serif"/>
        <color rgb="FF1155CC"/>
        <sz val="12.0"/>
        <u/>
      </rPr>
      <t>siapkerja.kemnaker.go.id</t>
    </r>
  </si>
  <si>
    <r>
      <rPr>
        <rFont val="Calibri, sans-serif"/>
        <color rgb="FF1155CC"/>
        <sz val="12.0"/>
        <u/>
      </rPr>
      <t>https://dashnaker.bandungkab.go.id/login</t>
    </r>
  </si>
  <si>
    <r>
      <rPr>
        <rFont val="Calibri, sans-serif"/>
        <color rgb="FF1155CC"/>
        <sz val="12.0"/>
        <u/>
      </rPr>
      <t>https://dashnaker.bandungkab.go.id/login</t>
    </r>
  </si>
  <si>
    <r>
      <rPr>
        <rFont val="Calibri, sans-serif"/>
        <color rgb="FF1155CC"/>
        <sz val="12.0"/>
        <u/>
      </rPr>
      <t>http://siapkerja.kemnaker.go.id/</t>
    </r>
  </si>
  <si>
    <r>
      <rPr>
        <rFont val="Calibri, sans-serif"/>
        <color rgb="FF1155CC"/>
        <sz val="12.0"/>
        <u/>
      </rPr>
      <t>sibarduktrans.transmigrasi.go.id</t>
    </r>
  </si>
  <si>
    <r>
      <rPr>
        <rFont val="Calibri, sans-serif"/>
        <color rgb="FF1155CC"/>
        <sz val="12.0"/>
        <u/>
      </rPr>
      <t>https://drive.google.com/file/d/13kiJLOSVRFOj2CqIpMMxJSxRVwkT4VuN/view?usp=drive_link</t>
    </r>
  </si>
  <si>
    <r>
      <rPr>
        <rFont val="Calibri, sans-serif"/>
        <color rgb="FF1155CC"/>
        <sz val="12.0"/>
        <u/>
      </rPr>
      <t>https://dp2kbp3a.bandungkab.go.id/ppa/</t>
    </r>
  </si>
  <si>
    <r>
      <rPr>
        <rFont val="Calibri, sans-serif"/>
        <color rgb="FF1155CC"/>
        <sz val="12.0"/>
        <u/>
      </rPr>
      <t>https://drive.google.com/file/d/1qhJbKAh0RXizTZVD-lHLPJTl4ZBGbOzZ/view?usp=sharing</t>
    </r>
  </si>
  <si>
    <r>
      <rPr>
        <rFont val="Calibri, sans-serif"/>
        <color rgb="FF1155CC"/>
        <sz val="12.0"/>
        <u/>
      </rPr>
      <t>https://dp2kbp3a.bandungkab.go.id/pprg/</t>
    </r>
  </si>
  <si>
    <r>
      <rPr>
        <rFont val="Calibri, sans-serif"/>
        <color rgb="FF1155CC"/>
        <sz val="12.0"/>
        <u/>
      </rPr>
      <t>https://siga.bkkbn.go.id/</t>
    </r>
  </si>
  <si>
    <r>
      <rPr>
        <rFont val="Calibri, sans-serif"/>
        <color rgb="FF1155CC"/>
        <sz val="12.0"/>
        <u/>
      </rPr>
      <t>https://drive.google.com/file/d/16ULKF-_fc7--75zz-4n8WtETaChfDzBD/view?usp=sharing</t>
    </r>
  </si>
  <si>
    <r>
      <rPr>
        <rFont val="Calibri, sans-serif"/>
        <color rgb="FF1155CC"/>
        <sz val="12.0"/>
        <u/>
      </rPr>
      <t>https://dp2kbp3a.bandungkab.go.id/sappana/</t>
    </r>
  </si>
  <si>
    <r>
      <rPr>
        <rFont val="Calibri, sans-serif"/>
        <color rgb="FF1155CC"/>
        <sz val="12.0"/>
        <u/>
      </rPr>
      <t>https://docs.google.com/spreadsheets/d/1f2FpxtXLWyTMlao3H1cM7ZWvZY62FNOP/edit?usp=drivesdk&amp;ouid=101319060553117315214&amp;rtpof=true&amp;sd=true</t>
    </r>
  </si>
  <si>
    <r>
      <rPr>
        <rFont val="Calibri, sans-serif"/>
        <color rgb="FF1155CC"/>
        <sz val="12.0"/>
        <u/>
      </rPr>
      <t>https://simfonippa.kemenpppa.go.id/</t>
    </r>
  </si>
  <si>
    <r>
      <rPr>
        <rFont val="Calibri, sans-serif"/>
        <color rgb="FF1155CC"/>
        <sz val="12.0"/>
        <u/>
      </rPr>
      <t>https://dp2kbp3a.bandungkab.go.id/apps/perlindungan-anak/</t>
    </r>
  </si>
  <si>
    <r>
      <rPr>
        <rFont val="Calibri, sans-serif"/>
        <color rgb="FF1155CC"/>
        <sz val="12.0"/>
        <u/>
      </rPr>
      <t>amdalnet.kemenlh.go.id</t>
    </r>
  </si>
  <si>
    <r>
      <rPr>
        <rFont val="Calibri, sans-serif"/>
        <color rgb="FF1155CC"/>
        <sz val="12.0"/>
        <u/>
      </rPr>
      <t>https://sampahkita.jabarprov.go.id/</t>
    </r>
  </si>
  <si>
    <r>
      <rPr>
        <rFont val="Calibri, sans-serif"/>
        <color rgb="FF1155CC"/>
        <sz val="12.0"/>
        <u/>
      </rPr>
      <t>https://sipsn.kemenlh.go.id/sipsn/</t>
    </r>
  </si>
  <si>
    <r>
      <rPr>
        <rFont val="Calibri, sans-serif"/>
        <color rgb="FF1155CC"/>
        <sz val="12.0"/>
        <u/>
      </rPr>
      <t>https://gepak.bandungkab.go.id/</t>
    </r>
  </si>
  <si>
    <r>
      <rPr>
        <rFont val="Calibri, sans-serif"/>
        <color rgb="FF1155CC"/>
        <sz val="12.0"/>
        <u/>
      </rPr>
      <t>Kehati.bandungkab.go.id</t>
    </r>
  </si>
  <si>
    <r>
      <rPr>
        <rFont val="&quot;Arial\, sans-serif&quot;"/>
        <color rgb="FF1155CC"/>
        <u/>
      </rPr>
      <t>SOP Layanan 2025</t>
    </r>
  </si>
  <si>
    <r>
      <rPr>
        <rFont val="Arial, sans-serif"/>
        <color rgb="FF1155CC"/>
        <u/>
      </rPr>
      <t>https://bds.bandungkab.go</t>
    </r>
    <r>
      <rPr>
        <rFont val="Arial, sans-serif"/>
        <color rgb="FF000000"/>
      </rPr>
      <t>.</t>
    </r>
    <r>
      <rPr>
        <rFont val="Arial, sans-serif"/>
      </rPr>
      <t>id/</t>
    </r>
  </si>
  <si>
    <t>Tidak tersedia secara publik. Paket update hanya dapat diunduh via SVN Client internal.</t>
  </si>
  <si>
    <r>
      <rPr>
        <rFont val="&quot;Arial\, sans-serif&quot;"/>
        <color rgb="FF1155CC"/>
        <u/>
      </rPr>
      <t>SOP Layanan 2025</t>
    </r>
  </si>
  <si>
    <r>
      <rPr>
        <rFont val="Arial, sans-serif"/>
        <color rgb="FF1155CC"/>
        <u/>
      </rPr>
      <t>http://lampid.bandungkab.go.id/</t>
    </r>
  </si>
  <si>
    <r>
      <rPr>
        <rFont val="Calibri, sans-serif"/>
        <color rgb="FF1155CC"/>
        <sz val="11.0"/>
        <u/>
      </rPr>
      <t>http://siskeudes.bandungkab.go.id:8080/guacamole/#/</t>
    </r>
  </si>
  <si>
    <r>
      <rPr>
        <rFont val="Calibri, sans-serif"/>
        <color rgb="FF1155CC"/>
        <sz val="11.0"/>
        <u/>
      </rPr>
      <t>https://spanint.kemenkeu.go.id/tkd/#/home/login</t>
    </r>
  </si>
  <si>
    <r>
      <rPr>
        <rFont val="Calibri, sans-serif"/>
        <color rgb="FF1155CC"/>
        <sz val="11.0"/>
        <u/>
      </rPr>
      <t>https://prodeskel.binapemdes.kemendagri.go.id/mpublik/</t>
    </r>
  </si>
  <si>
    <r>
      <rPr>
        <rFont val="Calibri, sans-serif"/>
        <color rgb="FF1155CC"/>
        <sz val="11.0"/>
        <u/>
      </rPr>
      <t>https://epdeskel.binapemdes.kemendagri.go.id/app_Login/</t>
    </r>
  </si>
  <si>
    <r>
      <rPr>
        <rFont val="Calibri, sans-serif"/>
        <color rgb="FF1155CC"/>
        <sz val="11.0"/>
        <u/>
      </rPr>
      <t>https://drive.google.com/file/d/1CvHE6emS2UxjsAt6IC87kgxEb19CuE3k/view?usp=sharing</t>
    </r>
  </si>
  <si>
    <r>
      <rPr>
        <rFont val="Calibri, sans-serif"/>
        <color rgb="FF1155CC"/>
        <sz val="11.0"/>
        <u/>
      </rPr>
      <t>http://sipades.id/</t>
    </r>
  </si>
  <si>
    <r>
      <rPr>
        <rFont val="Calibri, sans-serif"/>
        <color rgb="FF1155CC"/>
        <sz val="11.0"/>
        <u/>
      </rPr>
      <t>https://drive.google.com/file/d/1YdbXWdCS28ppql72phZoI1RvIMqiXeuL/view?usp=sharing</t>
    </r>
  </si>
  <si>
    <r>
      <rPr>
        <rFont val="Calibri, sans-serif"/>
        <color rgb="FF1155CC"/>
        <sz val="11.0"/>
        <u/>
      </rPr>
      <t>http://s.id/sipandubedas</t>
    </r>
  </si>
  <si>
    <r>
      <rPr>
        <rFont val="Calibri, sans-serif"/>
        <color rgb="FF1155CC"/>
        <sz val="12.0"/>
        <u/>
      </rPr>
      <t>https://drive.google.com/file/d/15CRvlXeoq6lRDTUnunhCxVgWmxrUKQsz/view?usp=drive_link</t>
    </r>
  </si>
  <si>
    <r>
      <rPr>
        <rFont val="Calibri, sans-serif"/>
        <color rgb="FF1155CC"/>
        <sz val="12.0"/>
        <u/>
      </rPr>
      <t>https://sipakades.bandungkab.go.id/</t>
    </r>
  </si>
  <si>
    <r>
      <rPr>
        <rFont val="Calibri, sans-serif"/>
        <color rgb="FF1155CC"/>
        <sz val="12.0"/>
        <u/>
      </rPr>
      <t>https://drive.google.com/file/d/1r3y4yoWaoByjuAovOlwVhpYcdVHWYZlA/view?usp=drive_link</t>
    </r>
  </si>
  <si>
    <r>
      <rPr>
        <rFont val="Calibri, sans-serif"/>
        <color rgb="FF1155CC"/>
        <sz val="12.0"/>
        <u/>
      </rPr>
      <t>https://oss.go.id/</t>
    </r>
  </si>
  <si>
    <r>
      <rPr>
        <rFont val="Calibri, sans-serif"/>
        <color rgb="FF1155CC"/>
        <sz val="12.0"/>
        <u/>
      </rPr>
      <t>https://dpmptsp.bandungkab.go.id/</t>
    </r>
  </si>
  <si>
    <r>
      <rPr>
        <rFont val="Calibri, sans-serif"/>
        <color rgb="FF1155CC"/>
        <sz val="12.0"/>
        <u/>
      </rPr>
      <t>https://simbg.pu.go.id/</t>
    </r>
  </si>
  <si>
    <r>
      <rPr>
        <rFont val="Calibri, sans-serif"/>
        <color rgb="FF1155CC"/>
        <sz val="12.0"/>
        <u/>
      </rPr>
      <t>https://next-gen.mppdigital.go.id/</t>
    </r>
  </si>
  <si>
    <r>
      <rPr>
        <rFont val="Calibri, sans-serif"/>
        <color rgb="FF1155CC"/>
        <sz val="12.0"/>
        <u/>
      </rPr>
      <t>https://perizinan.bandungkab.go.id/sirsak</t>
    </r>
  </si>
  <si>
    <r>
      <rPr>
        <rFont val="Calibri, sans-serif"/>
        <color rgb="FF1155CC"/>
        <sz val="12.0"/>
        <u/>
      </rPr>
      <t>https://perizinan.bandungkab.go.id/layanan-kami/booking-antrian-imigrasi</t>
    </r>
  </si>
  <si>
    <r>
      <rPr>
        <rFont val="Calibri, sans-serif"/>
        <color rgb="FF1155CC"/>
        <sz val="12.0"/>
        <u/>
      </rPr>
      <t>https://sidora.bandungkab.go.id/</t>
    </r>
  </si>
  <si>
    <r>
      <rPr>
        <rFont val="Calibri, sans-serif"/>
        <color rgb="FF1155CC"/>
        <sz val="12.0"/>
        <u/>
      </rPr>
      <t>https://sidopabandungkab.com</t>
    </r>
  </si>
  <si>
    <r>
      <rPr>
        <rFont val="Calibri, sans-serif"/>
        <color rgb="FF1155CC"/>
        <sz val="12.0"/>
        <u/>
      </rPr>
      <t xml:space="preserve">rencana membuat sub domain dari </t>
    </r>
    <r>
      <rPr>
        <rFont val="Calibri, sans-serif"/>
        <color rgb="FF1155CC"/>
        <sz val="12.0"/>
        <u/>
      </rPr>
      <t>disporabandungkab.go.id</t>
    </r>
  </si>
  <si>
    <r>
      <rPr>
        <rFont val="Calibri, sans-serif"/>
        <color rgb="FF1155CC"/>
        <sz val="12.0"/>
        <u/>
      </rPr>
      <t>https://drive.google.com/file/d/1CK9sB-VkjtVcnm48SmIytt7EAWrjRZba/view?usp=sharing</t>
    </r>
  </si>
  <si>
    <r>
      <rPr>
        <rFont val="Calibri, sans-serif"/>
        <color rgb="FF1155CC"/>
        <sz val="12.0"/>
        <u/>
      </rPr>
      <t>SOP SIBAPOKTING 2025 Ttd.pdf</t>
    </r>
  </si>
  <si>
    <r>
      <rPr>
        <rFont val="Calibri, sans-serif"/>
        <color rgb="FF1155CC"/>
        <sz val="12.0"/>
        <u/>
      </rPr>
      <t>https://sibapokting.bandungkab.go.id/</t>
    </r>
  </si>
  <si>
    <r>
      <rPr>
        <rFont val="Calibri, sans-serif"/>
        <color rgb="FF1155CC"/>
        <sz val="12.0"/>
        <u/>
      </rPr>
      <t>SOP SKA.pdf</t>
    </r>
  </si>
  <si>
    <r>
      <rPr>
        <rFont val="Calibri, sans-serif"/>
        <color rgb="FF1155CC"/>
        <sz val="12.0"/>
        <u/>
      </rPr>
      <t>ska.kemendag.go.id</t>
    </r>
  </si>
  <si>
    <r>
      <rPr>
        <rFont val="Calibri, sans-serif"/>
        <color rgb="FF1155CC"/>
        <sz val="12.0"/>
        <u/>
      </rPr>
      <t>SOP Pelayanan Kantor.xlsx</t>
    </r>
  </si>
  <si>
    <r>
      <rPr>
        <rFont val="Calibri, sans-serif"/>
        <color rgb="FF1155CC"/>
        <sz val="12.0"/>
        <u/>
      </rPr>
      <t>bit.ly/PendaftaranTTU2025</t>
    </r>
  </si>
  <si>
    <r>
      <rPr>
        <rFont val="Calibri, sans-serif"/>
        <color rgb="FF1155CC"/>
        <sz val="12.0"/>
        <u/>
      </rPr>
      <t xml:space="preserve">Fatihatul Aulia, </t>
    </r>
    <r>
      <rPr>
        <rFont val="Calibri, sans-serif"/>
        <color rgb="FF1155CC"/>
        <sz val="12.0"/>
        <u/>
      </rPr>
      <t>S.Si</t>
    </r>
  </si>
  <si>
    <r>
      <rPr>
        <rFont val="Calibri, sans-serif"/>
        <color rgb="FF1155CC"/>
        <sz val="12.0"/>
        <u/>
      </rPr>
      <t>alur pelaporan siinas.pdf</t>
    </r>
  </si>
  <si>
    <r>
      <rPr>
        <rFont val="Calibri, sans-serif"/>
        <color rgb="FF1155CC"/>
        <sz val="12.0"/>
        <u/>
      </rPr>
      <t>https://siinas.kemenperin.go.id</t>
    </r>
  </si>
  <si>
    <r>
      <rPr>
        <rFont val="Calibri, sans-serif"/>
        <color rgb="FF1155CC"/>
        <sz val="12.0"/>
        <u/>
      </rPr>
      <t>SOP Eretribusi</t>
    </r>
  </si>
  <si>
    <r>
      <rPr>
        <rFont val="Calibri, sans-serif"/>
        <color rgb="FF1155CC"/>
        <sz val="12.0"/>
        <u/>
      </rPr>
      <t>sipintar online</t>
    </r>
  </si>
  <si>
    <r>
      <rPr>
        <rFont val="Calibri, sans-serif"/>
        <color rgb="FF1155CC"/>
        <sz val="12.0"/>
        <u/>
      </rPr>
      <t>https://sipintaronline.bandungkab.go.id/login</t>
    </r>
  </si>
  <si>
    <r>
      <rPr>
        <rFont val="Calibri, sans-serif"/>
        <color rgb="FF1155CC"/>
        <sz val="12.0"/>
        <u/>
      </rPr>
      <t>https://sppirt.pom.go.id/</t>
    </r>
  </si>
  <si>
    <r>
      <rPr>
        <rFont val="Calibri, sans-serif"/>
        <color rgb="FF1155CC"/>
        <sz val="12.0"/>
        <u/>
      </rPr>
      <t>https://www.dgip.go.id/</t>
    </r>
  </si>
  <si>
    <r>
      <rPr>
        <rFont val="Calibri, sans-serif"/>
        <color rgb="FF1155CC"/>
        <sz val="12.0"/>
        <u/>
      </rPr>
      <t>SOP Galeri Kriya Bedas</t>
    </r>
  </si>
  <si>
    <r>
      <rPr>
        <rFont val="Calibri, sans-serif"/>
        <color rgb="FF1155CC"/>
        <sz val="12.0"/>
        <u/>
      </rPr>
      <t>SOP Rumah Kemasan</t>
    </r>
  </si>
  <si>
    <r>
      <rPr>
        <rFont val="Calibri, sans-serif"/>
        <color rgb="FF1155CC"/>
        <sz val="12.0"/>
        <u/>
      </rPr>
      <t>https://bit.ly/e-Form_KlinikKemasan</t>
    </r>
  </si>
  <si>
    <r>
      <rPr>
        <rFont val="Calibri, sans-serif"/>
        <color rgb="FF1155CC"/>
        <sz val="12.0"/>
        <u/>
      </rPr>
      <t>https://docs.google.com/document/d/1c-7PUNKaiuUiy_admWwX1iClC1w9eJRB/edit?usp=sharing&amp;ouid=112536090230720318461&amp;rtpof=true&amp;sd=true</t>
    </r>
  </si>
  <si>
    <r>
      <rPr>
        <rFont val="Calibri, sans-serif"/>
        <color rgb="FF1155CC"/>
        <sz val="12.0"/>
        <u/>
      </rPr>
      <t>https://anterin.bandungkab.go.id/</t>
    </r>
  </si>
  <si>
    <r>
      <rPr>
        <rFont val="Calibri, sans-serif"/>
        <color rgb="FF1155CC"/>
        <sz val="12.0"/>
        <u/>
      </rPr>
      <t>https://docs.google.com/document/d/1c-7PUNKaiuUiy_admWwX1iClC1w9eJRB/edit?usp=sharing&amp;ouid=112536090230720318461&amp;rtpof=true&amp;sd=true</t>
    </r>
  </si>
  <si>
    <r>
      <rPr>
        <rFont val="Calibri, sans-serif"/>
        <color rgb="FF1155CC"/>
        <sz val="12.0"/>
        <u/>
      </rPr>
      <t>https://isikhnas.pertanian.go.id/</t>
    </r>
  </si>
  <si>
    <r>
      <rPr>
        <rFont val="Calibri, sans-serif"/>
        <color rgb="FF1155CC"/>
        <sz val="12.0"/>
        <u/>
      </rPr>
      <t>https://docs.google.com/spreadsheets/d/1c7RrRajyzrp7pLX7n6Z-t8K0gRXiw69i/edit?usp=sharing&amp;ouid=112536090230720318461&amp;rtpof=true&amp;sd=true</t>
    </r>
  </si>
  <si>
    <r>
      <rPr>
        <rFont val="Calibri, sans-serif"/>
        <color rgb="FF1155CC"/>
        <sz val="12.0"/>
        <u/>
      </rPr>
      <t>sifortuna.tanamanpangan.pertanian.go.id</t>
    </r>
  </si>
  <si>
    <r>
      <rPr>
        <rFont val="Calibri, sans-serif"/>
        <color rgb="FF1155CC"/>
        <sz val="12.0"/>
        <u/>
      </rPr>
      <t>tanginas.web.id</t>
    </r>
  </si>
  <si>
    <r>
      <rPr>
        <rFont val="Calibri, sans-serif"/>
        <color rgb="FF1155CC"/>
        <sz val="12.0"/>
        <u/>
      </rPr>
      <t>https://docs.google.com/spreadsheets/d/1cLC7YoJU_Mkyr5eJTL-fHfA0D-sQukvz/edit?usp=sharing&amp;ouid=112536090230720318461&amp;rtpof=true&amp;sd=true</t>
    </r>
  </si>
  <si>
    <r>
      <rPr>
        <rFont val="Calibri, sans-serif"/>
        <color rgb="FF1155CC"/>
        <sz val="12.0"/>
        <u/>
      </rPr>
      <t>https://erdkk25.pertanian.go.id/</t>
    </r>
  </si>
  <si>
    <r>
      <rPr>
        <rFont val="Calibri, sans-serif"/>
        <color rgb="FF1155CC"/>
        <sz val="12.0"/>
        <u/>
      </rPr>
      <t>https://docs.google.com/spreadsheets/d/1cLZrBaEOapwKOQE9usRXCTW93SFEy7Xj/edit?usp=sharing&amp;ouid=112536090230720318461&amp;rtpof=true&amp;sd=true</t>
    </r>
  </si>
  <si>
    <r>
      <rPr>
        <rFont val="Calibri, sans-serif"/>
        <color rgb="FF1155CC"/>
        <sz val="12.0"/>
        <u/>
      </rPr>
      <t>https://simluh.pertanian.go.id/</t>
    </r>
  </si>
  <si>
    <r>
      <rPr>
        <rFont val="Calibri, sans-serif"/>
        <color rgb="FF1155CC"/>
        <sz val="12.0"/>
        <u/>
      </rPr>
      <t>https://drive.google.com/drive/folders/1b_wlUHQifUNUdZcrhKipNlD0R6COD8yt?usp=sharing</t>
    </r>
  </si>
  <si>
    <r>
      <rPr>
        <rFont val="Calibri, sans-serif"/>
        <color rgb="FF1155CC"/>
        <sz val="12.0"/>
        <u/>
      </rPr>
      <t>sipolan.bandungkab.go.id</t>
    </r>
  </si>
  <si>
    <r>
      <rPr>
        <rFont val="Calibri, sans-serif"/>
        <color rgb="FF1155CC"/>
        <sz val="12.0"/>
        <u/>
      </rPr>
      <t>01. SOP Sistem Informasi Pangan.pdf</t>
    </r>
  </si>
  <si>
    <r>
      <rPr>
        <rFont val="Calibri, sans-serif"/>
        <color rgb="FF1155CC"/>
        <sz val="12.0"/>
        <u/>
      </rPr>
      <t>https://sip.bandungkab.go.id/portal/topic/sikandung</t>
    </r>
  </si>
  <si>
    <r>
      <rPr>
        <rFont val="Calibri, sans-serif"/>
        <color rgb="FF1155CC"/>
        <sz val="12.0"/>
        <u/>
      </rPr>
      <t>02. SOP Izin Usaha.pdf</t>
    </r>
    <r>
      <rPr>
        <rFont val="Calibri, sans-serif"/>
        <sz val="12.0"/>
      </rPr>
      <t xml:space="preserve">
 03. SOP Si Lele ikan.pdf</t>
    </r>
  </si>
  <si>
    <r>
      <rPr>
        <rFont val="Calibri, sans-serif"/>
        <color rgb="FF1155CC"/>
        <sz val="12.0"/>
        <u/>
      </rPr>
      <t>https://dispakan.bandungkab.go.id/video/</t>
    </r>
  </si>
  <si>
    <r>
      <rPr>
        <rFont val="Calibri, sans-serif"/>
        <color rgb="FF1155CC"/>
        <sz val="12.0"/>
        <u/>
      </rPr>
      <t>01. SOP Sistem Informasi Pangan.pdf</t>
    </r>
  </si>
  <si>
    <r>
      <rPr>
        <rFont val="Calibri, sans-serif"/>
        <color rgb="FF1155CC"/>
        <sz val="12.0"/>
        <u/>
      </rPr>
      <t>https://sip.bandungkab.go.id/portal/topic/fsva</t>
    </r>
  </si>
  <si>
    <r>
      <rPr>
        <rFont val="Calibri, sans-serif"/>
        <color rgb="FF1155CC"/>
        <sz val="12.0"/>
        <u/>
      </rPr>
      <t>https://parbuddalamangka.jabarprov.go.id/</t>
    </r>
  </si>
  <si>
    <r>
      <rPr>
        <rFont val="Calibri, sans-serif"/>
        <color rgb="FF1155CC"/>
        <sz val="12.0"/>
        <u/>
      </rPr>
      <t>https://sibangkitukm.bandungkab.go.id</t>
    </r>
  </si>
  <si>
    <r>
      <rPr>
        <rFont val="Calibri, sans-serif"/>
        <color rgb="FF1155CC"/>
        <sz val="12.0"/>
        <u/>
      </rPr>
      <t xml:space="preserve">Anne Rahmawati, S.Sos., </t>
    </r>
    <r>
      <rPr>
        <rFont val="Calibri, sans-serif"/>
        <color rgb="FF1155CC"/>
        <sz val="12.0"/>
        <u/>
      </rPr>
      <t>M.Si</t>
    </r>
  </si>
  <si>
    <r>
      <rPr>
        <rFont val="Calibri, sans-serif"/>
        <color rgb="FF1155CC"/>
        <sz val="12.0"/>
        <u/>
      </rPr>
      <t>https://sikoperbedas.bandungkab.go.id/</t>
    </r>
  </si>
  <si>
    <r>
      <rPr>
        <rFont val="Calibri, sans-serif"/>
        <color rgb="FF1155CC"/>
        <sz val="12.0"/>
        <u/>
      </rPr>
      <t>https://usahamikro.bandungkab.go.id/</t>
    </r>
  </si>
  <si>
    <r>
      <rPr>
        <rFont val="Calibri, sans-serif"/>
        <color rgb="FF1155CC"/>
        <sz val="12.0"/>
        <u/>
      </rPr>
      <t xml:space="preserve">Anne Rahmawati, S.Sos., </t>
    </r>
    <r>
      <rPr>
        <rFont val="Calibri, sans-serif"/>
        <color rgb="FF1155CC"/>
        <sz val="12.0"/>
        <u/>
      </rPr>
      <t>M.Si</t>
    </r>
  </si>
  <si>
    <r>
      <rPr>
        <rFont val="Calibri, sans-serif"/>
        <color rgb="FF1155CC"/>
        <sz val="12.0"/>
        <u/>
      </rPr>
      <t>https://drive.google.com/file/d/1xLGvVqyQdJTXp_gTo9XoOeAPrmSfoy_q/view?usp=sharing</t>
    </r>
  </si>
  <si>
    <r>
      <rPr>
        <rFont val="Calibri, sans-serif"/>
        <color rgb="FF1155CC"/>
        <sz val="12.0"/>
        <u/>
      </rPr>
      <t>https://ibandungkab.moco.co.id/</t>
    </r>
  </si>
  <si>
    <r>
      <rPr>
        <rFont val="Calibri, sans-serif"/>
        <color rgb="FF1155CC"/>
        <sz val="12.0"/>
        <u/>
      </rPr>
      <t xml:space="preserve">Rizal Mulki Farhan, </t>
    </r>
    <r>
      <rPr>
        <rFont val="Calibri, sans-serif"/>
        <color rgb="FF1155CC"/>
        <sz val="12.0"/>
        <u/>
      </rPr>
      <t>A.Ma</t>
    </r>
    <r>
      <rPr>
        <rFont val="Calibri, sans-serif"/>
        <color rgb="FF1155CC"/>
        <sz val="12.0"/>
        <u/>
      </rPr>
      <t>.Pust.</t>
    </r>
  </si>
  <si>
    <r>
      <rPr>
        <rFont val="Calibri, sans-serif"/>
        <color rgb="FF1155CC"/>
        <sz val="12.0"/>
        <u/>
      </rPr>
      <t>https://drive.google.com/file/d/1FL4agfMs9a3tAmDlzxiGL6UA1alZs_Er/view?usp=sharing</t>
    </r>
  </si>
  <si>
    <r>
      <rPr>
        <rFont val="Calibri, sans-serif"/>
        <color rgb="FF1155CC"/>
        <sz val="12.0"/>
        <u/>
      </rPr>
      <t>https://perpus.bandungkab.go.id/pendaftaran</t>
    </r>
  </si>
  <si>
    <r>
      <rPr>
        <rFont val="Calibri, sans-serif"/>
        <color rgb="FF1155CC"/>
        <sz val="12.0"/>
        <u/>
      </rPr>
      <t>sikn.anri.go.id</t>
    </r>
  </si>
  <si>
    <r>
      <rPr>
        <rFont val="Calibri, sans-serif"/>
        <color rgb="FF1155CC"/>
        <sz val="12.0"/>
        <u/>
      </rPr>
      <t>srikandi.arsip.go.id</t>
    </r>
  </si>
  <si>
    <r>
      <rPr>
        <rFont val="Calibri, sans-serif"/>
        <color rgb="FF1155CC"/>
        <sz val="12.0"/>
        <u/>
      </rPr>
      <t>https://ipusnas2.perpusnas.go.id/login</t>
    </r>
  </si>
  <si>
    <r>
      <rPr>
        <rFont val="Calibri, sans-serif"/>
        <color rgb="FF1155CC"/>
        <sz val="12.0"/>
        <u/>
      </rPr>
      <t>https://drive.google.com/drive/folders/1Ejl6GsPadSWWZ-gXvbwNU62zsG4t_RcK?usp=drive_link</t>
    </r>
  </si>
  <si>
    <r>
      <rPr>
        <rFont val="Calibri, sans-serif"/>
        <color rgb="FF1155CC"/>
        <sz val="12.0"/>
        <u/>
      </rPr>
      <t>https://apar.bandungkab.go.id</t>
    </r>
  </si>
  <si>
    <r>
      <rPr>
        <rFont val="Calibri, sans-serif"/>
        <color rgb="FF1155CC"/>
        <sz val="12.0"/>
        <u/>
      </rPr>
      <t>https://drive.google.com/drive/folders/1Ejl6GsPadSWWZ-gXvbwNU62zsG4t_RcK?usp=drive_link</t>
    </r>
  </si>
  <si>
    <r>
      <rPr>
        <rFont val="Calibri, sans-serif"/>
        <color rgb="FF1155CC"/>
        <sz val="12.0"/>
        <u/>
      </rPr>
      <t>https://bit.ly/3J7M46m?r=qr</t>
    </r>
  </si>
  <si>
    <r>
      <rPr>
        <rFont val="Calibri, sans-serif"/>
        <color rgb="FF1155CC"/>
        <sz val="12.0"/>
        <u/>
      </rPr>
      <t>https://drive.google.com/drive/folders/1Ejl6GsPadSWWZ-gXvbwNU62zsG4t_RcK?usp=drive_link</t>
    </r>
  </si>
  <si>
    <r>
      <rPr>
        <rFont val="Calibri, sans-serif"/>
        <color rgb="FF1155CC"/>
        <sz val="12.0"/>
        <u/>
      </rPr>
      <t>https://bit.ly/4maEzdy?r=qr</t>
    </r>
  </si>
  <si>
    <r>
      <rPr>
        <rFont val="Calibri, sans-serif"/>
        <color rgb="FF1155CC"/>
        <sz val="12.0"/>
        <u/>
      </rPr>
      <t>https://drive.google.com/drive/folders/1Ejl6GsPadSWWZ-gXvbwNU62zsG4t_RcK?usp=drive_link</t>
    </r>
  </si>
  <si>
    <r>
      <rPr>
        <rFont val="Calibri, sans-serif"/>
        <color rgb="FF1155CC"/>
        <sz val="12.0"/>
        <u/>
      </rPr>
      <t>https://drive.google.com/drive/folders/1Ejl6GsPadSWWZ-gXvbwNU62zsG4t_RcK?usp=drive_link</t>
    </r>
  </si>
  <si>
    <r>
      <rPr>
        <rFont val="Calibri, sans-serif"/>
        <color rgb="FF1155CC"/>
        <sz val="12.0"/>
        <u/>
      </rPr>
      <t>https://drive.google.com/drive/folders/1Ejl6GsPadSWWZ-gXvbwNU62zsG4t_RcK?usp=drive_link</t>
    </r>
  </si>
  <si>
    <r>
      <rPr>
        <rFont val="Calibri, sans-serif"/>
        <color rgb="FF1155CC"/>
        <sz val="12.0"/>
        <u/>
      </rPr>
      <t>https://drive.google.com/drive/folders/1Ejl6GsPadSWWZ-gXvbwNU62zsG4t_RcK?usp=drive_link</t>
    </r>
  </si>
  <si>
    <r>
      <rPr>
        <rFont val="Calibri, sans-serif"/>
        <color rgb="FF1155CC"/>
        <sz val="12.0"/>
        <u/>
      </rPr>
      <t>https://drive.google.com/drive/folders/1Ejl6GsPadSWWZ-gXvbwNU62zsG4t_RcK?usp=drive_link</t>
    </r>
  </si>
  <si>
    <r>
      <rPr>
        <rFont val="Calibri, sans-serif"/>
        <color rgb="FF1155CC"/>
        <sz val="12.0"/>
        <u/>
      </rPr>
      <t>https://drive.google.com/drive/u/1/folders/1OmZJCQ07S-vIbWQDO6jSHpZyJaE2oGJM</t>
    </r>
  </si>
  <si>
    <r>
      <rPr>
        <rFont val="Calibri, sans-serif"/>
        <color rgb="FF1155CC"/>
        <sz val="12.0"/>
        <u/>
      </rPr>
      <t>https://simbarraya.bandungkab.go.id/</t>
    </r>
  </si>
  <si>
    <r>
      <rPr>
        <rFont val="Calibri, sans-serif"/>
        <color rgb="FF1155CC"/>
        <sz val="12.0"/>
        <u/>
      </rPr>
      <t>https://drive.google.com/file/d/1U5Ce3fAIo3YOESTLI_rdag9_xK_sncgn/view?usp=sharing</t>
    </r>
  </si>
  <si>
    <r>
      <rPr>
        <rFont val="Calibri, sans-serif"/>
        <color rgb="FF1155CC"/>
        <sz val="12.0"/>
        <u/>
      </rPr>
      <t>https://apik.bandungkab.go.id/apik/login</t>
    </r>
  </si>
  <si>
    <r>
      <rPr>
        <rFont val="Calibri, sans-serif"/>
        <color rgb="FF1155CC"/>
        <sz val="12.0"/>
        <u/>
      </rPr>
      <t>https://drive.google.com/file/d/1JhS_khzdBgbJD9WfRdXNmMfYuI_ppqJR/view?usp=sharing</t>
    </r>
  </si>
  <si>
    <r>
      <rPr>
        <rFont val="Calibri, sans-serif"/>
        <color rgb="FF1155CC"/>
        <sz val="12.0"/>
        <u/>
      </rPr>
      <t>https://bajuri.bandungkab.go.id/</t>
    </r>
  </si>
  <si>
    <r>
      <rPr>
        <rFont val="Calibri, sans-serif"/>
        <color rgb="FF1155CC"/>
        <sz val="12.0"/>
        <u/>
      </rPr>
      <t>https://romantik.web.bps.go.id/</t>
    </r>
  </si>
  <si>
    <r>
      <rPr>
        <rFont val="Calibri, sans-serif"/>
        <color rgb="FF1155CC"/>
        <sz val="12.0"/>
        <u/>
      </rPr>
      <t>https://drive.google.com/file/d/18x4SyFaMTJIHq1ORgmmghi6RwxlrdqOk/view?usp=sharing</t>
    </r>
  </si>
  <si>
    <r>
      <rPr>
        <rFont val="Calibri, sans-serif"/>
        <color rgb="FF1155CC"/>
        <sz val="12.0"/>
        <u/>
      </rPr>
      <t>https://sso.bandungkab.go.id/</t>
    </r>
  </si>
  <si>
    <r>
      <rPr>
        <rFont val="Calibri, sans-serif"/>
        <color rgb="FF1155CC"/>
        <sz val="12.0"/>
        <u/>
      </rPr>
      <t>mailto:lemicandra@gmail.com</t>
    </r>
  </si>
  <si>
    <r>
      <rPr>
        <rFont val="Calibri, sans-serif"/>
        <color rgb="FF1155CC"/>
        <sz val="12.0"/>
        <u/>
      </rPr>
      <t>https://pelayanan.bandungkab.dapda.id/</t>
    </r>
  </si>
  <si>
    <r>
      <rPr>
        <rFont val="Calibri, sans-serif"/>
        <color rgb="FF1155CC"/>
        <sz val="12.0"/>
        <u/>
      </rPr>
      <t>https://drive.google.com/file/d/1Wq5fbFaB6cGVodoz0G93rd3_HKNa842I/view?usp=sharing</t>
    </r>
  </si>
  <si>
    <r>
      <rPr>
        <rFont val="Calibri, sans-serif"/>
        <color rgb="FF1155CC"/>
        <sz val="12.0"/>
        <u/>
      </rPr>
      <t>https://hspkasb.e-planningbmd.id/auth</t>
    </r>
  </si>
  <si>
    <r>
      <rPr>
        <rFont val="Calibri, sans-serif"/>
        <color rgb="FF1155CC"/>
        <sz val="12.0"/>
        <u/>
      </rPr>
      <t>https://sidesa.bandungkab.dapda.id/login</t>
    </r>
  </si>
  <si>
    <r>
      <rPr>
        <rFont val="Calibri, sans-serif"/>
        <color rgb="FF1155CC"/>
        <sz val="12.0"/>
        <u/>
      </rPr>
      <t>soreang.dapda.id</t>
    </r>
  </si>
  <si>
    <r>
      <rPr>
        <rFont val="Calibri, sans-serif"/>
        <color rgb="FF1155CC"/>
        <sz val="12.0"/>
        <u/>
      </rPr>
      <t>https://drive.google.com/file/d/1YRKKugsMdrXTfIPPP5t9vIuPmcSmeJi-/view?usp=sharing</t>
    </r>
  </si>
  <si>
    <r>
      <rPr>
        <rFont val="Calibri, sans-serif"/>
        <color rgb="FF1155CC"/>
        <sz val="12.0"/>
        <u/>
      </rPr>
      <t>https://penatausahaan-dev-bmd.bandungkab.go.id/login#pembukuan</t>
    </r>
  </si>
  <si>
    <r>
      <rPr>
        <rFont val="Calibri, sans-serif"/>
        <color rgb="FF1155CC"/>
        <sz val="12.0"/>
        <u/>
      </rPr>
      <t>https://docs.google.com/spreadsheets/d/1GrF7yl0eJIiOHTS8n_w_9Sp-PAVtSvEu/edit?usp=drive_link&amp;ouid=100880423975394660255&amp;rtpof=true&amp;sd=true</t>
    </r>
  </si>
  <si>
    <r>
      <rPr>
        <rFont val="Calibri, sans-serif"/>
        <color rgb="FF1155CC"/>
        <sz val="12.0"/>
        <u/>
      </rPr>
      <t>rkbmd.e-planningbmd.id</t>
    </r>
  </si>
  <si>
    <r>
      <rPr>
        <rFont val="Calibri, sans-serif"/>
        <color rgb="FF1155CC"/>
        <sz val="12.0"/>
        <u/>
      </rPr>
      <t>https://drive.google.com/file/d/1pRxS9hpYYxPfeElynApRSPgiKe_xbqQZ/view?usp=drive_link</t>
    </r>
  </si>
  <si>
    <t>KDO</t>
  </si>
  <si>
    <t>https://kdo.e-planningbmd.id/</t>
  </si>
  <si>
    <r>
      <rPr>
        <rFont val="Calibri, sans-serif"/>
        <color rgb="FF1155CC"/>
        <sz val="12.0"/>
        <u/>
      </rPr>
      <t>https://e-penghapusanbmd.id/</t>
    </r>
  </si>
  <si>
    <r>
      <rPr>
        <rFont val="Calibri, sans-serif"/>
        <color rgb="FF1155CC"/>
        <sz val="12.0"/>
        <u/>
      </rPr>
      <t>https://persediaanbmd.bandungkab.go.id/</t>
    </r>
  </si>
  <si>
    <r>
      <rPr>
        <rFont val="Calibri, sans-serif"/>
        <color rgb="FF1155CC"/>
        <sz val="12.0"/>
        <u/>
      </rPr>
      <t>https://drive.google.com/file/d/1EleK6UBDx7lBx-8YOCfg6TAbMx8HdYBj/view?usp=sharing</t>
    </r>
  </si>
  <si>
    <r>
      <rPr>
        <rFont val="Calibri, sans-serif"/>
        <color rgb="FF1155CC"/>
        <sz val="12.0"/>
        <u/>
      </rPr>
      <t>pbb-online.bandungkab.go.id</t>
    </r>
  </si>
  <si>
    <r>
      <rPr>
        <rFont val="Calibri, sans-serif"/>
        <color rgb="FF1155CC"/>
        <sz val="12.0"/>
        <u/>
      </rPr>
      <t>https://drive.google.com/file/d/1CloKUh40TI8aJ_npp4ASJNSlnRVawVBn/view?usp=sharing</t>
    </r>
  </si>
  <si>
    <r>
      <rPr>
        <rFont val="Calibri, sans-serif"/>
        <color rgb="FF1155CC"/>
        <sz val="12.0"/>
        <u/>
      </rPr>
      <t>https://drive.google.com/drive/folders/1psrMJUnyozjImYwLa6s5MSyj6ohEJYQO?usp=sharing</t>
    </r>
  </si>
  <si>
    <r>
      <rPr>
        <rFont val="Calibri, sans-serif"/>
        <color rgb="FF1155CC"/>
        <sz val="12.0"/>
        <u/>
      </rPr>
      <t>https://bphtb2.bandungkab.go.id/</t>
    </r>
  </si>
  <si>
    <r>
      <rPr>
        <rFont val="Calibri, sans-serif"/>
        <color rgb="FF1155CC"/>
        <sz val="12.0"/>
        <u/>
      </rPr>
      <t>https://drive.google.com/drive/folders/1YBsK-2pdfsgxA-SPqsa5WMZzipvbo0Zl?usp=sharing</t>
    </r>
  </si>
  <si>
    <r>
      <rPr>
        <rFont val="Calibri, sans-serif"/>
        <color rgb="FF1155CC"/>
        <sz val="12.0"/>
        <u/>
      </rPr>
      <t>https://e-pad.bandungkab.go.id/index.php/user/login</t>
    </r>
  </si>
  <si>
    <r>
      <rPr>
        <rFont val="Calibri, sans-serif"/>
        <color rgb="FF1155CC"/>
        <sz val="12.0"/>
        <u/>
      </rPr>
      <t>https://e-absensi.bandungkab.go.id/login</t>
    </r>
  </si>
  <si>
    <r>
      <rPr>
        <rFont val="Calibri, sans-serif"/>
        <color rgb="FF1155CC"/>
        <sz val="12.0"/>
        <u/>
      </rPr>
      <t>https://drive.google.com/file/d/1-u8BdMLGCu4aICHYLsA_St6eYZj99BZB/view?usp=drive_link</t>
    </r>
  </si>
  <si>
    <r>
      <rPr>
        <rFont val="Arial, sans-serif"/>
        <color rgb="FF1155CC"/>
        <u/>
      </rPr>
      <t>https://sso.bandungkab.go.id</t>
    </r>
  </si>
  <si>
    <r>
      <rPr>
        <rFont val="Arial, sans-serif"/>
        <color rgb="FF1155CC"/>
        <u/>
      </rPr>
      <t>dediradi@gmail.com</t>
    </r>
  </si>
  <si>
    <r>
      <rPr>
        <rFont val="Calibri, sans-serif"/>
        <color rgb="FF1155CC"/>
        <sz val="12.0"/>
        <u/>
      </rPr>
      <t>https://drive.google.com/file/d/1PXizS0lsGfzHef1oqj26L6YEq9Ht-TsF/view?usp=sharing</t>
    </r>
  </si>
  <si>
    <r>
      <rPr>
        <rFont val="Calibri, sans-serif"/>
        <color rgb="FF1155CC"/>
        <sz val="12.0"/>
        <u/>
      </rPr>
      <t>https://drive.google.com/file/d/1Ytr1MO33D981VKk7RIXXUdXU9tmvqtIl/view?usp=sharing</t>
    </r>
  </si>
  <si>
    <r>
      <rPr>
        <rFont val="Calibri, sans-serif"/>
        <color rgb="FF1155CC"/>
        <sz val="12.0"/>
        <u/>
      </rPr>
      <t>https://docs.google.com/forms/d/e/1FAIpQLScgtcVM1HIFI6Kb84RdU-NURHvy6qz13ikmHRCejwiPs-g2KQ/viewform?pli=1</t>
    </r>
  </si>
  <si>
    <r>
      <rPr>
        <rFont val="Calibri, sans-serif"/>
        <color rgb="FF1155CC"/>
        <sz val="12.0"/>
        <u/>
      </rPr>
      <t>https://drive.google.com/file/d/1OVv4yCmrgdrfLSeSS5ewogAtczV2aIlF/view?usp=sharing</t>
    </r>
  </si>
  <si>
    <r>
      <rPr>
        <rFont val="Calibri, sans-serif"/>
        <color rgb="FF1155CC"/>
        <sz val="12.0"/>
        <u/>
      </rPr>
      <t>https://play.google.com/store/apps/details?id=com.diskominfo.bpbd</t>
    </r>
  </si>
  <si>
    <r>
      <rPr>
        <rFont val="Calibri, sans-serif"/>
        <color rgb="FF1155CC"/>
        <sz val="12.0"/>
        <u/>
      </rPr>
      <t>https://drive.google.com/file/d/1OVv4yCmrgdrfLSeSS5ewogAtczV2aIlF/view?usp=sharing</t>
    </r>
  </si>
  <si>
    <r>
      <rPr>
        <rFont val="Calibri, sans-serif"/>
        <color rgb="FF1155CC"/>
        <sz val="12.0"/>
        <u/>
      </rPr>
      <t>http://dibi.bnpb.go.id/</t>
    </r>
  </si>
  <si>
    <r>
      <rPr>
        <rFont val="Calibri, sans-serif"/>
        <color rgb="FF1155CC"/>
        <sz val="12.0"/>
        <u/>
      </rPr>
      <t>https://docs.google.com/spreadsheets/d/1l5-2zqpZNcqk1vc27yahE2fBaLI9m7gY/edit?usp=sharing&amp;ouid=116583022603845992448&amp;rtpof=true&amp;sd=true</t>
    </r>
  </si>
  <si>
    <r>
      <rPr>
        <rFont val="Calibri, sans-serif"/>
        <color rgb="FF1155CC"/>
        <sz val="12.0"/>
        <u/>
      </rPr>
      <t>https://drive.google.com/drive/folders/1B5BkNR_l7v0dpf1e8Y6cIlWcgjAqRVF5?usp=drive_link</t>
    </r>
  </si>
  <si>
    <r>
      <rPr>
        <rFont val="Calibri, sans-serif"/>
        <color rgb="FF1155CC"/>
        <sz val="12.0"/>
        <u/>
      </rPr>
      <t>https://drive.google.com/file/d/1T1U4oNUqZS1NcFlgpFY6CJRp0CcQqlBv/view?usp=drive_link</t>
    </r>
  </si>
  <si>
    <r>
      <rPr>
        <rFont val="Calibri, sans-serif"/>
        <color rgb="FF1155CC"/>
        <sz val="12.0"/>
        <u/>
      </rPr>
      <t>https://drive.google.com/drive/folders/1vjgfqjMxOGjNMjW_D5TVCMti_1yMqG0T?usp=sharing</t>
    </r>
  </si>
  <si>
    <r>
      <rPr>
        <rFont val="Calibri, sans-serif"/>
        <color rgb="FF1155CC"/>
        <sz val="12.0"/>
        <u/>
      </rPr>
      <t>simpel.menlhk.go.id</t>
    </r>
  </si>
  <si>
    <r>
      <rPr>
        <rFont val="Calibri, sans-serif"/>
        <color rgb="FF1155CC"/>
        <sz val="12.0"/>
        <u/>
      </rPr>
      <t>https://ee.kobotoolbox.org/x/YQp13dFa</t>
    </r>
  </si>
  <si>
    <r>
      <rPr>
        <rFont val="Calibri, sans-serif"/>
        <color rgb="FF1155CC"/>
        <sz val="12.0"/>
        <u/>
      </rPr>
      <t>https://simgajiweb.taspen.co.id/</t>
    </r>
  </si>
  <si>
    <r>
      <rPr>
        <rFont val="Calibri, sans-serif"/>
        <color rgb="FF1155CC"/>
        <sz val="12.0"/>
        <u/>
      </rPr>
      <t>https://e-retribusi.bandungkab.go.id/</t>
    </r>
  </si>
  <si>
    <r>
      <rPr>
        <rFont val="Calibri, sans-serif"/>
        <color rgb="FF1155CC"/>
        <sz val="12.0"/>
        <u/>
      </rPr>
      <t xml:space="preserve">Fidriansyah, </t>
    </r>
    <r>
      <rPr>
        <rFont val="Calibri, sans-serif"/>
        <color rgb="FF1155CC"/>
        <sz val="12.0"/>
        <u/>
      </rPr>
      <t>A.Md</t>
    </r>
  </si>
  <si>
    <r>
      <rPr>
        <rFont val="Calibri, sans-serif"/>
        <color rgb="FF1155CC"/>
        <sz val="12.0"/>
        <u/>
      </rPr>
      <t>https://sirup.inaproc.id/sirup/loginctr/index</t>
    </r>
  </si>
  <si>
    <r>
      <rPr>
        <rFont val="Calibri, sans-serif"/>
        <color rgb="FF1155CC"/>
        <sz val="12.0"/>
        <u/>
      </rPr>
      <t>https://sisrute.kemkes.go.id/</t>
    </r>
  </si>
  <si>
    <r>
      <rPr>
        <rFont val="Calibri, sans-serif"/>
        <color rgb="FF1155CC"/>
        <sz val="12.0"/>
        <u/>
      </rPr>
      <t>https://mpn.kemenkeu.go.id</t>
    </r>
  </si>
  <si>
    <r>
      <rPr>
        <rFont val="Calibri, sans-serif"/>
        <color rgb="FF1155CC"/>
        <sz val="12.0"/>
        <u/>
      </rPr>
      <t>sisdmk.kemkes.go.id</t>
    </r>
  </si>
  <si>
    <r>
      <rPr>
        <rFont val="Calibri, sans-serif"/>
        <color rgb="FF1155CC"/>
        <sz val="12.0"/>
        <u/>
      </rPr>
      <t>sirs.kemkes.go.id</t>
    </r>
  </si>
  <si>
    <r>
      <rPr>
        <rFont val="Calibri, sans-serif"/>
        <color rgb="FF1155CC"/>
        <sz val="12.0"/>
        <u/>
      </rPr>
      <t>https://sippn.menpan.go.id/</t>
    </r>
  </si>
  <si>
    <r>
      <rPr>
        <rFont val="Arial, sans-serif"/>
        <color rgb="FF1155CC"/>
        <u/>
      </rPr>
      <t>https://mutufasyankes.kemkes.go.id/</t>
    </r>
  </si>
  <si>
    <r>
      <rPr>
        <rFont val="Calibri, sans-serif"/>
        <color rgb="FF1155CC"/>
        <sz val="12.0"/>
        <u/>
      </rPr>
      <t xml:space="preserve">Endah Mawarni, </t>
    </r>
    <r>
      <rPr>
        <rFont val="Calibri, sans-serif"/>
        <color rgb="FF1155CC"/>
        <sz val="12.0"/>
        <u/>
      </rPr>
      <t>A.Md</t>
    </r>
    <r>
      <rPr>
        <rFont val="Calibri, sans-serif"/>
        <color rgb="FF1155CC"/>
        <sz val="12.0"/>
        <u/>
      </rPr>
      <t>.Kes</t>
    </r>
  </si>
  <si>
    <r>
      <rPr>
        <rFont val="Calibri, sans-serif"/>
        <color rgb="FF1155CC"/>
        <sz val="12.0"/>
        <u/>
      </rPr>
      <t>https://aspak.kemkes.go.id/aplikasi/site/index</t>
    </r>
  </si>
  <si>
    <r>
      <rPr>
        <rFont val="Calibri, sans-serif"/>
        <color rgb="FF1155CC"/>
        <sz val="12.0"/>
        <u/>
      </rPr>
      <t>https://drive.google.com/file/d/1T1U4oNUqZS1NcFlgpFY6CJRp0CcQqlBv/view?usp=drive_link</t>
    </r>
  </si>
  <si>
    <r>
      <rPr>
        <rFont val="Calibri, sans-serif"/>
        <color rgb="FF1155CC"/>
        <sz val="12.0"/>
        <u/>
      </rPr>
      <t>https://apik.bandungkab.go.id/apik/login</t>
    </r>
  </si>
  <si>
    <r>
      <rPr>
        <rFont val="&quot;Hind Siliguri&quot;"/>
        <color rgb="FF1155CC"/>
        <u/>
      </rPr>
      <t>https://drive.google.com/file/d/1T1U4oNUqZS1NcFlgpFY6CJRp0CcQqlBv/view?usp=drive_link</t>
    </r>
  </si>
  <si>
    <r>
      <rPr>
        <rFont val="&quot;Hind Siliguri&quot;"/>
        <color rgb="FF1155CC"/>
        <u/>
      </rPr>
      <t>https://skm.bandungkab.go.id/</t>
    </r>
  </si>
  <si>
    <r>
      <rPr>
        <rFont val="&quot;Hind Siliguri&quot;"/>
        <color rgb="FF1155CC"/>
        <u/>
      </rPr>
      <t>http://192.168.40.89/sikeren</t>
    </r>
  </si>
  <si>
    <r>
      <rPr>
        <rFont val="&quot;Hind Siliguri&quot;"/>
        <color rgb="FF1155CC"/>
        <u/>
      </rPr>
      <t>https://edabu.bpjs-kesehatan.go.id/Edabu/Home/Login?AspxAutoDetectCookieSupport=1</t>
    </r>
  </si>
  <si>
    <r>
      <rPr>
        <rFont val="&quot;Hind Siliguri&quot;"/>
        <color rgb="FF1155CC"/>
        <u/>
      </rPr>
      <t>satusehat.kemkes.go.id/sdmk</t>
    </r>
  </si>
  <si>
    <r>
      <rPr>
        <rFont val="&quot;Hind Siliguri&quot;"/>
        <color rgb="FF1155CC"/>
        <u/>
      </rPr>
      <t>AYI RAHADIAN, S.Tr.Kom</t>
    </r>
  </si>
  <si>
    <r>
      <rPr>
        <rFont val="Calibri, sans-serif"/>
        <color rgb="FF1155CC"/>
        <sz val="12.0"/>
        <u/>
      </rPr>
      <t>https://drive.google.com/file/d/1-OkimWi2XkYVZbq8aStpKFlsMtErBFog/view?usp=drivesdk</t>
    </r>
  </si>
  <si>
    <r>
      <rPr>
        <rFont val="Calibri, sans-serif"/>
        <color rgb="FF1155CC"/>
        <sz val="12.0"/>
        <u/>
      </rPr>
      <t>bdskts.id</t>
    </r>
  </si>
  <si>
    <r>
      <rPr>
        <rFont val="Arial, sans-serif"/>
        <color rgb="FF1155CC"/>
        <u/>
      </rPr>
      <t>SIRANAP</t>
    </r>
  </si>
  <si>
    <r>
      <rPr>
        <rFont val="Calibri, sans-serif"/>
        <color rgb="FF1155CC"/>
        <sz val="12.0"/>
        <u/>
      </rPr>
      <t>https://drive.google.com/drive/u/1/folders/12dUcuD3FJiM5lhmxZqNrZc05M-qKTqaU</t>
    </r>
  </si>
  <si>
    <r>
      <rPr>
        <rFont val="Calibri, sans-serif"/>
        <color rgb="FF1155CC"/>
        <sz val="11.0"/>
        <u/>
      </rPr>
      <t>Yankes Single SIGN-ON</t>
    </r>
  </si>
  <si>
    <r>
      <rPr>
        <rFont val="Calibri, sans-serif"/>
        <color rgb="FF1155CC"/>
        <sz val="12.0"/>
        <u/>
      </rPr>
      <t>https://ujiprof.labkesjabar.com/</t>
    </r>
  </si>
  <si>
    <r>
      <rPr>
        <rFont val="Arial, sans-serif"/>
        <color rgb="FF1155CC"/>
        <sz val="12.0"/>
        <u/>
      </rPr>
      <t>UU No. 17 Tahun 2023 tentang Kesehatan</t>
    </r>
    <r>
      <rPr>
        <rFont val="&quot;Google Sans&quot;"/>
        <color rgb="FF1155CC"/>
        <sz val="12.0"/>
        <u/>
      </rPr>
      <t xml:space="preserve"> (pengelolaan data nasional) dan </t>
    </r>
    <r>
      <rPr>
        <rFont val="Arial, sans-serif"/>
        <color rgb="FF1155CC"/>
        <sz val="12.0"/>
        <u/>
      </rPr>
      <t>UU No. 27 Tahun 2022 tentang Pelindungan Data Pribadi</t>
    </r>
    <r>
      <rPr>
        <rFont val="&quot;Google Sans&quot;"/>
        <color rgb="FF1155CC"/>
        <sz val="12.0"/>
        <u/>
      </rPr>
      <t xml:space="preserve"> (dasar pemrosesan data)</t>
    </r>
  </si>
  <si>
    <r>
      <rPr>
        <rFont val="Calibri, sans-serif"/>
        <color rgb="FF1155CC"/>
        <sz val="12.0"/>
        <u/>
      </rPr>
      <t>https://drive.google.com/drive/u/1/folders/1BMJeHVe0f6zjx97q_TOFnGkZBTxNZTBd</t>
    </r>
  </si>
  <si>
    <r>
      <rPr>
        <rFont val="Arial, sans-serif"/>
        <color rgb="FF1155CC"/>
        <u/>
      </rPr>
      <t>Workbook: Dashboard Pemantauan Aliran Data SATUSEHAT</t>
    </r>
  </si>
  <si>
    <r>
      <rPr>
        <rFont val="Arial, sans-serif"/>
        <color rgb="FF1155CC"/>
        <u/>
      </rPr>
      <t>https://dmi.kemkes.go.id/dhis-web-commons/security/login.action</t>
    </r>
  </si>
  <si>
    <r>
      <rPr>
        <rFont val="Inter"/>
        <color rgb="FF1155CC"/>
        <u/>
      </rPr>
      <t>https://balis.bapeten.go.id/frontend2/public/panel/dashboard</t>
    </r>
  </si>
  <si>
    <r>
      <rPr>
        <rFont val="&quot;Google Sans&quot;"/>
        <b/>
        <color rgb="FF1155CC"/>
        <sz val="9.0"/>
        <u/>
      </rPr>
      <t>https://e-meso.pom.go.id/ADR</t>
    </r>
  </si>
  <si>
    <r>
      <rPr>
        <rFont val="Calibri, sans-serif"/>
        <color rgb="FF1155CC"/>
        <sz val="12.0"/>
        <u/>
      </rPr>
      <t xml:space="preserve">Komariah </t>
    </r>
    <r>
      <rPr>
        <rFont val="Calibri, sans-serif"/>
        <color rgb="FF1155CC"/>
        <sz val="12.0"/>
        <u/>
      </rPr>
      <t>S.Si</t>
    </r>
    <r>
      <rPr>
        <rFont val="Calibri, sans-serif"/>
        <color rgb="FF1155CC"/>
        <sz val="12.0"/>
        <u/>
      </rPr>
      <t>,Apt</t>
    </r>
  </si>
  <si>
    <r>
      <rPr>
        <rFont val="Arial, sans-serif"/>
        <color rgb="FF1155CC"/>
        <u/>
      </rPr>
      <t>:Health Facilities Information System (H.F.I.S):</t>
    </r>
  </si>
  <si>
    <r>
      <rPr>
        <rFont val="Calibri, sans-serif"/>
        <color rgb="FF1155CC"/>
        <sz val="12.0"/>
        <u/>
      </rPr>
      <t>https://dhephl.bandungkab.go.id/</t>
    </r>
  </si>
  <si>
    <r>
      <rPr>
        <rFont val="Arial, sans-serif"/>
        <color rgb="FF1155CC"/>
        <sz val="12.0"/>
        <u/>
      </rPr>
      <t>UU No. 17 Tahun 2023 tentang Kesehatan</t>
    </r>
    <r>
      <rPr>
        <rFont val="&quot;Google Sans&quot;"/>
        <color rgb="FF1155CC"/>
        <sz val="12.0"/>
        <u/>
      </rPr>
      <t xml:space="preserve"> (pengelolaan data nasional) dan </t>
    </r>
    <r>
      <rPr>
        <rFont val="Arial, sans-serif"/>
        <color rgb="FF1155CC"/>
        <sz val="12.0"/>
        <u/>
      </rPr>
      <t>UU No. 27 Tahun 2022 tentang Pelindungan Data Pribadi</t>
    </r>
    <r>
      <rPr>
        <rFont val="&quot;Google Sans&quot;"/>
        <color rgb="FF1155CC"/>
        <sz val="12.0"/>
        <u/>
      </rPr>
      <t xml:space="preserve"> (dasar pemrosesan data)</t>
    </r>
  </si>
  <si>
    <r>
      <rPr>
        <rFont val="Calibri, sans-serif"/>
        <color rgb="FF1155CC"/>
        <sz val="12.0"/>
        <u/>
      </rPr>
      <t>https://drive.google.com/drive/u/1/folders/1BMJeHVe0f6zjx97q_TOFnGkZBTxNZTBd</t>
    </r>
  </si>
  <si>
    <r>
      <rPr>
        <rFont val="Arial, sans-serif"/>
        <color rgb="FF1155CC"/>
        <u/>
      </rPr>
      <t>Workbook: Dashboard Pemantauan Aliran Data SATUSEHAT</t>
    </r>
  </si>
  <si>
    <r>
      <rPr>
        <rFont val="Arial, sans-serif"/>
        <color rgb="FF1155CC"/>
        <sz val="11.0"/>
        <u/>
      </rPr>
      <t>https://simaslahat.bandungkab.go.id</t>
    </r>
  </si>
  <si>
    <r>
      <rPr>
        <rFont val="Arial, sans-serif"/>
        <color rgb="FF1155CC"/>
        <sz val="11.0"/>
        <u/>
      </rPr>
      <t>https://lapor.go.id/</t>
    </r>
  </si>
  <si>
    <r>
      <rPr>
        <rFont val="Arial, sans-serif"/>
        <color rgb="FF1155CC"/>
        <sz val="11.0"/>
        <u/>
      </rPr>
      <t>https://simasda.bandungkab.go.id/</t>
    </r>
  </si>
  <si>
    <r>
      <rPr>
        <rFont val="Arial, sans-serif"/>
        <color rgb="FF1155CC"/>
        <sz val="11.0"/>
        <u/>
      </rPr>
      <t>https://sirekonpajak.bandungkab.go.id/</t>
    </r>
  </si>
  <si>
    <r>
      <rPr>
        <rFont val="Arial, sans-serif"/>
        <color rgb="FF1155CC"/>
        <sz val="11.0"/>
        <u/>
      </rPr>
      <t>coretaxdjp.pajak.go.id</t>
    </r>
  </si>
  <si>
    <r>
      <rPr>
        <rFont val="Arial, sans-serif"/>
        <color rgb="FF1155CC"/>
        <sz val="11.0"/>
        <u/>
      </rPr>
      <t>https://e-sptpd.bandungkab.go.id/</t>
    </r>
  </si>
  <si>
    <r>
      <rPr>
        <rFont val="Arial, sans-serif"/>
        <color rgb="FF1155CC"/>
        <sz val="11.0"/>
        <u/>
      </rPr>
      <t>https://sultan.bandungkab.go.id/</t>
    </r>
  </si>
  <si>
    <r>
      <rPr>
        <rFont val="Arial, sans-serif"/>
        <color rgb="FF1155CC"/>
        <sz val="11.0"/>
        <u/>
      </rPr>
      <t>sshsbu.e-planningbmd.id</t>
    </r>
  </si>
  <si>
    <r>
      <rPr>
        <rFont val="Arial, sans-serif"/>
        <color rgb="FF1155CC"/>
        <sz val="11.0"/>
        <u/>
      </rPr>
      <t>https://indah.bps.go.id/</t>
    </r>
  </si>
  <si>
    <r>
      <rPr>
        <rFont val="Calibri, sans-serif"/>
        <color rgb="FF1155CC"/>
        <sz val="12.0"/>
        <u/>
      </rPr>
      <t>simwas.bandungkab.go.id</t>
    </r>
  </si>
  <si>
    <r>
      <rPr>
        <rFont val="Arial, sans-serif"/>
        <color rgb="FF1155CC"/>
        <sz val="11.0"/>
        <u/>
      </rPr>
      <t>sidalmonep.bandungkab.go.id/</t>
    </r>
  </si>
  <si>
    <r>
      <rPr>
        <rFont val="Arial, sans-serif"/>
        <color rgb="FF1155CC"/>
        <u/>
      </rPr>
      <t>https://simpelbkpsdm.bandungkab.go.id/</t>
    </r>
  </si>
  <si>
    <r>
      <rPr>
        <rFont val="Arial, sans-serif"/>
        <color rgb="FF1155CC"/>
        <sz val="11.0"/>
        <u/>
      </rPr>
      <t>siakang.bandungkab.go.id</t>
    </r>
  </si>
  <si>
    <r>
      <rPr>
        <rFont val="Arial, sans-serif"/>
        <color rgb="FF1155CC"/>
        <sz val="11.0"/>
        <u/>
      </rPr>
      <t xml:space="preserve">IRMA PURNAMA, S.STP, </t>
    </r>
    <r>
      <rPr>
        <rFont val="Arial, sans-serif"/>
        <color rgb="FF1155CC"/>
        <sz val="11.0"/>
        <u/>
      </rPr>
      <t>M.Tr</t>
    </r>
    <r>
      <rPr>
        <rFont val="Arial, sans-serif"/>
        <color rgb="FF1155CC"/>
        <sz val="11.0"/>
        <u/>
      </rPr>
      <t>.A.P</t>
    </r>
  </si>
  <si>
    <r>
      <rPr>
        <rFont val="Arial, sans-serif"/>
        <color rgb="FF1155CC"/>
        <sz val="11.0"/>
        <u/>
      </rPr>
      <t>https://surabi.jabarprov.go.id/</t>
    </r>
  </si>
  <si>
    <r>
      <rPr>
        <rFont val="Arial, sans-serif"/>
        <color rgb="FF1155CC"/>
        <sz val="11.0"/>
        <u/>
      </rPr>
      <t xml:space="preserve">IRMA PURNAMA, S.STP, </t>
    </r>
    <r>
      <rPr>
        <rFont val="Arial, sans-serif"/>
        <color rgb="FF1155CC"/>
        <sz val="11.0"/>
        <u/>
      </rPr>
      <t>M.Tr</t>
    </r>
    <r>
      <rPr>
        <rFont val="Arial, sans-serif"/>
        <color rgb="FF1155CC"/>
        <sz val="11.0"/>
        <u/>
      </rPr>
      <t>.A.P</t>
    </r>
  </si>
  <si>
    <r>
      <rPr>
        <rFont val="Arial, sans-serif"/>
        <color rgb="FF1155CC"/>
        <sz val="11.0"/>
        <u/>
      </rPr>
      <t>https://skm.bandungkab.go.id/</t>
    </r>
  </si>
  <si>
    <r>
      <rPr>
        <rFont val="Arial, sans-serif"/>
        <color rgb="FF1155CC"/>
        <sz val="11.0"/>
        <u/>
      </rPr>
      <t>https://sitampan-insaba.web.app/</t>
    </r>
  </si>
  <si>
    <r>
      <rPr>
        <rFont val="Arial, sans-serif"/>
        <color rgb="FF1155CC"/>
        <sz val="11.0"/>
        <u/>
      </rPr>
      <t xml:space="preserve">IRMA PURNAMA, S.STP, </t>
    </r>
    <r>
      <rPr>
        <rFont val="Arial, sans-serif"/>
        <color rgb="FF1155CC"/>
        <sz val="11.0"/>
        <u/>
      </rPr>
      <t>M.Tr</t>
    </r>
    <r>
      <rPr>
        <rFont val="Arial, sans-serif"/>
        <color rgb="FF1155CC"/>
        <sz val="11.0"/>
        <u/>
      </rPr>
      <t>.A.P</t>
    </r>
  </si>
  <si>
    <r>
      <rPr>
        <rFont val="Arial, sans-serif"/>
        <color rgb="FF1155CC"/>
        <sz val="11.0"/>
        <u/>
      </rPr>
      <t>https://play.google.com/store/apps/details?id=com.diskominfo.siagan_bedas&amp;hl=id</t>
    </r>
  </si>
  <si>
    <r>
      <rPr>
        <rFont val="Arial, sans-serif"/>
        <color rgb="FF1155CC"/>
        <sz val="11.0"/>
        <u/>
      </rPr>
      <t>Sinar.big.go.id</t>
    </r>
  </si>
  <si>
    <r>
      <rPr>
        <rFont val="Arial, sans-serif"/>
        <color rgb="FF1155CC"/>
        <sz val="11.0"/>
        <u/>
      </rPr>
      <t xml:space="preserve">Gugum Gumilar, S.STP., </t>
    </r>
    <r>
      <rPr>
        <rFont val="Arial, sans-serif"/>
        <color rgb="FF1155CC"/>
        <sz val="11.0"/>
        <u/>
      </rPr>
      <t>M.Si</t>
    </r>
  </si>
  <si>
    <r>
      <rPr>
        <rFont val="Arial, sans-serif"/>
        <color rgb="FF1155CC"/>
        <sz val="11.0"/>
        <u/>
      </rPr>
      <t>https://elppd.kemendagri.go.id/</t>
    </r>
  </si>
  <si>
    <r>
      <rPr>
        <rFont val="Arial, sans-serif"/>
        <color rgb="FF1155CC"/>
        <sz val="11.0"/>
        <u/>
      </rPr>
      <t xml:space="preserve">Gugum Gumilar, S.STP., </t>
    </r>
    <r>
      <rPr>
        <rFont val="Arial, sans-serif"/>
        <color rgb="FF1155CC"/>
        <sz val="11.0"/>
        <u/>
      </rPr>
      <t>M.Si</t>
    </r>
  </si>
  <si>
    <r>
      <rPr>
        <rFont val="Arial, sans-serif"/>
        <color rgb="FF1155CC"/>
        <sz val="11.0"/>
        <u/>
      </rPr>
      <t>https://spm.bangda.kemendagri.go.id/</t>
    </r>
  </si>
  <si>
    <r>
      <rPr>
        <rFont val="Arial, sans-serif"/>
        <color rgb="FF1155CC"/>
        <sz val="11.0"/>
        <u/>
      </rPr>
      <t xml:space="preserve">Gugum Gumilar, S.STP., </t>
    </r>
    <r>
      <rPr>
        <rFont val="Arial, sans-serif"/>
        <color rgb="FF1155CC"/>
        <sz val="11.0"/>
        <u/>
      </rPr>
      <t>M.Si</t>
    </r>
  </si>
  <si>
    <r>
      <rPr>
        <rFont val="Arial, sans-serif"/>
        <color rgb="FF1155CC"/>
        <u/>
      </rPr>
      <t>https://ppid.bandungkab.go.id/</t>
    </r>
  </si>
  <si>
    <r>
      <rPr>
        <rFont val="Arial, sans-serif"/>
        <color rgb="FF1155CC"/>
        <sz val="11.0"/>
        <u/>
      </rPr>
      <t>https://sipphade.bandungkab.go.id/</t>
    </r>
  </si>
  <si>
    <r>
      <rPr>
        <rFont val="Arial, sans-serif"/>
        <color rgb="FF1155CC"/>
        <sz val="11.0"/>
        <u/>
      </rPr>
      <t>https://sipatuhbedas.bandungkab.go.id/</t>
    </r>
  </si>
  <si>
    <r>
      <rPr>
        <rFont val="Arial, sans-serif"/>
        <color rgb="FF1155CC"/>
        <sz val="11.0"/>
        <u/>
      </rPr>
      <t>kerjasama.bandungkab.go.id</t>
    </r>
  </si>
  <si>
    <r>
      <rPr>
        <rFont val="Arial, sans-serif"/>
        <color rgb="FF1155CC"/>
        <sz val="11.0"/>
        <u/>
      </rPr>
      <t>https://sikp.kemenkeu.go.id/login</t>
    </r>
  </si>
  <si>
    <r>
      <rPr>
        <rFont val="Arial, sans-serif"/>
        <color rgb="FF1155CC"/>
        <sz val="11.0"/>
        <u/>
      </rPr>
      <t>https://sitpakd.ojk.go.id/Account/Login</t>
    </r>
  </si>
  <si>
    <r>
      <rPr>
        <rFont val="Arial, sans-serif"/>
        <color rgb="FF1155CC"/>
        <sz val="11.0"/>
        <u/>
      </rPr>
      <t>https://sikd.djpk.kemenkeu.go.id/lapordbh/</t>
    </r>
  </si>
  <si>
    <r>
      <rPr>
        <rFont val="Arial, sans-serif"/>
        <color rgb="FF1155CC"/>
        <sz val="11.0"/>
        <u/>
      </rPr>
      <t>https://tpin.id/login</t>
    </r>
  </si>
  <si>
    <r>
      <rPr>
        <rFont val="Arial, sans-serif"/>
        <color rgb="FF1155CC"/>
        <sz val="11.0"/>
        <u/>
      </rPr>
      <t>https://www.portalrb.id/</t>
    </r>
  </si>
  <si>
    <r>
      <rPr>
        <rFont val="Arial, sans-serif"/>
        <color rgb="FF1155CC"/>
        <sz val="11.0"/>
        <u/>
      </rPr>
      <t>https://bisakerja.bandungkab.go.id/login</t>
    </r>
  </si>
  <si>
    <r>
      <rPr>
        <rFont val="Arial, sans-serif"/>
        <color rgb="FF1155CC"/>
        <sz val="11.0"/>
        <u/>
      </rPr>
      <t>http://e-bumd.com//dashboard</t>
    </r>
  </si>
  <si>
    <r>
      <rPr>
        <rFont val="Arial, sans-serif"/>
        <color rgb="FF1155CC"/>
        <sz val="11.0"/>
        <u/>
      </rPr>
      <t xml:space="preserve">SOP Simbangun: </t>
    </r>
    <r>
      <rPr>
        <rFont val="Arial, sans-serif"/>
        <color rgb="FF1155CC"/>
        <sz val="11.0"/>
        <u/>
      </rPr>
      <t>https://drive.google.com/drive/folders/1uT9c4NGjI41uZyGgKpyquckLoM2rSaQa?usp=sharing</t>
    </r>
  </si>
  <si>
    <r>
      <rPr>
        <rFont val="Arial, sans-serif"/>
        <color rgb="FF1155CC"/>
        <sz val="11.0"/>
        <u/>
      </rPr>
      <t>https://simbangun.bandungkab.go.id</t>
    </r>
  </si>
  <si>
    <r>
      <rPr>
        <rFont val="Arial, sans-serif"/>
        <color rgb="FF1155CC"/>
        <sz val="11.0"/>
        <u/>
      </rPr>
      <t>https://drive.google.com/file/d/1bfEasna0yACDkjKfdw6Q1Zy2Ku88gtKx/view?usp=sharing</t>
    </r>
  </si>
  <si>
    <r>
      <rPr>
        <rFont val="Arial, sans-serif"/>
        <color rgb="FF1155CC"/>
        <sz val="11.0"/>
        <u/>
      </rPr>
      <t>https://spse.inaproc.id/bandungkab</t>
    </r>
  </si>
  <si>
    <r>
      <rPr>
        <rFont val="Arial, sans-serif"/>
        <color rgb="FF1155CC"/>
        <sz val="11.0"/>
        <u/>
      </rPr>
      <t>https://aplikasi.bandungkab.go.id/publik/dashboard-pendataan-profil-sppg-aktif-untuk-satgas-mbg</t>
    </r>
  </si>
  <si>
    <r>
      <rPr>
        <rFont val="Arial, sans-serif"/>
        <color rgb="FF1155CC"/>
        <sz val="11.0"/>
        <u/>
      </rPr>
      <t>RUSLI BAIJURI,</t>
    </r>
    <r>
      <rPr>
        <rFont val="Arial, sans-serif"/>
        <color rgb="FF1155CC"/>
        <sz val="11.0"/>
        <u/>
      </rPr>
      <t>AP.M.KP</t>
    </r>
  </si>
  <si>
    <r>
      <rPr>
        <rFont val="Arial, sans-serif"/>
        <color rgb="FF1155CC"/>
        <sz val="11.0"/>
        <u/>
      </rPr>
      <t>https://www.appsheet.com/Account/Login?appName=DBHCHT%20App&amp;FullScope=False&amp;provider=google&amp;returnUrl=https%3A%2F%2Fwww.appsheet.com%2Fstart%2F93891b63-df85-4aa1-a7bf-d007dfa96cf8%3Fplatform%3Ddesktop#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t>
    </r>
  </si>
  <si>
    <r>
      <rPr>
        <rFont val="Arial, sans-serif"/>
        <color rgb="FF1155CC"/>
        <sz val="11.0"/>
        <u/>
      </rPr>
      <t>RUSLI BAIJURI,</t>
    </r>
    <r>
      <rPr>
        <rFont val="Arial, sans-serif"/>
        <color rgb="FF1155CC"/>
        <sz val="11.0"/>
        <u/>
      </rPr>
      <t>AP.M.KP</t>
    </r>
  </si>
  <si>
    <r>
      <rPr>
        <rFont val="Calibri, sans-serif"/>
        <color rgb="FF1155CC"/>
        <sz val="12.0"/>
        <u/>
      </rPr>
      <t>https://drive.google.com/file/d/1Xev2F7vScZDTlBaqHqPh8lzFUMNB_y8a/view?usp=sharing</t>
    </r>
  </si>
  <si>
    <r>
      <rPr>
        <rFont val="Calibri, sans-serif"/>
        <color rgb="FF1155CC"/>
        <sz val="12.0"/>
        <u/>
      </rPr>
      <t>https://jdihdprd.bandungkab.go.id/</t>
    </r>
  </si>
  <si>
    <r>
      <rPr>
        <rFont val="Calibri, sans-serif"/>
        <color rgb="FF1155CC"/>
        <sz val="12.0"/>
        <u/>
      </rPr>
      <t>https://aplikasi.bandungkab.go.id/publik/dashboard-kunjungan-dprd-kab-bandung</t>
    </r>
  </si>
  <si>
    <r>
      <rPr>
        <rFont val="Calibri, sans-serif"/>
        <color rgb="FF1155CC"/>
        <sz val="12.0"/>
        <u/>
      </rPr>
      <t>https://drive.google.com/file/d/1YdxVCrqCKB2IhPmEjmI3enR0CnpLLtYZ/view?usp=sharing</t>
    </r>
  </si>
  <si>
    <r>
      <rPr>
        <rFont val="Calibri, sans-serif"/>
        <color rgb="FF1155CC"/>
        <sz val="12.0"/>
        <u/>
      </rPr>
      <t>https://simprodas.bandungkab.go.id/</t>
    </r>
  </si>
  <si>
    <r>
      <rPr>
        <rFont val="Calibri, sans-serif"/>
        <color rgb="FF1155CC"/>
        <sz val="12.0"/>
        <u/>
      </rPr>
      <t>https://drive.google.com/file/d/1hfZl5u33jLRHizH-t5QZsOhlwNoiUSfh/view?usp=sharing</t>
    </r>
  </si>
  <si>
    <r>
      <rPr>
        <rFont val="Calibri, sans-serif"/>
        <color rgb="FF1155CC"/>
        <sz val="12.0"/>
        <u/>
      </rPr>
      <t>https://calendly.com/inspekkabbdg/santai-saranatanyaapipinteraktif</t>
    </r>
  </si>
  <si>
    <r>
      <rPr>
        <rFont val="Calibri, sans-serif"/>
        <color rgb="FF1155CC"/>
        <sz val="12.0"/>
        <u/>
      </rPr>
      <t>simpeldisdik.bandungkab.go.id/Sukizah</t>
    </r>
  </si>
  <si>
    <r>
      <rPr>
        <rFont val="Calibri, sans-serif"/>
        <color rgb="FF1155CC"/>
        <sz val="12.0"/>
        <u/>
      </rPr>
      <t>https://dapo.kemendikdasmen.go.id/</t>
    </r>
  </si>
  <si>
    <r>
      <rPr>
        <rFont val="Calibri, sans-serif"/>
        <color rgb="FF1155CC"/>
        <sz val="12.0"/>
        <u/>
      </rPr>
      <t>simpeldisdik.bandungkab.go.id/MultisiteEdu</t>
    </r>
  </si>
  <si>
    <r>
      <rPr>
        <rFont val="Calibri, sans-serif"/>
        <color rgb="FF1155CC"/>
        <sz val="12.0"/>
        <u/>
      </rPr>
      <t>https://spmb.bandungkab.go.id/</t>
    </r>
  </si>
  <si>
    <r>
      <rPr>
        <rFont val="Arial, sans-serif"/>
        <b/>
        <color rgb="FF1155CC"/>
        <u/>
      </rPr>
      <t>psc.kemkes.go.id</t>
    </r>
  </si>
  <si>
    <r>
      <rPr>
        <rFont val="Calibri, sans-serif"/>
        <color rgb="FF1155CC"/>
        <sz val="12.0"/>
        <u/>
      </rPr>
      <t>skdr.kemkes.go.id</t>
    </r>
  </si>
  <si>
    <r>
      <rPr>
        <rFont val="Calibri, sans-serif"/>
        <color rgb="FF1155CC"/>
        <sz val="12.0"/>
        <u/>
      </rPr>
      <t>https://surveilans-pptm.kemkes.go.id/</t>
    </r>
  </si>
  <si>
    <r>
      <rPr>
        <rFont val="Arial, sans-serif"/>
        <b/>
        <color rgb="FF1155CC"/>
        <u/>
      </rPr>
      <t>https://sehatindonesiaku.kemkes.go.id</t>
    </r>
  </si>
  <si>
    <r>
      <rPr>
        <rFont val="Calibri, sans-serif"/>
        <color rgb="FF1155CC"/>
        <sz val="12.0"/>
        <u/>
      </rPr>
      <t>sipnap.kemkes.go.id</t>
    </r>
  </si>
  <si>
    <r>
      <rPr>
        <rFont val="Calibri, sans-serif"/>
        <color rgb="FF1155CC"/>
        <sz val="12.0"/>
        <u/>
      </rPr>
      <t>https://sitb.kemkes.go.id/</t>
    </r>
  </si>
  <si>
    <r>
      <rPr>
        <rFont val="Calibri, sans-serif"/>
        <color rgb="FF1155CC"/>
        <sz val="12.0"/>
        <u/>
      </rPr>
      <t>sismal.kemkes.go.id</t>
    </r>
  </si>
  <si>
    <r>
      <rPr>
        <rFont val="Calibri, sans-serif"/>
        <color rgb="FF1155CC"/>
        <sz val="12.0"/>
        <u/>
      </rPr>
      <t>silantor.kemkes.go.id</t>
    </r>
  </si>
  <si>
    <r>
      <rPr>
        <rFont val="Calibri, sans-serif"/>
        <color rgb="FF1155CC"/>
        <sz val="12.0"/>
        <u/>
      </rPr>
      <t>https://sihapims2.kemkes.go.id</t>
    </r>
  </si>
  <si>
    <r>
      <rPr>
        <rFont val="Calibri, sans-serif"/>
        <color rgb="FF1155CC"/>
        <sz val="12.0"/>
        <u/>
      </rPr>
      <t>https://smile.kemkes.go.id/</t>
    </r>
  </si>
  <si>
    <r>
      <rPr>
        <rFont val="Calibri, sans-serif"/>
        <color rgb="FF1155CC"/>
        <sz val="12.0"/>
        <u/>
      </rPr>
      <t>https://sijalak-kab-bandung.com/</t>
    </r>
  </si>
  <si>
    <r>
      <rPr>
        <rFont val="Calibri, sans-serif"/>
        <color rgb="FF1155CC"/>
        <sz val="12.0"/>
        <u/>
      </rPr>
      <t>https://drive.google.com/drive/folders/187_7CPT7sxhjamsZJOlN2T4qhrxFpoWq?hl=id</t>
    </r>
  </si>
  <si>
    <r>
      <rPr>
        <rFont val="Calibri, sans-serif"/>
        <color rgb="FF1155CC"/>
        <sz val="12.0"/>
        <u/>
      </rPr>
      <t>https://sibedaspbg.bandungkab.go.id/</t>
    </r>
  </si>
  <si>
    <r>
      <rPr>
        <rFont val="Calibri, sans-serif"/>
        <color rgb="FF1155CC"/>
        <sz val="12.0"/>
        <u/>
      </rPr>
      <t>https://drive.google.com/drive/folders/1zpVBSJQx0K3N4_wyw8qZeOJVWGrdlDAe?hl=ID</t>
    </r>
  </si>
  <si>
    <r>
      <rPr>
        <rFont val="Calibri, sans-serif"/>
        <color rgb="FF1155CC"/>
        <sz val="12.0"/>
        <u/>
      </rPr>
      <t>linktr.ee/PENGADUAN_DPUTR_KABBDG</t>
    </r>
  </si>
  <si>
    <r>
      <rPr>
        <rFont val="Calibri, sans-serif"/>
        <color rgb="FF1155CC"/>
        <sz val="12.0"/>
        <u/>
      </rPr>
      <t>https://sites.google.com/view/aplikasi-sipedas-drainase/home</t>
    </r>
  </si>
  <si>
    <r>
      <rPr>
        <rFont val="Calibri, sans-serif"/>
        <color rgb="FF1155CC"/>
        <sz val="12.0"/>
        <u/>
      </rPr>
      <t>https://drive.google.com/drive/folders/1foPXyzm-sQ7KaSp-qTysnVqAWt_Dif53?hl=id</t>
    </r>
  </si>
  <si>
    <r>
      <rPr>
        <rFont val="Calibri, sans-serif"/>
        <color rgb="FF1155CC"/>
        <sz val="12.0"/>
        <u/>
      </rPr>
      <t>https://sijaga.kabbdg.com/</t>
    </r>
  </si>
  <si>
    <r>
      <rPr>
        <rFont val="Calibri, sans-serif"/>
        <color rgb="FF1155CC"/>
        <sz val="12.0"/>
        <u/>
      </rPr>
      <t>https://drive.google.com/drive/folders/1sHKD9PH8GG_yqtIurnieYvG1qyHCbekF?hl=id</t>
    </r>
  </si>
  <si>
    <r>
      <rPr>
        <rFont val="Calibri, sans-serif"/>
        <color rgb="FF1155CC"/>
        <sz val="12.0"/>
        <u/>
      </rPr>
      <t>https://sibedasjakon.bandungkab.go.id/</t>
    </r>
  </si>
  <si>
    <r>
      <rPr>
        <rFont val="Calibri, sans-serif"/>
        <color rgb="FF1155CC"/>
        <sz val="12.0"/>
        <u/>
      </rPr>
      <t>https://linktr.ee/SIBEDASOK</t>
    </r>
  </si>
  <si>
    <r>
      <rPr>
        <rFont val="Calibri, sans-serif"/>
        <color rgb="FF1155CC"/>
        <sz val="12.0"/>
        <u/>
      </rPr>
      <t>https://drive.google.com/file/d/1kvVSSjFHbdSKP4vPWzb0wDWs5x8kMCbU/view?usp=sharing</t>
    </r>
  </si>
  <si>
    <r>
      <rPr>
        <rFont val="Calibri, sans-serif"/>
        <color rgb="FF1155CC"/>
        <sz val="12.0"/>
        <u/>
      </rPr>
      <t>https://aplikasi.bandungkab.com/publik/landing-page-aplikasi-sipikat</t>
    </r>
  </si>
  <si>
    <r>
      <rPr>
        <rFont val="Calibri, sans-serif"/>
        <color rgb="FF1155CC"/>
        <sz val="12.0"/>
        <u/>
      </rPr>
      <t>https://drive.google.com/file/d/1Ramy4vxff2nlZwmQYryTo4j9HIjXgRt2/view?usp=sharing</t>
    </r>
  </si>
  <si>
    <r>
      <rPr>
        <rFont val="Calibri, sans-serif"/>
        <color rgb="FF1155CC"/>
        <sz val="12.0"/>
        <u/>
      </rPr>
      <t>https://dibedasken.bandungkab.go.id/</t>
    </r>
  </si>
  <si>
    <r>
      <rPr>
        <rFont val="Calibri, sans-serif"/>
        <color rgb="FF1155CC"/>
        <sz val="12.0"/>
        <u/>
      </rPr>
      <t>https://drive.google.com/drive/folders/1Uinu-ZgkI_8xZeYLw7yaEW1HRhG7prDv?usp=drive_link</t>
    </r>
  </si>
  <si>
    <r>
      <rPr>
        <rFont val="Calibri, sans-serif"/>
        <color rgb="FF1155CC"/>
        <sz val="12.0"/>
        <u/>
      </rPr>
      <t>siapkerja.kemnaker.go.id</t>
    </r>
  </si>
  <si>
    <r>
      <rPr>
        <rFont val="Calibri, sans-serif"/>
        <color rgb="FF1155CC"/>
        <sz val="12.0"/>
        <u/>
      </rPr>
      <t>https://dashnaker.bandungkab.go.id/login</t>
    </r>
  </si>
  <si>
    <r>
      <rPr>
        <rFont val="Calibri, sans-serif"/>
        <color rgb="FF1155CC"/>
        <sz val="12.0"/>
        <u/>
      </rPr>
      <t>https://dashnaker.bandungkab.go.id/login</t>
    </r>
  </si>
  <si>
    <r>
      <rPr>
        <rFont val="Calibri, sans-serif"/>
        <color rgb="FF1155CC"/>
        <sz val="12.0"/>
        <u/>
      </rPr>
      <t>http://siapkerja.kemnaker.go.id/</t>
    </r>
  </si>
  <si>
    <r>
      <rPr>
        <rFont val="Calibri, sans-serif"/>
        <color rgb="FF1155CC"/>
        <sz val="12.0"/>
        <u/>
      </rPr>
      <t>sibarduktrans.transmigrasi.go.id</t>
    </r>
  </si>
  <si>
    <r>
      <rPr>
        <rFont val="Calibri, sans-serif"/>
        <color rgb="FF1155CC"/>
        <sz val="12.0"/>
        <u/>
      </rPr>
      <t>https://drive.google.com/file/d/13kiJLOSVRFOj2CqIpMMxJSxRVwkT4VuN/view?usp=drive_link</t>
    </r>
  </si>
  <si>
    <r>
      <rPr>
        <rFont val="Calibri, sans-serif"/>
        <color rgb="FF1155CC"/>
        <sz val="12.0"/>
        <u/>
      </rPr>
      <t>https://dp2kbp3a.bandungkab.go.id/ppa/</t>
    </r>
  </si>
  <si>
    <r>
      <rPr>
        <rFont val="Calibri, sans-serif"/>
        <color rgb="FF1155CC"/>
        <sz val="12.0"/>
        <u/>
      </rPr>
      <t>https://drive.google.com/file/d/1qhJbKAh0RXizTZVD-lHLPJTl4ZBGbOzZ/view?usp=sharing</t>
    </r>
  </si>
  <si>
    <r>
      <rPr>
        <rFont val="Calibri, sans-serif"/>
        <color rgb="FF1155CC"/>
        <sz val="12.0"/>
        <u/>
      </rPr>
      <t>https://dp2kbp3a.bandungkab.go.id/pprg/</t>
    </r>
  </si>
  <si>
    <r>
      <rPr>
        <rFont val="Calibri, sans-serif"/>
        <color rgb="FF1155CC"/>
        <sz val="12.0"/>
        <u/>
      </rPr>
      <t>https://siga.bkkbn.go.id/</t>
    </r>
  </si>
  <si>
    <r>
      <rPr>
        <rFont val="Calibri, sans-serif"/>
        <color rgb="FF1155CC"/>
        <sz val="12.0"/>
        <u/>
      </rPr>
      <t>https://drive.google.com/file/d/16ULKF-_fc7--75zz-4n8WtETaChfDzBD/view?usp=sharing</t>
    </r>
  </si>
  <si>
    <r>
      <rPr>
        <rFont val="Calibri, sans-serif"/>
        <color rgb="FF1155CC"/>
        <sz val="12.0"/>
        <u/>
      </rPr>
      <t>https://dp2kbp3a.bandungkab.go.id/sappana/</t>
    </r>
  </si>
  <si>
    <r>
      <rPr>
        <rFont val="Calibri, sans-serif"/>
        <color rgb="FF1155CC"/>
        <sz val="12.0"/>
        <u/>
      </rPr>
      <t>https://docs.google.com/spreadsheets/d/1f2FpxtXLWyTMlao3H1cM7ZWvZY62FNOP/edit?usp=drivesdk&amp;ouid=101319060553117315214&amp;rtpof=true&amp;sd=true</t>
    </r>
  </si>
  <si>
    <r>
      <rPr>
        <rFont val="Calibri, sans-serif"/>
        <color rgb="FF1155CC"/>
        <sz val="12.0"/>
        <u/>
      </rPr>
      <t>https://simfonippa.kemenpppa.go.id/</t>
    </r>
  </si>
  <si>
    <r>
      <rPr>
        <rFont val="Calibri, sans-serif"/>
        <color rgb="FF1155CC"/>
        <sz val="12.0"/>
        <u/>
      </rPr>
      <t>https://dp2kbp3a.bandungkab.go.id/apps/perlindungan-anak/</t>
    </r>
  </si>
  <si>
    <r>
      <rPr>
        <rFont val="Calibri, sans-serif"/>
        <color rgb="FF1155CC"/>
        <sz val="12.0"/>
        <u/>
      </rPr>
      <t>amdalnet.kemenlh.go.id</t>
    </r>
  </si>
  <si>
    <r>
      <rPr>
        <rFont val="Calibri, sans-serif"/>
        <color rgb="FF1155CC"/>
        <sz val="12.0"/>
        <u/>
      </rPr>
      <t>https://sampahkita.jabarprov.go.id/</t>
    </r>
  </si>
  <si>
    <r>
      <rPr>
        <rFont val="Calibri, sans-serif"/>
        <color rgb="FF1155CC"/>
        <sz val="12.0"/>
        <u/>
      </rPr>
      <t>https://sipsn.kemenlh.go.id/sipsn/</t>
    </r>
  </si>
  <si>
    <r>
      <rPr>
        <rFont val="Calibri, sans-serif"/>
        <color rgb="FF1155CC"/>
        <sz val="12.0"/>
        <u/>
      </rPr>
      <t>https://gepak.bandungkab.go.id/</t>
    </r>
  </si>
  <si>
    <r>
      <rPr>
        <rFont val="Calibri, sans-serif"/>
        <color rgb="FF1155CC"/>
        <sz val="12.0"/>
        <u/>
      </rPr>
      <t>Kehati.bandungkab.go.id</t>
    </r>
  </si>
  <si>
    <r>
      <rPr>
        <rFont val="&quot;Arial\, sans-serif&quot;"/>
        <color rgb="FF1155CC"/>
        <u/>
      </rPr>
      <t>SOP Layanan 2025</t>
    </r>
  </si>
  <si>
    <r>
      <rPr>
        <rFont val="Arial, sans-serif"/>
        <color rgb="FF1155CC"/>
        <u/>
      </rPr>
      <t>https://bds.bandungkab.go</t>
    </r>
    <r>
      <rPr>
        <rFont val="Arial, sans-serif"/>
        <color rgb="FF000000"/>
      </rPr>
      <t>.</t>
    </r>
    <r>
      <rPr>
        <rFont val="Arial, sans-serif"/>
      </rPr>
      <t>id/</t>
    </r>
  </si>
  <si>
    <r>
      <rPr>
        <rFont val="&quot;Arial\, sans-serif&quot;"/>
        <color rgb="FF1155CC"/>
        <u/>
      </rPr>
      <t>SOP Layanan 2025</t>
    </r>
  </si>
  <si>
    <r>
      <rPr>
        <rFont val="Arial, sans-serif"/>
        <color rgb="FF1155CC"/>
        <u/>
      </rPr>
      <t>http://lampid.bandungkab.go.id/</t>
    </r>
  </si>
  <si>
    <r>
      <rPr>
        <rFont val="Calibri, sans-serif"/>
        <color rgb="FF1155CC"/>
        <sz val="11.0"/>
        <u/>
      </rPr>
      <t>http://siskeudes.bandungkab.go.id:8080/guacamole/#/</t>
    </r>
  </si>
  <si>
    <r>
      <rPr>
        <rFont val="Calibri, sans-serif"/>
        <color rgb="FF1155CC"/>
        <sz val="11.0"/>
        <u/>
      </rPr>
      <t>https://spanint.kemenkeu.go.id/tkd/#/home/login</t>
    </r>
  </si>
  <si>
    <r>
      <rPr>
        <rFont val="Calibri, sans-serif"/>
        <color rgb="FF1155CC"/>
        <sz val="11.0"/>
        <u/>
      </rPr>
      <t>https://prodeskel.binapemdes.kemendagri.go.id/mpublik/</t>
    </r>
  </si>
  <si>
    <r>
      <rPr>
        <rFont val="Calibri, sans-serif"/>
        <color rgb="FF1155CC"/>
        <sz val="11.0"/>
        <u/>
      </rPr>
      <t>https://epdeskel.binapemdes.kemendagri.go.id/app_Login/</t>
    </r>
  </si>
  <si>
    <r>
      <rPr>
        <rFont val="Calibri, sans-serif"/>
        <color rgb="FF1155CC"/>
        <sz val="11.0"/>
        <u/>
      </rPr>
      <t>https://drive.google.com/file/d/1CvHE6emS2UxjsAt6IC87kgxEb19CuE3k/view?usp=sharing</t>
    </r>
  </si>
  <si>
    <r>
      <rPr>
        <rFont val="Calibri, sans-serif"/>
        <color rgb="FF1155CC"/>
        <sz val="11.0"/>
        <u/>
      </rPr>
      <t>http://sipades.id/</t>
    </r>
  </si>
  <si>
    <r>
      <rPr>
        <rFont val="Calibri, sans-serif"/>
        <color rgb="FF1155CC"/>
        <sz val="11.0"/>
        <u/>
      </rPr>
      <t>https://drive.google.com/file/d/1YdbXWdCS28ppql72phZoI1RvIMqiXeuL/view?usp=sharing</t>
    </r>
  </si>
  <si>
    <r>
      <rPr>
        <rFont val="Calibri, sans-serif"/>
        <color rgb="FF1155CC"/>
        <sz val="11.0"/>
        <u/>
      </rPr>
      <t>http://s.id/sipandubedas</t>
    </r>
  </si>
  <si>
    <r>
      <rPr>
        <rFont val="Calibri, sans-serif"/>
        <color rgb="FF1155CC"/>
        <sz val="12.0"/>
        <u/>
      </rPr>
      <t>https://drive.google.com/file/d/15CRvlXeoq6lRDTUnunhCxVgWmxrUKQsz/view?usp=drive_link</t>
    </r>
  </si>
  <si>
    <r>
      <rPr>
        <rFont val="Calibri, sans-serif"/>
        <color rgb="FF1155CC"/>
        <sz val="12.0"/>
        <u/>
      </rPr>
      <t>https://sipakades.bandungkab.go.id/</t>
    </r>
  </si>
  <si>
    <r>
      <rPr>
        <rFont val="Calibri, sans-serif"/>
        <color rgb="FF1155CC"/>
        <sz val="12.0"/>
        <u/>
      </rPr>
      <t>https://drive.google.com/file/d/1r3y4yoWaoByjuAovOlwVhpYcdVHWYZlA/view?usp=drive_link</t>
    </r>
  </si>
  <si>
    <r>
      <rPr>
        <rFont val="Calibri, sans-serif"/>
        <color rgb="FF1155CC"/>
        <sz val="12.0"/>
        <u/>
      </rPr>
      <t>https://oss.go.id/</t>
    </r>
  </si>
  <si>
    <r>
      <rPr>
        <rFont val="Calibri, sans-serif"/>
        <color rgb="FF1155CC"/>
        <sz val="12.0"/>
        <u/>
      </rPr>
      <t>https://dpmptsp.bandungkab.go.id/</t>
    </r>
  </si>
  <si>
    <r>
      <rPr>
        <rFont val="Calibri, sans-serif"/>
        <color rgb="FF1155CC"/>
        <sz val="12.0"/>
        <u/>
      </rPr>
      <t>https://simbg.pu.go.id/</t>
    </r>
  </si>
  <si>
    <r>
      <rPr>
        <rFont val="Calibri, sans-serif"/>
        <color rgb="FF1155CC"/>
        <sz val="12.0"/>
        <u/>
      </rPr>
      <t>https://next-gen.mppdigital.go.id/</t>
    </r>
  </si>
  <si>
    <r>
      <rPr>
        <rFont val="Calibri, sans-serif"/>
        <color rgb="FF1155CC"/>
        <sz val="12.0"/>
        <u/>
      </rPr>
      <t>https://perizinan.bandungkab.go.id/sirsak</t>
    </r>
  </si>
  <si>
    <r>
      <rPr>
        <rFont val="Calibri, sans-serif"/>
        <color rgb="FF1155CC"/>
        <sz val="12.0"/>
        <u/>
      </rPr>
      <t>https://perizinan.bandungkab.go.id/layanan-kami/booking-antrian-imigrasi</t>
    </r>
  </si>
  <si>
    <r>
      <rPr>
        <rFont val="Calibri, sans-serif"/>
        <color rgb="FF1155CC"/>
        <sz val="12.0"/>
        <u/>
      </rPr>
      <t>https://sidora.bandungkab.go.id/</t>
    </r>
  </si>
  <si>
    <r>
      <rPr>
        <rFont val="Calibri, sans-serif"/>
        <color rgb="FF1155CC"/>
        <sz val="12.0"/>
        <u/>
      </rPr>
      <t>https://sidopabandungkab.com</t>
    </r>
  </si>
  <si>
    <r>
      <rPr>
        <rFont val="Calibri, sans-serif"/>
        <color rgb="FF1155CC"/>
        <sz val="12.0"/>
        <u/>
      </rPr>
      <t xml:space="preserve">rencana membuat sub domain dari </t>
    </r>
    <r>
      <rPr>
        <rFont val="Calibri, sans-serif"/>
        <color rgb="FF1155CC"/>
        <sz val="12.0"/>
        <u/>
      </rPr>
      <t>disporabandungkab.go.id</t>
    </r>
  </si>
  <si>
    <r>
      <rPr>
        <rFont val="Calibri, sans-serif"/>
        <color rgb="FF1155CC"/>
        <sz val="12.0"/>
        <u/>
      </rPr>
      <t>https://drive.google.com/file/d/1CK9sB-VkjtVcnm48SmIytt7EAWrjRZba/view?usp=sharing</t>
    </r>
  </si>
  <si>
    <r>
      <rPr>
        <rFont val="Calibri, sans-serif"/>
        <color rgb="FF1155CC"/>
        <sz val="12.0"/>
        <u/>
      </rPr>
      <t>SOP SIBAPOKTING 2025 Ttd.pdf</t>
    </r>
  </si>
  <si>
    <r>
      <rPr>
        <rFont val="Calibri, sans-serif"/>
        <color rgb="FF1155CC"/>
        <sz val="12.0"/>
        <u/>
      </rPr>
      <t>https://sibapokting.bandungkab.go.id/</t>
    </r>
  </si>
  <si>
    <r>
      <rPr>
        <rFont val="Calibri, sans-serif"/>
        <color rgb="FF1155CC"/>
        <sz val="12.0"/>
        <u/>
      </rPr>
      <t>SOP SKA.pdf</t>
    </r>
  </si>
  <si>
    <r>
      <rPr>
        <rFont val="Calibri, sans-serif"/>
        <color rgb="FF1155CC"/>
        <sz val="12.0"/>
        <u/>
      </rPr>
      <t>ska.kemendag.go.id</t>
    </r>
  </si>
  <si>
    <r>
      <rPr>
        <rFont val="Calibri, sans-serif"/>
        <color rgb="FF1155CC"/>
        <sz val="12.0"/>
        <u/>
      </rPr>
      <t>alur pelaporan siinas.pdf</t>
    </r>
  </si>
  <si>
    <r>
      <rPr>
        <rFont val="Calibri, sans-serif"/>
        <color rgb="FF1155CC"/>
        <sz val="12.0"/>
        <u/>
      </rPr>
      <t>https://siinas.kemenperin.go.id</t>
    </r>
  </si>
  <si>
    <r>
      <rPr>
        <rFont val="Calibri, sans-serif"/>
        <color rgb="FF1155CC"/>
        <sz val="12.0"/>
        <u/>
      </rPr>
      <t>SOP Eretribusi</t>
    </r>
  </si>
  <si>
    <r>
      <rPr>
        <rFont val="Calibri, sans-serif"/>
        <color rgb="FF1155CC"/>
        <sz val="12.0"/>
        <u/>
      </rPr>
      <t>sipintar online</t>
    </r>
  </si>
  <si>
    <r>
      <rPr>
        <rFont val="Calibri, sans-serif"/>
        <color rgb="FF1155CC"/>
        <sz val="12.0"/>
        <u/>
      </rPr>
      <t>https://sipintaronline.bandungkab.go.id/login</t>
    </r>
  </si>
  <si>
    <r>
      <rPr>
        <rFont val="Calibri, sans-serif"/>
        <color rgb="FF1155CC"/>
        <sz val="12.0"/>
        <u/>
      </rPr>
      <t>https://sppirt.pom.go.id/</t>
    </r>
  </si>
  <si>
    <r>
      <rPr>
        <rFont val="Calibri, sans-serif"/>
        <color rgb="FF1155CC"/>
        <sz val="12.0"/>
        <u/>
      </rPr>
      <t>https://www.dgip.go.id/</t>
    </r>
  </si>
  <si>
    <r>
      <rPr>
        <rFont val="Calibri, sans-serif"/>
        <color rgb="FF1155CC"/>
        <sz val="12.0"/>
        <u/>
      </rPr>
      <t>https://docs.google.com/document/d/1c-7PUNKaiuUiy_admWwX1iClC1w9eJRB/edit?usp=sharing&amp;ouid=112536090230720318461&amp;rtpof=true&amp;sd=true</t>
    </r>
  </si>
  <si>
    <r>
      <rPr>
        <rFont val="Calibri, sans-serif"/>
        <color rgb="FF1155CC"/>
        <sz val="12.0"/>
        <u/>
      </rPr>
      <t>https://anterin.bandungkab.go.id/</t>
    </r>
  </si>
  <si>
    <r>
      <rPr>
        <rFont val="Calibri, sans-serif"/>
        <color rgb="FF1155CC"/>
        <sz val="12.0"/>
        <u/>
      </rPr>
      <t>https://docs.google.com/document/d/1c-7PUNKaiuUiy_admWwX1iClC1w9eJRB/edit?usp=sharing&amp;ouid=112536090230720318461&amp;rtpof=true&amp;sd=true</t>
    </r>
  </si>
  <si>
    <r>
      <rPr>
        <rFont val="Calibri, sans-serif"/>
        <color rgb="FF1155CC"/>
        <sz val="12.0"/>
        <u/>
      </rPr>
      <t>https://isikhnas.pertanian.go.id/</t>
    </r>
  </si>
  <si>
    <r>
      <rPr>
        <rFont val="Calibri, sans-serif"/>
        <color rgb="FF1155CC"/>
        <sz val="12.0"/>
        <u/>
      </rPr>
      <t>https://docs.google.com/spreadsheets/d/1c7RrRajyzrp7pLX7n6Z-t8K0gRXiw69i/edit?usp=sharing&amp;ouid=112536090230720318461&amp;rtpof=true&amp;sd=true</t>
    </r>
  </si>
  <si>
    <r>
      <rPr>
        <rFont val="Calibri, sans-serif"/>
        <color rgb="FF1155CC"/>
        <sz val="12.0"/>
        <u/>
      </rPr>
      <t>sifortuna.tanamanpangan.pertanian.go.id</t>
    </r>
  </si>
  <si>
    <r>
      <rPr>
        <rFont val="Calibri, sans-serif"/>
        <color rgb="FF1155CC"/>
        <sz val="12.0"/>
        <u/>
      </rPr>
      <t>tanginas.web.id</t>
    </r>
  </si>
  <si>
    <r>
      <rPr>
        <rFont val="Calibri, sans-serif"/>
        <color rgb="FF1155CC"/>
        <sz val="12.0"/>
        <u/>
      </rPr>
      <t>https://docs.google.com/spreadsheets/d/1cLC7YoJU_Mkyr5eJTL-fHfA0D-sQukvz/edit?usp=sharing&amp;ouid=112536090230720318461&amp;rtpof=true&amp;sd=true</t>
    </r>
  </si>
  <si>
    <r>
      <rPr>
        <rFont val="Calibri, sans-serif"/>
        <color rgb="FF1155CC"/>
        <sz val="12.0"/>
        <u/>
      </rPr>
      <t>https://erdkk25.pertanian.go.id/</t>
    </r>
  </si>
  <si>
    <r>
      <rPr>
        <rFont val="Calibri, sans-serif"/>
        <color rgb="FF1155CC"/>
        <sz val="12.0"/>
        <u/>
      </rPr>
      <t>https://docs.google.com/spreadsheets/d/1cLZrBaEOapwKOQE9usRXCTW93SFEy7Xj/edit?usp=sharing&amp;ouid=112536090230720318461&amp;rtpof=true&amp;sd=true</t>
    </r>
  </si>
  <si>
    <r>
      <rPr>
        <rFont val="Calibri, sans-serif"/>
        <color rgb="FF1155CC"/>
        <sz val="12.0"/>
        <u/>
      </rPr>
      <t>https://simluh.pertanian.go.id/</t>
    </r>
  </si>
  <si>
    <r>
      <rPr>
        <rFont val="Calibri, sans-serif"/>
        <color rgb="FF1155CC"/>
        <sz val="12.0"/>
        <u/>
      </rPr>
      <t>https://drive.google.com/drive/folders/1b_wlUHQifUNUdZcrhKipNlD0R6COD8yt?usp=sharing</t>
    </r>
  </si>
  <si>
    <r>
      <rPr>
        <rFont val="Calibri, sans-serif"/>
        <color rgb="FF1155CC"/>
        <sz val="12.0"/>
        <u/>
      </rPr>
      <t>sipolan.bandungkab.go.id</t>
    </r>
  </si>
  <si>
    <r>
      <rPr>
        <rFont val="Calibri, sans-serif"/>
        <color rgb="FF1155CC"/>
        <sz val="12.0"/>
        <u/>
      </rPr>
      <t>01. SOP Sistem Informasi Pangan.pdf</t>
    </r>
  </si>
  <si>
    <r>
      <rPr>
        <rFont val="Calibri, sans-serif"/>
        <color rgb="FF1155CC"/>
        <sz val="12.0"/>
        <u/>
      </rPr>
      <t>https://sip.bandungkab.go.id/portal/topic/sikandung</t>
    </r>
  </si>
  <si>
    <r>
      <rPr>
        <rFont val="Calibri, sans-serif"/>
        <color rgb="FF1155CC"/>
        <sz val="12.0"/>
        <u/>
      </rPr>
      <t>02. SOP Izin Usaha.pdf</t>
    </r>
    <r>
      <rPr>
        <rFont val="Calibri, sans-serif"/>
        <sz val="12.0"/>
      </rPr>
      <t xml:space="preserve">
 03. SOP Si Lele ikan.pdf</t>
    </r>
  </si>
  <si>
    <r>
      <rPr>
        <rFont val="Calibri, sans-serif"/>
        <color rgb="FF1155CC"/>
        <sz val="12.0"/>
        <u/>
      </rPr>
      <t>https://dispakan.bandungkab.go.id/video/</t>
    </r>
  </si>
  <si>
    <r>
      <rPr>
        <rFont val="Calibri, sans-serif"/>
        <color rgb="FF1155CC"/>
        <sz val="12.0"/>
        <u/>
      </rPr>
      <t>01. SOP Sistem Informasi Pangan.pdf</t>
    </r>
  </si>
  <si>
    <r>
      <rPr>
        <rFont val="Calibri, sans-serif"/>
        <color rgb="FF1155CC"/>
        <sz val="12.0"/>
        <u/>
      </rPr>
      <t>https://sip.bandungkab.go.id/portal/topic/fsva</t>
    </r>
  </si>
  <si>
    <r>
      <rPr>
        <rFont val="Calibri, sans-serif"/>
        <color rgb="FF1155CC"/>
        <sz val="12.0"/>
        <u/>
      </rPr>
      <t>https://parbuddalamangka.jabarprov.go.id/</t>
    </r>
  </si>
  <si>
    <r>
      <rPr>
        <rFont val="Calibri, sans-serif"/>
        <color rgb="FF1155CC"/>
        <sz val="12.0"/>
        <u/>
      </rPr>
      <t>https://sibangkitukm.bandungkab.go.id</t>
    </r>
  </si>
  <si>
    <r>
      <rPr>
        <rFont val="Calibri, sans-serif"/>
        <color rgb="FF1155CC"/>
        <sz val="12.0"/>
        <u/>
      </rPr>
      <t xml:space="preserve">Anne Rahmawati, S.Sos., </t>
    </r>
    <r>
      <rPr>
        <rFont val="Calibri, sans-serif"/>
        <color rgb="FF1155CC"/>
        <sz val="12.0"/>
        <u/>
      </rPr>
      <t>M.Si</t>
    </r>
  </si>
  <si>
    <r>
      <rPr>
        <rFont val="Calibri, sans-serif"/>
        <color rgb="FF1155CC"/>
        <sz val="12.0"/>
        <u/>
      </rPr>
      <t>https://sikoperbedas.bandungkab.go.id/</t>
    </r>
  </si>
  <si>
    <r>
      <rPr>
        <rFont val="Calibri, sans-serif"/>
        <color rgb="FF1155CC"/>
        <sz val="12.0"/>
        <u/>
      </rPr>
      <t>https://usahamikro.bandungkab.go.id/</t>
    </r>
  </si>
  <si>
    <r>
      <rPr>
        <rFont val="Calibri, sans-serif"/>
        <color rgb="FF1155CC"/>
        <sz val="12.0"/>
        <u/>
      </rPr>
      <t xml:space="preserve">Anne Rahmawati, S.Sos., </t>
    </r>
    <r>
      <rPr>
        <rFont val="Calibri, sans-serif"/>
        <color rgb="FF1155CC"/>
        <sz val="12.0"/>
        <u/>
      </rPr>
      <t>M.Si</t>
    </r>
  </si>
  <si>
    <r>
      <rPr>
        <rFont val="Calibri, sans-serif"/>
        <color rgb="FF1155CC"/>
        <sz val="12.0"/>
        <u/>
      </rPr>
      <t>https://drive.google.com/file/d/1xLGvVqyQdJTXp_gTo9XoOeAPrmSfoy_q/view?usp=sharing</t>
    </r>
  </si>
  <si>
    <r>
      <rPr>
        <rFont val="Calibri, sans-serif"/>
        <color rgb="FF1155CC"/>
        <sz val="12.0"/>
        <u/>
      </rPr>
      <t>https://ibandungkab.moco.co.id/</t>
    </r>
  </si>
  <si>
    <r>
      <rPr>
        <rFont val="Calibri, sans-serif"/>
        <color rgb="FF1155CC"/>
        <sz val="12.0"/>
        <u/>
      </rPr>
      <t xml:space="preserve">Rizal Mulki Farhan, </t>
    </r>
    <r>
      <rPr>
        <rFont val="Calibri, sans-serif"/>
        <color rgb="FF1155CC"/>
        <sz val="12.0"/>
        <u/>
      </rPr>
      <t>A.Ma</t>
    </r>
    <r>
      <rPr>
        <rFont val="Calibri, sans-serif"/>
        <color rgb="FF1155CC"/>
        <sz val="12.0"/>
        <u/>
      </rPr>
      <t>.Pust.</t>
    </r>
  </si>
  <si>
    <r>
      <rPr>
        <rFont val="Calibri, sans-serif"/>
        <color rgb="FF1155CC"/>
        <sz val="12.0"/>
        <u/>
      </rPr>
      <t>https://drive.google.com/file/d/1FL4agfMs9a3tAmDlzxiGL6UA1alZs_Er/view?usp=sharing</t>
    </r>
  </si>
  <si>
    <r>
      <rPr>
        <rFont val="Calibri, sans-serif"/>
        <color rgb="FF1155CC"/>
        <sz val="12.0"/>
        <u/>
      </rPr>
      <t>https://perpus.bandungkab.go.id/pendaftaran</t>
    </r>
  </si>
  <si>
    <r>
      <rPr>
        <rFont val="Calibri, sans-serif"/>
        <color rgb="FF1155CC"/>
        <sz val="12.0"/>
        <u/>
      </rPr>
      <t>sikn.anri.go.id</t>
    </r>
  </si>
  <si>
    <r>
      <rPr>
        <rFont val="Calibri, sans-serif"/>
        <color rgb="FF1155CC"/>
        <sz val="12.0"/>
        <u/>
      </rPr>
      <t>srikandi.arsip.go.id</t>
    </r>
  </si>
  <si>
    <r>
      <rPr>
        <rFont val="Calibri, sans-serif"/>
        <color rgb="FF1155CC"/>
        <sz val="12.0"/>
        <u/>
      </rPr>
      <t>https://ipusnas2.perpusnas.go.id/login</t>
    </r>
  </si>
  <si>
    <r>
      <rPr>
        <rFont val="Calibri, sans-serif"/>
        <color rgb="FF1155CC"/>
        <sz val="12.0"/>
        <u/>
      </rPr>
      <t>https://drive.google.com/drive/folders/1Ejl6GsPadSWWZ-gXvbwNU62zsG4t_RcK?usp=drive_link</t>
    </r>
  </si>
  <si>
    <r>
      <rPr>
        <rFont val="Calibri, sans-serif"/>
        <color rgb="FF1155CC"/>
        <sz val="12.0"/>
        <u/>
      </rPr>
      <t>https://apar.bandungkab.go.id</t>
    </r>
  </si>
  <si>
    <r>
      <rPr>
        <rFont val="Calibri, sans-serif"/>
        <color rgb="FF1155CC"/>
        <sz val="12.0"/>
        <u/>
      </rPr>
      <t>https://drive.google.com/drive/u/1/folders/1OmZJCQ07S-vIbWQDO6jSHpZyJaE2oGJM</t>
    </r>
  </si>
  <si>
    <r>
      <rPr>
        <rFont val="Calibri, sans-serif"/>
        <color rgb="FF1155CC"/>
        <sz val="12.0"/>
        <u/>
      </rPr>
      <t>https://simbarraya.bandungkab.go.id/</t>
    </r>
  </si>
  <si>
    <r>
      <rPr>
        <rFont val="Calibri, sans-serif"/>
        <color rgb="FF1155CC"/>
        <sz val="12.0"/>
        <u/>
      </rPr>
      <t>https://drive.google.com/file/d/1U5Ce3fAIo3YOESTLI_rdag9_xK_sncgn/view?usp=sharing</t>
    </r>
  </si>
  <si>
    <r>
      <rPr>
        <rFont val="Calibri, sans-serif"/>
        <color rgb="FF1155CC"/>
        <sz val="12.0"/>
        <u/>
      </rPr>
      <t>https://apik.bandungkab.go.id/apik/login</t>
    </r>
  </si>
  <si>
    <r>
      <rPr>
        <rFont val="Calibri, sans-serif"/>
        <color rgb="FF1155CC"/>
        <sz val="12.0"/>
        <u/>
      </rPr>
      <t>https://drive.google.com/file/d/1JhS_khzdBgbJD9WfRdXNmMfYuI_ppqJR/view?usp=sharing</t>
    </r>
  </si>
  <si>
    <r>
      <rPr>
        <rFont val="Calibri, sans-serif"/>
        <color rgb="FF1155CC"/>
        <sz val="12.0"/>
        <u/>
      </rPr>
      <t>https://bajuri.bandungkab.go.id/</t>
    </r>
  </si>
  <si>
    <r>
      <rPr>
        <rFont val="Calibri, sans-serif"/>
        <color rgb="FF1155CC"/>
        <sz val="12.0"/>
        <u/>
      </rPr>
      <t>https://romantik.web.bps.go.id/</t>
    </r>
  </si>
  <si>
    <r>
      <rPr>
        <rFont val="Calibri, sans-serif"/>
        <color rgb="FF1155CC"/>
        <sz val="12.0"/>
        <u/>
      </rPr>
      <t>https://drive.google.com/file/d/18x4SyFaMTJIHq1ORgmmghi6RwxlrdqOk/view?usp=sharing</t>
    </r>
  </si>
  <si>
    <r>
      <rPr>
        <rFont val="Calibri, sans-serif"/>
        <color rgb="FF1155CC"/>
        <sz val="12.0"/>
        <u/>
      </rPr>
      <t>https://sso.bandungkab.go.id/</t>
    </r>
  </si>
  <si>
    <r>
      <rPr>
        <rFont val="Calibri, sans-serif"/>
        <color rgb="FF1155CC"/>
        <sz val="12.0"/>
        <u/>
      </rPr>
      <t>mailto:lemicandra@gmail.com</t>
    </r>
  </si>
  <si>
    <r>
      <rPr>
        <rFont val="Calibri, sans-serif"/>
        <color rgb="FF1155CC"/>
        <sz val="12.0"/>
        <u/>
      </rPr>
      <t>https://pelayanan.bandungkab.dapda.id/</t>
    </r>
  </si>
  <si>
    <r>
      <rPr>
        <rFont val="Calibri, sans-serif"/>
        <color rgb="FF1155CC"/>
        <sz val="12.0"/>
        <u/>
      </rPr>
      <t>https://drive.google.com/file/d/1Wq5fbFaB6cGVodoz0G93rd3_HKNa842I/view?usp=sharing</t>
    </r>
  </si>
  <si>
    <r>
      <rPr>
        <rFont val="Calibri, sans-serif"/>
        <color rgb="FF1155CC"/>
        <sz val="12.0"/>
        <u/>
      </rPr>
      <t>https://hspkasb.e-planningbmd.id/auth</t>
    </r>
  </si>
  <si>
    <r>
      <rPr>
        <rFont val="Calibri, sans-serif"/>
        <color rgb="FF1155CC"/>
        <sz val="12.0"/>
        <u/>
      </rPr>
      <t>https://sidesa.bandungkab.dapda.id/login</t>
    </r>
  </si>
  <si>
    <r>
      <rPr>
        <rFont val="Calibri, sans-serif"/>
        <color rgb="FF1155CC"/>
        <sz val="12.0"/>
        <u/>
      </rPr>
      <t>soreang.dapda.id</t>
    </r>
  </si>
  <si>
    <r>
      <rPr>
        <rFont val="Calibri, sans-serif"/>
        <color rgb="FF1155CC"/>
        <sz val="12.0"/>
        <u/>
      </rPr>
      <t>https://drive.google.com/file/d/1YRKKugsMdrXTfIPPP5t9vIuPmcSmeJi-/view?usp=sharing</t>
    </r>
  </si>
  <si>
    <r>
      <rPr>
        <rFont val="Calibri, sans-serif"/>
        <color rgb="FF1155CC"/>
        <sz val="12.0"/>
        <u/>
      </rPr>
      <t>https://penatausahaan-dev-bmd.bandungkab.go.id/login#pembukuan</t>
    </r>
  </si>
  <si>
    <r>
      <rPr>
        <rFont val="Calibri, sans-serif"/>
        <color rgb="FF1155CC"/>
        <sz val="12.0"/>
        <u/>
      </rPr>
      <t>https://docs.google.com/spreadsheets/d/1GrF7yl0eJIiOHTS8n_w_9Sp-PAVtSvEu/edit?usp=drive_link&amp;ouid=100880423975394660255&amp;rtpof=true&amp;sd=true</t>
    </r>
  </si>
  <si>
    <r>
      <rPr>
        <rFont val="Calibri, sans-serif"/>
        <color rgb="FF1155CC"/>
        <sz val="12.0"/>
        <u/>
      </rPr>
      <t>rkbmd.e-planningbmd.id</t>
    </r>
  </si>
  <si>
    <r>
      <rPr>
        <rFont val="Calibri, sans-serif"/>
        <color rgb="FF1155CC"/>
        <sz val="12.0"/>
        <u/>
      </rPr>
      <t>https://drive.google.com/file/d/1pRxS9hpYYxPfeElynApRSPgiKe_xbqQZ/view?usp=drive_link</t>
    </r>
  </si>
  <si>
    <r>
      <rPr>
        <rFont val="Calibri, sans-serif"/>
        <color rgb="FF1155CC"/>
        <sz val="12.0"/>
        <u/>
      </rPr>
      <t>https://e-penghapusanbmd.id/</t>
    </r>
  </si>
  <si>
    <r>
      <rPr>
        <rFont val="Calibri, sans-serif"/>
        <color rgb="FF1155CC"/>
        <sz val="12.0"/>
        <u/>
      </rPr>
      <t>https://persediaanbmd.bandungkab.go.id/</t>
    </r>
  </si>
  <si>
    <r>
      <rPr>
        <rFont val="Calibri, sans-serif"/>
        <color rgb="FF1155CC"/>
        <sz val="12.0"/>
        <u/>
      </rPr>
      <t>https://drive.google.com/file/d/1EleK6UBDx7lBx-8YOCfg6TAbMx8HdYBj/view?usp=sharing</t>
    </r>
  </si>
  <si>
    <r>
      <rPr>
        <rFont val="Calibri, sans-serif"/>
        <color rgb="FF1155CC"/>
        <sz val="12.0"/>
        <u/>
      </rPr>
      <t>pbb-online.bandungkab.go.id</t>
    </r>
  </si>
  <si>
    <r>
      <rPr>
        <rFont val="Calibri, sans-serif"/>
        <color rgb="FF1155CC"/>
        <sz val="12.0"/>
        <u/>
      </rPr>
      <t>https://drive.google.com/file/d/1CloKUh40TI8aJ_npp4ASJNSlnRVawVBn/view?usp=sharing</t>
    </r>
  </si>
  <si>
    <r>
      <rPr>
        <rFont val="Calibri, sans-serif"/>
        <color rgb="FF1155CC"/>
        <sz val="12.0"/>
        <u/>
      </rPr>
      <t>https://drive.google.com/drive/folders/1psrMJUnyozjImYwLa6s5MSyj6ohEJYQO?usp=sharing</t>
    </r>
  </si>
  <si>
    <r>
      <rPr>
        <rFont val="Calibri, sans-serif"/>
        <color rgb="FF1155CC"/>
        <sz val="12.0"/>
        <u/>
      </rPr>
      <t>https://bphtb2.bandungkab.go.id/</t>
    </r>
  </si>
  <si>
    <r>
      <rPr>
        <rFont val="Calibri, sans-serif"/>
        <color rgb="FF1155CC"/>
        <sz val="12.0"/>
        <u/>
      </rPr>
      <t>https://drive.google.com/drive/folders/1YBsK-2pdfsgxA-SPqsa5WMZzipvbo0Zl?usp=sharing</t>
    </r>
  </si>
  <si>
    <r>
      <rPr>
        <rFont val="Calibri, sans-serif"/>
        <color rgb="FF1155CC"/>
        <sz val="12.0"/>
        <u/>
      </rPr>
      <t>https://e-pad.bandungkab.go.id/index.php/user/login</t>
    </r>
  </si>
  <si>
    <r>
      <rPr>
        <rFont val="Calibri, sans-serif"/>
        <color rgb="FF1155CC"/>
        <sz val="12.0"/>
        <u/>
      </rPr>
      <t>https://e-absensi.bandungkab.go.id/login</t>
    </r>
  </si>
  <si>
    <r>
      <rPr>
        <rFont val="Calibri, sans-serif"/>
        <color rgb="FF1155CC"/>
        <sz val="12.0"/>
        <u/>
      </rPr>
      <t>https://drive.google.com/file/d/1-u8BdMLGCu4aICHYLsA_St6eYZj99BZB/view?usp=drive_link</t>
    </r>
  </si>
  <si>
    <r>
      <rPr>
        <rFont val="Arial, sans-serif"/>
        <color rgb="FF1155CC"/>
        <u/>
      </rPr>
      <t>https://sso.bandungkab.go.id</t>
    </r>
  </si>
  <si>
    <r>
      <rPr>
        <rFont val="Arial, sans-serif"/>
        <color rgb="FF1155CC"/>
        <u/>
      </rPr>
      <t>dediradi@gmail.com</t>
    </r>
  </si>
  <si>
    <r>
      <rPr>
        <rFont val="Calibri, sans-serif"/>
        <color rgb="FF1155CC"/>
        <sz val="12.0"/>
        <u/>
      </rPr>
      <t>https://drive.google.com/file/d/1OVv4yCmrgdrfLSeSS5ewogAtczV2aIlF/view?usp=sharing</t>
    </r>
  </si>
  <si>
    <r>
      <rPr>
        <rFont val="Calibri, sans-serif"/>
        <color rgb="FF1155CC"/>
        <sz val="12.0"/>
        <u/>
      </rPr>
      <t>https://play.google.com/store/apps/details?id=com.diskominfo.bpbd</t>
    </r>
  </si>
  <si>
    <r>
      <rPr>
        <rFont val="Calibri, sans-serif"/>
        <color rgb="FF1155CC"/>
        <sz val="12.0"/>
        <u/>
      </rPr>
      <t>https://drive.google.com/file/d/1OVv4yCmrgdrfLSeSS5ewogAtczV2aIlF/view?usp=sharing</t>
    </r>
  </si>
  <si>
    <r>
      <rPr>
        <rFont val="Calibri, sans-serif"/>
        <color rgb="FF1155CC"/>
        <sz val="12.0"/>
        <u/>
      </rPr>
      <t>http://dibi.bnpb.go.id/</t>
    </r>
  </si>
  <si>
    <r>
      <rPr>
        <rFont val="Calibri, sans-serif"/>
        <color rgb="FF1155CC"/>
        <sz val="12.0"/>
        <u/>
      </rPr>
      <t>https://docs.google.com/spreadsheets/d/1l5-2zqpZNcqk1vc27yahE2fBaLI9m7gY/edit?usp=sharing&amp;ouid=116583022603845992448&amp;rtpof=true&amp;sd=true</t>
    </r>
  </si>
  <si>
    <r>
      <rPr>
        <rFont val="Calibri, sans-serif"/>
        <color rgb="FF1155CC"/>
        <sz val="12.0"/>
        <u/>
      </rPr>
      <t>https://drive.google.com/drive/folders/1B5BkNR_l7v0dpf1e8Y6cIlWcgjAqRVF5?usp=drive_link</t>
    </r>
  </si>
  <si>
    <r>
      <rPr>
        <rFont val="Calibri, sans-serif"/>
        <color rgb="FF1155CC"/>
        <sz val="12.0"/>
        <u/>
      </rPr>
      <t>https://drive.google.com/file/d/1T1U4oNUqZS1NcFlgpFY6CJRp0CcQqlBv/view?usp=drive_link</t>
    </r>
  </si>
  <si>
    <r>
      <rPr>
        <rFont val="Calibri, sans-serif"/>
        <color rgb="FF1155CC"/>
        <sz val="12.0"/>
        <u/>
      </rPr>
      <t>https://drive.google.com/drive/folders/1vjgfqjMxOGjNMjW_D5TVCMti_1yMqG0T?usp=sharing</t>
    </r>
  </si>
  <si>
    <r>
      <rPr>
        <rFont val="Calibri, sans-serif"/>
        <color rgb="FF1155CC"/>
        <sz val="12.0"/>
        <u/>
      </rPr>
      <t>simpel.menlhk.go.id</t>
    </r>
  </si>
  <si>
    <r>
      <rPr>
        <rFont val="Calibri, sans-serif"/>
        <color rgb="FF1155CC"/>
        <sz val="12.0"/>
        <u/>
      </rPr>
      <t>https://ee.kobotoolbox.org/x/YQp13dFa</t>
    </r>
  </si>
  <si>
    <r>
      <rPr>
        <rFont val="Calibri, sans-serif"/>
        <color rgb="FF1155CC"/>
        <sz val="12.0"/>
        <u/>
      </rPr>
      <t>https://simgajiweb.taspen.co.id/</t>
    </r>
  </si>
  <si>
    <r>
      <rPr>
        <rFont val="Calibri, sans-serif"/>
        <color rgb="FF1155CC"/>
        <sz val="12.0"/>
        <u/>
      </rPr>
      <t>https://e-retribusi.bandungkab.go.id/</t>
    </r>
  </si>
  <si>
    <r>
      <rPr>
        <rFont val="Calibri, sans-serif"/>
        <color rgb="FF1155CC"/>
        <sz val="12.0"/>
        <u/>
      </rPr>
      <t xml:space="preserve">Fidriansyah, </t>
    </r>
    <r>
      <rPr>
        <rFont val="Calibri, sans-serif"/>
        <color rgb="FF1155CC"/>
        <sz val="12.0"/>
        <u/>
      </rPr>
      <t>A.Md</t>
    </r>
  </si>
  <si>
    <r>
      <rPr>
        <rFont val="Calibri, sans-serif"/>
        <color rgb="FF1155CC"/>
        <sz val="12.0"/>
        <u/>
      </rPr>
      <t>https://sirup.inaproc.id/sirup/loginctr/index</t>
    </r>
  </si>
  <si>
    <r>
      <rPr>
        <rFont val="Calibri, sans-serif"/>
        <color rgb="FF1155CC"/>
        <sz val="12.0"/>
        <u/>
      </rPr>
      <t>https://sisrute.kemkes.go.id/</t>
    </r>
  </si>
  <si>
    <r>
      <rPr>
        <rFont val="Calibri, sans-serif"/>
        <color rgb="FF1155CC"/>
        <sz val="12.0"/>
        <u/>
      </rPr>
      <t>https://mpn.kemenkeu.go.id</t>
    </r>
  </si>
  <si>
    <r>
      <rPr>
        <rFont val="Calibri, sans-serif"/>
        <color rgb="FF1155CC"/>
        <sz val="12.0"/>
        <u/>
      </rPr>
      <t>sisdmk.kemkes.go.id</t>
    </r>
  </si>
  <si>
    <r>
      <rPr>
        <rFont val="Calibri, sans-serif"/>
        <color rgb="FF1155CC"/>
        <sz val="12.0"/>
        <u/>
      </rPr>
      <t>sirs.kemkes.go.id</t>
    </r>
  </si>
  <si>
    <r>
      <rPr>
        <rFont val="Calibri, sans-serif"/>
        <color rgb="FF1155CC"/>
        <sz val="12.0"/>
        <u/>
      </rPr>
      <t>https://sippn.menpan.go.id/</t>
    </r>
  </si>
  <si>
    <r>
      <rPr>
        <rFont val="Arial, sans-serif"/>
        <color rgb="FF1155CC"/>
        <u/>
      </rPr>
      <t>https://mutufasyankes.kemkes.go.id/</t>
    </r>
  </si>
  <si>
    <r>
      <rPr>
        <rFont val="Calibri, sans-serif"/>
        <color rgb="FF1155CC"/>
        <sz val="12.0"/>
        <u/>
      </rPr>
      <t xml:space="preserve">Endah Mawarni, </t>
    </r>
    <r>
      <rPr>
        <rFont val="Calibri, sans-serif"/>
        <color rgb="FF1155CC"/>
        <sz val="12.0"/>
        <u/>
      </rPr>
      <t>A.Md</t>
    </r>
    <r>
      <rPr>
        <rFont val="Calibri, sans-serif"/>
        <color rgb="FF1155CC"/>
        <sz val="12.0"/>
        <u/>
      </rPr>
      <t>.Kes</t>
    </r>
  </si>
  <si>
    <r>
      <rPr>
        <rFont val="Calibri, sans-serif"/>
        <color rgb="FF1155CC"/>
        <sz val="12.0"/>
        <u/>
      </rPr>
      <t>https://aspak.kemkes.go.id/aplikasi/site/index</t>
    </r>
  </si>
  <si>
    <r>
      <rPr>
        <rFont val="Calibri, sans-serif"/>
        <color rgb="FF1155CC"/>
        <sz val="12.0"/>
        <u/>
      </rPr>
      <t>https://drive.google.com/file/d/1T1U4oNUqZS1NcFlgpFY6CJRp0CcQqlBv/view?usp=drive_link</t>
    </r>
  </si>
  <si>
    <r>
      <rPr>
        <rFont val="Calibri, sans-serif"/>
        <color rgb="FF1155CC"/>
        <sz val="12.0"/>
        <u/>
      </rPr>
      <t>https://apik.bandungkab.go.id/apik/login</t>
    </r>
  </si>
  <si>
    <r>
      <rPr>
        <rFont val="&quot;Hind Siliguri&quot;"/>
        <color rgb="FF1155CC"/>
        <u/>
      </rPr>
      <t>https://drive.google.com/file/d/1T1U4oNUqZS1NcFlgpFY6CJRp0CcQqlBv/view?usp=drive_link</t>
    </r>
  </si>
  <si>
    <r>
      <rPr>
        <rFont val="&quot;Hind Siliguri&quot;"/>
        <color rgb="FF1155CC"/>
        <u/>
      </rPr>
      <t>https://skm.bandungkab.go.id/</t>
    </r>
  </si>
  <si>
    <r>
      <rPr>
        <rFont val="&quot;Hind Siliguri&quot;"/>
        <color rgb="FF1155CC"/>
        <u/>
      </rPr>
      <t>http://192.168.40.89/sikeren</t>
    </r>
  </si>
  <si>
    <r>
      <rPr>
        <rFont val="&quot;Hind Siliguri&quot;"/>
        <color rgb="FF1155CC"/>
        <u/>
      </rPr>
      <t>https://edabu.bpjs-kesehatan.go.id/Edabu/Home/Login?AspxAutoDetectCookieSupport=1</t>
    </r>
  </si>
  <si>
    <r>
      <rPr>
        <rFont val="&quot;Hind Siliguri&quot;"/>
        <color rgb="FF1155CC"/>
        <u/>
      </rPr>
      <t>satusehat.kemkes.go.id/sdmk</t>
    </r>
  </si>
  <si>
    <r>
      <rPr>
        <rFont val="&quot;Hind Siliguri&quot;"/>
        <color rgb="FF1155CC"/>
        <u/>
      </rPr>
      <t>AYI RAHADIAN, S.Tr.Kom</t>
    </r>
  </si>
  <si>
    <r>
      <rPr>
        <rFont val="Calibri, sans-serif"/>
        <color rgb="FF1155CC"/>
        <sz val="12.0"/>
        <u/>
      </rPr>
      <t>https://drive.google.com/file/d/1-OkimWi2XkYVZbq8aStpKFlsMtErBFog/view?usp=drivesdk</t>
    </r>
  </si>
  <si>
    <r>
      <rPr>
        <rFont val="Calibri, sans-serif"/>
        <color rgb="FF1155CC"/>
        <sz val="12.0"/>
        <u/>
      </rPr>
      <t>bdskts.id</t>
    </r>
  </si>
  <si>
    <r>
      <rPr>
        <rFont val="Arial, sans-serif"/>
        <color rgb="FF1155CC"/>
        <u/>
      </rPr>
      <t>SIRANAP</t>
    </r>
  </si>
  <si>
    <r>
      <rPr>
        <rFont val="Calibri, sans-serif"/>
        <color rgb="FF1155CC"/>
        <sz val="12.0"/>
        <u/>
      </rPr>
      <t>https://drive.google.com/drive/u/1/folders/12dUcuD3FJiM5lhmxZqNrZc05M-qKTqaU</t>
    </r>
  </si>
  <si>
    <r>
      <rPr>
        <rFont val="Calibri, sans-serif"/>
        <color rgb="FF1155CC"/>
        <sz val="11.0"/>
        <u/>
      </rPr>
      <t>Yankes Single SIGN-ON</t>
    </r>
  </si>
  <si>
    <r>
      <rPr>
        <rFont val="Calibri, sans-serif"/>
        <color rgb="FF1155CC"/>
        <sz val="12.0"/>
        <u/>
      </rPr>
      <t>https://ujiprof.labkesjabar.com/</t>
    </r>
  </si>
  <si>
    <r>
      <rPr>
        <rFont val="Arial, sans-serif"/>
        <color rgb="FF1155CC"/>
        <sz val="12.0"/>
        <u/>
      </rPr>
      <t>UU No. 17 Tahun 2023 tentang Kesehatan</t>
    </r>
    <r>
      <rPr>
        <rFont val="&quot;Google Sans&quot;"/>
        <color rgb="FF1155CC"/>
        <sz val="12.0"/>
        <u/>
      </rPr>
      <t xml:space="preserve"> (pengelolaan data nasional) dan </t>
    </r>
    <r>
      <rPr>
        <rFont val="Arial, sans-serif"/>
        <color rgb="FF1155CC"/>
        <sz val="12.0"/>
        <u/>
      </rPr>
      <t>UU No. 27 Tahun 2022 tentang Pelindungan Data Pribadi</t>
    </r>
    <r>
      <rPr>
        <rFont val="&quot;Google Sans&quot;"/>
        <color rgb="FF1155CC"/>
        <sz val="12.0"/>
        <u/>
      </rPr>
      <t xml:space="preserve"> (dasar pemrosesan data)</t>
    </r>
  </si>
  <si>
    <r>
      <rPr>
        <rFont val="Calibri, sans-serif"/>
        <color rgb="FF1155CC"/>
        <sz val="12.0"/>
        <u/>
      </rPr>
      <t>https://drive.google.com/drive/u/1/folders/1BMJeHVe0f6zjx97q_TOFnGkZBTxNZTBd</t>
    </r>
  </si>
  <si>
    <r>
      <rPr>
        <rFont val="Arial, sans-serif"/>
        <color rgb="FF1155CC"/>
        <u/>
      </rPr>
      <t>Workbook: Dashboard Pemantauan Aliran Data SATUSEHAT</t>
    </r>
  </si>
  <si>
    <r>
      <rPr>
        <rFont val="Arial, sans-serif"/>
        <color rgb="FF1155CC"/>
        <u/>
      </rPr>
      <t>https://dmi.kemkes.go.id/dhis-web-commons/security/login.action</t>
    </r>
  </si>
  <si>
    <r>
      <rPr>
        <rFont val="Inter"/>
        <color rgb="FF1155CC"/>
        <u/>
      </rPr>
      <t>https://balis.bapeten.go.id/frontend2/public/panel/dashboard</t>
    </r>
  </si>
  <si>
    <r>
      <rPr>
        <rFont val="&quot;Google Sans&quot;"/>
        <b/>
        <color rgb="FF1155CC"/>
        <sz val="9.0"/>
        <u/>
      </rPr>
      <t>https://e-meso.pom.go.id/ADR</t>
    </r>
  </si>
  <si>
    <r>
      <rPr>
        <rFont val="Calibri, sans-serif"/>
        <color rgb="FF1155CC"/>
        <sz val="12.0"/>
        <u/>
      </rPr>
      <t xml:space="preserve">Komariah </t>
    </r>
    <r>
      <rPr>
        <rFont val="Calibri, sans-serif"/>
        <color rgb="FF1155CC"/>
        <sz val="12.0"/>
        <u/>
      </rPr>
      <t>S.Si</t>
    </r>
    <r>
      <rPr>
        <rFont val="Calibri, sans-serif"/>
        <color rgb="FF1155CC"/>
        <sz val="12.0"/>
        <u/>
      </rPr>
      <t>,Apt</t>
    </r>
  </si>
  <si>
    <r>
      <rPr>
        <rFont val="Arial, sans-serif"/>
        <color rgb="FF1155CC"/>
        <u/>
      </rPr>
      <t>:Health Facilities Information System (H.F.I.S):</t>
    </r>
  </si>
  <si>
    <r>
      <rPr>
        <rFont val="Calibri, sans-serif"/>
        <color rgb="FF1155CC"/>
        <sz val="12.0"/>
        <u/>
      </rPr>
      <t>https://dhephl.bandungkab.go.id/</t>
    </r>
  </si>
  <si>
    <r>
      <rPr>
        <rFont val="Arial, sans-serif"/>
        <color rgb="FF1155CC"/>
        <sz val="12.0"/>
        <u/>
      </rPr>
      <t>UU No. 17 Tahun 2023 tentang Kesehatan</t>
    </r>
    <r>
      <rPr>
        <rFont val="&quot;Google Sans&quot;"/>
        <color rgb="FF1155CC"/>
        <sz val="12.0"/>
        <u/>
      </rPr>
      <t xml:space="preserve"> (pengelolaan data nasional) dan </t>
    </r>
    <r>
      <rPr>
        <rFont val="Arial, sans-serif"/>
        <color rgb="FF1155CC"/>
        <sz val="12.0"/>
        <u/>
      </rPr>
      <t>UU No. 27 Tahun 2022 tentang Pelindungan Data Pribadi</t>
    </r>
    <r>
      <rPr>
        <rFont val="&quot;Google Sans&quot;"/>
        <color rgb="FF1155CC"/>
        <sz val="12.0"/>
        <u/>
      </rPr>
      <t xml:space="preserve"> (dasar pemrosesan data)</t>
    </r>
  </si>
  <si>
    <r>
      <rPr>
        <rFont val="Calibri, sans-serif"/>
        <color rgb="FF1155CC"/>
        <sz val="12.0"/>
        <u/>
      </rPr>
      <t>https://drive.google.com/drive/u/1/folders/1BMJeHVe0f6zjx97q_TOFnGkZBTxNZTBd</t>
    </r>
  </si>
  <si>
    <r>
      <rPr>
        <rFont val="Arial, sans-serif"/>
        <color rgb="FF1155CC"/>
        <u/>
      </rPr>
      <t>Workbook: Dashboard Pemantauan Aliran Data SATUSEHAT</t>
    </r>
  </si>
  <si>
    <t>DAFTAR APLIKASI</t>
  </si>
  <si>
    <t>Aplikasi</t>
  </si>
  <si>
    <t>Status</t>
  </si>
  <si>
    <t xml:space="preserve">Total: 202 aplikasi tercatat (inc. apk non aktif (7)) </t>
  </si>
  <si>
    <t>**216 aplikasi (inc. microsoft office, google form, dan form manual (14))</t>
  </si>
  <si>
    <t>REKAP (exc. form, ms office)</t>
  </si>
  <si>
    <t>(+ aplikasi non aktif)</t>
  </si>
  <si>
    <t>(- aplikasi non aktif)</t>
  </si>
  <si>
    <t>•⁠  Total aplikasi</t>
  </si>
  <si>
    <t>•⁠  Pusat</t>
  </si>
  <si>
    <t>•⁠  Provinsi</t>
  </si>
  <si>
    <t>•⁠  Kab. Bandung</t>
  </si>
  <si>
    <t>• ⁠ Pihak Ketiga</t>
  </si>
  <si>
    <t>•⁠  Tidak ada keterangan</t>
  </si>
  <si>
    <t>Rekap dari aplikasi kab.bandung</t>
  </si>
  <si>
    <t>•⁠  ⁠dikembangkan diskominfo :</t>
  </si>
  <si>
    <t>•⁠  ⁠dikembangkan opd :</t>
  </si>
  <si>
    <t>•⁠  ⁠lisensi / pihak ke 3 :</t>
  </si>
  <si>
    <t>Microsoft Excel (1)</t>
  </si>
  <si>
    <t>Google Formulir (7)</t>
  </si>
  <si>
    <t>Kab. Bandung (6) - Pusat (1)</t>
  </si>
  <si>
    <t>Microsoft Office (1)</t>
  </si>
  <si>
    <t>Form manual (5)</t>
  </si>
  <si>
    <t>REKAP LAYANAN KESELURUHAN DI KABUPATEN BANDUNG</t>
  </si>
  <si>
    <t>REKAP I: Layanan Keseluruhan (OPD)</t>
  </si>
  <si>
    <t>Jumlah</t>
  </si>
  <si>
    <t>catatan</t>
  </si>
  <si>
    <t>•⁠  Jumlah Layanan Total</t>
  </si>
  <si>
    <t>•⁠  Jumlah Layanan Elektronik (dengan aplikasi)</t>
  </si>
  <si>
    <t>•⁠  Jumlah Layanan Belum Elektronik</t>
  </si>
  <si>
    <t>•⁠  Jumlah Layanan Tidak Diketahui Pemiliknya</t>
  </si>
  <si>
    <t>REKAP II: Layanan Elektronik</t>
  </si>
  <si>
    <t>•⁠  Jumlah Layanan Publik</t>
  </si>
  <si>
    <t>1 tidak ada keterangan terintegrasi/tidak</t>
  </si>
  <si>
    <t>•⁠  Jumlah Layanan Publik Yang Terintegrasi</t>
  </si>
  <si>
    <t>•⁠  Jumlah Layanan Publik Yang Belum Terintegrasi</t>
  </si>
  <si>
    <t>•⁠  Jumlah Layanan Administrasi</t>
  </si>
  <si>
    <t>3 tidak ada keterangan terintegrasi/tidak</t>
  </si>
  <si>
    <t>•⁠  Jumlah Layanan Administrasi Yang Terintegrasi</t>
  </si>
  <si>
    <t>•⁠  Jumlah Layanan Administrasi Yang Belum Terintegrasi</t>
  </si>
  <si>
    <t>REKAP III: Layanan Yang Terintegrasi</t>
  </si>
  <si>
    <t>•⁠  Jumlah Layanan Terintegrasi dengan BDS</t>
  </si>
  <si>
    <t>•⁠  Jumlah Layanan Terintegrasi dengan SSO</t>
  </si>
  <si>
    <t>REKAP IV: Layanan Yang Ada di Kecamatan</t>
  </si>
  <si>
    <t>•⁠  Jumlah Layanan Tambahan di Kecamatan</t>
  </si>
  <si>
    <t>•⁠  Jumlah Layanan Tambahan di Desa</t>
  </si>
  <si>
    <t>Kelurahan</t>
  </si>
  <si>
    <t>•⁠  Jumlah Layanan Tambahan di Kelurahan</t>
  </si>
  <si>
    <t>REKAP V: Aplikasi yang memiliki data pribadi</t>
  </si>
  <si>
    <t>All</t>
  </si>
  <si>
    <t>Kab Bandung</t>
  </si>
  <si>
    <t>Pihak ke 3</t>
  </si>
  <si>
    <t>Total OPD</t>
  </si>
  <si>
    <t>Persentase</t>
  </si>
  <si>
    <t>Presensi</t>
  </si>
  <si>
    <t>Hadir</t>
  </si>
  <si>
    <t>Tidak Hadir</t>
  </si>
  <si>
    <t>Pengisian</t>
  </si>
  <si>
    <t>PIC</t>
  </si>
  <si>
    <t>Keterengan</t>
  </si>
  <si>
    <t>Sekretariat Dewan Perwakilan Rakyat Daerah</t>
  </si>
  <si>
    <t>Selesai</t>
  </si>
  <si>
    <t>Ilham</t>
  </si>
  <si>
    <t>Inspektorat Daerah</t>
  </si>
  <si>
    <t>Hilmy</t>
  </si>
  <si>
    <t>Progress</t>
  </si>
  <si>
    <t>Dinas Pendidikan</t>
  </si>
  <si>
    <t>Andri Nurul</t>
  </si>
  <si>
    <t>pakai yang lama</t>
  </si>
  <si>
    <t>Dinas Kesehatan</t>
  </si>
  <si>
    <t>Taufik Rida</t>
  </si>
  <si>
    <t>Tidak ada keterangan</t>
  </si>
  <si>
    <t>Dinas Pekerjaan Umum dan Tata Ruang</t>
  </si>
  <si>
    <t>Demas</t>
  </si>
  <si>
    <t>Dinas Perumahan, Kawasan Permukiman dan Pertanahan</t>
  </si>
  <si>
    <t>Mugi</t>
  </si>
  <si>
    <t>Dinas Sosial</t>
  </si>
  <si>
    <t>Ricky</t>
  </si>
  <si>
    <t>Dinas Ketenagakerjaan</t>
  </si>
  <si>
    <t>Dinas Pengendalian Penduduk, Keluarga Berencana, Pemberdayaan Perempuan dan Perlindungan Anak</t>
  </si>
  <si>
    <t>Dinas Lingkungan Hidup</t>
  </si>
  <si>
    <t>Taopik</t>
  </si>
  <si>
    <t>Dinas Kependudukan dan Pencatatan Sipil</t>
  </si>
  <si>
    <t>Firman</t>
  </si>
  <si>
    <t>Dinas Pemberdayaan Masyarakat dan Desa</t>
  </si>
  <si>
    <t>Dinas Perhubungan</t>
  </si>
  <si>
    <t>Dinas Komunikasi dan Informatika, Statistik dan Persandian</t>
  </si>
  <si>
    <t>Rohayanti Rahayu</t>
  </si>
  <si>
    <t>Dinas Penanaman Modal dan Pelayanan Terpadu Satu Pintu</t>
  </si>
  <si>
    <t>Dinas Pemuda dan Olahraga</t>
  </si>
  <si>
    <t>Dinas Perdagangan dan Perindustrian</t>
  </si>
  <si>
    <t>Dinas Pertanian</t>
  </si>
  <si>
    <t>Arly</t>
  </si>
  <si>
    <t>Dinas Ketahanan Pangan dan Perikanan</t>
  </si>
  <si>
    <t>Dinas Kebudayaan</t>
  </si>
  <si>
    <t>Dinas Koperasi dan Usaha Kecil dan Menengah</t>
  </si>
  <si>
    <t>Dinas Perpustakaan dan Arsip</t>
  </si>
  <si>
    <t>Dinas Pemadam Kebakaran dan Penyelamatan</t>
  </si>
  <si>
    <t>Dinas Pariwisata dan Ekonomi Kreatif</t>
  </si>
  <si>
    <t>Satuan Polisi Pamong Praja</t>
  </si>
  <si>
    <t>Badan Perencanaan Pembangunan, Riset dan Inovasi Daerah</t>
  </si>
  <si>
    <t>Badan Keuangan dan Aset Daerah</t>
  </si>
  <si>
    <t>Badan Pendapatan Daerah</t>
  </si>
  <si>
    <t>Badan Kepegawaian dan Pengembangan Sumber Daya Manusia</t>
  </si>
  <si>
    <t>Badan Kesatuan Bangsa dan Politik</t>
  </si>
  <si>
    <t>Badan Penanggulangan Bencana Daerah</t>
  </si>
  <si>
    <t>Setda Bag. Sumber Daya Alam</t>
  </si>
  <si>
    <t>Setda Bag. Organisasi</t>
  </si>
  <si>
    <t>Setda Bag. Pengadaan Barang dan Jasa</t>
  </si>
  <si>
    <t>Setda Bag. Ekonomi</t>
  </si>
  <si>
    <t>Setda Bag. Administrasi Pembangunan</t>
  </si>
  <si>
    <t>Setda Bag. Umum</t>
  </si>
  <si>
    <t>Topik</t>
  </si>
  <si>
    <t>Setda Bag. Kerjasama</t>
  </si>
  <si>
    <t>Setda Bag. Tata Pemerintahan</t>
  </si>
  <si>
    <t>Setda Bag. Kesejahteraan Rakyat</t>
  </si>
  <si>
    <t>Setda Bag. Perencanaan dan Keuangan</t>
  </si>
  <si>
    <t>Setda Bag. Hukum</t>
  </si>
  <si>
    <t>Setda Bag. Protokol dan Komunikasi Pimpinan</t>
  </si>
  <si>
    <t>Rumah Sakit Umum Daerah Majalaya</t>
  </si>
  <si>
    <t>shahnaz</t>
  </si>
  <si>
    <t>Rumah Sakit Umum Daerah Oto Iskandar Di Nata</t>
  </si>
  <si>
    <t>Rumah Sakit Umum Daerah Cicalengka</t>
  </si>
  <si>
    <t>Rumah Sakit Umum Daerah Bedas Cimaung</t>
  </si>
  <si>
    <t>Rumah Sakit Umum Daerah Bedas Kertasari</t>
  </si>
  <si>
    <t>Rumah Sakit Umum Daerah Bedas Arjasari</t>
  </si>
  <si>
    <t>Rumah Sakit Umum Daerah Bedas Tegalluar</t>
  </si>
  <si>
    <t>Rumah Sakit Umum Daerah Bedas Pacira</t>
  </si>
  <si>
    <t>Pengelolaan E-Government di Lingkup Pemerintah Daerah</t>
  </si>
  <si>
    <t>Tata Kelola SPBE Pemerintah Daerah</t>
  </si>
  <si>
    <t>Arsitektur SPBE Pemerintah Daerah</t>
  </si>
  <si>
    <t>Peta Recana SPBE Pemerintah Daerah</t>
  </si>
  <si>
    <t>Rencana dan Anggaran Pemerintah Daerah</t>
  </si>
  <si>
    <t>Proses Bisnis</t>
  </si>
  <si>
    <t>Data dan Informasi</t>
  </si>
  <si>
    <t>Infrastruktur SPBE</t>
  </si>
  <si>
    <t>Infrastruktur SPBE Nasional</t>
  </si>
  <si>
    <t>Pusat Data Nasional</t>
  </si>
  <si>
    <t>Jaringan Intra Pemerintah</t>
  </si>
  <si>
    <t>Sistem Penghubung Layanan Pemerintah</t>
  </si>
  <si>
    <t>Infrastruktur SPBE Pemerintah Daerah</t>
  </si>
  <si>
    <t>Pusat Komputasi dan Pusat Kendali</t>
  </si>
  <si>
    <t>Jaringan Intra Pemerintah Daerah</t>
  </si>
  <si>
    <t>SPLPD</t>
  </si>
  <si>
    <t>Aplikasi SPBE</t>
  </si>
  <si>
    <t>Keamanan SPBE</t>
  </si>
  <si>
    <t>Layanan SPBE</t>
  </si>
  <si>
    <t>Manajemen SPBE</t>
  </si>
  <si>
    <t>Audit TIK</t>
  </si>
  <si>
    <t>Penyelenggaraan SPBE Pemerintah Daerah</t>
  </si>
  <si>
    <t>Promosi Literasi dan Kolaborasi Penyelenggaraan SPBE</t>
  </si>
  <si>
    <t>Penyelenggaraan Pengelolaan Perkotaan dengan Pendekatan Kota Cerdas</t>
  </si>
  <si>
    <t>Layanan</t>
  </si>
  <si>
    <t>Telaahan Rekomendasi Aplikasi</t>
  </si>
  <si>
    <t>Bidang Aplikasi Informatika</t>
  </si>
  <si>
    <t>Fasilitasi Pendampingan Pembangunan/Pengembangan Aplikasi</t>
  </si>
  <si>
    <t>Pemeriksaan Kesesuaian Usulan Aplikasi dengan Arsitektur SPBE</t>
  </si>
  <si>
    <t>Bidang e-Government</t>
  </si>
  <si>
    <t>Pembangunan Aplikasi Mandiri</t>
  </si>
  <si>
    <t>Rekayasa Aplikasi</t>
  </si>
  <si>
    <t>Pendampingan Pembangunan Pengembangan Aplikasi</t>
  </si>
  <si>
    <t>Fasilitasi Replikasi Aplikasi</t>
  </si>
  <si>
    <t>Permohonan Replikasi Aplikasi</t>
  </si>
  <si>
    <t>UPTD Pengelola Layanan Digital, Data, dan Informasi Geospasial</t>
  </si>
  <si>
    <t>Pendampingan Pengelolaan Aplikasi / Situs Web</t>
  </si>
  <si>
    <t>Pemeliharaan Aplikasi Portal Layanan Administrasi Pemerintahan Jabar</t>
  </si>
  <si>
    <t>Layanan Pemeliharaan Aplikasi Portal Administrasi Pemerintahan</t>
  </si>
  <si>
    <t>Fasilitasi Pemeliharaan Portal Layanan Administrasi Pemerintahan Jabar</t>
  </si>
  <si>
    <t>Bimbingan Teknis Pemanfaatan Portal Layanan Administrasi Pemerintahan Jabar</t>
  </si>
  <si>
    <t>Pemetaan Kebutuhan / Monitoring dan Evaluasi Portal Layanan Publik</t>
  </si>
  <si>
    <t>Pemeliharaan Portal Layanan Publik</t>
  </si>
  <si>
    <t>Pengembangan Portal Layanan Publik</t>
  </si>
  <si>
    <t>Pengajuan usulan pendaftaran Nama Domain dan Sub Nama Domain</t>
  </si>
  <si>
    <t>Layanan Pendaftaran Domain dan Sub domain Aplikasi</t>
  </si>
  <si>
    <t>Penerimaan Pendaftaran Aplikasi</t>
  </si>
  <si>
    <t>Penerbitan Nomor Aplikasi</t>
  </si>
  <si>
    <t>Pendaftaran Sistem Elektronik</t>
  </si>
  <si>
    <t>Monitoring dan Evaluasi Aplikasi</t>
  </si>
  <si>
    <t>Penatakelolaan Aplikasi Informatika</t>
  </si>
  <si>
    <t>Pembuatan Akun Repository</t>
  </si>
  <si>
    <t>Layanan Repository Pembangunan dan Pengembangan Aplikasi</t>
  </si>
  <si>
    <t>Fasilitasi Pembuatan eMail Jabarprov</t>
  </si>
  <si>
    <t>Layanan Mail Jabarprov</t>
  </si>
  <si>
    <t>Fasilitasi Reset Password Akun eMail</t>
  </si>
  <si>
    <t>Fasilitasi Penonaktifan eMail</t>
  </si>
  <si>
    <t>Penerimaan Permohonan Integrasi Interoperabilitas</t>
  </si>
  <si>
    <t>Layanan Integrasi/Interoperabilitas</t>
  </si>
  <si>
    <t>Penerbitan Berita Acara Penyedia API</t>
  </si>
  <si>
    <t>Penerbitan Berita Acara Pengguna API</t>
  </si>
  <si>
    <t>Penerbitan Credential Key DEV</t>
  </si>
  <si>
    <t>Uji Integrasi Interoperabilitas</t>
  </si>
  <si>
    <t>Penerbitan Credential Key Prod</t>
  </si>
  <si>
    <t>Penghapusan Credential Key Prod</t>
  </si>
  <si>
    <t>Penyiapan Bahan Perumusan Kebijakan SPBE Berbentuk SP/SK Tim</t>
  </si>
  <si>
    <t>Penyusunan Bahan Perumusan Kebijakan SPBE</t>
  </si>
  <si>
    <t>Penyiapan Bahan Perumusan Kebijakan SPBE Berbentuk Juklak/Juknis Kadis</t>
  </si>
  <si>
    <t>Pembentukan Tim Audit Internal TIK SPBE</t>
  </si>
  <si>
    <t>Pelaksanaan Audit Internal Infrastruktur SPBE</t>
  </si>
  <si>
    <t>Pelaksanaan Audit Internal Aplikasi SPBE</t>
  </si>
  <si>
    <t>Penyusunan Bahan Reviu/Evaluasi Kebijakan SPBE</t>
  </si>
  <si>
    <t>Pemeriksaan Kesesuaian Belanja SPBE (TIK, Data, Aplikasi, Jasa) dengan Perencanaan Strategis</t>
  </si>
  <si>
    <t>Pengembangan Proses Bisnis Pemerintahan Berbasis Elektronik</t>
  </si>
  <si>
    <t>Fasilitasi Penyelenggaraan Evaluasi Implementasi Provinsi Cerdas</t>
  </si>
  <si>
    <t>Fasilitasi Usulan Pengembangan Kompetensi SDM SPBE Internal Diskominfo</t>
  </si>
  <si>
    <t>Fasilitasi Usulan Pengembangan Kompetensi SDM SPBE Eksternal Dinas</t>
  </si>
  <si>
    <t>Pelaksanaan Evaluasi SPBE Perangkat Daerah</t>
  </si>
  <si>
    <t>Pelaksanaan Pemantauan/Evaluasi SPBE Pemprov Jabar</t>
  </si>
  <si>
    <t>Penyusunan Rencana Penyelenggaraan Jaringan Intra Pemerintah Daerah Provinsi ke Jaringan Intra Pemerintah Daerah Kabupaten/Kota</t>
  </si>
  <si>
    <t>Penanganan Permasalahan Jaringan Intra Pemerintah Daerah Provinsi ke Jaringan Intra Pemerintah Daerah Kabupaten/Kota</t>
  </si>
  <si>
    <t>Relokasi Jaringan Intra Pemerintah Daerah Provinsi ke Jaringan Intra Pemerintah Daerah Kabupaten/Kota</t>
  </si>
  <si>
    <t>Penanganan Permasalahan Jaringan Intra Pemerintah Daerah Provinsi</t>
  </si>
  <si>
    <t>Relokasi Jaringan Intra Pemerintah Daerah Provinsi</t>
  </si>
  <si>
    <t>Permohonan Kenaikan Bandwidth Internet</t>
  </si>
  <si>
    <t>Penanganan Insiden Sistem Elektronik Pemerintah Daerah yang terhubung dengan Internet</t>
  </si>
  <si>
    <t>Penanganan Permasalahan Jaringan Internet Pemerintah Daerah Provinsi</t>
  </si>
  <si>
    <t>Pengusulan Lokasi Jaringan Wifi Publik</t>
  </si>
  <si>
    <t>Evaluasi Pemanfaatan Jaringan Wifi Publik</t>
  </si>
  <si>
    <t>Perencanaan Kapasitas Pusat Data</t>
  </si>
  <si>
    <t>Penerimaan Permohonan VPS</t>
  </si>
  <si>
    <t>Pengelolaan Akses Ruang Terbatas</t>
  </si>
  <si>
    <t>Penanganan Permasalahan Jaringan Komunikasi Data</t>
  </si>
  <si>
    <t>Pemuatan (Hosting) di Pusat Data</t>
  </si>
  <si>
    <t>Colocation Server di Pusat Data</t>
  </si>
  <si>
    <t>Pengelolaan Backup dan Restore</t>
  </si>
  <si>
    <t>Pemantauan Kapasitas Server Fisik</t>
  </si>
  <si>
    <t>Pemantauan Pemakaian Jaringan Pusat Data</t>
  </si>
  <si>
    <t>Pengkabelan Jaringan dan Listrik Pusat Data</t>
  </si>
  <si>
    <t>Monitoring dan Pemeliharaan Fasilitas Pendukung Pusat Data</t>
  </si>
  <si>
    <t>Perpindahan Perangkat Server</t>
  </si>
  <si>
    <t>Fasilitasi Layanan Video Conference</t>
  </si>
  <si>
    <t>Fasilitasi Internet On-Demand</t>
  </si>
  <si>
    <t>Fasilitasi Peminjaman Akun Video Conference</t>
  </si>
  <si>
    <t>Layanan Data untuk Pimpinan</t>
  </si>
  <si>
    <t>Layanan Permohonan Data</t>
  </si>
  <si>
    <t>Penyimpanan DG tematik dan IGT</t>
  </si>
  <si>
    <t>Pengamanan DG Tematik dan IGT</t>
  </si>
  <si>
    <t>Pengaksesan kembali DG Tematik dan IGT</t>
  </si>
  <si>
    <t>Pemberian akses DG Tematik dan IGT</t>
  </si>
  <si>
    <t>Pendistibusian DG Tematik dan IGT</t>
  </si>
  <si>
    <t>Pemerintahan Umum</t>
  </si>
  <si>
    <t>Pengelolaan Aplikasi Informatika</t>
  </si>
  <si>
    <t>Fasilitasi Rekayasa Aplikasi</t>
  </si>
  <si>
    <t>Fasilitasi Permohonan Rekomendasi Pembangunan/Pengembangan Aplikasi</t>
  </si>
  <si>
    <t>Pengelolaan Fasilitasi Replikasi Aplikasi</t>
  </si>
  <si>
    <t>Pengelolaan Aplikasi</t>
  </si>
  <si>
    <t>Pengelolaan Aplikasi Portal Layanan</t>
  </si>
  <si>
    <t>Pengelolaan Aplikasi Portal Layanan Administrasi Pemerintahan Jabar</t>
  </si>
  <si>
    <t>Pengelolaan Aplikasi Portal Layanan Publik</t>
  </si>
  <si>
    <t>Pengelolaan Integrasi dan interoperabilitas/Penyelenggaraan Sistem Penghubung Layanan Pemerintahan Daerah</t>
  </si>
  <si>
    <t>Fasilitasi Berbagi Pakai Informasi Elektronik</t>
  </si>
  <si>
    <t>Pengumpulan Informasi Elektronik</t>
  </si>
  <si>
    <t>Pengolahan Informasi Elektronik</t>
  </si>
  <si>
    <t>Penyebarluasan Informasi Elektronik</t>
  </si>
  <si>
    <t>Pengelolaan e-Government di Lingkup Pemerintah Daerah Provinsi</t>
  </si>
  <si>
    <t>Pengkajian Bahan Kebijakan Teknis Bidang e-Government</t>
  </si>
  <si>
    <t>Penyiapan Bahan Perumusan Kebijakan Berbentuk Perda (Referensi Permendagri)</t>
  </si>
  <si>
    <t>Disamakan Dengan Statistik</t>
  </si>
  <si>
    <t>Penyiapan Bahan Perumusan Kebijakan Berbentuk Pergub, Kepgub, atau SK Gub</t>
  </si>
  <si>
    <t>Penyiapan Bahan Perumusan Kebijakan Berbentuk SK, SP dan SE atas nama Gubernur yang Ditandatangani oleh Sekda</t>
  </si>
  <si>
    <t>Penyiapan Bahan Perumusan Kebijakan Berbentuk SP dan SE Sekda</t>
  </si>
  <si>
    <t>Pelaksanaan Audit Internal TIK SPBE</t>
  </si>
  <si>
    <t>Pelaksanaan Audit Internal Keamanan SPBE</t>
  </si>
  <si>
    <t>Bidang Persandian dan Keamanan Informasi</t>
  </si>
  <si>
    <t>Pelaksanaan Reviu Kebijakan Teknis SPBE</t>
  </si>
  <si>
    <t>Penyusunan Rekomendasi Perencanaan dan Penganggaran SPBE Perangkat Daerah</t>
  </si>
  <si>
    <t>Pengembangan dan Pengelolaan Ekosistem Provinsi Cerdas dan Kota Cerdas</t>
  </si>
  <si>
    <t>Pengembangan dan Pengelolaan Sumber Daya Teknologi Informasi dan Komunikasi Pemerintah Daerah</t>
  </si>
  <si>
    <t>Fasilitasi Usulan Pengembangan Kompetensi SDM SPBE Lingkup Kabupaten/Kota</t>
  </si>
  <si>
    <t>Monitoring, Evaluasi dan Pelaporan Pengembangan Ekosistem SPBE</t>
  </si>
  <si>
    <t>Pelaksanaan Evaluasi Mandiri SPBE Pemprov Jabar</t>
  </si>
  <si>
    <t>Pelaksanaan Evaluasi Eksternal SPBE Pemprov Jabar</t>
  </si>
  <si>
    <t>Penyusunan Rencana Penyelenggaraan Jaringan Intra Pemerintah Daerah Provinsi</t>
  </si>
  <si>
    <t>Pengelolaan Jaringan Intra Pemerintah Daerah Provinsi</t>
  </si>
  <si>
    <t>Pengelolaan Jaringan Intra Pemerintah Daerah Provinsi ke Jaringan Intra Pemerintah Daerah Kabupaten/Kota</t>
  </si>
  <si>
    <t>Pembentukan Tim Pengelolaan Jaringan Intra Pemerintah Daerah Provinsi</t>
  </si>
  <si>
    <t>Pengelolaan Jaringan Internet Pemerintah Daerah Provinsi</t>
  </si>
  <si>
    <t>Penyediaan Akses Internet bagi Pemerintah Daerah Provinsi (Perangkat Daerah, UPTD/Cabang Dinas/Balai, Rumah Sakit)</t>
  </si>
  <si>
    <t>Pemantauan Jaringan Internet Pemerintah Daerah Provinsi</t>
  </si>
  <si>
    <t>Pengelolaan Jaringan Wifi Publik</t>
  </si>
  <si>
    <t>Pembentukan Tim Pengelolaan Jaringan Wifi Publik</t>
  </si>
  <si>
    <t>Pemantauan Jaringan Wifi Publik</t>
  </si>
  <si>
    <t>Penanganan Permasalahan Jaringan Wifi Publik Provinsi</t>
  </si>
  <si>
    <t>Pengelolaan Jaringan Internet Publik Provinsi</t>
  </si>
  <si>
    <t>Pengusulan Lokasi Jaringan Internet Publik Provinsi</t>
  </si>
  <si>
    <t>Pemantauan Jaringan Internet Publik Provinsi</t>
  </si>
  <si>
    <t>Evaluasi Pemanfaatan Jaringan Wifi Publik Provinsi</t>
  </si>
  <si>
    <t>Penyusunan Rencana Keberlangsungan Kegiatan Pusat Data</t>
  </si>
  <si>
    <t>Pengujian secara berkala Kelistrikan</t>
  </si>
  <si>
    <t>Penyelenggaraan Pusat Data Pemerintah Daerah</t>
  </si>
  <si>
    <t>Pendampingan Aktivitas Eksternal di Ruangan Terbatas</t>
  </si>
  <si>
    <t>Pemantauan penyelenggaraan Pusat Data Pemerintah Daerah</t>
  </si>
  <si>
    <t>Pemantauan Kapasitas Server</t>
  </si>
  <si>
    <t>Pemeliharaan Infrastruktur Pusat Data Pemerintahan Daerah</t>
  </si>
  <si>
    <t>Pemeriksaan/Monitoring Suhu Data Center</t>
  </si>
  <si>
    <t>Fasilitasi penggunaan sistem elektronik komunikasi intra pemerintah yang disediakan Dinas Kominfo dengan memanfaatkan jaringan intra pemerintah</t>
  </si>
  <si>
    <t>Penyelenggaraan Persandian untuk Pengamanan Informasi Pemerintah Daerah Provinsi</t>
  </si>
  <si>
    <t>Penyusunan Bahan Kebijakan Pengamanan Informasi</t>
  </si>
  <si>
    <t>Penyusunan Bahan Kebijakan Strategis</t>
  </si>
  <si>
    <t>Penyusunan Bahan Kebijakan Tata Kelola</t>
  </si>
  <si>
    <t>Pengkajian Bahan Kebijakan Teknis</t>
  </si>
  <si>
    <t>Penyiapan Bahan Perumusan Kebijakan Pengamanan Informasi berbentuk Pergub, Kepgub, atau SK Gub</t>
  </si>
  <si>
    <t>Penyiapan bahan perumusan kebijakan pengamanan 
informasi berbentuk Pergub, Kepgub, atau SK Gub</t>
  </si>
  <si>
    <t>Penyiapan Bahan Perumusan Kebijakan Pengamanan Informasi berbentuk SP dan SE Sekda</t>
  </si>
  <si>
    <t>Penyiapan bahan perumusan kebijakan pengamanan 
informasi berbentuk SP dan SE Sekda</t>
  </si>
  <si>
    <t>Penyiapan Bahan Perumusan Kebijakan Pengamanan Informasi berbentuk SP/Juklak/Juknis Kadis</t>
  </si>
  <si>
    <t>Penyiapan bahan perumusan kebijakan pengamanan
informasi berbentuk SP/Juklak/Juknis Kadis</t>
  </si>
  <si>
    <t>Pengelolaan Sumber Daya Keamanan Informasi</t>
  </si>
  <si>
    <t>Pengelolaan aset keamanan teknologi informasi dan komunikasi</t>
  </si>
  <si>
    <t>Pengelolaan Sumber Daya Manusia</t>
  </si>
  <si>
    <t>Perencanaan Pengembangan Sumber Daya Manusia Keamanan Informasi</t>
  </si>
  <si>
    <t>Pelaksanaan Pengembangan Sumber Daya Manusia Keamanan Informasi</t>
  </si>
  <si>
    <t>Manajemen Pengetahuan</t>
  </si>
  <si>
    <t>Pengamanan Sistem Elektronik</t>
  </si>
  <si>
    <t>Analisis Kerawanan dan Risiko terhadap Sistem Elektronik</t>
  </si>
  <si>
    <t>IT Security Assessment (ITSA)</t>
  </si>
  <si>
    <t>Deteksi Ancaman atau Kejadian Insiden pada Sistem Elektronik</t>
  </si>
  <si>
    <t>Deteksi ancaman atau kejadian insiden pada Sistem Elektronik</t>
  </si>
  <si>
    <t>Mitigasi Risiko dan Penerapan Pelindungan terhadap Sistem Elektronik</t>
  </si>
  <si>
    <t>Mitigasi risiko dan penerapan pelindungan terhadap Sistem Elektronik</t>
  </si>
  <si>
    <t>Penanggulangan dan Pemulihan Pasca Insiden Keamanan Informasi pada Sistem Elektronik</t>
  </si>
  <si>
    <t>Penanggulangan dan pemulihan pasca insiden keamanan informasi pada 
Sistem Elektronik</t>
  </si>
  <si>
    <t>Pemanfaatan Sertifikat Elektronik pada Sistem Elektronik</t>
  </si>
  <si>
    <t>Pemanfaatan Sertifikat Elektronik pada data dan informasi</t>
  </si>
  <si>
    <t>Pendaftaran Sertifikat Elektronik</t>
  </si>
  <si>
    <t>Penerbitan Sertifikat Elektronik</t>
  </si>
  <si>
    <t>Fasilitasi Pemanfaatan Sertifikat Elektronik</t>
  </si>
  <si>
    <t>Pencabutan Sertifikat Elektronik</t>
  </si>
  <si>
    <t>Pemanfaatan Sertifikat Elektronik pada aplikasi</t>
  </si>
  <si>
    <t>Pengamanan informasi Non Elektronik</t>
  </si>
  <si>
    <t>Fasilitasi Pengamanan Dokumen Non Elektronik</t>
  </si>
  <si>
    <t>Fasilitasi pengamanan dokumen non elektronik</t>
  </si>
  <si>
    <t>Penanganan, Pelabelan dan Penyimpanan data Informasi</t>
  </si>
  <si>
    <t>Pengiriman Data Informasi</t>
  </si>
  <si>
    <t>Penerima Data Informasi</t>
  </si>
  <si>
    <t>Fasilitasi Perlindungan Informasi pada Kegiatan Penting Pemerintah Daerah melalui Teknik Pengamanan Gelombang Frekuensi atau Sinyal</t>
  </si>
  <si>
    <t>Fasilitas Perlindungan Informasi pada Aset/Fasilitas Penting Milik atau yang akan Digunakan Pemerintah Daerah melalui Kegiatan Kontra Penginderaan</t>
  </si>
  <si>
    <t>Penetapan Pola Hubungan Komunikasi Sandi antar Perangkat Daerah Provinsi</t>
  </si>
  <si>
    <t>Operasionalisasi Jaring Komunikasi Sandi Pemerintah Daerah Provinsi</t>
  </si>
  <si>
    <t>Pengelolaan Data Statistik</t>
  </si>
  <si>
    <t>Penyelenggaraan Statistik Sektoral di Lingkup Daerah Provinsi</t>
  </si>
  <si>
    <t>Penyusunan kebijakan terkait penyelenggaraan statistik sektoral</t>
  </si>
  <si>
    <t>Penyiapan bahan perumusan kebijakan penyelenggaraan statistik sektoral</t>
  </si>
  <si>
    <t>Bidang Statisik</t>
  </si>
  <si>
    <t>Pengumpulan Data</t>
  </si>
  <si>
    <t>Fasilitasi Rekomendasi Kegiatan Statistik Sektoral</t>
  </si>
  <si>
    <t>Pengumpulan Data Statistik Sektoral</t>
  </si>
  <si>
    <t>Pengumpulan Metadata Statistik Sektoral</t>
  </si>
  <si>
    <t>Pengolahan dan Analisis</t>
  </si>
  <si>
    <t>Pengolahan dan Analisis Data Statistik Sektoral</t>
  </si>
  <si>
    <t>Penyebarluasan Data Statistik Sektoral</t>
  </si>
  <si>
    <t>Unggah Data Statistik Sektoral</t>
  </si>
  <si>
    <t>Diseminasi Data Statistik</t>
  </si>
  <si>
    <t>Diseminasi Medsos</t>
  </si>
  <si>
    <t>Pembinaan SDM</t>
  </si>
  <si>
    <t>Pengembangan Kapasitas SDM Pengelola Data Statistik Sektoral dan Informasi Geospasial Tematik</t>
  </si>
  <si>
    <t>Pengelolaan Data Geospasial</t>
  </si>
  <si>
    <t>Penyelenggaraan Informasi Geospasial Tematik</t>
  </si>
  <si>
    <t>Pengumpulan Data Geospasial (DG) Tematik</t>
  </si>
  <si>
    <t>Penyusunan Standar Pengumpulan DG Tematik</t>
  </si>
  <si>
    <t>Pengumpulan Data Geospasial</t>
  </si>
  <si>
    <t>Pengumpulan Data Geospasial Tematik</t>
  </si>
  <si>
    <t>Pengumpulan Metadata Geospasial Tematik</t>
  </si>
  <si>
    <t>Pengolahan DG Tematik dan Informasi Geospasial (IG) Tematik</t>
  </si>
  <si>
    <t>Pemrosesan DG Tematik</t>
  </si>
  <si>
    <t>Penyajian IGT</t>
  </si>
  <si>
    <t>Penggunaan IGT</t>
  </si>
  <si>
    <t>Pengembangan Kapasitas SDM Pengelola Data Geospasial</t>
  </si>
  <si>
    <t>Penyimpanan Data Geospasial tematik</t>
  </si>
  <si>
    <t>Pendistribusian Data Geospasial Tematik</t>
  </si>
  <si>
    <t>Penyimpanan dan pengamanan DG Tematik dan IGT</t>
  </si>
  <si>
    <t>Penyebarluasan DG Tematik dan IGT</t>
  </si>
  <si>
    <t>Pertukaran DG Tematik dan IGT</t>
  </si>
  <si>
    <t>Pengelolaan Informasi Publik</t>
  </si>
  <si>
    <t>Perumusan Kebijakan Teknis Bidang Informasi Publik</t>
  </si>
  <si>
    <t>Penyusunan Bahan Kebijakan Teknis Bidang Informasi Publik</t>
  </si>
  <si>
    <t>Bidang Informasi dan Komunikasi Publik</t>
  </si>
  <si>
    <t>Monitoring Opini dan Aspirasi Publik, serta  Informasi dan Penetapan Agenda Prioritas Komunikasi Pemerintah Daerah</t>
  </si>
  <si>
    <t>Evaluasi dan Pemilihan Isu Publik</t>
  </si>
  <si>
    <t>Monitoring Isu publik/informasi kebijakan di media massa dan media sosial</t>
  </si>
  <si>
    <t>Pengumpulan pendapat umum</t>
  </si>
  <si>
    <t>Pemantauan aduan masyarakat</t>
  </si>
  <si>
    <t>Aduan Warga</t>
  </si>
  <si>
    <t>Pelayanan Informasi Publik</t>
  </si>
  <si>
    <t>Pelaksanaan fungsi PPID</t>
  </si>
  <si>
    <t>Layanan Pengelolaan dan Penyediaan Informasi Publik</t>
  </si>
  <si>
    <t>Pemilahan Informasi Publik berdasarkan informasi berkala, serta merta, tersedia setiap saat, dan yang berpotensi dikecualikan</t>
  </si>
  <si>
    <t>Pengecualian Informasi secara aktif</t>
  </si>
  <si>
    <t>Pengecualian Informasi secara pasif</t>
  </si>
  <si>
    <t>Evaluasi dan pemilihan isu publik</t>
  </si>
  <si>
    <t>Monitoring Informasi dan Penetapan Agenda Prioritas Komunikasi Pemerintah Daerah</t>
  </si>
  <si>
    <t>Pemantauan informasi kebijakan yang terkait dengan kewenangan daerah berdasarkan agenda prioritas Pemerintah Daerah</t>
  </si>
  <si>
    <t>Pembuatan Daftar Informasi Publik berdasarkan informasi berkala, serta merta, tersedia setiap saat, dan yang berpotensi dikecualikan</t>
  </si>
  <si>
    <t>Penyusunan Daftar Informasi Publik</t>
  </si>
  <si>
    <t>Evaluasi dan penetapan agenda prioritas komunikasi Pemerintah Daerah</t>
  </si>
  <si>
    <t>Penetapan dan Pemutakhiran Daftar Informasi Publik</t>
  </si>
  <si>
    <t>Pendokumentasian Informasi Publik sesuai pedoman kearsipan</t>
  </si>
  <si>
    <t>Penyediaan Informasi Publik Berupa Informasi Publik Berkala, Serta Merta dan Daftar Informasi yang Dikecualikan ke dalam Website Pemerintah</t>
  </si>
  <si>
    <t>Koordinasi dengan PPID Pelaksana secara Berkala</t>
  </si>
  <si>
    <t>Pelaksanaan uji konsekuensi</t>
  </si>
  <si>
    <t>Pengujian konsekuensi informasi secara aktif</t>
  </si>
  <si>
    <t>Pengujian konsekuensi informasi secara pasif</t>
  </si>
  <si>
    <t>Pembuatan Maklumat Pelayanan</t>
  </si>
  <si>
    <t>Pelayanan Permohonan Informasi Publik</t>
  </si>
  <si>
    <t>Pengumuman Tata Cara Perolehan Informasi Publik</t>
  </si>
  <si>
    <t>Pengelolaan keberatan pemohon Informasi Publik</t>
  </si>
  <si>
    <t>Fasilitasi Penyelesaian Sengketa Informasi Publik</t>
  </si>
  <si>
    <t>Pengelolaan pengaduan masyarakat secara tatap muka</t>
  </si>
  <si>
    <t>Komunikasi</t>
  </si>
  <si>
    <t>Pengelolaan Komunikasi Publik</t>
  </si>
  <si>
    <t>Perumusan kebijakan teknis bidang komunikasi publik</t>
  </si>
  <si>
    <t>Penyusunan bahan kebijakan teknis bidang komunikasi publik</t>
  </si>
  <si>
    <t>Pengelolaan Konten dan Perencanaan Media Komunikasi Publik</t>
  </si>
  <si>
    <t>Penyusunan strategi komunikasi publik</t>
  </si>
  <si>
    <t>Pengemasan konten</t>
  </si>
  <si>
    <t>Penentuan media</t>
  </si>
  <si>
    <t>Produksi konten</t>
  </si>
  <si>
    <t>Pengelolaan Media Komunikasi Publik</t>
  </si>
  <si>
    <t>Penyelenggaraan Media Komunikasi Publik milik Pemerintah Daerah</t>
  </si>
  <si>
    <t>Penyelenggaraan diseminasi pesan di media</t>
  </si>
  <si>
    <t>Layanan Media</t>
  </si>
  <si>
    <t>Evaluasi penggunaan Media Komunikasi Publik</t>
  </si>
  <si>
    <t>Layanan Hubungan Media</t>
  </si>
  <si>
    <t>Membuat siaran pers</t>
  </si>
  <si>
    <t>Mengelola ruang pers</t>
  </si>
  <si>
    <t>Melaksanakan konferensi pers, kunjungan pers, pertemuan dengan media, kunjungan ke media, pertemuan dengan pemimpin redaksi, dan liputan media</t>
  </si>
  <si>
    <t>Memantau pemuatan siaran pers di media</t>
  </si>
  <si>
    <t>Kemitraan dengan Pemangku Kepentingan</t>
  </si>
  <si>
    <t>Fasilitasi Kemitraan dengan Pemangku Kepentingan</t>
  </si>
  <si>
    <t>Pengembangan Kapasitas Pemangku Kepentingan</t>
  </si>
  <si>
    <t>kemitraan yang baik dan kondusif dengan
seluruh pemangku kepentingan di Jawa Barat</t>
  </si>
  <si>
    <t>Penyebaran Bahan Informasi untuk Media yang Dimiliki Pemangku Kepentingan</t>
  </si>
  <si>
    <t>Monitoring dan Evaluasi Kemitraan dengan Pemangku Kepentingan</t>
  </si>
  <si>
    <t>Identifikasi Potensi dan Jenis Krisis Dari Rekomendasi Pemantauan Isu Publik Dan Rekomendasi Pemantauan Informasi Kebijakan Terkait Kewenangan Daerah</t>
  </si>
  <si>
    <t>Manajemen Komunikasi Krisis</t>
  </si>
  <si>
    <t>Penguatan Kapasitas Sumber Daya Komunikasi Publik</t>
  </si>
  <si>
    <t>Pengembangan Kapasitas Sumber Daya Komunikasi Publik</t>
  </si>
  <si>
    <t>Penguatan Tata Kelola Komisi Informasi di Daerah</t>
  </si>
  <si>
    <t>Penyediaan dan pemberian konsultasi serta advokasi kepada individu pengelola informasi dan komunikasi publik</t>
  </si>
  <si>
    <t>Pelaksanaan fungsi kepaniteraan</t>
  </si>
  <si>
    <t>Penyelesaian sengketa informasi di KI Provinsi Jawa Barat</t>
  </si>
  <si>
    <t>Pelaksanaan administrasi penyelesaian sengketa Informasi Publik</t>
  </si>
  <si>
    <t>Layanan Administrasi Penyelesaian Sengketa 
Informasi Publik</t>
  </si>
  <si>
    <t>Perencanaan Pembangunan Nasional</t>
  </si>
  <si>
    <t>Perencanaan Pembangunan</t>
  </si>
  <si>
    <t>Penyusunan Rencana Kerja</t>
  </si>
  <si>
    <t>Penyusunan Rencana Strategis</t>
  </si>
  <si>
    <t>Penyusunan Indikator Kinerja Utama (IKU)</t>
  </si>
  <si>
    <t>Penyusunan Pemetaan Kinerja (Cascading)</t>
  </si>
  <si>
    <t>Penyusunan Pohon Kinerja</t>
  </si>
  <si>
    <t>Pengumpulan Data Kinerja</t>
  </si>
  <si>
    <t>Penganggaran Pembangunan</t>
  </si>
  <si>
    <t>Penyusunan Kerangka Acuan Kerja</t>
  </si>
  <si>
    <t>Penyusunan Rencana Kerja Anggaran (RKA)</t>
  </si>
  <si>
    <t>Penyusunan Dokumen Pelaksanaan Anggaran (DPA)</t>
  </si>
  <si>
    <t>Pengendalian Pembangunan</t>
  </si>
  <si>
    <t>Penyusunan Laporan Capaian Kinerja Bulanan</t>
  </si>
  <si>
    <t>Penyusunan Laporan Kinerja Instansi Pemerintah</t>
  </si>
  <si>
    <t>Penyusunan Laporan Penyelenggaraan Pemerintah Daerah</t>
  </si>
  <si>
    <t>Penyusunan Laporan Keterangan Pertanggungjawaban</t>
  </si>
  <si>
    <t>Penyelenggaraan Kepegawaian</t>
  </si>
  <si>
    <t>Aparatur Negara</t>
  </si>
  <si>
    <t>Penataan Sumber Daya Manusia Aparatur</t>
  </si>
  <si>
    <t>Pengelolaan Kenaikan Pangkat ASN</t>
  </si>
  <si>
    <t>Penyusunan Kenaikan Gaji Berkala</t>
  </si>
  <si>
    <t>Pengurusan Taspen</t>
  </si>
  <si>
    <t>Pengurusan BPJS</t>
  </si>
  <si>
    <t>Pemberian Surat Izin Cuti bagi PNS</t>
  </si>
  <si>
    <t>Pemberian Surat Permohonan Pensiun Bagi Pegawai Negeri Sipil</t>
  </si>
  <si>
    <t>Pemberian Surat Permohonan Izin Belajar Bagi Pegawai Negeri Sipil</t>
  </si>
  <si>
    <t>Pemberian Surat Permohonan Tugas Belajar Bagi Pegawai Negeri Sipil</t>
  </si>
  <si>
    <t>Pemberian Surat Permohonan Kartu Pegawai Bagi Pegawai Negeri Sipil</t>
  </si>
  <si>
    <t>Pemberian Surat Permohonan Karis/Karsu Bagi Pegawai Negeri Sipil</t>
  </si>
  <si>
    <t>Pengelolaan Sistem Aplikasi Pelayanan Kepegawaian (SAPK/SIAP)</t>
  </si>
  <si>
    <t>Pengelolaan Sistem Aplikasi KMOB</t>
  </si>
  <si>
    <t>Pengelolaan Sistem Aplikasi TRK</t>
  </si>
  <si>
    <t>Pemberian Surat Permohonan Izin Cerai Bagi Pegawai Negeri Sipil</t>
  </si>
  <si>
    <t>Penataan Sistem Kelembagaan</t>
  </si>
  <si>
    <t>Pengelolaan dan Pengembangan Kelembagaan dan Analisis Jabatan</t>
  </si>
  <si>
    <t>Penyusunan Analisis Jabatan</t>
  </si>
  <si>
    <t>Penyusunan Analisis Beban Kerja</t>
  </si>
  <si>
    <t>Penyusunan Usulan Peta Jabatan</t>
  </si>
  <si>
    <t>Penyusunan Evaluasi Jabatan</t>
  </si>
  <si>
    <t>Penyusunan Promosi Jabatan</t>
  </si>
  <si>
    <t>Penyusunan Formasi Jabatan Fungsional</t>
  </si>
  <si>
    <t>Penyusunan Formasi Jabatan Fungsional Umum</t>
  </si>
  <si>
    <t>Penilaian Angka Kredit Pranata Komputer</t>
  </si>
  <si>
    <t>Penilaian Angka Kredit Manggala Informatika</t>
  </si>
  <si>
    <t>Penilaian Angka Kredit Sandiman</t>
  </si>
  <si>
    <t>Penilaian Angka Kredit Pranata Humas</t>
  </si>
  <si>
    <t>Penilaian Angka Kredit Statistisi</t>
  </si>
  <si>
    <t>Penyusunan Rekomendasi Standar Kompetensi Jabatan</t>
  </si>
  <si>
    <t>Penyusunan Rencana Kegiatan Peningkatan Kompetensi Aparatur</t>
  </si>
  <si>
    <t>Pelaksanaan Penjatuhan Hukuman Disiplin Pns</t>
  </si>
  <si>
    <t>Pemberian Surat Permohonan Mutasi Antar Perangkat Daerah Bagi Pegawai Negeri Sipil</t>
  </si>
  <si>
    <t>Pemberian Surat Penghargaan Satya Lancana Bagi Pegawai Negeri Sipil</t>
  </si>
  <si>
    <t>Pengurusan Mutasi Antar Unit Kerja / Internal</t>
  </si>
  <si>
    <t>Pelaksanaan Pelaporan Harta Kekayaan ASN dan Pejabat Negara (Lhkasn Dan Lhkpn)</t>
  </si>
  <si>
    <t>Penyusunan Pemetaan Kinerja (IKI Tahunan dan Bulanan)</t>
  </si>
  <si>
    <t>Permintaan Informasi Publik</t>
  </si>
  <si>
    <t>Pengecualian Informasi secara Aktif</t>
  </si>
  <si>
    <t>Pengecualian Informasi secara Pasif</t>
  </si>
  <si>
    <t>Penanganan Pernyataan Keberatan</t>
  </si>
  <si>
    <t>Fasilitasi Sengketa Informasi</t>
  </si>
  <si>
    <t>Publikasi Kegiatan Bidang</t>
  </si>
  <si>
    <t>Publikasi Informasi Dinas</t>
  </si>
  <si>
    <t>Publikasi Website</t>
  </si>
  <si>
    <t>Pengelolaan SP4N LAPOR</t>
  </si>
  <si>
    <t>Keuangan</t>
  </si>
  <si>
    <t>Akuntansi Dan Pelaporan Keuangan</t>
  </si>
  <si>
    <t>Pelaporan Keuangan</t>
  </si>
  <si>
    <t>Verifikasi SPJ</t>
  </si>
  <si>
    <t>Pengelolaan Pengeluaran dan Belanja Daerah</t>
  </si>
  <si>
    <t>Pengajuan UP</t>
  </si>
  <si>
    <t>Pengajuan GU</t>
  </si>
  <si>
    <t>Pengajuan GU KKPD</t>
  </si>
  <si>
    <t>Pengajuan TU</t>
  </si>
  <si>
    <t>Pengajuan LS Gaji dan Tunjangan</t>
  </si>
  <si>
    <t>Pengajuan LS Barang dan Jasa</t>
  </si>
  <si>
    <t>Pengajuan LS Pihak Ketiga</t>
  </si>
  <si>
    <t>Pengadaan Barang/Jasa Pemerintah</t>
  </si>
  <si>
    <t>Penyusunan Standar Kebutuhan Barang setiap Pegawai</t>
  </si>
  <si>
    <t>Permohonan Permintaan Barang</t>
  </si>
  <si>
    <t>Penyusunan Rencana Kebutuhan Barang Milik Daerah (RKBMD) Tahap 1</t>
  </si>
  <si>
    <t>Penyusunan Rencana Kebutuhan Barang Milik Daerah (RKBMD) Tahap 2</t>
  </si>
  <si>
    <t>Penyusunan Rencana Kebutuhan Barang Milik Daerah (RKBMD) Tahap 3</t>
  </si>
  <si>
    <t>Pendistibusian Barang Milik Daerah (BMD)</t>
  </si>
  <si>
    <t>Laporan Hasil Pengadaan Barang Milik Daerah (BMD)</t>
  </si>
  <si>
    <t>Pengelolaan Kekayaan Negara</t>
  </si>
  <si>
    <t>Pelaksanaan Inventarisasi Barang Milik Daerah (BMD)</t>
  </si>
  <si>
    <t>Penghapusan Barang Milik Daerah (BMD)</t>
  </si>
  <si>
    <t>Pemusnahan Barang Milik Daerah (BMD)</t>
  </si>
  <si>
    <t>Penyusunan Laporan Barang Milik Daerah (BMD)</t>
  </si>
  <si>
    <t>Peminjaman Barang Milik Daerah (BMD)</t>
  </si>
  <si>
    <t>Peminjaman Kendaraan R2/R4</t>
  </si>
  <si>
    <t>Peminjaman Ruangan Rapat</t>
  </si>
  <si>
    <t>Laporan Pemeliharaan Barang Milik Daerah (BMD)</t>
  </si>
  <si>
    <t>Pemeliharaan Kendaraan Dinas</t>
  </si>
  <si>
    <t>Pemeliharaan Gedung Kantor</t>
  </si>
  <si>
    <t>Pemeliharaan Peralatan Kerja</t>
  </si>
  <si>
    <t>Permohonan Penetapan Status Penggunaan Barang Milik Daerah (BMD)</t>
  </si>
  <si>
    <t>Kesekretariatan Negara</t>
  </si>
  <si>
    <t>Penyelenggaraan Kegiatan Presiden Dan Wakil Presiden Melalui Dukungan Kerumahtanggaan, Keprotokolan, Pers Media, Dokumentasi Dan Diseminasi Informasi, Serta Koordinasi Pengamanan</t>
  </si>
  <si>
    <t>Penyelenggaraan Kegiatan Pemerintah Daerah melalui Dukungan Kerumahtanggan</t>
  </si>
  <si>
    <t>Konsultasi Tamu</t>
  </si>
  <si>
    <t>Kunjungan Tamu</t>
  </si>
  <si>
    <t>Permohonan Magang</t>
  </si>
  <si>
    <t>Penerimaan Kunjungan Kerja</t>
  </si>
  <si>
    <t>Pelaksanaan Rapat Dinas</t>
  </si>
  <si>
    <t>Penyelenggaraan Sosialisasi</t>
  </si>
  <si>
    <t>Administrasi Perjalanan Dinas</t>
  </si>
  <si>
    <t>Fasilitasi Ruang Rapat dan Konsumsi Rapat</t>
  </si>
  <si>
    <t>Fasilitasi Jamuan Snack/Mamin</t>
  </si>
  <si>
    <t>Pelaksanaan Penjagaan Keamanan Gedung Kantor</t>
  </si>
  <si>
    <t>Penyusunan Notulensi Rapat Teknis Oleh Kepala Sub Bagian</t>
  </si>
  <si>
    <t>Pelaksanaan Rapat Internal/ Teknis</t>
  </si>
  <si>
    <t>Penyusunan Pengeluaran Disposisi/ Penugasan</t>
  </si>
  <si>
    <t>Pelaksanaan Pendokumentasian Kegiatan</t>
  </si>
  <si>
    <t>Pembuatan Akun Access Control Magang</t>
  </si>
  <si>
    <t>Penghapusan Akun Access Control Magang</t>
  </si>
  <si>
    <t>Penyelenggaraan Kegiatan Pemerintah Daerah melalui Dukungan Ketatausahaan</t>
  </si>
  <si>
    <t>Penyusunan Program Kerja Sekretariat</t>
  </si>
  <si>
    <t>Penyusunan Bahan Kebijakan ditandatangani Gubernur</t>
  </si>
  <si>
    <t>Penyusunan Nota Pengantar Bahan Kebijakan Teknis</t>
  </si>
  <si>
    <t>Pelaksanaan Rapat Koordinasi Rancangan Kebijakan</t>
  </si>
  <si>
    <t>Pelaksanaan Rapat Pengkajian Bahan Saran Pertimbangan</t>
  </si>
  <si>
    <t>Kebudayaan</t>
  </si>
  <si>
    <t>Pengelolaan Koleksi Perpustakaan Dan Akses Informasi</t>
  </si>
  <si>
    <t>Pelayanan Perpusatakaan dan Pelayanan Kearsipan</t>
  </si>
  <si>
    <t>Penyelenggaraan Kearsipan</t>
  </si>
  <si>
    <t>Pengelolaan Arsip Statis</t>
  </si>
  <si>
    <t>Pemeliharaan Arsip</t>
  </si>
  <si>
    <t>Alih Media Arsip (Generik)</t>
  </si>
  <si>
    <t>Penyusutan Arsip</t>
  </si>
  <si>
    <t>Penyusunan Daftar Arsip Statis</t>
  </si>
  <si>
    <t>Pengelolaan Arsip Dinamis</t>
  </si>
  <si>
    <t>Penciptaan Arsip</t>
  </si>
  <si>
    <t>Pengelolaan Naskah Dinas Masuk (Manual)</t>
  </si>
  <si>
    <t>Pengelolaan Naskah Dinas Keluar (Manual)</t>
  </si>
  <si>
    <t>Pengelolaan Naskah Dinas Masuk via email Dinas</t>
  </si>
  <si>
    <t>Pengelolaan Naskah Dinas Keluar via email Dinas</t>
  </si>
  <si>
    <t>Pengelolaan Naskah Dinas Masuk Melalui Aplikasi Kearsipan</t>
  </si>
  <si>
    <t>Pengelolaan Naskah Dinas Keluar Melalui Aplikasi Kearsipan</t>
  </si>
  <si>
    <t>Penggunaan Arsip</t>
  </si>
  <si>
    <t>Pemberkasan Arsip Aktif pada Sekretariat dan Bidang (Manual)</t>
  </si>
  <si>
    <t>Pemberkasan Arsip Aktif pada Sekretariat dan Bidang Melalui Aplikasi Kearsipan</t>
  </si>
  <si>
    <t>Pengolahan Informasi Arsip pada Bidang dan Sekretariat</t>
  </si>
  <si>
    <t>Peminjaman Arsip Inaktif</t>
  </si>
  <si>
    <t>Identifikasi Arsip Vital</t>
  </si>
  <si>
    <t>Penataan Arsip Inaktif Tidak Teratur pada Record Center</t>
  </si>
  <si>
    <t>Penyeleksian Arsip yang akan dipindahkan</t>
  </si>
  <si>
    <t>Pemusnahan Arsip sesuai Jadwal Retensi Arsip</t>
  </si>
  <si>
    <t>Nama dari layanan yang dihasilkan oleh unit
kerja/perangkat daerah</t>
  </si>
  <si>
    <t>Penanggung jawab layanan berdasarkan probis</t>
  </si>
  <si>
    <t>Keterkaitan dengan proses bisnis</t>
  </si>
  <si>
    <t xml:space="preserve">Nama Layanan </t>
  </si>
  <si>
    <t>Proses bisnis</t>
  </si>
  <si>
    <t>APTIKA</t>
  </si>
  <si>
    <t>1. Fasilitasi Pembuatan eMail Jabarprov 
2. Fasilitasi Reset Password Akun eMail Jabarprov
3. Fasilitasi Penonaktifan Akun eMail Jabarprov</t>
  </si>
  <si>
    <t xml:space="preserve">1. Pendaftaran Sistem Elektronik </t>
  </si>
  <si>
    <t xml:space="preserve">1. Pengajuan Usulan Pendaftaran Nama Domain
2. Penerimaan Pendaftaran Aplikasi
3.  Penerbitan Nomor Aplikasi </t>
  </si>
  <si>
    <t>Layanan Penerbitan Sertifikat Elektronik</t>
  </si>
  <si>
    <t xml:space="preserve">1. Pembuatan Akun Repository </t>
  </si>
  <si>
    <t>1. Monitoring dan Evaluasi Aplikasi</t>
  </si>
  <si>
    <t>E-GOV</t>
  </si>
  <si>
    <t>1. Pemeriksaan Kesesuaian Usulan Aplikasi dengan Arsitektur SPBE</t>
  </si>
  <si>
    <t>E-GOV
APTIKA</t>
  </si>
  <si>
    <t>1. Pemeriksaan Kesesuaian Usulan Aplikasi dengan Arsitektur SPBE (E-GOV) 
2. Pembangunan Aplikasi Mandiri (APTIKA)
3. Bimbingan Teknis Pemanfaatan Portal Layanan Administrasi Pemerintahan (APTIKA)</t>
  </si>
  <si>
    <t>1. Telaahan Rekomendasi Aplikasi
2. Pendampingan Pembangunan/Pengembangan Aplikasi
3. Fasilitasi Replikasi Aplikasi
4. Pendampingan Pengelolaan Pemeliharaan Aplikasi/Situs Web</t>
  </si>
  <si>
    <t xml:space="preserve">1. Pemeliharaan Aplikasi Portal Layanan Administrasi Pemerintahan PemProv
2. Fasilitasi Pemeliharaan Aplikasi Portal Layanan Administrasi Pemerintahan </t>
  </si>
  <si>
    <t>1. Penerimaan Permohonan Integrasi dan Interoperabilias 
2. Penerbitan Berita Acara Penyedia API
3. Penerbitan Berita Acara Pengguna API  
4. Penerbitan Credential Key Development 
5. Uji Integrasi/interoperabilitas 
6. Penerbitan Credential Key Production 
7. Penghapusan Credential Key Production</t>
  </si>
  <si>
    <t>SANDIKAMI</t>
  </si>
  <si>
    <t xml:space="preserve">1. Pengelolaan Aset Keamanan Teknologi Informasi dan Komunikasi </t>
  </si>
  <si>
    <t xml:space="preserve">1. Analisis kerawanan dan risiko terhadap Sistem Elektronik SOP ITSA </t>
  </si>
  <si>
    <t xml:space="preserve">1. Deteksi ancaman atau kejadian insiden pada Sistem Elektronik </t>
  </si>
  <si>
    <t xml:space="preserve">1. Mitigasi risiko dan penerapan pelindungan terhadap Sistem Elektronik </t>
  </si>
  <si>
    <t>1. Pengelolaan Insiden Keamanan Informasi</t>
  </si>
  <si>
    <t xml:space="preserve">1. Pendaftaran Sertifikat Elektronik </t>
  </si>
  <si>
    <t xml:space="preserve">1. Penerbitan Sertifikat Elektronik 
2. Pencabutan Sertifikat Elektronik 
3. Pemanfaatan Sertifikat Elektronik pada aplikasi </t>
  </si>
  <si>
    <t xml:space="preserve">1. Penanganan, Pelabelan dan Penyimpanan data informasi
2. Pengiriman data informasi 
3. Penerima data Informasi </t>
  </si>
  <si>
    <t>IKP</t>
  </si>
  <si>
    <t>1. Pemantauan aduan masyarakat</t>
  </si>
  <si>
    <t xml:space="preserve">1. Evaluasi dan pemilihan isu publik 
2. Pengumpulan pendapat umum </t>
  </si>
  <si>
    <t xml:space="preserve">1. Pelaksanaan Fungsi PPID 
2. Penyusunan strategi komunikasi publik 
3. Penentuan Media 
4. Produksi Konten 
5. Penyelenggaraan Media Komunikasi Publik milik Pemerintah Daerah </t>
  </si>
  <si>
    <t>1. Penyelenggaraan diseminasi pesan di media
2. Evaluasi penggunaan Media Komunikasi Publik</t>
  </si>
  <si>
    <t>Seleksi Anggota Komisi Informasi Provinsi Jawa Barat Tahun 2024-2028</t>
  </si>
  <si>
    <t xml:space="preserve">1.  Pelaksanaan administrasi penyelesaian sengketa Informasi Publik </t>
  </si>
  <si>
    <t>Fasilitasi perlindungan Informasi pada kegiatan penting
pemerintah daerah melalui teknik pengamanan
gelombang frekuensi atau sinyal</t>
  </si>
  <si>
    <t>1. Jamming</t>
  </si>
  <si>
    <t>Fasilitas perlindungan Informasi pada aset/fasilitas 
penting milik atau yang akan digunakan pemerintah 
daerah melalui kegiatan kontra penginderaan</t>
  </si>
  <si>
    <t xml:space="preserve">1. KP </t>
  </si>
  <si>
    <t>Operasionalisasi Jaring Komunikasi Sandi Pemerintah 
Daerah Provinsi</t>
  </si>
  <si>
    <t xml:space="preserve">1. PHKS </t>
  </si>
  <si>
    <t>Layanan advokasi, sosialisasi dan edukasi</t>
  </si>
  <si>
    <t xml:space="preserve">1.  Advokasi, Sosialisasi dan Edukasi </t>
  </si>
  <si>
    <t xml:space="preserve">1. Penyiapan bahan perumusan kebijakan pengamanan informasi berbentuk Pergub,
 Kepgub, atau SK Gub </t>
  </si>
  <si>
    <t>1. Penyiapan bahan perumusan kebijakan pengamanan informasiber bentuk SP 
dan SE Sekda</t>
  </si>
  <si>
    <t xml:space="preserve">1. Penyiapan bahan perumusan kebijakan pengamanan informasi berbentuk SP/Juklak/
Juknis Kadis </t>
  </si>
  <si>
    <t>STATISTIK
UPTD</t>
  </si>
  <si>
    <t>1. Penyiapan Bahan Dan Perumusan Kebijakan (Statistik) 
2. Fasilitasi Rekomendasi Kegiatan Statistik Sektoral (Statistik) 
3. Pengumpulan Dan Pemeriksaan Data (Statistik) 
4. Pengumpulan Metadata Statistik Sektoral (Statistik) 
5. Pengolahan Dan Analisis Data (Statistik) 
6. Diseminasi Data Melalui Media Sosial (Statistik) 
7. Permohonan Data (Statistik) 
8. Pengembangan Kapasitas Sdm (Statistik) 
9. Penyusunan Standar Pengumpulan Dg Tematik (Statistik) 
10. Pengumpulan Data Geospasial Tematik (Statistik) 
11. Pengumpulan Metadata Geospasial (Statistik) 
12. Pemrosesan/Pengolahan Data Geospasial Tematik (Statistik) 
13. Penyajian Informasi Geospasial Tematik (Statistik) 
14. Penggunaan Data Geospasial Tematik (Statistik) 
15. Penyimpanan Data Geospasial Tematik (Uptd) 
16. Pengamanan Dg Tematik Dan Igt (Uptd) 
17. Pengaksesan Kembali Dg Tematik Dan Igt (Uptd) 
18. Pemberian Akses Dg Tematik Dan Igt (Uptd) 
19. Pendistribusian Data Geospasial Tematik (Uptd)</t>
  </si>
  <si>
    <t xml:space="preserve">1. Pengembangan Kapasitas Pemangku Kepentingan </t>
  </si>
  <si>
    <t xml:space="preserve">1. Penyebaran Bahan Informasi untuk Media yang Dimiliki Pemangku Kepentingan 
2. Monitoring dan Evaluasi Kemitraan dengan Pemangku Kepentingan </t>
  </si>
  <si>
    <t xml:space="preserve">1. Manajemen Komunikasi Krisis </t>
  </si>
  <si>
    <t xml:space="preserve">1. Pengembangan Kapasitas Sumber Daya Komunikasi Publik </t>
  </si>
  <si>
    <t>1. Perencanaan Pengembangan Sumber Daya Manusia Keamanan Informasi</t>
  </si>
  <si>
    <t>1. Pelaksanaan Pengembangan Sumber Daya Manusia Keamanan Informasi</t>
  </si>
  <si>
    <t xml:space="preserve">1. Manajemen Pengetahuan </t>
  </si>
  <si>
    <t>Fasilitasi Peninjauan Penulisan dan Penerbitan Artikel</t>
  </si>
  <si>
    <t>Fasilitasi Pendaftaran Hak Kekayaan Intelektual</t>
  </si>
  <si>
    <t>Penerbitan Rekomendasi Penyertaan Modal BUMD</t>
  </si>
  <si>
    <t>Fasilitasi Penyelesaian Permasalahan Mitra BUMD</t>
  </si>
  <si>
    <t>Fasilitasi Pembentukan BLUD</t>
  </si>
  <si>
    <t>Fasilitasi aspirasi masyarakat terhadap penyusunan Peraturan Perundang-Undangan</t>
  </si>
  <si>
    <t>Permohonan Bantuan Hukum Bagi Masyarakat Tidak Mampu</t>
  </si>
  <si>
    <t>Fasilitasi Penyusunan Produk Hukum Provinsi</t>
  </si>
  <si>
    <t>Fasilitasi dan Evaluasi Produk Hukum Pemerintah Daerah Kabupaten/Kota</t>
  </si>
  <si>
    <t>Pengujian Laboratorium Mineral</t>
  </si>
  <si>
    <t>Pengujian Kualitas Air</t>
  </si>
  <si>
    <t>Pengujian Laboratorium Geomekanik</t>
  </si>
  <si>
    <t>Penyampaian Laporan Berkala IUPTLU</t>
  </si>
  <si>
    <t>Penyampaian Laporan Berkala IUJPTL</t>
  </si>
  <si>
    <t>Administrasi Sumur Imbuhan</t>
  </si>
  <si>
    <t>Administrasi Sumur Pantau</t>
  </si>
  <si>
    <t>Layanan sumur bor</t>
  </si>
  <si>
    <t>Pelaporan Penggunaan Air Tanah dan Muka Air Tanah</t>
  </si>
  <si>
    <t>Penetapan Wilayah Izin Usaha Pertambangan</t>
  </si>
  <si>
    <t>Penetapan NPA (Nilai Perolehan Air) Tanah</t>
  </si>
  <si>
    <t>Fasilitasi Penyuluhan Perkoperasian</t>
  </si>
  <si>
    <t>Pemeriksaan kesehatan koperasi</t>
  </si>
  <si>
    <t>Wisata Sejarah Gedung Sate - Museum Gedung Sate</t>
  </si>
  <si>
    <t>Layanan Pintu Gesat</t>
  </si>
  <si>
    <t>Peminjaman Aula Gedung Merdeka</t>
  </si>
  <si>
    <t>Layanan Peminjaman Fasilitas Gedung Sate</t>
  </si>
  <si>
    <t>Peminjaman area lapangan saparua</t>
  </si>
  <si>
    <t>Layanan Fasilitasi Acara lingkup Sekretariat Daerah</t>
  </si>
  <si>
    <t>Laporan Pengaduan Pelanggaran Perda dan Potensi Gangguan Trantibum</t>
  </si>
  <si>
    <t>Penerbitan Rekomendasi Penetapan dan Pembaharuan Status Penyidik PNS</t>
  </si>
  <si>
    <t>Layanan Konsultasi Perangkat Daerah</t>
  </si>
  <si>
    <t>Layanan Informasi Hibah Keagamaan</t>
  </si>
  <si>
    <t>Bantuan Hibah Pendidikan Non-Kewenangan Dinas Pendidikan Provinsi Jawa Barat</t>
  </si>
  <si>
    <t>Fasilitasi Rekomendasi Perumusan Kebijakan</t>
  </si>
  <si>
    <t>Penyelesaian Perselisihan Hubungan Industrial</t>
  </si>
  <si>
    <t>Pelatihan Ketenagakerjaan (Berbasis Kompetensi)</t>
  </si>
  <si>
    <t>Pelatihan Calon Pekerja Migran Indonesia (CPMI)</t>
  </si>
  <si>
    <t>Konsultasi Kerja Mandiri</t>
  </si>
  <si>
    <t>Pelayanan Pengaduan Permasalahan Ketenagakerjaan</t>
  </si>
  <si>
    <t>Pelatihan Kerja Mandiri</t>
  </si>
  <si>
    <t>Penerbitan Lisensi dan Buku Kerja petugas P3K</t>
  </si>
  <si>
    <t>Pengesahan Penyelenggaraan Pelayanan Kesehatan Kerja</t>
  </si>
  <si>
    <t>Penerbitan Surat Keterangan Keselamatan dan Kesehatan Kerja (K3)</t>
  </si>
  <si>
    <t>Layanan Pemeriksaan Pengendalian Potensi Bahaya</t>
  </si>
  <si>
    <t>Fasilitasi Pendaftaran Perjanjian Kerjasama (PKB)</t>
  </si>
  <si>
    <t>Fasilitasi Surat Pengantar Permohonan Nota Riksus ke Pengadilan Negeri</t>
  </si>
  <si>
    <t>Fasilitasi Pengesahan Peraturan Perusahaan (PP)</t>
  </si>
  <si>
    <t>Pendayagunaan Alumni Pelatihan Kompetensi</t>
  </si>
  <si>
    <t>Rekomendasi Catering di Perusahaan (Yang Mengelola Makanan di Tempat Kerja)</t>
  </si>
  <si>
    <t>Pelaporan dan Pencatatan Kecelakaan Kerja dan Penyakit Akibat Kerja</t>
  </si>
  <si>
    <t>Layanan aspirasi masyarakat mengenai pemerintah provinsi jawa barat</t>
  </si>
  <si>
    <t>Perpustakaan Keliling</t>
  </si>
  <si>
    <t>Kunjungan Perpustakaan Deposit</t>
  </si>
  <si>
    <t>Candil (Maca Dina Digital) e-Library</t>
  </si>
  <si>
    <t>Layanan Perpustakaan Umum Daerah</t>
  </si>
  <si>
    <t>WAKAF BUKU</t>
  </si>
  <si>
    <t>Layanan Kearsipan</t>
  </si>
  <si>
    <t>Akreditasi Perpustakaan</t>
  </si>
  <si>
    <t>Book Bulk Loan (Peminjaman Buku Dalam Jumlah Besar)</t>
  </si>
  <si>
    <t>Pembinaan Kepustakawan</t>
  </si>
  <si>
    <t>Andalalin (Analisa Dampak Lalu Lintas)</t>
  </si>
  <si>
    <t>Penerbitan dan Perpanjangan Kartu Pengawasan</t>
  </si>
  <si>
    <t>Layanan Pengaduan Jalan dan Jembatan</t>
  </si>
  <si>
    <t>Pelatihan tenaga kerja konstruksi kualifikasi Ahli</t>
  </si>
  <si>
    <t>Mall Pelayanan Publik Digital Jabar</t>
  </si>
  <si>
    <t>West Java Investment Hub</t>
  </si>
  <si>
    <t>Pendampingan Pengajuan Perizinan melalui OSS-RBA (Online Single Submission Risk based Approach)</t>
  </si>
  <si>
    <t>Pendampingan pembuatan Nomor Induk Berusaha (NIB), Pengisian dan Permasalahan LKPM</t>
  </si>
  <si>
    <t>Persetujuan kesesuaian kegiatan pemanfaatan ruang (PKKPR) untuk kegiatan Non-Berusaha</t>
  </si>
  <si>
    <t>Konfirmasi Kesesuaian Kegiatan Pemanfaatan Ruang Untuk Kegiatan Non Berusaha</t>
  </si>
  <si>
    <t>Persetujuan Penggunaan Sumber Daya Air untuk kebutuhan bukan usaha</t>
  </si>
  <si>
    <t>Lisensi Arsitek</t>
  </si>
  <si>
    <t>Izin Pendirian Laboratorium Kesehatan Pratama Pemerintah Non BLUD</t>
  </si>
  <si>
    <t>Izin Pendirian Sekolah Luar Biasa (SLB) Yang Diselenggarakan Oleh Masyarakat</t>
  </si>
  <si>
    <t>Izin Pendirian SMA yang diselenggarakan oleh masyarakat</t>
  </si>
  <si>
    <t>Izin Pendirian Sekolah Menengah Kejuruan (SMK) yang Diselenggarakan oleh Masyarakat</t>
  </si>
  <si>
    <t>Izin pengusahaan sumber daya air non berusaha instansi/perorangan</t>
  </si>
  <si>
    <t>Izin Usaha Penyediaan Tenaga Listrik untuk Kepentingan Sendiri instansi Pemerintah</t>
  </si>
  <si>
    <t>Izin Pemanfaatan dan Penggunaan Bagian-Bagian Jalan Non Tol Untuk Pemerintah Perorangan Non Usaha</t>
  </si>
  <si>
    <t>Izin Penambahan Kompetensi Keahlian Baru Sekolah Menengah Kejuruan yang Diselenggarakan oleh Masyarakat</t>
  </si>
  <si>
    <t>Unit Transfusi Darah (UTD) Pemerintah Non BLUD</t>
  </si>
  <si>
    <t>Layanan Aduan Disiplin ASN</t>
  </si>
  <si>
    <t>Try Out CASN</t>
  </si>
  <si>
    <t>Layanan Pengelolaan Data dan Informasi Kepegawaian</t>
  </si>
  <si>
    <t>Penerbitan Rekomendasi Penugasan Khusus</t>
  </si>
  <si>
    <t>Pemberhentian PNS BUP</t>
  </si>
  <si>
    <t>Layanan Penerbitan Kartu istri / Kartu suami</t>
  </si>
  <si>
    <t>K-Mob</t>
  </si>
  <si>
    <t>Sertifikasi jabatan</t>
  </si>
  <si>
    <t>Pengusulan Mengikuti Pendidikan dan Pelatihan Kepemimpinan 1 dan 2</t>
  </si>
  <si>
    <t>Pemberian Izin Tugas Belajar Mandiri Bagi PNSD Pemerintah Provinsi Jawa Barat</t>
  </si>
  <si>
    <t>Pemberian Tugas Belajar Bagi PNS Pemerintah Provinsi Jawa Barat</t>
  </si>
  <si>
    <t>Pelayanan Izin Pencantuman Gelar Akademik</t>
  </si>
  <si>
    <t>Mutasi PNS Atas Permintaan Sendiri</t>
  </si>
  <si>
    <t>Mutasi Masuk Pemerintah Provinsi Jawa Barat</t>
  </si>
  <si>
    <t>Mutasi Keluar Pemerintah Provinsi Jawa Barat</t>
  </si>
  <si>
    <t>Mutasi antar Kabupaten/Kota di Wilayah Pemerintah Provinsi Jawa Barat</t>
  </si>
  <si>
    <t>Fasilitasi Rekomendasi Pengisian Kekosongan Jabatan</t>
  </si>
  <si>
    <t>Fasilitasi Usulan Mutasi di Lingkungan Internal Perangkat Daerah</t>
  </si>
  <si>
    <t>Kenaikan Pangkat Mandiri</t>
  </si>
  <si>
    <t>Usulan Peninjauan Masa Kerja</t>
  </si>
  <si>
    <t>Kenaikan Gaji Berkala</t>
  </si>
  <si>
    <t>Fasilitasi Ujian Dinas dan Ujian Kenaikan Pangkat Penyesuaian Ijazah</t>
  </si>
  <si>
    <t>Pelayanan Cuti Pegawai</t>
  </si>
  <si>
    <t>Pelayanan Izin Perceraian ASN</t>
  </si>
  <si>
    <t>Surat Keterangan Bebas Hukuman Disiplin</t>
  </si>
  <si>
    <t>Surat Izin Pencalonan Kepala Desa Bagi PNS</t>
  </si>
  <si>
    <t>Penerbitan Surat Keputusan dan Piagam Penghargaan Daerah Lainnya</t>
  </si>
  <si>
    <t>Pengusulan Tanda Kehormatan Satyalancana Karya Satya</t>
  </si>
  <si>
    <t>Konseling Kinerja ASN</t>
  </si>
  <si>
    <t>Pengangkatan Kembali PNS</t>
  </si>
  <si>
    <t>Pendaftaran Anggota Perpustakaan BPSDM</t>
  </si>
  <si>
    <t>Penyewaan Fasilitas penginapan</t>
  </si>
  <si>
    <t>Penyewaan Fasilitas Umum di Area BPSDM</t>
  </si>
  <si>
    <t>Penyewaan Fasilitas Olahraga</t>
  </si>
  <si>
    <t>Penerimaan Magang/PKL (ASN/Mahasiswa/SMK)</t>
  </si>
  <si>
    <t>In House Training</t>
  </si>
  <si>
    <t>Layanan Sertifikasi Profesi ASN melalui LSP Perangkat Daerah</t>
  </si>
  <si>
    <t>E-Learning Mandiri Aparatur Sipil Negara Provinsi Jawa Barat</t>
  </si>
  <si>
    <t>Klinik Kebidanan dan Kandungan - RSUD Pameungpeuk</t>
  </si>
  <si>
    <t>Klinik Penyakit Dalam - RSUD Pameungpeuk</t>
  </si>
  <si>
    <t>Klinik Bedah Umum - RSUD Pameungpeuk</t>
  </si>
  <si>
    <t>Klinik Thalassemia - RSUD Pameungpeuk</t>
  </si>
  <si>
    <t>Klinik Gigi dan Mulut - RSUD Pameungpeuk</t>
  </si>
  <si>
    <t>Klinik TB Dot - RSUD Pameungpeuk</t>
  </si>
  <si>
    <t>Klinik Jantung dan Pembuluh Darah - RSUD Pameungpeuk</t>
  </si>
  <si>
    <t>Klinik Anestesi dan Manajemen Nyeri - RSUD Pameungpeuk</t>
  </si>
  <si>
    <t>Klinik Gizi - RSUD Pameungpeuk</t>
  </si>
  <si>
    <t>Klinik Azalea - RSUD Pameungpeuk</t>
  </si>
  <si>
    <t>Klinik Fisioterapi - RSUD Pameungpeuk</t>
  </si>
  <si>
    <t>Klinik Anak - RSUD Pameungpeuk</t>
  </si>
  <si>
    <t>Klinik Umum - RSUD Pameungpeuk</t>
  </si>
  <si>
    <t>Instalasi Gawat Darurat - RSUD Pameungpeuk</t>
  </si>
  <si>
    <t>Layanan Pelatihan Kesehatan - Upelkes</t>
  </si>
  <si>
    <t>Pelayanan Pemeriksaan EKG - Labkesprov</t>
  </si>
  <si>
    <t>Pelayanan Pemeriksaan USG - Labkesprov</t>
  </si>
  <si>
    <t>Laboratorium Patologi Klinik - Labkesprov</t>
  </si>
  <si>
    <t>Laboratorium Mikrobiologi Klinik - Labkesprov</t>
  </si>
  <si>
    <t>Laboratorium Biomolekular - Labkesprov</t>
  </si>
  <si>
    <t>Laboratorium Kimia Kesehatan Lingkungan - Labkesprov</t>
  </si>
  <si>
    <t>Pelayanan Pemeriksaan X-Ray - Labkesprov</t>
  </si>
  <si>
    <t>Layanan Medical Check Up - Labkesprov</t>
  </si>
  <si>
    <t>Pemeriksaan Skrining Neonatus - Labkesprov</t>
  </si>
  <si>
    <t>Konsultasi Dokter - Labkesprov</t>
  </si>
  <si>
    <t>Pelayanan Laboratorium- RS Jiwa</t>
  </si>
  <si>
    <t>Tim Reaksi Cepat (T-ReC) - RS Jiwa</t>
  </si>
  <si>
    <t>Klinik Napza - RS Jiwa</t>
  </si>
  <si>
    <t>Instalasi Gawat darurat - RS Jiwa</t>
  </si>
  <si>
    <t>Pelayanan Rehabilitasi medik - RS Jiwa</t>
  </si>
  <si>
    <t>Pelayanan Kesehatan Jiwa Dewasa - RS Jiwa</t>
  </si>
  <si>
    <t>Pelayanan kesehatan jiwa lansia/psikogeriatri - RS Jiwa</t>
  </si>
  <si>
    <t>Pelayanan kesehatan gigi dan mulut - RS Jiwa</t>
  </si>
  <si>
    <t>Skrining dan Konsultasi Jiwa Online - RS Jiwa</t>
  </si>
  <si>
    <t>Pelayanan Kesehatan Jiwa Anak dan Remaja - RS Jiwa</t>
  </si>
  <si>
    <t>Pelayanan Kesehatan Jiwa Forensik/Psikoforensik - RS Jiwa</t>
  </si>
  <si>
    <t>Pelayanan Radiologi - RS Jiwa</t>
  </si>
  <si>
    <t>Dukungan Psikologis Awal (DUPA) - RS Jiwa</t>
  </si>
  <si>
    <t>Register Ormas / LSM</t>
  </si>
  <si>
    <t>Pelayanan Surat Keterangan Magang/Pkl/KKN/Pengabdian Masyarakat</t>
  </si>
  <si>
    <t>Pelayanan Penerbitan Surat Keterangan Penelitian</t>
  </si>
  <si>
    <t>Penerbitan Naskah Kerjasama Dengan Pihak Ke-3</t>
  </si>
  <si>
    <t>Permohonan Izin atau Cuti dengan alasan Kampanye</t>
  </si>
  <si>
    <t>Fasilitasi Usulan Daerah Calon Persiapan Otonomi Baru (CPerangkat DaerahOB)</t>
  </si>
  <si>
    <t>Penerbitan Naskah Kerjasama Luar Negeri</t>
  </si>
  <si>
    <t>Penerbitan Naskah Kerjasama Dalam Negeri</t>
  </si>
  <si>
    <t>Permohonan Izin atau Cuti dengan Alasan Penting</t>
  </si>
  <si>
    <t>Fasilitasi Perubahan Nama Jalan</t>
  </si>
  <si>
    <t>Fasilitasi Perijinan Perjalanan Dinas Luar Negeri</t>
  </si>
  <si>
    <t>Pelayanan Komunikasi, Informasi dan Edukasi Kebencanaan</t>
  </si>
  <si>
    <t>Peminjaman Sarana dan Prasarana Kebencanaan</t>
  </si>
  <si>
    <t>Fasilitasi Pengkajian Kebutuhan Pasca Bencana</t>
  </si>
  <si>
    <t>Layanan Tukar menukar Barang dan Milik Daerah</t>
  </si>
  <si>
    <t>Layanan Hibah Barang Milik Daerah</t>
  </si>
  <si>
    <t>Fasilitasi Pemanfataan Sewa BMD</t>
  </si>
  <si>
    <t>Fasilitasi Pemanfaatan KSP</t>
  </si>
  <si>
    <t>Pemanfaatan BMD dalam bentuk Bangun Guna Serah (BGS)/ Bangun Serah Guna (BSG)</t>
  </si>
  <si>
    <t>Layanan Penjualan Barang dan Milik Daerah</t>
  </si>
  <si>
    <t>Fasilitasi Evaluasi Raperda dan Raperkada P2APBD Kabupaten/Kota</t>
  </si>
  <si>
    <t>Fasilitasi Penilaian Barang Milik Daerah pada Pengguna Barang</t>
  </si>
  <si>
    <t>Fasilitasi Permohonan Keterangan Atas Status Kepemilikan Barang Milik Daerah</t>
  </si>
  <si>
    <t>Fasilitasi Peminjaman Dokumen Barang Milik Daerah</t>
  </si>
  <si>
    <t>Fasilitasi Legalisir Dokumen Barang Milik Daerah</t>
  </si>
  <si>
    <t>Fasilitasi Penerbitan Perangkat Daerah dan pengesahan DPA</t>
  </si>
  <si>
    <t>Fasilitasi Penerbitan Keputusan Gubernur tentang Rekening Bendahara</t>
  </si>
  <si>
    <t>Fasilitasi Penerbitan Keputusan Gubernur Pengelola Keuangan</t>
  </si>
  <si>
    <t>Fasilitasi Penerbitan SKPP</t>
  </si>
  <si>
    <t>Fasilitasi Penerbitan SP2D</t>
  </si>
  <si>
    <t>Sistem Informasi Data Kependudukan (SIDATUK)</t>
  </si>
  <si>
    <t>Perlindungan Perempuan dan Anak Korban Kekerasan</t>
  </si>
  <si>
    <t>Pembayaran BBNKB II Perorangan dan Badan</t>
  </si>
  <si>
    <t>Pembayaran Pajak Kendaraan Bermotor (PKB)</t>
  </si>
  <si>
    <t>Pembayaran Pajak Kendaraan Bermotor atas perubahan Ubah Bentuk dan Ganti Warna</t>
  </si>
  <si>
    <t>Pembayaran Pajak Kendaraan Bermotor (PKB) STNK Tahunan E-Samsat</t>
  </si>
  <si>
    <t>Pembayaran Bea Balik Nama Kendaraan Bermotor (BBNKB II) Alih Kepemilikan atas dasar hibah dan warisan</t>
  </si>
  <si>
    <t>Pembayaran Pajak Kendaraan Bermotor (PKB) 5 Tahunan</t>
  </si>
  <si>
    <t>Pembayaran Bea Balik Nama Kendaraan Bermotor (BBNKB I) Kendaraan Baru</t>
  </si>
  <si>
    <t>Pembayaran Pajak Bahan Bakar Kendaraan Bermotor</t>
  </si>
  <si>
    <t>Pembayaran Pajak Air Permukaan (PAP) dan Mata Air</t>
  </si>
  <si>
    <t>Informasi data pelaku usaha</t>
  </si>
  <si>
    <t>Perubahan data</t>
  </si>
  <si>
    <t>Perubahan email</t>
  </si>
  <si>
    <t>Pelatihan Sistem Pengadan Secara Elektronik (SPSE)</t>
  </si>
  <si>
    <t>Pembuatan Akun Sistem Pengadaan Secara Elektronik (SPSE)</t>
  </si>
  <si>
    <t>SIPAT (Sistem Informasi Pengelolaan Apartemen Transit)</t>
  </si>
  <si>
    <t>Layanan Reservasi Online Venue SPOrT Jabar Arcamanik</t>
  </si>
  <si>
    <t>Kunjungan Anjungan Jawa Barat pada TMII Jakarta</t>
  </si>
  <si>
    <t>Fasilitasi Kegiatan di Anjungan Jawa Barat TMII Jakarta</t>
  </si>
  <si>
    <t>Fasilitasi Hubungan Antar Lembaga</t>
  </si>
  <si>
    <t>Fasilitasi ruang rapat di Kantor Badan Penghubung Provinsi Jawa Barat</t>
  </si>
  <si>
    <t>Fasilitasi Menginap di Kantor Badan Penghubung Provinsi Jawa Barat</t>
  </si>
  <si>
    <t>Pengawasan BBM Industri</t>
  </si>
  <si>
    <t>Laboratorium Kesehatan Ikan dan Lingkungan</t>
  </si>
  <si>
    <t>Bantuan Calon Induk Ikan</t>
  </si>
  <si>
    <t>Penerbitan E-SLO (Standar Laik Operasional)</t>
  </si>
  <si>
    <t>Sertifikasi Produk Perikanan</t>
  </si>
  <si>
    <t>Penerbitan Surat Tanda Bukti Lapor Kedatangan Kapal (STBLKK)</t>
  </si>
  <si>
    <t>Ekowisata Konservasi Penyu Pantai Pangumbahan</t>
  </si>
  <si>
    <t>Pendampingan Nelayan dalam Pembuatan Dokumen Pas Kecil</t>
  </si>
  <si>
    <t>Rekomendasi Elektronik Buku Kapal Perikanan</t>
  </si>
  <si>
    <t>Penerbitan Sertifikat Hasil Tangkapan Ikan (SHTI) Lembar Awal</t>
  </si>
  <si>
    <t>Penerbitan Surat Persetujuan Berlayar (SPB) Kapal Perikanan</t>
  </si>
  <si>
    <t>Pengujian dan Penerapan Mutu Produk Hasil Perikanan</t>
  </si>
  <si>
    <t>Pelayanan Check Point Distribusi Produk Perikanan</t>
  </si>
  <si>
    <t>Rekomendasi Usulan Pembangunan Stasiun Pengisian BBM</t>
  </si>
  <si>
    <t>Penyimpanan dan Pembekuan Produk Perikanan</t>
  </si>
  <si>
    <t>Jasa Layanan Penggunaan Alat dan Mesin Logam</t>
  </si>
  <si>
    <t>Pengaduan Konsumen</t>
  </si>
  <si>
    <t>Pengujian Cemaran Logam</t>
  </si>
  <si>
    <t>Kalibrasi Alat Ukur</t>
  </si>
  <si>
    <t>Pengujian Mutu Barang Agro</t>
  </si>
  <si>
    <t>Fasilitasi Halal</t>
  </si>
  <si>
    <t>Penerbitan Surat Rekomendasi IKM Binaan</t>
  </si>
  <si>
    <t>Fasilitasi Merek</t>
  </si>
  <si>
    <t>Penerbitan Surat Keterangan Asal (SKA)</t>
  </si>
  <si>
    <t>Layanan Kemasan</t>
  </si>
  <si>
    <t>Layanan Fasilitasi Mesin Industri Olahan</t>
  </si>
  <si>
    <t>Pengujian Mutu Barang Keramik dan Tabung Gas</t>
  </si>
  <si>
    <t>Pengujian Mutu Barang Air Minum Dalam Kemasan</t>
  </si>
  <si>
    <t>Jasa Sewa Tanah dan/atau Bangunan UPTD Industri Pangan Olahan dan Kemasan</t>
  </si>
  <si>
    <t>Jasa Sewa Tanah dan/atau Bangunan UPTD Industri Logam</t>
  </si>
  <si>
    <t>Pengolahan Hasil Hutan</t>
  </si>
  <si>
    <t>Kunjungan Wisata Kawasan Taman Hutan Raya (TAHURA) Djuanda</t>
  </si>
  <si>
    <t>Bantuan Bibit Tanaman Kehutanan</t>
  </si>
  <si>
    <t>Sertifikasi Mutu Benih Tanaman Hutan</t>
  </si>
  <si>
    <t>Sewa pondok tamu, ruang pertemuan, panggung terbuka, plaza, lapangan tennis, dll di TAHURA Djuanda</t>
  </si>
  <si>
    <t>Penyewaan Sewa Tenda Pleton, Tenda kecil, Peralatan Outbond tertentu Kawasan TAHURA Djuanda</t>
  </si>
  <si>
    <t>Fasilitas Outbound, Paintball, Berkemah, Panahan, Flying Fox, dan khusus di TAHURA Djuanda</t>
  </si>
  <si>
    <t>Penyewaan Lokasi Resepsi Pernikahan di Kawasan Taman Hutan Raya (TAHURA) Djuanda</t>
  </si>
  <si>
    <t>Fasilitasi Masuk Menara Pengawas/ Pemantau di Kawasan Taman Hutan Raya (TAHURA) Djuanda</t>
  </si>
  <si>
    <t>Fasilitasi Lokasi Pengambilan Gambar/Video di Kawasan Taman Hutan Raya (TAHURA) Djuanda</t>
  </si>
  <si>
    <t>Wisata Berkuda Kawasan Taman Hutan Raya (TAHURA) Djuanda</t>
  </si>
  <si>
    <t>Fasilitasi Kegiatan Pelatihan di Kawasan Taman Hutan Raya (TAHURA) Djuanda</t>
  </si>
  <si>
    <t>Fasilitasi Penelitian Bidang Kehutanan di Kawasan Taman Hutan Raya (TAHURA) Djuanda</t>
  </si>
  <si>
    <t>Penyewaan Sewa Kios, Warung Kreatif, Kantin di Kawasan Taman Hutan Raya (TAHURA) Djuanda</t>
  </si>
  <si>
    <t>Poliklinik ilmu Penyakit Dalam RSUD Al-Ihsan</t>
  </si>
  <si>
    <t>Poliklinik Gigi dan Mulut RSUD Al-Ihsan</t>
  </si>
  <si>
    <t>Pelayanan Rehabilitasi Medik RSUD Al-Ihsan</t>
  </si>
  <si>
    <t>Klinik Paru RSUD Al-Ihsan</t>
  </si>
  <si>
    <t>Poliklinik Bedah RSUD Al-Ihsan</t>
  </si>
  <si>
    <t>Klinik Kedokteran Okupasi RSUD Al-Ihsan</t>
  </si>
  <si>
    <t>Poliklinik Jantung RSUD Al-Ihsan</t>
  </si>
  <si>
    <t>Klinik YANKESPEG</t>
  </si>
  <si>
    <t>Klinik Mata RSUD Al-Ihsan</t>
  </si>
  <si>
    <t>Klinik THT RSUD Al-Ihsan</t>
  </si>
  <si>
    <t>Pelayanan Thalasemia RSUD Al-Ihsan</t>
  </si>
  <si>
    <t>Klinik Kulit &amp; Kelamin RSUD Al-Ihsan</t>
  </si>
  <si>
    <t>Klinik Obgyn RSUD Al-Ihsan</t>
  </si>
  <si>
    <t>Klinik Psikiater RSUD Al-Ihsan</t>
  </si>
  <si>
    <t>Klinik Syaraf RSUD Al-Ihsan</t>
  </si>
  <si>
    <t>Poliklinik Anak RSUD Al-Ihsan</t>
  </si>
  <si>
    <t>Pelayanan Kemoterapi RSUD Al-Ihsan</t>
  </si>
  <si>
    <t>Instalasi Rawat Inap RSUD Al-Ihsan</t>
  </si>
  <si>
    <t>Instalasi Gawat Darurat RSUD Al-Ihsan</t>
  </si>
  <si>
    <t>Klinik Hemato Onkologi Anak RSUD Al-Ihsan</t>
  </si>
  <si>
    <t>Klinik Ginek Onkologi RSUD Al-Ihsan</t>
  </si>
  <si>
    <t>Klinik Hemato Onkologi Dewasa RSUD Al-Ihsan</t>
  </si>
  <si>
    <t>Klinik MCU RSUD Al-Ihsan</t>
  </si>
  <si>
    <t>Tapal Desa (Ketahanan Pangan Digital Desa)</t>
  </si>
  <si>
    <t>Gerai Berdesa</t>
  </si>
  <si>
    <t>Layanan Bantuan Bahan Banjiran dan atau Kekeringan</t>
  </si>
  <si>
    <t>Layanan Persetujuan Persyaratan Izin Pendayagunaan Sumber Daya Air</t>
  </si>
  <si>
    <t>Layanan Pengesahan Gambar Teknis</t>
  </si>
  <si>
    <t>Layanan Fasilitasi Bantuan Teknis Usulan DAK Fisik Bidang Irigasi</t>
  </si>
  <si>
    <t>Bimbingan dan Pembinaan Teknis Pembenihan Tanaman Perkebunan</t>
  </si>
  <si>
    <t>Rekomendasi Izin Usaha Produksi Benih Tanaman Perkebunan</t>
  </si>
  <si>
    <t>Sertifikasi Benih Perkebunan Pra-Tanam</t>
  </si>
  <si>
    <t>Sertifikasi Benih Perkebunan Siap Tanam</t>
  </si>
  <si>
    <t>Pengujian Mutu Sarana Produksi dan Produk Pertanian</t>
  </si>
  <si>
    <t>Bantuan Benih Hortikultura</t>
  </si>
  <si>
    <t>Sertifikasi Benih Tanaman Hortikultura</t>
  </si>
  <si>
    <t>Sertifikasi Benih Tanaman Pangan</t>
  </si>
  <si>
    <t>Museum Monumen Perjuangan Rakyat (Monpera)</t>
  </si>
  <si>
    <t>Peminjaman Tempat Gedung Pusat Kebudayaan (GPK)</t>
  </si>
  <si>
    <t>Peminjaman Tempat Teater Rumentang Siang</t>
  </si>
  <si>
    <t>Peminjaman/ Penyewaan Tempat Gedung Taman Budaya Jawa Barat</t>
  </si>
  <si>
    <t>Rumah Angklung</t>
  </si>
  <si>
    <t>Kunjungan Rumah Bersejarah Inggit Garnasih</t>
  </si>
  <si>
    <t>Kunjungan Gedung Indonesia Menggugat</t>
  </si>
  <si>
    <t>Museum Sri Baduga</t>
  </si>
  <si>
    <t>Pendampingan Pengurusan Hak Kekayaan Intelektual bagi Para Pelaku Ekonomi Kreatif Jawa Barat</t>
  </si>
  <si>
    <t>Penataan Kelembagaan Pemerintahan Daerah Kabupaten/Kota</t>
  </si>
  <si>
    <t>Penerimaan Peserta Didik Baru (Perangkat Daerah)</t>
  </si>
  <si>
    <t>Jabar Future Leaders Scholarship (JFLS)</t>
  </si>
  <si>
    <t>Legalisir Ijazah SMA, SMK, SLB</t>
  </si>
  <si>
    <t>Mutasi Peserta Didik jenjang SMA, SMK, SLB.</t>
  </si>
  <si>
    <t>Pengajuan Mutasi GTK PNS</t>
  </si>
  <si>
    <t>Layanan Fasilitasi Magang</t>
  </si>
  <si>
    <t>Program Taman Keanekaragaman Hayati (Kehati)</t>
  </si>
  <si>
    <t>ECIS (Environmental Complaints Information System)</t>
  </si>
  <si>
    <t>Pengambilan dan Pengujian Contoh Uji Kualitas Lingkungan</t>
  </si>
  <si>
    <t>Pembinaan Calon Lokasi Program Kampung Iklim (Proklim)</t>
  </si>
  <si>
    <t>Layanan Pencalonan Penghargaan Lingkungan Hidup</t>
  </si>
  <si>
    <t>Layanan Pengembangan Kapasitas Masyarakat di Bidang Lingkungan Hidup</t>
  </si>
  <si>
    <t>Layanan Persetujuan Teknis Emisi</t>
  </si>
  <si>
    <t>Perizinan Pengelolaan Limbah B3 Untuk Kegiatan Penyimpanan dan Pengumpulan Limbah B3</t>
  </si>
  <si>
    <t>Permohonan Persetujuan Lingkungan</t>
  </si>
  <si>
    <t>Layanan Pembinaan Ketaatan Industri</t>
  </si>
  <si>
    <t>Layanan Persetujuan Teknis Air Limbah</t>
  </si>
  <si>
    <t>Layanan Sosialisasi dan Bimtek Program Sekolah Berbudaya Lingkungan/Adiwiyata</t>
  </si>
  <si>
    <t>Simpul Juara</t>
  </si>
  <si>
    <t>Fasilitasi Tapping Video Pimpinan</t>
  </si>
  <si>
    <t>Temu Pemimpin untuk Aspirasi Masyarakat (TEPAS)</t>
  </si>
  <si>
    <t>Fasilitasi Iklan Layanan Masyarakat (Media Luar Ruang)</t>
  </si>
  <si>
    <t>Fasilitasi Petugas Protokol</t>
  </si>
  <si>
    <t>Penerbitan Undangan Plat Merah</t>
  </si>
  <si>
    <t>JAPRI (Jabar Punya Informasi)</t>
  </si>
  <si>
    <t>Fasilitasi Kegiatan Corporate Social Responsibility (CSR)</t>
  </si>
  <si>
    <t>Pelatihan Ketahanan Pangan dan Peternakan</t>
  </si>
  <si>
    <t>Pelayanan Kesehatan Hewan</t>
  </si>
  <si>
    <t>Pengujian Penyakit dan Produk Hewan</t>
  </si>
  <si>
    <t>Sertifikasi Mutu dan Keamanan Pakan</t>
  </si>
  <si>
    <t>Pasif Servis Pengujian Mutu dan Keamanan Pakan / Bahan Pakan</t>
  </si>
  <si>
    <t>Pelayanan Penjualan Susu Segar</t>
  </si>
  <si>
    <t>Penyediaan Bibit Ternak Unggas Lokal</t>
  </si>
  <si>
    <t>Fasilitasi Kunjungan Edukasi Peternakan</t>
  </si>
  <si>
    <t>Surveilance Sampel Pengujian Penyakit Hewan dan Produk Hewan</t>
  </si>
  <si>
    <t>Penerbitan Surat Rekomendasi Lalu Lintas Hewan dan Produk Asal Hewan</t>
  </si>
  <si>
    <t>Izin Keamanan PSAT (Health Certificate)</t>
  </si>
  <si>
    <t>Sertifikasi Prima 2 atau Prima 3</t>
  </si>
  <si>
    <t>Penyediaan Benih Sapi Potong</t>
  </si>
  <si>
    <t>Penyediaan Bibit Ternak Domba</t>
  </si>
  <si>
    <t>Izin Pendaftaran dan Daftar Ulang LKS (Lembaga Kesejahteraan Sosial)</t>
  </si>
  <si>
    <t>Penerbitan Rekomendasi Izin Pengumpulan Uang atau Barang (PUB)</t>
  </si>
  <si>
    <t>Penerbitan Izin Pengangkatan Anak</t>
  </si>
  <si>
    <t>Layanan Aduan dan Respon Kasus Kesejahteraan Sosial</t>
  </si>
  <si>
    <t>Penerbitan Rekomendasi Izin Undian Gratis Berhadiah (UGB)</t>
  </si>
  <si>
    <t>Penerimaan Warga Binaan Sosial</t>
  </si>
  <si>
    <t>Rangganis (Rumah Singgah Humanis)</t>
  </si>
  <si>
    <t>Klinik Spesialis Paru - RS Paru Sidawangi</t>
  </si>
  <si>
    <t>Pelayanan TB Resistan Obat (MDR) - RS Paru Sidawangi</t>
  </si>
  <si>
    <t>Klinik Penyakit Dalam - RS Paru Sidawangi</t>
  </si>
  <si>
    <t>Klinik Spesialis Bedah - RS Paru Sidawangi</t>
  </si>
  <si>
    <t>Layanan Berhenti Merokok - RS Paru Sidawangi</t>
  </si>
  <si>
    <t>Klinik Spesialis Bedah Anak - RS Paru Sidawangi</t>
  </si>
  <si>
    <t>Klinik Spesialis Bedah orthopedi - RS Paru Sidawangi</t>
  </si>
  <si>
    <t>Klinik Spesialis Gizi Klinik - RS Paru Sidawangi</t>
  </si>
  <si>
    <t>Klinik Kesehatan Jiwa - RS Paru Sidawangi</t>
  </si>
  <si>
    <t>Klinik Spesialis Anak - RS Paru Sidawangi</t>
  </si>
  <si>
    <t>Klinik Spesialis Kandungan dan Kebidanan - RS Paru Sidawangi</t>
  </si>
  <si>
    <t>Klinik Spesialis Fisik dan Rehabilitasi - RS Paru Sidawangi</t>
  </si>
  <si>
    <t>Klinik Gigi - RS Paru Sidawangi</t>
  </si>
  <si>
    <t>Pelayanan Klinik Medical Check Up - RS Paru Sidawangi</t>
  </si>
  <si>
    <t>Klinik Rosalina - RS Paru Sidawangi</t>
  </si>
  <si>
    <t>Instalasi Gizi - RS Paru Sidawangi</t>
  </si>
  <si>
    <t>Pelayanan Kesehatan Pasien HIV - RS Paru Sidawangi</t>
  </si>
  <si>
    <t>Pelayanan Laboratorium - RS Paru Sidawangi</t>
  </si>
  <si>
    <t>Poliklinik Mata RSUD Jampangkulon</t>
  </si>
  <si>
    <t>Poliklinik THT RSUD Jampangkulon</t>
  </si>
  <si>
    <t>Poliklinik Penyakit Dalam RSUD Jampangkulon</t>
  </si>
  <si>
    <t>Poliklinik Gigi RSUD Jampangkulon</t>
  </si>
  <si>
    <t>Poliklinik Anak RSUD Jampangkulon</t>
  </si>
  <si>
    <t>Poliklinik Thalasemia RSUD Jampangkulon</t>
  </si>
  <si>
    <t>Poliklinik Obgyn RSUD Jampangkulon</t>
  </si>
  <si>
    <t>Poliklinik Bedah RSUD Jampangkulon</t>
  </si>
  <si>
    <t>Poliklinik Syaraf RSUD Jampangkulon</t>
  </si>
  <si>
    <t>Poliklinik Geriatri RSUD Jampangkulon</t>
  </si>
  <si>
    <t>Poliklinik Gizi RSUD Jampangkulon</t>
  </si>
  <si>
    <t>Poliklinik MCU RSUD Jampangkulon</t>
  </si>
  <si>
    <t>Poliklinik DOT RSUD Jampangkulon</t>
  </si>
  <si>
    <t>Poliklinik Anggrek RSUD Jampangkulon</t>
  </si>
  <si>
    <t>Rawat Inap RSUD Jampangkulon</t>
  </si>
  <si>
    <t>Instalasi Gawat Darurat RSUD Jampangkulon</t>
  </si>
  <si>
    <t>Rawat Inap - RSUD Kesehatan Kerja</t>
  </si>
  <si>
    <t>Instalasi Gawat Darurat - RSUD Kesehatan Kerja</t>
  </si>
  <si>
    <t>Instalasi Radiologi - RSUD Kesehatan Kerja</t>
  </si>
  <si>
    <t>Medical Check Up (MCU) - RSUD Kesehatan Kerja</t>
  </si>
  <si>
    <t>Laboratorium - RSUD Kesehatan Kerja</t>
  </si>
  <si>
    <t>Klinik Bedah Umum - RSUD Kesehatan Kerja</t>
  </si>
  <si>
    <t>Klinik Rehabilitasi Medik - RSUD Kesehatan Kerja</t>
  </si>
  <si>
    <t>Klinik Dots - RSUD Kesehatan Kerja</t>
  </si>
  <si>
    <t>Klinik Gigi dan Mulut - RSUD Kesehatan Kerja</t>
  </si>
  <si>
    <t>Klinik Anak - RSUD Kesehatan Kerja</t>
  </si>
  <si>
    <t>Klinik Okupasi - RSUD Kesehatan Kerja</t>
  </si>
  <si>
    <t>Klinik Orthopedi dan Traumatologi - RSUD Kesehatan Kerja</t>
  </si>
  <si>
    <t>Klinik Psikososial (Jiwa) - RSUD Kesehatan Kerja</t>
  </si>
  <si>
    <t>Konseling Gizi - RSUD Kesehatan Kerja</t>
  </si>
  <si>
    <t>Klinik Penyakit Dalam - RSUD Kesehatan Kerja</t>
  </si>
  <si>
    <t>Farmasi - RSUD Kesehatan Kerja</t>
  </si>
  <si>
    <t>Klinik Syaraf - RSUD Kesehatan Kerja</t>
  </si>
  <si>
    <t>Klinik Kebidanan dan Penyakit Kandungan - RSUD Kesehatan Kerja</t>
  </si>
  <si>
    <t>Total Layanan Teridentifikasi</t>
  </si>
  <si>
    <t>Total Layanan Diskominfo</t>
  </si>
  <si>
    <t>Total Layanan DP3AKB</t>
  </si>
</sst>
</file>

<file path=xl/styles.xml><?xml version="1.0" encoding="utf-8"?>
<styleSheet xmlns="http://schemas.openxmlformats.org/spreadsheetml/2006/main" xmlns:x14ac="http://schemas.microsoft.com/office/spreadsheetml/2009/9/ac" xmlns:mc="http://schemas.openxmlformats.org/markup-compatibility/2006">
  <fonts count="83">
    <font>
      <sz val="10.0"/>
      <color rgb="FF000000"/>
      <name val="Arial"/>
      <scheme val="minor"/>
    </font>
    <font>
      <b/>
      <sz val="12.0"/>
      <color theme="1"/>
      <name val="Calibri"/>
    </font>
    <font>
      <b/>
      <color theme="1"/>
      <name val="Arial"/>
      <scheme val="minor"/>
    </font>
    <font>
      <sz val="12.0"/>
      <color theme="1"/>
      <name val="Calibri"/>
    </font>
    <font>
      <u/>
      <sz val="12.0"/>
      <color rgb="FF0000FF"/>
      <name val="Calibri"/>
    </font>
    <font>
      <u/>
      <sz val="12.0"/>
      <color rgb="FF0000FF"/>
      <name val="Calibri"/>
    </font>
    <font>
      <color theme="1"/>
      <name val="Arial"/>
      <scheme val="minor"/>
    </font>
    <font>
      <color theme="1"/>
      <name val="Arial"/>
    </font>
    <font>
      <b/>
      <sz val="11.0"/>
      <color theme="1"/>
      <name val="Arial"/>
    </font>
    <font>
      <sz val="12.0"/>
      <color rgb="FF000000"/>
      <name val="Calibri"/>
    </font>
    <font>
      <sz val="10.0"/>
      <color rgb="FF000000"/>
      <name val="Roboto Condensed"/>
    </font>
    <font>
      <sz val="10.0"/>
      <color theme="1"/>
      <name val="Arial"/>
      <scheme val="minor"/>
    </font>
    <font>
      <sz val="10.0"/>
      <color theme="1"/>
      <name val="Calibri"/>
    </font>
    <font>
      <sz val="10.0"/>
      <color theme="1"/>
      <name val="Roboto Condensed"/>
    </font>
    <font>
      <sz val="10.0"/>
      <color theme="1"/>
      <name val="Arial"/>
    </font>
    <font>
      <b/>
      <u/>
      <sz val="10.0"/>
      <color rgb="FF434343"/>
      <name val="Arial"/>
      <scheme val="minor"/>
    </font>
    <font>
      <b/>
      <sz val="10.0"/>
      <color rgb="FF434343"/>
      <name val="Arial"/>
      <scheme val="minor"/>
    </font>
    <font>
      <b/>
      <sz val="11.0"/>
      <color rgb="FF000000"/>
      <name val="Arial"/>
    </font>
    <font>
      <color rgb="FF000000"/>
      <name val="Arial"/>
    </font>
    <font>
      <sz val="11.0"/>
      <color rgb="FF000000"/>
      <name val="Arial"/>
    </font>
    <font>
      <u/>
      <sz val="11.0"/>
      <color rgb="FF0000FF"/>
      <name val="Arial"/>
    </font>
    <font>
      <u/>
      <sz val="12.0"/>
      <color rgb="FF0000FF"/>
      <name val="Calibri"/>
    </font>
    <font>
      <u/>
      <color rgb="FF0000FF"/>
      <name val="Arial"/>
    </font>
    <font>
      <u/>
      <sz val="11.0"/>
      <color rgb="FF1155CC"/>
      <name val="Arial"/>
    </font>
    <font>
      <sz val="14.0"/>
      <color rgb="FF000000"/>
      <name val="&quot;Google Sans&quot;"/>
    </font>
    <font>
      <sz val="12.0"/>
      <color rgb="FF001D35"/>
      <name val="&quot;Google Sans&quot;"/>
    </font>
    <font>
      <u/>
      <sz val="12.0"/>
      <color rgb="FF0000FF"/>
      <name val="Arial"/>
    </font>
    <font>
      <b/>
      <u/>
      <color rgb="FF0000FF"/>
      <name val="Arial"/>
    </font>
    <font>
      <u/>
      <sz val="12.0"/>
      <color rgb="FF0000FF"/>
      <name val="Calibri"/>
    </font>
    <font>
      <sz val="11.0"/>
      <color rgb="FF000000"/>
      <name val="Cambria"/>
    </font>
    <font>
      <sz val="11.0"/>
      <color rgb="FF000000"/>
      <name val="Calibri"/>
    </font>
    <font>
      <sz val="12.0"/>
      <color rgb="FF000000"/>
      <name val="Poppins"/>
    </font>
    <font>
      <sz val="11.0"/>
      <color rgb="FF252422"/>
      <name val="Muli"/>
    </font>
    <font>
      <u/>
      <color rgb="FF0000FF"/>
      <name val="&quot;Arial\"/>
    </font>
    <font>
      <u/>
      <color rgb="FF0000FF"/>
      <name val="Arial"/>
    </font>
    <font>
      <u/>
      <color rgb="FF1155CC"/>
      <name val="Arial"/>
    </font>
    <font>
      <sz val="12.0"/>
      <color rgb="FF000000"/>
      <name val="&quot;Bookman Old Style&quot;"/>
    </font>
    <font>
      <u/>
      <sz val="11.0"/>
      <color rgb="FF0000FF"/>
      <name val="Calibri"/>
    </font>
    <font>
      <color rgb="FF000000"/>
      <name val="Calibri"/>
    </font>
    <font>
      <sz val="12.0"/>
      <color rgb="FFFF0000"/>
      <name val="Calibri"/>
    </font>
    <font>
      <color rgb="FF000000"/>
      <name val="Roboto"/>
    </font>
    <font>
      <sz val="12.0"/>
      <color rgb="FF31374A"/>
      <name val="&quot;Nunito Sans&quot;"/>
    </font>
    <font>
      <u/>
      <sz val="12.0"/>
      <color rgb="FF0000FF"/>
      <name val="Calibri"/>
    </font>
    <font>
      <color rgb="FF434343"/>
      <name val="Arial"/>
    </font>
    <font>
      <sz val="12.0"/>
      <color rgb="FF434343"/>
      <name val="Calibri"/>
    </font>
    <font>
      <sz val="12.0"/>
      <color rgb="FF0A0A0A"/>
      <name val="Calibri"/>
    </font>
    <font>
      <u/>
      <sz val="12.0"/>
      <color rgb="FF000000"/>
      <name val="Calibri"/>
    </font>
    <font>
      <sz val="12.0"/>
      <color rgb="FF0A0A0A"/>
      <name val="&quot;Google Sans&quot;"/>
    </font>
    <font>
      <u/>
      <color rgb="FF0000FF"/>
      <name val="Arial"/>
    </font>
    <font>
      <color rgb="FF000000"/>
      <name val="&quot;Hind Siliguri&quot;"/>
    </font>
    <font>
      <u/>
      <color rgb="FF0000FF"/>
      <name val="&quot;Hind Siliguri&quot;"/>
    </font>
    <font>
      <u/>
      <color rgb="FF0000FF"/>
      <name val="&quot;Hind Siliguri&quot;"/>
    </font>
    <font>
      <color rgb="FF0A0A0A"/>
      <name val="&quot;Hind Siliguri&quot;"/>
    </font>
    <font>
      <u/>
      <color rgb="FF000000"/>
      <name val="&quot;Hind Siliguri&quot;"/>
    </font>
    <font>
      <u/>
      <color rgb="FF0000FF"/>
      <name val="&quot;Hind Siliguri&quot;"/>
    </font>
    <font>
      <u/>
      <color rgb="FF0000FF"/>
      <name val="&quot;Hind Siliguri&quot;"/>
    </font>
    <font>
      <u/>
      <color rgb="FF0000FF"/>
      <name val="&quot;Hind Siliguri&quot;"/>
    </font>
    <font>
      <u/>
      <color rgb="FF0000FF"/>
      <name val="&quot;Hind Siliguri&quot;"/>
    </font>
    <font>
      <sz val="9.0"/>
      <color rgb="FF1157CE"/>
      <name val="&quot;Google Sans Mono&quot;"/>
    </font>
    <font>
      <sz val="1.0"/>
      <color rgb="FF000000"/>
      <name val="Calibri"/>
    </font>
    <font>
      <sz val="12.0"/>
      <color rgb="FF000000"/>
      <name val="Roboto"/>
    </font>
    <font>
      <u/>
      <color rgb="FF0000FF"/>
      <name val="Arial"/>
    </font>
    <font>
      <u/>
      <sz val="11.0"/>
      <color rgb="FF0000FF"/>
      <name val="Calibri"/>
    </font>
    <font>
      <u/>
      <sz val="12.0"/>
      <color rgb="FF0000FF"/>
      <name val="Arial"/>
    </font>
    <font>
      <u/>
      <color rgb="FF0000FF"/>
      <name val="Arial"/>
    </font>
    <font>
      <b/>
      <u/>
      <sz val="12.0"/>
      <color rgb="FF0000FF"/>
      <name val="Calibri"/>
    </font>
    <font>
      <u/>
      <sz val="12.0"/>
      <color rgb="FF0000FF"/>
      <name val="Arial"/>
    </font>
    <font>
      <u/>
      <sz val="12.0"/>
      <color rgb="FF0000FF"/>
      <name val="&quot;Google Sans&quot;"/>
    </font>
    <font>
      <u/>
      <color rgb="FF0000FF"/>
      <name val="Inter"/>
    </font>
    <font>
      <b/>
      <u/>
      <sz val="9.0"/>
      <color rgb="FF0000FF"/>
      <name val="&quot;Google Sans&quot;"/>
    </font>
    <font>
      <b/>
      <u/>
      <sz val="12.0"/>
      <color rgb="FF0000FF"/>
      <name val="Calibri"/>
    </font>
    <font>
      <u/>
      <sz val="11.0"/>
      <color rgb="FF0000FF"/>
      <name val="Arial"/>
    </font>
    <font>
      <u/>
      <sz val="12.0"/>
      <color rgb="FF0000FF"/>
      <name val="Arial"/>
    </font>
    <font>
      <u/>
      <color rgb="FF0000FF"/>
      <name val="Arial"/>
    </font>
    <font>
      <u/>
      <sz val="12.0"/>
      <color rgb="FF0000FF"/>
      <name val="Calibri"/>
    </font>
    <font>
      <b/>
      <sz val="13.0"/>
      <color theme="1"/>
      <name val="Arial"/>
      <scheme val="minor"/>
    </font>
    <font>
      <u/>
      <color rgb="FF0000FF"/>
      <name val="Arial"/>
    </font>
    <font>
      <b/>
      <color theme="1"/>
      <name val="Arial"/>
    </font>
    <font>
      <b/>
      <color rgb="FFA64D79"/>
      <name val="Arial"/>
    </font>
    <font>
      <sz val="11.0"/>
      <color theme="1"/>
      <name val="Calibri"/>
    </font>
    <font>
      <i/>
      <sz val="11.0"/>
      <color theme="1"/>
      <name val="Calibri"/>
    </font>
    <font>
      <b/>
      <sz val="11.0"/>
      <color theme="1"/>
      <name val="Calibri"/>
    </font>
    <font>
      <sz val="11.0"/>
      <color theme="1"/>
      <name val="Aptos Narrow"/>
    </font>
  </fonts>
  <fills count="17">
    <fill>
      <patternFill patternType="none"/>
    </fill>
    <fill>
      <patternFill patternType="lightGray"/>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00FF00"/>
        <bgColor rgb="FF00FF0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EAD1DC"/>
        <bgColor rgb="FFEAD1DC"/>
      </patternFill>
    </fill>
    <fill>
      <patternFill patternType="solid">
        <fgColor rgb="FFFCE5CD"/>
        <bgColor rgb="FFFCE5CD"/>
      </patternFill>
    </fill>
    <fill>
      <patternFill patternType="solid">
        <fgColor rgb="FFFF0000"/>
        <bgColor rgb="FFFF0000"/>
      </patternFill>
    </fill>
    <fill>
      <patternFill patternType="solid">
        <fgColor rgb="FFA4C2F4"/>
        <bgColor rgb="FFA4C2F4"/>
      </patternFill>
    </fill>
    <fill>
      <patternFill patternType="solid">
        <fgColor rgb="FF00FFFF"/>
        <bgColor rgb="FF00FFFF"/>
      </patternFill>
    </fill>
    <fill>
      <patternFill patternType="solid">
        <fgColor rgb="FFF6F8F9"/>
        <bgColor rgb="FFF6F8F9"/>
      </patternFill>
    </fill>
    <fill>
      <patternFill patternType="solid">
        <fgColor rgb="FFE06666"/>
        <bgColor rgb="FFE06666"/>
      </patternFill>
    </fill>
  </fills>
  <borders count="8">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F6F8F9"/>
      </left>
      <right style="thin">
        <color rgb="FF284E3F"/>
      </right>
      <top style="thin">
        <color rgb="FFF6F8F9"/>
      </top>
      <bottom style="thin">
        <color rgb="FFF6F8F9"/>
      </bottom>
    </border>
    <border>
      <left style="thin">
        <color rgb="FFFFFFFF"/>
      </left>
      <right style="thin">
        <color rgb="FF284E3F"/>
      </right>
      <top style="thin">
        <color rgb="FFFFFFFF"/>
      </top>
      <bottom style="thin">
        <color rgb="FFFFFFFF"/>
      </bottom>
    </border>
    <border>
      <left style="thin">
        <color rgb="FFD9D9D9"/>
      </left>
      <right style="thin">
        <color rgb="FFD9D9D9"/>
      </right>
      <top style="thin">
        <color rgb="FFD9D9D9"/>
      </top>
      <bottom style="thin">
        <color rgb="FFD9D9D9"/>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346">
    <xf borderId="0" fillId="0" fontId="0" numFmtId="0" xfId="0" applyAlignment="1" applyFont="1">
      <alignment readingOrder="0" shrinkToFit="0" vertical="bottom" wrapText="0"/>
    </xf>
    <xf borderId="1" fillId="0" fontId="1" numFmtId="0" xfId="0" applyAlignment="1" applyBorder="1" applyFont="1">
      <alignment horizontal="center" readingOrder="0" vertical="center"/>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vertical="center"/>
    </xf>
    <xf borderId="1" fillId="0" fontId="3" numFmtId="0" xfId="0" applyAlignment="1" applyBorder="1" applyFont="1">
      <alignment horizontal="center" readingOrder="0" vertical="center"/>
    </xf>
    <xf borderId="1" fillId="2" fontId="3" numFmtId="0" xfId="0" applyAlignment="1" applyBorder="1" applyFont="1">
      <alignment horizontal="center" readingOrder="0" shrinkToFit="0" vertical="center" wrapText="1"/>
    </xf>
    <xf borderId="1" fillId="2" fontId="3" numFmtId="0" xfId="0" applyAlignment="1" applyBorder="1" applyFont="1">
      <alignment horizontal="center" readingOrder="0" vertical="center"/>
    </xf>
    <xf borderId="1" fillId="3" fontId="3" numFmtId="0" xfId="0" applyAlignment="1" applyBorder="1" applyFont="1">
      <alignment horizontal="center" readingOrder="0" shrinkToFit="0" vertical="center" wrapText="1"/>
    </xf>
    <xf borderId="1" fillId="3" fontId="3" numFmtId="0" xfId="0" applyAlignment="1" applyBorder="1" applyFont="1">
      <alignment horizontal="center" readingOrder="0" vertical="center"/>
    </xf>
    <xf borderId="1" fillId="4" fontId="3" numFmtId="0" xfId="0" applyAlignment="1" applyBorder="1" applyFont="1">
      <alignment horizontal="center" readingOrder="0" vertical="center"/>
    </xf>
    <xf borderId="1" fillId="4" fontId="3" numFmtId="0" xfId="0" applyAlignment="1" applyBorder="1" applyFont="1">
      <alignment horizontal="center" readingOrder="0" shrinkToFit="0" vertical="center" wrapText="1"/>
    </xf>
    <xf borderId="1" fillId="5" fontId="3" numFmtId="0" xfId="0" applyAlignment="1" applyBorder="1" applyFont="1">
      <alignment horizontal="center" readingOrder="0" shrinkToFit="0" vertical="center" wrapText="1"/>
    </xf>
    <xf borderId="1" fillId="5" fontId="3" numFmtId="0" xfId="0" applyAlignment="1" applyBorder="1" applyFont="1">
      <alignment horizontal="center" readingOrder="0" vertical="center"/>
    </xf>
    <xf borderId="0" fillId="0" fontId="3" numFmtId="0" xfId="0" applyAlignment="1" applyFont="1">
      <alignment horizontal="center" shrinkToFit="0" vertical="center" wrapText="1"/>
    </xf>
    <xf borderId="0" fillId="0" fontId="3" numFmtId="0" xfId="0" applyAlignment="1" applyFont="1">
      <alignment horizontal="center" vertical="center"/>
    </xf>
    <xf borderId="1" fillId="0" fontId="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0" fillId="0" fontId="3" numFmtId="0" xfId="0" applyAlignment="1" applyFont="1">
      <alignment shrinkToFit="0" vertical="center" wrapText="1"/>
    </xf>
    <xf borderId="0" fillId="0" fontId="3" numFmtId="0" xfId="0" applyAlignment="1" applyFont="1">
      <alignment vertical="center"/>
    </xf>
    <xf borderId="1" fillId="0" fontId="3" numFmtId="0" xfId="0" applyAlignment="1" applyBorder="1" applyFont="1">
      <alignment readingOrder="0" shrinkToFit="0" vertical="center" wrapText="1"/>
    </xf>
    <xf borderId="0" fillId="0" fontId="6" numFmtId="0" xfId="0" applyAlignment="1" applyFont="1">
      <alignment readingOrder="0"/>
    </xf>
    <xf borderId="0" fillId="0" fontId="2" numFmtId="0" xfId="0" applyAlignment="1" applyFont="1">
      <alignment readingOrder="0" shrinkToFit="0" wrapText="1"/>
    </xf>
    <xf borderId="0" fillId="0" fontId="6" numFmtId="0" xfId="0" applyAlignment="1" applyFont="1">
      <alignment readingOrder="0" shrinkToFit="0" wrapText="1"/>
    </xf>
    <xf borderId="0" fillId="0" fontId="6" numFmtId="0" xfId="0" applyAlignment="1" applyFont="1">
      <alignment shrinkToFit="0" wrapText="1"/>
    </xf>
    <xf borderId="1" fillId="6" fontId="1" numFmtId="0" xfId="0" applyAlignment="1" applyBorder="1" applyFill="1" applyFont="1">
      <alignment horizontal="center" shrinkToFit="0" vertical="bottom" wrapText="1"/>
    </xf>
    <xf borderId="1" fillId="6" fontId="1" numFmtId="0" xfId="0" applyAlignment="1" applyBorder="1" applyFont="1">
      <alignment horizontal="center" readingOrder="0" shrinkToFit="0" vertical="bottom" wrapText="1"/>
    </xf>
    <xf borderId="1" fillId="6" fontId="3" numFmtId="0" xfId="0" applyAlignment="1" applyBorder="1" applyFont="1">
      <alignment horizontal="center" shrinkToFit="0" vertical="bottom" wrapText="1"/>
    </xf>
    <xf borderId="1" fillId="6" fontId="3" numFmtId="0" xfId="0" applyAlignment="1" applyBorder="1" applyFont="1">
      <alignment horizontal="center" readingOrder="0" shrinkToFit="0" vertical="bottom" wrapText="1"/>
    </xf>
    <xf borderId="1" fillId="0" fontId="3" numFmtId="0" xfId="0" applyAlignment="1" applyBorder="1" applyFont="1">
      <alignment horizontal="center" shrinkToFit="0" vertical="bottom" wrapText="1"/>
    </xf>
    <xf borderId="1" fillId="0" fontId="7" numFmtId="0" xfId="0" applyAlignment="1" applyBorder="1" applyFont="1">
      <alignment horizontal="center" shrinkToFit="0" vertical="bottom" wrapText="1"/>
    </xf>
    <xf borderId="1" fillId="7" fontId="8" numFmtId="0" xfId="0" applyAlignment="1" applyBorder="1" applyFill="1" applyFont="1">
      <alignment readingOrder="0" vertical="bottom"/>
    </xf>
    <xf borderId="1" fillId="7" fontId="7" numFmtId="0" xfId="0" applyAlignment="1" applyBorder="1" applyFont="1">
      <alignment shrinkToFit="0" vertical="bottom" wrapText="1"/>
    </xf>
    <xf borderId="1" fillId="7" fontId="7" numFmtId="0" xfId="0" applyAlignment="1" applyBorder="1" applyFont="1">
      <alignment shrinkToFit="0" vertical="bottom" wrapText="1"/>
    </xf>
    <xf borderId="1" fillId="0" fontId="7" numFmtId="0" xfId="0" applyAlignment="1" applyBorder="1" applyFont="1">
      <alignment shrinkToFit="0" vertical="bottom" wrapText="1"/>
    </xf>
    <xf borderId="0" fillId="0" fontId="7" numFmtId="0" xfId="0" applyAlignment="1" applyFont="1">
      <alignment vertical="bottom"/>
    </xf>
    <xf borderId="1" fillId="0" fontId="3" numFmtId="0" xfId="0" applyAlignment="1" applyBorder="1" applyFont="1">
      <alignment shrinkToFit="0" vertical="center" wrapText="1"/>
    </xf>
    <xf borderId="1" fillId="0" fontId="9" numFmtId="0" xfId="0" applyAlignment="1" applyBorder="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8" fontId="12" numFmtId="0" xfId="0" applyAlignment="1" applyBorder="1" applyFill="1" applyFont="1">
      <alignment horizontal="center" readingOrder="0" shrinkToFit="0" vertical="top" wrapText="1"/>
    </xf>
    <xf borderId="1" fillId="0" fontId="3"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top" wrapText="1"/>
    </xf>
    <xf borderId="1" fillId="8" fontId="14" numFmtId="0" xfId="0" applyAlignment="1" applyBorder="1" applyFont="1">
      <alignment horizontal="center" readingOrder="0" shrinkToFit="0" vertical="top" wrapText="1"/>
    </xf>
    <xf borderId="1" fillId="9" fontId="9" numFmtId="0" xfId="0" applyAlignment="1" applyBorder="1" applyFill="1" applyFont="1">
      <alignment horizontal="center" readingOrder="0" shrinkToFit="0" vertical="top" wrapText="1"/>
    </xf>
    <xf borderId="1" fillId="0" fontId="10" numFmtId="0" xfId="0" applyAlignment="1" applyBorder="1" applyFont="1">
      <alignment horizontal="center" readingOrder="0" shrinkToFit="0" vertical="top" wrapText="1"/>
    </xf>
    <xf borderId="1" fillId="0" fontId="15" numFmtId="0" xfId="0" applyAlignment="1" applyBorder="1" applyFont="1">
      <alignment horizontal="left" readingOrder="0" shrinkToFit="0" vertical="center" wrapText="1"/>
    </xf>
    <xf borderId="1" fillId="0" fontId="16" numFmtId="0" xfId="0" applyAlignment="1" applyBorder="1" applyFont="1">
      <alignment horizontal="center" readingOrder="0" shrinkToFit="0" vertical="center" wrapText="1"/>
    </xf>
    <xf borderId="1" fillId="8" fontId="3" numFmtId="0" xfId="0" applyAlignment="1" applyBorder="1" applyFont="1">
      <alignment horizontal="center" readingOrder="0" shrinkToFit="0" vertical="center" wrapText="1"/>
    </xf>
    <xf borderId="1" fillId="8" fontId="14" numFmtId="0" xfId="0" applyAlignment="1" applyBorder="1" applyFont="1">
      <alignment horizontal="center" readingOrder="0" shrinkToFit="0" vertical="center" wrapText="1"/>
    </xf>
    <xf borderId="1" fillId="7" fontId="17" numFmtId="0" xfId="0" applyAlignment="1" applyBorder="1" applyFont="1">
      <alignment horizontal="left" readingOrder="0" shrinkToFit="0" vertical="bottom" wrapText="0"/>
    </xf>
    <xf borderId="1" fillId="7" fontId="18" numFmtId="0" xfId="0" applyAlignment="1" applyBorder="1" applyFont="1">
      <alignment shrinkToFit="0" vertical="bottom" wrapText="1"/>
    </xf>
    <xf borderId="1" fillId="7" fontId="18" numFmtId="0" xfId="0" applyAlignment="1" applyBorder="1" applyFont="1">
      <alignment shrinkToFit="0" vertical="bottom" wrapText="1"/>
    </xf>
    <xf borderId="1" fillId="0" fontId="18" numFmtId="0" xfId="0" applyAlignment="1" applyBorder="1" applyFont="1">
      <alignment shrinkToFit="0" vertical="bottom" wrapText="1"/>
    </xf>
    <xf borderId="0" fillId="0" fontId="18" numFmtId="0" xfId="0" applyAlignment="1" applyFont="1">
      <alignment shrinkToFit="0" vertical="bottom" wrapText="0"/>
    </xf>
    <xf borderId="0" fillId="0" fontId="18" numFmtId="0" xfId="0" applyAlignment="1" applyFont="1">
      <alignment shrinkToFit="0" vertical="bottom" wrapText="0"/>
    </xf>
    <xf borderId="1" fillId="0" fontId="19" numFmtId="0" xfId="0" applyAlignment="1" applyBorder="1" applyFont="1">
      <alignment horizontal="center" readingOrder="0" vertical="bottom"/>
    </xf>
    <xf borderId="1" fillId="0" fontId="19" numFmtId="0" xfId="0" applyAlignment="1" applyBorder="1" applyFont="1">
      <alignment horizontal="left" readingOrder="0" shrinkToFit="0" vertical="bottom" wrapText="1"/>
    </xf>
    <xf borderId="1" fillId="0" fontId="19" numFmtId="0" xfId="0" applyAlignment="1" applyBorder="1" applyFont="1">
      <alignment horizontal="center" readingOrder="0" shrinkToFit="0" vertical="bottom" wrapText="1"/>
    </xf>
    <xf borderId="1" fillId="10" fontId="19" numFmtId="0" xfId="0" applyAlignment="1" applyBorder="1" applyFill="1" applyFont="1">
      <alignment horizontal="center" readingOrder="0" shrinkToFit="0" vertical="bottom" wrapText="1"/>
    </xf>
    <xf borderId="1" fillId="0" fontId="20" numFmtId="0" xfId="0" applyAlignment="1" applyBorder="1" applyFont="1">
      <alignment horizontal="left" readingOrder="0" shrinkToFit="0" vertical="bottom" wrapText="1"/>
    </xf>
    <xf borderId="1" fillId="0" fontId="18" numFmtId="0" xfId="0" applyAlignment="1" applyBorder="1" applyFont="1">
      <alignment horizontal="left" readingOrder="0" shrinkToFit="0" vertical="bottom" wrapText="1"/>
    </xf>
    <xf borderId="1" fillId="0" fontId="18" numFmtId="0" xfId="0" applyAlignment="1" applyBorder="1" applyFont="1">
      <alignment horizontal="center" readingOrder="0" shrinkToFit="0" vertical="bottom" wrapText="1"/>
    </xf>
    <xf borderId="1" fillId="0" fontId="18" numFmtId="0" xfId="0" applyAlignment="1" applyBorder="1" applyFont="1">
      <alignment shrinkToFit="0" vertical="bottom" wrapText="1"/>
    </xf>
    <xf borderId="1" fillId="0" fontId="21" numFmtId="0" xfId="0" applyAlignment="1" applyBorder="1" applyFont="1">
      <alignment horizontal="left" readingOrder="0" shrinkToFit="0" vertical="bottom" wrapText="1"/>
    </xf>
    <xf borderId="1" fillId="7" fontId="19" numFmtId="0" xfId="0" applyAlignment="1" applyBorder="1" applyFont="1">
      <alignment horizontal="left" readingOrder="0" shrinkToFit="0" vertical="bottom" wrapText="0"/>
    </xf>
    <xf borderId="1" fillId="10" fontId="18" numFmtId="0" xfId="0" applyAlignment="1" applyBorder="1" applyFont="1">
      <alignment shrinkToFit="0" vertical="bottom" wrapText="1"/>
    </xf>
    <xf borderId="1" fillId="0" fontId="19" numFmtId="0" xfId="0" applyAlignment="1" applyBorder="1" applyFont="1">
      <alignment horizontal="center" readingOrder="0" shrinkToFit="0" vertical="bottom" wrapText="0"/>
    </xf>
    <xf borderId="1" fillId="10" fontId="18" numFmtId="0" xfId="0" applyAlignment="1" applyBorder="1" applyFont="1">
      <alignment horizontal="center" readingOrder="0" shrinkToFit="0" vertical="bottom" wrapText="1"/>
    </xf>
    <xf borderId="1" fillId="0" fontId="22" numFmtId="0" xfId="0" applyAlignment="1" applyBorder="1" applyFont="1">
      <alignment horizontal="left" readingOrder="0" shrinkToFit="0" vertical="bottom" wrapText="1"/>
    </xf>
    <xf borderId="0" fillId="0" fontId="18" numFmtId="0" xfId="0" applyAlignment="1" applyFont="1">
      <alignment horizontal="left" readingOrder="0" shrinkToFit="0" vertical="bottom" wrapText="1"/>
    </xf>
    <xf borderId="1" fillId="0" fontId="18" numFmtId="0" xfId="0" applyAlignment="1" applyBorder="1" applyFont="1">
      <alignment horizontal="right" readingOrder="0" shrinkToFit="0" vertical="bottom" wrapText="1"/>
    </xf>
    <xf borderId="1" fillId="0" fontId="23" numFmtId="0" xfId="0" applyAlignment="1" applyBorder="1" applyFont="1">
      <alignment horizontal="left" readingOrder="0" shrinkToFit="0" vertical="bottom" wrapText="1"/>
    </xf>
    <xf borderId="1" fillId="0" fontId="9" numFmtId="0" xfId="0" applyAlignment="1" applyBorder="1" applyFont="1">
      <alignment horizontal="center" readingOrder="0" shrinkToFit="0" vertical="bottom" wrapText="1"/>
    </xf>
    <xf borderId="1" fillId="2" fontId="19" numFmtId="0" xfId="0" applyAlignment="1" applyBorder="1" applyFont="1">
      <alignment horizontal="center" readingOrder="0" shrinkToFit="0" vertical="bottom" wrapText="1"/>
    </xf>
    <xf borderId="0" fillId="0" fontId="19" numFmtId="0" xfId="0" applyAlignment="1" applyFont="1">
      <alignment horizontal="center" readingOrder="0" shrinkToFit="0" vertical="bottom" wrapText="1"/>
    </xf>
    <xf borderId="1" fillId="9" fontId="19" numFmtId="0" xfId="0" applyAlignment="1" applyBorder="1" applyFont="1">
      <alignment horizontal="left" readingOrder="0" shrinkToFit="0" vertical="bottom" wrapText="1"/>
    </xf>
    <xf borderId="0" fillId="0" fontId="19" numFmtId="0" xfId="0" applyAlignment="1" applyFont="1">
      <alignment horizontal="left" readingOrder="0" shrinkToFit="0" vertical="bottom" wrapText="1"/>
    </xf>
    <xf borderId="0" fillId="0" fontId="9" numFmtId="0" xfId="0" applyAlignment="1" applyFont="1">
      <alignment horizontal="left" readingOrder="0" shrinkToFit="0" vertical="bottom" wrapText="0"/>
    </xf>
    <xf borderId="1" fillId="7" fontId="19" numFmtId="0" xfId="0" applyAlignment="1" applyBorder="1" applyFont="1">
      <alignment horizontal="center" readingOrder="0" shrinkToFit="0" vertical="bottom" wrapText="0"/>
    </xf>
    <xf borderId="1" fillId="2" fontId="18" numFmtId="0" xfId="0" applyAlignment="1" applyBorder="1" applyFont="1">
      <alignment horizontal="center" readingOrder="0" shrinkToFit="0" vertical="bottom" wrapText="1"/>
    </xf>
    <xf borderId="1" fillId="9" fontId="24" numFmtId="0" xfId="0" applyAlignment="1" applyBorder="1" applyFont="1">
      <alignment horizontal="left" readingOrder="0" shrinkToFit="0" vertical="bottom" wrapText="1"/>
    </xf>
    <xf borderId="1" fillId="0" fontId="17" numFmtId="0" xfId="0" applyAlignment="1" applyBorder="1" applyFont="1">
      <alignment horizontal="center" readingOrder="0" shrinkToFit="0" vertical="bottom" wrapText="1"/>
    </xf>
    <xf borderId="1" fillId="9" fontId="25" numFmtId="0" xfId="0" applyAlignment="1" applyBorder="1" applyFont="1">
      <alignment horizontal="left" readingOrder="0" shrinkToFit="0" vertical="bottom" wrapText="1"/>
    </xf>
    <xf borderId="1" fillId="0" fontId="18" numFmtId="0" xfId="0" applyAlignment="1" applyBorder="1" applyFont="1">
      <alignment shrinkToFit="0" vertical="bottom" wrapText="0"/>
    </xf>
    <xf borderId="1" fillId="0" fontId="9" numFmtId="0" xfId="0" applyAlignment="1" applyBorder="1" applyFont="1">
      <alignment horizontal="left" readingOrder="0" shrinkToFit="0" vertical="bottom" wrapText="0"/>
    </xf>
    <xf borderId="0" fillId="0" fontId="9" numFmtId="0" xfId="0" applyAlignment="1" applyFont="1">
      <alignment shrinkToFit="0" vertical="bottom" wrapText="0"/>
    </xf>
    <xf borderId="1" fillId="10" fontId="18" numFmtId="0" xfId="0" applyAlignment="1" applyBorder="1" applyFont="1">
      <alignment horizontal="left" readingOrder="0" shrinkToFit="0" vertical="bottom" wrapText="1"/>
    </xf>
    <xf borderId="0" fillId="0" fontId="18" numFmtId="0" xfId="0" applyAlignment="1" applyFont="1">
      <alignment shrinkToFit="0" vertical="bottom" wrapText="1"/>
    </xf>
    <xf borderId="1" fillId="0" fontId="9" numFmtId="0" xfId="0" applyAlignment="1" applyBorder="1" applyFont="1">
      <alignment horizontal="center" readingOrder="0" shrinkToFit="0" vertical="bottom" wrapText="0"/>
    </xf>
    <xf borderId="1" fillId="0" fontId="9" numFmtId="0" xfId="0" applyAlignment="1" applyBorder="1" applyFont="1">
      <alignment horizontal="left" readingOrder="0" shrinkToFit="0" vertical="bottom" wrapText="1"/>
    </xf>
    <xf borderId="1" fillId="10" fontId="9" numFmtId="0" xfId="0" applyAlignment="1" applyBorder="1" applyFont="1">
      <alignment horizontal="left" readingOrder="0" shrinkToFit="0" vertical="bottom" wrapText="1"/>
    </xf>
    <xf borderId="1" fillId="0" fontId="9" numFmtId="0" xfId="0" applyAlignment="1" applyBorder="1" applyFont="1">
      <alignment horizontal="right" readingOrder="0" shrinkToFit="0" vertical="bottom" wrapText="1"/>
    </xf>
    <xf borderId="1" fillId="11" fontId="9" numFmtId="0" xfId="0" applyAlignment="1" applyBorder="1" applyFill="1" applyFont="1">
      <alignment horizontal="center" readingOrder="0" shrinkToFit="0" vertical="bottom" wrapText="0"/>
    </xf>
    <xf borderId="1" fillId="11" fontId="9" numFmtId="0" xfId="0" applyAlignment="1" applyBorder="1" applyFont="1">
      <alignment horizontal="left" readingOrder="0" shrinkToFit="0" vertical="bottom" wrapText="1"/>
    </xf>
    <xf borderId="1" fillId="11" fontId="18" numFmtId="0" xfId="0" applyAlignment="1" applyBorder="1" applyFont="1">
      <alignment shrinkToFit="0" vertical="bottom" wrapText="1"/>
    </xf>
    <xf borderId="1" fillId="11" fontId="9" numFmtId="0" xfId="0" applyAlignment="1" applyBorder="1" applyFont="1">
      <alignment horizontal="center" readingOrder="0" shrinkToFit="0" vertical="bottom" wrapText="1"/>
    </xf>
    <xf borderId="1" fillId="11" fontId="18" numFmtId="0" xfId="0" applyAlignment="1" applyBorder="1" applyFont="1">
      <alignment shrinkToFit="0" vertical="bottom" wrapText="1"/>
    </xf>
    <xf borderId="1" fillId="11" fontId="9" numFmtId="0" xfId="0" applyAlignment="1" applyBorder="1" applyFont="1">
      <alignment horizontal="right" readingOrder="0" shrinkToFit="0" vertical="bottom" wrapText="1"/>
    </xf>
    <xf borderId="1" fillId="10" fontId="26" numFmtId="0" xfId="0" applyAlignment="1" applyBorder="1" applyFont="1">
      <alignment horizontal="left" readingOrder="0" shrinkToFit="0" vertical="bottom" wrapText="1"/>
    </xf>
    <xf borderId="0" fillId="0" fontId="18" numFmtId="0" xfId="0" applyAlignment="1" applyFont="1">
      <alignment horizontal="right" readingOrder="0" shrinkToFit="0" vertical="bottom" wrapText="1"/>
    </xf>
    <xf borderId="1" fillId="3" fontId="9" numFmtId="0" xfId="0" applyAlignment="1" applyBorder="1" applyFont="1">
      <alignment horizontal="center" readingOrder="0" shrinkToFit="0" vertical="bottom" wrapText="0"/>
    </xf>
    <xf borderId="1" fillId="3" fontId="9" numFmtId="0" xfId="0" applyAlignment="1" applyBorder="1" applyFont="1">
      <alignment horizontal="left" readingOrder="0" shrinkToFit="0" vertical="bottom" wrapText="1"/>
    </xf>
    <xf borderId="1" fillId="3" fontId="18" numFmtId="0" xfId="0" applyAlignment="1" applyBorder="1" applyFont="1">
      <alignment shrinkToFit="0" vertical="bottom" wrapText="1"/>
    </xf>
    <xf borderId="1" fillId="3" fontId="9" numFmtId="0" xfId="0" applyAlignment="1" applyBorder="1" applyFont="1">
      <alignment horizontal="center" readingOrder="0" shrinkToFit="0" vertical="bottom" wrapText="1"/>
    </xf>
    <xf borderId="1" fillId="3" fontId="18" numFmtId="0" xfId="0" applyAlignment="1" applyBorder="1" applyFont="1">
      <alignment shrinkToFit="0" vertical="bottom" wrapText="1"/>
    </xf>
    <xf borderId="1" fillId="3" fontId="9" numFmtId="11" xfId="0" applyAlignment="1" applyBorder="1" applyFont="1" applyNumberFormat="1">
      <alignment horizontal="right" readingOrder="0" shrinkToFit="0" vertical="bottom" wrapText="1"/>
    </xf>
    <xf borderId="1" fillId="3" fontId="18" numFmtId="0" xfId="0" applyAlignment="1" applyBorder="1" applyFont="1">
      <alignment horizontal="left" readingOrder="0" shrinkToFit="0" vertical="bottom" wrapText="1"/>
    </xf>
    <xf borderId="1" fillId="3" fontId="18" numFmtId="0" xfId="0" applyAlignment="1" applyBorder="1" applyFont="1">
      <alignment horizontal="center" readingOrder="0" shrinkToFit="0" vertical="bottom" wrapText="1"/>
    </xf>
    <xf borderId="0" fillId="3" fontId="18" numFmtId="0" xfId="0" applyAlignment="1" applyFont="1">
      <alignment shrinkToFit="0" vertical="bottom" wrapText="0"/>
    </xf>
    <xf borderId="1" fillId="6" fontId="9" numFmtId="0" xfId="0" applyAlignment="1" applyBorder="1" applyFont="1">
      <alignment horizontal="center" readingOrder="0" shrinkToFit="0" vertical="bottom" wrapText="0"/>
    </xf>
    <xf borderId="1" fillId="6" fontId="9" numFmtId="0" xfId="0" applyAlignment="1" applyBorder="1" applyFont="1">
      <alignment horizontal="left" readingOrder="0" shrinkToFit="0" vertical="bottom" wrapText="1"/>
    </xf>
    <xf borderId="1" fillId="6" fontId="18" numFmtId="0" xfId="0" applyAlignment="1" applyBorder="1" applyFont="1">
      <alignment shrinkToFit="0" vertical="bottom" wrapText="1"/>
    </xf>
    <xf borderId="1" fillId="6" fontId="9" numFmtId="0" xfId="0" applyAlignment="1" applyBorder="1" applyFont="1">
      <alignment horizontal="center" readingOrder="0" shrinkToFit="0" vertical="bottom" wrapText="1"/>
    </xf>
    <xf borderId="1" fillId="6" fontId="18" numFmtId="0" xfId="0" applyAlignment="1" applyBorder="1" applyFont="1">
      <alignment shrinkToFit="0" vertical="bottom" wrapText="1"/>
    </xf>
    <xf borderId="0" fillId="6" fontId="18" numFmtId="0" xfId="0" applyAlignment="1" applyFont="1">
      <alignment shrinkToFit="0" vertical="bottom" wrapText="0"/>
    </xf>
    <xf borderId="0" fillId="0" fontId="27" numFmtId="0" xfId="0" applyAlignment="1" applyFont="1">
      <alignment horizontal="left" readingOrder="0" shrinkToFit="0" vertical="top" wrapText="1"/>
    </xf>
    <xf borderId="1" fillId="6" fontId="9" numFmtId="0" xfId="0" applyAlignment="1" applyBorder="1" applyFont="1">
      <alignment horizontal="right" readingOrder="0" shrinkToFit="0" vertical="bottom" wrapText="1"/>
    </xf>
    <xf borderId="1" fillId="12" fontId="9" numFmtId="0" xfId="0" applyAlignment="1" applyBorder="1" applyFill="1" applyFont="1">
      <alignment horizontal="center" readingOrder="0" shrinkToFit="0" vertical="bottom" wrapText="0"/>
    </xf>
    <xf borderId="1" fillId="12" fontId="9" numFmtId="0" xfId="0" applyAlignment="1" applyBorder="1" applyFont="1">
      <alignment horizontal="left" readingOrder="0" shrinkToFit="0" vertical="bottom" wrapText="1"/>
    </xf>
    <xf borderId="1" fillId="12" fontId="18" numFmtId="0" xfId="0" applyAlignment="1" applyBorder="1" applyFont="1">
      <alignment shrinkToFit="0" vertical="bottom" wrapText="1"/>
    </xf>
    <xf borderId="1" fillId="12" fontId="18" numFmtId="0" xfId="0" applyAlignment="1" applyBorder="1" applyFont="1">
      <alignment shrinkToFit="0" vertical="bottom" wrapText="1"/>
    </xf>
    <xf borderId="1" fillId="12" fontId="9" numFmtId="0" xfId="0" applyAlignment="1" applyBorder="1" applyFont="1">
      <alignment horizontal="center" readingOrder="0" shrinkToFit="0" vertical="bottom" wrapText="1"/>
    </xf>
    <xf borderId="0" fillId="12" fontId="18" numFmtId="0" xfId="0" applyAlignment="1" applyFont="1">
      <alignment shrinkToFit="0" vertical="bottom" wrapText="0"/>
    </xf>
    <xf borderId="1" fillId="10" fontId="9" numFmtId="0" xfId="0" applyAlignment="1" applyBorder="1" applyFont="1">
      <alignment horizontal="center" readingOrder="0" shrinkToFit="0" vertical="bottom" wrapText="1"/>
    </xf>
    <xf borderId="1" fillId="0" fontId="28" numFmtId="0" xfId="0" applyAlignment="1" applyBorder="1" applyFont="1">
      <alignment horizontal="center" readingOrder="0" shrinkToFit="0" vertical="bottom" wrapText="1"/>
    </xf>
    <xf borderId="0" fillId="0" fontId="9" numFmtId="0" xfId="0" applyAlignment="1" applyFont="1">
      <alignment horizontal="left" readingOrder="0" shrinkToFit="0" vertical="bottom" wrapText="1"/>
    </xf>
    <xf borderId="0" fillId="0" fontId="9" numFmtId="0" xfId="0" applyAlignment="1" applyFont="1">
      <alignment horizontal="center" readingOrder="0" shrinkToFit="0" vertical="bottom" wrapText="1"/>
    </xf>
    <xf borderId="0" fillId="11" fontId="9" numFmtId="0" xfId="0" applyAlignment="1" applyFont="1">
      <alignment horizontal="left" readingOrder="0" shrinkToFit="0" vertical="bottom" wrapText="1"/>
    </xf>
    <xf borderId="1" fillId="11" fontId="18" numFmtId="0" xfId="0" applyAlignment="1" applyBorder="1" applyFont="1">
      <alignment horizontal="center" readingOrder="0" shrinkToFit="0" vertical="bottom" wrapText="1"/>
    </xf>
    <xf borderId="1" fillId="11" fontId="19" numFmtId="0" xfId="0" applyAlignment="1" applyBorder="1" applyFont="1">
      <alignment horizontal="center" readingOrder="0" shrinkToFit="0" vertical="bottom" wrapText="1"/>
    </xf>
    <xf borderId="0" fillId="11" fontId="18" numFmtId="0" xfId="0" applyAlignment="1" applyFont="1">
      <alignment shrinkToFit="0" vertical="bottom" wrapText="0"/>
    </xf>
    <xf borderId="1" fillId="9" fontId="29" numFmtId="0" xfId="0" applyAlignment="1" applyBorder="1" applyFont="1">
      <alignment horizontal="center" readingOrder="0" shrinkToFit="0" vertical="bottom" wrapText="1"/>
    </xf>
    <xf borderId="1" fillId="11" fontId="9" numFmtId="0" xfId="0" applyAlignment="1" applyBorder="1" applyFont="1">
      <alignment horizontal="left" readingOrder="0" shrinkToFit="0" vertical="top" wrapText="1"/>
    </xf>
    <xf borderId="0" fillId="11" fontId="30" numFmtId="0" xfId="0" applyAlignment="1" applyFont="1">
      <alignment horizontal="left" readingOrder="0" shrinkToFit="0" vertical="bottom" wrapText="1"/>
    </xf>
    <xf borderId="1" fillId="12" fontId="18" numFmtId="0" xfId="0" applyAlignment="1" applyBorder="1" applyFont="1">
      <alignment horizontal="center" readingOrder="0" shrinkToFit="0" vertical="bottom" wrapText="1"/>
    </xf>
    <xf borderId="0" fillId="9" fontId="31" numFmtId="0" xfId="0" applyAlignment="1" applyFont="1">
      <alignment horizontal="left" readingOrder="0" shrinkToFit="0" vertical="bottom" wrapText="1"/>
    </xf>
    <xf borderId="0" fillId="9" fontId="32" numFmtId="0" xfId="0" applyAlignment="1" applyFont="1">
      <alignment horizontal="left" readingOrder="0" shrinkToFit="0" vertical="bottom" wrapText="1"/>
    </xf>
    <xf borderId="1" fillId="2" fontId="9" numFmtId="0" xfId="0" applyAlignment="1" applyBorder="1" applyFont="1">
      <alignment horizontal="left" readingOrder="0" shrinkToFit="0" vertical="bottom" wrapText="1"/>
    </xf>
    <xf borderId="1" fillId="0" fontId="9" numFmtId="0" xfId="0" applyAlignment="1" applyBorder="1" applyFont="1">
      <alignment horizontal="center" readingOrder="0" shrinkToFit="0" vertical="top" wrapText="0"/>
    </xf>
    <xf borderId="1" fillId="0" fontId="9" numFmtId="0" xfId="0" applyAlignment="1" applyBorder="1" applyFont="1">
      <alignment horizontal="left" readingOrder="0" shrinkToFit="0" vertical="top" wrapText="1"/>
    </xf>
    <xf borderId="1" fillId="0" fontId="18" numFmtId="0" xfId="0" applyAlignment="1" applyBorder="1" applyFont="1">
      <alignment horizontal="left" readingOrder="0" shrinkToFit="0" vertical="top" wrapText="1"/>
    </xf>
    <xf borderId="2" fillId="0" fontId="33" numFmtId="0" xfId="0" applyAlignment="1" applyBorder="1" applyFont="1">
      <alignment horizontal="center" readingOrder="0" shrinkToFit="0" vertical="top" wrapText="1"/>
    </xf>
    <xf borderId="1" fillId="0" fontId="9" numFmtId="0" xfId="0" applyAlignment="1" applyBorder="1" applyFont="1">
      <alignment horizontal="center" readingOrder="0" shrinkToFit="0" vertical="top" wrapText="1"/>
    </xf>
    <xf borderId="1" fillId="5" fontId="9" numFmtId="0" xfId="0" applyAlignment="1" applyBorder="1" applyFont="1">
      <alignment horizontal="left" readingOrder="0" shrinkToFit="0" vertical="top" wrapText="1"/>
    </xf>
    <xf borderId="0" fillId="0" fontId="34" numFmtId="0" xfId="0" applyAlignment="1" applyFont="1">
      <alignment horizontal="left" readingOrder="0" shrinkToFit="0" vertical="top" wrapText="1"/>
    </xf>
    <xf borderId="1" fillId="0" fontId="30" numFmtId="0" xfId="0" applyAlignment="1" applyBorder="1" applyFont="1">
      <alignment horizontal="center" readingOrder="0" shrinkToFit="0" vertical="top" wrapText="1"/>
    </xf>
    <xf borderId="1" fillId="0" fontId="18" numFmtId="0" xfId="0" applyAlignment="1" applyBorder="1" applyFont="1">
      <alignment horizontal="center" readingOrder="0" shrinkToFit="0" vertical="top" wrapText="1"/>
    </xf>
    <xf borderId="0" fillId="0" fontId="9" numFmtId="0" xfId="0" applyAlignment="1" applyFont="1">
      <alignment horizontal="left" readingOrder="0" vertical="top"/>
    </xf>
    <xf borderId="0" fillId="0" fontId="9" numFmtId="0" xfId="0" applyAlignment="1" applyFont="1">
      <alignment vertical="top"/>
    </xf>
    <xf borderId="1" fillId="0" fontId="9" numFmtId="0" xfId="0" applyAlignment="1" applyBorder="1" applyFont="1">
      <alignment shrinkToFit="0" vertical="top" wrapText="1"/>
    </xf>
    <xf borderId="1" fillId="0" fontId="18" numFmtId="0" xfId="0" applyAlignment="1" applyBorder="1" applyFont="1">
      <alignment shrinkToFit="0" vertical="top" wrapText="1"/>
    </xf>
    <xf borderId="1" fillId="0" fontId="9" numFmtId="0" xfId="0" applyAlignment="1" applyBorder="1" applyFont="1">
      <alignment shrinkToFit="0" vertical="top" wrapText="1"/>
    </xf>
    <xf borderId="2" fillId="0" fontId="35" numFmtId="0" xfId="0" applyAlignment="1" applyBorder="1" applyFont="1">
      <alignment horizontal="center" shrinkToFit="0" vertical="top" wrapText="1"/>
    </xf>
    <xf borderId="1" fillId="0" fontId="9" numFmtId="0" xfId="0" applyAlignment="1" applyBorder="1" applyFont="1">
      <alignment horizontal="center" shrinkToFit="0" vertical="top" wrapText="1"/>
    </xf>
    <xf borderId="1" fillId="0" fontId="30" numFmtId="0" xfId="0" applyAlignment="1" applyBorder="1" applyFont="1">
      <alignment horizontal="center" shrinkToFit="0" vertical="top" wrapText="1"/>
    </xf>
    <xf borderId="1" fillId="0" fontId="18" numFmtId="0" xfId="0" applyAlignment="1" applyBorder="1" applyFont="1">
      <alignment shrinkToFit="0" vertical="top" wrapText="1"/>
    </xf>
    <xf borderId="1" fillId="0" fontId="18" numFmtId="0" xfId="0" applyAlignment="1" applyBorder="1" applyFont="1">
      <alignment horizontal="center" shrinkToFit="0" vertical="top" wrapText="1"/>
    </xf>
    <xf borderId="1" fillId="0" fontId="36" numFmtId="0" xfId="0" applyAlignment="1" applyBorder="1" applyFont="1">
      <alignment horizontal="left" readingOrder="0" shrinkToFit="0" vertical="top" wrapText="1"/>
    </xf>
    <xf borderId="1" fillId="0" fontId="30" numFmtId="0" xfId="0" applyAlignment="1" applyBorder="1" applyFont="1">
      <alignment horizontal="center" readingOrder="0" shrinkToFit="0" vertical="bottom" wrapText="0"/>
    </xf>
    <xf borderId="1" fillId="0" fontId="30" numFmtId="0" xfId="0" applyAlignment="1" applyBorder="1" applyFont="1">
      <alignment horizontal="left" readingOrder="0" shrinkToFit="0" vertical="bottom" wrapText="1"/>
    </xf>
    <xf borderId="1" fillId="0" fontId="30" numFmtId="0" xfId="0" applyAlignment="1" applyBorder="1" applyFont="1">
      <alignment horizontal="center" readingOrder="0" shrinkToFit="0" vertical="bottom" wrapText="1"/>
    </xf>
    <xf borderId="1" fillId="10" fontId="30" numFmtId="0" xfId="0" applyAlignment="1" applyBorder="1" applyFont="1">
      <alignment horizontal="left" readingOrder="0" shrinkToFit="0" vertical="bottom" wrapText="1"/>
    </xf>
    <xf borderId="1" fillId="0" fontId="37" numFmtId="0" xfId="0" applyAlignment="1" applyBorder="1" applyFont="1">
      <alignment horizontal="left" readingOrder="0" shrinkToFit="0" vertical="bottom" wrapText="1"/>
    </xf>
    <xf borderId="1" fillId="0" fontId="30" numFmtId="0" xfId="0" applyAlignment="1" applyBorder="1" applyFont="1">
      <alignment horizontal="right" readingOrder="0" shrinkToFit="0" vertical="bottom" wrapText="1"/>
    </xf>
    <xf borderId="1" fillId="0" fontId="30" numFmtId="0" xfId="0" applyAlignment="1" applyBorder="1" applyFont="1">
      <alignment horizontal="left" shrinkToFit="0" vertical="bottom" wrapText="1"/>
    </xf>
    <xf borderId="1" fillId="0" fontId="30" numFmtId="0" xfId="0" applyAlignment="1" applyBorder="1" applyFont="1">
      <alignment horizontal="center" readingOrder="0" vertical="bottom"/>
    </xf>
    <xf borderId="0" fillId="0" fontId="30" numFmtId="0" xfId="0" applyAlignment="1" applyFont="1">
      <alignment horizontal="center" vertical="bottom"/>
    </xf>
    <xf borderId="1" fillId="0" fontId="9" numFmtId="0" xfId="0" applyAlignment="1" applyBorder="1" applyFont="1">
      <alignment horizontal="left" shrinkToFit="0" vertical="bottom" wrapText="1"/>
    </xf>
    <xf borderId="1" fillId="9" fontId="9" numFmtId="0" xfId="0" applyAlignment="1" applyBorder="1" applyFont="1">
      <alignment horizontal="center" readingOrder="0" shrinkToFit="0" vertical="bottom" wrapText="0"/>
    </xf>
    <xf borderId="1" fillId="9" fontId="9" numFmtId="0" xfId="0" applyAlignment="1" applyBorder="1" applyFont="1">
      <alignment horizontal="center" readingOrder="0" shrinkToFit="0" vertical="bottom" wrapText="1"/>
    </xf>
    <xf borderId="1" fillId="0" fontId="9" numFmtId="0" xfId="0" applyAlignment="1" applyBorder="1" applyFont="1">
      <alignment shrinkToFit="0" vertical="bottom" wrapText="1"/>
    </xf>
    <xf borderId="1" fillId="0" fontId="9" numFmtId="0" xfId="0" applyAlignment="1" applyBorder="1" applyFont="1">
      <alignment horizontal="left" shrinkToFit="0" vertical="bottom" wrapText="1"/>
    </xf>
    <xf borderId="1" fillId="0" fontId="38" numFmtId="0" xfId="0" applyAlignment="1" applyBorder="1" applyFont="1">
      <alignment horizontal="center" readingOrder="0" shrinkToFit="0" vertical="bottom" wrapText="1"/>
    </xf>
    <xf borderId="1" fillId="0" fontId="9" numFmtId="0" xfId="0" applyAlignment="1" applyBorder="1" applyFont="1">
      <alignment horizontal="center" readingOrder="0" vertical="bottom"/>
    </xf>
    <xf borderId="1" fillId="0" fontId="39" numFmtId="0" xfId="0" applyAlignment="1" applyBorder="1" applyFont="1">
      <alignment horizontal="center" readingOrder="0" shrinkToFit="0" vertical="bottom" wrapText="1"/>
    </xf>
    <xf borderId="1" fillId="0" fontId="9" numFmtId="0" xfId="0" applyAlignment="1" applyBorder="1" applyFont="1">
      <alignment horizontal="center" shrinkToFit="0" vertical="bottom" wrapText="0"/>
    </xf>
    <xf borderId="1" fillId="0" fontId="9" numFmtId="0" xfId="0" applyAlignment="1" applyBorder="1" applyFont="1">
      <alignment shrinkToFit="0" vertical="bottom" wrapText="1"/>
    </xf>
    <xf borderId="1" fillId="0" fontId="9" numFmtId="0" xfId="0" applyAlignment="1" applyBorder="1" applyFont="1">
      <alignment horizontal="center" shrinkToFit="0" vertical="bottom" wrapText="1"/>
    </xf>
    <xf borderId="0" fillId="10" fontId="18" numFmtId="0" xfId="0" applyAlignment="1" applyFont="1">
      <alignment horizontal="center" readingOrder="0" shrinkToFit="0" vertical="bottom" wrapText="1"/>
    </xf>
    <xf borderId="0" fillId="0" fontId="18" numFmtId="0" xfId="0" applyAlignment="1" applyFont="1">
      <alignment horizontal="left" readingOrder="0" shrinkToFit="0" vertical="bottom" wrapText="0"/>
    </xf>
    <xf borderId="1" fillId="0" fontId="18" numFmtId="0" xfId="0" applyAlignment="1" applyBorder="1" applyFont="1">
      <alignment horizontal="left" readingOrder="0" shrinkToFit="0" vertical="bottom" wrapText="0"/>
    </xf>
    <xf borderId="1" fillId="0" fontId="18" numFmtId="0" xfId="0" applyAlignment="1" applyBorder="1" applyFont="1">
      <alignment horizontal="center" readingOrder="0" vertical="bottom"/>
    </xf>
    <xf borderId="0" fillId="9" fontId="40" numFmtId="0" xfId="0" applyAlignment="1" applyFont="1">
      <alignment horizontal="left" readingOrder="0" shrinkToFit="0" vertical="bottom" wrapText="1"/>
    </xf>
    <xf borderId="1" fillId="10" fontId="9" numFmtId="0" xfId="0" applyAlignment="1" applyBorder="1" applyFont="1">
      <alignment shrinkToFit="0" vertical="bottom" wrapText="1"/>
    </xf>
    <xf borderId="1" fillId="13" fontId="9" numFmtId="0" xfId="0" applyAlignment="1" applyBorder="1" applyFill="1" applyFont="1">
      <alignment horizontal="center" readingOrder="0" shrinkToFit="0" vertical="bottom" wrapText="0"/>
    </xf>
    <xf borderId="0" fillId="9" fontId="41" numFmtId="0" xfId="0" applyAlignment="1" applyFont="1">
      <alignment horizontal="left" readingOrder="0" shrinkToFit="0" vertical="bottom" wrapText="1"/>
    </xf>
    <xf borderId="1" fillId="13" fontId="9" numFmtId="0" xfId="0" applyAlignment="1" applyBorder="1" applyFont="1">
      <alignment horizontal="left" readingOrder="0" shrinkToFit="0" vertical="bottom" wrapText="1"/>
    </xf>
    <xf borderId="0" fillId="0" fontId="9" numFmtId="0" xfId="0" applyAlignment="1" applyFont="1">
      <alignment horizontal="left" readingOrder="0" vertical="bottom"/>
    </xf>
    <xf borderId="0" fillId="10" fontId="18" numFmtId="0" xfId="0" applyAlignment="1" applyFont="1">
      <alignment horizontal="left" readingOrder="0" shrinkToFit="0" vertical="bottom" wrapText="1"/>
    </xf>
    <xf borderId="0" fillId="0" fontId="18" numFmtId="0" xfId="0" applyAlignment="1" applyFont="1">
      <alignment horizontal="left" readingOrder="0" shrinkToFit="0" vertical="top" wrapText="1"/>
    </xf>
    <xf borderId="0" fillId="14" fontId="9" numFmtId="0" xfId="0" applyAlignment="1" applyFill="1" applyFont="1">
      <alignment horizontal="left" readingOrder="0" shrinkToFit="0" vertical="bottom" wrapText="1"/>
    </xf>
    <xf borderId="0" fillId="0" fontId="42" numFmtId="0" xfId="0" applyAlignment="1" applyFont="1">
      <alignment horizontal="left" readingOrder="0" shrinkToFit="0" vertical="bottom" wrapText="1"/>
    </xf>
    <xf borderId="1" fillId="2" fontId="18" numFmtId="0" xfId="0" applyAlignment="1" applyBorder="1" applyFont="1">
      <alignment horizontal="left" readingOrder="0" shrinkToFit="0" vertical="bottom" wrapText="1"/>
    </xf>
    <xf borderId="0" fillId="0" fontId="18" numFmtId="0" xfId="0" applyAlignment="1" applyFont="1">
      <alignment shrinkToFit="0" vertical="bottom" wrapText="1"/>
    </xf>
    <xf borderId="1" fillId="9" fontId="9" numFmtId="0" xfId="0" applyAlignment="1" applyBorder="1" applyFont="1">
      <alignment horizontal="left" readingOrder="0" shrinkToFit="0" vertical="bottom" wrapText="1"/>
    </xf>
    <xf borderId="0" fillId="9" fontId="18" numFmtId="0" xfId="0" applyAlignment="1" applyFont="1">
      <alignment shrinkToFit="0" vertical="bottom" wrapText="0"/>
    </xf>
    <xf borderId="1" fillId="9" fontId="18" numFmtId="0" xfId="0" applyAlignment="1" applyBorder="1" applyFont="1">
      <alignment shrinkToFit="0" vertical="bottom" wrapText="1"/>
    </xf>
    <xf borderId="1" fillId="9" fontId="18" numFmtId="0" xfId="0" applyAlignment="1" applyBorder="1" applyFont="1">
      <alignment shrinkToFit="0" vertical="bottom" wrapText="1"/>
    </xf>
    <xf borderId="0" fillId="9" fontId="18" numFmtId="0" xfId="0" applyAlignment="1" applyFont="1">
      <alignment shrinkToFit="0" vertical="bottom" wrapText="1"/>
    </xf>
    <xf borderId="0" fillId="9" fontId="18" numFmtId="0" xfId="0" applyAlignment="1" applyFont="1">
      <alignment shrinkToFit="0" vertical="bottom" wrapText="1"/>
    </xf>
    <xf borderId="1" fillId="15" fontId="9" numFmtId="0" xfId="0" applyAlignment="1" applyBorder="1" applyFill="1" applyFont="1">
      <alignment horizontal="center" readingOrder="0" vertical="bottom"/>
    </xf>
    <xf borderId="1" fillId="15" fontId="9" numFmtId="0" xfId="0" applyAlignment="1" applyBorder="1" applyFont="1">
      <alignment horizontal="left" readingOrder="0" shrinkToFit="0" vertical="bottom" wrapText="1"/>
    </xf>
    <xf borderId="1" fillId="15" fontId="9" numFmtId="0" xfId="0" applyAlignment="1" applyBorder="1" applyFont="1">
      <alignment horizontal="center" readingOrder="0" shrinkToFit="0" vertical="bottom" wrapText="1"/>
    </xf>
    <xf borderId="1" fillId="15" fontId="43" numFmtId="0" xfId="0" applyAlignment="1" applyBorder="1" applyFont="1">
      <alignment horizontal="center" readingOrder="0" shrinkToFit="0" vertical="bottom" wrapText="1"/>
    </xf>
    <xf borderId="3" fillId="15" fontId="18" numFmtId="0" xfId="0" applyAlignment="1" applyBorder="1" applyFont="1">
      <alignment shrinkToFit="0" vertical="bottom" wrapText="0"/>
    </xf>
    <xf borderId="1" fillId="9" fontId="9" numFmtId="0" xfId="0" applyAlignment="1" applyBorder="1" applyFont="1">
      <alignment horizontal="center" readingOrder="0" vertical="bottom"/>
    </xf>
    <xf borderId="1" fillId="9" fontId="44" numFmtId="0" xfId="0" applyAlignment="1" applyBorder="1" applyFont="1">
      <alignment horizontal="left" readingOrder="0" shrinkToFit="0" vertical="bottom" wrapText="1"/>
    </xf>
    <xf borderId="1" fillId="9" fontId="44" numFmtId="0" xfId="0" applyAlignment="1" applyBorder="1" applyFont="1">
      <alignment horizontal="center" readingOrder="0" shrinkToFit="0" vertical="bottom" wrapText="1"/>
    </xf>
    <xf borderId="4" fillId="9" fontId="18" numFmtId="0" xfId="0" applyAlignment="1" applyBorder="1" applyFont="1">
      <alignment shrinkToFit="0" vertical="bottom" wrapText="0"/>
    </xf>
    <xf borderId="0" fillId="0" fontId="9" numFmtId="0" xfId="0" applyAlignment="1" applyFont="1">
      <alignment horizontal="left" shrinkToFit="0" vertical="bottom" wrapText="0"/>
    </xf>
    <xf borderId="0" fillId="9" fontId="18" numFmtId="0" xfId="0" applyAlignment="1" applyFont="1">
      <alignment horizontal="center" readingOrder="0" shrinkToFit="0" vertical="bottom" wrapText="1"/>
    </xf>
    <xf borderId="5" fillId="9" fontId="18" numFmtId="0" xfId="0" applyAlignment="1" applyBorder="1" applyFont="1">
      <alignment horizontal="center" readingOrder="0" shrinkToFit="0" vertical="bottom" wrapText="1"/>
    </xf>
    <xf borderId="1" fillId="9" fontId="45" numFmtId="0" xfId="0" applyAlignment="1" applyBorder="1" applyFont="1">
      <alignment horizontal="center" readingOrder="0" shrinkToFit="0" vertical="bottom" wrapText="1"/>
    </xf>
    <xf borderId="1" fillId="0" fontId="46" numFmtId="0" xfId="0" applyAlignment="1" applyBorder="1" applyFont="1">
      <alignment horizontal="center" readingOrder="0" shrinkToFit="0" vertical="bottom" wrapText="1"/>
    </xf>
    <xf borderId="0" fillId="9" fontId="45" numFmtId="0" xfId="0" applyAlignment="1" applyFont="1">
      <alignment horizontal="center" readingOrder="0" shrinkToFit="0" vertical="bottom" wrapText="1"/>
    </xf>
    <xf borderId="0" fillId="9" fontId="47" numFmtId="0" xfId="0" applyAlignment="1" applyFont="1">
      <alignment horizontal="center" readingOrder="0" shrinkToFit="0" vertical="bottom" wrapText="1"/>
    </xf>
    <xf borderId="1" fillId="0" fontId="48" numFmtId="0" xfId="0" applyAlignment="1" applyBorder="1" applyFont="1">
      <alignment horizontal="center" readingOrder="0" shrinkToFit="0" vertical="bottom" wrapText="1"/>
    </xf>
    <xf borderId="0" fillId="9" fontId="9" numFmtId="0" xfId="0" applyAlignment="1" applyFont="1">
      <alignment horizontal="left" readingOrder="0" shrinkToFit="0" vertical="bottom" wrapText="1"/>
    </xf>
    <xf borderId="1" fillId="9" fontId="45" numFmtId="0" xfId="0" applyAlignment="1" applyBorder="1" applyFont="1">
      <alignment horizontal="left" readingOrder="0" shrinkToFit="0" vertical="bottom" wrapText="1"/>
    </xf>
    <xf borderId="0" fillId="9" fontId="45" numFmtId="0" xfId="0" applyAlignment="1" applyFont="1">
      <alignment horizontal="left" readingOrder="0" shrinkToFit="0" vertical="bottom" wrapText="1"/>
    </xf>
    <xf borderId="1" fillId="0" fontId="49" numFmtId="0" xfId="0" applyAlignment="1" applyBorder="1" applyFont="1">
      <alignment horizontal="center" readingOrder="0" vertical="bottom"/>
    </xf>
    <xf borderId="1" fillId="0" fontId="49" numFmtId="0" xfId="0" applyAlignment="1" applyBorder="1" applyFont="1">
      <alignment horizontal="left" readingOrder="0" shrinkToFit="0" vertical="bottom" wrapText="1"/>
    </xf>
    <xf borderId="1" fillId="0" fontId="49" numFmtId="0" xfId="0" applyAlignment="1" applyBorder="1" applyFont="1">
      <alignment horizontal="center" readingOrder="0" shrinkToFit="0" vertical="bottom" wrapText="1"/>
    </xf>
    <xf borderId="1" fillId="0" fontId="50" numFmtId="0" xfId="0" applyAlignment="1" applyBorder="1" applyFont="1">
      <alignment horizontal="left" readingOrder="0" shrinkToFit="0" vertical="bottom" wrapText="1"/>
    </xf>
    <xf borderId="1" fillId="10" fontId="49" numFmtId="0" xfId="0" applyAlignment="1" applyBorder="1" applyFont="1">
      <alignment horizontal="center" readingOrder="0" shrinkToFit="0" vertical="bottom" wrapText="1"/>
    </xf>
    <xf borderId="1" fillId="9" fontId="49" numFmtId="0" xfId="0" applyAlignment="1" applyBorder="1" applyFont="1">
      <alignment horizontal="left" readingOrder="0" shrinkToFit="0" vertical="bottom" wrapText="1"/>
    </xf>
    <xf borderId="1" fillId="0" fontId="51" numFmtId="0" xfId="0" applyAlignment="1" applyBorder="1" applyFont="1">
      <alignment horizontal="center" readingOrder="0" shrinkToFit="0" vertical="bottom" wrapText="1"/>
    </xf>
    <xf borderId="1" fillId="9" fontId="49" numFmtId="0" xfId="0" applyAlignment="1" applyBorder="1" applyFont="1">
      <alignment horizontal="center" readingOrder="0" shrinkToFit="0" vertical="bottom" wrapText="1"/>
    </xf>
    <xf borderId="1" fillId="9" fontId="52" numFmtId="0" xfId="0" applyAlignment="1" applyBorder="1" applyFont="1">
      <alignment horizontal="left" readingOrder="0" shrinkToFit="0" vertical="bottom" wrapText="1"/>
    </xf>
    <xf borderId="1" fillId="0" fontId="53" numFmtId="0" xfId="0" applyAlignment="1" applyBorder="1" applyFont="1">
      <alignment horizontal="center" readingOrder="0" shrinkToFit="0" vertical="bottom" wrapText="1"/>
    </xf>
    <xf borderId="1" fillId="10" fontId="49" numFmtId="0" xfId="0" applyAlignment="1" applyBorder="1" applyFont="1">
      <alignment horizontal="left" readingOrder="0" shrinkToFit="0" vertical="bottom" wrapText="1"/>
    </xf>
    <xf borderId="0" fillId="9" fontId="52" numFmtId="0" xfId="0" applyAlignment="1" applyFont="1">
      <alignment horizontal="left" readingOrder="0" shrinkToFit="0" vertical="bottom" wrapText="1"/>
    </xf>
    <xf borderId="0" fillId="9" fontId="52" numFmtId="0" xfId="0" applyAlignment="1" applyFont="1">
      <alignment horizontal="center" readingOrder="0" shrinkToFit="0" vertical="bottom" wrapText="1"/>
    </xf>
    <xf borderId="0" fillId="9" fontId="49" numFmtId="0" xfId="0" applyAlignment="1" applyFont="1">
      <alignment horizontal="left" readingOrder="0" shrinkToFit="0" vertical="bottom" wrapText="1"/>
    </xf>
    <xf borderId="1" fillId="0" fontId="49" numFmtId="0" xfId="0" applyAlignment="1" applyBorder="1" applyFont="1">
      <alignment horizontal="center" readingOrder="0" shrinkToFit="0" vertical="bottom" wrapText="0"/>
    </xf>
    <xf borderId="0" fillId="0" fontId="49" numFmtId="0" xfId="0" applyAlignment="1" applyFont="1">
      <alignment horizontal="left" readingOrder="0" shrinkToFit="0" vertical="bottom" wrapText="1"/>
    </xf>
    <xf borderId="1" fillId="0" fontId="49" numFmtId="0" xfId="0" applyAlignment="1" applyBorder="1" applyFont="1">
      <alignment horizontal="right" readingOrder="0" shrinkToFit="0" vertical="bottom" wrapText="1"/>
    </xf>
    <xf borderId="0" fillId="0" fontId="18" numFmtId="0" xfId="0" applyAlignment="1" applyFont="1">
      <alignment shrinkToFit="0" vertical="top" wrapText="0"/>
    </xf>
    <xf borderId="0" fillId="0" fontId="49" numFmtId="0" xfId="0" applyAlignment="1" applyFont="1">
      <alignment horizontal="left" readingOrder="0" shrinkToFit="0" vertical="top" wrapText="1"/>
    </xf>
    <xf borderId="0" fillId="0" fontId="18" numFmtId="0" xfId="0" applyAlignment="1" applyFont="1">
      <alignment shrinkToFit="0" vertical="top" wrapText="1"/>
    </xf>
    <xf borderId="2" fillId="0" fontId="49" numFmtId="0" xfId="0" applyAlignment="1" applyBorder="1" applyFont="1">
      <alignment horizontal="center" readingOrder="0" shrinkToFit="0" vertical="top" wrapText="1"/>
    </xf>
    <xf borderId="2" fillId="10" fontId="49" numFmtId="0" xfId="0" applyAlignment="1" applyBorder="1" applyFont="1">
      <alignment horizontal="left" readingOrder="0" shrinkToFit="0" vertical="top" wrapText="1"/>
    </xf>
    <xf borderId="0" fillId="0" fontId="54" numFmtId="0" xfId="0" applyAlignment="1" applyFont="1">
      <alignment horizontal="left" readingOrder="0" shrinkToFit="0" vertical="top" wrapText="1"/>
    </xf>
    <xf borderId="2" fillId="0" fontId="49" numFmtId="0" xfId="0" applyAlignment="1" applyBorder="1" applyFont="1">
      <alignment horizontal="right" readingOrder="0" shrinkToFit="0" vertical="top" wrapText="1"/>
    </xf>
    <xf borderId="0" fillId="0" fontId="18" numFmtId="0" xfId="0" applyAlignment="1" applyFont="1">
      <alignment shrinkToFit="0" vertical="top" wrapText="1"/>
    </xf>
    <xf borderId="2" fillId="0" fontId="55" numFmtId="0" xfId="0" applyAlignment="1" applyBorder="1" applyFont="1">
      <alignment horizontal="left" readingOrder="0" shrinkToFit="0" vertical="top" wrapText="1"/>
    </xf>
    <xf borderId="2" fillId="0" fontId="49" numFmtId="0" xfId="0" applyAlignment="1" applyBorder="1" applyFont="1">
      <alignment horizontal="left" readingOrder="0" shrinkToFit="0" vertical="top" wrapText="1"/>
    </xf>
    <xf borderId="2" fillId="0" fontId="18" numFmtId="0" xfId="0" applyAlignment="1" applyBorder="1" applyFont="1">
      <alignment shrinkToFit="0" vertical="top" wrapText="1"/>
    </xf>
    <xf borderId="0" fillId="0" fontId="18" numFmtId="0" xfId="0" applyAlignment="1" applyFont="1">
      <alignment shrinkToFit="0" vertical="top" wrapText="0"/>
    </xf>
    <xf borderId="2" fillId="0" fontId="49" numFmtId="0" xfId="0" applyAlignment="1" applyBorder="1" applyFont="1">
      <alignment horizontal="center" readingOrder="0" shrinkToFit="0" vertical="bottom" wrapText="1"/>
    </xf>
    <xf borderId="2" fillId="0" fontId="49" numFmtId="0" xfId="0" applyAlignment="1" applyBorder="1" applyFont="1">
      <alignment horizontal="right" readingOrder="0" shrinkToFit="0" vertical="bottom" wrapText="1"/>
    </xf>
    <xf borderId="0" fillId="0" fontId="56" numFmtId="0" xfId="0" applyAlignment="1" applyFont="1">
      <alignment horizontal="left" readingOrder="0" shrinkToFit="0" vertical="bottom" wrapText="1"/>
    </xf>
    <xf borderId="2" fillId="0" fontId="57" numFmtId="0" xfId="0" applyAlignment="1" applyBorder="1" applyFont="1">
      <alignment horizontal="left" readingOrder="0" shrinkToFit="0" vertical="bottom" wrapText="1"/>
    </xf>
    <xf borderId="2" fillId="0" fontId="49" numFmtId="0" xfId="0" applyAlignment="1" applyBorder="1" applyFont="1">
      <alignment horizontal="left" readingOrder="0" shrinkToFit="0" vertical="bottom" wrapText="1"/>
    </xf>
    <xf borderId="2" fillId="0" fontId="18" numFmtId="0" xfId="0" applyAlignment="1" applyBorder="1" applyFont="1">
      <alignment shrinkToFit="0" vertical="bottom" wrapText="1"/>
    </xf>
    <xf borderId="1" fillId="0" fontId="18" numFmtId="11" xfId="0" applyAlignment="1" applyBorder="1" applyFont="1" applyNumberFormat="1">
      <alignment horizontal="right" readingOrder="0" shrinkToFit="0" vertical="bottom" wrapText="1"/>
    </xf>
    <xf borderId="1" fillId="0" fontId="58" numFmtId="0" xfId="0" applyAlignment="1" applyBorder="1" applyFont="1">
      <alignment horizontal="center" readingOrder="0" shrinkToFit="0" vertical="bottom" wrapText="1"/>
    </xf>
    <xf borderId="1" fillId="0" fontId="59" numFmtId="0" xfId="0" applyAlignment="1" applyBorder="1" applyFont="1">
      <alignment horizontal="center" readingOrder="0" vertical="bottom"/>
    </xf>
    <xf borderId="1" fillId="9" fontId="60" numFmtId="0" xfId="0" applyAlignment="1" applyBorder="1" applyFont="1">
      <alignment horizontal="left" readingOrder="0" shrinkToFit="0" vertical="bottom" wrapText="1"/>
    </xf>
    <xf borderId="0" fillId="0" fontId="61" numFmtId="0" xfId="0" applyAlignment="1" applyFont="1">
      <alignment horizontal="center" readingOrder="0" shrinkToFit="0" vertical="bottom" wrapText="1"/>
    </xf>
    <xf borderId="1" fillId="0" fontId="62" numFmtId="0" xfId="0" applyAlignment="1" applyBorder="1" applyFont="1">
      <alignment horizontal="center" readingOrder="0" shrinkToFit="0" vertical="bottom" wrapText="1"/>
    </xf>
    <xf borderId="1" fillId="9" fontId="47" numFmtId="0" xfId="0" applyAlignment="1" applyBorder="1" applyFont="1">
      <alignment horizontal="left" readingOrder="0" shrinkToFit="0" vertical="bottom" wrapText="1"/>
    </xf>
    <xf borderId="0" fillId="0" fontId="63" numFmtId="0" xfId="0" applyAlignment="1" applyFont="1">
      <alignment horizontal="left" readingOrder="0" shrinkToFit="0" vertical="bottom" wrapText="1"/>
    </xf>
    <xf borderId="0" fillId="0" fontId="64" numFmtId="0" xfId="0" applyAlignment="1" applyFont="1">
      <alignment horizontal="left" readingOrder="0" shrinkToFit="0" vertical="bottom" wrapText="1"/>
    </xf>
    <xf borderId="0" fillId="0" fontId="65" numFmtId="0" xfId="0" applyAlignment="1" applyFont="1">
      <alignment horizontal="left" readingOrder="0" shrinkToFit="0" vertical="bottom" wrapText="1"/>
    </xf>
    <xf borderId="0" fillId="0" fontId="25" numFmtId="0" xfId="0" applyAlignment="1" applyFont="1">
      <alignment horizontal="left" readingOrder="0" shrinkToFit="0" vertical="bottom" wrapText="1"/>
    </xf>
    <xf borderId="1" fillId="0" fontId="66" numFmtId="0" xfId="0" applyAlignment="1" applyBorder="1" applyFont="1">
      <alignment horizontal="left" readingOrder="0" shrinkToFit="0" vertical="bottom" wrapText="1"/>
    </xf>
    <xf borderId="0" fillId="9" fontId="47" numFmtId="0" xfId="0" applyAlignment="1" applyFont="1">
      <alignment horizontal="left" readingOrder="0" shrinkToFit="0" vertical="bottom" wrapText="1"/>
    </xf>
    <xf borderId="0" fillId="0" fontId="67" numFmtId="0" xfId="0" applyAlignment="1" applyFont="1">
      <alignment horizontal="left" readingOrder="0" shrinkToFit="0" vertical="bottom" wrapText="1"/>
    </xf>
    <xf borderId="0" fillId="0" fontId="68" numFmtId="0" xfId="0" applyAlignment="1" applyFont="1">
      <alignment horizontal="left" readingOrder="0" shrinkToFit="0" vertical="bottom" wrapText="1"/>
    </xf>
    <xf borderId="0" fillId="0" fontId="19" numFmtId="0" xfId="0" applyAlignment="1" applyFont="1">
      <alignment horizontal="left" readingOrder="0" shrinkToFit="0" vertical="top" wrapText="1"/>
    </xf>
    <xf borderId="0" fillId="9" fontId="19" numFmtId="0" xfId="0" applyAlignment="1" applyFont="1">
      <alignment horizontal="left" readingOrder="0" shrinkToFit="0" vertical="top" wrapText="1"/>
    </xf>
    <xf borderId="0" fillId="0" fontId="69" numFmtId="0" xfId="0" applyAlignment="1" applyFont="1">
      <alignment horizontal="left" readingOrder="0" shrinkToFit="0" vertical="bottom" wrapText="1"/>
    </xf>
    <xf borderId="0" fillId="9" fontId="47" numFmtId="0" xfId="0" applyAlignment="1" applyFont="1">
      <alignment horizontal="left" readingOrder="0" shrinkToFit="0" vertical="top" wrapText="1"/>
    </xf>
    <xf borderId="1" fillId="0" fontId="70" numFmtId="0" xfId="0" applyAlignment="1" applyBorder="1" applyFont="1">
      <alignment horizontal="left" readingOrder="0" shrinkToFit="0" vertical="bottom" wrapText="1"/>
    </xf>
    <xf borderId="1" fillId="9" fontId="47" numFmtId="0" xfId="0" applyAlignment="1" applyBorder="1" applyFont="1">
      <alignment horizontal="center" readingOrder="0" shrinkToFit="0" vertical="bottom" wrapText="1"/>
    </xf>
    <xf borderId="1" fillId="0" fontId="14" numFmtId="0" xfId="0" applyAlignment="1" applyBorder="1" applyFont="1">
      <alignment horizontal="center" readingOrder="0" shrinkToFit="0" vertical="center" wrapText="1"/>
    </xf>
    <xf borderId="0" fillId="0" fontId="18" numFmtId="0" xfId="0" applyAlignment="1" applyFont="1">
      <alignment readingOrder="0" shrinkToFit="0" vertical="bottom" wrapText="0"/>
    </xf>
    <xf borderId="1" fillId="0" fontId="71" numFmtId="0" xfId="0" applyAlignment="1" applyBorder="1" applyFont="1">
      <alignment horizontal="left" readingOrder="0" shrinkToFit="0" vertical="bottom" wrapText="1"/>
    </xf>
    <xf borderId="1" fillId="11" fontId="18" numFmtId="0" xfId="0" applyAlignment="1" applyBorder="1" applyFont="1">
      <alignment readingOrder="0" shrinkToFit="0" vertical="bottom" wrapText="1"/>
    </xf>
    <xf borderId="1" fillId="0" fontId="72" numFmtId="0" xfId="0" applyAlignment="1" applyBorder="1" applyFont="1">
      <alignment horizontal="center" readingOrder="0" shrinkToFit="0" vertical="bottom" wrapText="1"/>
    </xf>
    <xf borderId="1" fillId="0" fontId="18" numFmtId="0" xfId="0" applyAlignment="1" applyBorder="1" applyFont="1">
      <alignment readingOrder="0" shrinkToFit="0" vertical="bottom" wrapText="1"/>
    </xf>
    <xf borderId="0" fillId="0" fontId="73" numFmtId="0" xfId="0" applyAlignment="1" applyFont="1">
      <alignment horizontal="left" readingOrder="0" shrinkToFit="0" vertical="top" wrapText="1"/>
    </xf>
    <xf borderId="0" fillId="0" fontId="18" numFmtId="0" xfId="0" applyAlignment="1" applyFont="1">
      <alignment horizontal="center" readingOrder="0" shrinkToFit="0" vertical="bottom" wrapText="1"/>
    </xf>
    <xf borderId="1" fillId="0" fontId="74" numFmtId="0" xfId="0" applyAlignment="1" applyBorder="1" applyFont="1">
      <alignment horizontal="left" readingOrder="0" shrinkToFit="0" vertical="bottom" wrapText="1"/>
    </xf>
    <xf borderId="1" fillId="9" fontId="19" numFmtId="0" xfId="0" applyAlignment="1" applyBorder="1" applyFont="1">
      <alignment horizontal="left" readingOrder="0" shrinkToFit="0" vertical="top" wrapText="1"/>
    </xf>
    <xf borderId="0" fillId="0" fontId="2" numFmtId="0" xfId="0" applyAlignment="1" applyFont="1">
      <alignment readingOrder="0"/>
    </xf>
    <xf borderId="1" fillId="2" fontId="1" numFmtId="0" xfId="0" applyAlignment="1" applyBorder="1" applyFont="1">
      <alignment vertical="bottom"/>
    </xf>
    <xf borderId="1" fillId="2" fontId="1" numFmtId="0" xfId="0" applyAlignment="1" applyBorder="1" applyFont="1">
      <alignment horizontal="center" vertical="bottom"/>
    </xf>
    <xf borderId="1" fillId="2" fontId="1" numFmtId="0" xfId="0" applyAlignment="1" applyBorder="1" applyFont="1">
      <alignment horizontal="center" readingOrder="0" vertical="bottom"/>
    </xf>
    <xf borderId="0" fillId="3" fontId="75" numFmtId="0" xfId="0" applyAlignment="1" applyFont="1">
      <alignment readingOrder="0"/>
    </xf>
    <xf borderId="1" fillId="0" fontId="7" numFmtId="0" xfId="0" applyAlignment="1" applyBorder="1" applyFont="1">
      <alignment vertical="bottom"/>
    </xf>
    <xf borderId="1" fillId="0" fontId="6" numFmtId="0" xfId="0" applyBorder="1" applyFont="1"/>
    <xf borderId="0" fillId="0" fontId="2" numFmtId="0" xfId="0" applyAlignment="1" applyFont="1">
      <alignment horizontal="right" readingOrder="0"/>
    </xf>
    <xf borderId="0" fillId="0" fontId="6" numFmtId="0" xfId="0" applyAlignment="1" applyFont="1">
      <alignment horizontal="right" readingOrder="0"/>
    </xf>
    <xf borderId="0" fillId="3" fontId="6" numFmtId="0" xfId="0" applyAlignment="1" applyFont="1">
      <alignment readingOrder="0"/>
    </xf>
    <xf borderId="0" fillId="3" fontId="2" numFmtId="0" xfId="0" applyAlignment="1" applyFont="1">
      <alignment horizontal="right" readingOrder="0"/>
    </xf>
    <xf borderId="1" fillId="5" fontId="7" numFmtId="0" xfId="0" applyAlignment="1" applyBorder="1" applyFont="1">
      <alignment vertical="bottom"/>
    </xf>
    <xf borderId="1" fillId="5" fontId="6" numFmtId="0" xfId="0" applyBorder="1" applyFont="1"/>
    <xf borderId="1" fillId="0" fontId="76" numFmtId="0" xfId="0" applyAlignment="1" applyBorder="1" applyFont="1">
      <alignment vertical="bottom"/>
    </xf>
    <xf borderId="1" fillId="0" fontId="7" numFmtId="0" xfId="0" applyAlignment="1" applyBorder="1" applyFont="1">
      <alignment readingOrder="0" vertical="bottom"/>
    </xf>
    <xf borderId="1" fillId="16" fontId="3" numFmtId="0" xfId="0" applyAlignment="1" applyBorder="1" applyFill="1" applyFont="1">
      <alignment readingOrder="0" vertical="bottom"/>
    </xf>
    <xf borderId="1" fillId="16" fontId="6" numFmtId="0" xfId="0" applyAlignment="1" applyBorder="1" applyFont="1">
      <alignment readingOrder="0"/>
    </xf>
    <xf borderId="1" fillId="16" fontId="7" numFmtId="0" xfId="0" applyAlignment="1" applyBorder="1" applyFont="1">
      <alignment readingOrder="0" vertical="bottom"/>
    </xf>
    <xf borderId="0" fillId="0" fontId="77" numFmtId="0" xfId="0" applyAlignment="1" applyFont="1">
      <alignment readingOrder="0" vertical="bottom"/>
    </xf>
    <xf borderId="0" fillId="0" fontId="77" numFmtId="0" xfId="0" applyAlignment="1" applyFont="1">
      <alignment vertical="bottom"/>
    </xf>
    <xf borderId="0" fillId="0" fontId="77" numFmtId="0" xfId="0" applyAlignment="1" applyFont="1">
      <alignment horizontal="right" readingOrder="0" vertical="bottom"/>
    </xf>
    <xf borderId="0" fillId="0" fontId="78" numFmtId="0" xfId="0" applyAlignment="1" applyFont="1">
      <alignment vertical="bottom"/>
    </xf>
    <xf borderId="0" fillId="0" fontId="78" numFmtId="0" xfId="0" applyAlignment="1" applyFont="1">
      <alignment horizontal="right" readingOrder="0" vertical="bottom"/>
    </xf>
    <xf borderId="0" fillId="0" fontId="18" numFmtId="0" xfId="0" applyAlignment="1" applyFont="1">
      <alignment readingOrder="0" vertical="bottom"/>
    </xf>
    <xf borderId="0" fillId="0" fontId="18" numFmtId="0" xfId="0" applyAlignment="1" applyFont="1">
      <alignment horizontal="right" readingOrder="0" vertical="bottom"/>
    </xf>
    <xf borderId="0" fillId="0" fontId="7" numFmtId="0" xfId="0" applyAlignment="1" applyFont="1">
      <alignment horizontal="right" readingOrder="0" vertical="bottom"/>
    </xf>
    <xf borderId="0" fillId="0" fontId="7" numFmtId="0" xfId="0" applyAlignment="1" applyFont="1">
      <alignment readingOrder="0" vertical="bottom"/>
    </xf>
    <xf borderId="0" fillId="0" fontId="7" numFmtId="0" xfId="0" applyAlignment="1" applyFont="1">
      <alignment horizontal="right" vertical="bottom"/>
    </xf>
    <xf borderId="0" fillId="0" fontId="7" numFmtId="10" xfId="0" applyAlignment="1" applyFont="1" applyNumberFormat="1">
      <alignment vertical="bottom"/>
    </xf>
    <xf borderId="1" fillId="0" fontId="77" numFmtId="0" xfId="0" applyAlignment="1" applyBorder="1" applyFont="1">
      <alignment horizontal="center" vertical="bottom"/>
    </xf>
    <xf borderId="1" fillId="0" fontId="77" numFmtId="0" xfId="0" applyAlignment="1" applyBorder="1" applyFont="1">
      <alignment horizontal="center" readingOrder="0" vertical="bottom"/>
    </xf>
    <xf borderId="1" fillId="0" fontId="7" numFmtId="0" xfId="0" applyAlignment="1" applyBorder="1" applyFont="1">
      <alignment horizontal="center" vertical="bottom"/>
    </xf>
    <xf borderId="1" fillId="0" fontId="7" numFmtId="0" xfId="0" applyAlignment="1" applyBorder="1" applyFont="1">
      <alignment horizontal="center" readingOrder="0" vertical="bottom"/>
    </xf>
    <xf borderId="1" fillId="5" fontId="7" numFmtId="0" xfId="0" applyAlignment="1" applyBorder="1" applyFont="1">
      <alignment horizontal="center" vertical="bottom"/>
    </xf>
    <xf borderId="1" fillId="5" fontId="7" numFmtId="0" xfId="0" applyAlignment="1" applyBorder="1" applyFont="1">
      <alignment horizontal="center" readingOrder="0" vertical="bottom"/>
    </xf>
    <xf borderId="1" fillId="5" fontId="7" numFmtId="0" xfId="0" applyAlignment="1" applyBorder="1" applyFont="1">
      <alignment horizontal="center" readingOrder="0" shrinkToFit="0" vertical="bottom" wrapText="1"/>
    </xf>
    <xf borderId="0" fillId="0" fontId="77" numFmtId="10" xfId="0" applyAlignment="1" applyFont="1" applyNumberFormat="1">
      <alignment vertical="bottom"/>
    </xf>
    <xf borderId="1" fillId="0" fontId="7" numFmtId="0" xfId="0" applyAlignment="1" applyBorder="1" applyFont="1">
      <alignment horizontal="center" readingOrder="0" shrinkToFit="0" vertical="bottom" wrapText="1"/>
    </xf>
    <xf borderId="1" fillId="0" fontId="2" numFmtId="0" xfId="0" applyAlignment="1" applyBorder="1" applyFont="1">
      <alignment horizontal="center" readingOrder="0"/>
    </xf>
    <xf borderId="1" fillId="0" fontId="6" numFmtId="0" xfId="0" applyAlignment="1" applyBorder="1" applyFont="1">
      <alignment readingOrder="0"/>
    </xf>
    <xf borderId="1" fillId="0" fontId="79" numFmtId="0" xfId="0" applyAlignment="1" applyBorder="1" applyFont="1">
      <alignment readingOrder="0" shrinkToFit="0" wrapText="1"/>
    </xf>
    <xf borderId="1" fillId="9" fontId="6" numFmtId="0" xfId="0" applyBorder="1" applyFont="1"/>
    <xf borderId="1" fillId="7" fontId="6" numFmtId="0" xfId="0" applyAlignment="1" applyBorder="1" applyFont="1">
      <alignment readingOrder="0"/>
    </xf>
    <xf borderId="1" fillId="4" fontId="80" numFmtId="0" xfId="0" applyAlignment="1" applyBorder="1" applyFont="1">
      <alignment horizontal="center" shrinkToFit="0" wrapText="1"/>
    </xf>
    <xf borderId="6" fillId="4" fontId="80" numFmtId="0" xfId="0" applyAlignment="1" applyBorder="1" applyFont="1">
      <alignment horizontal="center" shrinkToFit="0" wrapText="1"/>
    </xf>
    <xf borderId="7" fillId="4" fontId="80" numFmtId="0" xfId="0" applyAlignment="1" applyBorder="1" applyFont="1">
      <alignment horizontal="center" shrinkToFit="0" wrapText="1"/>
    </xf>
    <xf borderId="1" fillId="4" fontId="81" numFmtId="0" xfId="0" applyAlignment="1" applyBorder="1" applyFont="1">
      <alignment horizontal="center" shrinkToFit="0" wrapText="1"/>
    </xf>
    <xf borderId="1" fillId="0" fontId="82" numFmtId="0" xfId="0" applyBorder="1" applyFont="1"/>
    <xf borderId="1" fillId="0" fontId="79" numFmtId="0" xfId="0" applyAlignment="1" applyBorder="1" applyFont="1">
      <alignment shrinkToFit="0" wrapText="1"/>
    </xf>
    <xf borderId="1" fillId="0" fontId="79" numFmtId="0" xfId="0" applyAlignment="1" applyBorder="1" applyFont="1">
      <alignment horizontal="center"/>
    </xf>
    <xf borderId="1" fillId="0" fontId="79" numFmtId="0" xfId="0" applyBorder="1" applyFont="1"/>
    <xf borderId="0" fillId="0" fontId="82" numFmtId="0" xfId="0" applyFont="1"/>
    <xf borderId="0" fillId="0" fontId="79"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lapor.go.id/" TargetMode="External"/><Relationship Id="rId2" Type="http://schemas.openxmlformats.org/officeDocument/2006/relationships/hyperlink" Target="http://s.si/" TargetMode="External"/><Relationship Id="rId3" Type="http://schemas.openxmlformats.org/officeDocument/2006/relationships/hyperlink" Target="https://kabbandungv2.sakti112.id/" TargetMode="External"/><Relationship Id="rId4" Type="http://schemas.openxmlformats.org/officeDocument/2006/relationships/hyperlink" Target="https://simasda.bandungkab.go.id/"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90" Type="http://schemas.openxmlformats.org/officeDocument/2006/relationships/hyperlink" Target="https://docs.google.com/spreadsheets/d/1cLZrBaEOapwKOQE9usRXCTW93SFEy7Xj/edit?usp=sharing&amp;ouid=112536090230720318461&amp;rtpof=true&amp;sd=true" TargetMode="External"/><Relationship Id="rId194" Type="http://schemas.openxmlformats.org/officeDocument/2006/relationships/hyperlink" Target="https://drive.google.com/file/d/1u61izoWwYbUe6cGBAMpMmUf3-x1vtXk9/view?usp=drive_link" TargetMode="External"/><Relationship Id="rId193" Type="http://schemas.openxmlformats.org/officeDocument/2006/relationships/hyperlink" Target="http://sipolan.bandungkab.go.id/" TargetMode="External"/><Relationship Id="rId192" Type="http://schemas.openxmlformats.org/officeDocument/2006/relationships/hyperlink" Target="https://drive.google.com/drive/folders/1b_wlUHQifUNUdZcrhKipNlD0R6COD8yt?usp=sharing" TargetMode="External"/><Relationship Id="rId191" Type="http://schemas.openxmlformats.org/officeDocument/2006/relationships/hyperlink" Target="https://simluh.pertanian.go.id/" TargetMode="External"/><Relationship Id="rId187" Type="http://schemas.openxmlformats.org/officeDocument/2006/relationships/hyperlink" Target="http://tanginas.web.id/" TargetMode="External"/><Relationship Id="rId186" Type="http://schemas.openxmlformats.org/officeDocument/2006/relationships/hyperlink" Target="http://sifortuna.tanamanpangan.pertanian.go.id/" TargetMode="External"/><Relationship Id="rId185" Type="http://schemas.openxmlformats.org/officeDocument/2006/relationships/hyperlink" Target="https://docs.google.com/spreadsheets/d/1c7RrRajyzrp7pLX7n6Z-t8K0gRXiw69i/edit?usp=sharing&amp;ouid=112536090230720318461&amp;rtpof=true&amp;sd=true" TargetMode="External"/><Relationship Id="rId184" Type="http://schemas.openxmlformats.org/officeDocument/2006/relationships/hyperlink" Target="https://isikhnas.pertanian.go.id/" TargetMode="External"/><Relationship Id="rId189" Type="http://schemas.openxmlformats.org/officeDocument/2006/relationships/hyperlink" Target="https://erdkk25.pertanian.go.id/" TargetMode="External"/><Relationship Id="rId188" Type="http://schemas.openxmlformats.org/officeDocument/2006/relationships/hyperlink" Target="https://docs.google.com/spreadsheets/d/1cLC7YoJU_Mkyr5eJTL-fHfA0D-sQukvz/edit?usp=sharing&amp;ouid=112536090230720318461&amp;rtpof=true&amp;sd=true" TargetMode="External"/><Relationship Id="rId183" Type="http://schemas.openxmlformats.org/officeDocument/2006/relationships/hyperlink" Target="https://docs.google.com/document/d/1c-7PUNKaiuUiy_admWwX1iClC1w9eJRB/edit?usp=sharing&amp;ouid=112536090230720318461&amp;rtpof=true&amp;sd=true" TargetMode="External"/><Relationship Id="rId182" Type="http://schemas.openxmlformats.org/officeDocument/2006/relationships/hyperlink" Target="https://anterin.bandungkab.go.id/" TargetMode="External"/><Relationship Id="rId181" Type="http://schemas.openxmlformats.org/officeDocument/2006/relationships/hyperlink" Target="https://docs.google.com/document/d/1c-7PUNKaiuUiy_admWwX1iClC1w9eJRB/edit?usp=sharing&amp;ouid=112536090230720318461&amp;rtpof=true&amp;sd=true" TargetMode="External"/><Relationship Id="rId180" Type="http://schemas.openxmlformats.org/officeDocument/2006/relationships/hyperlink" Target="https://bit.ly/e-Form_KlinikKemasan" TargetMode="External"/><Relationship Id="rId176" Type="http://schemas.openxmlformats.org/officeDocument/2006/relationships/hyperlink" Target="https://sppirt.pom.go.id/" TargetMode="External"/><Relationship Id="rId297" Type="http://schemas.openxmlformats.org/officeDocument/2006/relationships/hyperlink" Target="https://drive.google.com/file/d/1OVv4yCmrgdrfLSeSS5ewogAtczV2aIlF/view?usp=sharing" TargetMode="External"/><Relationship Id="rId175" Type="http://schemas.openxmlformats.org/officeDocument/2006/relationships/hyperlink" Target="https://drive.google.com/drive/folders/1oPEt1J2AWFVNQ79rhSqRw_lGHX7OK1cY?usp=sharing" TargetMode="External"/><Relationship Id="rId296" Type="http://schemas.openxmlformats.org/officeDocument/2006/relationships/hyperlink" Target="https://docs.google.com/forms/d/e/1FAIpQLScgtcVM1HIFI6Kb84RdU-NURHvy6qz13ikmHRCejwiPs-g2KQ/viewform?pli=1" TargetMode="External"/><Relationship Id="rId174" Type="http://schemas.openxmlformats.org/officeDocument/2006/relationships/hyperlink" Target="https://trafficintelligence.mkpmobile.com/signin" TargetMode="External"/><Relationship Id="rId295" Type="http://schemas.openxmlformats.org/officeDocument/2006/relationships/hyperlink" Target="https://drive.google.com/file/d/1Ytr1MO33D981VKk7RIXXUdXU9tmvqtIl/view?usp=sharing" TargetMode="External"/><Relationship Id="rId173" Type="http://schemas.openxmlformats.org/officeDocument/2006/relationships/hyperlink" Target="https://sipintaronline.bandungkab.go.id/login" TargetMode="External"/><Relationship Id="rId294" Type="http://schemas.openxmlformats.org/officeDocument/2006/relationships/hyperlink" Target="https://drive.google.com/file/d/1PXizS0lsGfzHef1oqj26L6YEq9Ht-TsF/view?usp=sharing" TargetMode="External"/><Relationship Id="rId179" Type="http://schemas.openxmlformats.org/officeDocument/2006/relationships/hyperlink" Target="https://drive.google.com/drive/folders/1mWuAv3LPGoimB6VqNXibmdR3ON58gIXk?usp=sharing" TargetMode="External"/><Relationship Id="rId178" Type="http://schemas.openxmlformats.org/officeDocument/2006/relationships/hyperlink" Target="https://drive.google.com/drive/folders/1Hv-aabWH6SdQnijaKN6NudJLF6wJW0IY?usp=sharing" TargetMode="External"/><Relationship Id="rId299" Type="http://schemas.openxmlformats.org/officeDocument/2006/relationships/hyperlink" Target="https://drive.google.com/file/d/1OVv4yCmrgdrfLSeSS5ewogAtczV2aIlF/view?usp=sharing" TargetMode="External"/><Relationship Id="rId177" Type="http://schemas.openxmlformats.org/officeDocument/2006/relationships/hyperlink" Target="https://www.dgip.go.id/" TargetMode="External"/><Relationship Id="rId298" Type="http://schemas.openxmlformats.org/officeDocument/2006/relationships/hyperlink" Target="https://play.google.com/store/apps/details?id=com.diskominfo.bpbd" TargetMode="External"/><Relationship Id="rId198" Type="http://schemas.openxmlformats.org/officeDocument/2006/relationships/hyperlink" Target="https://drive.google.com/file/d/1u61izoWwYbUe6cGBAMpMmUf3-x1vtXk9/view?usp=drive_link" TargetMode="External"/><Relationship Id="rId197" Type="http://schemas.openxmlformats.org/officeDocument/2006/relationships/hyperlink" Target="https://dispakan.bandungkab.go.id/video/" TargetMode="External"/><Relationship Id="rId196" Type="http://schemas.openxmlformats.org/officeDocument/2006/relationships/hyperlink" Target="https://drive.google.com/file/d/182s0vzlBXufYR4iNRbV-7MhRItTVludu/view?usp=drive_link" TargetMode="External"/><Relationship Id="rId195" Type="http://schemas.openxmlformats.org/officeDocument/2006/relationships/hyperlink" Target="https://sikandung.bandungkab.go.id/" TargetMode="External"/><Relationship Id="rId199" Type="http://schemas.openxmlformats.org/officeDocument/2006/relationships/hyperlink" Target="https://sip.bandungkab.go.id/portal/topic/fsva" TargetMode="External"/><Relationship Id="rId150" Type="http://schemas.openxmlformats.org/officeDocument/2006/relationships/hyperlink" Target="https://oss.go.id/" TargetMode="External"/><Relationship Id="rId271" Type="http://schemas.openxmlformats.org/officeDocument/2006/relationships/hyperlink" Target="https://drive.google.com/drive/folders/1psrMJUnyozjImYwLa6s5MSyj6ohEJYQO?usp=sharing" TargetMode="External"/><Relationship Id="rId392" Type="http://schemas.openxmlformats.org/officeDocument/2006/relationships/hyperlink" Target="https://simasda.bandungkab.go.id/" TargetMode="External"/><Relationship Id="rId270" Type="http://schemas.openxmlformats.org/officeDocument/2006/relationships/hyperlink" Target="https://drive.google.com/file/d/1CloKUh40TI8aJ_npp4ASJNSlnRVawVBn/view?usp=sharing" TargetMode="External"/><Relationship Id="rId391" Type="http://schemas.openxmlformats.org/officeDocument/2006/relationships/hyperlink" Target="https://e-sptpd.bandungkab.go.id/" TargetMode="External"/><Relationship Id="rId390" Type="http://schemas.openxmlformats.org/officeDocument/2006/relationships/hyperlink" Target="https://simaslahat.bandungkab.go.id/login" TargetMode="External"/><Relationship Id="rId1" Type="http://schemas.openxmlformats.org/officeDocument/2006/relationships/hyperlink" Target="https://lapor.go.id/" TargetMode="External"/><Relationship Id="rId2" Type="http://schemas.openxmlformats.org/officeDocument/2006/relationships/hyperlink" Target="http://s.si/" TargetMode="External"/><Relationship Id="rId3" Type="http://schemas.openxmlformats.org/officeDocument/2006/relationships/hyperlink" Target="https://play.google.com/store/apps/details?id=com.diskominfo.radiokandagabedas&amp;pcampaignid=web_share" TargetMode="External"/><Relationship Id="rId149" Type="http://schemas.openxmlformats.org/officeDocument/2006/relationships/hyperlink" Target="https://lapor.go.id/" TargetMode="External"/><Relationship Id="rId4" Type="http://schemas.openxmlformats.org/officeDocument/2006/relationships/hyperlink" Target="https://simasda.bandungkab.go.id/" TargetMode="External"/><Relationship Id="rId148" Type="http://schemas.openxmlformats.org/officeDocument/2006/relationships/hyperlink" Target="https://drive.google.com/file/d/1r3y4yoWaoByjuAovOlwVhpYcdVHWYZlA/view?usp=drive_link" TargetMode="External"/><Relationship Id="rId269" Type="http://schemas.openxmlformats.org/officeDocument/2006/relationships/hyperlink" Target="http://pbb-online.bandungkab.go.id/" TargetMode="External"/><Relationship Id="rId9" Type="http://schemas.openxmlformats.org/officeDocument/2006/relationships/hyperlink" Target="https://lapor.go.id/" TargetMode="External"/><Relationship Id="rId143" Type="http://schemas.openxmlformats.org/officeDocument/2006/relationships/hyperlink" Target="https://drive.google.com/file/d/1YdbXWdCS28ppql72phZoI1RvIMqiXeuL/view?usp=sharing" TargetMode="External"/><Relationship Id="rId264" Type="http://schemas.openxmlformats.org/officeDocument/2006/relationships/hyperlink" Target="https://e-penghapusanbmd.id/" TargetMode="External"/><Relationship Id="rId385" Type="http://schemas.openxmlformats.org/officeDocument/2006/relationships/hyperlink" Target="http://persediaanbmd.bandungkab.go.id/" TargetMode="External"/><Relationship Id="rId142" Type="http://schemas.openxmlformats.org/officeDocument/2006/relationships/hyperlink" Target="http://sipades.id/" TargetMode="External"/><Relationship Id="rId263" Type="http://schemas.openxmlformats.org/officeDocument/2006/relationships/hyperlink" Target="https://e-planningbmd.id/" TargetMode="External"/><Relationship Id="rId384" Type="http://schemas.openxmlformats.org/officeDocument/2006/relationships/hyperlink" Target="https://ee.kobotoolbox.org/x/YQp13dFa" TargetMode="External"/><Relationship Id="rId141" Type="http://schemas.openxmlformats.org/officeDocument/2006/relationships/hyperlink" Target="https://drive.google.com/file/d/1CvHE6emS2UxjsAt6IC87kgxEb19CuE3k/view?usp=sharing" TargetMode="External"/><Relationship Id="rId262" Type="http://schemas.openxmlformats.org/officeDocument/2006/relationships/hyperlink" Target="https://drive.google.com/file/d/1pRxS9hpYYxPfeElynApRSPgiKe_xbqQZ/view?usp=drive_link" TargetMode="External"/><Relationship Id="rId383" Type="http://schemas.openxmlformats.org/officeDocument/2006/relationships/hyperlink" Target="http://simpel.menlhk.go.id/" TargetMode="External"/><Relationship Id="rId140" Type="http://schemas.openxmlformats.org/officeDocument/2006/relationships/hyperlink" Target="https://epdeskel.binapemdes.kemendagri.go.id/app_Login/" TargetMode="External"/><Relationship Id="rId261" Type="http://schemas.openxmlformats.org/officeDocument/2006/relationships/hyperlink" Target="http://rkbmd.e-planningbmd.id/" TargetMode="External"/><Relationship Id="rId382" Type="http://schemas.openxmlformats.org/officeDocument/2006/relationships/hyperlink" Target="https://drive.google.com/drive/folders/1vjgfqjMxOGjNMjW_D5TVCMti_1yMqG0T?usp=sharing" TargetMode="External"/><Relationship Id="rId5" Type="http://schemas.openxmlformats.org/officeDocument/2006/relationships/hyperlink" Target="http://ppid.bandungkab.go.id/" TargetMode="External"/><Relationship Id="rId147" Type="http://schemas.openxmlformats.org/officeDocument/2006/relationships/hyperlink" Target="https://bds.bandungkab.go.id/signin" TargetMode="External"/><Relationship Id="rId268" Type="http://schemas.openxmlformats.org/officeDocument/2006/relationships/hyperlink" Target="https://drive.google.com/file/d/1EleK6UBDx7lBx-8YOCfg6TAbMx8HdYBj/view?usp=sharing" TargetMode="External"/><Relationship Id="rId389" Type="http://schemas.openxmlformats.org/officeDocument/2006/relationships/hyperlink" Target="https://sirup.inaproc.id/sirup/loginctr/index" TargetMode="External"/><Relationship Id="rId6" Type="http://schemas.openxmlformats.org/officeDocument/2006/relationships/hyperlink" Target="https://bandungkab.go.id/" TargetMode="External"/><Relationship Id="rId146" Type="http://schemas.openxmlformats.org/officeDocument/2006/relationships/hyperlink" Target="https://sipakades.bandungkab.go.id/" TargetMode="External"/><Relationship Id="rId267" Type="http://schemas.openxmlformats.org/officeDocument/2006/relationships/hyperlink" Target="https://e-sptpd.bandungkab.go.id/site/login" TargetMode="External"/><Relationship Id="rId388" Type="http://schemas.openxmlformats.org/officeDocument/2006/relationships/hyperlink" Target="https://sipd.kemendagri.go.id/" TargetMode="External"/><Relationship Id="rId7" Type="http://schemas.openxmlformats.org/officeDocument/2006/relationships/hyperlink" Target="https://smartcity.bandungkab.go.id/" TargetMode="External"/><Relationship Id="rId145" Type="http://schemas.openxmlformats.org/officeDocument/2006/relationships/hyperlink" Target="https://drive.google.com/file/d/15CRvlXeoq6lRDTUnunhCxVgWmxrUKQsz/view?usp=drive_link" TargetMode="External"/><Relationship Id="rId266" Type="http://schemas.openxmlformats.org/officeDocument/2006/relationships/hyperlink" Target="https://drive.google.com/file/d/13chpwS3hzckDO6lZ62iqJLre18eSmtSR/view?usp=sharing" TargetMode="External"/><Relationship Id="rId387" Type="http://schemas.openxmlformats.org/officeDocument/2006/relationships/hyperlink" Target="https://e-retribusi.bandungkab.go.id/" TargetMode="External"/><Relationship Id="rId8" Type="http://schemas.openxmlformats.org/officeDocument/2006/relationships/hyperlink" Target="https://simaslahat.bandungkab.go.id/" TargetMode="External"/><Relationship Id="rId144" Type="http://schemas.openxmlformats.org/officeDocument/2006/relationships/hyperlink" Target="http://s.id/sipandubedas" TargetMode="External"/><Relationship Id="rId265" Type="http://schemas.openxmlformats.org/officeDocument/2006/relationships/hyperlink" Target="https://persediaanbmd.bandungkab.go.id/" TargetMode="External"/><Relationship Id="rId386" Type="http://schemas.openxmlformats.org/officeDocument/2006/relationships/hyperlink" Target="https://simgajiweb.taspen.co.id/" TargetMode="External"/><Relationship Id="rId260" Type="http://schemas.openxmlformats.org/officeDocument/2006/relationships/hyperlink" Target="https://docs.google.com/spreadsheets/d/1GrF7yl0eJIiOHTS8n_w_9Sp-PAVtSvEu/edit?usp=drive_link&amp;ouid=100880423975394660255&amp;rtpof=true&amp;sd=true" TargetMode="External"/><Relationship Id="rId381" Type="http://schemas.openxmlformats.org/officeDocument/2006/relationships/hyperlink" Target="https://drive.google.com/file/d/1T1U4oNUqZS1NcFlgpFY6CJRp0CcQqlBv/view?usp=drive_link" TargetMode="External"/><Relationship Id="rId380" Type="http://schemas.openxmlformats.org/officeDocument/2006/relationships/hyperlink" Target="https://rkbmd.e-planningbmd.id/" TargetMode="External"/><Relationship Id="rId139" Type="http://schemas.openxmlformats.org/officeDocument/2006/relationships/hyperlink" Target="https://prodeskel.binapemdes.kemendagri.go.id/mpublik/" TargetMode="External"/><Relationship Id="rId138" Type="http://schemas.openxmlformats.org/officeDocument/2006/relationships/hyperlink" Target="https://spanint.kemenkeu.go.id/tkd/" TargetMode="External"/><Relationship Id="rId259" Type="http://schemas.openxmlformats.org/officeDocument/2006/relationships/hyperlink" Target="https://penatausahaan-dev-bmd.bandungkab.go.id/login" TargetMode="External"/><Relationship Id="rId137" Type="http://schemas.openxmlformats.org/officeDocument/2006/relationships/hyperlink" Target="http://siskeudes.bandungkab.go.id:8080/guacamole/" TargetMode="External"/><Relationship Id="rId258" Type="http://schemas.openxmlformats.org/officeDocument/2006/relationships/hyperlink" Target="https://drive.google.com/file/d/1YRKKugsMdrXTfIPPP5t9vIuPmcSmeJi-/view?usp=sharing" TargetMode="External"/><Relationship Id="rId379" Type="http://schemas.openxmlformats.org/officeDocument/2006/relationships/hyperlink" Target="https://aspak.kemkes.go.id/aplikasi/site/index" TargetMode="External"/><Relationship Id="rId132" Type="http://schemas.openxmlformats.org/officeDocument/2006/relationships/hyperlink" Target="https://drive.google.com/file/d/1RechF7D6NXptgUFxXmNTXXBTU0KQ0Gcm/view?usp=sharing" TargetMode="External"/><Relationship Id="rId253" Type="http://schemas.openxmlformats.org/officeDocument/2006/relationships/hyperlink" Target="https://pelayanan.bandungkab.dapda.id/" TargetMode="External"/><Relationship Id="rId374" Type="http://schemas.openxmlformats.org/officeDocument/2006/relationships/hyperlink" Target="https://mutufasyankes.kemkes.go.id/" TargetMode="External"/><Relationship Id="rId495" Type="http://schemas.openxmlformats.org/officeDocument/2006/relationships/hyperlink" Target="https://aspak.kemkes.go.id/aplikasi/infoboard" TargetMode="External"/><Relationship Id="rId131" Type="http://schemas.openxmlformats.org/officeDocument/2006/relationships/hyperlink" Target="http://kehati.bandungkab.go.id/" TargetMode="External"/><Relationship Id="rId252" Type="http://schemas.openxmlformats.org/officeDocument/2006/relationships/hyperlink" Target="https://sultan.bandungkab.go.id/login" TargetMode="External"/><Relationship Id="rId373" Type="http://schemas.openxmlformats.org/officeDocument/2006/relationships/hyperlink" Target="https://apik.bandungkab.go.id/apik/login" TargetMode="External"/><Relationship Id="rId494" Type="http://schemas.openxmlformats.org/officeDocument/2006/relationships/hyperlink" Target="https://dashboard.kemkes.go.id/views/DashboardPemantauanAliranDataSATUSEHAT/Dashboard?%3Aembed=y&amp;%3AisGuestRedirectFromVizportal=y" TargetMode="External"/><Relationship Id="rId130" Type="http://schemas.openxmlformats.org/officeDocument/2006/relationships/hyperlink" Target="https://gepak.bandungkab.go.id/" TargetMode="External"/><Relationship Id="rId251" Type="http://schemas.openxmlformats.org/officeDocument/2006/relationships/hyperlink" Target="mailto:lemicandra@gmail.com" TargetMode="External"/><Relationship Id="rId372" Type="http://schemas.openxmlformats.org/officeDocument/2006/relationships/hyperlink" Target="https://ppid.bandungkab.go.id/dashboard" TargetMode="External"/><Relationship Id="rId493" Type="http://schemas.openxmlformats.org/officeDocument/2006/relationships/hyperlink" Target="https://drive.google.com/drive/u/1/folders/1BMJeHVe0f6zjx97q_TOFnGkZBTxNZTBd" TargetMode="External"/><Relationship Id="rId250" Type="http://schemas.openxmlformats.org/officeDocument/2006/relationships/hyperlink" Target="https://sso.bandungkab.go.id/" TargetMode="External"/><Relationship Id="rId371" Type="http://schemas.openxmlformats.org/officeDocument/2006/relationships/hyperlink" Target="https://www.lapor.go.id/" TargetMode="External"/><Relationship Id="rId492" Type="http://schemas.openxmlformats.org/officeDocument/2006/relationships/hyperlink" Target="https://www.google.com/search?q=UU+No.+17+Tahun+2023+tentang+Kesehatan&amp;oq=DASAR+HUKUM+PEMANTAUAN+ALIRAN+DATA+SATU+SEHAT&amp;gs_lcrp=EgZjaHJvbWUyBggAEEUYOTIKCAEQABiABBiiBDIHCAIQABjvBTIKCAMQABiABBiiBDIKCAQQABiABBiiBDIKCAUQABiABBiiBNIBCTEyMTQyajBqN6gCALACAA&amp;sourceid=chrome&amp;ie=UTF-8&amp;mstk=AUtExfCZKJ1P9WGvUjB-3wCnOalSRMrGT_dUye70LmdsJfmvBOt9xRKqwKFUEfjbTlDRzLfM_xWG-qg4MykF0-1iCKMHonr7P6LoKUtHgQwVQQm6_qVu07M500a7dYzujxlVmTAZb4Z_nz68vE_VaQIwIKKnMcTTam9FZS9eIMfm-0a5Gc0&amp;csui=3&amp;ved=2ahUKEwj4qfSH75STAxV1VmwGHYycGRgQgK4QegQIARAD" TargetMode="External"/><Relationship Id="rId136" Type="http://schemas.openxmlformats.org/officeDocument/2006/relationships/hyperlink" Target="http://lampid.bandungkab.go.id/" TargetMode="External"/><Relationship Id="rId257" Type="http://schemas.openxmlformats.org/officeDocument/2006/relationships/hyperlink" Target="http://soreang.dapda.id/" TargetMode="External"/><Relationship Id="rId378" Type="http://schemas.openxmlformats.org/officeDocument/2006/relationships/hyperlink" Target="http://gmail.com/" TargetMode="External"/><Relationship Id="rId499" Type="http://schemas.openxmlformats.org/officeDocument/2006/relationships/hyperlink" Target="https://rkbmd.e-planningbmd.id/" TargetMode="External"/><Relationship Id="rId135" Type="http://schemas.openxmlformats.org/officeDocument/2006/relationships/hyperlink" Target="https://drive.google.com/file/d/1RechF7D6NXptgUFxXmNTXXBTU0KQ0Gcm/view?usp=sharing" TargetMode="External"/><Relationship Id="rId256" Type="http://schemas.openxmlformats.org/officeDocument/2006/relationships/hyperlink" Target="https://sidesa.bandungkab.dapda.id/login" TargetMode="External"/><Relationship Id="rId377" Type="http://schemas.openxmlformats.org/officeDocument/2006/relationships/hyperlink" Target="http://a.md/" TargetMode="External"/><Relationship Id="rId498" Type="http://schemas.openxmlformats.org/officeDocument/2006/relationships/hyperlink" Target="https://persediaanbmd.bandungkab.go.id/" TargetMode="External"/><Relationship Id="rId134" Type="http://schemas.openxmlformats.org/officeDocument/2006/relationships/hyperlink" Target="https://bds.bandungkab.go.id/" TargetMode="External"/><Relationship Id="rId255" Type="http://schemas.openxmlformats.org/officeDocument/2006/relationships/hyperlink" Target="https://hspkasb.e-planningbmd.id/auth" TargetMode="External"/><Relationship Id="rId376" Type="http://schemas.openxmlformats.org/officeDocument/2006/relationships/hyperlink" Target="https://hfis.bpjs-kesehatan.go.id/hfis/login?hfis" TargetMode="External"/><Relationship Id="rId497" Type="http://schemas.openxmlformats.org/officeDocument/2006/relationships/hyperlink" Target="https://www.google.com/search?q=Permendagri+No.+47+Tahun+2021&amp;sca_esv=b5455d2c67d11081&amp;sxsrf=ANbL-n6pLzJNj7A9WhrutozNYJWr6m2lMw%3A1773130504901&amp;ei=CNOvadzHNqvp4-EPhIj2mQo&amp;biw=1920&amp;bih=912&amp;ved=2ahUKEwil4_mM8pSTAxWcSnADHeVNOnUQgK4QegQIBRAJ&amp;uact=5&amp;oq=DASAR+HUKUM+simda+bmd+adalah&amp;gs_lp=Egxnd3Mtd2l6LXNlcnAiHERBU0FSIEhVS1VNIHNpbWRhIGJtZCBhZGFsYWgyCBAAGIAEGKIEMgUQABjvBTIIEAAYgAQYogQyBRAAGO8FSOQ9UMcIWMI4cAV4AZABAJgB-AGgAbMVqgEGMC4xMC42uAEDyAEA-AEBmAINoALLCcICChAAGLADGNYEGEfCAggQABiiBBiJBZgDAIgGAZAGCJIHBTUuNy4xoAfbQLIHBTAuNy4xuAemCcIHCDAuMS4xMS4xyAc7gAgA&amp;sclient=gws-wiz-serp&amp;mstk=AUtExfCaaCWeCr7fdG8bKr8fupvBsrUsITsK1-BlHOx0QxiJzuKyiT_mCbfRDH3i79MF9m1B3Rjk7TsG4qM-Au3K-w-H5An4MJCeLW9zQm8sWLQdpn-Vy9KcbEitOE4b0_w78zY7coF_IdRj3r0ZYosKZ8zT2rSt4M370KPK3Z3xhUgHmky0ibC91hNLZNRrHnrmzz5ZgKh3uc9KN6yChHqueLIVlfe6s_uI9uKQvV4xPxo6jKOWcdkNMaXH9HM4arC7L09NtGR6wlqaQbx7VJQ7BCua&amp;csui=3" TargetMode="External"/><Relationship Id="rId133" Type="http://schemas.openxmlformats.org/officeDocument/2006/relationships/hyperlink" Target="https://bds.bandungkab.go.id/" TargetMode="External"/><Relationship Id="rId254" Type="http://schemas.openxmlformats.org/officeDocument/2006/relationships/hyperlink" Target="https://drive.google.com/file/d/1Wq5fbFaB6cGVodoz0G93rd3_HKNa842I/view?usp=sharing" TargetMode="External"/><Relationship Id="rId375" Type="http://schemas.openxmlformats.org/officeDocument/2006/relationships/hyperlink" Target="http://a.md/" TargetMode="External"/><Relationship Id="rId496" Type="http://schemas.openxmlformats.org/officeDocument/2006/relationships/hyperlink" Target="https://aspak.kemkes.go.id/aplikasi/site/index" TargetMode="External"/><Relationship Id="rId172" Type="http://schemas.openxmlformats.org/officeDocument/2006/relationships/hyperlink" Target="https://drive.google.com/drive/folders/1uBDqq46euBu9YwCqq9Y65-eJFbijFff9?usp=sharing" TargetMode="External"/><Relationship Id="rId293" Type="http://schemas.openxmlformats.org/officeDocument/2006/relationships/hyperlink" Target="mailto:lemicandra@gmail.com" TargetMode="External"/><Relationship Id="rId171" Type="http://schemas.openxmlformats.org/officeDocument/2006/relationships/hyperlink" Target="https://oss.go.id/" TargetMode="External"/><Relationship Id="rId292" Type="http://schemas.openxmlformats.org/officeDocument/2006/relationships/hyperlink" Target="https://sso.bandungkab.go.id/" TargetMode="External"/><Relationship Id="rId170" Type="http://schemas.openxmlformats.org/officeDocument/2006/relationships/hyperlink" Target="https://siinas.kemenperin.go.id/" TargetMode="External"/><Relationship Id="rId291" Type="http://schemas.openxmlformats.org/officeDocument/2006/relationships/hyperlink" Target="https://drive.google.com/file/d/18x4SyFaMTJIHq1ORgmmghi6RwxlrdqOk/view?usp=sharing" TargetMode="External"/><Relationship Id="rId290" Type="http://schemas.openxmlformats.org/officeDocument/2006/relationships/hyperlink" Target="mailto:dediradi@gmail.com" TargetMode="External"/><Relationship Id="rId165" Type="http://schemas.openxmlformats.org/officeDocument/2006/relationships/hyperlink" Target="http://ska.kemendag.go.id/" TargetMode="External"/><Relationship Id="rId286" Type="http://schemas.openxmlformats.org/officeDocument/2006/relationships/hyperlink" Target="https://sultan.bandungkab.go.id/login" TargetMode="External"/><Relationship Id="rId164" Type="http://schemas.openxmlformats.org/officeDocument/2006/relationships/hyperlink" Target="https://drive.google.com/file/d/1fOeX8KkbMK8HjuZBVx1smAWDYvK1BcY0/view?usp=sharing" TargetMode="External"/><Relationship Id="rId285" Type="http://schemas.openxmlformats.org/officeDocument/2006/relationships/hyperlink" Target="https://sipphade.bandungkab.go.id/" TargetMode="External"/><Relationship Id="rId163" Type="http://schemas.openxmlformats.org/officeDocument/2006/relationships/hyperlink" Target="https://sibapokting.bandungkab.go.id/" TargetMode="External"/><Relationship Id="rId284" Type="http://schemas.openxmlformats.org/officeDocument/2006/relationships/hyperlink" Target="https://spse.inaproc.id/bandungkab/" TargetMode="External"/><Relationship Id="rId162" Type="http://schemas.openxmlformats.org/officeDocument/2006/relationships/hyperlink" Target="https://drive.google.com/file/d/1vLXgaLLExt7rvce6hrGocDTPsLUu-FsF/view?usp=sharing" TargetMode="External"/><Relationship Id="rId283" Type="http://schemas.openxmlformats.org/officeDocument/2006/relationships/hyperlink" Target="https://sipd-ri.kemendagri.go.id/auth/login" TargetMode="External"/><Relationship Id="rId169" Type="http://schemas.openxmlformats.org/officeDocument/2006/relationships/hyperlink" Target="https://drive.google.com/file/d/1XoILvOYKxCz7AwSFhTvSOHZMa9o7Qg5k/view?usp=sharing" TargetMode="External"/><Relationship Id="rId168" Type="http://schemas.openxmlformats.org/officeDocument/2006/relationships/hyperlink" Target="http://s.si/" TargetMode="External"/><Relationship Id="rId289" Type="http://schemas.openxmlformats.org/officeDocument/2006/relationships/hyperlink" Target="https://sso.bandungkab.go.id/" TargetMode="External"/><Relationship Id="rId167" Type="http://schemas.openxmlformats.org/officeDocument/2006/relationships/hyperlink" Target="http://bit.ly/PendaftaranTTU2025" TargetMode="External"/><Relationship Id="rId288" Type="http://schemas.openxmlformats.org/officeDocument/2006/relationships/hyperlink" Target="https://drive.google.com/file/d/1-u8BdMLGCu4aICHYLsA_St6eYZj99BZB/view?usp=drive_link" TargetMode="External"/><Relationship Id="rId166" Type="http://schemas.openxmlformats.org/officeDocument/2006/relationships/hyperlink" Target="https://docs.google.com/spreadsheets/d/1NiELcMU9JfJbhN_p55g9GXz1ikm9vn_e/edit?usp=sharing&amp;ouid=104014308201848363295&amp;rtpof=true&amp;sd=true" TargetMode="External"/><Relationship Id="rId287" Type="http://schemas.openxmlformats.org/officeDocument/2006/relationships/hyperlink" Target="https://simasda.bandungkab.go.id/" TargetMode="External"/><Relationship Id="rId161" Type="http://schemas.openxmlformats.org/officeDocument/2006/relationships/hyperlink" Target="https://drive.google.com/file/d/1CK9sB-VkjtVcnm48SmIytt7EAWrjRZba/view?usp=sharing" TargetMode="External"/><Relationship Id="rId282" Type="http://schemas.openxmlformats.org/officeDocument/2006/relationships/hyperlink" Target="https://sipd-ri.kemendagri.go.id/auth/login" TargetMode="External"/><Relationship Id="rId160" Type="http://schemas.openxmlformats.org/officeDocument/2006/relationships/hyperlink" Target="https://simasda.bandungkab.go.id/" TargetMode="External"/><Relationship Id="rId281" Type="http://schemas.openxmlformats.org/officeDocument/2006/relationships/hyperlink" Target="http://surabi.jabarprov.go.id/" TargetMode="External"/><Relationship Id="rId280" Type="http://schemas.openxmlformats.org/officeDocument/2006/relationships/hyperlink" Target="https://e-absensi.bandungkab.go.id/login" TargetMode="External"/><Relationship Id="rId159" Type="http://schemas.openxmlformats.org/officeDocument/2006/relationships/hyperlink" Target="https://sipdkemendagri.go.id/" TargetMode="External"/><Relationship Id="rId154" Type="http://schemas.openxmlformats.org/officeDocument/2006/relationships/hyperlink" Target="https://perizinan.bandungkab.go.id/sirsak" TargetMode="External"/><Relationship Id="rId275" Type="http://schemas.openxmlformats.org/officeDocument/2006/relationships/hyperlink" Target="https://drive.google.com/file/d/1zeOij3UFpS15e2vMm5gUifY3P4hnkjQm/view?usp=sharing" TargetMode="External"/><Relationship Id="rId396" Type="http://schemas.openxmlformats.org/officeDocument/2006/relationships/hyperlink" Target="https://mpn.kemenkeu.go.id/" TargetMode="External"/><Relationship Id="rId153" Type="http://schemas.openxmlformats.org/officeDocument/2006/relationships/hyperlink" Target="https://next-gen.mppdigital.go.id/" TargetMode="External"/><Relationship Id="rId274" Type="http://schemas.openxmlformats.org/officeDocument/2006/relationships/hyperlink" Target="https://e-pad.bandungkab.go.id/index.php/user/login" TargetMode="External"/><Relationship Id="rId395" Type="http://schemas.openxmlformats.org/officeDocument/2006/relationships/hyperlink" Target="https://sirekonpajak.bandungkab.go.id/" TargetMode="External"/><Relationship Id="rId152" Type="http://schemas.openxmlformats.org/officeDocument/2006/relationships/hyperlink" Target="https://simbg.pu.go.id/" TargetMode="External"/><Relationship Id="rId273" Type="http://schemas.openxmlformats.org/officeDocument/2006/relationships/hyperlink" Target="https://drive.google.com/drive/folders/1YBsK-2pdfsgxA-SPqsa5WMZzipvbo0Zl?usp=sharing" TargetMode="External"/><Relationship Id="rId394" Type="http://schemas.openxmlformats.org/officeDocument/2006/relationships/hyperlink" Target="https://coretaxdjp.pajak.go.id/" TargetMode="External"/><Relationship Id="rId151" Type="http://schemas.openxmlformats.org/officeDocument/2006/relationships/hyperlink" Target="https://dpmptsp.bandungkab.go.id/" TargetMode="External"/><Relationship Id="rId272" Type="http://schemas.openxmlformats.org/officeDocument/2006/relationships/hyperlink" Target="https://bphtb2.bandungkab.go.id/" TargetMode="External"/><Relationship Id="rId393" Type="http://schemas.openxmlformats.org/officeDocument/2006/relationships/hyperlink" Target="https://sisrute.kemkes.go.id/" TargetMode="External"/><Relationship Id="rId158" Type="http://schemas.openxmlformats.org/officeDocument/2006/relationships/hyperlink" Target="http://disporabandungkab.go.id/" TargetMode="External"/><Relationship Id="rId279" Type="http://schemas.openxmlformats.org/officeDocument/2006/relationships/hyperlink" Target="https://sso.bandungkab.go.id/" TargetMode="External"/><Relationship Id="rId157" Type="http://schemas.openxmlformats.org/officeDocument/2006/relationships/hyperlink" Target="https://sidopabandungkab.com/" TargetMode="External"/><Relationship Id="rId278" Type="http://schemas.openxmlformats.org/officeDocument/2006/relationships/hyperlink" Target="https://sso.bandungkab.go.id/" TargetMode="External"/><Relationship Id="rId399" Type="http://schemas.openxmlformats.org/officeDocument/2006/relationships/hyperlink" Target="http://simpelbkpsdm.bandungkab.go.id/" TargetMode="External"/><Relationship Id="rId156" Type="http://schemas.openxmlformats.org/officeDocument/2006/relationships/hyperlink" Target="https://sidora.bandungkab.go.id/" TargetMode="External"/><Relationship Id="rId277" Type="http://schemas.openxmlformats.org/officeDocument/2006/relationships/hyperlink" Target="https://skm.bandungkab.go.id/login" TargetMode="External"/><Relationship Id="rId398" Type="http://schemas.openxmlformats.org/officeDocument/2006/relationships/hyperlink" Target="http://dkijabarbanten.sitb.id/" TargetMode="External"/><Relationship Id="rId155" Type="http://schemas.openxmlformats.org/officeDocument/2006/relationships/hyperlink" Target="https://perizinan.bandungkab.go.id/layanan-kami/booking-antrian-imigrasi" TargetMode="External"/><Relationship Id="rId276" Type="http://schemas.openxmlformats.org/officeDocument/2006/relationships/hyperlink" Target="https://e-sptpd.bandungkab.go.id/site/login" TargetMode="External"/><Relationship Id="rId397" Type="http://schemas.openxmlformats.org/officeDocument/2006/relationships/hyperlink" Target="https://drive.google.com/drive/folders/1MppwIbicgeJnTSmBS08CzfVFAUOfmdja?usp=sharing" TargetMode="External"/><Relationship Id="rId40" Type="http://schemas.openxmlformats.org/officeDocument/2006/relationships/hyperlink" Target="https://sikp.kemenkeu.go.id/login" TargetMode="External"/><Relationship Id="rId42" Type="http://schemas.openxmlformats.org/officeDocument/2006/relationships/hyperlink" Target="https://www.appsheet.com/Account/Login?appName=DBHCHT%20App&amp;FullScope=False&amp;provider=google&amp;returnUrl=https%3A%2F%2Fwww.appsheet.com%2Fstart%2F93891b63-df85-4aa1-a7bf-d007dfa96cf8%3Fplatform%3Ddesktop" TargetMode="External"/><Relationship Id="rId41" Type="http://schemas.openxmlformats.org/officeDocument/2006/relationships/hyperlink" Target="https://sitpakd.ojk.go.id/Account/Login" TargetMode="External"/><Relationship Id="rId44" Type="http://schemas.openxmlformats.org/officeDocument/2006/relationships/hyperlink" Target="https://sipd-ri.kemendagri.go.id/auth/login" TargetMode="External"/><Relationship Id="rId43" Type="http://schemas.openxmlformats.org/officeDocument/2006/relationships/hyperlink" Target="https://sikd.djpk.kemenkeu.go.id/lapordbh/" TargetMode="External"/><Relationship Id="rId46" Type="http://schemas.openxmlformats.org/officeDocument/2006/relationships/hyperlink" Target="https://www.portalrb.id/" TargetMode="External"/><Relationship Id="rId45" Type="http://schemas.openxmlformats.org/officeDocument/2006/relationships/hyperlink" Target="https://tpin.id/login" TargetMode="External"/><Relationship Id="rId509" Type="http://schemas.openxmlformats.org/officeDocument/2006/relationships/hyperlink" Target="https://e-meso.pom.go.id/ADR" TargetMode="External"/><Relationship Id="rId508" Type="http://schemas.openxmlformats.org/officeDocument/2006/relationships/hyperlink" Target="http://sipd.ri.id/" TargetMode="External"/><Relationship Id="rId503" Type="http://schemas.openxmlformats.org/officeDocument/2006/relationships/hyperlink" Target="https://dmi.kemkes.go.id/dhis-web-commons/security/login.action" TargetMode="External"/><Relationship Id="rId502" Type="http://schemas.openxmlformats.org/officeDocument/2006/relationships/hyperlink" Target="https://sisrute.kemkes.go.id/sisrute2/" TargetMode="External"/><Relationship Id="rId501" Type="http://schemas.openxmlformats.org/officeDocument/2006/relationships/hyperlink" Target="https://www.google.co.id/search?q=Permenkes+No.+16+Tahun+2024&amp;sca_esv=103eda2c29df25d7&amp;sxsrf=ANbL-n78RvL8IMvudyVdXYlWmmzwhRGJwA%3A1773193384192&amp;ei=qMiwaaC3C6by4-EP77Gb4Ac&amp;biw=1754&amp;bih=872&amp;ved=2ahUKEwi3y7rH3JaTAxXMxjgGHYnNCicQgK4QegQIARAB&amp;uact=5&amp;oq=DASAR+HUKUM+SISRUTE+ADALAH&amp;gs_lp=Egxnd3Mtd2l6LXNlcnAiGkRBU0FSIEhVS1VNIFNJU1JVVEUgQURBTEFIMggQABiABBiiBDIFEAAY7wUyCBAAGIAEGKIESPgeUIsGWPIWcAF4AZABAJgB0AGgAfEIqgEFOC4zLjG4AQPIAQD4AQGYAgygAsQHwgIKEAAYsAMY1gQYR8ICDRAAGIAEGLADGEMYigXCAgcQIxiwAhgnwgIHEAAYgAQYDcICCBAAGAgYDRgewgIEECEYCpgDAIgGAZAGCpIHAzkuM6AHtS6yBwM4LjO4B8AHwgcFMC45LjPIBxyACAA&amp;sclient=gws-wiz-serp" TargetMode="External"/><Relationship Id="rId500" Type="http://schemas.openxmlformats.org/officeDocument/2006/relationships/hyperlink" Target="https://simasda.bandungkab.go.id/login" TargetMode="External"/><Relationship Id="rId507" Type="http://schemas.openxmlformats.org/officeDocument/2006/relationships/hyperlink" Target="https://dkijabarbanten.sitb.id/sitb2024/app" TargetMode="External"/><Relationship Id="rId506" Type="http://schemas.openxmlformats.org/officeDocument/2006/relationships/hyperlink" Target="https://balis.bapeten.go.id/frontend2/public/panel/dashboard" TargetMode="External"/><Relationship Id="rId505" Type="http://schemas.openxmlformats.org/officeDocument/2006/relationships/hyperlink" Target="https://sipnap.kemkes.go.id/download/" TargetMode="External"/><Relationship Id="rId504" Type="http://schemas.openxmlformats.org/officeDocument/2006/relationships/hyperlink" Target="https://skm.bandungkab.go.id/eskm/22978" TargetMode="External"/><Relationship Id="rId48" Type="http://schemas.openxmlformats.org/officeDocument/2006/relationships/hyperlink" Target="http://e-bumd.com/dashboard" TargetMode="External"/><Relationship Id="rId47" Type="http://schemas.openxmlformats.org/officeDocument/2006/relationships/hyperlink" Target="https://bisakerja.bandungkab.go.id/login" TargetMode="External"/><Relationship Id="rId49" Type="http://schemas.openxmlformats.org/officeDocument/2006/relationships/hyperlink" Target="https://drive.google.com/drive/folders/1uT9c4NGjI41uZyGgKpyquckLoM2rSaQa?usp=sharing" TargetMode="External"/><Relationship Id="rId31" Type="http://schemas.openxmlformats.org/officeDocument/2006/relationships/hyperlink" Target="http://m.si/" TargetMode="External"/><Relationship Id="rId30" Type="http://schemas.openxmlformats.org/officeDocument/2006/relationships/hyperlink" Target="http://sinar.big.go.id/" TargetMode="External"/><Relationship Id="rId33" Type="http://schemas.openxmlformats.org/officeDocument/2006/relationships/hyperlink" Target="http://m.si/" TargetMode="External"/><Relationship Id="rId32" Type="http://schemas.openxmlformats.org/officeDocument/2006/relationships/hyperlink" Target="https://elppd.kemendagri.go.id/" TargetMode="External"/><Relationship Id="rId35" Type="http://schemas.openxmlformats.org/officeDocument/2006/relationships/hyperlink" Target="http://m.si/" TargetMode="External"/><Relationship Id="rId34" Type="http://schemas.openxmlformats.org/officeDocument/2006/relationships/hyperlink" Target="https://spm.bangda.kemendagri.go.id/" TargetMode="External"/><Relationship Id="rId37" Type="http://schemas.openxmlformats.org/officeDocument/2006/relationships/hyperlink" Target="https://sipphade.bandungkab.go.id/" TargetMode="External"/><Relationship Id="rId36" Type="http://schemas.openxmlformats.org/officeDocument/2006/relationships/hyperlink" Target="https://ppid.bandungkab.go.id/" TargetMode="External"/><Relationship Id="rId39" Type="http://schemas.openxmlformats.org/officeDocument/2006/relationships/hyperlink" Target="http://kerjasama.bandungkab.go.id/" TargetMode="External"/><Relationship Id="rId38" Type="http://schemas.openxmlformats.org/officeDocument/2006/relationships/hyperlink" Target="https://sipatuhbedas.bandungkab.go.id/" TargetMode="External"/><Relationship Id="rId20" Type="http://schemas.openxmlformats.org/officeDocument/2006/relationships/hyperlink" Target="https://simpelbkpsdm.bandungkab.go.id/" TargetMode="External"/><Relationship Id="rId22" Type="http://schemas.openxmlformats.org/officeDocument/2006/relationships/hyperlink" Target="http://siakang.bandungkab.go.id/" TargetMode="External"/><Relationship Id="rId21" Type="http://schemas.openxmlformats.org/officeDocument/2006/relationships/hyperlink" Target="https://sultan.bandungkab.go.id/" TargetMode="External"/><Relationship Id="rId24" Type="http://schemas.openxmlformats.org/officeDocument/2006/relationships/hyperlink" Target="https://surabi.jabarprov.go.id/" TargetMode="External"/><Relationship Id="rId23" Type="http://schemas.openxmlformats.org/officeDocument/2006/relationships/hyperlink" Target="http://m.tr/" TargetMode="External"/><Relationship Id="rId409" Type="http://schemas.openxmlformats.org/officeDocument/2006/relationships/hyperlink" Target="https://www.lapor.go.id/" TargetMode="External"/><Relationship Id="rId404" Type="http://schemas.openxmlformats.org/officeDocument/2006/relationships/hyperlink" Target="http://sirs.kemkes.go.id/" TargetMode="External"/><Relationship Id="rId525" Type="http://schemas.openxmlformats.org/officeDocument/2006/relationships/hyperlink" Target="http://sultan.banadungkab.go.id/" TargetMode="External"/><Relationship Id="rId403" Type="http://schemas.openxmlformats.org/officeDocument/2006/relationships/hyperlink" Target="http://sirs.kemkes.go.id/" TargetMode="External"/><Relationship Id="rId524" Type="http://schemas.openxmlformats.org/officeDocument/2006/relationships/hyperlink" Target="http://simpelbkpsdm.bandungkab.go.id/" TargetMode="External"/><Relationship Id="rId402" Type="http://schemas.openxmlformats.org/officeDocument/2006/relationships/hyperlink" Target="http://sisdmk.kemkes.go.id/" TargetMode="External"/><Relationship Id="rId523" Type="http://schemas.openxmlformats.org/officeDocument/2006/relationships/hyperlink" Target="http://dkijabarbanten.sitb.id/" TargetMode="External"/><Relationship Id="rId401" Type="http://schemas.openxmlformats.org/officeDocument/2006/relationships/hyperlink" Target="http://sso.bandungkab.go.id/" TargetMode="External"/><Relationship Id="rId522" Type="http://schemas.openxmlformats.org/officeDocument/2006/relationships/hyperlink" Target="https://sirekonpajak.bandungkab.go.id/" TargetMode="External"/><Relationship Id="rId408" Type="http://schemas.openxmlformats.org/officeDocument/2006/relationships/hyperlink" Target="https://sippn.menpan.go.id/" TargetMode="External"/><Relationship Id="rId529" Type="http://schemas.openxmlformats.org/officeDocument/2006/relationships/hyperlink" Target="http://sirs.kemkes.go.id/" TargetMode="External"/><Relationship Id="rId407" Type="http://schemas.openxmlformats.org/officeDocument/2006/relationships/hyperlink" Target="https://skm.bandungkab.go.id/" TargetMode="External"/><Relationship Id="rId528" Type="http://schemas.openxmlformats.org/officeDocument/2006/relationships/hyperlink" Target="http://sirs.kemkes.go.id/" TargetMode="External"/><Relationship Id="rId406" Type="http://schemas.openxmlformats.org/officeDocument/2006/relationships/hyperlink" Target="https://sidalmonep.bandungkab.go.id/app" TargetMode="External"/><Relationship Id="rId527" Type="http://schemas.openxmlformats.org/officeDocument/2006/relationships/hyperlink" Target="http://sisdmk.kemkes.go.id/" TargetMode="External"/><Relationship Id="rId405" Type="http://schemas.openxmlformats.org/officeDocument/2006/relationships/hyperlink" Target="https://e-lkpj.id/login" TargetMode="External"/><Relationship Id="rId526" Type="http://schemas.openxmlformats.org/officeDocument/2006/relationships/hyperlink" Target="http://sso.bandungkab.go.id/" TargetMode="External"/><Relationship Id="rId26" Type="http://schemas.openxmlformats.org/officeDocument/2006/relationships/hyperlink" Target="https://skm.bandungkab.go.id/" TargetMode="External"/><Relationship Id="rId25" Type="http://schemas.openxmlformats.org/officeDocument/2006/relationships/hyperlink" Target="http://m.tr/" TargetMode="External"/><Relationship Id="rId28" Type="http://schemas.openxmlformats.org/officeDocument/2006/relationships/hyperlink" Target="http://m.tr/" TargetMode="External"/><Relationship Id="rId27" Type="http://schemas.openxmlformats.org/officeDocument/2006/relationships/hyperlink" Target="https://sitampan-insaba.web.app/" TargetMode="External"/><Relationship Id="rId400" Type="http://schemas.openxmlformats.org/officeDocument/2006/relationships/hyperlink" Target="http://sultan.banadungkab.go.id/" TargetMode="External"/><Relationship Id="rId521" Type="http://schemas.openxmlformats.org/officeDocument/2006/relationships/hyperlink" Target="https://coretaxdjp.pajak.go.id/" TargetMode="External"/><Relationship Id="rId29" Type="http://schemas.openxmlformats.org/officeDocument/2006/relationships/hyperlink" Target="https://play.google.com/store/apps/details?id=com.diskominfo.siagan_bedas&amp;hl=id" TargetMode="External"/><Relationship Id="rId520" Type="http://schemas.openxmlformats.org/officeDocument/2006/relationships/hyperlink" Target="https://sisrute.kemkes.go.id/" TargetMode="External"/><Relationship Id="rId11" Type="http://schemas.openxmlformats.org/officeDocument/2006/relationships/hyperlink" Target="https://sirekonpajak.bandungkab.go.id/" TargetMode="External"/><Relationship Id="rId10" Type="http://schemas.openxmlformats.org/officeDocument/2006/relationships/hyperlink" Target="https://simasda.bandungkab.go.id/" TargetMode="External"/><Relationship Id="rId13" Type="http://schemas.openxmlformats.org/officeDocument/2006/relationships/hyperlink" Target="https://e-sptpd.bandungkab.go.id/" TargetMode="External"/><Relationship Id="rId12" Type="http://schemas.openxmlformats.org/officeDocument/2006/relationships/hyperlink" Target="http://coretaxdjp.pajak.go.id/" TargetMode="External"/><Relationship Id="rId519" Type="http://schemas.openxmlformats.org/officeDocument/2006/relationships/hyperlink" Target="https://simasda.bandungkab.go.id/" TargetMode="External"/><Relationship Id="rId514" Type="http://schemas.openxmlformats.org/officeDocument/2006/relationships/hyperlink" Target="https://e-retribusi.bandungkab.go.id/" TargetMode="External"/><Relationship Id="rId513" Type="http://schemas.openxmlformats.org/officeDocument/2006/relationships/hyperlink" Target="https://simgajiweb.taspen.co.id/" TargetMode="External"/><Relationship Id="rId512" Type="http://schemas.openxmlformats.org/officeDocument/2006/relationships/hyperlink" Target="https://play.google.com/store/apps/details?id=com.smilemonitor" TargetMode="External"/><Relationship Id="rId511" Type="http://schemas.openxmlformats.org/officeDocument/2006/relationships/hyperlink" Target="http://s.si/" TargetMode="External"/><Relationship Id="rId518" Type="http://schemas.openxmlformats.org/officeDocument/2006/relationships/hyperlink" Target="https://e-sptpd.bandungkab.go.id/" TargetMode="External"/><Relationship Id="rId517" Type="http://schemas.openxmlformats.org/officeDocument/2006/relationships/hyperlink" Target="https://simaslahat.bandungkab.go.id/login" TargetMode="External"/><Relationship Id="rId516" Type="http://schemas.openxmlformats.org/officeDocument/2006/relationships/hyperlink" Target="https://sirup.inaproc.id/sirup/loginctr/index" TargetMode="External"/><Relationship Id="rId515" Type="http://schemas.openxmlformats.org/officeDocument/2006/relationships/hyperlink" Target="https://sipd.kemendagri.go.id/" TargetMode="External"/><Relationship Id="rId15" Type="http://schemas.openxmlformats.org/officeDocument/2006/relationships/hyperlink" Target="https://sultan.bandungkab.go.id/" TargetMode="External"/><Relationship Id="rId14" Type="http://schemas.openxmlformats.org/officeDocument/2006/relationships/hyperlink" Target="http://sipd-ri.kemendagri.go.id/" TargetMode="External"/><Relationship Id="rId17" Type="http://schemas.openxmlformats.org/officeDocument/2006/relationships/hyperlink" Target="https://indah.bps.go.id/" TargetMode="External"/><Relationship Id="rId16" Type="http://schemas.openxmlformats.org/officeDocument/2006/relationships/hyperlink" Target="http://sshsbu.e-planningbmd.id/" TargetMode="External"/><Relationship Id="rId19" Type="http://schemas.openxmlformats.org/officeDocument/2006/relationships/hyperlink" Target="https://sidalmonep.bandungkab.go.id/" TargetMode="External"/><Relationship Id="rId510" Type="http://schemas.openxmlformats.org/officeDocument/2006/relationships/hyperlink" Target="https://ee.kobotoolbox.org/x/YQp13dFa" TargetMode="External"/><Relationship Id="rId18" Type="http://schemas.openxmlformats.org/officeDocument/2006/relationships/hyperlink" Target="http://simwas.bandungkab.go.id/" TargetMode="External"/><Relationship Id="rId84" Type="http://schemas.openxmlformats.org/officeDocument/2006/relationships/hyperlink" Target="https://sijalak-kab-bandung.com/" TargetMode="External"/><Relationship Id="rId83" Type="http://schemas.openxmlformats.org/officeDocument/2006/relationships/hyperlink" Target="https://smile.kemkes.go.id/" TargetMode="External"/><Relationship Id="rId86" Type="http://schemas.openxmlformats.org/officeDocument/2006/relationships/hyperlink" Target="https://sibedaspbg.bandungkab.go.id/" TargetMode="External"/><Relationship Id="rId85" Type="http://schemas.openxmlformats.org/officeDocument/2006/relationships/hyperlink" Target="https://drive.google.com/drive/folders/187_7CPT7sxhjamsZJOlN2T4qhrxFpoWq?hl=id" TargetMode="External"/><Relationship Id="rId88" Type="http://schemas.openxmlformats.org/officeDocument/2006/relationships/hyperlink" Target="http://linktr.ee/PENGADUAN_DPUTR_KABBDG" TargetMode="External"/><Relationship Id="rId87" Type="http://schemas.openxmlformats.org/officeDocument/2006/relationships/hyperlink" Target="https://drive.google.com/drive/folders/1zpVBSJQx0K3N4_wyw8qZeOJVWGrdlDAe?hl=ID" TargetMode="External"/><Relationship Id="rId89" Type="http://schemas.openxmlformats.org/officeDocument/2006/relationships/hyperlink" Target="https://sites.google.com/view/aplikasi-sipedas-drainase/home" TargetMode="External"/><Relationship Id="rId80" Type="http://schemas.openxmlformats.org/officeDocument/2006/relationships/hyperlink" Target="http://sismal.kemkes.go.id/" TargetMode="External"/><Relationship Id="rId82" Type="http://schemas.openxmlformats.org/officeDocument/2006/relationships/hyperlink" Target="https://sihapims2.kemkes.go.id/login" TargetMode="External"/><Relationship Id="rId81" Type="http://schemas.openxmlformats.org/officeDocument/2006/relationships/hyperlink" Target="http://silantor.kemkes.go.id/" TargetMode="External"/><Relationship Id="rId73" Type="http://schemas.openxmlformats.org/officeDocument/2006/relationships/hyperlink" Target="http://psc.kemkes.go.id/" TargetMode="External"/><Relationship Id="rId72" Type="http://schemas.openxmlformats.org/officeDocument/2006/relationships/hyperlink" Target="http://dpmptsp.bandungkab.go.id/" TargetMode="External"/><Relationship Id="rId75" Type="http://schemas.openxmlformats.org/officeDocument/2006/relationships/hyperlink" Target="http://skdr.kemkes.go.id/" TargetMode="External"/><Relationship Id="rId74" Type="http://schemas.openxmlformats.org/officeDocument/2006/relationships/hyperlink" Target="http://psc.kemkes.go.id/" TargetMode="External"/><Relationship Id="rId77" Type="http://schemas.openxmlformats.org/officeDocument/2006/relationships/hyperlink" Target="https://sehatindonesiaku.kemkes.go.id/auth/login" TargetMode="External"/><Relationship Id="rId76" Type="http://schemas.openxmlformats.org/officeDocument/2006/relationships/hyperlink" Target="https://surveilans-pptm.kemkes.go.id/" TargetMode="External"/><Relationship Id="rId79" Type="http://schemas.openxmlformats.org/officeDocument/2006/relationships/hyperlink" Target="https://sitb.kemkes.go.id/" TargetMode="External"/><Relationship Id="rId78" Type="http://schemas.openxmlformats.org/officeDocument/2006/relationships/hyperlink" Target="http://sipnap.kemkes.go.id/" TargetMode="External"/><Relationship Id="rId71" Type="http://schemas.openxmlformats.org/officeDocument/2006/relationships/hyperlink" Target="https://spmb.bandungkab.go.id/" TargetMode="External"/><Relationship Id="rId70" Type="http://schemas.openxmlformats.org/officeDocument/2006/relationships/hyperlink" Target="http://simpeldisdik.bandungkab.go.id/MultisiteEdu" TargetMode="External"/><Relationship Id="rId62" Type="http://schemas.openxmlformats.org/officeDocument/2006/relationships/hyperlink" Target="https://simprodas.bandungkab.go.id/" TargetMode="External"/><Relationship Id="rId61" Type="http://schemas.openxmlformats.org/officeDocument/2006/relationships/hyperlink" Target="https://drive.google.com/file/d/1YdxVCrqCKB2IhPmEjmI3enR0CnpLLtYZ/view?usp=sharing" TargetMode="External"/><Relationship Id="rId64" Type="http://schemas.openxmlformats.org/officeDocument/2006/relationships/hyperlink" Target="http://calendly.com/" TargetMode="External"/><Relationship Id="rId63" Type="http://schemas.openxmlformats.org/officeDocument/2006/relationships/hyperlink" Target="https://drive.google.com/file/d/1hfZl5u33jLRHizH-t5QZsOhlwNoiUSfh/view?usp=sharing" TargetMode="External"/><Relationship Id="rId66" Type="http://schemas.openxmlformats.org/officeDocument/2006/relationships/hyperlink" Target="http://simwas.bandungkab.go.id/" TargetMode="External"/><Relationship Id="rId65" Type="http://schemas.openxmlformats.org/officeDocument/2006/relationships/hyperlink" Target="https://calendly.com/inspekkabbdg/santai-saranatanyaapipinteraktif" TargetMode="External"/><Relationship Id="rId68" Type="http://schemas.openxmlformats.org/officeDocument/2006/relationships/hyperlink" Target="http://simpeldisdik.bandungkab.go.id/Sukizah" TargetMode="External"/><Relationship Id="rId67" Type="http://schemas.openxmlformats.org/officeDocument/2006/relationships/hyperlink" Target="https://simaslahat.bandungkab.go.id/" TargetMode="External"/><Relationship Id="rId60" Type="http://schemas.openxmlformats.org/officeDocument/2006/relationships/hyperlink" Target="https://aplikasi.bandungkab.go.id/publik/dashboard-kunjungan-dprd-kab-bandung" TargetMode="External"/><Relationship Id="rId69" Type="http://schemas.openxmlformats.org/officeDocument/2006/relationships/hyperlink" Target="https://dapo.kemendikdasmen.go.id/" TargetMode="External"/><Relationship Id="rId51" Type="http://schemas.openxmlformats.org/officeDocument/2006/relationships/hyperlink" Target="https://e-lkpj.id/bandungkab/web/index.php?r=dashboard%2Flogin" TargetMode="External"/><Relationship Id="rId50" Type="http://schemas.openxmlformats.org/officeDocument/2006/relationships/hyperlink" Target="https://simbangun.bandungkab.go.id/" TargetMode="External"/><Relationship Id="rId53" Type="http://schemas.openxmlformats.org/officeDocument/2006/relationships/hyperlink" Target="https://spse.inaproc.id/bandungkab" TargetMode="External"/><Relationship Id="rId52" Type="http://schemas.openxmlformats.org/officeDocument/2006/relationships/hyperlink" Target="https://drive.google.com/file/d/1bfEasna0yACDkjKfdw6Q1Zy2Ku88gtKx/view?usp=sharing" TargetMode="External"/><Relationship Id="rId55" Type="http://schemas.openxmlformats.org/officeDocument/2006/relationships/hyperlink" Target="http://ap.m.kp/" TargetMode="External"/><Relationship Id="rId54" Type="http://schemas.openxmlformats.org/officeDocument/2006/relationships/hyperlink" Target="https://aplikasi.bandungkab.go.id/publik/dashboard-pendataan-profil-sppg-aktif-untuk-satgas-mbg" TargetMode="External"/><Relationship Id="rId57" Type="http://schemas.openxmlformats.org/officeDocument/2006/relationships/hyperlink" Target="http://ap.m.kp/" TargetMode="External"/><Relationship Id="rId56" Type="http://schemas.openxmlformats.org/officeDocument/2006/relationships/hyperlink" Target="https://www.appsheet.com/Account/Login?appName=DBHCHT%20App&amp;FullScope=False&amp;provider=google&amp;returnUrl=https%3A%2F%2Fwww.appsheet.com%2Fstart%2F93891b63-df85-4aa1-a7bf-d007dfa96cf8%3Fplatform%3Ddesktop" TargetMode="External"/><Relationship Id="rId59" Type="http://schemas.openxmlformats.org/officeDocument/2006/relationships/hyperlink" Target="https://jdihdprd.bandungkab.go.id/" TargetMode="External"/><Relationship Id="rId58" Type="http://schemas.openxmlformats.org/officeDocument/2006/relationships/hyperlink" Target="https://drive.google.com/file/d/1Xev2F7vScZDTlBaqHqPh8lzFUMNB_y8a/view?usp=sharing" TargetMode="External"/><Relationship Id="rId107" Type="http://schemas.openxmlformats.org/officeDocument/2006/relationships/hyperlink" Target="https://drive.google.com/drive/folders/1Uinu-ZgkI_8xZeYLw7yaEW1HRhG7prDv?usp=drive_link" TargetMode="External"/><Relationship Id="rId228" Type="http://schemas.openxmlformats.org/officeDocument/2006/relationships/hyperlink" Target="https://drive.google.com/drive/folders/1Ejl6GsPadSWWZ-gXvbwNU62zsG4t_RcK?usp=drive_link" TargetMode="External"/><Relationship Id="rId349" Type="http://schemas.openxmlformats.org/officeDocument/2006/relationships/hyperlink" Target="http://a.md/" TargetMode="External"/><Relationship Id="rId106" Type="http://schemas.openxmlformats.org/officeDocument/2006/relationships/hyperlink" Target="https://drive.google.com/file/d/1Ramy4vxff2nlZwmQYryTo4j9HIjXgRt2/view?usp=sharing" TargetMode="External"/><Relationship Id="rId227" Type="http://schemas.openxmlformats.org/officeDocument/2006/relationships/hyperlink" Target="http://ppid.bandungkab.go.id/" TargetMode="External"/><Relationship Id="rId348" Type="http://schemas.openxmlformats.org/officeDocument/2006/relationships/hyperlink" Target="https://e-retribusi.bandungkab.go.id/" TargetMode="External"/><Relationship Id="rId469" Type="http://schemas.openxmlformats.org/officeDocument/2006/relationships/hyperlink" Target="http://simpelbkpsdm.bandungkab.go.id/" TargetMode="External"/><Relationship Id="rId105" Type="http://schemas.openxmlformats.org/officeDocument/2006/relationships/hyperlink" Target="http://s.st/" TargetMode="External"/><Relationship Id="rId226" Type="http://schemas.openxmlformats.org/officeDocument/2006/relationships/hyperlink" Target="https://drive.google.com/drive/folders/1Ejl6GsPadSWWZ-gXvbwNU62zsG4t_RcK?usp=drive_link" TargetMode="External"/><Relationship Id="rId347" Type="http://schemas.openxmlformats.org/officeDocument/2006/relationships/hyperlink" Target="https://simgajiweb.taspen.co.id/" TargetMode="External"/><Relationship Id="rId468" Type="http://schemas.openxmlformats.org/officeDocument/2006/relationships/hyperlink" Target="http://dkijabarbanten.sitb.id/" TargetMode="External"/><Relationship Id="rId104" Type="http://schemas.openxmlformats.org/officeDocument/2006/relationships/hyperlink" Target="https://drive.google.com/file/d/1Ramy4vxff2nlZwmQYryTo4j9HIjXgRt2/view?usp=sharing" TargetMode="External"/><Relationship Id="rId225" Type="http://schemas.openxmlformats.org/officeDocument/2006/relationships/hyperlink" Target="https://drive.google.com/drive/folders/1Ejl6GsPadSWWZ-gXvbwNU62zsG4t_RcK?usp=drive_link" TargetMode="External"/><Relationship Id="rId346" Type="http://schemas.openxmlformats.org/officeDocument/2006/relationships/hyperlink" Target="http://persediaanbmd.bandungkab.go.id/" TargetMode="External"/><Relationship Id="rId467" Type="http://schemas.openxmlformats.org/officeDocument/2006/relationships/hyperlink" Target="https://drive.google.com/drive/folders/1MppwIbicgeJnTSmBS08CzfVFAUOfmdja?usp=sharing" TargetMode="External"/><Relationship Id="rId109" Type="http://schemas.openxmlformats.org/officeDocument/2006/relationships/hyperlink" Target="https://dashnaker.bandungkab.go.id/login" TargetMode="External"/><Relationship Id="rId108" Type="http://schemas.openxmlformats.org/officeDocument/2006/relationships/hyperlink" Target="http://siapkerja.kemnaker.go.id/" TargetMode="External"/><Relationship Id="rId229" Type="http://schemas.openxmlformats.org/officeDocument/2006/relationships/hyperlink" Target="https://drive.google.com/drive/u/1/folders/1OmZJCQ07S-vIbWQDO6jSHpZyJaE2oGJM" TargetMode="External"/><Relationship Id="rId220" Type="http://schemas.openxmlformats.org/officeDocument/2006/relationships/hyperlink" Target="https://bit.ly/3J7M46m?r=qr" TargetMode="External"/><Relationship Id="rId341" Type="http://schemas.openxmlformats.org/officeDocument/2006/relationships/hyperlink" Target="https://rkbmd.e-planningbmd.id/" TargetMode="External"/><Relationship Id="rId462" Type="http://schemas.openxmlformats.org/officeDocument/2006/relationships/hyperlink" Target="https://e-sptpd.bandungkab.go.id/" TargetMode="External"/><Relationship Id="rId340" Type="http://schemas.openxmlformats.org/officeDocument/2006/relationships/hyperlink" Target="https://aspak.kemkes.go.id/aplikasi/site/index" TargetMode="External"/><Relationship Id="rId461" Type="http://schemas.openxmlformats.org/officeDocument/2006/relationships/hyperlink" Target="https://simaslahat.bandungkab.go.id/login" TargetMode="External"/><Relationship Id="rId460" Type="http://schemas.openxmlformats.org/officeDocument/2006/relationships/hyperlink" Target="https://sirup.inaproc.id/sirup/loginctr/index" TargetMode="External"/><Relationship Id="rId103" Type="http://schemas.openxmlformats.org/officeDocument/2006/relationships/hyperlink" Target="https://drive.google.com/file/d/1Ramy4vxff2nlZwmQYryTo4j9HIjXgRt2/view?usp=sharing" TargetMode="External"/><Relationship Id="rId224" Type="http://schemas.openxmlformats.org/officeDocument/2006/relationships/hyperlink" Target="https://drive.google.com/drive/folders/1Ejl6GsPadSWWZ-gXvbwNU62zsG4t_RcK?usp=drive_link" TargetMode="External"/><Relationship Id="rId345" Type="http://schemas.openxmlformats.org/officeDocument/2006/relationships/hyperlink" Target="https://ee.kobotoolbox.org/x/YQp13dFa" TargetMode="External"/><Relationship Id="rId466" Type="http://schemas.openxmlformats.org/officeDocument/2006/relationships/hyperlink" Target="https://sirekonpajak.bandungkab.go.id/" TargetMode="External"/><Relationship Id="rId102" Type="http://schemas.openxmlformats.org/officeDocument/2006/relationships/hyperlink" Target="https://drive.google.com/file/d/1Ramy4vxff2nlZwmQYryTo4j9HIjXgRt2/view?usp=sharing" TargetMode="External"/><Relationship Id="rId223" Type="http://schemas.openxmlformats.org/officeDocument/2006/relationships/hyperlink" Target="https://drive.google.com/drive/folders/1Ejl6GsPadSWWZ-gXvbwNU62zsG4t_RcK?usp=drive_link" TargetMode="External"/><Relationship Id="rId344" Type="http://schemas.openxmlformats.org/officeDocument/2006/relationships/hyperlink" Target="http://simpel.menlhk.go.id/" TargetMode="External"/><Relationship Id="rId465" Type="http://schemas.openxmlformats.org/officeDocument/2006/relationships/hyperlink" Target="https://coretaxdjp.pajak.go.id/" TargetMode="External"/><Relationship Id="rId101" Type="http://schemas.openxmlformats.org/officeDocument/2006/relationships/hyperlink" Target="https://drive.google.com/file/d/1Ramy4vxff2nlZwmQYryTo4j9HIjXgRt2/view?usp=sharing" TargetMode="External"/><Relationship Id="rId222" Type="http://schemas.openxmlformats.org/officeDocument/2006/relationships/hyperlink" Target="https://bit.ly/4maEzdy?r=qr" TargetMode="External"/><Relationship Id="rId343" Type="http://schemas.openxmlformats.org/officeDocument/2006/relationships/hyperlink" Target="https://drive.google.com/drive/folders/1vjgfqjMxOGjNMjW_D5TVCMti_1yMqG0T?usp=sharing" TargetMode="External"/><Relationship Id="rId464" Type="http://schemas.openxmlformats.org/officeDocument/2006/relationships/hyperlink" Target="https://sisrute.kemkes.go.id/" TargetMode="External"/><Relationship Id="rId100" Type="http://schemas.openxmlformats.org/officeDocument/2006/relationships/hyperlink" Target="https://drive.google.com/file/d/1Ramy4vxff2nlZwmQYryTo4j9HIjXgRt2/view?usp=sharing" TargetMode="External"/><Relationship Id="rId221" Type="http://schemas.openxmlformats.org/officeDocument/2006/relationships/hyperlink" Target="https://drive.google.com/drive/folders/1Ejl6GsPadSWWZ-gXvbwNU62zsG4t_RcK?usp=drive_link" TargetMode="External"/><Relationship Id="rId342" Type="http://schemas.openxmlformats.org/officeDocument/2006/relationships/hyperlink" Target="https://drive.google.com/file/d/1T1U4oNUqZS1NcFlgpFY6CJRp0CcQqlBv/view?usp=drive_link" TargetMode="External"/><Relationship Id="rId463" Type="http://schemas.openxmlformats.org/officeDocument/2006/relationships/hyperlink" Target="https://simasda.bandungkab.go.id/" TargetMode="External"/><Relationship Id="rId217" Type="http://schemas.openxmlformats.org/officeDocument/2006/relationships/hyperlink" Target="https://drive.google.com/drive/folders/1Ejl6GsPadSWWZ-gXvbwNU62zsG4t_RcK?usp=drive_link" TargetMode="External"/><Relationship Id="rId338" Type="http://schemas.openxmlformats.org/officeDocument/2006/relationships/hyperlink" Target="http://a.md/" TargetMode="External"/><Relationship Id="rId459" Type="http://schemas.openxmlformats.org/officeDocument/2006/relationships/hyperlink" Target="https://sipd.kemendagri.go.id/" TargetMode="External"/><Relationship Id="rId216" Type="http://schemas.openxmlformats.org/officeDocument/2006/relationships/hyperlink" Target="https://apar.bandungkab.go.id/" TargetMode="External"/><Relationship Id="rId337" Type="http://schemas.openxmlformats.org/officeDocument/2006/relationships/hyperlink" Target="https://hfis.bpjs-kesehatan.go.id/hfis/login?hfis" TargetMode="External"/><Relationship Id="rId458" Type="http://schemas.openxmlformats.org/officeDocument/2006/relationships/hyperlink" Target="https://e-retribusi.bandungkab.go.id/" TargetMode="External"/><Relationship Id="rId215" Type="http://schemas.openxmlformats.org/officeDocument/2006/relationships/hyperlink" Target="https://drive.google.com/drive/folders/1Ejl6GsPadSWWZ-gXvbwNU62zsG4t_RcK?usp=drive_link" TargetMode="External"/><Relationship Id="rId336" Type="http://schemas.openxmlformats.org/officeDocument/2006/relationships/hyperlink" Target="http://a.md/" TargetMode="External"/><Relationship Id="rId457" Type="http://schemas.openxmlformats.org/officeDocument/2006/relationships/hyperlink" Target="https://simgajiweb.taspen.co.id/" TargetMode="External"/><Relationship Id="rId214" Type="http://schemas.openxmlformats.org/officeDocument/2006/relationships/hyperlink" Target="https://ipusnas2.perpusnas.go.id/login" TargetMode="External"/><Relationship Id="rId335" Type="http://schemas.openxmlformats.org/officeDocument/2006/relationships/hyperlink" Target="https://mutufasyankes.kemkes.go.id/" TargetMode="External"/><Relationship Id="rId456" Type="http://schemas.openxmlformats.org/officeDocument/2006/relationships/hyperlink" Target="http://bdskts.id/" TargetMode="External"/><Relationship Id="rId219" Type="http://schemas.openxmlformats.org/officeDocument/2006/relationships/hyperlink" Target="https://drive.google.com/drive/folders/1Ejl6GsPadSWWZ-gXvbwNU62zsG4t_RcK?usp=drive_link" TargetMode="External"/><Relationship Id="rId218" Type="http://schemas.openxmlformats.org/officeDocument/2006/relationships/hyperlink" Target="https://apar.bandungkab.go.id/" TargetMode="External"/><Relationship Id="rId339" Type="http://schemas.openxmlformats.org/officeDocument/2006/relationships/hyperlink" Target="http://gmail.com/" TargetMode="External"/><Relationship Id="rId330" Type="http://schemas.openxmlformats.org/officeDocument/2006/relationships/hyperlink" Target="https://skm.bandungkab.go.id/" TargetMode="External"/><Relationship Id="rId451" Type="http://schemas.openxmlformats.org/officeDocument/2006/relationships/hyperlink" Target="https://www.lapor.go.id/" TargetMode="External"/><Relationship Id="rId450" Type="http://schemas.openxmlformats.org/officeDocument/2006/relationships/hyperlink" Target="https://sippn.menpan.go.id/" TargetMode="External"/><Relationship Id="rId213" Type="http://schemas.openxmlformats.org/officeDocument/2006/relationships/hyperlink" Target="http://srikandi.arsip.go.id/" TargetMode="External"/><Relationship Id="rId334" Type="http://schemas.openxmlformats.org/officeDocument/2006/relationships/hyperlink" Target="https://apik.bandungkab.go.id/apik/login" TargetMode="External"/><Relationship Id="rId455" Type="http://schemas.openxmlformats.org/officeDocument/2006/relationships/hyperlink" Target="https://aspak.kemkes.go.id/aplikasi/site/index" TargetMode="External"/><Relationship Id="rId212" Type="http://schemas.openxmlformats.org/officeDocument/2006/relationships/hyperlink" Target="http://sikn.anri.go.id/" TargetMode="External"/><Relationship Id="rId333" Type="http://schemas.openxmlformats.org/officeDocument/2006/relationships/hyperlink" Target="https://ppid.bandungkab.go.id/dashboard" TargetMode="External"/><Relationship Id="rId454" Type="http://schemas.openxmlformats.org/officeDocument/2006/relationships/hyperlink" Target="https://hfis.bpjs-kesehatan.go.id/hfis/login?hfis" TargetMode="External"/><Relationship Id="rId211" Type="http://schemas.openxmlformats.org/officeDocument/2006/relationships/hyperlink" Target="https://perpus.bandungkab.go.id/pendaftaran" TargetMode="External"/><Relationship Id="rId332" Type="http://schemas.openxmlformats.org/officeDocument/2006/relationships/hyperlink" Target="https://www.lapor.go.id/" TargetMode="External"/><Relationship Id="rId453" Type="http://schemas.openxmlformats.org/officeDocument/2006/relationships/hyperlink" Target="https://mutufasyankes.kemkes.go.id/" TargetMode="External"/><Relationship Id="rId210" Type="http://schemas.openxmlformats.org/officeDocument/2006/relationships/hyperlink" Target="https://drive.google.com/file/d/1FL4agfMs9a3tAmDlzxiGL6UA1alZs_Er/view?usp=sharing" TargetMode="External"/><Relationship Id="rId331" Type="http://schemas.openxmlformats.org/officeDocument/2006/relationships/hyperlink" Target="https://sippn.menpan.go.id/" TargetMode="External"/><Relationship Id="rId452" Type="http://schemas.openxmlformats.org/officeDocument/2006/relationships/hyperlink" Target="https://ppid.bandungkab.go.id/dashboard" TargetMode="External"/><Relationship Id="rId370" Type="http://schemas.openxmlformats.org/officeDocument/2006/relationships/hyperlink" Target="https://sippn.menpan.go.id/" TargetMode="External"/><Relationship Id="rId491" Type="http://schemas.openxmlformats.org/officeDocument/2006/relationships/hyperlink" Target="https://sisdmk.kemkes.go.id/satusehat/verifikasi_pekerja" TargetMode="External"/><Relationship Id="rId490" Type="http://schemas.openxmlformats.org/officeDocument/2006/relationships/hyperlink" Target="https://romantik.web.bps.go.id/" TargetMode="External"/><Relationship Id="rId129" Type="http://schemas.openxmlformats.org/officeDocument/2006/relationships/hyperlink" Target="https://sipsn.kemenlh.go.id/sipsn/" TargetMode="External"/><Relationship Id="rId128" Type="http://schemas.openxmlformats.org/officeDocument/2006/relationships/hyperlink" Target="https://sampahkita.jabarprov.go.id/" TargetMode="External"/><Relationship Id="rId249" Type="http://schemas.openxmlformats.org/officeDocument/2006/relationships/hyperlink" Target="https://drive.google.com/file/d/18x4SyFaMTJIHq1ORgmmghi6RwxlrdqOk/view?usp=sharing" TargetMode="External"/><Relationship Id="rId127" Type="http://schemas.openxmlformats.org/officeDocument/2006/relationships/hyperlink" Target="https://skm.bandungkab.go.id/" TargetMode="External"/><Relationship Id="rId248" Type="http://schemas.openxmlformats.org/officeDocument/2006/relationships/hyperlink" Target="mailto:dediradi@gmail.com" TargetMode="External"/><Relationship Id="rId369" Type="http://schemas.openxmlformats.org/officeDocument/2006/relationships/hyperlink" Target="https://skm.bandungkab.go.id/" TargetMode="External"/><Relationship Id="rId126" Type="http://schemas.openxmlformats.org/officeDocument/2006/relationships/hyperlink" Target="http://amdalnet.kemenlh.go.id/" TargetMode="External"/><Relationship Id="rId247" Type="http://schemas.openxmlformats.org/officeDocument/2006/relationships/hyperlink" Target="https://sso.bandungkab.go.id/" TargetMode="External"/><Relationship Id="rId368" Type="http://schemas.openxmlformats.org/officeDocument/2006/relationships/hyperlink" Target="https://sidalmonep.bandungkab.go.id/app" TargetMode="External"/><Relationship Id="rId489" Type="http://schemas.openxmlformats.org/officeDocument/2006/relationships/hyperlink" Target="https://drive.google.com/drive/folders/1msJHh9jrvyH7j0q1rPu11WaF49MEVukW" TargetMode="External"/><Relationship Id="rId121" Type="http://schemas.openxmlformats.org/officeDocument/2006/relationships/hyperlink" Target="https://dp2kbp3a.bandungkab.go.id/sappana/" TargetMode="External"/><Relationship Id="rId242" Type="http://schemas.openxmlformats.org/officeDocument/2006/relationships/hyperlink" Target="https://simasda.bandungkab.go.id/" TargetMode="External"/><Relationship Id="rId363" Type="http://schemas.openxmlformats.org/officeDocument/2006/relationships/hyperlink" Target="http://sultan.banadungkab.go.id/" TargetMode="External"/><Relationship Id="rId484" Type="http://schemas.openxmlformats.org/officeDocument/2006/relationships/hyperlink" Target="https://e-absensi.bandungkab.go.id/login" TargetMode="External"/><Relationship Id="rId120" Type="http://schemas.openxmlformats.org/officeDocument/2006/relationships/hyperlink" Target="https://drive.google.com/file/d/16ULKF-_fc7--75zz-4n8WtETaChfDzBD/view?usp=sharing" TargetMode="External"/><Relationship Id="rId241" Type="http://schemas.openxmlformats.org/officeDocument/2006/relationships/hyperlink" Target="https://simaslahat.bandungkab.go.id/" TargetMode="External"/><Relationship Id="rId362" Type="http://schemas.openxmlformats.org/officeDocument/2006/relationships/hyperlink" Target="http://simpelbkpsdm.bandungkab.go.id/" TargetMode="External"/><Relationship Id="rId483" Type="http://schemas.openxmlformats.org/officeDocument/2006/relationships/hyperlink" Target="http://sasikapevo.com/" TargetMode="External"/><Relationship Id="rId240" Type="http://schemas.openxmlformats.org/officeDocument/2006/relationships/hyperlink" Target="http://simwas.bandungkab.go.id/" TargetMode="External"/><Relationship Id="rId361" Type="http://schemas.openxmlformats.org/officeDocument/2006/relationships/hyperlink" Target="http://dkijabarbanten.sitb.id/" TargetMode="External"/><Relationship Id="rId482" Type="http://schemas.openxmlformats.org/officeDocument/2006/relationships/hyperlink" Target="https://aspak.kemkes.go.id/aplikasi/site/index" TargetMode="External"/><Relationship Id="rId360" Type="http://schemas.openxmlformats.org/officeDocument/2006/relationships/hyperlink" Target="https://drive.google.com/drive/folders/1MppwIbicgeJnTSmBS08CzfVFAUOfmdja?usp=sharing" TargetMode="External"/><Relationship Id="rId481" Type="http://schemas.openxmlformats.org/officeDocument/2006/relationships/hyperlink" Target="https://hfis.bpjs-kesehatan.go.id/hfis/login?hfis" TargetMode="External"/><Relationship Id="rId125" Type="http://schemas.openxmlformats.org/officeDocument/2006/relationships/hyperlink" Target="https://www.lapor.go.id/" TargetMode="External"/><Relationship Id="rId246" Type="http://schemas.openxmlformats.org/officeDocument/2006/relationships/hyperlink" Target="https://persediaanbmd.bandungkab.go.id/" TargetMode="External"/><Relationship Id="rId367" Type="http://schemas.openxmlformats.org/officeDocument/2006/relationships/hyperlink" Target="https://e-lkpj.id/login" TargetMode="External"/><Relationship Id="rId488" Type="http://schemas.openxmlformats.org/officeDocument/2006/relationships/hyperlink" Target="https://ujiprof.labkesjabar.com/" TargetMode="External"/><Relationship Id="rId124" Type="http://schemas.openxmlformats.org/officeDocument/2006/relationships/hyperlink" Target="https://dp2kbp3a.bandungkab.go.id/apps/perlindungan-anak/" TargetMode="External"/><Relationship Id="rId245" Type="http://schemas.openxmlformats.org/officeDocument/2006/relationships/hyperlink" Target="https://rkbmd.e-planningbmd.id/" TargetMode="External"/><Relationship Id="rId366" Type="http://schemas.openxmlformats.org/officeDocument/2006/relationships/hyperlink" Target="http://sirs.kemkes.go.id/" TargetMode="External"/><Relationship Id="rId487" Type="http://schemas.openxmlformats.org/officeDocument/2006/relationships/hyperlink" Target="https://akun-yankes.kemkes.go.id/" TargetMode="External"/><Relationship Id="rId123" Type="http://schemas.openxmlformats.org/officeDocument/2006/relationships/hyperlink" Target="https://simfonippa.kemenpppa.go.id/" TargetMode="External"/><Relationship Id="rId244" Type="http://schemas.openxmlformats.org/officeDocument/2006/relationships/hyperlink" Target="https://romantik.web.bps.go.id/" TargetMode="External"/><Relationship Id="rId365" Type="http://schemas.openxmlformats.org/officeDocument/2006/relationships/hyperlink" Target="http://sisdmk.kemkes.go.id/" TargetMode="External"/><Relationship Id="rId486" Type="http://schemas.openxmlformats.org/officeDocument/2006/relationships/hyperlink" Target="https://drive.google.com/drive/u/1/folders/12dUcuD3FJiM5lhmxZqNrZc05M-qKTqaU" TargetMode="External"/><Relationship Id="rId122" Type="http://schemas.openxmlformats.org/officeDocument/2006/relationships/hyperlink" Target="https://docs.google.com/spreadsheets/d/1f2FpxtXLWyTMlao3H1cM7ZWvZY62FNOP/edit?usp=drivesdk&amp;ouid=101319060553117315214&amp;rtpof=true&amp;sd=true" TargetMode="External"/><Relationship Id="rId243" Type="http://schemas.openxmlformats.org/officeDocument/2006/relationships/hyperlink" Target="https://indah.bps.go.id/" TargetMode="External"/><Relationship Id="rId364" Type="http://schemas.openxmlformats.org/officeDocument/2006/relationships/hyperlink" Target="http://sso.bandungkab.go.id/" TargetMode="External"/><Relationship Id="rId485" Type="http://schemas.openxmlformats.org/officeDocument/2006/relationships/hyperlink" Target="https://keslan.kemkes.go.id/app/siranap/" TargetMode="External"/><Relationship Id="rId95" Type="http://schemas.openxmlformats.org/officeDocument/2006/relationships/hyperlink" Target="https://drive.google.com/drive/folders/1dJpV-zPgcGeUPh1r03v0LvnCMsf7y8oq?hl=id" TargetMode="External"/><Relationship Id="rId94" Type="http://schemas.openxmlformats.org/officeDocument/2006/relationships/hyperlink" Target="https://linktr.ee/SIBEDASOK" TargetMode="External"/><Relationship Id="rId97" Type="http://schemas.openxmlformats.org/officeDocument/2006/relationships/hyperlink" Target="https://aplikasi.bandungkab.com/publik/landing-page-aplikasi-sipikat" TargetMode="External"/><Relationship Id="rId96" Type="http://schemas.openxmlformats.org/officeDocument/2006/relationships/hyperlink" Target="https://drive.google.com/file/d/1kvVSSjFHbdSKP4vPWzb0wDWs5x8kMCbU/view?usp=sharing" TargetMode="External"/><Relationship Id="rId99" Type="http://schemas.openxmlformats.org/officeDocument/2006/relationships/hyperlink" Target="https://dibedasken.bandungkab.go.id/" TargetMode="External"/><Relationship Id="rId480" Type="http://schemas.openxmlformats.org/officeDocument/2006/relationships/hyperlink" Target="https://mutufasyankes.kemkes.go.id/" TargetMode="External"/><Relationship Id="rId98" Type="http://schemas.openxmlformats.org/officeDocument/2006/relationships/hyperlink" Target="https://drive.google.com/file/d/1Ramy4vxff2nlZwmQYryTo4j9HIjXgRt2/view?usp=sharing" TargetMode="External"/><Relationship Id="rId91" Type="http://schemas.openxmlformats.org/officeDocument/2006/relationships/hyperlink" Target="https://sijaga.kabbdg.com/" TargetMode="External"/><Relationship Id="rId90" Type="http://schemas.openxmlformats.org/officeDocument/2006/relationships/hyperlink" Target="https://drive.google.com/drive/folders/1foPXyzm-sQ7KaSp-qTysnVqAWt_Dif53?hl=id" TargetMode="External"/><Relationship Id="rId93" Type="http://schemas.openxmlformats.org/officeDocument/2006/relationships/hyperlink" Target="https://sibedasjakon.bandungkab.go.id/" TargetMode="External"/><Relationship Id="rId92" Type="http://schemas.openxmlformats.org/officeDocument/2006/relationships/hyperlink" Target="https://drive.google.com/drive/folders/1sHKD9PH8GG_yqtIurnieYvG1qyHCbekF?hl=id" TargetMode="External"/><Relationship Id="rId118" Type="http://schemas.openxmlformats.org/officeDocument/2006/relationships/hyperlink" Target="https://dp2kbp3a.bandungkab.go.id/pprg/" TargetMode="External"/><Relationship Id="rId239" Type="http://schemas.openxmlformats.org/officeDocument/2006/relationships/hyperlink" Target="https://bajuri.bandungkab.go.id/" TargetMode="External"/><Relationship Id="rId117" Type="http://schemas.openxmlformats.org/officeDocument/2006/relationships/hyperlink" Target="https://drive.google.com/file/d/1qhJbKAh0RXizTZVD-lHLPJTl4ZBGbOzZ/view?usp=sharing" TargetMode="External"/><Relationship Id="rId238" Type="http://schemas.openxmlformats.org/officeDocument/2006/relationships/hyperlink" Target="https://drive.google.com/file/d/1JhS_khzdBgbJD9WfRdXNmMfYuI_ppqJR/view?usp=sharing" TargetMode="External"/><Relationship Id="rId359" Type="http://schemas.openxmlformats.org/officeDocument/2006/relationships/hyperlink" Target="https://mpn.kemenkeu.go.id/" TargetMode="External"/><Relationship Id="rId116" Type="http://schemas.openxmlformats.org/officeDocument/2006/relationships/hyperlink" Target="https://dp2kbp3a.bandungkab.go.id/ppa/" TargetMode="External"/><Relationship Id="rId237" Type="http://schemas.openxmlformats.org/officeDocument/2006/relationships/hyperlink" Target="http://sidalmonep.bandungkab.go.id/" TargetMode="External"/><Relationship Id="rId358" Type="http://schemas.openxmlformats.org/officeDocument/2006/relationships/hyperlink" Target="https://sirekonpajak.bandungkab.go.id/" TargetMode="External"/><Relationship Id="rId479" Type="http://schemas.openxmlformats.org/officeDocument/2006/relationships/hyperlink" Target="https://ppid.bandungkab.go.id/dashboard" TargetMode="External"/><Relationship Id="rId115" Type="http://schemas.openxmlformats.org/officeDocument/2006/relationships/hyperlink" Target="https://drive.google.com/file/d/13kiJLOSVRFOj2CqIpMMxJSxRVwkT4VuN/view?usp=drive_link" TargetMode="External"/><Relationship Id="rId236" Type="http://schemas.openxmlformats.org/officeDocument/2006/relationships/hyperlink" Target="https://drive.google.com/file/d/1AyIKCXVfBqPx9cvvRoccmxKK7sXqNBS7/view?usp=drive_link" TargetMode="External"/><Relationship Id="rId357" Type="http://schemas.openxmlformats.org/officeDocument/2006/relationships/hyperlink" Target="https://coretaxdjp.pajak.go.id/" TargetMode="External"/><Relationship Id="rId478" Type="http://schemas.openxmlformats.org/officeDocument/2006/relationships/hyperlink" Target="https://www.lapor.go.id/" TargetMode="External"/><Relationship Id="rId119" Type="http://schemas.openxmlformats.org/officeDocument/2006/relationships/hyperlink" Target="https://siga.bkkbn.go.id/" TargetMode="External"/><Relationship Id="rId110" Type="http://schemas.openxmlformats.org/officeDocument/2006/relationships/hyperlink" Target="https://dashnaker.bandungkab.go.id/login" TargetMode="External"/><Relationship Id="rId231" Type="http://schemas.openxmlformats.org/officeDocument/2006/relationships/hyperlink" Target="https://drive.google.com/file/d/1U5Ce3fAIo3YOESTLI_rdag9_xK_sncgn/view?usp=sharing" TargetMode="External"/><Relationship Id="rId352" Type="http://schemas.openxmlformats.org/officeDocument/2006/relationships/hyperlink" Target="https://sirup.inaproc.id/sirup/loginctr/index" TargetMode="External"/><Relationship Id="rId473" Type="http://schemas.openxmlformats.org/officeDocument/2006/relationships/hyperlink" Target="http://sirs.kemkes.go.id/" TargetMode="External"/><Relationship Id="rId230" Type="http://schemas.openxmlformats.org/officeDocument/2006/relationships/hyperlink" Target="https://simbarraya.bandungkab.go.id/" TargetMode="External"/><Relationship Id="rId351" Type="http://schemas.openxmlformats.org/officeDocument/2006/relationships/hyperlink" Target="http://a.md/" TargetMode="External"/><Relationship Id="rId472" Type="http://schemas.openxmlformats.org/officeDocument/2006/relationships/hyperlink" Target="http://sisdmk.kemkes.go.id/" TargetMode="External"/><Relationship Id="rId350" Type="http://schemas.openxmlformats.org/officeDocument/2006/relationships/hyperlink" Target="https://sipd.kemendagri.go.id/" TargetMode="External"/><Relationship Id="rId471" Type="http://schemas.openxmlformats.org/officeDocument/2006/relationships/hyperlink" Target="http://sso.bandungkab.go.id/" TargetMode="External"/><Relationship Id="rId470" Type="http://schemas.openxmlformats.org/officeDocument/2006/relationships/hyperlink" Target="http://sultan.banadungkab.go.id/" TargetMode="External"/><Relationship Id="rId114" Type="http://schemas.openxmlformats.org/officeDocument/2006/relationships/hyperlink" Target="https://lapor.go.id/" TargetMode="External"/><Relationship Id="rId235" Type="http://schemas.openxmlformats.org/officeDocument/2006/relationships/hyperlink" Target="https://apik.bandungkab.go.id/apik/login" TargetMode="External"/><Relationship Id="rId356" Type="http://schemas.openxmlformats.org/officeDocument/2006/relationships/hyperlink" Target="https://sisrute.kemkes.go.id/" TargetMode="External"/><Relationship Id="rId477" Type="http://schemas.openxmlformats.org/officeDocument/2006/relationships/hyperlink" Target="https://skm.bandungkab.go.id/" TargetMode="External"/><Relationship Id="rId113" Type="http://schemas.openxmlformats.org/officeDocument/2006/relationships/hyperlink" Target="https://drive.google.com/file/d/1RN-b5_l9kJj-scl7TBdLekEgqnmJB0Ym/view?usp=drive_link" TargetMode="External"/><Relationship Id="rId234" Type="http://schemas.openxmlformats.org/officeDocument/2006/relationships/hyperlink" Target="https://drive.google.com/file/d/1U5Ce3fAIo3YOESTLI_rdag9_xK_sncgn/view?usp=sharing" TargetMode="External"/><Relationship Id="rId355" Type="http://schemas.openxmlformats.org/officeDocument/2006/relationships/hyperlink" Target="https://simasda.bandungkab.go.id/" TargetMode="External"/><Relationship Id="rId476" Type="http://schemas.openxmlformats.org/officeDocument/2006/relationships/hyperlink" Target="https://sidalmonep.bandungkab.go.id/app" TargetMode="External"/><Relationship Id="rId112" Type="http://schemas.openxmlformats.org/officeDocument/2006/relationships/hyperlink" Target="http://sibarduktrans.transmigrasi.go.id/" TargetMode="External"/><Relationship Id="rId233" Type="http://schemas.openxmlformats.org/officeDocument/2006/relationships/hyperlink" Target="https://drive.google.com/file/d/1U5Ce3fAIo3YOESTLI_rdag9_xK_sncgn/view?usp=sharing" TargetMode="External"/><Relationship Id="rId354" Type="http://schemas.openxmlformats.org/officeDocument/2006/relationships/hyperlink" Target="https://e-sptpd.bandungkab.go.id/" TargetMode="External"/><Relationship Id="rId475" Type="http://schemas.openxmlformats.org/officeDocument/2006/relationships/hyperlink" Target="https://e-lkpj.id/login" TargetMode="External"/><Relationship Id="rId111" Type="http://schemas.openxmlformats.org/officeDocument/2006/relationships/hyperlink" Target="http://siapkerja.kemnaker.go.id/" TargetMode="External"/><Relationship Id="rId232" Type="http://schemas.openxmlformats.org/officeDocument/2006/relationships/hyperlink" Target="https://apik.bandungkab.go.id/apik/login" TargetMode="External"/><Relationship Id="rId353" Type="http://schemas.openxmlformats.org/officeDocument/2006/relationships/hyperlink" Target="https://simaslahat.bandungkab.go.id/login" TargetMode="External"/><Relationship Id="rId474" Type="http://schemas.openxmlformats.org/officeDocument/2006/relationships/hyperlink" Target="http://sirs.kemkes.go.id/" TargetMode="External"/><Relationship Id="rId305" Type="http://schemas.openxmlformats.org/officeDocument/2006/relationships/hyperlink" Target="http://simpel.menlhk.go.id/" TargetMode="External"/><Relationship Id="rId426" Type="http://schemas.openxmlformats.org/officeDocument/2006/relationships/hyperlink" Target="http://s.tr/" TargetMode="External"/><Relationship Id="rId547" Type="http://schemas.openxmlformats.org/officeDocument/2006/relationships/hyperlink" Target="https://aspak.kemkes.go.id/aplikasi/site/index" TargetMode="External"/><Relationship Id="rId304" Type="http://schemas.openxmlformats.org/officeDocument/2006/relationships/hyperlink" Target="https://drive.google.com/drive/folders/1vjgfqjMxOGjNMjW_D5TVCMti_1yMqG0T?usp=sharing" TargetMode="External"/><Relationship Id="rId425" Type="http://schemas.openxmlformats.org/officeDocument/2006/relationships/hyperlink" Target="http://satusehat.kemkes.go.id/sdmk" TargetMode="External"/><Relationship Id="rId546" Type="http://schemas.openxmlformats.org/officeDocument/2006/relationships/hyperlink" Target="https://aspak.kemkes.go.id/aplikasi/infoboard" TargetMode="External"/><Relationship Id="rId303" Type="http://schemas.openxmlformats.org/officeDocument/2006/relationships/hyperlink" Target="https://drive.google.com/file/d/1T1U4oNUqZS1NcFlgpFY6CJRp0CcQqlBv/view?usp=drive_link" TargetMode="External"/><Relationship Id="rId424" Type="http://schemas.openxmlformats.org/officeDocument/2006/relationships/hyperlink" Target="https://edabu.bpjs-kesehatan.go.id/Edabu/Home/Login?AspxAutoDetectCookieSupport=1" TargetMode="External"/><Relationship Id="rId545" Type="http://schemas.openxmlformats.org/officeDocument/2006/relationships/hyperlink" Target="https://dashboard.kemkes.go.id/views/DashboardPemantauanAliranDataSATUSEHAT/Dashboard?%3Aembed=y&amp;%3AisGuestRedirectFromVizportal=y" TargetMode="External"/><Relationship Id="rId302" Type="http://schemas.openxmlformats.org/officeDocument/2006/relationships/hyperlink" Target="https://drive.google.com/drive/folders/1B5BkNR_l7v0dpf1e8Y6cIlWcgjAqRVF5?usp=drive_link" TargetMode="External"/><Relationship Id="rId423" Type="http://schemas.openxmlformats.org/officeDocument/2006/relationships/hyperlink" Target="http://s.tr/" TargetMode="External"/><Relationship Id="rId544" Type="http://schemas.openxmlformats.org/officeDocument/2006/relationships/hyperlink" Target="https://drive.google.com/drive/u/1/folders/1BMJeHVe0f6zjx97q_TOFnGkZBTxNZTBd" TargetMode="External"/><Relationship Id="rId309" Type="http://schemas.openxmlformats.org/officeDocument/2006/relationships/hyperlink" Target="https://e-retribusi.bandungkab.go.id/" TargetMode="External"/><Relationship Id="rId308" Type="http://schemas.openxmlformats.org/officeDocument/2006/relationships/hyperlink" Target="https://simgajiweb.taspen.co.id/" TargetMode="External"/><Relationship Id="rId429" Type="http://schemas.openxmlformats.org/officeDocument/2006/relationships/hyperlink" Target="https://simgajiweb.taspen.co.id/" TargetMode="External"/><Relationship Id="rId307" Type="http://schemas.openxmlformats.org/officeDocument/2006/relationships/hyperlink" Target="http://persediaanbmd.bandungkab.go.id/" TargetMode="External"/><Relationship Id="rId428" Type="http://schemas.openxmlformats.org/officeDocument/2006/relationships/hyperlink" Target="http://persediaanbmd.bandungkab.go.id/" TargetMode="External"/><Relationship Id="rId549" Type="http://schemas.openxmlformats.org/officeDocument/2006/relationships/hyperlink" Target="https://persediaanbmd.bandungkab.go.id/" TargetMode="External"/><Relationship Id="rId306" Type="http://schemas.openxmlformats.org/officeDocument/2006/relationships/hyperlink" Target="https://ee.kobotoolbox.org/x/YQp13dFa" TargetMode="External"/><Relationship Id="rId427" Type="http://schemas.openxmlformats.org/officeDocument/2006/relationships/hyperlink" Target="https://drive.google.com/file/d/1-OkimWi2XkYVZbq8aStpKFlsMtErBFog/view?usp=drivesdk" TargetMode="External"/><Relationship Id="rId548" Type="http://schemas.openxmlformats.org/officeDocument/2006/relationships/hyperlink" Target="https://www.google.com/search?q=Permendagri+No.+47+Tahun+2021&amp;sca_esv=b5455d2c67d11081&amp;sxsrf=ANbL-n6pLzJNj7A9WhrutozNYJWr6m2lMw%3A1773130504901&amp;ei=CNOvadzHNqvp4-EPhIj2mQo&amp;biw=1920&amp;bih=912&amp;ved=2ahUKEwil4_mM8pSTAxWcSnADHeVNOnUQgK4QegQIBRAJ&amp;uact=5&amp;oq=DASAR+HUKUM+simda+bmd+adalah&amp;gs_lp=Egxnd3Mtd2l6LXNlcnAiHERBU0FSIEhVS1VNIHNpbWRhIGJtZCBhZGFsYWgyCBAAGIAEGKIEMgUQABjvBTIIEAAYgAQYogQyBRAAGO8FSOQ9UMcIWMI4cAV4AZABAJgB-AGgAbMVqgEGMC4xMC42uAEDyAEA-AEBmAINoALLCcICChAAGLADGNYEGEfCAggQABiiBBiJBZgDAIgGAZAGCJIHBTUuNy4xoAfbQLIHBTAuNy4xuAemCcIHCDAuMS4xMS4xyAc7gAgA&amp;sclient=gws-wiz-serp&amp;mstk=AUtExfCaaCWeCr7fdG8bKr8fupvBsrUsITsK1-BlHOx0QxiJzuKyiT_mCbfRDH3i79MF9m1B3Rjk7TsG4qM-Au3K-w-H5An4MJCeLW9zQm8sWLQdpn-Vy9KcbEitOE4b0_w78zY7coF_IdRj3r0ZYosKZ8zT2rSt4M370KPK3Z3xhUgHmky0ibC91hNLZNRrHnrmzz5ZgKh3uc9KN6yChHqueLIVlfe6s_uI9uKQvV4xPxo6jKOWcdkNMaXH9HM4arC7L09NtGR6wlqaQbx7VJQ7BCua&amp;csui=3" TargetMode="External"/><Relationship Id="rId301" Type="http://schemas.openxmlformats.org/officeDocument/2006/relationships/hyperlink" Target="https://docs.google.com/spreadsheets/d/1l5-2zqpZNcqk1vc27yahE2fBaLI9m7gY/edit?usp=sharing&amp;ouid=116583022603845992448&amp;rtpof=true&amp;sd=true" TargetMode="External"/><Relationship Id="rId422" Type="http://schemas.openxmlformats.org/officeDocument/2006/relationships/hyperlink" Target="http://satusehat.kemkes.go.id/sdmk" TargetMode="External"/><Relationship Id="rId543" Type="http://schemas.openxmlformats.org/officeDocument/2006/relationships/hyperlink" Target="https://www.google.com/search?q=UU+No.+17+Tahun+2023+tentang+Kesehatan&amp;oq=DASAR+HUKUM+PEMANTAUAN+ALIRAN+DATA+SATU+SEHAT&amp;gs_lcrp=EgZjaHJvbWUyBggAEEUYOTIKCAEQABiABBiiBDIHCAIQABjvBTIKCAMQABiABBiiBDIKCAQQABiABBiiBDIKCAUQABiABBiiBNIBCTEyMTQyajBqN6gCALACAA&amp;sourceid=chrome&amp;ie=UTF-8&amp;mstk=AUtExfCZKJ1P9WGvUjB-3wCnOalSRMrGT_dUye70LmdsJfmvBOt9xRKqwKFUEfjbTlDRzLfM_xWG-qg4MykF0-1iCKMHonr7P6LoKUtHgQwVQQm6_qVu07M500a7dYzujxlVmTAZb4Z_nz68vE_VaQIwIKKnMcTTam9FZS9eIMfm-0a5Gc0&amp;csui=3&amp;ved=2ahUKEwj4qfSH75STAxV1VmwGHYycGRgQgK4QegQIARAD" TargetMode="External"/><Relationship Id="rId300" Type="http://schemas.openxmlformats.org/officeDocument/2006/relationships/hyperlink" Target="http://dibi.bnpb.go.id/" TargetMode="External"/><Relationship Id="rId421" Type="http://schemas.openxmlformats.org/officeDocument/2006/relationships/hyperlink" Target="https://sisdmk.kemkes.go.id/login" TargetMode="External"/><Relationship Id="rId542" Type="http://schemas.openxmlformats.org/officeDocument/2006/relationships/hyperlink" Target="https://sisdmk.kemkes.go.id/satusehat/verifikasi_pekerja" TargetMode="External"/><Relationship Id="rId420" Type="http://schemas.openxmlformats.org/officeDocument/2006/relationships/hyperlink" Target="http://s.tr/" TargetMode="External"/><Relationship Id="rId541" Type="http://schemas.openxmlformats.org/officeDocument/2006/relationships/hyperlink" Target="https://akun-yankes.kemkes.go.id/" TargetMode="External"/><Relationship Id="rId540" Type="http://schemas.openxmlformats.org/officeDocument/2006/relationships/hyperlink" Target="https://mutufasyankes.kemkes.go.id/" TargetMode="External"/><Relationship Id="rId415" Type="http://schemas.openxmlformats.org/officeDocument/2006/relationships/hyperlink" Target="http://192.168.40.89/sikeren" TargetMode="External"/><Relationship Id="rId536" Type="http://schemas.openxmlformats.org/officeDocument/2006/relationships/hyperlink" Target="https://hfis.bpjs-kesehatan.go.id/hfis/login?hfis" TargetMode="External"/><Relationship Id="rId414" Type="http://schemas.openxmlformats.org/officeDocument/2006/relationships/hyperlink" Target="https://rkbmd.e-planningbmd.id/" TargetMode="External"/><Relationship Id="rId535" Type="http://schemas.openxmlformats.org/officeDocument/2006/relationships/hyperlink" Target="https://mutufasyankes.kemkes.go.id/" TargetMode="External"/><Relationship Id="rId413" Type="http://schemas.openxmlformats.org/officeDocument/2006/relationships/hyperlink" Target="https://aspak.kemkes.go.id/aplikasi/site/index" TargetMode="External"/><Relationship Id="rId534" Type="http://schemas.openxmlformats.org/officeDocument/2006/relationships/hyperlink" Target="https://ppid.bandungkab.go.id/dashboard" TargetMode="External"/><Relationship Id="rId412" Type="http://schemas.openxmlformats.org/officeDocument/2006/relationships/hyperlink" Target="https://hfis.bpjs-kesehatan.go.id/hfis/login?hfis" TargetMode="External"/><Relationship Id="rId533" Type="http://schemas.openxmlformats.org/officeDocument/2006/relationships/hyperlink" Target="https://www.lapor.go.id/" TargetMode="External"/><Relationship Id="rId419" Type="http://schemas.openxmlformats.org/officeDocument/2006/relationships/hyperlink" Target="https://dev2.bandungkab.go.id/" TargetMode="External"/><Relationship Id="rId418" Type="http://schemas.openxmlformats.org/officeDocument/2006/relationships/hyperlink" Target="http://s.tr/" TargetMode="External"/><Relationship Id="rId539" Type="http://schemas.openxmlformats.org/officeDocument/2006/relationships/hyperlink" Target="https://dhephl.bandungkab.go.id/" TargetMode="External"/><Relationship Id="rId417" Type="http://schemas.openxmlformats.org/officeDocument/2006/relationships/hyperlink" Target="http://simpelbkpsdm.bandungkab.go.id/" TargetMode="External"/><Relationship Id="rId538" Type="http://schemas.openxmlformats.org/officeDocument/2006/relationships/hyperlink" Target="http://sasikapevo.com/" TargetMode="External"/><Relationship Id="rId416" Type="http://schemas.openxmlformats.org/officeDocument/2006/relationships/hyperlink" Target="https://sipd.kemendagri.go.id/penatausahaan/login" TargetMode="External"/><Relationship Id="rId537" Type="http://schemas.openxmlformats.org/officeDocument/2006/relationships/hyperlink" Target="https://aspak.kemkes.go.id/aplikasi/site/index" TargetMode="External"/><Relationship Id="rId411" Type="http://schemas.openxmlformats.org/officeDocument/2006/relationships/hyperlink" Target="https://mutufasyankes.kemkes.go.id/" TargetMode="External"/><Relationship Id="rId532" Type="http://schemas.openxmlformats.org/officeDocument/2006/relationships/hyperlink" Target="https://skm.bandungkab.go.id/" TargetMode="External"/><Relationship Id="rId410" Type="http://schemas.openxmlformats.org/officeDocument/2006/relationships/hyperlink" Target="https://ppid.bandungkab.go.id/dashboard" TargetMode="External"/><Relationship Id="rId531" Type="http://schemas.openxmlformats.org/officeDocument/2006/relationships/hyperlink" Target="https://sidalmonep.bandungkab.go.id/app" TargetMode="External"/><Relationship Id="rId530" Type="http://schemas.openxmlformats.org/officeDocument/2006/relationships/hyperlink" Target="https://e-lkpj.id/login" TargetMode="External"/><Relationship Id="rId206" Type="http://schemas.openxmlformats.org/officeDocument/2006/relationships/hyperlink" Target="http://m.si/" TargetMode="External"/><Relationship Id="rId327" Type="http://schemas.openxmlformats.org/officeDocument/2006/relationships/hyperlink" Target="http://sirs.kemkes.go.id/" TargetMode="External"/><Relationship Id="rId448" Type="http://schemas.openxmlformats.org/officeDocument/2006/relationships/hyperlink" Target="https://sidalmonep.bandungkab.go.id/app" TargetMode="External"/><Relationship Id="rId205" Type="http://schemas.openxmlformats.org/officeDocument/2006/relationships/hyperlink" Target="https://usahamikro.bandungkab.go.id/" TargetMode="External"/><Relationship Id="rId326" Type="http://schemas.openxmlformats.org/officeDocument/2006/relationships/hyperlink" Target="http://sisdmk.kemkes.go.id/" TargetMode="External"/><Relationship Id="rId447" Type="http://schemas.openxmlformats.org/officeDocument/2006/relationships/hyperlink" Target="https://e-lkpj.id/login" TargetMode="External"/><Relationship Id="rId204" Type="http://schemas.openxmlformats.org/officeDocument/2006/relationships/hyperlink" Target="https://oss.go.id/" TargetMode="External"/><Relationship Id="rId325" Type="http://schemas.openxmlformats.org/officeDocument/2006/relationships/hyperlink" Target="http://sso.bandungkab.go.id/" TargetMode="External"/><Relationship Id="rId446" Type="http://schemas.openxmlformats.org/officeDocument/2006/relationships/hyperlink" Target="http://sirs.kemkes.go.id/" TargetMode="External"/><Relationship Id="rId203" Type="http://schemas.openxmlformats.org/officeDocument/2006/relationships/hyperlink" Target="https://sikoperbedas.bandungkab.go.id/" TargetMode="External"/><Relationship Id="rId324" Type="http://schemas.openxmlformats.org/officeDocument/2006/relationships/hyperlink" Target="http://sultan.banadungkab.go.id/" TargetMode="External"/><Relationship Id="rId445" Type="http://schemas.openxmlformats.org/officeDocument/2006/relationships/hyperlink" Target="http://sirs.kemkes.go.id/" TargetMode="External"/><Relationship Id="rId209" Type="http://schemas.openxmlformats.org/officeDocument/2006/relationships/hyperlink" Target="http://a.ma/" TargetMode="External"/><Relationship Id="rId208" Type="http://schemas.openxmlformats.org/officeDocument/2006/relationships/hyperlink" Target="https://ibandungkab.moco.co.id/" TargetMode="External"/><Relationship Id="rId329" Type="http://schemas.openxmlformats.org/officeDocument/2006/relationships/hyperlink" Target="https://sidalmonep.bandungkab.go.id/app" TargetMode="External"/><Relationship Id="rId207" Type="http://schemas.openxmlformats.org/officeDocument/2006/relationships/hyperlink" Target="https://drive.google.com/file/d/1xLGvVqyQdJTXp_gTo9XoOeAPrmSfoy_q/view?usp=sharing" TargetMode="External"/><Relationship Id="rId328" Type="http://schemas.openxmlformats.org/officeDocument/2006/relationships/hyperlink" Target="https://e-lkpj.id/login" TargetMode="External"/><Relationship Id="rId449" Type="http://schemas.openxmlformats.org/officeDocument/2006/relationships/hyperlink" Target="https://skm.bandungkab.go.id/" TargetMode="External"/><Relationship Id="rId440" Type="http://schemas.openxmlformats.org/officeDocument/2006/relationships/hyperlink" Target="http://dkijabarbanten.sitb.id/" TargetMode="External"/><Relationship Id="rId560" Type="http://schemas.openxmlformats.org/officeDocument/2006/relationships/drawing" Target="../drawings/drawing3.xml"/><Relationship Id="rId202" Type="http://schemas.openxmlformats.org/officeDocument/2006/relationships/hyperlink" Target="http://m.si/" TargetMode="External"/><Relationship Id="rId323" Type="http://schemas.openxmlformats.org/officeDocument/2006/relationships/hyperlink" Target="http://simpelbkpsdm.bandungkab.go.id/" TargetMode="External"/><Relationship Id="rId444" Type="http://schemas.openxmlformats.org/officeDocument/2006/relationships/hyperlink" Target="http://sisdmk.kemkes.go.id/" TargetMode="External"/><Relationship Id="rId201" Type="http://schemas.openxmlformats.org/officeDocument/2006/relationships/hyperlink" Target="https://sibangkitukm.bandungkab.go.id/" TargetMode="External"/><Relationship Id="rId322" Type="http://schemas.openxmlformats.org/officeDocument/2006/relationships/hyperlink" Target="http://dkijabarbanten.sitb.id/" TargetMode="External"/><Relationship Id="rId443" Type="http://schemas.openxmlformats.org/officeDocument/2006/relationships/hyperlink" Target="http://sso.bandungkab.go.id/" TargetMode="External"/><Relationship Id="rId200" Type="http://schemas.openxmlformats.org/officeDocument/2006/relationships/hyperlink" Target="https://parbuddalamangka.jabarprov.go.id/" TargetMode="External"/><Relationship Id="rId321" Type="http://schemas.openxmlformats.org/officeDocument/2006/relationships/hyperlink" Target="https://drive.google.com/drive/folders/1MppwIbicgeJnTSmBS08CzfVFAUOfmdja?usp=sharing" TargetMode="External"/><Relationship Id="rId442" Type="http://schemas.openxmlformats.org/officeDocument/2006/relationships/hyperlink" Target="http://sultan.banadungkab.go.id/" TargetMode="External"/><Relationship Id="rId320" Type="http://schemas.openxmlformats.org/officeDocument/2006/relationships/hyperlink" Target="https://mpn.kemenkeu.go.id/" TargetMode="External"/><Relationship Id="rId441" Type="http://schemas.openxmlformats.org/officeDocument/2006/relationships/hyperlink" Target="http://simpelbkpsdm.bandungkab.go.id/" TargetMode="External"/><Relationship Id="rId316" Type="http://schemas.openxmlformats.org/officeDocument/2006/relationships/hyperlink" Target="https://simasda.bandungkab.go.id/" TargetMode="External"/><Relationship Id="rId437" Type="http://schemas.openxmlformats.org/officeDocument/2006/relationships/hyperlink" Target="https://coretaxdjp.pajak.go.id/" TargetMode="External"/><Relationship Id="rId558" Type="http://schemas.openxmlformats.org/officeDocument/2006/relationships/hyperlink" Target="https://e-lkpj.id/login" TargetMode="External"/><Relationship Id="rId315" Type="http://schemas.openxmlformats.org/officeDocument/2006/relationships/hyperlink" Target="https://e-sptpd.bandungkab.go.id/" TargetMode="External"/><Relationship Id="rId436" Type="http://schemas.openxmlformats.org/officeDocument/2006/relationships/hyperlink" Target="https://sisrute.kemkes.go.id/" TargetMode="External"/><Relationship Id="rId557" Type="http://schemas.openxmlformats.org/officeDocument/2006/relationships/hyperlink" Target="http://s.tr/" TargetMode="External"/><Relationship Id="rId314" Type="http://schemas.openxmlformats.org/officeDocument/2006/relationships/hyperlink" Target="https://simaslahat.bandungkab.go.id/login" TargetMode="External"/><Relationship Id="rId435" Type="http://schemas.openxmlformats.org/officeDocument/2006/relationships/hyperlink" Target="https://simasda.bandungkab.go.id/" TargetMode="External"/><Relationship Id="rId556" Type="http://schemas.openxmlformats.org/officeDocument/2006/relationships/hyperlink" Target="http://sipd.ri.id/" TargetMode="External"/><Relationship Id="rId313" Type="http://schemas.openxmlformats.org/officeDocument/2006/relationships/hyperlink" Target="https://sirup.inaproc.id/sirup/loginctr/index" TargetMode="External"/><Relationship Id="rId434" Type="http://schemas.openxmlformats.org/officeDocument/2006/relationships/hyperlink" Target="https://e-sptpd.bandungkab.go.id/" TargetMode="External"/><Relationship Id="rId555" Type="http://schemas.openxmlformats.org/officeDocument/2006/relationships/hyperlink" Target="http://a.md/" TargetMode="External"/><Relationship Id="rId319" Type="http://schemas.openxmlformats.org/officeDocument/2006/relationships/hyperlink" Target="https://sirekonpajak.bandungkab.go.id/" TargetMode="External"/><Relationship Id="rId318" Type="http://schemas.openxmlformats.org/officeDocument/2006/relationships/hyperlink" Target="https://coretaxdjp.pajak.go.id/" TargetMode="External"/><Relationship Id="rId439" Type="http://schemas.openxmlformats.org/officeDocument/2006/relationships/hyperlink" Target="https://drive.google.com/drive/folders/1MppwIbicgeJnTSmBS08CzfVFAUOfmdja?usp=sharing" TargetMode="External"/><Relationship Id="rId317" Type="http://schemas.openxmlformats.org/officeDocument/2006/relationships/hyperlink" Target="https://sisrute.kemkes.go.id/" TargetMode="External"/><Relationship Id="rId438" Type="http://schemas.openxmlformats.org/officeDocument/2006/relationships/hyperlink" Target="https://sirekonpajak.bandungkab.go.id/" TargetMode="External"/><Relationship Id="rId559" Type="http://schemas.openxmlformats.org/officeDocument/2006/relationships/hyperlink" Target="http://s.tr/" TargetMode="External"/><Relationship Id="rId550" Type="http://schemas.openxmlformats.org/officeDocument/2006/relationships/hyperlink" Target="https://rkbmd.e-planningbmd.id/" TargetMode="External"/><Relationship Id="rId312" Type="http://schemas.openxmlformats.org/officeDocument/2006/relationships/hyperlink" Target="http://a.md/" TargetMode="External"/><Relationship Id="rId433" Type="http://schemas.openxmlformats.org/officeDocument/2006/relationships/hyperlink" Target="https://simaslahat.bandungkab.go.id/login" TargetMode="External"/><Relationship Id="rId554" Type="http://schemas.openxmlformats.org/officeDocument/2006/relationships/hyperlink" Target="https://e-retribusi.bandungkab.go.id/site/login" TargetMode="External"/><Relationship Id="rId311" Type="http://schemas.openxmlformats.org/officeDocument/2006/relationships/hyperlink" Target="https://sipd.kemendagri.go.id/" TargetMode="External"/><Relationship Id="rId432" Type="http://schemas.openxmlformats.org/officeDocument/2006/relationships/hyperlink" Target="https://sirup.inaproc.id/sirup/loginctr/index" TargetMode="External"/><Relationship Id="rId553" Type="http://schemas.openxmlformats.org/officeDocument/2006/relationships/hyperlink" Target="http://a.md/" TargetMode="External"/><Relationship Id="rId310" Type="http://schemas.openxmlformats.org/officeDocument/2006/relationships/hyperlink" Target="http://a.md/" TargetMode="External"/><Relationship Id="rId431" Type="http://schemas.openxmlformats.org/officeDocument/2006/relationships/hyperlink" Target="https://sipd.kemendagri.go.id/" TargetMode="External"/><Relationship Id="rId552" Type="http://schemas.openxmlformats.org/officeDocument/2006/relationships/hyperlink" Target="https://skm.bandungkab.go.id/eskm/22978" TargetMode="External"/><Relationship Id="rId430" Type="http://schemas.openxmlformats.org/officeDocument/2006/relationships/hyperlink" Target="https://e-retribusi.bandungkab.go.id/" TargetMode="External"/><Relationship Id="rId551" Type="http://schemas.openxmlformats.org/officeDocument/2006/relationships/hyperlink" Target="http://s.tr/" TargetMode="External"/></Relationships>
</file>

<file path=xl/worksheets/_rels/sheet4.xml.rels><?xml version="1.0" encoding="UTF-8" standalone="yes"?><Relationships xmlns="http://schemas.openxmlformats.org/package/2006/relationships"><Relationship Id="rId190" Type="http://schemas.openxmlformats.org/officeDocument/2006/relationships/hyperlink" Target="https://bit.ly/4maEzdy?r=qr" TargetMode="External"/><Relationship Id="rId194" Type="http://schemas.openxmlformats.org/officeDocument/2006/relationships/hyperlink" Target="https://drive.google.com/drive/folders/1Ejl6GsPadSWWZ-gXvbwNU62zsG4t_RcK?usp=drive_link" TargetMode="External"/><Relationship Id="rId193" Type="http://schemas.openxmlformats.org/officeDocument/2006/relationships/hyperlink" Target="https://drive.google.com/drive/folders/1Ejl6GsPadSWWZ-gXvbwNU62zsG4t_RcK?usp=drive_link" TargetMode="External"/><Relationship Id="rId192" Type="http://schemas.openxmlformats.org/officeDocument/2006/relationships/hyperlink" Target="https://drive.google.com/drive/folders/1Ejl6GsPadSWWZ-gXvbwNU62zsG4t_RcK?usp=drive_link" TargetMode="External"/><Relationship Id="rId191" Type="http://schemas.openxmlformats.org/officeDocument/2006/relationships/hyperlink" Target="https://drive.google.com/drive/folders/1Ejl6GsPadSWWZ-gXvbwNU62zsG4t_RcK?usp=drive_link" TargetMode="External"/><Relationship Id="rId187" Type="http://schemas.openxmlformats.org/officeDocument/2006/relationships/hyperlink" Target="https://drive.google.com/drive/folders/1Ejl6GsPadSWWZ-gXvbwNU62zsG4t_RcK?usp=drive_link" TargetMode="External"/><Relationship Id="rId186" Type="http://schemas.openxmlformats.org/officeDocument/2006/relationships/hyperlink" Target="https://apar.bandungkab.go.id/" TargetMode="External"/><Relationship Id="rId185" Type="http://schemas.openxmlformats.org/officeDocument/2006/relationships/hyperlink" Target="https://drive.google.com/drive/folders/1Ejl6GsPadSWWZ-gXvbwNU62zsG4t_RcK?usp=drive_link" TargetMode="External"/><Relationship Id="rId184" Type="http://schemas.openxmlformats.org/officeDocument/2006/relationships/hyperlink" Target="https://ipusnas2.perpusnas.go.id/login" TargetMode="External"/><Relationship Id="rId189" Type="http://schemas.openxmlformats.org/officeDocument/2006/relationships/hyperlink" Target="https://drive.google.com/drive/folders/1Ejl6GsPadSWWZ-gXvbwNU62zsG4t_RcK?usp=drive_link" TargetMode="External"/><Relationship Id="rId188" Type="http://schemas.openxmlformats.org/officeDocument/2006/relationships/hyperlink" Target="https://bit.ly/3J7M46m?r=qr" TargetMode="External"/><Relationship Id="rId183" Type="http://schemas.openxmlformats.org/officeDocument/2006/relationships/hyperlink" Target="http://srikandi.arsip.go.id/" TargetMode="External"/><Relationship Id="rId182" Type="http://schemas.openxmlformats.org/officeDocument/2006/relationships/hyperlink" Target="http://sikn.anri.go.id/" TargetMode="External"/><Relationship Id="rId181" Type="http://schemas.openxmlformats.org/officeDocument/2006/relationships/hyperlink" Target="https://perpus.bandungkab.go.id/pendaftaran" TargetMode="External"/><Relationship Id="rId180" Type="http://schemas.openxmlformats.org/officeDocument/2006/relationships/hyperlink" Target="https://drive.google.com/file/d/1FL4agfMs9a3tAmDlzxiGL6UA1alZs_Er/view?usp=sharing" TargetMode="External"/><Relationship Id="rId176" Type="http://schemas.openxmlformats.org/officeDocument/2006/relationships/hyperlink" Target="http://m.si/" TargetMode="External"/><Relationship Id="rId175" Type="http://schemas.openxmlformats.org/officeDocument/2006/relationships/hyperlink" Target="https://usahamikro.bandungkab.go.id/" TargetMode="External"/><Relationship Id="rId174" Type="http://schemas.openxmlformats.org/officeDocument/2006/relationships/hyperlink" Target="https://sikoperbedas.bandungkab.go.id/" TargetMode="External"/><Relationship Id="rId173" Type="http://schemas.openxmlformats.org/officeDocument/2006/relationships/hyperlink" Target="http://m.si/" TargetMode="External"/><Relationship Id="rId179" Type="http://schemas.openxmlformats.org/officeDocument/2006/relationships/hyperlink" Target="http://a.ma/" TargetMode="External"/><Relationship Id="rId178" Type="http://schemas.openxmlformats.org/officeDocument/2006/relationships/hyperlink" Target="https://ibandungkab.moco.co.id/" TargetMode="External"/><Relationship Id="rId177" Type="http://schemas.openxmlformats.org/officeDocument/2006/relationships/hyperlink" Target="https://drive.google.com/file/d/1xLGvVqyQdJTXp_gTo9XoOeAPrmSfoy_q/view?usp=sharing" TargetMode="External"/><Relationship Id="rId198" Type="http://schemas.openxmlformats.org/officeDocument/2006/relationships/hyperlink" Target="https://drive.google.com/file/d/1U5Ce3fAIo3YOESTLI_rdag9_xK_sncgn/view?usp=sharing" TargetMode="External"/><Relationship Id="rId197" Type="http://schemas.openxmlformats.org/officeDocument/2006/relationships/hyperlink" Target="https://simbarraya.bandungkab.go.id/" TargetMode="External"/><Relationship Id="rId196" Type="http://schemas.openxmlformats.org/officeDocument/2006/relationships/hyperlink" Target="https://drive.google.com/drive/u/1/folders/1OmZJCQ07S-vIbWQDO6jSHpZyJaE2oGJM" TargetMode="External"/><Relationship Id="rId195" Type="http://schemas.openxmlformats.org/officeDocument/2006/relationships/hyperlink" Target="https://drive.google.com/drive/folders/1Ejl6GsPadSWWZ-gXvbwNU62zsG4t_RcK?usp=drive_link" TargetMode="External"/><Relationship Id="rId199" Type="http://schemas.openxmlformats.org/officeDocument/2006/relationships/hyperlink" Target="https://apik.bandungkab.go.id/apik/login" TargetMode="External"/><Relationship Id="rId150" Type="http://schemas.openxmlformats.org/officeDocument/2006/relationships/hyperlink" Target="https://drive.google.com/drive/folders/1mWuAv3LPGoimB6VqNXibmdR3ON58gIXk?usp=sharing" TargetMode="External"/><Relationship Id="rId271" Type="http://schemas.openxmlformats.org/officeDocument/2006/relationships/hyperlink" Target="https://dashboard.kemkes.go.id/views/DashboardPemantauanAliranDataSATUSEHAT/Dashboard?%3Aembed=y&amp;%3AisGuestRedirectFromVizportal=y" TargetMode="External"/><Relationship Id="rId270" Type="http://schemas.openxmlformats.org/officeDocument/2006/relationships/hyperlink" Target="https://drive.google.com/drive/u/1/folders/1BMJeHVe0f6zjx97q_TOFnGkZBTxNZTBd" TargetMode="External"/><Relationship Id="rId1" Type="http://schemas.openxmlformats.org/officeDocument/2006/relationships/hyperlink" Target="https://play.google.com/store/apps/details?id=com.diskominfo.radiokandagabedas&amp;pcampaignid=web_share" TargetMode="External"/><Relationship Id="rId2" Type="http://schemas.openxmlformats.org/officeDocument/2006/relationships/hyperlink" Target="https://bandungkab.go.id/" TargetMode="External"/><Relationship Id="rId3" Type="http://schemas.openxmlformats.org/officeDocument/2006/relationships/hyperlink" Target="https://smartcity.bandungkab.go.id/" TargetMode="External"/><Relationship Id="rId149" Type="http://schemas.openxmlformats.org/officeDocument/2006/relationships/hyperlink" Target="https://drive.google.com/drive/folders/1Hv-aabWH6SdQnijaKN6NudJLF6wJW0IY?usp=sharing" TargetMode="External"/><Relationship Id="rId4" Type="http://schemas.openxmlformats.org/officeDocument/2006/relationships/hyperlink" Target="https://simaslahat.bandungkab.go.id/" TargetMode="External"/><Relationship Id="rId148" Type="http://schemas.openxmlformats.org/officeDocument/2006/relationships/hyperlink" Target="https://www.dgip.go.id/" TargetMode="External"/><Relationship Id="rId269" Type="http://schemas.openxmlformats.org/officeDocument/2006/relationships/hyperlink" Target="https://www.google.com/search?q=UU+No.+17+Tahun+2023+tentang+Kesehatan&amp;oq=DASAR+HUKUM+PEMANTAUAN+ALIRAN+DATA+SATU+SEHAT&amp;gs_lcrp=EgZjaHJvbWUyBggAEEUYOTIKCAEQABiABBiiBDIHCAIQABjvBTIKCAMQABiABBiiBDIKCAQQABiABBiiBDIKCAUQABiABBiiBNIBCTEyMTQyajBqN6gCALACAA&amp;sourceid=chrome&amp;ie=UTF-8&amp;mstk=AUtExfCZKJ1P9WGvUjB-3wCnOalSRMrGT_dUye70LmdsJfmvBOt9xRKqwKFUEfjbTlDRzLfM_xWG-qg4MykF0-1iCKMHonr7P6LoKUtHgQwVQQm6_qVu07M500a7dYzujxlVmTAZb4Z_nz68vE_VaQIwIKKnMcTTam9FZS9eIMfm-0a5Gc0&amp;csui=3&amp;ved=2ahUKEwj4qfSH75STAxV1VmwGHYycGRgQgK4QegQIARAD" TargetMode="External"/><Relationship Id="rId9" Type="http://schemas.openxmlformats.org/officeDocument/2006/relationships/hyperlink" Target="https://e-sptpd.bandungkab.go.id/" TargetMode="External"/><Relationship Id="rId143" Type="http://schemas.openxmlformats.org/officeDocument/2006/relationships/hyperlink" Target="https://siinas.kemenperin.go.id/" TargetMode="External"/><Relationship Id="rId264" Type="http://schemas.openxmlformats.org/officeDocument/2006/relationships/hyperlink" Target="http://bdskts.id/" TargetMode="External"/><Relationship Id="rId142" Type="http://schemas.openxmlformats.org/officeDocument/2006/relationships/hyperlink" Target="https://drive.google.com/file/d/1XoILvOYKxCz7AwSFhTvSOHZMa9o7Qg5k/view?usp=sharing" TargetMode="External"/><Relationship Id="rId263" Type="http://schemas.openxmlformats.org/officeDocument/2006/relationships/hyperlink" Target="https://drive.google.com/file/d/1-OkimWi2XkYVZbq8aStpKFlsMtErBFog/view?usp=drivesdk" TargetMode="External"/><Relationship Id="rId141" Type="http://schemas.openxmlformats.org/officeDocument/2006/relationships/hyperlink" Target="http://s.si/" TargetMode="External"/><Relationship Id="rId262" Type="http://schemas.openxmlformats.org/officeDocument/2006/relationships/hyperlink" Target="http://s.tr/" TargetMode="External"/><Relationship Id="rId140" Type="http://schemas.openxmlformats.org/officeDocument/2006/relationships/hyperlink" Target="http://bit.ly/PendaftaranTTU2025" TargetMode="External"/><Relationship Id="rId261" Type="http://schemas.openxmlformats.org/officeDocument/2006/relationships/hyperlink" Target="http://satusehat.kemkes.go.id/sdmk" TargetMode="External"/><Relationship Id="rId5" Type="http://schemas.openxmlformats.org/officeDocument/2006/relationships/hyperlink" Target="https://lapor.go.id/" TargetMode="External"/><Relationship Id="rId147" Type="http://schemas.openxmlformats.org/officeDocument/2006/relationships/hyperlink" Target="https://sppirt.pom.go.id/" TargetMode="External"/><Relationship Id="rId268" Type="http://schemas.openxmlformats.org/officeDocument/2006/relationships/hyperlink" Target="https://ujiprof.labkesjabar.com/" TargetMode="External"/><Relationship Id="rId6" Type="http://schemas.openxmlformats.org/officeDocument/2006/relationships/hyperlink" Target="https://simasda.bandungkab.go.id/" TargetMode="External"/><Relationship Id="rId146" Type="http://schemas.openxmlformats.org/officeDocument/2006/relationships/hyperlink" Target="https://trafficintelligence.mkpmobile.com/signin" TargetMode="External"/><Relationship Id="rId267" Type="http://schemas.openxmlformats.org/officeDocument/2006/relationships/hyperlink" Target="https://akun-yankes.kemkes.go.id/" TargetMode="External"/><Relationship Id="rId7" Type="http://schemas.openxmlformats.org/officeDocument/2006/relationships/hyperlink" Target="https://sirekonpajak.bandungkab.go.id/" TargetMode="External"/><Relationship Id="rId145" Type="http://schemas.openxmlformats.org/officeDocument/2006/relationships/hyperlink" Target="https://sipintaronline.bandungkab.go.id/login" TargetMode="External"/><Relationship Id="rId266" Type="http://schemas.openxmlformats.org/officeDocument/2006/relationships/hyperlink" Target="https://drive.google.com/drive/u/1/folders/12dUcuD3FJiM5lhmxZqNrZc05M-qKTqaU" TargetMode="External"/><Relationship Id="rId8" Type="http://schemas.openxmlformats.org/officeDocument/2006/relationships/hyperlink" Target="http://coretaxdjp.pajak.go.id/" TargetMode="External"/><Relationship Id="rId144" Type="http://schemas.openxmlformats.org/officeDocument/2006/relationships/hyperlink" Target="https://drive.google.com/drive/folders/1uBDqq46euBu9YwCqq9Y65-eJFbijFff9?usp=sharing" TargetMode="External"/><Relationship Id="rId265" Type="http://schemas.openxmlformats.org/officeDocument/2006/relationships/hyperlink" Target="https://keslan.kemkes.go.id/app/siranap/" TargetMode="External"/><Relationship Id="rId260" Type="http://schemas.openxmlformats.org/officeDocument/2006/relationships/hyperlink" Target="https://edabu.bpjs-kesehatan.go.id/Edabu/Home/Login?AspxAutoDetectCookieSupport=1" TargetMode="External"/><Relationship Id="rId139" Type="http://schemas.openxmlformats.org/officeDocument/2006/relationships/hyperlink" Target="https://docs.google.com/spreadsheets/d/1NiELcMU9JfJbhN_p55g9GXz1ikm9vn_e/edit?usp=sharing&amp;ouid=104014308201848363295&amp;rtpof=true&amp;sd=true" TargetMode="External"/><Relationship Id="rId138" Type="http://schemas.openxmlformats.org/officeDocument/2006/relationships/hyperlink" Target="http://ska.kemendag.go.id/" TargetMode="External"/><Relationship Id="rId259" Type="http://schemas.openxmlformats.org/officeDocument/2006/relationships/hyperlink" Target="http://192.168.40.89/sikeren" TargetMode="External"/><Relationship Id="rId137" Type="http://schemas.openxmlformats.org/officeDocument/2006/relationships/hyperlink" Target="https://drive.google.com/file/d/1fOeX8KkbMK8HjuZBVx1smAWDYvK1BcY0/view?usp=sharing" TargetMode="External"/><Relationship Id="rId258" Type="http://schemas.openxmlformats.org/officeDocument/2006/relationships/hyperlink" Target="https://skm.bandungkab.go.id/" TargetMode="External"/><Relationship Id="rId132" Type="http://schemas.openxmlformats.org/officeDocument/2006/relationships/hyperlink" Target="https://sidopabandungkab.com/" TargetMode="External"/><Relationship Id="rId253" Type="http://schemas.openxmlformats.org/officeDocument/2006/relationships/hyperlink" Target="http://a.md/" TargetMode="External"/><Relationship Id="rId131" Type="http://schemas.openxmlformats.org/officeDocument/2006/relationships/hyperlink" Target="https://sidora.bandungkab.go.id/" TargetMode="External"/><Relationship Id="rId252" Type="http://schemas.openxmlformats.org/officeDocument/2006/relationships/hyperlink" Target="https://mutufasyankes.kemkes.go.id/" TargetMode="External"/><Relationship Id="rId130" Type="http://schemas.openxmlformats.org/officeDocument/2006/relationships/hyperlink" Target="https://perizinan.bandungkab.go.id/layanan-kami/booking-antrian-imigrasi" TargetMode="External"/><Relationship Id="rId251" Type="http://schemas.openxmlformats.org/officeDocument/2006/relationships/hyperlink" Target="https://sippn.menpan.go.id/" TargetMode="External"/><Relationship Id="rId250" Type="http://schemas.openxmlformats.org/officeDocument/2006/relationships/hyperlink" Target="http://sirs.kemkes.go.id/" TargetMode="External"/><Relationship Id="rId136" Type="http://schemas.openxmlformats.org/officeDocument/2006/relationships/hyperlink" Target="https://sibapokting.bandungkab.go.id/" TargetMode="External"/><Relationship Id="rId257" Type="http://schemas.openxmlformats.org/officeDocument/2006/relationships/hyperlink" Target="https://drive.google.com/file/d/1T1U4oNUqZS1NcFlgpFY6CJRp0CcQqlBv/view?usp=drive_link" TargetMode="External"/><Relationship Id="rId135" Type="http://schemas.openxmlformats.org/officeDocument/2006/relationships/hyperlink" Target="https://drive.google.com/file/d/1vLXgaLLExt7rvce6hrGocDTPsLUu-FsF/view?usp=sharing" TargetMode="External"/><Relationship Id="rId256" Type="http://schemas.openxmlformats.org/officeDocument/2006/relationships/hyperlink" Target="https://apik.bandungkab.go.id/apik/login" TargetMode="External"/><Relationship Id="rId134" Type="http://schemas.openxmlformats.org/officeDocument/2006/relationships/hyperlink" Target="https://drive.google.com/file/d/1CK9sB-VkjtVcnm48SmIytt7EAWrjRZba/view?usp=sharing" TargetMode="External"/><Relationship Id="rId255" Type="http://schemas.openxmlformats.org/officeDocument/2006/relationships/hyperlink" Target="https://drive.google.com/file/d/1T1U4oNUqZS1NcFlgpFY6CJRp0CcQqlBv/view?usp=drive_link" TargetMode="External"/><Relationship Id="rId133" Type="http://schemas.openxmlformats.org/officeDocument/2006/relationships/hyperlink" Target="http://disporabandungkab.go.id/" TargetMode="External"/><Relationship Id="rId254" Type="http://schemas.openxmlformats.org/officeDocument/2006/relationships/hyperlink" Target="https://aspak.kemkes.go.id/aplikasi/site/index" TargetMode="External"/><Relationship Id="rId172" Type="http://schemas.openxmlformats.org/officeDocument/2006/relationships/hyperlink" Target="https://sibangkitukm.bandungkab.go.id/" TargetMode="External"/><Relationship Id="rId171" Type="http://schemas.openxmlformats.org/officeDocument/2006/relationships/hyperlink" Target="https://parbuddalamangka.jabarprov.go.id/" TargetMode="External"/><Relationship Id="rId170" Type="http://schemas.openxmlformats.org/officeDocument/2006/relationships/hyperlink" Target="https://sip.bandungkab.go.id/portal/topic/fsva" TargetMode="External"/><Relationship Id="rId165" Type="http://schemas.openxmlformats.org/officeDocument/2006/relationships/hyperlink" Target="https://drive.google.com/file/d/1u61izoWwYbUe6cGBAMpMmUf3-x1vtXk9/view?usp=drive_link" TargetMode="External"/><Relationship Id="rId164" Type="http://schemas.openxmlformats.org/officeDocument/2006/relationships/hyperlink" Target="http://sipolan.bandungkab.go.id/" TargetMode="External"/><Relationship Id="rId163" Type="http://schemas.openxmlformats.org/officeDocument/2006/relationships/hyperlink" Target="https://drive.google.com/drive/folders/1b_wlUHQifUNUdZcrhKipNlD0R6COD8yt?usp=sharing" TargetMode="External"/><Relationship Id="rId162" Type="http://schemas.openxmlformats.org/officeDocument/2006/relationships/hyperlink" Target="https://simluh.pertanian.go.id/" TargetMode="External"/><Relationship Id="rId169" Type="http://schemas.openxmlformats.org/officeDocument/2006/relationships/hyperlink" Target="https://drive.google.com/file/d/1u61izoWwYbUe6cGBAMpMmUf3-x1vtXk9/view?usp=drive_link" TargetMode="External"/><Relationship Id="rId168" Type="http://schemas.openxmlformats.org/officeDocument/2006/relationships/hyperlink" Target="https://dispakan.bandungkab.go.id/video/" TargetMode="External"/><Relationship Id="rId167" Type="http://schemas.openxmlformats.org/officeDocument/2006/relationships/hyperlink" Target="https://drive.google.com/file/d/182s0vzlBXufYR4iNRbV-7MhRItTVludu/view?usp=drive_link" TargetMode="External"/><Relationship Id="rId166" Type="http://schemas.openxmlformats.org/officeDocument/2006/relationships/hyperlink" Target="https://sikandung.bandungkab.go.id/" TargetMode="External"/><Relationship Id="rId161" Type="http://schemas.openxmlformats.org/officeDocument/2006/relationships/hyperlink" Target="https://docs.google.com/spreadsheets/d/1cLZrBaEOapwKOQE9usRXCTW93SFEy7Xj/edit?usp=sharing&amp;ouid=112536090230720318461&amp;rtpof=true&amp;sd=true" TargetMode="External"/><Relationship Id="rId160" Type="http://schemas.openxmlformats.org/officeDocument/2006/relationships/hyperlink" Target="https://erdkk25.pertanian.go.id/" TargetMode="External"/><Relationship Id="rId281" Type="http://schemas.openxmlformats.org/officeDocument/2006/relationships/drawing" Target="../drawings/drawing4.xml"/><Relationship Id="rId280" Type="http://schemas.openxmlformats.org/officeDocument/2006/relationships/hyperlink" Target="https://dashboard.kemkes.go.id/views/DashboardPemantauanAliranDataSATUSEHAT/Dashboard?%3Aembed=y&amp;%3AisGuestRedirectFromVizportal=y" TargetMode="External"/><Relationship Id="rId159" Type="http://schemas.openxmlformats.org/officeDocument/2006/relationships/hyperlink" Target="https://docs.google.com/spreadsheets/d/1cLC7YoJU_Mkyr5eJTL-fHfA0D-sQukvz/edit?usp=sharing&amp;ouid=112536090230720318461&amp;rtpof=true&amp;sd=true" TargetMode="External"/><Relationship Id="rId154" Type="http://schemas.openxmlformats.org/officeDocument/2006/relationships/hyperlink" Target="https://docs.google.com/document/d/1c-7PUNKaiuUiy_admWwX1iClC1w9eJRB/edit?usp=sharing&amp;ouid=112536090230720318461&amp;rtpof=true&amp;sd=true" TargetMode="External"/><Relationship Id="rId275" Type="http://schemas.openxmlformats.org/officeDocument/2006/relationships/hyperlink" Target="http://s.si/" TargetMode="External"/><Relationship Id="rId153" Type="http://schemas.openxmlformats.org/officeDocument/2006/relationships/hyperlink" Target="https://anterin.bandungkab.go.id/" TargetMode="External"/><Relationship Id="rId274" Type="http://schemas.openxmlformats.org/officeDocument/2006/relationships/hyperlink" Target="https://e-meso.pom.go.id/ADR" TargetMode="External"/><Relationship Id="rId152" Type="http://schemas.openxmlformats.org/officeDocument/2006/relationships/hyperlink" Target="https://docs.google.com/document/d/1c-7PUNKaiuUiy_admWwX1iClC1w9eJRB/edit?usp=sharing&amp;ouid=112536090230720318461&amp;rtpof=true&amp;sd=true" TargetMode="External"/><Relationship Id="rId273" Type="http://schemas.openxmlformats.org/officeDocument/2006/relationships/hyperlink" Target="https://balis.bapeten.go.id/frontend2/public/panel/dashboard" TargetMode="External"/><Relationship Id="rId151" Type="http://schemas.openxmlformats.org/officeDocument/2006/relationships/hyperlink" Target="https://bit.ly/e-Form_KlinikKemasan" TargetMode="External"/><Relationship Id="rId272" Type="http://schemas.openxmlformats.org/officeDocument/2006/relationships/hyperlink" Target="https://dmi.kemkes.go.id/dhis-web-commons/security/login.action" TargetMode="External"/><Relationship Id="rId158" Type="http://schemas.openxmlformats.org/officeDocument/2006/relationships/hyperlink" Target="http://tanginas.web.id/" TargetMode="External"/><Relationship Id="rId279" Type="http://schemas.openxmlformats.org/officeDocument/2006/relationships/hyperlink" Target="https://drive.google.com/drive/u/1/folders/1BMJeHVe0f6zjx97q_TOFnGkZBTxNZTBd" TargetMode="External"/><Relationship Id="rId157" Type="http://schemas.openxmlformats.org/officeDocument/2006/relationships/hyperlink" Target="http://sifortuna.tanamanpangan.pertanian.go.id/" TargetMode="External"/><Relationship Id="rId278" Type="http://schemas.openxmlformats.org/officeDocument/2006/relationships/hyperlink" Target="https://www.google.com/search?q=UU+No.+17+Tahun+2023+tentang+Kesehatan&amp;oq=DASAR+HUKUM+PEMANTAUAN+ALIRAN+DATA+SATU+SEHAT&amp;gs_lcrp=EgZjaHJvbWUyBggAEEUYOTIKCAEQABiABBiiBDIHCAIQABjvBTIKCAMQABiABBiiBDIKCAQQABiABBiiBDIKCAUQABiABBiiBNIBCTEyMTQyajBqN6gCALACAA&amp;sourceid=chrome&amp;ie=UTF-8&amp;mstk=AUtExfCZKJ1P9WGvUjB-3wCnOalSRMrGT_dUye70LmdsJfmvBOt9xRKqwKFUEfjbTlDRzLfM_xWG-qg4MykF0-1iCKMHonr7P6LoKUtHgQwVQQm6_qVu07M500a7dYzujxlVmTAZb4Z_nz68vE_VaQIwIKKnMcTTam9FZS9eIMfm-0a5Gc0&amp;csui=3&amp;ved=2ahUKEwj4qfSH75STAxV1VmwGHYycGRgQgK4QegQIARAD" TargetMode="External"/><Relationship Id="rId156" Type="http://schemas.openxmlformats.org/officeDocument/2006/relationships/hyperlink" Target="https://docs.google.com/spreadsheets/d/1c7RrRajyzrp7pLX7n6Z-t8K0gRXiw69i/edit?usp=sharing&amp;ouid=112536090230720318461&amp;rtpof=true&amp;sd=true" TargetMode="External"/><Relationship Id="rId277" Type="http://schemas.openxmlformats.org/officeDocument/2006/relationships/hyperlink" Target="https://dhephl.bandungkab.go.id/" TargetMode="External"/><Relationship Id="rId155" Type="http://schemas.openxmlformats.org/officeDocument/2006/relationships/hyperlink" Target="https://isikhnas.pertanian.go.id/" TargetMode="External"/><Relationship Id="rId276" Type="http://schemas.openxmlformats.org/officeDocument/2006/relationships/hyperlink" Target="https://hfis.bpjs-kesehatan.go.id/hfis/login?hfis" TargetMode="External"/><Relationship Id="rId40" Type="http://schemas.openxmlformats.org/officeDocument/2006/relationships/hyperlink" Target="https://bisakerja.bandungkab.go.id/login" TargetMode="External"/><Relationship Id="rId42" Type="http://schemas.openxmlformats.org/officeDocument/2006/relationships/hyperlink" Target="https://drive.google.com/drive/folders/1uT9c4NGjI41uZyGgKpyquckLoM2rSaQa?usp=sharing" TargetMode="External"/><Relationship Id="rId41" Type="http://schemas.openxmlformats.org/officeDocument/2006/relationships/hyperlink" Target="http://e-bumd.com/dashboard" TargetMode="External"/><Relationship Id="rId44" Type="http://schemas.openxmlformats.org/officeDocument/2006/relationships/hyperlink" Target="https://e-lkpj.id/login" TargetMode="External"/><Relationship Id="rId43" Type="http://schemas.openxmlformats.org/officeDocument/2006/relationships/hyperlink" Target="https://simbangun.bandungkab.go.id/" TargetMode="External"/><Relationship Id="rId46" Type="http://schemas.openxmlformats.org/officeDocument/2006/relationships/hyperlink" Target="https://spse.inaproc.id/bandungkab" TargetMode="External"/><Relationship Id="rId45" Type="http://schemas.openxmlformats.org/officeDocument/2006/relationships/hyperlink" Target="https://drive.google.com/file/d/1bfEasna0yACDkjKfdw6Q1Zy2Ku88gtKx/view?usp=sharing" TargetMode="External"/><Relationship Id="rId48" Type="http://schemas.openxmlformats.org/officeDocument/2006/relationships/hyperlink" Target="http://ap.m.kp/" TargetMode="External"/><Relationship Id="rId47" Type="http://schemas.openxmlformats.org/officeDocument/2006/relationships/hyperlink" Target="https://aplikasi.bandungkab.go.id/publik/dashboard-pendataan-profil-sppg-aktif-untuk-satgas-mbg" TargetMode="External"/><Relationship Id="rId49" Type="http://schemas.openxmlformats.org/officeDocument/2006/relationships/hyperlink" Target="https://www.appsheet.com/Account/Login?appName=DBHCHT%20App&amp;FullScope=False&amp;provider=google&amp;returnUrl=https%3A%2F%2Fwww.appsheet.com%2Fstart%2F93891b63-df85-4aa1-a7bf-d007dfa96cf8%3Fplatform%3Ddesktop" TargetMode="External"/><Relationship Id="rId31" Type="http://schemas.openxmlformats.org/officeDocument/2006/relationships/hyperlink" Target="https://ppid.bandungkab.go.id/" TargetMode="External"/><Relationship Id="rId30" Type="http://schemas.openxmlformats.org/officeDocument/2006/relationships/hyperlink" Target="http://m.si/" TargetMode="External"/><Relationship Id="rId33" Type="http://schemas.openxmlformats.org/officeDocument/2006/relationships/hyperlink" Target="https://sipatuhbedas.bandungkab.go.id/" TargetMode="External"/><Relationship Id="rId32" Type="http://schemas.openxmlformats.org/officeDocument/2006/relationships/hyperlink" Target="https://sipphade.bandungkab.go.id/" TargetMode="External"/><Relationship Id="rId35" Type="http://schemas.openxmlformats.org/officeDocument/2006/relationships/hyperlink" Target="https://sikp.kemenkeu.go.id/login" TargetMode="External"/><Relationship Id="rId34" Type="http://schemas.openxmlformats.org/officeDocument/2006/relationships/hyperlink" Target="http://kerjasama.bandungkab.go.id/" TargetMode="External"/><Relationship Id="rId37" Type="http://schemas.openxmlformats.org/officeDocument/2006/relationships/hyperlink" Target="https://sikd.djpk.kemenkeu.go.id/lapordbh/" TargetMode="External"/><Relationship Id="rId36" Type="http://schemas.openxmlformats.org/officeDocument/2006/relationships/hyperlink" Target="https://sitpakd.ojk.go.id/Account/Login" TargetMode="External"/><Relationship Id="rId39" Type="http://schemas.openxmlformats.org/officeDocument/2006/relationships/hyperlink" Target="https://www.portalrb.id/" TargetMode="External"/><Relationship Id="rId38" Type="http://schemas.openxmlformats.org/officeDocument/2006/relationships/hyperlink" Target="https://tpin.id/login" TargetMode="External"/><Relationship Id="rId20" Type="http://schemas.openxmlformats.org/officeDocument/2006/relationships/hyperlink" Target="http://m.tr/" TargetMode="External"/><Relationship Id="rId22" Type="http://schemas.openxmlformats.org/officeDocument/2006/relationships/hyperlink" Target="https://sitampan-insaba.web.app/" TargetMode="External"/><Relationship Id="rId21" Type="http://schemas.openxmlformats.org/officeDocument/2006/relationships/hyperlink" Target="https://skm.bandungkab.go.id/" TargetMode="External"/><Relationship Id="rId24" Type="http://schemas.openxmlformats.org/officeDocument/2006/relationships/hyperlink" Target="https://play.google.com/store/apps/details?id=com.diskominfo.siagan_bedas&amp;hl=id" TargetMode="External"/><Relationship Id="rId23" Type="http://schemas.openxmlformats.org/officeDocument/2006/relationships/hyperlink" Target="http://m.tr/" TargetMode="External"/><Relationship Id="rId26" Type="http://schemas.openxmlformats.org/officeDocument/2006/relationships/hyperlink" Target="http://m.si/" TargetMode="External"/><Relationship Id="rId25" Type="http://schemas.openxmlformats.org/officeDocument/2006/relationships/hyperlink" Target="http://sinar.big.go.id/" TargetMode="External"/><Relationship Id="rId28" Type="http://schemas.openxmlformats.org/officeDocument/2006/relationships/hyperlink" Target="http://m.si/" TargetMode="External"/><Relationship Id="rId27" Type="http://schemas.openxmlformats.org/officeDocument/2006/relationships/hyperlink" Target="https://elppd.kemendagri.go.id/" TargetMode="External"/><Relationship Id="rId29" Type="http://schemas.openxmlformats.org/officeDocument/2006/relationships/hyperlink" Target="https://spm.bangda.kemendagri.go.id/" TargetMode="External"/><Relationship Id="rId11" Type="http://schemas.openxmlformats.org/officeDocument/2006/relationships/hyperlink" Target="https://sultan.bandungkab.go.id/" TargetMode="External"/><Relationship Id="rId10" Type="http://schemas.openxmlformats.org/officeDocument/2006/relationships/hyperlink" Target="http://sipd-ri.kemendagri.go.id/" TargetMode="External"/><Relationship Id="rId13" Type="http://schemas.openxmlformats.org/officeDocument/2006/relationships/hyperlink" Target="https://indah.bps.go.id/" TargetMode="External"/><Relationship Id="rId12" Type="http://schemas.openxmlformats.org/officeDocument/2006/relationships/hyperlink" Target="http://sshsbu.e-planningbmd.id/" TargetMode="External"/><Relationship Id="rId15" Type="http://schemas.openxmlformats.org/officeDocument/2006/relationships/hyperlink" Target="https://sidalmonep.bandungkab.go.id/" TargetMode="External"/><Relationship Id="rId14" Type="http://schemas.openxmlformats.org/officeDocument/2006/relationships/hyperlink" Target="http://simwas.bandungkab.go.id/" TargetMode="External"/><Relationship Id="rId17" Type="http://schemas.openxmlformats.org/officeDocument/2006/relationships/hyperlink" Target="http://siakang.bandungkab.go.id/" TargetMode="External"/><Relationship Id="rId16" Type="http://schemas.openxmlformats.org/officeDocument/2006/relationships/hyperlink" Target="https://simpelbkpsdm.bandungkab.go.id/" TargetMode="External"/><Relationship Id="rId19" Type="http://schemas.openxmlformats.org/officeDocument/2006/relationships/hyperlink" Target="https://surabi.jabarprov.go.id/" TargetMode="External"/><Relationship Id="rId18" Type="http://schemas.openxmlformats.org/officeDocument/2006/relationships/hyperlink" Target="http://m.tr/" TargetMode="External"/><Relationship Id="rId84" Type="http://schemas.openxmlformats.org/officeDocument/2006/relationships/hyperlink" Target="https://drive.google.com/file/d/1kvVSSjFHbdSKP4vPWzb0wDWs5x8kMCbU/view?usp=sharing" TargetMode="External"/><Relationship Id="rId83" Type="http://schemas.openxmlformats.org/officeDocument/2006/relationships/hyperlink" Target="https://linktr.ee/SIBEDASOK" TargetMode="External"/><Relationship Id="rId86" Type="http://schemas.openxmlformats.org/officeDocument/2006/relationships/hyperlink" Target="https://drive.google.com/file/d/1Ramy4vxff2nlZwmQYryTo4j9HIjXgRt2/view?usp=sharing" TargetMode="External"/><Relationship Id="rId85" Type="http://schemas.openxmlformats.org/officeDocument/2006/relationships/hyperlink" Target="https://aplikasi.bandungkab.com/publik/landing-page-aplikasi-sipikat" TargetMode="External"/><Relationship Id="rId88" Type="http://schemas.openxmlformats.org/officeDocument/2006/relationships/hyperlink" Target="https://drive.google.com/drive/folders/1Uinu-ZgkI_8xZeYLw7yaEW1HRhG7prDv?usp=drive_link" TargetMode="External"/><Relationship Id="rId87" Type="http://schemas.openxmlformats.org/officeDocument/2006/relationships/hyperlink" Target="https://dibedasken.bandungkab.go.id/" TargetMode="External"/><Relationship Id="rId89" Type="http://schemas.openxmlformats.org/officeDocument/2006/relationships/hyperlink" Target="http://siapkerja.kemnaker.go.id/" TargetMode="External"/><Relationship Id="rId80" Type="http://schemas.openxmlformats.org/officeDocument/2006/relationships/hyperlink" Target="https://sijaga.kabbdg.com/" TargetMode="External"/><Relationship Id="rId82" Type="http://schemas.openxmlformats.org/officeDocument/2006/relationships/hyperlink" Target="https://sibedasjakon.bandungkab.go.id/" TargetMode="External"/><Relationship Id="rId81" Type="http://schemas.openxmlformats.org/officeDocument/2006/relationships/hyperlink" Target="https://drive.google.com/drive/folders/1sHKD9PH8GG_yqtIurnieYvG1qyHCbekF?hl=id" TargetMode="External"/><Relationship Id="rId73" Type="http://schemas.openxmlformats.org/officeDocument/2006/relationships/hyperlink" Target="https://sijalak-kab-bandung.com/" TargetMode="External"/><Relationship Id="rId72" Type="http://schemas.openxmlformats.org/officeDocument/2006/relationships/hyperlink" Target="https://smile.kemkes.go.id/" TargetMode="External"/><Relationship Id="rId75" Type="http://schemas.openxmlformats.org/officeDocument/2006/relationships/hyperlink" Target="https://sibedaspbg.bandungkab.go.id/" TargetMode="External"/><Relationship Id="rId74" Type="http://schemas.openxmlformats.org/officeDocument/2006/relationships/hyperlink" Target="https://drive.google.com/drive/folders/187_7CPT7sxhjamsZJOlN2T4qhrxFpoWq?hl=id" TargetMode="External"/><Relationship Id="rId77" Type="http://schemas.openxmlformats.org/officeDocument/2006/relationships/hyperlink" Target="http://linktr.ee/PENGADUAN_DPUTR_KABBDG" TargetMode="External"/><Relationship Id="rId76" Type="http://schemas.openxmlformats.org/officeDocument/2006/relationships/hyperlink" Target="https://drive.google.com/drive/folders/1zpVBSJQx0K3N4_wyw8qZeOJVWGrdlDAe?hl=ID" TargetMode="External"/><Relationship Id="rId79" Type="http://schemas.openxmlformats.org/officeDocument/2006/relationships/hyperlink" Target="https://drive.google.com/drive/folders/1foPXyzm-sQ7KaSp-qTysnVqAWt_Dif53?hl=id" TargetMode="External"/><Relationship Id="rId78" Type="http://schemas.openxmlformats.org/officeDocument/2006/relationships/hyperlink" Target="https://sites.google.com/view/aplikasi-sipedas-drainase/home" TargetMode="External"/><Relationship Id="rId71" Type="http://schemas.openxmlformats.org/officeDocument/2006/relationships/hyperlink" Target="https://sihapims2.kemkes.go.id/login" TargetMode="External"/><Relationship Id="rId70" Type="http://schemas.openxmlformats.org/officeDocument/2006/relationships/hyperlink" Target="http://silantor.kemkes.go.id/" TargetMode="External"/><Relationship Id="rId62" Type="http://schemas.openxmlformats.org/officeDocument/2006/relationships/hyperlink" Target="https://spmb.bandungkab.go.id/" TargetMode="External"/><Relationship Id="rId61" Type="http://schemas.openxmlformats.org/officeDocument/2006/relationships/hyperlink" Target="http://simpeldisdik.bandungkab.go.id/MultisiteEdu" TargetMode="External"/><Relationship Id="rId64" Type="http://schemas.openxmlformats.org/officeDocument/2006/relationships/hyperlink" Target="http://skdr.kemkes.go.id/" TargetMode="External"/><Relationship Id="rId63" Type="http://schemas.openxmlformats.org/officeDocument/2006/relationships/hyperlink" Target="http://psc.kemkes.go.id/" TargetMode="External"/><Relationship Id="rId66" Type="http://schemas.openxmlformats.org/officeDocument/2006/relationships/hyperlink" Target="https://sehatindonesiaku.kemkes.go.id/auth/login" TargetMode="External"/><Relationship Id="rId65" Type="http://schemas.openxmlformats.org/officeDocument/2006/relationships/hyperlink" Target="https://surveilans-pptm.kemkes.go.id/" TargetMode="External"/><Relationship Id="rId68" Type="http://schemas.openxmlformats.org/officeDocument/2006/relationships/hyperlink" Target="https://sitb.kemkes.go.id/" TargetMode="External"/><Relationship Id="rId67" Type="http://schemas.openxmlformats.org/officeDocument/2006/relationships/hyperlink" Target="http://sipnap.kemkes.go.id/" TargetMode="External"/><Relationship Id="rId60" Type="http://schemas.openxmlformats.org/officeDocument/2006/relationships/hyperlink" Target="https://dapo.kemendikdasmen.go.id/" TargetMode="External"/><Relationship Id="rId69" Type="http://schemas.openxmlformats.org/officeDocument/2006/relationships/hyperlink" Target="http://sismal.kemkes.go.id/" TargetMode="External"/><Relationship Id="rId51" Type="http://schemas.openxmlformats.org/officeDocument/2006/relationships/hyperlink" Target="https://drive.google.com/file/d/1Xev2F7vScZDTlBaqHqPh8lzFUMNB_y8a/view?usp=sharing" TargetMode="External"/><Relationship Id="rId50" Type="http://schemas.openxmlformats.org/officeDocument/2006/relationships/hyperlink" Target="http://ap.m.kp/" TargetMode="External"/><Relationship Id="rId53" Type="http://schemas.openxmlformats.org/officeDocument/2006/relationships/hyperlink" Target="https://aplikasi.bandungkab.go.id/publik/dashboard-kunjungan-dprd-kab-bandung" TargetMode="External"/><Relationship Id="rId52" Type="http://schemas.openxmlformats.org/officeDocument/2006/relationships/hyperlink" Target="https://jdihdprd.bandungkab.go.id/" TargetMode="External"/><Relationship Id="rId55" Type="http://schemas.openxmlformats.org/officeDocument/2006/relationships/hyperlink" Target="https://simprodas.bandungkab.go.id/" TargetMode="External"/><Relationship Id="rId54" Type="http://schemas.openxmlformats.org/officeDocument/2006/relationships/hyperlink" Target="https://drive.google.com/file/d/1YdxVCrqCKB2IhPmEjmI3enR0CnpLLtYZ/view?usp=sharing" TargetMode="External"/><Relationship Id="rId57" Type="http://schemas.openxmlformats.org/officeDocument/2006/relationships/hyperlink" Target="http://calendly.com/" TargetMode="External"/><Relationship Id="rId56" Type="http://schemas.openxmlformats.org/officeDocument/2006/relationships/hyperlink" Target="https://drive.google.com/file/d/1hfZl5u33jLRHizH-t5QZsOhlwNoiUSfh/view?usp=sharing" TargetMode="External"/><Relationship Id="rId59" Type="http://schemas.openxmlformats.org/officeDocument/2006/relationships/hyperlink" Target="http://simpeldisdik.bandungkab.go.id/Sukizah" TargetMode="External"/><Relationship Id="rId58" Type="http://schemas.openxmlformats.org/officeDocument/2006/relationships/hyperlink" Target="https://calendly.com/inspekkabbdg/santai-saranatanyaapipinteraktif" TargetMode="External"/><Relationship Id="rId107" Type="http://schemas.openxmlformats.org/officeDocument/2006/relationships/hyperlink" Target="https://gepak.bandungkab.go.id/" TargetMode="External"/><Relationship Id="rId228" Type="http://schemas.openxmlformats.org/officeDocument/2006/relationships/hyperlink" Target="https://sso.bandungkab.go.id/" TargetMode="External"/><Relationship Id="rId106" Type="http://schemas.openxmlformats.org/officeDocument/2006/relationships/hyperlink" Target="https://sipsn.kemenlh.go.id/sipsn/" TargetMode="External"/><Relationship Id="rId227" Type="http://schemas.openxmlformats.org/officeDocument/2006/relationships/hyperlink" Target="https://drive.google.com/file/d/1-u8BdMLGCu4aICHYLsA_St6eYZj99BZB/view?usp=drive_link" TargetMode="External"/><Relationship Id="rId105" Type="http://schemas.openxmlformats.org/officeDocument/2006/relationships/hyperlink" Target="https://sampahkita.jabarprov.go.id/" TargetMode="External"/><Relationship Id="rId226" Type="http://schemas.openxmlformats.org/officeDocument/2006/relationships/hyperlink" Target="https://e-absensi.bandungkab.go.id/login" TargetMode="External"/><Relationship Id="rId104" Type="http://schemas.openxmlformats.org/officeDocument/2006/relationships/hyperlink" Target="http://amdalnet.kemenlh.go.id/" TargetMode="External"/><Relationship Id="rId225" Type="http://schemas.openxmlformats.org/officeDocument/2006/relationships/hyperlink" Target="https://e-pad.bandungkab.go.id/index.php/user/login" TargetMode="External"/><Relationship Id="rId109" Type="http://schemas.openxmlformats.org/officeDocument/2006/relationships/hyperlink" Target="https://drive.google.com/file/d/1RechF7D6NXptgUFxXmNTXXBTU0KQ0Gcm/view?usp=sharing" TargetMode="External"/><Relationship Id="rId108" Type="http://schemas.openxmlformats.org/officeDocument/2006/relationships/hyperlink" Target="http://kehati.bandungkab.go.id/" TargetMode="External"/><Relationship Id="rId229" Type="http://schemas.openxmlformats.org/officeDocument/2006/relationships/hyperlink" Target="mailto:dediradi@gmail.com" TargetMode="External"/><Relationship Id="rId220" Type="http://schemas.openxmlformats.org/officeDocument/2006/relationships/hyperlink" Target="http://pbb-online.bandungkab.go.id/" TargetMode="External"/><Relationship Id="rId103" Type="http://schemas.openxmlformats.org/officeDocument/2006/relationships/hyperlink" Target="https://dp2kbp3a.bandungkab.go.id/apps/perlindungan-anak/" TargetMode="External"/><Relationship Id="rId224" Type="http://schemas.openxmlformats.org/officeDocument/2006/relationships/hyperlink" Target="https://drive.google.com/drive/folders/1YBsK-2pdfsgxA-SPqsa5WMZzipvbo0Zl?usp=sharing" TargetMode="External"/><Relationship Id="rId102" Type="http://schemas.openxmlformats.org/officeDocument/2006/relationships/hyperlink" Target="https://simfonippa.kemenpppa.go.id/" TargetMode="External"/><Relationship Id="rId223" Type="http://schemas.openxmlformats.org/officeDocument/2006/relationships/hyperlink" Target="https://bphtb2.bandungkab.go.id/" TargetMode="External"/><Relationship Id="rId101" Type="http://schemas.openxmlformats.org/officeDocument/2006/relationships/hyperlink" Target="https://docs.google.com/spreadsheets/d/1f2FpxtXLWyTMlao3H1cM7ZWvZY62FNOP/edit?usp=drivesdk&amp;ouid=101319060553117315214&amp;rtpof=true&amp;sd=true" TargetMode="External"/><Relationship Id="rId222" Type="http://schemas.openxmlformats.org/officeDocument/2006/relationships/hyperlink" Target="https://drive.google.com/drive/folders/1psrMJUnyozjImYwLa6s5MSyj6ohEJYQO?usp=sharing" TargetMode="External"/><Relationship Id="rId100" Type="http://schemas.openxmlformats.org/officeDocument/2006/relationships/hyperlink" Target="https://dp2kbp3a.bandungkab.go.id/sappana/" TargetMode="External"/><Relationship Id="rId221" Type="http://schemas.openxmlformats.org/officeDocument/2006/relationships/hyperlink" Target="https://drive.google.com/file/d/1CloKUh40TI8aJ_npp4ASJNSlnRVawVBn/view?usp=sharing" TargetMode="External"/><Relationship Id="rId217" Type="http://schemas.openxmlformats.org/officeDocument/2006/relationships/hyperlink" Target="https://e-penghapusanbmd.id/" TargetMode="External"/><Relationship Id="rId216" Type="http://schemas.openxmlformats.org/officeDocument/2006/relationships/hyperlink" Target="https://kdo.e-planningbmd.id/" TargetMode="External"/><Relationship Id="rId215" Type="http://schemas.openxmlformats.org/officeDocument/2006/relationships/hyperlink" Target="https://drive.google.com/file/d/1pRxS9hpYYxPfeElynApRSPgiKe_xbqQZ/view?usp=drive_link" TargetMode="External"/><Relationship Id="rId214" Type="http://schemas.openxmlformats.org/officeDocument/2006/relationships/hyperlink" Target="http://rkbmd.e-planningbmd.id/" TargetMode="External"/><Relationship Id="rId219" Type="http://schemas.openxmlformats.org/officeDocument/2006/relationships/hyperlink" Target="https://drive.google.com/file/d/1EleK6UBDx7lBx-8YOCfg6TAbMx8HdYBj/view?usp=sharing" TargetMode="External"/><Relationship Id="rId218" Type="http://schemas.openxmlformats.org/officeDocument/2006/relationships/hyperlink" Target="https://persediaanbmd.bandungkab.go.id/" TargetMode="External"/><Relationship Id="rId213" Type="http://schemas.openxmlformats.org/officeDocument/2006/relationships/hyperlink" Target="https://docs.google.com/spreadsheets/d/1GrF7yl0eJIiOHTS8n_w_9Sp-PAVtSvEu/edit?usp=drive_link&amp;ouid=100880423975394660255&amp;rtpof=true&amp;sd=true" TargetMode="External"/><Relationship Id="rId212" Type="http://schemas.openxmlformats.org/officeDocument/2006/relationships/hyperlink" Target="https://penatausahaan-dev-bmd.bandungkab.go.id/login" TargetMode="External"/><Relationship Id="rId211" Type="http://schemas.openxmlformats.org/officeDocument/2006/relationships/hyperlink" Target="https://drive.google.com/file/d/1YRKKugsMdrXTfIPPP5t9vIuPmcSmeJi-/view?usp=sharing" TargetMode="External"/><Relationship Id="rId210" Type="http://schemas.openxmlformats.org/officeDocument/2006/relationships/hyperlink" Target="http://soreang.dapda.id/" TargetMode="External"/><Relationship Id="rId129" Type="http://schemas.openxmlformats.org/officeDocument/2006/relationships/hyperlink" Target="https://perizinan.bandungkab.go.id/sirsak" TargetMode="External"/><Relationship Id="rId128" Type="http://schemas.openxmlformats.org/officeDocument/2006/relationships/hyperlink" Target="https://next-gen.mppdigital.go.id/" TargetMode="External"/><Relationship Id="rId249" Type="http://schemas.openxmlformats.org/officeDocument/2006/relationships/hyperlink" Target="http://sisdmk.kemkes.go.id/" TargetMode="External"/><Relationship Id="rId127" Type="http://schemas.openxmlformats.org/officeDocument/2006/relationships/hyperlink" Target="https://simbg.pu.go.id/" TargetMode="External"/><Relationship Id="rId248" Type="http://schemas.openxmlformats.org/officeDocument/2006/relationships/hyperlink" Target="https://mpn.kemenkeu.go.id/" TargetMode="External"/><Relationship Id="rId126" Type="http://schemas.openxmlformats.org/officeDocument/2006/relationships/hyperlink" Target="https://dpmptsp.bandungkab.go.id/" TargetMode="External"/><Relationship Id="rId247" Type="http://schemas.openxmlformats.org/officeDocument/2006/relationships/hyperlink" Target="https://sisrute.kemkes.go.id/" TargetMode="External"/><Relationship Id="rId121" Type="http://schemas.openxmlformats.org/officeDocument/2006/relationships/hyperlink" Target="http://s.id/sipandubedas" TargetMode="External"/><Relationship Id="rId242" Type="http://schemas.openxmlformats.org/officeDocument/2006/relationships/hyperlink" Target="https://ee.kobotoolbox.org/x/YQp13dFa" TargetMode="External"/><Relationship Id="rId120" Type="http://schemas.openxmlformats.org/officeDocument/2006/relationships/hyperlink" Target="https://drive.google.com/file/d/1YdbXWdCS28ppql72phZoI1RvIMqiXeuL/view?usp=sharing" TargetMode="External"/><Relationship Id="rId241" Type="http://schemas.openxmlformats.org/officeDocument/2006/relationships/hyperlink" Target="http://simpel.menlhk.go.id/" TargetMode="External"/><Relationship Id="rId240" Type="http://schemas.openxmlformats.org/officeDocument/2006/relationships/hyperlink" Target="https://drive.google.com/drive/folders/1vjgfqjMxOGjNMjW_D5TVCMti_1yMqG0T?usp=sharing" TargetMode="External"/><Relationship Id="rId125" Type="http://schemas.openxmlformats.org/officeDocument/2006/relationships/hyperlink" Target="https://oss.go.id/" TargetMode="External"/><Relationship Id="rId246" Type="http://schemas.openxmlformats.org/officeDocument/2006/relationships/hyperlink" Target="https://sirup.inaproc.id/sirup/loginctr/index" TargetMode="External"/><Relationship Id="rId124" Type="http://schemas.openxmlformats.org/officeDocument/2006/relationships/hyperlink" Target="https://drive.google.com/file/d/1r3y4yoWaoByjuAovOlwVhpYcdVHWYZlA/view?usp=drive_link" TargetMode="External"/><Relationship Id="rId245" Type="http://schemas.openxmlformats.org/officeDocument/2006/relationships/hyperlink" Target="http://a.md/" TargetMode="External"/><Relationship Id="rId123" Type="http://schemas.openxmlformats.org/officeDocument/2006/relationships/hyperlink" Target="https://sipakades.bandungkab.go.id/" TargetMode="External"/><Relationship Id="rId244" Type="http://schemas.openxmlformats.org/officeDocument/2006/relationships/hyperlink" Target="https://e-retribusi.bandungkab.go.id/" TargetMode="External"/><Relationship Id="rId122" Type="http://schemas.openxmlformats.org/officeDocument/2006/relationships/hyperlink" Target="https://drive.google.com/file/d/15CRvlXeoq6lRDTUnunhCxVgWmxrUKQsz/view?usp=drive_link" TargetMode="External"/><Relationship Id="rId243" Type="http://schemas.openxmlformats.org/officeDocument/2006/relationships/hyperlink" Target="https://simgajiweb.taspen.co.id/" TargetMode="External"/><Relationship Id="rId95" Type="http://schemas.openxmlformats.org/officeDocument/2006/relationships/hyperlink" Target="https://dp2kbp3a.bandungkab.go.id/ppa/" TargetMode="External"/><Relationship Id="rId94" Type="http://schemas.openxmlformats.org/officeDocument/2006/relationships/hyperlink" Target="https://drive.google.com/file/d/13kiJLOSVRFOj2CqIpMMxJSxRVwkT4VuN/view?usp=drive_link" TargetMode="External"/><Relationship Id="rId97" Type="http://schemas.openxmlformats.org/officeDocument/2006/relationships/hyperlink" Target="https://dp2kbp3a.bandungkab.go.id/pprg/" TargetMode="External"/><Relationship Id="rId96" Type="http://schemas.openxmlformats.org/officeDocument/2006/relationships/hyperlink" Target="https://drive.google.com/file/d/1qhJbKAh0RXizTZVD-lHLPJTl4ZBGbOzZ/view?usp=sharing" TargetMode="External"/><Relationship Id="rId99" Type="http://schemas.openxmlformats.org/officeDocument/2006/relationships/hyperlink" Target="https://drive.google.com/file/d/16ULKF-_fc7--75zz-4n8WtETaChfDzBD/view?usp=sharing" TargetMode="External"/><Relationship Id="rId98" Type="http://schemas.openxmlformats.org/officeDocument/2006/relationships/hyperlink" Target="https://siga.bkkbn.go.id/" TargetMode="External"/><Relationship Id="rId91" Type="http://schemas.openxmlformats.org/officeDocument/2006/relationships/hyperlink" Target="https://dashnaker.bandungkab.go.id/login" TargetMode="External"/><Relationship Id="rId90" Type="http://schemas.openxmlformats.org/officeDocument/2006/relationships/hyperlink" Target="https://dashnaker.bandungkab.go.id/login" TargetMode="External"/><Relationship Id="rId93" Type="http://schemas.openxmlformats.org/officeDocument/2006/relationships/hyperlink" Target="http://sibarduktrans.transmigrasi.go.id/" TargetMode="External"/><Relationship Id="rId92" Type="http://schemas.openxmlformats.org/officeDocument/2006/relationships/hyperlink" Target="http://siapkerja.kemnaker.go.id/" TargetMode="External"/><Relationship Id="rId118" Type="http://schemas.openxmlformats.org/officeDocument/2006/relationships/hyperlink" Target="https://drive.google.com/file/d/1CvHE6emS2UxjsAt6IC87kgxEb19CuE3k/view?usp=sharing" TargetMode="External"/><Relationship Id="rId239" Type="http://schemas.openxmlformats.org/officeDocument/2006/relationships/hyperlink" Target="https://drive.google.com/file/d/1T1U4oNUqZS1NcFlgpFY6CJRp0CcQqlBv/view?usp=drive_link" TargetMode="External"/><Relationship Id="rId117" Type="http://schemas.openxmlformats.org/officeDocument/2006/relationships/hyperlink" Target="https://epdeskel.binapemdes.kemendagri.go.id/app_Login/" TargetMode="External"/><Relationship Id="rId238" Type="http://schemas.openxmlformats.org/officeDocument/2006/relationships/hyperlink" Target="https://drive.google.com/drive/folders/1B5BkNR_l7v0dpf1e8Y6cIlWcgjAqRVF5?usp=drive_link" TargetMode="External"/><Relationship Id="rId116" Type="http://schemas.openxmlformats.org/officeDocument/2006/relationships/hyperlink" Target="https://prodeskel.binapemdes.kemendagri.go.id/mpublik/" TargetMode="External"/><Relationship Id="rId237" Type="http://schemas.openxmlformats.org/officeDocument/2006/relationships/hyperlink" Target="https://docs.google.com/spreadsheets/d/1l5-2zqpZNcqk1vc27yahE2fBaLI9m7gY/edit?usp=sharing&amp;ouid=116583022603845992448&amp;rtpof=true&amp;sd=true" TargetMode="External"/><Relationship Id="rId115" Type="http://schemas.openxmlformats.org/officeDocument/2006/relationships/hyperlink" Target="https://spanint.kemenkeu.go.id/tkd/" TargetMode="External"/><Relationship Id="rId236" Type="http://schemas.openxmlformats.org/officeDocument/2006/relationships/hyperlink" Target="http://dibi.bnpb.go.id/" TargetMode="External"/><Relationship Id="rId119" Type="http://schemas.openxmlformats.org/officeDocument/2006/relationships/hyperlink" Target="http://sipades.id/" TargetMode="External"/><Relationship Id="rId110" Type="http://schemas.openxmlformats.org/officeDocument/2006/relationships/hyperlink" Target="https://bds.bandungkab.go.id/" TargetMode="External"/><Relationship Id="rId231" Type="http://schemas.openxmlformats.org/officeDocument/2006/relationships/hyperlink" Target="https://drive.google.com/file/d/1Ytr1MO33D981VKk7RIXXUdXU9tmvqtIl/view?usp=sharing" TargetMode="External"/><Relationship Id="rId230" Type="http://schemas.openxmlformats.org/officeDocument/2006/relationships/hyperlink" Target="https://drive.google.com/file/d/1PXizS0lsGfzHef1oqj26L6YEq9Ht-TsF/view?usp=sharing" TargetMode="External"/><Relationship Id="rId114" Type="http://schemas.openxmlformats.org/officeDocument/2006/relationships/hyperlink" Target="http://siskeudes.bandungkab.go.id:8080/guacamole/" TargetMode="External"/><Relationship Id="rId235" Type="http://schemas.openxmlformats.org/officeDocument/2006/relationships/hyperlink" Target="https://drive.google.com/file/d/1OVv4yCmrgdrfLSeSS5ewogAtczV2aIlF/view?usp=sharing" TargetMode="External"/><Relationship Id="rId113" Type="http://schemas.openxmlformats.org/officeDocument/2006/relationships/hyperlink" Target="http://lampid.bandungkab.go.id/" TargetMode="External"/><Relationship Id="rId234" Type="http://schemas.openxmlformats.org/officeDocument/2006/relationships/hyperlink" Target="https://play.google.com/store/apps/details?id=com.diskominfo.bpbd" TargetMode="External"/><Relationship Id="rId112" Type="http://schemas.openxmlformats.org/officeDocument/2006/relationships/hyperlink" Target="https://drive.google.com/file/d/1RechF7D6NXptgUFxXmNTXXBTU0KQ0Gcm/view?usp=sharing" TargetMode="External"/><Relationship Id="rId233" Type="http://schemas.openxmlformats.org/officeDocument/2006/relationships/hyperlink" Target="https://drive.google.com/file/d/1OVv4yCmrgdrfLSeSS5ewogAtczV2aIlF/view?usp=sharing" TargetMode="External"/><Relationship Id="rId111" Type="http://schemas.openxmlformats.org/officeDocument/2006/relationships/hyperlink" Target="https://bds.bandungkab.go.id/" TargetMode="External"/><Relationship Id="rId232" Type="http://schemas.openxmlformats.org/officeDocument/2006/relationships/hyperlink" Target="https://docs.google.com/forms/d/e/1FAIpQLScgtcVM1HIFI6Kb84RdU-NURHvy6qz13ikmHRCejwiPs-g2KQ/viewform?pli=1" TargetMode="External"/><Relationship Id="rId206" Type="http://schemas.openxmlformats.org/officeDocument/2006/relationships/hyperlink" Target="https://pelayanan.bandungkab.dapda.id/" TargetMode="External"/><Relationship Id="rId205" Type="http://schemas.openxmlformats.org/officeDocument/2006/relationships/hyperlink" Target="mailto:lemicandra@gmail.com" TargetMode="External"/><Relationship Id="rId204" Type="http://schemas.openxmlformats.org/officeDocument/2006/relationships/hyperlink" Target="https://sso.bandungkab.go.id/" TargetMode="External"/><Relationship Id="rId203" Type="http://schemas.openxmlformats.org/officeDocument/2006/relationships/hyperlink" Target="https://drive.google.com/file/d/18x4SyFaMTJIHq1ORgmmghi6RwxlrdqOk/view?usp=sharing" TargetMode="External"/><Relationship Id="rId209" Type="http://schemas.openxmlformats.org/officeDocument/2006/relationships/hyperlink" Target="https://sidesa.bandungkab.dapda.id/login" TargetMode="External"/><Relationship Id="rId208" Type="http://schemas.openxmlformats.org/officeDocument/2006/relationships/hyperlink" Target="https://hspkasb.e-planningbmd.id/auth" TargetMode="External"/><Relationship Id="rId207" Type="http://schemas.openxmlformats.org/officeDocument/2006/relationships/hyperlink" Target="https://drive.google.com/file/d/1Wq5fbFaB6cGVodoz0G93rd3_HKNa842I/view?usp=sharing" TargetMode="External"/><Relationship Id="rId202" Type="http://schemas.openxmlformats.org/officeDocument/2006/relationships/hyperlink" Target="https://romantik.web.bps.go.id/" TargetMode="External"/><Relationship Id="rId201" Type="http://schemas.openxmlformats.org/officeDocument/2006/relationships/hyperlink" Target="https://bajuri.bandungkab.go.id/" TargetMode="External"/><Relationship Id="rId200" Type="http://schemas.openxmlformats.org/officeDocument/2006/relationships/hyperlink" Target="https://drive.google.com/file/d/1JhS_khzdBgbJD9WfRdXNmMfYuI_ppqJR/view?usp=sharing" TargetMode="External"/></Relationships>
</file>

<file path=xl/worksheets/_rels/sheet5.xml.rels><?xml version="1.0" encoding="UTF-8" standalone="yes"?><Relationships xmlns="http://schemas.openxmlformats.org/package/2006/relationships"><Relationship Id="rId190" Type="http://schemas.openxmlformats.org/officeDocument/2006/relationships/hyperlink" Target="mailto:lemicandra@gmail.com" TargetMode="External"/><Relationship Id="rId194" Type="http://schemas.openxmlformats.org/officeDocument/2006/relationships/hyperlink" Target="https://sidesa.bandungkab.dapda.id/login" TargetMode="External"/><Relationship Id="rId193" Type="http://schemas.openxmlformats.org/officeDocument/2006/relationships/hyperlink" Target="https://hspkasb.e-planningbmd.id/auth" TargetMode="External"/><Relationship Id="rId192" Type="http://schemas.openxmlformats.org/officeDocument/2006/relationships/hyperlink" Target="https://drive.google.com/file/d/1Wq5fbFaB6cGVodoz0G93rd3_HKNa842I/view?usp=sharing" TargetMode="External"/><Relationship Id="rId191" Type="http://schemas.openxmlformats.org/officeDocument/2006/relationships/hyperlink" Target="https://pelayanan.bandungkab.dapda.id/" TargetMode="External"/><Relationship Id="rId187" Type="http://schemas.openxmlformats.org/officeDocument/2006/relationships/hyperlink" Target="https://romantik.web.bps.go.id/" TargetMode="External"/><Relationship Id="rId186" Type="http://schemas.openxmlformats.org/officeDocument/2006/relationships/hyperlink" Target="https://bajuri.bandungkab.go.id/" TargetMode="External"/><Relationship Id="rId185" Type="http://schemas.openxmlformats.org/officeDocument/2006/relationships/hyperlink" Target="https://drive.google.com/file/d/1JhS_khzdBgbJD9WfRdXNmMfYuI_ppqJR/view?usp=sharing" TargetMode="External"/><Relationship Id="rId184" Type="http://schemas.openxmlformats.org/officeDocument/2006/relationships/hyperlink" Target="https://apik.bandungkab.go.id/apik/login" TargetMode="External"/><Relationship Id="rId189" Type="http://schemas.openxmlformats.org/officeDocument/2006/relationships/hyperlink" Target="https://sso.bandungkab.go.id/" TargetMode="External"/><Relationship Id="rId188" Type="http://schemas.openxmlformats.org/officeDocument/2006/relationships/hyperlink" Target="https://drive.google.com/file/d/18x4SyFaMTJIHq1ORgmmghi6RwxlrdqOk/view?usp=sharing" TargetMode="External"/><Relationship Id="rId183" Type="http://schemas.openxmlformats.org/officeDocument/2006/relationships/hyperlink" Target="https://drive.google.com/file/d/1U5Ce3fAIo3YOESTLI_rdag9_xK_sncgn/view?usp=sharing" TargetMode="External"/><Relationship Id="rId182" Type="http://schemas.openxmlformats.org/officeDocument/2006/relationships/hyperlink" Target="https://simbarraya.bandungkab.go.id/" TargetMode="External"/><Relationship Id="rId181" Type="http://schemas.openxmlformats.org/officeDocument/2006/relationships/hyperlink" Target="https://drive.google.com/drive/u/1/folders/1OmZJCQ07S-vIbWQDO6jSHpZyJaE2oGJM" TargetMode="External"/><Relationship Id="rId180" Type="http://schemas.openxmlformats.org/officeDocument/2006/relationships/hyperlink" Target="https://apar.bandungkab.go.id/" TargetMode="External"/><Relationship Id="rId176" Type="http://schemas.openxmlformats.org/officeDocument/2006/relationships/hyperlink" Target="http://sikn.anri.go.id/" TargetMode="External"/><Relationship Id="rId175" Type="http://schemas.openxmlformats.org/officeDocument/2006/relationships/hyperlink" Target="https://perpus.bandungkab.go.id/pendaftaran" TargetMode="External"/><Relationship Id="rId174" Type="http://schemas.openxmlformats.org/officeDocument/2006/relationships/hyperlink" Target="https://drive.google.com/file/d/1FL4agfMs9a3tAmDlzxiGL6UA1alZs_Er/view?usp=sharing" TargetMode="External"/><Relationship Id="rId173" Type="http://schemas.openxmlformats.org/officeDocument/2006/relationships/hyperlink" Target="http://a.ma/" TargetMode="External"/><Relationship Id="rId179" Type="http://schemas.openxmlformats.org/officeDocument/2006/relationships/hyperlink" Target="https://drive.google.com/drive/folders/1Ejl6GsPadSWWZ-gXvbwNU62zsG4t_RcK?usp=drive_link" TargetMode="External"/><Relationship Id="rId178" Type="http://schemas.openxmlformats.org/officeDocument/2006/relationships/hyperlink" Target="https://ipusnas2.perpusnas.go.id/login" TargetMode="External"/><Relationship Id="rId177" Type="http://schemas.openxmlformats.org/officeDocument/2006/relationships/hyperlink" Target="http://srikandi.arsip.go.id/" TargetMode="External"/><Relationship Id="rId198" Type="http://schemas.openxmlformats.org/officeDocument/2006/relationships/hyperlink" Target="https://docs.google.com/spreadsheets/d/1GrF7yl0eJIiOHTS8n_w_9Sp-PAVtSvEu/edit?usp=drive_link&amp;ouid=100880423975394660255&amp;rtpof=true&amp;sd=true" TargetMode="External"/><Relationship Id="rId197" Type="http://schemas.openxmlformats.org/officeDocument/2006/relationships/hyperlink" Target="https://penatausahaan-dev-bmd.bandungkab.go.id/login" TargetMode="External"/><Relationship Id="rId196" Type="http://schemas.openxmlformats.org/officeDocument/2006/relationships/hyperlink" Target="https://drive.google.com/file/d/1YRKKugsMdrXTfIPPP5t9vIuPmcSmeJi-/view?usp=sharing" TargetMode="External"/><Relationship Id="rId195" Type="http://schemas.openxmlformats.org/officeDocument/2006/relationships/hyperlink" Target="http://soreang.dapda.id/" TargetMode="External"/><Relationship Id="rId199" Type="http://schemas.openxmlformats.org/officeDocument/2006/relationships/hyperlink" Target="http://rkbmd.e-planningbmd.id/" TargetMode="External"/><Relationship Id="rId150" Type="http://schemas.openxmlformats.org/officeDocument/2006/relationships/hyperlink" Target="https://docs.google.com/spreadsheets/d/1c7RrRajyzrp7pLX7n6Z-t8K0gRXiw69i/edit?usp=sharing&amp;ouid=112536090230720318461&amp;rtpof=true&amp;sd=true" TargetMode="External"/><Relationship Id="rId1" Type="http://schemas.openxmlformats.org/officeDocument/2006/relationships/hyperlink" Target="https://play.google.com/store/apps/details?id=com.diskominfo.radiokandagabedas&amp;pcampaignid=web_share" TargetMode="External"/><Relationship Id="rId2" Type="http://schemas.openxmlformats.org/officeDocument/2006/relationships/hyperlink" Target="https://bandungkab.go.id/" TargetMode="External"/><Relationship Id="rId3" Type="http://schemas.openxmlformats.org/officeDocument/2006/relationships/hyperlink" Target="https://smartcity.bandungkab.go.id/" TargetMode="External"/><Relationship Id="rId149" Type="http://schemas.openxmlformats.org/officeDocument/2006/relationships/hyperlink" Target="https://isikhnas.pertanian.go.id/" TargetMode="External"/><Relationship Id="rId4" Type="http://schemas.openxmlformats.org/officeDocument/2006/relationships/hyperlink" Target="https://simaslahat.bandungkab.go.id/" TargetMode="External"/><Relationship Id="rId148" Type="http://schemas.openxmlformats.org/officeDocument/2006/relationships/hyperlink" Target="https://docs.google.com/document/d/1c-7PUNKaiuUiy_admWwX1iClC1w9eJRB/edit?usp=sharing&amp;ouid=112536090230720318461&amp;rtpof=true&amp;sd=true" TargetMode="External"/><Relationship Id="rId9" Type="http://schemas.openxmlformats.org/officeDocument/2006/relationships/hyperlink" Target="https://e-sptpd.bandungkab.go.id/" TargetMode="External"/><Relationship Id="rId143" Type="http://schemas.openxmlformats.org/officeDocument/2006/relationships/hyperlink" Target="https://trafficintelligence.mkpmobile.com/signin" TargetMode="External"/><Relationship Id="rId142" Type="http://schemas.openxmlformats.org/officeDocument/2006/relationships/hyperlink" Target="https://sipintaronline.bandungkab.go.id/login" TargetMode="External"/><Relationship Id="rId263" Type="http://schemas.openxmlformats.org/officeDocument/2006/relationships/drawing" Target="../drawings/drawing5.xml"/><Relationship Id="rId141" Type="http://schemas.openxmlformats.org/officeDocument/2006/relationships/hyperlink" Target="https://drive.google.com/drive/folders/1uBDqq46euBu9YwCqq9Y65-eJFbijFff9?usp=sharing" TargetMode="External"/><Relationship Id="rId262" Type="http://schemas.openxmlformats.org/officeDocument/2006/relationships/hyperlink" Target="https://dashboard.kemkes.go.id/views/DashboardPemantauanAliranDataSATUSEHAT/Dashboard?%3Aembed=y&amp;%3AisGuestRedirectFromVizportal=y" TargetMode="External"/><Relationship Id="rId140" Type="http://schemas.openxmlformats.org/officeDocument/2006/relationships/hyperlink" Target="https://siinas.kemenperin.go.id/" TargetMode="External"/><Relationship Id="rId261" Type="http://schemas.openxmlformats.org/officeDocument/2006/relationships/hyperlink" Target="https://drive.google.com/drive/u/1/folders/1BMJeHVe0f6zjx97q_TOFnGkZBTxNZTBd" TargetMode="External"/><Relationship Id="rId5" Type="http://schemas.openxmlformats.org/officeDocument/2006/relationships/hyperlink" Target="https://lapor.go.id/" TargetMode="External"/><Relationship Id="rId147" Type="http://schemas.openxmlformats.org/officeDocument/2006/relationships/hyperlink" Target="https://anterin.bandungkab.go.id/" TargetMode="External"/><Relationship Id="rId6" Type="http://schemas.openxmlformats.org/officeDocument/2006/relationships/hyperlink" Target="https://simasda.bandungkab.go.id/" TargetMode="External"/><Relationship Id="rId146" Type="http://schemas.openxmlformats.org/officeDocument/2006/relationships/hyperlink" Target="https://docs.google.com/document/d/1c-7PUNKaiuUiy_admWwX1iClC1w9eJRB/edit?usp=sharing&amp;ouid=112536090230720318461&amp;rtpof=true&amp;sd=true" TargetMode="External"/><Relationship Id="rId7" Type="http://schemas.openxmlformats.org/officeDocument/2006/relationships/hyperlink" Target="https://sirekonpajak.bandungkab.go.id/" TargetMode="External"/><Relationship Id="rId145" Type="http://schemas.openxmlformats.org/officeDocument/2006/relationships/hyperlink" Target="https://www.dgip.go.id/" TargetMode="External"/><Relationship Id="rId8" Type="http://schemas.openxmlformats.org/officeDocument/2006/relationships/hyperlink" Target="http://coretaxdjp.pajak.go.id/" TargetMode="External"/><Relationship Id="rId144" Type="http://schemas.openxmlformats.org/officeDocument/2006/relationships/hyperlink" Target="https://sppirt.pom.go.id/" TargetMode="External"/><Relationship Id="rId260" Type="http://schemas.openxmlformats.org/officeDocument/2006/relationships/hyperlink" Target="https://www.google.com/search?q=UU+No.+17+Tahun+2023+tentang+Kesehatan&amp;oq=DASAR+HUKUM+PEMANTAUAN+ALIRAN+DATA+SATU+SEHAT&amp;gs_lcrp=EgZjaHJvbWUyBggAEEUYOTIKCAEQABiABBiiBDIHCAIQABjvBTIKCAMQABiABBiiBDIKCAQQABiABBiiBDIKCAUQABiABBiiBNIBCTEyMTQyajBqN6gCALACAA&amp;sourceid=chrome&amp;ie=UTF-8&amp;mstk=AUtExfCZKJ1P9WGvUjB-3wCnOalSRMrGT_dUye70LmdsJfmvBOt9xRKqwKFUEfjbTlDRzLfM_xWG-qg4MykF0-1iCKMHonr7P6LoKUtHgQwVQQm6_qVu07M500a7dYzujxlVmTAZb4Z_nz68vE_VaQIwIKKnMcTTam9FZS9eIMfm-0a5Gc0&amp;csui=3&amp;ved=2ahUKEwj4qfSH75STAxV1VmwGHYycGRgQgK4QegQIARAD" TargetMode="External"/><Relationship Id="rId139" Type="http://schemas.openxmlformats.org/officeDocument/2006/relationships/hyperlink" Target="https://drive.google.com/file/d/1XoILvOYKxCz7AwSFhTvSOHZMa9o7Qg5k/view?usp=sharing" TargetMode="External"/><Relationship Id="rId138" Type="http://schemas.openxmlformats.org/officeDocument/2006/relationships/hyperlink" Target="http://ska.kemendag.go.id/" TargetMode="External"/><Relationship Id="rId259" Type="http://schemas.openxmlformats.org/officeDocument/2006/relationships/hyperlink" Target="https://dhephl.bandungkab.go.id/" TargetMode="External"/><Relationship Id="rId137" Type="http://schemas.openxmlformats.org/officeDocument/2006/relationships/hyperlink" Target="https://drive.google.com/file/d/1fOeX8KkbMK8HjuZBVx1smAWDYvK1BcY0/view?usp=sharing" TargetMode="External"/><Relationship Id="rId258" Type="http://schemas.openxmlformats.org/officeDocument/2006/relationships/hyperlink" Target="https://hfis.bpjs-kesehatan.go.id/hfis/login?hfis" TargetMode="External"/><Relationship Id="rId132" Type="http://schemas.openxmlformats.org/officeDocument/2006/relationships/hyperlink" Target="https://sidopabandungkab.com/" TargetMode="External"/><Relationship Id="rId253" Type="http://schemas.openxmlformats.org/officeDocument/2006/relationships/hyperlink" Target="https://dashboard.kemkes.go.id/views/DashboardPemantauanAliranDataSATUSEHAT/Dashboard?%3Aembed=y&amp;%3AisGuestRedirectFromVizportal=y" TargetMode="External"/><Relationship Id="rId131" Type="http://schemas.openxmlformats.org/officeDocument/2006/relationships/hyperlink" Target="https://sidora.bandungkab.go.id/" TargetMode="External"/><Relationship Id="rId252" Type="http://schemas.openxmlformats.org/officeDocument/2006/relationships/hyperlink" Target="https://drive.google.com/drive/u/1/folders/1BMJeHVe0f6zjx97q_TOFnGkZBTxNZTBd" TargetMode="External"/><Relationship Id="rId130" Type="http://schemas.openxmlformats.org/officeDocument/2006/relationships/hyperlink" Target="https://perizinan.bandungkab.go.id/layanan-kami/booking-antrian-imigrasi" TargetMode="External"/><Relationship Id="rId251" Type="http://schemas.openxmlformats.org/officeDocument/2006/relationships/hyperlink" Target="https://www.google.com/search?q=UU+No.+17+Tahun+2023+tentang+Kesehatan&amp;oq=DASAR+HUKUM+PEMANTAUAN+ALIRAN+DATA+SATU+SEHAT&amp;gs_lcrp=EgZjaHJvbWUyBggAEEUYOTIKCAEQABiABBiiBDIHCAIQABjvBTIKCAMQABiABBiiBDIKCAQQABiABBiiBDIKCAUQABiABBiiBNIBCTEyMTQyajBqN6gCALACAA&amp;sourceid=chrome&amp;ie=UTF-8&amp;mstk=AUtExfCZKJ1P9WGvUjB-3wCnOalSRMrGT_dUye70LmdsJfmvBOt9xRKqwKFUEfjbTlDRzLfM_xWG-qg4MykF0-1iCKMHonr7P6LoKUtHgQwVQQm6_qVu07M500a7dYzujxlVmTAZb4Z_nz68vE_VaQIwIKKnMcTTam9FZS9eIMfm-0a5Gc0&amp;csui=3&amp;ved=2ahUKEwj4qfSH75STAxV1VmwGHYycGRgQgK4QegQIARAD" TargetMode="External"/><Relationship Id="rId250" Type="http://schemas.openxmlformats.org/officeDocument/2006/relationships/hyperlink" Target="https://ujiprof.labkesjabar.com/" TargetMode="External"/><Relationship Id="rId136" Type="http://schemas.openxmlformats.org/officeDocument/2006/relationships/hyperlink" Target="https://sibapokting.bandungkab.go.id/" TargetMode="External"/><Relationship Id="rId257" Type="http://schemas.openxmlformats.org/officeDocument/2006/relationships/hyperlink" Target="http://s.si/" TargetMode="External"/><Relationship Id="rId135" Type="http://schemas.openxmlformats.org/officeDocument/2006/relationships/hyperlink" Target="https://drive.google.com/file/d/1vLXgaLLExt7rvce6hrGocDTPsLUu-FsF/view?usp=sharing" TargetMode="External"/><Relationship Id="rId256" Type="http://schemas.openxmlformats.org/officeDocument/2006/relationships/hyperlink" Target="https://e-meso.pom.go.id/ADR" TargetMode="External"/><Relationship Id="rId134" Type="http://schemas.openxmlformats.org/officeDocument/2006/relationships/hyperlink" Target="https://drive.google.com/file/d/1CK9sB-VkjtVcnm48SmIytt7EAWrjRZba/view?usp=sharing" TargetMode="External"/><Relationship Id="rId255" Type="http://schemas.openxmlformats.org/officeDocument/2006/relationships/hyperlink" Target="https://balis.bapeten.go.id/frontend2/public/panel/dashboard" TargetMode="External"/><Relationship Id="rId133" Type="http://schemas.openxmlformats.org/officeDocument/2006/relationships/hyperlink" Target="http://disporabandungkab.go.id/" TargetMode="External"/><Relationship Id="rId254" Type="http://schemas.openxmlformats.org/officeDocument/2006/relationships/hyperlink" Target="https://dmi.kemkes.go.id/dhis-web-commons/security/login.action" TargetMode="External"/><Relationship Id="rId172" Type="http://schemas.openxmlformats.org/officeDocument/2006/relationships/hyperlink" Target="https://ibandungkab.moco.co.id/" TargetMode="External"/><Relationship Id="rId171" Type="http://schemas.openxmlformats.org/officeDocument/2006/relationships/hyperlink" Target="https://drive.google.com/file/d/1xLGvVqyQdJTXp_gTo9XoOeAPrmSfoy_q/view?usp=sharing" TargetMode="External"/><Relationship Id="rId170" Type="http://schemas.openxmlformats.org/officeDocument/2006/relationships/hyperlink" Target="http://m.si/" TargetMode="External"/><Relationship Id="rId165" Type="http://schemas.openxmlformats.org/officeDocument/2006/relationships/hyperlink" Target="https://parbuddalamangka.jabarprov.go.id/" TargetMode="External"/><Relationship Id="rId164" Type="http://schemas.openxmlformats.org/officeDocument/2006/relationships/hyperlink" Target="https://sip.bandungkab.go.id/portal/topic/fsva" TargetMode="External"/><Relationship Id="rId163" Type="http://schemas.openxmlformats.org/officeDocument/2006/relationships/hyperlink" Target="https://drive.google.com/file/d/1u61izoWwYbUe6cGBAMpMmUf3-x1vtXk9/view?usp=drive_link" TargetMode="External"/><Relationship Id="rId162" Type="http://schemas.openxmlformats.org/officeDocument/2006/relationships/hyperlink" Target="https://dispakan.bandungkab.go.id/video/" TargetMode="External"/><Relationship Id="rId169" Type="http://schemas.openxmlformats.org/officeDocument/2006/relationships/hyperlink" Target="https://usahamikro.bandungkab.go.id/" TargetMode="External"/><Relationship Id="rId168" Type="http://schemas.openxmlformats.org/officeDocument/2006/relationships/hyperlink" Target="https://sikoperbedas.bandungkab.go.id/" TargetMode="External"/><Relationship Id="rId167" Type="http://schemas.openxmlformats.org/officeDocument/2006/relationships/hyperlink" Target="http://m.si/" TargetMode="External"/><Relationship Id="rId166" Type="http://schemas.openxmlformats.org/officeDocument/2006/relationships/hyperlink" Target="https://sibangkitukm.bandungkab.go.id/" TargetMode="External"/><Relationship Id="rId161" Type="http://schemas.openxmlformats.org/officeDocument/2006/relationships/hyperlink" Target="https://drive.google.com/file/d/182s0vzlBXufYR4iNRbV-7MhRItTVludu/view?usp=drive_link" TargetMode="External"/><Relationship Id="rId160" Type="http://schemas.openxmlformats.org/officeDocument/2006/relationships/hyperlink" Target="https://sikandung.bandungkab.go.id/" TargetMode="External"/><Relationship Id="rId159" Type="http://schemas.openxmlformats.org/officeDocument/2006/relationships/hyperlink" Target="https://drive.google.com/file/d/1u61izoWwYbUe6cGBAMpMmUf3-x1vtXk9/view?usp=drive_link" TargetMode="External"/><Relationship Id="rId154" Type="http://schemas.openxmlformats.org/officeDocument/2006/relationships/hyperlink" Target="https://erdkk25.pertanian.go.id/" TargetMode="External"/><Relationship Id="rId153" Type="http://schemas.openxmlformats.org/officeDocument/2006/relationships/hyperlink" Target="https://docs.google.com/spreadsheets/d/1cLC7YoJU_Mkyr5eJTL-fHfA0D-sQukvz/edit?usp=sharing&amp;ouid=112536090230720318461&amp;rtpof=true&amp;sd=true" TargetMode="External"/><Relationship Id="rId152" Type="http://schemas.openxmlformats.org/officeDocument/2006/relationships/hyperlink" Target="http://tanginas.web.id/" TargetMode="External"/><Relationship Id="rId151" Type="http://schemas.openxmlformats.org/officeDocument/2006/relationships/hyperlink" Target="http://sifortuna.tanamanpangan.pertanian.go.id/" TargetMode="External"/><Relationship Id="rId158" Type="http://schemas.openxmlformats.org/officeDocument/2006/relationships/hyperlink" Target="http://sipolan.bandungkab.go.id/" TargetMode="External"/><Relationship Id="rId157" Type="http://schemas.openxmlformats.org/officeDocument/2006/relationships/hyperlink" Target="https://drive.google.com/drive/folders/1b_wlUHQifUNUdZcrhKipNlD0R6COD8yt?usp=sharing" TargetMode="External"/><Relationship Id="rId156" Type="http://schemas.openxmlformats.org/officeDocument/2006/relationships/hyperlink" Target="https://simluh.pertanian.go.id/" TargetMode="External"/><Relationship Id="rId155" Type="http://schemas.openxmlformats.org/officeDocument/2006/relationships/hyperlink" Target="https://docs.google.com/spreadsheets/d/1cLZrBaEOapwKOQE9usRXCTW93SFEy7Xj/edit?usp=sharing&amp;ouid=112536090230720318461&amp;rtpof=true&amp;sd=true" TargetMode="External"/><Relationship Id="rId40" Type="http://schemas.openxmlformats.org/officeDocument/2006/relationships/hyperlink" Target="https://bisakerja.bandungkab.go.id/login" TargetMode="External"/><Relationship Id="rId42" Type="http://schemas.openxmlformats.org/officeDocument/2006/relationships/hyperlink" Target="https://drive.google.com/drive/folders/1uT9c4NGjI41uZyGgKpyquckLoM2rSaQa?usp=sharing" TargetMode="External"/><Relationship Id="rId41" Type="http://schemas.openxmlformats.org/officeDocument/2006/relationships/hyperlink" Target="http://e-bumd.com/dashboard" TargetMode="External"/><Relationship Id="rId44" Type="http://schemas.openxmlformats.org/officeDocument/2006/relationships/hyperlink" Target="https://e-lkpj.id/login" TargetMode="External"/><Relationship Id="rId43" Type="http://schemas.openxmlformats.org/officeDocument/2006/relationships/hyperlink" Target="https://simbangun.bandungkab.go.id/" TargetMode="External"/><Relationship Id="rId46" Type="http://schemas.openxmlformats.org/officeDocument/2006/relationships/hyperlink" Target="https://spse.inaproc.id/bandungkab" TargetMode="External"/><Relationship Id="rId45" Type="http://schemas.openxmlformats.org/officeDocument/2006/relationships/hyperlink" Target="https://drive.google.com/file/d/1bfEasna0yACDkjKfdw6Q1Zy2Ku88gtKx/view?usp=sharing" TargetMode="External"/><Relationship Id="rId48" Type="http://schemas.openxmlformats.org/officeDocument/2006/relationships/hyperlink" Target="http://ap.m.kp/" TargetMode="External"/><Relationship Id="rId47" Type="http://schemas.openxmlformats.org/officeDocument/2006/relationships/hyperlink" Target="https://aplikasi.bandungkab.go.id/publik/dashboard-pendataan-profil-sppg-aktif-untuk-satgas-mbg" TargetMode="External"/><Relationship Id="rId49" Type="http://schemas.openxmlformats.org/officeDocument/2006/relationships/hyperlink" Target="https://www.appsheet.com/Account/Login?appName=DBHCHT%20App&amp;FullScope=False&amp;provider=google&amp;returnUrl=https%3A%2F%2Fwww.appsheet.com%2Fstart%2F93891b63-df85-4aa1-a7bf-d007dfa96cf8%3Fplatform%3Ddesktop" TargetMode="External"/><Relationship Id="rId31" Type="http://schemas.openxmlformats.org/officeDocument/2006/relationships/hyperlink" Target="https://ppid.bandungkab.go.id/" TargetMode="External"/><Relationship Id="rId30" Type="http://schemas.openxmlformats.org/officeDocument/2006/relationships/hyperlink" Target="http://m.si/" TargetMode="External"/><Relationship Id="rId33" Type="http://schemas.openxmlformats.org/officeDocument/2006/relationships/hyperlink" Target="https://sipatuhbedas.bandungkab.go.id/" TargetMode="External"/><Relationship Id="rId32" Type="http://schemas.openxmlformats.org/officeDocument/2006/relationships/hyperlink" Target="https://sipphade.bandungkab.go.id/" TargetMode="External"/><Relationship Id="rId35" Type="http://schemas.openxmlformats.org/officeDocument/2006/relationships/hyperlink" Target="https://sikp.kemenkeu.go.id/login" TargetMode="External"/><Relationship Id="rId34" Type="http://schemas.openxmlformats.org/officeDocument/2006/relationships/hyperlink" Target="http://kerjasama.bandungkab.go.id/" TargetMode="External"/><Relationship Id="rId37" Type="http://schemas.openxmlformats.org/officeDocument/2006/relationships/hyperlink" Target="https://sikd.djpk.kemenkeu.go.id/lapordbh/" TargetMode="External"/><Relationship Id="rId36" Type="http://schemas.openxmlformats.org/officeDocument/2006/relationships/hyperlink" Target="https://sitpakd.ojk.go.id/Account/Login" TargetMode="External"/><Relationship Id="rId39" Type="http://schemas.openxmlformats.org/officeDocument/2006/relationships/hyperlink" Target="https://www.portalrb.id/" TargetMode="External"/><Relationship Id="rId38" Type="http://schemas.openxmlformats.org/officeDocument/2006/relationships/hyperlink" Target="https://tpin.id/login" TargetMode="External"/><Relationship Id="rId20" Type="http://schemas.openxmlformats.org/officeDocument/2006/relationships/hyperlink" Target="http://m.tr/" TargetMode="External"/><Relationship Id="rId22" Type="http://schemas.openxmlformats.org/officeDocument/2006/relationships/hyperlink" Target="https://sitampan-insaba.web.app/" TargetMode="External"/><Relationship Id="rId21" Type="http://schemas.openxmlformats.org/officeDocument/2006/relationships/hyperlink" Target="https://skm.bandungkab.go.id/" TargetMode="External"/><Relationship Id="rId24" Type="http://schemas.openxmlformats.org/officeDocument/2006/relationships/hyperlink" Target="https://play.google.com/store/apps/details?id=com.diskominfo.siagan_bedas&amp;hl=id" TargetMode="External"/><Relationship Id="rId23" Type="http://schemas.openxmlformats.org/officeDocument/2006/relationships/hyperlink" Target="http://m.tr/" TargetMode="External"/><Relationship Id="rId26" Type="http://schemas.openxmlformats.org/officeDocument/2006/relationships/hyperlink" Target="http://m.si/" TargetMode="External"/><Relationship Id="rId25" Type="http://schemas.openxmlformats.org/officeDocument/2006/relationships/hyperlink" Target="http://sinar.big.go.id/" TargetMode="External"/><Relationship Id="rId28" Type="http://schemas.openxmlformats.org/officeDocument/2006/relationships/hyperlink" Target="http://m.si/" TargetMode="External"/><Relationship Id="rId27" Type="http://schemas.openxmlformats.org/officeDocument/2006/relationships/hyperlink" Target="https://elppd.kemendagri.go.id/" TargetMode="External"/><Relationship Id="rId29" Type="http://schemas.openxmlformats.org/officeDocument/2006/relationships/hyperlink" Target="https://spm.bangda.kemendagri.go.id/" TargetMode="External"/><Relationship Id="rId11" Type="http://schemas.openxmlformats.org/officeDocument/2006/relationships/hyperlink" Target="https://sultan.bandungkab.go.id/" TargetMode="External"/><Relationship Id="rId10" Type="http://schemas.openxmlformats.org/officeDocument/2006/relationships/hyperlink" Target="http://sipd-ri.kemendagri.go.id/" TargetMode="External"/><Relationship Id="rId13" Type="http://schemas.openxmlformats.org/officeDocument/2006/relationships/hyperlink" Target="https://indah.bps.go.id/" TargetMode="External"/><Relationship Id="rId12" Type="http://schemas.openxmlformats.org/officeDocument/2006/relationships/hyperlink" Target="http://sshsbu.e-planningbmd.id/" TargetMode="External"/><Relationship Id="rId15" Type="http://schemas.openxmlformats.org/officeDocument/2006/relationships/hyperlink" Target="https://sidalmonep.bandungkab.go.id/" TargetMode="External"/><Relationship Id="rId14" Type="http://schemas.openxmlformats.org/officeDocument/2006/relationships/hyperlink" Target="http://simwas.bandungkab.go.id/" TargetMode="External"/><Relationship Id="rId17" Type="http://schemas.openxmlformats.org/officeDocument/2006/relationships/hyperlink" Target="http://siakang.bandungkab.go.id/" TargetMode="External"/><Relationship Id="rId16" Type="http://schemas.openxmlformats.org/officeDocument/2006/relationships/hyperlink" Target="https://simpelbkpsdm.bandungkab.go.id/" TargetMode="External"/><Relationship Id="rId19" Type="http://schemas.openxmlformats.org/officeDocument/2006/relationships/hyperlink" Target="https://surabi.jabarprov.go.id/" TargetMode="External"/><Relationship Id="rId18" Type="http://schemas.openxmlformats.org/officeDocument/2006/relationships/hyperlink" Target="http://m.tr/" TargetMode="External"/><Relationship Id="rId84" Type="http://schemas.openxmlformats.org/officeDocument/2006/relationships/hyperlink" Target="https://drive.google.com/file/d/1kvVSSjFHbdSKP4vPWzb0wDWs5x8kMCbU/view?usp=sharing" TargetMode="External"/><Relationship Id="rId83" Type="http://schemas.openxmlformats.org/officeDocument/2006/relationships/hyperlink" Target="https://linktr.ee/SIBEDASOK" TargetMode="External"/><Relationship Id="rId86" Type="http://schemas.openxmlformats.org/officeDocument/2006/relationships/hyperlink" Target="https://drive.google.com/file/d/1Ramy4vxff2nlZwmQYryTo4j9HIjXgRt2/view?usp=sharing" TargetMode="External"/><Relationship Id="rId85" Type="http://schemas.openxmlformats.org/officeDocument/2006/relationships/hyperlink" Target="https://aplikasi.bandungkab.com/publik/landing-page-aplikasi-sipikat" TargetMode="External"/><Relationship Id="rId88" Type="http://schemas.openxmlformats.org/officeDocument/2006/relationships/hyperlink" Target="https://drive.google.com/drive/folders/1Uinu-ZgkI_8xZeYLw7yaEW1HRhG7prDv?usp=drive_link" TargetMode="External"/><Relationship Id="rId87" Type="http://schemas.openxmlformats.org/officeDocument/2006/relationships/hyperlink" Target="https://dibedasken.bandungkab.go.id/" TargetMode="External"/><Relationship Id="rId89" Type="http://schemas.openxmlformats.org/officeDocument/2006/relationships/hyperlink" Target="http://siapkerja.kemnaker.go.id/" TargetMode="External"/><Relationship Id="rId80" Type="http://schemas.openxmlformats.org/officeDocument/2006/relationships/hyperlink" Target="https://sijaga.kabbdg.com/" TargetMode="External"/><Relationship Id="rId82" Type="http://schemas.openxmlformats.org/officeDocument/2006/relationships/hyperlink" Target="https://sibedasjakon.bandungkab.go.id/" TargetMode="External"/><Relationship Id="rId81" Type="http://schemas.openxmlformats.org/officeDocument/2006/relationships/hyperlink" Target="https://drive.google.com/drive/folders/1sHKD9PH8GG_yqtIurnieYvG1qyHCbekF?hl=id" TargetMode="External"/><Relationship Id="rId73" Type="http://schemas.openxmlformats.org/officeDocument/2006/relationships/hyperlink" Target="https://sijalak-kab-bandung.com/" TargetMode="External"/><Relationship Id="rId72" Type="http://schemas.openxmlformats.org/officeDocument/2006/relationships/hyperlink" Target="https://smile.kemkes.go.id/" TargetMode="External"/><Relationship Id="rId75" Type="http://schemas.openxmlformats.org/officeDocument/2006/relationships/hyperlink" Target="https://sibedaspbg.bandungkab.go.id/" TargetMode="External"/><Relationship Id="rId74" Type="http://schemas.openxmlformats.org/officeDocument/2006/relationships/hyperlink" Target="https://drive.google.com/drive/folders/187_7CPT7sxhjamsZJOlN2T4qhrxFpoWq?hl=id" TargetMode="External"/><Relationship Id="rId77" Type="http://schemas.openxmlformats.org/officeDocument/2006/relationships/hyperlink" Target="http://linktr.ee/PENGADUAN_DPUTR_KABBDG" TargetMode="External"/><Relationship Id="rId76" Type="http://schemas.openxmlformats.org/officeDocument/2006/relationships/hyperlink" Target="https://drive.google.com/drive/folders/1zpVBSJQx0K3N4_wyw8qZeOJVWGrdlDAe?hl=ID" TargetMode="External"/><Relationship Id="rId79" Type="http://schemas.openxmlformats.org/officeDocument/2006/relationships/hyperlink" Target="https://drive.google.com/drive/folders/1foPXyzm-sQ7KaSp-qTysnVqAWt_Dif53?hl=id" TargetMode="External"/><Relationship Id="rId78" Type="http://schemas.openxmlformats.org/officeDocument/2006/relationships/hyperlink" Target="https://sites.google.com/view/aplikasi-sipedas-drainase/home" TargetMode="External"/><Relationship Id="rId71" Type="http://schemas.openxmlformats.org/officeDocument/2006/relationships/hyperlink" Target="https://sihapims2.kemkes.go.id/login" TargetMode="External"/><Relationship Id="rId70" Type="http://schemas.openxmlformats.org/officeDocument/2006/relationships/hyperlink" Target="http://silantor.kemkes.go.id/" TargetMode="External"/><Relationship Id="rId62" Type="http://schemas.openxmlformats.org/officeDocument/2006/relationships/hyperlink" Target="https://spmb.bandungkab.go.id/" TargetMode="External"/><Relationship Id="rId61" Type="http://schemas.openxmlformats.org/officeDocument/2006/relationships/hyperlink" Target="http://simpeldisdik.bandungkab.go.id/MultisiteEdu" TargetMode="External"/><Relationship Id="rId64" Type="http://schemas.openxmlformats.org/officeDocument/2006/relationships/hyperlink" Target="http://skdr.kemkes.go.id/" TargetMode="External"/><Relationship Id="rId63" Type="http://schemas.openxmlformats.org/officeDocument/2006/relationships/hyperlink" Target="http://psc.kemkes.go.id/" TargetMode="External"/><Relationship Id="rId66" Type="http://schemas.openxmlformats.org/officeDocument/2006/relationships/hyperlink" Target="https://sehatindonesiaku.kemkes.go.id/auth/login" TargetMode="External"/><Relationship Id="rId65" Type="http://schemas.openxmlformats.org/officeDocument/2006/relationships/hyperlink" Target="https://surveilans-pptm.kemkes.go.id/" TargetMode="External"/><Relationship Id="rId68" Type="http://schemas.openxmlformats.org/officeDocument/2006/relationships/hyperlink" Target="https://sitb.kemkes.go.id/" TargetMode="External"/><Relationship Id="rId67" Type="http://schemas.openxmlformats.org/officeDocument/2006/relationships/hyperlink" Target="http://sipnap.kemkes.go.id/" TargetMode="External"/><Relationship Id="rId60" Type="http://schemas.openxmlformats.org/officeDocument/2006/relationships/hyperlink" Target="https://dapo.kemendikdasmen.go.id/" TargetMode="External"/><Relationship Id="rId69" Type="http://schemas.openxmlformats.org/officeDocument/2006/relationships/hyperlink" Target="http://sismal.kemkes.go.id/" TargetMode="External"/><Relationship Id="rId51" Type="http://schemas.openxmlformats.org/officeDocument/2006/relationships/hyperlink" Target="https://drive.google.com/file/d/1Xev2F7vScZDTlBaqHqPh8lzFUMNB_y8a/view?usp=sharing" TargetMode="External"/><Relationship Id="rId50" Type="http://schemas.openxmlformats.org/officeDocument/2006/relationships/hyperlink" Target="http://ap.m.kp/" TargetMode="External"/><Relationship Id="rId53" Type="http://schemas.openxmlformats.org/officeDocument/2006/relationships/hyperlink" Target="https://aplikasi.bandungkab.go.id/publik/dashboard-kunjungan-dprd-kab-bandung" TargetMode="External"/><Relationship Id="rId52" Type="http://schemas.openxmlformats.org/officeDocument/2006/relationships/hyperlink" Target="https://jdihdprd.bandungkab.go.id/" TargetMode="External"/><Relationship Id="rId55" Type="http://schemas.openxmlformats.org/officeDocument/2006/relationships/hyperlink" Target="https://simprodas.bandungkab.go.id/" TargetMode="External"/><Relationship Id="rId54" Type="http://schemas.openxmlformats.org/officeDocument/2006/relationships/hyperlink" Target="https://drive.google.com/file/d/1YdxVCrqCKB2IhPmEjmI3enR0CnpLLtYZ/view?usp=sharing" TargetMode="External"/><Relationship Id="rId57" Type="http://schemas.openxmlformats.org/officeDocument/2006/relationships/hyperlink" Target="http://calendly.com/" TargetMode="External"/><Relationship Id="rId56" Type="http://schemas.openxmlformats.org/officeDocument/2006/relationships/hyperlink" Target="https://drive.google.com/file/d/1hfZl5u33jLRHizH-t5QZsOhlwNoiUSfh/view?usp=sharing" TargetMode="External"/><Relationship Id="rId59" Type="http://schemas.openxmlformats.org/officeDocument/2006/relationships/hyperlink" Target="http://simpeldisdik.bandungkab.go.id/Sukizah" TargetMode="External"/><Relationship Id="rId58" Type="http://schemas.openxmlformats.org/officeDocument/2006/relationships/hyperlink" Target="https://calendly.com/inspekkabbdg/santai-saranatanyaapipinteraktif" TargetMode="External"/><Relationship Id="rId107" Type="http://schemas.openxmlformats.org/officeDocument/2006/relationships/hyperlink" Target="https://gepak.bandungkab.go.id/" TargetMode="External"/><Relationship Id="rId228" Type="http://schemas.openxmlformats.org/officeDocument/2006/relationships/hyperlink" Target="https://sirup.inaproc.id/sirup/loginctr/index" TargetMode="External"/><Relationship Id="rId106" Type="http://schemas.openxmlformats.org/officeDocument/2006/relationships/hyperlink" Target="https://sipsn.kemenlh.go.id/sipsn/" TargetMode="External"/><Relationship Id="rId227" Type="http://schemas.openxmlformats.org/officeDocument/2006/relationships/hyperlink" Target="http://a.md/" TargetMode="External"/><Relationship Id="rId105" Type="http://schemas.openxmlformats.org/officeDocument/2006/relationships/hyperlink" Target="https://sampahkita.jabarprov.go.id/" TargetMode="External"/><Relationship Id="rId226" Type="http://schemas.openxmlformats.org/officeDocument/2006/relationships/hyperlink" Target="https://e-retribusi.bandungkab.go.id/" TargetMode="External"/><Relationship Id="rId104" Type="http://schemas.openxmlformats.org/officeDocument/2006/relationships/hyperlink" Target="http://amdalnet.kemenlh.go.id/" TargetMode="External"/><Relationship Id="rId225" Type="http://schemas.openxmlformats.org/officeDocument/2006/relationships/hyperlink" Target="https://simgajiweb.taspen.co.id/" TargetMode="External"/><Relationship Id="rId109" Type="http://schemas.openxmlformats.org/officeDocument/2006/relationships/hyperlink" Target="https://drive.google.com/file/d/1RechF7D6NXptgUFxXmNTXXBTU0KQ0Gcm/view?usp=sharing" TargetMode="External"/><Relationship Id="rId108" Type="http://schemas.openxmlformats.org/officeDocument/2006/relationships/hyperlink" Target="http://kehati.bandungkab.go.id/" TargetMode="External"/><Relationship Id="rId229" Type="http://schemas.openxmlformats.org/officeDocument/2006/relationships/hyperlink" Target="https://sisrute.kemkes.go.id/" TargetMode="External"/><Relationship Id="rId220" Type="http://schemas.openxmlformats.org/officeDocument/2006/relationships/hyperlink" Target="https://drive.google.com/drive/folders/1B5BkNR_l7v0dpf1e8Y6cIlWcgjAqRVF5?usp=drive_link" TargetMode="External"/><Relationship Id="rId103" Type="http://schemas.openxmlformats.org/officeDocument/2006/relationships/hyperlink" Target="https://dp2kbp3a.bandungkab.go.id/apps/perlindungan-anak/" TargetMode="External"/><Relationship Id="rId224" Type="http://schemas.openxmlformats.org/officeDocument/2006/relationships/hyperlink" Target="https://ee.kobotoolbox.org/x/YQp13dFa" TargetMode="External"/><Relationship Id="rId102" Type="http://schemas.openxmlformats.org/officeDocument/2006/relationships/hyperlink" Target="https://simfonippa.kemenpppa.go.id/" TargetMode="External"/><Relationship Id="rId223" Type="http://schemas.openxmlformats.org/officeDocument/2006/relationships/hyperlink" Target="http://simpel.menlhk.go.id/" TargetMode="External"/><Relationship Id="rId101" Type="http://schemas.openxmlformats.org/officeDocument/2006/relationships/hyperlink" Target="https://docs.google.com/spreadsheets/d/1f2FpxtXLWyTMlao3H1cM7ZWvZY62FNOP/edit?usp=drivesdk&amp;ouid=101319060553117315214&amp;rtpof=true&amp;sd=true" TargetMode="External"/><Relationship Id="rId222" Type="http://schemas.openxmlformats.org/officeDocument/2006/relationships/hyperlink" Target="https://drive.google.com/drive/folders/1vjgfqjMxOGjNMjW_D5TVCMti_1yMqG0T?usp=sharing" TargetMode="External"/><Relationship Id="rId100" Type="http://schemas.openxmlformats.org/officeDocument/2006/relationships/hyperlink" Target="https://dp2kbp3a.bandungkab.go.id/sappana/" TargetMode="External"/><Relationship Id="rId221" Type="http://schemas.openxmlformats.org/officeDocument/2006/relationships/hyperlink" Target="https://drive.google.com/file/d/1T1U4oNUqZS1NcFlgpFY6CJRp0CcQqlBv/view?usp=drive_link" TargetMode="External"/><Relationship Id="rId217" Type="http://schemas.openxmlformats.org/officeDocument/2006/relationships/hyperlink" Target="https://drive.google.com/file/d/1OVv4yCmrgdrfLSeSS5ewogAtczV2aIlF/view?usp=sharing" TargetMode="External"/><Relationship Id="rId216" Type="http://schemas.openxmlformats.org/officeDocument/2006/relationships/hyperlink" Target="https://play.google.com/store/apps/details?id=com.diskominfo.bpbd" TargetMode="External"/><Relationship Id="rId215" Type="http://schemas.openxmlformats.org/officeDocument/2006/relationships/hyperlink" Target="https://drive.google.com/file/d/1OVv4yCmrgdrfLSeSS5ewogAtczV2aIlF/view?usp=sharing" TargetMode="External"/><Relationship Id="rId214" Type="http://schemas.openxmlformats.org/officeDocument/2006/relationships/hyperlink" Target="mailto:dediradi@gmail.com" TargetMode="External"/><Relationship Id="rId219" Type="http://schemas.openxmlformats.org/officeDocument/2006/relationships/hyperlink" Target="https://docs.google.com/spreadsheets/d/1l5-2zqpZNcqk1vc27yahE2fBaLI9m7gY/edit?usp=sharing&amp;ouid=116583022603845992448&amp;rtpof=true&amp;sd=true" TargetMode="External"/><Relationship Id="rId218" Type="http://schemas.openxmlformats.org/officeDocument/2006/relationships/hyperlink" Target="http://dibi.bnpb.go.id/" TargetMode="External"/><Relationship Id="rId213" Type="http://schemas.openxmlformats.org/officeDocument/2006/relationships/hyperlink" Target="https://sso.bandungkab.go.id/" TargetMode="External"/><Relationship Id="rId212" Type="http://schemas.openxmlformats.org/officeDocument/2006/relationships/hyperlink" Target="https://drive.google.com/file/d/1-u8BdMLGCu4aICHYLsA_St6eYZj99BZB/view?usp=drive_link" TargetMode="External"/><Relationship Id="rId211" Type="http://schemas.openxmlformats.org/officeDocument/2006/relationships/hyperlink" Target="https://e-absensi.bandungkab.go.id/login" TargetMode="External"/><Relationship Id="rId210" Type="http://schemas.openxmlformats.org/officeDocument/2006/relationships/hyperlink" Target="https://e-pad.bandungkab.go.id/index.php/user/login" TargetMode="External"/><Relationship Id="rId129" Type="http://schemas.openxmlformats.org/officeDocument/2006/relationships/hyperlink" Target="https://perizinan.bandungkab.go.id/sirsak" TargetMode="External"/><Relationship Id="rId128" Type="http://schemas.openxmlformats.org/officeDocument/2006/relationships/hyperlink" Target="https://next-gen.mppdigital.go.id/" TargetMode="External"/><Relationship Id="rId249" Type="http://schemas.openxmlformats.org/officeDocument/2006/relationships/hyperlink" Target="https://akun-yankes.kemkes.go.id/" TargetMode="External"/><Relationship Id="rId127" Type="http://schemas.openxmlformats.org/officeDocument/2006/relationships/hyperlink" Target="https://simbg.pu.go.id/" TargetMode="External"/><Relationship Id="rId248" Type="http://schemas.openxmlformats.org/officeDocument/2006/relationships/hyperlink" Target="https://drive.google.com/drive/u/1/folders/12dUcuD3FJiM5lhmxZqNrZc05M-qKTqaU" TargetMode="External"/><Relationship Id="rId126" Type="http://schemas.openxmlformats.org/officeDocument/2006/relationships/hyperlink" Target="https://dpmptsp.bandungkab.go.id/" TargetMode="External"/><Relationship Id="rId247" Type="http://schemas.openxmlformats.org/officeDocument/2006/relationships/hyperlink" Target="https://keslan.kemkes.go.id/app/siranap/" TargetMode="External"/><Relationship Id="rId121" Type="http://schemas.openxmlformats.org/officeDocument/2006/relationships/hyperlink" Target="http://s.id/sipandubedas" TargetMode="External"/><Relationship Id="rId242" Type="http://schemas.openxmlformats.org/officeDocument/2006/relationships/hyperlink" Target="https://edabu.bpjs-kesehatan.go.id/Edabu/Home/Login?AspxAutoDetectCookieSupport=1" TargetMode="External"/><Relationship Id="rId120" Type="http://schemas.openxmlformats.org/officeDocument/2006/relationships/hyperlink" Target="https://drive.google.com/file/d/1YdbXWdCS28ppql72phZoI1RvIMqiXeuL/view?usp=sharing" TargetMode="External"/><Relationship Id="rId241" Type="http://schemas.openxmlformats.org/officeDocument/2006/relationships/hyperlink" Target="http://192.168.40.89/sikeren" TargetMode="External"/><Relationship Id="rId240" Type="http://schemas.openxmlformats.org/officeDocument/2006/relationships/hyperlink" Target="https://skm.bandungkab.go.id/" TargetMode="External"/><Relationship Id="rId125" Type="http://schemas.openxmlformats.org/officeDocument/2006/relationships/hyperlink" Target="https://oss.go.id/" TargetMode="External"/><Relationship Id="rId246" Type="http://schemas.openxmlformats.org/officeDocument/2006/relationships/hyperlink" Target="http://bdskts.id/" TargetMode="External"/><Relationship Id="rId124" Type="http://schemas.openxmlformats.org/officeDocument/2006/relationships/hyperlink" Target="https://drive.google.com/file/d/1r3y4yoWaoByjuAovOlwVhpYcdVHWYZlA/view?usp=drive_link" TargetMode="External"/><Relationship Id="rId245" Type="http://schemas.openxmlformats.org/officeDocument/2006/relationships/hyperlink" Target="https://drive.google.com/file/d/1-OkimWi2XkYVZbq8aStpKFlsMtErBFog/view?usp=drivesdk" TargetMode="External"/><Relationship Id="rId123" Type="http://schemas.openxmlformats.org/officeDocument/2006/relationships/hyperlink" Target="https://sipakades.bandungkab.go.id/" TargetMode="External"/><Relationship Id="rId244" Type="http://schemas.openxmlformats.org/officeDocument/2006/relationships/hyperlink" Target="http://s.tr/" TargetMode="External"/><Relationship Id="rId122" Type="http://schemas.openxmlformats.org/officeDocument/2006/relationships/hyperlink" Target="https://drive.google.com/file/d/15CRvlXeoq6lRDTUnunhCxVgWmxrUKQsz/view?usp=drive_link" TargetMode="External"/><Relationship Id="rId243" Type="http://schemas.openxmlformats.org/officeDocument/2006/relationships/hyperlink" Target="http://satusehat.kemkes.go.id/sdmk" TargetMode="External"/><Relationship Id="rId95" Type="http://schemas.openxmlformats.org/officeDocument/2006/relationships/hyperlink" Target="https://dp2kbp3a.bandungkab.go.id/ppa/" TargetMode="External"/><Relationship Id="rId94" Type="http://schemas.openxmlformats.org/officeDocument/2006/relationships/hyperlink" Target="https://drive.google.com/file/d/13kiJLOSVRFOj2CqIpMMxJSxRVwkT4VuN/view?usp=drive_link" TargetMode="External"/><Relationship Id="rId97" Type="http://schemas.openxmlformats.org/officeDocument/2006/relationships/hyperlink" Target="https://dp2kbp3a.bandungkab.go.id/pprg/" TargetMode="External"/><Relationship Id="rId96" Type="http://schemas.openxmlformats.org/officeDocument/2006/relationships/hyperlink" Target="https://drive.google.com/file/d/1qhJbKAh0RXizTZVD-lHLPJTl4ZBGbOzZ/view?usp=sharing" TargetMode="External"/><Relationship Id="rId99" Type="http://schemas.openxmlformats.org/officeDocument/2006/relationships/hyperlink" Target="https://drive.google.com/file/d/16ULKF-_fc7--75zz-4n8WtETaChfDzBD/view?usp=sharing" TargetMode="External"/><Relationship Id="rId98" Type="http://schemas.openxmlformats.org/officeDocument/2006/relationships/hyperlink" Target="https://siga.bkkbn.go.id/" TargetMode="External"/><Relationship Id="rId91" Type="http://schemas.openxmlformats.org/officeDocument/2006/relationships/hyperlink" Target="https://dashnaker.bandungkab.go.id/login" TargetMode="External"/><Relationship Id="rId90" Type="http://schemas.openxmlformats.org/officeDocument/2006/relationships/hyperlink" Target="https://dashnaker.bandungkab.go.id/login" TargetMode="External"/><Relationship Id="rId93" Type="http://schemas.openxmlformats.org/officeDocument/2006/relationships/hyperlink" Target="http://sibarduktrans.transmigrasi.go.id/" TargetMode="External"/><Relationship Id="rId92" Type="http://schemas.openxmlformats.org/officeDocument/2006/relationships/hyperlink" Target="http://siapkerja.kemnaker.go.id/" TargetMode="External"/><Relationship Id="rId118" Type="http://schemas.openxmlformats.org/officeDocument/2006/relationships/hyperlink" Target="https://drive.google.com/file/d/1CvHE6emS2UxjsAt6IC87kgxEb19CuE3k/view?usp=sharing" TargetMode="External"/><Relationship Id="rId239" Type="http://schemas.openxmlformats.org/officeDocument/2006/relationships/hyperlink" Target="https://drive.google.com/file/d/1T1U4oNUqZS1NcFlgpFY6CJRp0CcQqlBv/view?usp=drive_link" TargetMode="External"/><Relationship Id="rId117" Type="http://schemas.openxmlformats.org/officeDocument/2006/relationships/hyperlink" Target="https://epdeskel.binapemdes.kemendagri.go.id/app_Login/" TargetMode="External"/><Relationship Id="rId238" Type="http://schemas.openxmlformats.org/officeDocument/2006/relationships/hyperlink" Target="https://apik.bandungkab.go.id/apik/login" TargetMode="External"/><Relationship Id="rId116" Type="http://schemas.openxmlformats.org/officeDocument/2006/relationships/hyperlink" Target="https://prodeskel.binapemdes.kemendagri.go.id/mpublik/" TargetMode="External"/><Relationship Id="rId237" Type="http://schemas.openxmlformats.org/officeDocument/2006/relationships/hyperlink" Target="https://drive.google.com/file/d/1T1U4oNUqZS1NcFlgpFY6CJRp0CcQqlBv/view?usp=drive_link" TargetMode="External"/><Relationship Id="rId115" Type="http://schemas.openxmlformats.org/officeDocument/2006/relationships/hyperlink" Target="https://spanint.kemenkeu.go.id/tkd/" TargetMode="External"/><Relationship Id="rId236" Type="http://schemas.openxmlformats.org/officeDocument/2006/relationships/hyperlink" Target="https://aspak.kemkes.go.id/aplikasi/site/index" TargetMode="External"/><Relationship Id="rId119" Type="http://schemas.openxmlformats.org/officeDocument/2006/relationships/hyperlink" Target="http://sipades.id/" TargetMode="External"/><Relationship Id="rId110" Type="http://schemas.openxmlformats.org/officeDocument/2006/relationships/hyperlink" Target="https://bds.bandungkab.go.id/" TargetMode="External"/><Relationship Id="rId231" Type="http://schemas.openxmlformats.org/officeDocument/2006/relationships/hyperlink" Target="http://sisdmk.kemkes.go.id/" TargetMode="External"/><Relationship Id="rId230" Type="http://schemas.openxmlformats.org/officeDocument/2006/relationships/hyperlink" Target="https://mpn.kemenkeu.go.id/" TargetMode="External"/><Relationship Id="rId114" Type="http://schemas.openxmlformats.org/officeDocument/2006/relationships/hyperlink" Target="http://siskeudes.bandungkab.go.id:8080/guacamole/" TargetMode="External"/><Relationship Id="rId235" Type="http://schemas.openxmlformats.org/officeDocument/2006/relationships/hyperlink" Target="http://a.md/" TargetMode="External"/><Relationship Id="rId113" Type="http://schemas.openxmlformats.org/officeDocument/2006/relationships/hyperlink" Target="http://lampid.bandungkab.go.id/" TargetMode="External"/><Relationship Id="rId234" Type="http://schemas.openxmlformats.org/officeDocument/2006/relationships/hyperlink" Target="https://mutufasyankes.kemkes.go.id/" TargetMode="External"/><Relationship Id="rId112" Type="http://schemas.openxmlformats.org/officeDocument/2006/relationships/hyperlink" Target="https://drive.google.com/file/d/1RechF7D6NXptgUFxXmNTXXBTU0KQ0Gcm/view?usp=sharing" TargetMode="External"/><Relationship Id="rId233" Type="http://schemas.openxmlformats.org/officeDocument/2006/relationships/hyperlink" Target="https://sippn.menpan.go.id/" TargetMode="External"/><Relationship Id="rId111" Type="http://schemas.openxmlformats.org/officeDocument/2006/relationships/hyperlink" Target="https://bds.bandungkab.go.id/" TargetMode="External"/><Relationship Id="rId232" Type="http://schemas.openxmlformats.org/officeDocument/2006/relationships/hyperlink" Target="http://sirs.kemkes.go.id/" TargetMode="External"/><Relationship Id="rId206" Type="http://schemas.openxmlformats.org/officeDocument/2006/relationships/hyperlink" Target="https://drive.google.com/file/d/1CloKUh40TI8aJ_npp4ASJNSlnRVawVBn/view?usp=sharing" TargetMode="External"/><Relationship Id="rId205" Type="http://schemas.openxmlformats.org/officeDocument/2006/relationships/hyperlink" Target="http://pbb-online.bandungkab.go.id/" TargetMode="External"/><Relationship Id="rId204" Type="http://schemas.openxmlformats.org/officeDocument/2006/relationships/hyperlink" Target="https://drive.google.com/file/d/1EleK6UBDx7lBx-8YOCfg6TAbMx8HdYBj/view?usp=sharing" TargetMode="External"/><Relationship Id="rId203" Type="http://schemas.openxmlformats.org/officeDocument/2006/relationships/hyperlink" Target="https://persediaanbmd.bandungkab.go.id/" TargetMode="External"/><Relationship Id="rId209" Type="http://schemas.openxmlformats.org/officeDocument/2006/relationships/hyperlink" Target="https://drive.google.com/drive/folders/1YBsK-2pdfsgxA-SPqsa5WMZzipvbo0Zl?usp=sharing" TargetMode="External"/><Relationship Id="rId208" Type="http://schemas.openxmlformats.org/officeDocument/2006/relationships/hyperlink" Target="https://bphtb2.bandungkab.go.id/" TargetMode="External"/><Relationship Id="rId207" Type="http://schemas.openxmlformats.org/officeDocument/2006/relationships/hyperlink" Target="https://drive.google.com/drive/folders/1psrMJUnyozjImYwLa6s5MSyj6ohEJYQO?usp=sharing" TargetMode="External"/><Relationship Id="rId202" Type="http://schemas.openxmlformats.org/officeDocument/2006/relationships/hyperlink" Target="https://e-penghapusanbmd.id/" TargetMode="External"/><Relationship Id="rId201" Type="http://schemas.openxmlformats.org/officeDocument/2006/relationships/hyperlink" Target="https://kdo.e-planningbmd.id/" TargetMode="External"/><Relationship Id="rId200" Type="http://schemas.openxmlformats.org/officeDocument/2006/relationships/hyperlink" Target="https://drive.google.com/file/d/1pRxS9hpYYxPfeElynApRSPgiKe_xbqQZ/view?usp=drive_link"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8.13"/>
    <col customWidth="1" min="2" max="2" width="21.38"/>
    <col customWidth="1" min="3" max="3" width="59.63"/>
    <col customWidth="1" min="4" max="4" width="35.5"/>
    <col customWidth="1" min="5" max="5" width="17.0"/>
    <col customWidth="1" min="6" max="6" width="25.38"/>
    <col customWidth="1" min="7" max="7" width="16.75"/>
    <col customWidth="1" min="9" max="9" width="12.13"/>
    <col customWidth="1" min="10" max="10" width="13.13"/>
    <col customWidth="1" min="11" max="11" width="15.0"/>
    <col customWidth="1" min="12" max="12" width="14.25"/>
    <col customWidth="1" min="13" max="13" width="20.13"/>
    <col customWidth="1" min="15" max="15" width="14.88"/>
    <col customWidth="1" min="16" max="16" width="17.0"/>
    <col customWidth="1" min="17" max="17" width="17.25"/>
    <col customWidth="1" min="18" max="18" width="24.0"/>
    <col customWidth="1" min="19" max="19" width="17.75"/>
    <col customWidth="1" min="20" max="20" width="16.88"/>
    <col customWidth="1" min="23" max="23" width="15.38"/>
    <col customWidth="1" min="24" max="24" width="16.75"/>
    <col customWidth="1" min="25" max="25" width="15.88"/>
    <col customWidth="1" min="26" max="26" width="15.5"/>
    <col customWidth="1" min="27" max="27" width="18.13"/>
    <col customWidth="1" min="29" max="29" width="14.88"/>
    <col customWidth="1" min="30" max="30" width="15.5"/>
  </cols>
  <sheetData>
    <row r="1">
      <c r="A1" s="1" t="s">
        <v>0</v>
      </c>
      <c r="B1" s="2" t="s">
        <v>1</v>
      </c>
      <c r="C1" s="2" t="s">
        <v>2</v>
      </c>
      <c r="D1" s="2" t="s">
        <v>3</v>
      </c>
      <c r="E1" s="2" t="s">
        <v>4</v>
      </c>
      <c r="F1" s="2" t="s">
        <v>5</v>
      </c>
      <c r="G1" s="2" t="s">
        <v>6</v>
      </c>
      <c r="H1" s="3" t="s">
        <v>7</v>
      </c>
      <c r="I1" s="3" t="s">
        <v>8</v>
      </c>
      <c r="J1" s="3" t="s">
        <v>9</v>
      </c>
      <c r="K1" s="3" t="s">
        <v>10</v>
      </c>
      <c r="L1" s="3" t="s">
        <v>11</v>
      </c>
      <c r="M1" s="4" t="s">
        <v>12</v>
      </c>
      <c r="N1" s="4" t="s">
        <v>13</v>
      </c>
      <c r="O1" s="4" t="s">
        <v>14</v>
      </c>
      <c r="P1" s="4" t="s">
        <v>15</v>
      </c>
      <c r="Q1" s="4" t="s">
        <v>16</v>
      </c>
      <c r="R1" s="4" t="s">
        <v>17</v>
      </c>
      <c r="S1" s="4" t="s">
        <v>18</v>
      </c>
      <c r="T1" s="4" t="s">
        <v>19</v>
      </c>
      <c r="U1" s="4" t="s">
        <v>20</v>
      </c>
      <c r="V1" s="4" t="s">
        <v>21</v>
      </c>
      <c r="W1" s="4" t="s">
        <v>22</v>
      </c>
      <c r="X1" s="4" t="s">
        <v>23</v>
      </c>
      <c r="Y1" s="4" t="s">
        <v>24</v>
      </c>
      <c r="Z1" s="5" t="s">
        <v>25</v>
      </c>
      <c r="AA1" s="5" t="s">
        <v>26</v>
      </c>
      <c r="AB1" s="5" t="s">
        <v>27</v>
      </c>
      <c r="AC1" s="5" t="s">
        <v>28</v>
      </c>
      <c r="AD1" s="5" t="s">
        <v>29</v>
      </c>
      <c r="AE1" s="6"/>
      <c r="AF1" s="6"/>
      <c r="AG1" s="7"/>
    </row>
    <row r="2">
      <c r="A2" s="8">
        <v>1.0</v>
      </c>
      <c r="B2" s="9">
        <v>2.0</v>
      </c>
      <c r="C2" s="10">
        <v>3.0</v>
      </c>
      <c r="D2" s="9">
        <v>4.0</v>
      </c>
      <c r="E2" s="10">
        <v>5.0</v>
      </c>
      <c r="F2" s="9">
        <v>6.0</v>
      </c>
      <c r="G2" s="10">
        <v>7.0</v>
      </c>
      <c r="H2" s="11">
        <v>8.0</v>
      </c>
      <c r="I2" s="12">
        <v>9.0</v>
      </c>
      <c r="J2" s="11">
        <v>10.0</v>
      </c>
      <c r="K2" s="12">
        <v>11.0</v>
      </c>
      <c r="L2" s="11">
        <v>12.0</v>
      </c>
      <c r="M2" s="13">
        <v>13.0</v>
      </c>
      <c r="N2" s="14">
        <v>14.0</v>
      </c>
      <c r="O2" s="13">
        <v>15.0</v>
      </c>
      <c r="P2" s="14">
        <v>16.0</v>
      </c>
      <c r="Q2" s="13">
        <v>17.0</v>
      </c>
      <c r="R2" s="14">
        <v>18.0</v>
      </c>
      <c r="S2" s="13">
        <v>19.0</v>
      </c>
      <c r="T2" s="14">
        <v>20.0</v>
      </c>
      <c r="U2" s="13">
        <v>21.0</v>
      </c>
      <c r="V2" s="14">
        <v>22.0</v>
      </c>
      <c r="W2" s="13">
        <v>23.0</v>
      </c>
      <c r="X2" s="14">
        <v>24.0</v>
      </c>
      <c r="Y2" s="13">
        <v>25.0</v>
      </c>
      <c r="Z2" s="15">
        <v>26.0</v>
      </c>
      <c r="AA2" s="16">
        <v>27.0</v>
      </c>
      <c r="AB2" s="15">
        <v>28.0</v>
      </c>
      <c r="AC2" s="16">
        <v>29.0</v>
      </c>
      <c r="AD2" s="15">
        <v>30.0</v>
      </c>
      <c r="AE2" s="17"/>
      <c r="AF2" s="17"/>
      <c r="AG2" s="18"/>
    </row>
    <row r="3">
      <c r="A3" s="8" t="s">
        <v>30</v>
      </c>
      <c r="B3" s="19" t="s">
        <v>31</v>
      </c>
      <c r="C3" s="19" t="s">
        <v>32</v>
      </c>
      <c r="D3" s="19" t="s">
        <v>33</v>
      </c>
      <c r="E3" s="19" t="s">
        <v>34</v>
      </c>
      <c r="F3" s="19" t="s">
        <v>35</v>
      </c>
      <c r="G3" s="19" t="s">
        <v>36</v>
      </c>
      <c r="H3" s="19" t="s">
        <v>37</v>
      </c>
      <c r="I3" s="19" t="s">
        <v>38</v>
      </c>
      <c r="J3" s="19" t="s">
        <v>39</v>
      </c>
      <c r="K3" s="19" t="s">
        <v>40</v>
      </c>
      <c r="L3" s="19" t="s">
        <v>41</v>
      </c>
      <c r="M3" s="19" t="s">
        <v>42</v>
      </c>
      <c r="N3" s="19" t="s">
        <v>43</v>
      </c>
      <c r="O3" s="19" t="s">
        <v>44</v>
      </c>
      <c r="P3" s="19" t="s">
        <v>45</v>
      </c>
      <c r="Q3" s="19" t="s">
        <v>46</v>
      </c>
      <c r="R3" s="19" t="s">
        <v>47</v>
      </c>
      <c r="S3" s="19" t="s">
        <v>48</v>
      </c>
      <c r="T3" s="19" t="s">
        <v>49</v>
      </c>
      <c r="U3" s="19" t="s">
        <v>50</v>
      </c>
      <c r="V3" s="19" t="s">
        <v>51</v>
      </c>
      <c r="W3" s="19" t="s">
        <v>52</v>
      </c>
      <c r="X3" s="19" t="s">
        <v>53</v>
      </c>
      <c r="Y3" s="19" t="s">
        <v>54</v>
      </c>
      <c r="Z3" s="19" t="s">
        <v>55</v>
      </c>
      <c r="AA3" s="19" t="s">
        <v>56</v>
      </c>
      <c r="AB3" s="19" t="s">
        <v>57</v>
      </c>
      <c r="AC3" s="19" t="s">
        <v>58</v>
      </c>
      <c r="AD3" s="19" t="s">
        <v>59</v>
      </c>
      <c r="AE3" s="17"/>
      <c r="AF3" s="17"/>
      <c r="AG3" s="18"/>
    </row>
    <row r="4">
      <c r="A4" s="8" t="s">
        <v>60</v>
      </c>
      <c r="B4" s="19" t="s">
        <v>61</v>
      </c>
      <c r="C4" s="19" t="s">
        <v>62</v>
      </c>
      <c r="D4" s="19" t="s">
        <v>63</v>
      </c>
      <c r="E4" s="19" t="s">
        <v>64</v>
      </c>
      <c r="F4" s="19" t="s">
        <v>65</v>
      </c>
      <c r="G4" s="19" t="s">
        <v>66</v>
      </c>
      <c r="H4" s="19" t="s">
        <v>67</v>
      </c>
      <c r="I4" s="19" t="s">
        <v>68</v>
      </c>
      <c r="J4" s="19" t="s">
        <v>69</v>
      </c>
      <c r="K4" s="19" t="s">
        <v>70</v>
      </c>
      <c r="L4" s="19" t="s">
        <v>71</v>
      </c>
      <c r="M4" s="19" t="s">
        <v>72</v>
      </c>
      <c r="N4" s="19" t="s">
        <v>73</v>
      </c>
      <c r="O4" s="19" t="s">
        <v>73</v>
      </c>
      <c r="P4" s="19" t="s">
        <v>74</v>
      </c>
      <c r="Q4" s="20" t="s">
        <v>75</v>
      </c>
      <c r="R4" s="19" t="s">
        <v>76</v>
      </c>
      <c r="S4" s="19" t="s">
        <v>77</v>
      </c>
      <c r="T4" s="19">
        <v>2018.0</v>
      </c>
      <c r="U4" s="19" t="s">
        <v>78</v>
      </c>
      <c r="V4" s="19" t="s">
        <v>79</v>
      </c>
      <c r="W4" s="19" t="s">
        <v>80</v>
      </c>
      <c r="X4" s="19" t="s">
        <v>80</v>
      </c>
      <c r="Y4" s="19" t="s">
        <v>80</v>
      </c>
      <c r="Z4" s="19" t="s">
        <v>81</v>
      </c>
      <c r="AA4" s="19" t="s">
        <v>82</v>
      </c>
      <c r="AB4" s="20" t="s">
        <v>83</v>
      </c>
      <c r="AC4" s="19">
        <v>123.0</v>
      </c>
      <c r="AD4" s="19" t="s">
        <v>84</v>
      </c>
      <c r="AE4" s="17"/>
      <c r="AF4" s="17"/>
      <c r="AG4" s="18"/>
    </row>
    <row r="5">
      <c r="A5" s="8" t="s">
        <v>60</v>
      </c>
      <c r="B5" s="21" t="s">
        <v>85</v>
      </c>
      <c r="C5" s="21" t="s">
        <v>86</v>
      </c>
      <c r="D5" s="21" t="s">
        <v>87</v>
      </c>
      <c r="E5" s="21" t="s">
        <v>88</v>
      </c>
      <c r="F5" s="19" t="s">
        <v>65</v>
      </c>
      <c r="G5" s="19" t="s">
        <v>66</v>
      </c>
      <c r="H5" s="19" t="s">
        <v>89</v>
      </c>
      <c r="I5" s="21" t="s">
        <v>90</v>
      </c>
      <c r="J5" s="19" t="s">
        <v>91</v>
      </c>
      <c r="K5" s="19" t="s">
        <v>70</v>
      </c>
      <c r="L5" s="19" t="s">
        <v>71</v>
      </c>
      <c r="M5" s="21" t="s">
        <v>92</v>
      </c>
      <c r="N5" s="19" t="s">
        <v>93</v>
      </c>
      <c r="O5" s="19" t="s">
        <v>94</v>
      </c>
      <c r="P5" s="19" t="s">
        <v>95</v>
      </c>
      <c r="Q5" s="22" t="s">
        <v>96</v>
      </c>
      <c r="R5" s="19" t="s">
        <v>76</v>
      </c>
      <c r="S5" s="19" t="s">
        <v>97</v>
      </c>
      <c r="T5" s="21">
        <v>2023.0</v>
      </c>
      <c r="U5" s="19" t="s">
        <v>78</v>
      </c>
      <c r="V5" s="19" t="s">
        <v>98</v>
      </c>
      <c r="W5" s="19" t="s">
        <v>99</v>
      </c>
      <c r="X5" s="19" t="s">
        <v>100</v>
      </c>
      <c r="Y5" s="19" t="s">
        <v>101</v>
      </c>
      <c r="Z5" s="19" t="s">
        <v>81</v>
      </c>
      <c r="AA5" s="19" t="s">
        <v>82</v>
      </c>
      <c r="AB5" s="21" t="s">
        <v>102</v>
      </c>
      <c r="AC5" s="19">
        <v>456.0</v>
      </c>
      <c r="AD5" s="19" t="s">
        <v>103</v>
      </c>
      <c r="AE5" s="23"/>
      <c r="AF5" s="23"/>
      <c r="AG5" s="24"/>
    </row>
    <row r="6">
      <c r="A6" s="8">
        <v>1.0</v>
      </c>
      <c r="B6" s="21" t="s">
        <v>104</v>
      </c>
      <c r="C6" s="21" t="s">
        <v>105</v>
      </c>
      <c r="D6" s="21" t="s">
        <v>106</v>
      </c>
      <c r="E6" s="21"/>
      <c r="F6" s="19" t="s">
        <v>107</v>
      </c>
      <c r="G6" s="19" t="s">
        <v>66</v>
      </c>
      <c r="H6" s="19" t="s">
        <v>108</v>
      </c>
      <c r="I6" s="21" t="s">
        <v>109</v>
      </c>
      <c r="J6" s="19" t="s">
        <v>91</v>
      </c>
      <c r="K6" s="19" t="s">
        <v>110</v>
      </c>
      <c r="L6" s="19" t="s">
        <v>111</v>
      </c>
      <c r="M6" s="21" t="s">
        <v>112</v>
      </c>
      <c r="N6" s="19" t="s">
        <v>82</v>
      </c>
      <c r="O6" s="19" t="s">
        <v>113</v>
      </c>
      <c r="P6" s="19" t="s">
        <v>95</v>
      </c>
      <c r="Q6" s="22" t="s">
        <v>114</v>
      </c>
      <c r="R6" s="19" t="s">
        <v>76</v>
      </c>
      <c r="S6" s="19" t="s">
        <v>97</v>
      </c>
      <c r="T6" s="19">
        <v>2019.0</v>
      </c>
      <c r="U6" s="19" t="s">
        <v>78</v>
      </c>
      <c r="V6" s="19" t="s">
        <v>98</v>
      </c>
      <c r="W6" s="19" t="s">
        <v>115</v>
      </c>
      <c r="X6" s="19" t="s">
        <v>100</v>
      </c>
      <c r="Y6" s="19" t="s">
        <v>111</v>
      </c>
      <c r="Z6" s="19" t="s">
        <v>116</v>
      </c>
      <c r="AA6" s="19" t="s">
        <v>82</v>
      </c>
      <c r="AB6" s="21" t="s">
        <v>117</v>
      </c>
      <c r="AC6" s="21" t="s">
        <v>118</v>
      </c>
      <c r="AD6" s="21" t="s">
        <v>119</v>
      </c>
      <c r="AE6" s="23"/>
      <c r="AF6" s="23"/>
      <c r="AG6" s="24"/>
    </row>
    <row r="7">
      <c r="A7" s="8">
        <v>2.0</v>
      </c>
      <c r="B7" s="21" t="s">
        <v>120</v>
      </c>
      <c r="C7" s="21" t="s">
        <v>121</v>
      </c>
      <c r="D7" s="21"/>
      <c r="E7" s="21"/>
      <c r="F7" s="19" t="s">
        <v>122</v>
      </c>
      <c r="G7" s="19" t="s">
        <v>123</v>
      </c>
      <c r="H7" s="19" t="s">
        <v>124</v>
      </c>
      <c r="I7" s="21"/>
      <c r="J7" s="19"/>
      <c r="K7" s="19"/>
      <c r="L7" s="19"/>
      <c r="M7" s="21"/>
      <c r="N7" s="19"/>
      <c r="O7" s="19"/>
      <c r="P7" s="19"/>
      <c r="Q7" s="25"/>
      <c r="R7" s="19"/>
      <c r="S7" s="19"/>
      <c r="T7" s="21"/>
      <c r="U7" s="19"/>
      <c r="V7" s="19"/>
      <c r="W7" s="19"/>
      <c r="X7" s="19"/>
      <c r="Y7" s="19"/>
      <c r="Z7" s="19"/>
      <c r="AA7" s="19"/>
      <c r="AB7" s="21"/>
      <c r="AC7" s="21"/>
      <c r="AD7" s="21"/>
      <c r="AE7" s="23"/>
      <c r="AF7" s="23"/>
      <c r="AG7" s="24"/>
    </row>
    <row r="8">
      <c r="A8" s="8">
        <v>3.0</v>
      </c>
      <c r="B8" s="21" t="s">
        <v>125</v>
      </c>
      <c r="C8" s="21" t="s">
        <v>126</v>
      </c>
      <c r="D8" s="21"/>
      <c r="E8" s="21"/>
      <c r="F8" s="19" t="s">
        <v>127</v>
      </c>
      <c r="G8" s="19" t="s">
        <v>66</v>
      </c>
      <c r="H8" s="19"/>
      <c r="I8" s="21"/>
      <c r="J8" s="19"/>
      <c r="K8" s="19"/>
      <c r="L8" s="19"/>
      <c r="M8" s="21"/>
      <c r="N8" s="19"/>
      <c r="O8" s="19"/>
      <c r="P8" s="19"/>
      <c r="Q8" s="25"/>
      <c r="R8" s="19"/>
      <c r="S8" s="19"/>
      <c r="T8" s="21"/>
      <c r="U8" s="19"/>
      <c r="V8" s="19"/>
      <c r="W8" s="19"/>
      <c r="X8" s="19"/>
      <c r="Y8" s="19"/>
      <c r="Z8" s="19"/>
      <c r="AA8" s="19"/>
      <c r="AB8" s="21"/>
      <c r="AC8" s="21"/>
      <c r="AD8" s="21"/>
      <c r="AE8" s="23"/>
      <c r="AF8" s="23"/>
      <c r="AG8" s="24"/>
    </row>
    <row r="9">
      <c r="A9" s="8">
        <v>4.0</v>
      </c>
      <c r="B9" s="21" t="s">
        <v>128</v>
      </c>
      <c r="C9" s="21" t="s">
        <v>129</v>
      </c>
      <c r="D9" s="21"/>
      <c r="E9" s="21"/>
      <c r="F9" s="19" t="s">
        <v>130</v>
      </c>
      <c r="G9" s="19" t="s">
        <v>131</v>
      </c>
      <c r="H9" s="19"/>
      <c r="I9" s="21"/>
      <c r="J9" s="19"/>
      <c r="K9" s="19"/>
      <c r="L9" s="19"/>
      <c r="M9" s="21"/>
      <c r="N9" s="19"/>
      <c r="O9" s="19"/>
      <c r="P9" s="19"/>
      <c r="Q9" s="25"/>
      <c r="R9" s="19"/>
      <c r="S9" s="19"/>
      <c r="T9" s="21"/>
      <c r="U9" s="19"/>
      <c r="V9" s="19"/>
      <c r="W9" s="19"/>
      <c r="X9" s="19"/>
      <c r="Y9" s="19"/>
      <c r="Z9" s="19"/>
      <c r="AA9" s="19"/>
      <c r="AB9" s="21"/>
      <c r="AC9" s="21"/>
      <c r="AD9" s="21"/>
      <c r="AE9" s="23"/>
      <c r="AF9" s="23"/>
      <c r="AG9" s="24"/>
    </row>
    <row r="10">
      <c r="A10" s="8">
        <v>5.0</v>
      </c>
      <c r="B10" s="21"/>
      <c r="C10" s="21"/>
      <c r="D10" s="21"/>
      <c r="E10" s="21"/>
      <c r="F10" s="19"/>
      <c r="G10" s="19"/>
      <c r="H10" s="19"/>
      <c r="I10" s="21"/>
      <c r="J10" s="19"/>
      <c r="K10" s="19"/>
      <c r="L10" s="19"/>
      <c r="M10" s="21"/>
      <c r="N10" s="19"/>
      <c r="O10" s="19"/>
      <c r="P10" s="19"/>
      <c r="Q10" s="25"/>
      <c r="R10" s="19"/>
      <c r="S10" s="19"/>
      <c r="T10" s="21"/>
      <c r="U10" s="19"/>
      <c r="V10" s="19"/>
      <c r="W10" s="19"/>
      <c r="X10" s="19"/>
      <c r="Y10" s="19"/>
      <c r="Z10" s="19"/>
      <c r="AA10" s="19"/>
      <c r="AB10" s="21"/>
      <c r="AC10" s="21"/>
      <c r="AD10" s="21"/>
      <c r="AE10" s="23"/>
      <c r="AF10" s="23"/>
      <c r="AG10" s="24"/>
    </row>
    <row r="11">
      <c r="A11" s="8">
        <v>6.0</v>
      </c>
      <c r="B11" s="21"/>
      <c r="C11" s="21"/>
      <c r="D11" s="21"/>
      <c r="E11" s="21"/>
      <c r="F11" s="19"/>
      <c r="G11" s="19"/>
      <c r="H11" s="19"/>
      <c r="I11" s="21"/>
      <c r="J11" s="19"/>
      <c r="K11" s="19"/>
      <c r="L11" s="19"/>
      <c r="M11" s="21"/>
      <c r="N11" s="19"/>
      <c r="O11" s="19"/>
      <c r="P11" s="19"/>
      <c r="Q11" s="25"/>
      <c r="R11" s="19"/>
      <c r="S11" s="19"/>
      <c r="T11" s="21"/>
      <c r="U11" s="19"/>
      <c r="V11" s="19"/>
      <c r="W11" s="19"/>
      <c r="X11" s="19"/>
      <c r="Y11" s="19"/>
      <c r="Z11" s="19"/>
      <c r="AA11" s="19"/>
      <c r="AB11" s="21"/>
      <c r="AC11" s="21"/>
      <c r="AD11" s="21"/>
      <c r="AE11" s="23"/>
      <c r="AF11" s="23"/>
      <c r="AG11" s="24"/>
    </row>
    <row r="12">
      <c r="A12" s="8">
        <v>7.0</v>
      </c>
      <c r="B12" s="21"/>
      <c r="C12" s="21"/>
      <c r="D12" s="21"/>
      <c r="E12" s="21"/>
      <c r="F12" s="19"/>
      <c r="G12" s="19"/>
      <c r="H12" s="19"/>
      <c r="I12" s="21"/>
      <c r="J12" s="19"/>
      <c r="K12" s="19"/>
      <c r="L12" s="19"/>
      <c r="M12" s="21"/>
      <c r="N12" s="19"/>
      <c r="O12" s="19"/>
      <c r="P12" s="19"/>
      <c r="Q12" s="25"/>
      <c r="R12" s="19"/>
      <c r="S12" s="19"/>
      <c r="T12" s="21"/>
      <c r="U12" s="19"/>
      <c r="V12" s="19"/>
      <c r="W12" s="19"/>
      <c r="X12" s="19"/>
      <c r="Y12" s="19"/>
      <c r="Z12" s="19"/>
      <c r="AA12" s="19"/>
      <c r="AB12" s="21"/>
      <c r="AC12" s="21"/>
      <c r="AD12" s="21"/>
      <c r="AE12" s="23"/>
      <c r="AF12" s="23"/>
      <c r="AG12" s="24"/>
    </row>
    <row r="13">
      <c r="A13" s="8">
        <v>8.0</v>
      </c>
      <c r="B13" s="21"/>
      <c r="C13" s="21"/>
      <c r="D13" s="21"/>
      <c r="E13" s="21"/>
      <c r="F13" s="19"/>
      <c r="G13" s="19"/>
      <c r="H13" s="19"/>
      <c r="I13" s="21"/>
      <c r="J13" s="19"/>
      <c r="K13" s="19"/>
      <c r="L13" s="19"/>
      <c r="M13" s="21"/>
      <c r="N13" s="19"/>
      <c r="O13" s="19"/>
      <c r="P13" s="19"/>
      <c r="Q13" s="25"/>
      <c r="R13" s="19"/>
      <c r="S13" s="19"/>
      <c r="T13" s="21"/>
      <c r="U13" s="19"/>
      <c r="V13" s="19"/>
      <c r="W13" s="19"/>
      <c r="X13" s="19"/>
      <c r="Y13" s="19"/>
      <c r="Z13" s="19"/>
      <c r="AA13" s="19"/>
      <c r="AB13" s="21"/>
      <c r="AC13" s="21"/>
      <c r="AD13" s="21"/>
      <c r="AE13" s="23"/>
      <c r="AF13" s="23"/>
      <c r="AG13" s="24"/>
    </row>
    <row r="14">
      <c r="A14" s="8">
        <v>9.0</v>
      </c>
      <c r="B14" s="21"/>
      <c r="C14" s="21"/>
      <c r="D14" s="21"/>
      <c r="E14" s="21"/>
      <c r="F14" s="19"/>
      <c r="G14" s="19"/>
      <c r="H14" s="19"/>
      <c r="I14" s="21"/>
      <c r="J14" s="19"/>
      <c r="K14" s="19"/>
      <c r="L14" s="19"/>
      <c r="M14" s="21"/>
      <c r="N14" s="19"/>
      <c r="O14" s="19"/>
      <c r="P14" s="19"/>
      <c r="Q14" s="25"/>
      <c r="R14" s="19"/>
      <c r="S14" s="19"/>
      <c r="T14" s="21"/>
      <c r="U14" s="19"/>
      <c r="V14" s="19"/>
      <c r="W14" s="19"/>
      <c r="X14" s="19"/>
      <c r="Y14" s="19"/>
      <c r="Z14" s="19"/>
      <c r="AA14" s="19"/>
      <c r="AB14" s="21"/>
      <c r="AC14" s="21"/>
      <c r="AD14" s="21"/>
      <c r="AE14" s="23"/>
      <c r="AF14" s="23"/>
      <c r="AG14" s="24"/>
    </row>
    <row r="15">
      <c r="A15" s="8">
        <v>10.0</v>
      </c>
      <c r="B15" s="21"/>
      <c r="C15" s="21"/>
      <c r="D15" s="21"/>
      <c r="E15" s="21"/>
      <c r="F15" s="19"/>
      <c r="G15" s="19"/>
      <c r="H15" s="19"/>
      <c r="I15" s="21"/>
      <c r="J15" s="19"/>
      <c r="K15" s="19"/>
      <c r="L15" s="19"/>
      <c r="M15" s="21"/>
      <c r="N15" s="19"/>
      <c r="O15" s="19"/>
      <c r="P15" s="19"/>
      <c r="Q15" s="25"/>
      <c r="R15" s="19"/>
      <c r="S15" s="19"/>
      <c r="T15" s="21"/>
      <c r="U15" s="19"/>
      <c r="V15" s="19"/>
      <c r="W15" s="19"/>
      <c r="X15" s="19"/>
      <c r="Y15" s="19"/>
      <c r="Z15" s="19"/>
      <c r="AA15" s="19"/>
      <c r="AB15" s="21"/>
      <c r="AC15" s="21"/>
      <c r="AD15" s="21"/>
      <c r="AE15" s="23"/>
      <c r="AF15" s="23"/>
      <c r="AG15" s="24"/>
    </row>
    <row r="16">
      <c r="A16" s="8">
        <v>11.0</v>
      </c>
      <c r="B16" s="21"/>
      <c r="C16" s="21"/>
      <c r="D16" s="21"/>
      <c r="E16" s="21"/>
      <c r="F16" s="19"/>
      <c r="G16" s="19"/>
      <c r="H16" s="19"/>
      <c r="I16" s="21"/>
      <c r="J16" s="19"/>
      <c r="K16" s="19"/>
      <c r="L16" s="19"/>
      <c r="M16" s="21"/>
      <c r="N16" s="19"/>
      <c r="O16" s="19"/>
      <c r="P16" s="19"/>
      <c r="Q16" s="25"/>
      <c r="R16" s="19"/>
      <c r="S16" s="19"/>
      <c r="T16" s="21"/>
      <c r="U16" s="19"/>
      <c r="V16" s="19"/>
      <c r="W16" s="19"/>
      <c r="X16" s="19"/>
      <c r="Y16" s="19"/>
      <c r="Z16" s="19"/>
      <c r="AA16" s="19"/>
      <c r="AB16" s="21"/>
      <c r="AC16" s="21"/>
      <c r="AD16" s="21"/>
      <c r="AE16" s="23"/>
      <c r="AF16" s="23"/>
      <c r="AG16" s="24"/>
    </row>
    <row r="17">
      <c r="A17" s="8">
        <v>12.0</v>
      </c>
      <c r="B17" s="21"/>
      <c r="C17" s="21"/>
      <c r="D17" s="21"/>
      <c r="E17" s="21"/>
      <c r="F17" s="19"/>
      <c r="G17" s="19"/>
      <c r="H17" s="19"/>
      <c r="I17" s="21"/>
      <c r="J17" s="19"/>
      <c r="K17" s="19"/>
      <c r="L17" s="19"/>
      <c r="M17" s="21"/>
      <c r="N17" s="19"/>
      <c r="O17" s="19"/>
      <c r="P17" s="19"/>
      <c r="Q17" s="25"/>
      <c r="R17" s="19"/>
      <c r="S17" s="19"/>
      <c r="T17" s="21"/>
      <c r="U17" s="19"/>
      <c r="V17" s="19"/>
      <c r="W17" s="19"/>
      <c r="X17" s="19"/>
      <c r="Y17" s="19"/>
      <c r="Z17" s="19"/>
      <c r="AA17" s="19"/>
      <c r="AB17" s="21"/>
      <c r="AC17" s="21"/>
      <c r="AD17" s="21"/>
      <c r="AE17" s="23"/>
      <c r="AF17" s="23"/>
      <c r="AG17" s="24"/>
    </row>
    <row r="18">
      <c r="A18" s="8">
        <v>13.0</v>
      </c>
      <c r="B18" s="21"/>
      <c r="C18" s="21"/>
      <c r="D18" s="21"/>
      <c r="E18" s="21"/>
      <c r="F18" s="19"/>
      <c r="G18" s="19"/>
      <c r="H18" s="19"/>
      <c r="I18" s="21"/>
      <c r="J18" s="19"/>
      <c r="K18" s="19"/>
      <c r="L18" s="19"/>
      <c r="M18" s="21"/>
      <c r="N18" s="19"/>
      <c r="O18" s="19"/>
      <c r="P18" s="19"/>
      <c r="Q18" s="25"/>
      <c r="R18" s="19"/>
      <c r="S18" s="19"/>
      <c r="T18" s="21"/>
      <c r="U18" s="19"/>
      <c r="V18" s="19"/>
      <c r="W18" s="19"/>
      <c r="X18" s="19"/>
      <c r="Y18" s="19"/>
      <c r="Z18" s="19"/>
      <c r="AA18" s="19"/>
      <c r="AB18" s="21"/>
      <c r="AC18" s="21"/>
      <c r="AD18" s="21"/>
      <c r="AE18" s="23"/>
      <c r="AF18" s="23"/>
      <c r="AG18" s="24"/>
    </row>
    <row r="19">
      <c r="A19" s="8">
        <v>14.0</v>
      </c>
      <c r="B19" s="21"/>
      <c r="C19" s="21"/>
      <c r="D19" s="21"/>
      <c r="E19" s="21"/>
      <c r="F19" s="19"/>
      <c r="G19" s="19"/>
      <c r="H19" s="19"/>
      <c r="I19" s="21"/>
      <c r="J19" s="19"/>
      <c r="K19" s="19"/>
      <c r="L19" s="19"/>
      <c r="M19" s="21"/>
      <c r="N19" s="19"/>
      <c r="O19" s="19"/>
      <c r="P19" s="19"/>
      <c r="Q19" s="25"/>
      <c r="R19" s="19"/>
      <c r="S19" s="19"/>
      <c r="T19" s="21"/>
      <c r="U19" s="19"/>
      <c r="V19" s="19"/>
      <c r="W19" s="19"/>
      <c r="X19" s="19"/>
      <c r="Y19" s="19"/>
      <c r="Z19" s="19"/>
      <c r="AA19" s="19"/>
      <c r="AB19" s="21"/>
      <c r="AC19" s="21"/>
      <c r="AD19" s="21"/>
      <c r="AE19" s="23"/>
      <c r="AF19" s="23"/>
      <c r="AG19" s="24"/>
    </row>
    <row r="20">
      <c r="A20" s="8">
        <v>15.0</v>
      </c>
      <c r="B20" s="21"/>
      <c r="C20" s="21"/>
      <c r="D20" s="21"/>
      <c r="E20" s="21"/>
      <c r="F20" s="19"/>
      <c r="G20" s="19"/>
      <c r="H20" s="19"/>
      <c r="I20" s="21"/>
      <c r="J20" s="19"/>
      <c r="K20" s="19"/>
      <c r="L20" s="19"/>
      <c r="M20" s="21"/>
      <c r="N20" s="19"/>
      <c r="O20" s="19"/>
      <c r="P20" s="19"/>
      <c r="Q20" s="25"/>
      <c r="R20" s="19"/>
      <c r="S20" s="19"/>
      <c r="T20" s="21"/>
      <c r="U20" s="19"/>
      <c r="V20" s="19"/>
      <c r="W20" s="19"/>
      <c r="X20" s="19"/>
      <c r="Y20" s="19"/>
      <c r="Z20" s="19"/>
      <c r="AA20" s="19"/>
      <c r="AB20" s="21"/>
      <c r="AC20" s="21"/>
      <c r="AD20" s="21"/>
      <c r="AE20" s="23"/>
      <c r="AF20" s="23"/>
      <c r="AG20" s="24"/>
    </row>
    <row r="21">
      <c r="A21" s="8">
        <v>16.0</v>
      </c>
      <c r="B21" s="21"/>
      <c r="C21" s="21"/>
      <c r="D21" s="21"/>
      <c r="E21" s="21"/>
      <c r="F21" s="19"/>
      <c r="G21" s="19"/>
      <c r="H21" s="19"/>
      <c r="I21" s="21"/>
      <c r="J21" s="19"/>
      <c r="K21" s="19"/>
      <c r="L21" s="19"/>
      <c r="M21" s="21"/>
      <c r="N21" s="19"/>
      <c r="O21" s="19"/>
      <c r="P21" s="19"/>
      <c r="Q21" s="25"/>
      <c r="R21" s="19"/>
      <c r="S21" s="19"/>
      <c r="T21" s="21"/>
      <c r="U21" s="19"/>
      <c r="V21" s="19"/>
      <c r="W21" s="19"/>
      <c r="X21" s="19"/>
      <c r="Y21" s="19"/>
      <c r="Z21" s="19"/>
      <c r="AA21" s="19"/>
      <c r="AB21" s="21"/>
      <c r="AC21" s="21"/>
      <c r="AD21" s="21"/>
      <c r="AE21" s="23"/>
      <c r="AF21" s="23"/>
      <c r="AG21" s="24"/>
    </row>
    <row r="22">
      <c r="A22" s="8">
        <v>17.0</v>
      </c>
      <c r="B22" s="21"/>
      <c r="C22" s="21"/>
      <c r="D22" s="21"/>
      <c r="E22" s="21"/>
      <c r="F22" s="19"/>
      <c r="G22" s="19"/>
      <c r="H22" s="19"/>
      <c r="I22" s="21"/>
      <c r="J22" s="19"/>
      <c r="K22" s="19"/>
      <c r="L22" s="19"/>
      <c r="M22" s="21"/>
      <c r="N22" s="19"/>
      <c r="O22" s="19"/>
      <c r="P22" s="19"/>
      <c r="Q22" s="25"/>
      <c r="R22" s="19"/>
      <c r="S22" s="19"/>
      <c r="T22" s="21"/>
      <c r="U22" s="19"/>
      <c r="V22" s="19"/>
      <c r="W22" s="19"/>
      <c r="X22" s="19"/>
      <c r="Y22" s="19"/>
      <c r="Z22" s="19"/>
      <c r="AA22" s="19"/>
      <c r="AB22" s="21"/>
      <c r="AC22" s="21"/>
      <c r="AD22" s="21"/>
      <c r="AE22" s="23"/>
      <c r="AF22" s="23"/>
      <c r="AG22" s="24"/>
    </row>
    <row r="23">
      <c r="A23" s="8">
        <v>18.0</v>
      </c>
      <c r="B23" s="21"/>
      <c r="C23" s="21"/>
      <c r="D23" s="21"/>
      <c r="E23" s="21"/>
      <c r="F23" s="19"/>
      <c r="G23" s="19"/>
      <c r="H23" s="19"/>
      <c r="I23" s="21"/>
      <c r="J23" s="19"/>
      <c r="K23" s="19"/>
      <c r="L23" s="19"/>
      <c r="M23" s="21"/>
      <c r="N23" s="19"/>
      <c r="O23" s="19"/>
      <c r="P23" s="19"/>
      <c r="Q23" s="25"/>
      <c r="R23" s="19"/>
      <c r="S23" s="19"/>
      <c r="T23" s="21"/>
      <c r="U23" s="19"/>
      <c r="V23" s="19"/>
      <c r="W23" s="19"/>
      <c r="X23" s="19"/>
      <c r="Y23" s="19"/>
      <c r="Z23" s="19"/>
      <c r="AA23" s="19"/>
      <c r="AB23" s="21"/>
      <c r="AC23" s="21"/>
      <c r="AD23" s="21"/>
      <c r="AE23" s="23"/>
      <c r="AF23" s="23"/>
      <c r="AG23" s="24"/>
    </row>
    <row r="24">
      <c r="A24" s="8">
        <v>19.0</v>
      </c>
      <c r="B24" s="21"/>
      <c r="C24" s="21"/>
      <c r="D24" s="21"/>
      <c r="E24" s="21"/>
      <c r="F24" s="19"/>
      <c r="G24" s="19"/>
      <c r="H24" s="19"/>
      <c r="I24" s="21"/>
      <c r="J24" s="19"/>
      <c r="K24" s="19"/>
      <c r="L24" s="19"/>
      <c r="M24" s="21"/>
      <c r="N24" s="19"/>
      <c r="O24" s="19"/>
      <c r="P24" s="19"/>
      <c r="Q24" s="25"/>
      <c r="R24" s="19"/>
      <c r="S24" s="19"/>
      <c r="T24" s="21"/>
      <c r="U24" s="19"/>
      <c r="V24" s="19"/>
      <c r="W24" s="19"/>
      <c r="X24" s="19"/>
      <c r="Y24" s="19"/>
      <c r="Z24" s="19"/>
      <c r="AA24" s="19"/>
      <c r="AB24" s="21"/>
      <c r="AC24" s="21"/>
      <c r="AD24" s="21"/>
      <c r="AE24" s="23"/>
      <c r="AF24" s="23"/>
      <c r="AG24" s="24"/>
    </row>
    <row r="25">
      <c r="A25" s="8">
        <v>20.0</v>
      </c>
      <c r="B25" s="21"/>
      <c r="C25" s="21"/>
      <c r="D25" s="21"/>
      <c r="E25" s="21"/>
      <c r="F25" s="19"/>
      <c r="G25" s="19"/>
      <c r="H25" s="19"/>
      <c r="I25" s="21"/>
      <c r="J25" s="19"/>
      <c r="K25" s="19"/>
      <c r="L25" s="19"/>
      <c r="M25" s="21"/>
      <c r="N25" s="19"/>
      <c r="O25" s="19"/>
      <c r="P25" s="19"/>
      <c r="Q25" s="25"/>
      <c r="R25" s="19"/>
      <c r="S25" s="19"/>
      <c r="T25" s="21"/>
      <c r="U25" s="19"/>
      <c r="V25" s="19"/>
      <c r="W25" s="19"/>
      <c r="X25" s="19"/>
      <c r="Y25" s="19"/>
      <c r="Z25" s="19"/>
      <c r="AA25" s="19"/>
      <c r="AB25" s="21"/>
      <c r="AC25" s="21"/>
      <c r="AD25" s="21"/>
      <c r="AE25" s="23"/>
      <c r="AF25" s="23"/>
      <c r="AG25" s="24"/>
    </row>
    <row r="26">
      <c r="A26" s="8">
        <v>21.0</v>
      </c>
      <c r="B26" s="23"/>
      <c r="C26" s="23"/>
      <c r="D26" s="23"/>
      <c r="E26" s="23"/>
      <c r="F26" s="19"/>
      <c r="G26" s="19"/>
      <c r="H26" s="19"/>
      <c r="I26" s="21"/>
      <c r="J26" s="19"/>
      <c r="K26" s="19"/>
      <c r="L26" s="19"/>
      <c r="M26" s="21"/>
      <c r="N26" s="19"/>
      <c r="O26" s="19"/>
      <c r="P26" s="19"/>
      <c r="Q26" s="25"/>
      <c r="R26" s="19"/>
      <c r="S26" s="19"/>
      <c r="T26" s="21"/>
      <c r="U26" s="19"/>
      <c r="V26" s="19"/>
      <c r="W26" s="19"/>
      <c r="X26" s="19"/>
      <c r="Y26" s="19"/>
      <c r="Z26" s="19"/>
      <c r="AA26" s="19"/>
      <c r="AB26" s="21"/>
      <c r="AC26" s="21"/>
      <c r="AD26" s="21"/>
      <c r="AE26" s="23"/>
      <c r="AF26" s="23"/>
      <c r="AG26" s="24"/>
    </row>
    <row r="27">
      <c r="A27" s="8">
        <v>22.0</v>
      </c>
      <c r="B27" s="23"/>
      <c r="C27" s="23"/>
      <c r="D27" s="23"/>
      <c r="E27" s="23"/>
      <c r="F27" s="19"/>
      <c r="G27" s="19"/>
      <c r="H27" s="19"/>
      <c r="I27" s="21"/>
      <c r="J27" s="19"/>
      <c r="K27" s="19"/>
      <c r="L27" s="19"/>
      <c r="M27" s="21"/>
      <c r="N27" s="19"/>
      <c r="O27" s="19"/>
      <c r="P27" s="19"/>
      <c r="Q27" s="25"/>
      <c r="R27" s="19"/>
      <c r="S27" s="19"/>
      <c r="T27" s="21"/>
      <c r="U27" s="19"/>
      <c r="V27" s="19"/>
      <c r="W27" s="19"/>
      <c r="X27" s="19"/>
      <c r="Y27" s="19"/>
      <c r="Z27" s="19"/>
      <c r="AA27" s="19"/>
      <c r="AB27" s="21"/>
      <c r="AC27" s="21"/>
      <c r="AD27" s="21"/>
      <c r="AE27" s="23"/>
      <c r="AF27" s="23"/>
      <c r="AG27" s="24"/>
    </row>
    <row r="28">
      <c r="A28" s="8">
        <v>23.0</v>
      </c>
      <c r="B28" s="23"/>
      <c r="C28" s="23"/>
      <c r="D28" s="23"/>
      <c r="E28" s="23"/>
      <c r="F28" s="19"/>
      <c r="G28" s="19"/>
      <c r="H28" s="19"/>
      <c r="I28" s="21"/>
      <c r="J28" s="19"/>
      <c r="K28" s="19"/>
      <c r="L28" s="19"/>
      <c r="M28" s="21"/>
      <c r="N28" s="19"/>
      <c r="O28" s="19"/>
      <c r="P28" s="19"/>
      <c r="Q28" s="25"/>
      <c r="R28" s="19"/>
      <c r="S28" s="19"/>
      <c r="T28" s="21"/>
      <c r="U28" s="19"/>
      <c r="V28" s="19"/>
      <c r="W28" s="19"/>
      <c r="X28" s="19"/>
      <c r="Y28" s="19"/>
      <c r="Z28" s="19"/>
      <c r="AA28" s="19"/>
      <c r="AB28" s="21"/>
      <c r="AC28" s="21"/>
      <c r="AD28" s="21"/>
      <c r="AE28" s="23"/>
      <c r="AF28" s="23"/>
      <c r="AG28" s="24"/>
    </row>
    <row r="29">
      <c r="A29" s="8">
        <v>24.0</v>
      </c>
      <c r="B29" s="23"/>
      <c r="C29" s="23"/>
      <c r="D29" s="23"/>
      <c r="E29" s="23"/>
      <c r="F29" s="19"/>
      <c r="G29" s="19"/>
      <c r="H29" s="19"/>
      <c r="I29" s="21"/>
      <c r="J29" s="19"/>
      <c r="K29" s="19"/>
      <c r="L29" s="19"/>
      <c r="M29" s="21"/>
      <c r="N29" s="19"/>
      <c r="O29" s="19"/>
      <c r="P29" s="19"/>
      <c r="Q29" s="25"/>
      <c r="R29" s="19"/>
      <c r="S29" s="19"/>
      <c r="T29" s="21"/>
      <c r="U29" s="19"/>
      <c r="V29" s="19"/>
      <c r="W29" s="19"/>
      <c r="X29" s="19"/>
      <c r="Y29" s="19"/>
      <c r="Z29" s="19"/>
      <c r="AA29" s="19"/>
      <c r="AB29" s="21"/>
      <c r="AC29" s="21"/>
      <c r="AD29" s="21"/>
      <c r="AE29" s="23"/>
      <c r="AF29" s="23"/>
      <c r="AG29" s="24"/>
    </row>
    <row r="30">
      <c r="A30" s="8">
        <v>25.0</v>
      </c>
      <c r="B30" s="23"/>
      <c r="C30" s="23"/>
      <c r="D30" s="23"/>
      <c r="E30" s="23"/>
      <c r="F30" s="19"/>
      <c r="G30" s="19"/>
      <c r="H30" s="19"/>
      <c r="I30" s="21"/>
      <c r="J30" s="19"/>
      <c r="K30" s="19"/>
      <c r="L30" s="19"/>
      <c r="M30" s="21"/>
      <c r="N30" s="19"/>
      <c r="O30" s="19"/>
      <c r="P30" s="19"/>
      <c r="Q30" s="25"/>
      <c r="R30" s="19"/>
      <c r="S30" s="19"/>
      <c r="T30" s="21"/>
      <c r="U30" s="19"/>
      <c r="V30" s="19"/>
      <c r="W30" s="19"/>
      <c r="X30" s="19"/>
      <c r="Y30" s="19"/>
      <c r="Z30" s="19"/>
      <c r="AA30" s="19"/>
      <c r="AB30" s="21"/>
      <c r="AC30" s="21"/>
      <c r="AD30" s="21"/>
      <c r="AE30" s="23"/>
      <c r="AF30" s="23"/>
      <c r="AG30" s="24"/>
    </row>
    <row r="31">
      <c r="A31" s="8">
        <v>26.0</v>
      </c>
      <c r="B31" s="23"/>
      <c r="C31" s="23"/>
      <c r="D31" s="23"/>
      <c r="E31" s="23"/>
      <c r="F31" s="19"/>
      <c r="G31" s="19"/>
      <c r="H31" s="19"/>
      <c r="I31" s="21"/>
      <c r="J31" s="19"/>
      <c r="K31" s="19"/>
      <c r="L31" s="19"/>
      <c r="M31" s="21"/>
      <c r="N31" s="19"/>
      <c r="O31" s="19"/>
      <c r="P31" s="19"/>
      <c r="Q31" s="25"/>
      <c r="R31" s="19"/>
      <c r="S31" s="19"/>
      <c r="T31" s="21"/>
      <c r="U31" s="19"/>
      <c r="V31" s="19"/>
      <c r="W31" s="19"/>
      <c r="X31" s="19"/>
      <c r="Y31" s="19"/>
      <c r="Z31" s="19"/>
      <c r="AA31" s="19"/>
      <c r="AB31" s="21"/>
      <c r="AC31" s="21"/>
      <c r="AD31" s="21"/>
      <c r="AE31" s="23"/>
      <c r="AF31" s="23"/>
      <c r="AG31" s="24"/>
    </row>
    <row r="32">
      <c r="A32" s="8">
        <v>27.0</v>
      </c>
      <c r="B32" s="23"/>
      <c r="C32" s="23"/>
      <c r="D32" s="23"/>
      <c r="E32" s="23"/>
      <c r="F32" s="19"/>
      <c r="G32" s="19"/>
      <c r="H32" s="19"/>
      <c r="I32" s="21"/>
      <c r="J32" s="19"/>
      <c r="K32" s="19"/>
      <c r="L32" s="19"/>
      <c r="M32" s="21"/>
      <c r="N32" s="19"/>
      <c r="O32" s="19"/>
      <c r="P32" s="19"/>
      <c r="Q32" s="25"/>
      <c r="R32" s="19"/>
      <c r="S32" s="19"/>
      <c r="T32" s="21"/>
      <c r="U32" s="19"/>
      <c r="V32" s="19"/>
      <c r="W32" s="19"/>
      <c r="X32" s="19"/>
      <c r="Y32" s="19"/>
      <c r="Z32" s="19"/>
      <c r="AA32" s="19"/>
      <c r="AB32" s="21"/>
      <c r="AC32" s="21"/>
      <c r="AD32" s="21"/>
      <c r="AE32" s="23"/>
      <c r="AF32" s="23"/>
      <c r="AG32" s="24"/>
    </row>
    <row r="33">
      <c r="A33" s="8">
        <v>28.0</v>
      </c>
      <c r="B33" s="23"/>
      <c r="C33" s="23"/>
      <c r="D33" s="23"/>
      <c r="E33" s="23"/>
      <c r="F33" s="19"/>
      <c r="G33" s="19"/>
      <c r="H33" s="19"/>
      <c r="I33" s="21"/>
      <c r="J33" s="19"/>
      <c r="K33" s="19"/>
      <c r="L33" s="19"/>
      <c r="M33" s="21"/>
      <c r="N33" s="19"/>
      <c r="O33" s="19"/>
      <c r="P33" s="19"/>
      <c r="Q33" s="25"/>
      <c r="R33" s="19"/>
      <c r="S33" s="19"/>
      <c r="T33" s="21"/>
      <c r="U33" s="19"/>
      <c r="V33" s="19"/>
      <c r="W33" s="19"/>
      <c r="X33" s="19"/>
      <c r="Y33" s="19"/>
      <c r="Z33" s="19"/>
      <c r="AA33" s="19"/>
      <c r="AB33" s="21"/>
      <c r="AC33" s="21"/>
      <c r="AD33" s="21"/>
      <c r="AE33" s="23"/>
      <c r="AF33" s="23"/>
      <c r="AG33" s="24"/>
    </row>
    <row r="34">
      <c r="A34" s="8">
        <v>29.0</v>
      </c>
      <c r="B34" s="23"/>
      <c r="C34" s="23"/>
      <c r="D34" s="23"/>
      <c r="E34" s="23"/>
      <c r="F34" s="19"/>
      <c r="G34" s="19"/>
      <c r="H34" s="19"/>
      <c r="I34" s="21"/>
      <c r="J34" s="19"/>
      <c r="K34" s="19"/>
      <c r="L34" s="19"/>
      <c r="M34" s="21"/>
      <c r="N34" s="19"/>
      <c r="O34" s="19"/>
      <c r="P34" s="19"/>
      <c r="Q34" s="25"/>
      <c r="R34" s="19"/>
      <c r="S34" s="19"/>
      <c r="T34" s="21"/>
      <c r="U34" s="19"/>
      <c r="V34" s="19"/>
      <c r="W34" s="19"/>
      <c r="X34" s="19"/>
      <c r="Y34" s="19"/>
      <c r="Z34" s="19"/>
      <c r="AA34" s="19"/>
      <c r="AB34" s="21"/>
      <c r="AC34" s="21"/>
      <c r="AD34" s="21"/>
      <c r="AE34" s="23"/>
      <c r="AF34" s="23"/>
      <c r="AG34" s="24"/>
    </row>
    <row r="35">
      <c r="A35" s="8">
        <v>30.0</v>
      </c>
      <c r="B35" s="23"/>
      <c r="C35" s="23"/>
      <c r="D35" s="23"/>
      <c r="E35" s="23"/>
      <c r="F35" s="19"/>
      <c r="G35" s="19"/>
      <c r="H35" s="19"/>
      <c r="I35" s="21"/>
      <c r="J35" s="19"/>
      <c r="K35" s="19"/>
      <c r="L35" s="19"/>
      <c r="M35" s="21"/>
      <c r="N35" s="19"/>
      <c r="O35" s="19"/>
      <c r="P35" s="19"/>
      <c r="Q35" s="25"/>
      <c r="R35" s="19"/>
      <c r="S35" s="19"/>
      <c r="T35" s="21"/>
      <c r="U35" s="19"/>
      <c r="V35" s="19"/>
      <c r="W35" s="19"/>
      <c r="X35" s="19"/>
      <c r="Y35" s="19"/>
      <c r="Z35" s="19"/>
      <c r="AA35" s="19"/>
      <c r="AB35" s="21"/>
      <c r="AC35" s="21"/>
      <c r="AD35" s="21"/>
      <c r="AE35" s="23"/>
      <c r="AF35" s="23"/>
      <c r="AG35" s="24"/>
    </row>
    <row r="36">
      <c r="A36" s="8">
        <v>31.0</v>
      </c>
      <c r="B36" s="23"/>
      <c r="C36" s="23"/>
      <c r="D36" s="23"/>
      <c r="E36" s="23"/>
      <c r="F36" s="19"/>
      <c r="G36" s="19"/>
      <c r="H36" s="19"/>
      <c r="I36" s="21"/>
      <c r="J36" s="19"/>
      <c r="K36" s="19"/>
      <c r="L36" s="19"/>
      <c r="M36" s="21"/>
      <c r="N36" s="19"/>
      <c r="O36" s="19"/>
      <c r="P36" s="19"/>
      <c r="Q36" s="25"/>
      <c r="R36" s="19"/>
      <c r="S36" s="19"/>
      <c r="T36" s="21"/>
      <c r="U36" s="19"/>
      <c r="V36" s="19"/>
      <c r="W36" s="19"/>
      <c r="X36" s="19"/>
      <c r="Y36" s="19"/>
      <c r="Z36" s="19"/>
      <c r="AA36" s="19"/>
      <c r="AB36" s="21"/>
      <c r="AC36" s="21"/>
      <c r="AD36" s="21"/>
      <c r="AE36" s="23"/>
      <c r="AF36" s="23"/>
      <c r="AG36" s="24"/>
    </row>
    <row r="37">
      <c r="A37" s="8">
        <v>32.0</v>
      </c>
      <c r="B37" s="23"/>
      <c r="C37" s="23"/>
      <c r="D37" s="23"/>
      <c r="E37" s="23"/>
      <c r="F37" s="19"/>
      <c r="G37" s="19"/>
      <c r="H37" s="19"/>
      <c r="I37" s="21"/>
      <c r="J37" s="19"/>
      <c r="K37" s="19"/>
      <c r="L37" s="19"/>
      <c r="M37" s="21"/>
      <c r="N37" s="19"/>
      <c r="O37" s="19"/>
      <c r="P37" s="19"/>
      <c r="Q37" s="25"/>
      <c r="R37" s="19"/>
      <c r="S37" s="19"/>
      <c r="T37" s="21"/>
      <c r="U37" s="19"/>
      <c r="V37" s="19"/>
      <c r="W37" s="19"/>
      <c r="X37" s="19"/>
      <c r="Y37" s="19"/>
      <c r="Z37" s="19"/>
      <c r="AA37" s="19"/>
      <c r="AB37" s="21"/>
      <c r="AC37" s="21"/>
      <c r="AD37" s="21"/>
      <c r="AE37" s="23"/>
      <c r="AF37" s="23"/>
      <c r="AG37" s="24"/>
    </row>
    <row r="38">
      <c r="A38" s="8">
        <v>33.0</v>
      </c>
      <c r="B38" s="23"/>
      <c r="C38" s="23"/>
      <c r="D38" s="23"/>
      <c r="E38" s="23"/>
      <c r="F38" s="19"/>
      <c r="G38" s="19"/>
      <c r="H38" s="19"/>
      <c r="I38" s="21"/>
      <c r="J38" s="19"/>
      <c r="K38" s="19"/>
      <c r="L38" s="19"/>
      <c r="M38" s="21"/>
      <c r="N38" s="19"/>
      <c r="O38" s="19"/>
      <c r="P38" s="19"/>
      <c r="Q38" s="25"/>
      <c r="R38" s="19"/>
      <c r="S38" s="19"/>
      <c r="T38" s="21"/>
      <c r="U38" s="19"/>
      <c r="V38" s="19"/>
      <c r="W38" s="19"/>
      <c r="X38" s="19"/>
      <c r="Y38" s="19"/>
      <c r="Z38" s="19"/>
      <c r="AA38" s="19"/>
      <c r="AB38" s="21"/>
      <c r="AC38" s="21"/>
      <c r="AD38" s="21"/>
      <c r="AE38" s="23"/>
      <c r="AF38" s="23"/>
      <c r="AG38" s="24"/>
    </row>
    <row r="39">
      <c r="A39" s="8">
        <v>34.0</v>
      </c>
      <c r="B39" s="23"/>
      <c r="C39" s="23"/>
      <c r="D39" s="23"/>
      <c r="E39" s="23"/>
      <c r="F39" s="19"/>
      <c r="G39" s="19"/>
      <c r="H39" s="19"/>
      <c r="I39" s="21"/>
      <c r="J39" s="19"/>
      <c r="K39" s="19"/>
      <c r="L39" s="19"/>
      <c r="M39" s="21"/>
      <c r="N39" s="19"/>
      <c r="O39" s="19"/>
      <c r="P39" s="19"/>
      <c r="Q39" s="25"/>
      <c r="R39" s="19"/>
      <c r="S39" s="19"/>
      <c r="T39" s="21"/>
      <c r="U39" s="19"/>
      <c r="V39" s="19"/>
      <c r="W39" s="19"/>
      <c r="X39" s="19"/>
      <c r="Y39" s="19"/>
      <c r="Z39" s="19"/>
      <c r="AA39" s="19"/>
      <c r="AB39" s="21"/>
      <c r="AC39" s="21"/>
      <c r="AD39" s="21"/>
      <c r="AE39" s="23"/>
      <c r="AF39" s="23"/>
      <c r="AG39" s="24"/>
    </row>
    <row r="40">
      <c r="A40" s="8">
        <v>35.0</v>
      </c>
      <c r="B40" s="23"/>
      <c r="C40" s="23"/>
      <c r="D40" s="23"/>
      <c r="E40" s="23"/>
      <c r="F40" s="19"/>
      <c r="G40" s="19"/>
      <c r="H40" s="19"/>
      <c r="I40" s="21"/>
      <c r="J40" s="19"/>
      <c r="K40" s="19"/>
      <c r="L40" s="19"/>
      <c r="M40" s="21"/>
      <c r="N40" s="19"/>
      <c r="O40" s="19"/>
      <c r="P40" s="19"/>
      <c r="Q40" s="25"/>
      <c r="R40" s="19"/>
      <c r="S40" s="19"/>
      <c r="T40" s="21"/>
      <c r="U40" s="19"/>
      <c r="V40" s="19"/>
      <c r="W40" s="19"/>
      <c r="X40" s="19"/>
      <c r="Y40" s="19"/>
      <c r="Z40" s="19"/>
      <c r="AA40" s="19"/>
      <c r="AB40" s="21"/>
      <c r="AC40" s="21"/>
      <c r="AD40" s="21"/>
      <c r="AE40" s="23"/>
      <c r="AF40" s="23"/>
      <c r="AG40" s="24"/>
    </row>
    <row r="41">
      <c r="A41" s="8">
        <v>36.0</v>
      </c>
      <c r="B41" s="23"/>
      <c r="C41" s="23"/>
      <c r="D41" s="23"/>
      <c r="E41" s="23"/>
      <c r="F41" s="19"/>
      <c r="G41" s="19"/>
      <c r="H41" s="19"/>
      <c r="I41" s="21"/>
      <c r="J41" s="19"/>
      <c r="K41" s="19"/>
      <c r="L41" s="19"/>
      <c r="M41" s="21"/>
      <c r="N41" s="19"/>
      <c r="O41" s="19"/>
      <c r="P41" s="19"/>
      <c r="Q41" s="25"/>
      <c r="R41" s="19"/>
      <c r="S41" s="19"/>
      <c r="T41" s="21"/>
      <c r="U41" s="19"/>
      <c r="V41" s="19"/>
      <c r="W41" s="19"/>
      <c r="X41" s="19"/>
      <c r="Y41" s="19"/>
      <c r="Z41" s="19"/>
      <c r="AA41" s="19"/>
      <c r="AB41" s="21"/>
      <c r="AC41" s="21"/>
      <c r="AD41" s="21"/>
      <c r="AE41" s="23"/>
      <c r="AF41" s="23"/>
      <c r="AG41" s="24"/>
    </row>
    <row r="42">
      <c r="A42" s="8">
        <v>37.0</v>
      </c>
      <c r="B42" s="23"/>
      <c r="C42" s="23"/>
      <c r="D42" s="23"/>
      <c r="E42" s="23"/>
      <c r="F42" s="19"/>
      <c r="G42" s="19"/>
      <c r="H42" s="19"/>
      <c r="I42" s="21"/>
      <c r="J42" s="19"/>
      <c r="K42" s="19"/>
      <c r="L42" s="19"/>
      <c r="M42" s="21"/>
      <c r="N42" s="19"/>
      <c r="O42" s="19"/>
      <c r="P42" s="19"/>
      <c r="Q42" s="25"/>
      <c r="R42" s="19"/>
      <c r="S42" s="19"/>
      <c r="T42" s="21"/>
      <c r="U42" s="19"/>
      <c r="V42" s="19"/>
      <c r="W42" s="19"/>
      <c r="X42" s="19"/>
      <c r="Y42" s="19"/>
      <c r="Z42" s="19"/>
      <c r="AA42" s="19"/>
      <c r="AB42" s="21"/>
      <c r="AC42" s="21"/>
      <c r="AD42" s="21"/>
      <c r="AE42" s="23"/>
      <c r="AF42" s="23"/>
      <c r="AG42" s="24"/>
    </row>
    <row r="43">
      <c r="A43" s="8">
        <v>38.0</v>
      </c>
      <c r="B43" s="23"/>
      <c r="C43" s="23"/>
      <c r="D43" s="23"/>
      <c r="E43" s="23"/>
      <c r="F43" s="19"/>
      <c r="G43" s="19"/>
      <c r="H43" s="19"/>
      <c r="I43" s="21"/>
      <c r="J43" s="19"/>
      <c r="K43" s="19"/>
      <c r="L43" s="19"/>
      <c r="M43" s="21"/>
      <c r="N43" s="19"/>
      <c r="O43" s="19"/>
      <c r="P43" s="19"/>
      <c r="Q43" s="25"/>
      <c r="R43" s="19"/>
      <c r="S43" s="19"/>
      <c r="T43" s="21"/>
      <c r="U43" s="19"/>
      <c r="V43" s="19"/>
      <c r="W43" s="19"/>
      <c r="X43" s="19"/>
      <c r="Y43" s="19"/>
      <c r="Z43" s="19"/>
      <c r="AA43" s="19"/>
      <c r="AB43" s="21"/>
      <c r="AC43" s="21"/>
      <c r="AD43" s="21"/>
      <c r="AE43" s="23"/>
      <c r="AF43" s="23"/>
      <c r="AG43" s="24"/>
    </row>
    <row r="44">
      <c r="A44" s="8">
        <v>39.0</v>
      </c>
      <c r="B44" s="23"/>
      <c r="C44" s="23"/>
      <c r="D44" s="23"/>
      <c r="E44" s="23"/>
      <c r="F44" s="19"/>
      <c r="G44" s="19"/>
      <c r="H44" s="19"/>
      <c r="I44" s="21"/>
      <c r="J44" s="19"/>
      <c r="K44" s="19"/>
      <c r="L44" s="19"/>
      <c r="M44" s="21"/>
      <c r="N44" s="19"/>
      <c r="O44" s="19"/>
      <c r="P44" s="19"/>
      <c r="Q44" s="25"/>
      <c r="R44" s="19"/>
      <c r="S44" s="19"/>
      <c r="T44" s="21"/>
      <c r="U44" s="19"/>
      <c r="V44" s="19"/>
      <c r="W44" s="19"/>
      <c r="X44" s="19"/>
      <c r="Y44" s="19"/>
      <c r="Z44" s="19"/>
      <c r="AA44" s="19"/>
      <c r="AB44" s="21"/>
      <c r="AC44" s="21"/>
      <c r="AD44" s="21"/>
      <c r="AE44" s="23"/>
      <c r="AF44" s="23"/>
      <c r="AG44" s="24"/>
    </row>
    <row r="45">
      <c r="A45" s="8">
        <v>40.0</v>
      </c>
      <c r="B45" s="23"/>
      <c r="C45" s="23"/>
      <c r="D45" s="23"/>
      <c r="E45" s="23"/>
      <c r="F45" s="19"/>
      <c r="G45" s="19"/>
      <c r="H45" s="19"/>
      <c r="I45" s="21"/>
      <c r="J45" s="19"/>
      <c r="K45" s="19"/>
      <c r="L45" s="19"/>
      <c r="M45" s="21"/>
      <c r="N45" s="19"/>
      <c r="O45" s="19"/>
      <c r="P45" s="19"/>
      <c r="Q45" s="25"/>
      <c r="R45" s="19"/>
      <c r="S45" s="19"/>
      <c r="T45" s="21"/>
      <c r="U45" s="19"/>
      <c r="V45" s="19"/>
      <c r="W45" s="19"/>
      <c r="X45" s="19"/>
      <c r="Y45" s="19"/>
      <c r="Z45" s="19"/>
      <c r="AA45" s="19"/>
      <c r="AB45" s="21"/>
      <c r="AC45" s="21"/>
      <c r="AD45" s="21"/>
      <c r="AE45" s="23"/>
      <c r="AF45" s="23"/>
      <c r="AG45" s="24"/>
    </row>
    <row r="46">
      <c r="A46" s="8">
        <v>41.0</v>
      </c>
      <c r="B46" s="23"/>
      <c r="C46" s="23"/>
      <c r="D46" s="23"/>
      <c r="E46" s="23"/>
      <c r="F46" s="19"/>
      <c r="G46" s="19"/>
      <c r="H46" s="19"/>
      <c r="I46" s="21"/>
      <c r="J46" s="19"/>
      <c r="K46" s="19"/>
      <c r="L46" s="19"/>
      <c r="M46" s="21"/>
      <c r="N46" s="19"/>
      <c r="O46" s="19"/>
      <c r="P46" s="19"/>
      <c r="Q46" s="25"/>
      <c r="R46" s="19"/>
      <c r="S46" s="19"/>
      <c r="T46" s="21"/>
      <c r="U46" s="19"/>
      <c r="V46" s="19"/>
      <c r="W46" s="19"/>
      <c r="X46" s="19"/>
      <c r="Y46" s="19"/>
      <c r="Z46" s="19"/>
      <c r="AA46" s="19"/>
      <c r="AB46" s="21"/>
      <c r="AC46" s="21"/>
      <c r="AD46" s="21"/>
      <c r="AE46" s="23"/>
      <c r="AF46" s="23"/>
      <c r="AG46" s="24"/>
    </row>
    <row r="47">
      <c r="A47" s="8">
        <v>42.0</v>
      </c>
      <c r="B47" s="23"/>
      <c r="C47" s="23"/>
      <c r="D47" s="23"/>
      <c r="E47" s="23"/>
      <c r="F47" s="19"/>
      <c r="G47" s="19"/>
      <c r="H47" s="19"/>
      <c r="I47" s="21"/>
      <c r="J47" s="19"/>
      <c r="K47" s="19"/>
      <c r="L47" s="19"/>
      <c r="M47" s="21"/>
      <c r="N47" s="19"/>
      <c r="O47" s="19"/>
      <c r="P47" s="19"/>
      <c r="Q47" s="25"/>
      <c r="R47" s="19"/>
      <c r="S47" s="19"/>
      <c r="T47" s="21"/>
      <c r="U47" s="19"/>
      <c r="V47" s="19"/>
      <c r="W47" s="19"/>
      <c r="X47" s="19"/>
      <c r="Y47" s="19"/>
      <c r="Z47" s="19"/>
      <c r="AA47" s="19"/>
      <c r="AB47" s="21"/>
      <c r="AC47" s="21"/>
      <c r="AD47" s="21"/>
      <c r="AE47" s="23"/>
      <c r="AF47" s="23"/>
      <c r="AG47" s="24"/>
    </row>
    <row r="48">
      <c r="A48" s="8">
        <v>43.0</v>
      </c>
      <c r="B48" s="23"/>
      <c r="C48" s="23"/>
      <c r="D48" s="23"/>
      <c r="E48" s="23"/>
      <c r="F48" s="19"/>
      <c r="G48" s="19"/>
      <c r="H48" s="19"/>
      <c r="I48" s="21"/>
      <c r="J48" s="19"/>
      <c r="K48" s="19"/>
      <c r="L48" s="19"/>
      <c r="M48" s="21"/>
      <c r="N48" s="19"/>
      <c r="O48" s="19"/>
      <c r="P48" s="19"/>
      <c r="Q48" s="25"/>
      <c r="R48" s="19"/>
      <c r="S48" s="19"/>
      <c r="T48" s="21"/>
      <c r="U48" s="19"/>
      <c r="V48" s="19"/>
      <c r="W48" s="19"/>
      <c r="X48" s="19"/>
      <c r="Y48" s="19"/>
      <c r="Z48" s="19"/>
      <c r="AA48" s="19"/>
      <c r="AB48" s="21"/>
      <c r="AC48" s="21"/>
      <c r="AD48" s="21"/>
      <c r="AE48" s="23"/>
      <c r="AF48" s="23"/>
      <c r="AG48" s="24"/>
    </row>
    <row r="49">
      <c r="A49" s="8">
        <v>44.0</v>
      </c>
      <c r="B49" s="23"/>
      <c r="C49" s="23"/>
      <c r="D49" s="23"/>
      <c r="E49" s="23"/>
      <c r="F49" s="19"/>
      <c r="G49" s="19"/>
      <c r="H49" s="19"/>
      <c r="I49" s="21"/>
      <c r="J49" s="19"/>
      <c r="K49" s="19"/>
      <c r="L49" s="19"/>
      <c r="M49" s="21"/>
      <c r="N49" s="19"/>
      <c r="O49" s="19"/>
      <c r="P49" s="19"/>
      <c r="Q49" s="25"/>
      <c r="R49" s="19"/>
      <c r="S49" s="19"/>
      <c r="T49" s="21"/>
      <c r="U49" s="19"/>
      <c r="V49" s="19"/>
      <c r="W49" s="19"/>
      <c r="X49" s="19"/>
      <c r="Y49" s="19"/>
      <c r="Z49" s="19"/>
      <c r="AA49" s="19"/>
      <c r="AB49" s="21"/>
      <c r="AC49" s="21"/>
      <c r="AD49" s="21"/>
      <c r="AE49" s="23"/>
      <c r="AF49" s="23"/>
      <c r="AG49" s="24"/>
    </row>
    <row r="50">
      <c r="A50" s="8">
        <v>45.0</v>
      </c>
      <c r="B50" s="23"/>
      <c r="C50" s="23"/>
      <c r="D50" s="23"/>
      <c r="E50" s="23"/>
      <c r="F50" s="19"/>
      <c r="G50" s="19"/>
      <c r="H50" s="19"/>
      <c r="I50" s="21"/>
      <c r="J50" s="19"/>
      <c r="K50" s="19"/>
      <c r="L50" s="19"/>
      <c r="M50" s="21"/>
      <c r="N50" s="19"/>
      <c r="O50" s="19"/>
      <c r="P50" s="19"/>
      <c r="Q50" s="25"/>
      <c r="R50" s="19"/>
      <c r="S50" s="19"/>
      <c r="T50" s="21"/>
      <c r="U50" s="19"/>
      <c r="V50" s="19"/>
      <c r="W50" s="19"/>
      <c r="X50" s="19"/>
      <c r="Y50" s="19"/>
      <c r="Z50" s="19"/>
      <c r="AA50" s="19"/>
      <c r="AB50" s="21"/>
      <c r="AC50" s="21"/>
      <c r="AD50" s="21"/>
      <c r="AE50" s="23"/>
      <c r="AF50" s="23"/>
      <c r="AG50" s="24"/>
    </row>
    <row r="51">
      <c r="A51" s="8">
        <v>46.0</v>
      </c>
      <c r="B51" s="23"/>
      <c r="C51" s="23"/>
      <c r="D51" s="23"/>
      <c r="E51" s="23"/>
      <c r="F51" s="19"/>
      <c r="G51" s="19"/>
      <c r="H51" s="19"/>
      <c r="I51" s="21"/>
      <c r="J51" s="19"/>
      <c r="K51" s="19"/>
      <c r="L51" s="19"/>
      <c r="M51" s="21"/>
      <c r="N51" s="19"/>
      <c r="O51" s="19"/>
      <c r="P51" s="19"/>
      <c r="Q51" s="25"/>
      <c r="R51" s="19"/>
      <c r="S51" s="19"/>
      <c r="T51" s="21"/>
      <c r="U51" s="19"/>
      <c r="V51" s="19"/>
      <c r="W51" s="19"/>
      <c r="X51" s="19"/>
      <c r="Y51" s="19"/>
      <c r="Z51" s="19"/>
      <c r="AA51" s="19"/>
      <c r="AB51" s="21"/>
      <c r="AC51" s="21"/>
      <c r="AD51" s="21"/>
      <c r="AE51" s="23"/>
      <c r="AF51" s="23"/>
      <c r="AG51" s="24"/>
    </row>
    <row r="52">
      <c r="A52" s="8">
        <v>47.0</v>
      </c>
      <c r="B52" s="23"/>
      <c r="C52" s="23"/>
      <c r="D52" s="23"/>
      <c r="E52" s="23"/>
      <c r="F52" s="19"/>
      <c r="G52" s="19"/>
      <c r="H52" s="19"/>
      <c r="I52" s="21"/>
      <c r="J52" s="19"/>
      <c r="K52" s="19"/>
      <c r="L52" s="19"/>
      <c r="M52" s="21"/>
      <c r="N52" s="19"/>
      <c r="O52" s="19"/>
      <c r="P52" s="19"/>
      <c r="Q52" s="25"/>
      <c r="R52" s="19"/>
      <c r="S52" s="19"/>
      <c r="T52" s="21"/>
      <c r="U52" s="19"/>
      <c r="V52" s="19"/>
      <c r="W52" s="19"/>
      <c r="X52" s="19"/>
      <c r="Y52" s="19"/>
      <c r="Z52" s="19"/>
      <c r="AA52" s="19"/>
      <c r="AB52" s="21"/>
      <c r="AC52" s="21"/>
      <c r="AD52" s="21"/>
      <c r="AE52" s="23"/>
      <c r="AF52" s="23"/>
      <c r="AG52" s="24"/>
    </row>
    <row r="53">
      <c r="A53" s="8">
        <v>48.0</v>
      </c>
      <c r="B53" s="23"/>
      <c r="C53" s="23"/>
      <c r="D53" s="23"/>
      <c r="E53" s="23"/>
      <c r="F53" s="19"/>
      <c r="G53" s="19"/>
      <c r="H53" s="19"/>
      <c r="I53" s="21"/>
      <c r="J53" s="19"/>
      <c r="K53" s="19"/>
      <c r="L53" s="19"/>
      <c r="M53" s="21"/>
      <c r="N53" s="19"/>
      <c r="O53" s="19"/>
      <c r="P53" s="19"/>
      <c r="Q53" s="25"/>
      <c r="R53" s="19"/>
      <c r="S53" s="19"/>
      <c r="T53" s="21"/>
      <c r="U53" s="19"/>
      <c r="V53" s="19"/>
      <c r="W53" s="19"/>
      <c r="X53" s="19"/>
      <c r="Y53" s="19"/>
      <c r="Z53" s="19"/>
      <c r="AA53" s="19"/>
      <c r="AB53" s="21"/>
      <c r="AC53" s="21"/>
      <c r="AD53" s="21"/>
      <c r="AE53" s="23"/>
      <c r="AF53" s="23"/>
      <c r="AG53" s="24"/>
    </row>
    <row r="54">
      <c r="A54" s="8">
        <v>49.0</v>
      </c>
      <c r="B54" s="23"/>
      <c r="C54" s="23"/>
      <c r="D54" s="23"/>
      <c r="E54" s="23"/>
      <c r="F54" s="19"/>
      <c r="G54" s="19"/>
      <c r="H54" s="19"/>
      <c r="I54" s="21"/>
      <c r="J54" s="19"/>
      <c r="K54" s="19"/>
      <c r="L54" s="19"/>
      <c r="M54" s="21"/>
      <c r="N54" s="19"/>
      <c r="O54" s="19"/>
      <c r="P54" s="19"/>
      <c r="Q54" s="25"/>
      <c r="R54" s="19"/>
      <c r="S54" s="19"/>
      <c r="T54" s="21"/>
      <c r="U54" s="19"/>
      <c r="V54" s="19"/>
      <c r="W54" s="19"/>
      <c r="X54" s="19"/>
      <c r="Y54" s="19"/>
      <c r="Z54" s="19"/>
      <c r="AA54" s="19"/>
      <c r="AB54" s="21"/>
      <c r="AC54" s="21"/>
      <c r="AD54" s="21"/>
      <c r="AE54" s="23"/>
      <c r="AF54" s="23"/>
      <c r="AG54" s="24"/>
    </row>
    <row r="55">
      <c r="A55" s="8">
        <v>50.0</v>
      </c>
      <c r="B55" s="23"/>
      <c r="C55" s="23"/>
      <c r="D55" s="23"/>
      <c r="E55" s="23"/>
      <c r="F55" s="19"/>
      <c r="G55" s="19"/>
      <c r="H55" s="19"/>
      <c r="I55" s="21"/>
      <c r="J55" s="19"/>
      <c r="K55" s="19"/>
      <c r="L55" s="19"/>
      <c r="M55" s="21"/>
      <c r="N55" s="19"/>
      <c r="O55" s="19"/>
      <c r="P55" s="19"/>
      <c r="Q55" s="25"/>
      <c r="R55" s="19"/>
      <c r="S55" s="19"/>
      <c r="T55" s="21"/>
      <c r="U55" s="19"/>
      <c r="V55" s="19"/>
      <c r="W55" s="19"/>
      <c r="X55" s="19"/>
      <c r="Y55" s="19"/>
      <c r="Z55" s="19"/>
      <c r="AA55" s="19"/>
      <c r="AB55" s="21"/>
      <c r="AC55" s="21"/>
      <c r="AD55" s="21"/>
      <c r="AE55" s="23"/>
      <c r="AF55" s="23"/>
      <c r="AG55" s="24"/>
    </row>
  </sheetData>
  <dataValidations>
    <dataValidation type="list" allowBlank="1" showErrorMessage="1" sqref="O4:O55">
      <formula1>Ref!$O$2:$O$5</formula1>
    </dataValidation>
    <dataValidation type="list" allowBlank="1" showErrorMessage="1" sqref="R4:R55">
      <formula1>Ref!$R$2:$R$3</formula1>
    </dataValidation>
    <dataValidation type="list" allowBlank="1" showErrorMessage="1" sqref="F4:F55">
      <formula1>Ref!$F$2:$F$307</formula1>
    </dataValidation>
    <dataValidation type="list" allowBlank="1" showErrorMessage="1" sqref="N4:N55">
      <formula1>Ref!$N$2:$N$6</formula1>
    </dataValidation>
    <dataValidation type="list" allowBlank="1" showErrorMessage="1" sqref="AA4:AA55">
      <formula1>Ref!$AA$2:$AA$33</formula1>
    </dataValidation>
    <dataValidation type="list" allowBlank="1" showErrorMessage="1" sqref="X4:X55">
      <formula1>Ref!$X$2:$X$6</formula1>
    </dataValidation>
    <dataValidation type="list" allowBlank="1" showErrorMessage="1" sqref="Y4:Y55">
      <formula1>Ref!$Y$2:$Y$8</formula1>
    </dataValidation>
    <dataValidation type="list" allowBlank="1" showErrorMessage="1" sqref="G4:G55">
      <formula1>Ref!$G$2:$G$5</formula1>
    </dataValidation>
    <dataValidation type="list" allowBlank="1" showErrorMessage="1" sqref="K4:K55">
      <formula1>Ref!$K$2:$K$3</formula1>
    </dataValidation>
    <dataValidation type="list" allowBlank="1" showErrorMessage="1" sqref="S4:S55">
      <formula1>Ref!$S$2:$S$3</formula1>
    </dataValidation>
    <dataValidation type="list" allowBlank="1" showErrorMessage="1" sqref="V4:V55">
      <formula1>Ref!$V$2:$V$3</formula1>
    </dataValidation>
    <dataValidation type="list" allowBlank="1" showErrorMessage="1" sqref="P4:P55">
      <formula1>Ref!$P$2:$P$5</formula1>
    </dataValidation>
    <dataValidation type="list" allowBlank="1" showErrorMessage="1" sqref="J4:J55">
      <formula1>Ref!$J$2:$J$5</formula1>
    </dataValidation>
    <dataValidation type="list" allowBlank="1" showErrorMessage="1" sqref="U4:U55">
      <formula1>Ref!$U$2:$U$4</formula1>
    </dataValidation>
    <dataValidation type="list" allowBlank="1" showErrorMessage="1" sqref="L4:L55">
      <formula1>Ref!$L$2:$L$6</formula1>
    </dataValidation>
  </dataValidations>
  <hyperlinks>
    <hyperlink r:id="rId1" ref="Q4"/>
    <hyperlink r:id="rId2" ref="AB4"/>
    <hyperlink r:id="rId3" ref="Q5"/>
    <hyperlink r:id="rId4" ref="Q6"/>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hidden="1" min="1" max="1" width="3.13"/>
    <col customWidth="1" hidden="1" min="2" max="2" width="12.25"/>
    <col customWidth="1" hidden="1" min="3" max="3" width="21.63"/>
    <col customWidth="1" hidden="1" min="4" max="4" width="18.0"/>
    <col hidden="1" min="5" max="5" width="12.63"/>
    <col customWidth="1" min="6" max="6" width="73.63"/>
    <col hidden="1" min="7" max="14" width="12.63"/>
    <col customWidth="1" hidden="1" min="15" max="15" width="15.88"/>
    <col hidden="1" min="16" max="30" width="12.63"/>
    <col customWidth="1" min="32" max="32" width="15.63"/>
    <col customWidth="1" min="33" max="33" width="15.5"/>
  </cols>
  <sheetData>
    <row r="1">
      <c r="A1" s="26" t="s">
        <v>0</v>
      </c>
      <c r="B1" s="26" t="s">
        <v>1</v>
      </c>
      <c r="C1" s="26" t="s">
        <v>2</v>
      </c>
      <c r="D1" s="26" t="s">
        <v>3</v>
      </c>
      <c r="E1" s="26" t="s">
        <v>4</v>
      </c>
      <c r="F1" s="27" t="s">
        <v>132</v>
      </c>
      <c r="G1" s="26" t="s">
        <v>6</v>
      </c>
      <c r="H1" s="26" t="s">
        <v>7</v>
      </c>
      <c r="I1" s="26" t="s">
        <v>8</v>
      </c>
      <c r="J1" s="26" t="s">
        <v>9</v>
      </c>
      <c r="K1" s="26" t="s">
        <v>10</v>
      </c>
      <c r="L1" s="26" t="s">
        <v>11</v>
      </c>
      <c r="M1" s="26" t="s">
        <v>12</v>
      </c>
      <c r="N1" s="26" t="s">
        <v>13</v>
      </c>
      <c r="O1" s="26" t="s">
        <v>14</v>
      </c>
      <c r="P1" s="26" t="s">
        <v>15</v>
      </c>
      <c r="Q1" s="26" t="s">
        <v>16</v>
      </c>
      <c r="R1" s="26" t="s">
        <v>17</v>
      </c>
      <c r="S1" s="26" t="s">
        <v>18</v>
      </c>
      <c r="T1" s="26" t="s">
        <v>19</v>
      </c>
      <c r="U1" s="26" t="s">
        <v>20</v>
      </c>
      <c r="V1" s="26" t="s">
        <v>21</v>
      </c>
      <c r="W1" s="26" t="s">
        <v>22</v>
      </c>
      <c r="X1" s="26" t="s">
        <v>23</v>
      </c>
      <c r="Y1" s="26" t="s">
        <v>24</v>
      </c>
      <c r="Z1" s="26" t="s">
        <v>133</v>
      </c>
      <c r="AA1" s="26" t="s">
        <v>26</v>
      </c>
      <c r="AB1" s="26" t="s">
        <v>27</v>
      </c>
      <c r="AC1" s="26" t="s">
        <v>28</v>
      </c>
      <c r="AD1" s="26" t="s">
        <v>29</v>
      </c>
      <c r="AE1" s="26"/>
      <c r="AF1" s="26" t="s">
        <v>134</v>
      </c>
      <c r="AG1" s="26" t="s">
        <v>135</v>
      </c>
    </row>
    <row r="2">
      <c r="E2" s="26" t="s">
        <v>136</v>
      </c>
      <c r="F2" s="28" t="s">
        <v>137</v>
      </c>
      <c r="G2" s="26" t="s">
        <v>138</v>
      </c>
      <c r="J2" s="26" t="s">
        <v>91</v>
      </c>
      <c r="K2" s="26" t="s">
        <v>70</v>
      </c>
      <c r="L2" s="26" t="s">
        <v>71</v>
      </c>
      <c r="N2" s="26" t="s">
        <v>73</v>
      </c>
      <c r="O2" s="26" t="s">
        <v>73</v>
      </c>
      <c r="P2" s="26" t="s">
        <v>95</v>
      </c>
      <c r="R2" s="26" t="s">
        <v>76</v>
      </c>
      <c r="S2" s="26" t="s">
        <v>97</v>
      </c>
      <c r="U2" s="26" t="s">
        <v>78</v>
      </c>
      <c r="V2" s="26" t="s">
        <v>98</v>
      </c>
      <c r="X2" s="26" t="s">
        <v>100</v>
      </c>
      <c r="Y2" s="26" t="s">
        <v>139</v>
      </c>
      <c r="AA2" s="26" t="s">
        <v>140</v>
      </c>
    </row>
    <row r="3">
      <c r="E3" s="26" t="s">
        <v>141</v>
      </c>
      <c r="F3" s="28" t="s">
        <v>142</v>
      </c>
      <c r="G3" s="26" t="s">
        <v>66</v>
      </c>
      <c r="J3" s="26" t="s">
        <v>69</v>
      </c>
      <c r="K3" s="26" t="s">
        <v>110</v>
      </c>
      <c r="L3" s="26" t="s">
        <v>143</v>
      </c>
      <c r="N3" s="26" t="s">
        <v>144</v>
      </c>
      <c r="O3" s="26" t="s">
        <v>144</v>
      </c>
      <c r="P3" s="26" t="s">
        <v>145</v>
      </c>
      <c r="R3" s="26" t="s">
        <v>146</v>
      </c>
      <c r="S3" s="26" t="s">
        <v>77</v>
      </c>
      <c r="U3" s="26" t="s">
        <v>147</v>
      </c>
      <c r="V3" s="26" t="s">
        <v>79</v>
      </c>
      <c r="X3" s="26" t="s">
        <v>148</v>
      </c>
      <c r="Y3" s="26" t="s">
        <v>71</v>
      </c>
      <c r="AA3" s="26" t="s">
        <v>149</v>
      </c>
    </row>
    <row r="4">
      <c r="F4" s="28" t="s">
        <v>150</v>
      </c>
      <c r="G4" s="26" t="s">
        <v>131</v>
      </c>
      <c r="J4" s="26" t="s">
        <v>151</v>
      </c>
      <c r="L4" s="26" t="s">
        <v>152</v>
      </c>
      <c r="N4" s="26" t="s">
        <v>82</v>
      </c>
      <c r="O4" s="26" t="s">
        <v>113</v>
      </c>
      <c r="P4" s="26" t="s">
        <v>153</v>
      </c>
      <c r="U4" s="26" t="s">
        <v>154</v>
      </c>
      <c r="X4" s="26" t="s">
        <v>155</v>
      </c>
      <c r="Y4" s="26" t="s">
        <v>143</v>
      </c>
      <c r="AA4" s="26" t="s">
        <v>156</v>
      </c>
    </row>
    <row r="5">
      <c r="F5" s="28" t="s">
        <v>157</v>
      </c>
      <c r="G5" s="26" t="s">
        <v>123</v>
      </c>
      <c r="J5" s="26" t="s">
        <v>158</v>
      </c>
      <c r="L5" s="26" t="s">
        <v>111</v>
      </c>
      <c r="N5" s="26" t="s">
        <v>26</v>
      </c>
      <c r="O5" s="26" t="s">
        <v>94</v>
      </c>
      <c r="P5" s="26" t="s">
        <v>74</v>
      </c>
      <c r="X5" s="26" t="s">
        <v>159</v>
      </c>
      <c r="Y5" s="26" t="s">
        <v>152</v>
      </c>
      <c r="AA5" s="26" t="s">
        <v>160</v>
      </c>
    </row>
    <row r="6">
      <c r="F6" s="28" t="s">
        <v>161</v>
      </c>
      <c r="L6" s="26" t="s">
        <v>101</v>
      </c>
      <c r="N6" s="26" t="s">
        <v>93</v>
      </c>
      <c r="X6" s="26" t="s">
        <v>80</v>
      </c>
      <c r="Y6" s="26" t="s">
        <v>111</v>
      </c>
      <c r="AA6" s="26" t="s">
        <v>162</v>
      </c>
    </row>
    <row r="7">
      <c r="F7" s="28" t="s">
        <v>163</v>
      </c>
      <c r="Y7" s="26" t="s">
        <v>101</v>
      </c>
      <c r="AA7" s="26" t="s">
        <v>164</v>
      </c>
    </row>
    <row r="8">
      <c r="F8" s="28" t="s">
        <v>165</v>
      </c>
      <c r="Y8" s="26" t="s">
        <v>80</v>
      </c>
      <c r="AA8" s="26" t="s">
        <v>166</v>
      </c>
    </row>
    <row r="9">
      <c r="F9" s="28" t="s">
        <v>167</v>
      </c>
      <c r="AA9" s="26" t="s">
        <v>168</v>
      </c>
    </row>
    <row r="10">
      <c r="F10" s="28" t="s">
        <v>169</v>
      </c>
      <c r="AA10" s="26" t="s">
        <v>170</v>
      </c>
    </row>
    <row r="11">
      <c r="F11" s="28" t="s">
        <v>171</v>
      </c>
      <c r="AA11" s="26" t="s">
        <v>172</v>
      </c>
    </row>
    <row r="12">
      <c r="F12" s="28" t="s">
        <v>173</v>
      </c>
      <c r="AA12" s="26" t="s">
        <v>174</v>
      </c>
    </row>
    <row r="13">
      <c r="F13" s="28" t="s">
        <v>175</v>
      </c>
      <c r="AA13" s="26" t="s">
        <v>176</v>
      </c>
    </row>
    <row r="14">
      <c r="F14" s="28" t="s">
        <v>177</v>
      </c>
      <c r="AA14" s="26" t="s">
        <v>178</v>
      </c>
    </row>
    <row r="15">
      <c r="F15" s="28" t="s">
        <v>179</v>
      </c>
      <c r="AA15" s="26" t="s">
        <v>180</v>
      </c>
    </row>
    <row r="16">
      <c r="F16" s="28" t="s">
        <v>181</v>
      </c>
      <c r="AA16" s="26" t="s">
        <v>82</v>
      </c>
    </row>
    <row r="17">
      <c r="F17" s="28" t="s">
        <v>182</v>
      </c>
      <c r="AA17" s="26" t="s">
        <v>183</v>
      </c>
    </row>
    <row r="18">
      <c r="F18" s="28" t="s">
        <v>184</v>
      </c>
      <c r="AA18" s="26" t="s">
        <v>185</v>
      </c>
    </row>
    <row r="19">
      <c r="F19" s="28" t="s">
        <v>186</v>
      </c>
      <c r="AA19" s="26" t="s">
        <v>187</v>
      </c>
    </row>
    <row r="20">
      <c r="F20" s="28" t="s">
        <v>188</v>
      </c>
      <c r="AA20" s="26" t="s">
        <v>189</v>
      </c>
    </row>
    <row r="21">
      <c r="F21" s="28" t="s">
        <v>190</v>
      </c>
      <c r="AA21" s="26" t="s">
        <v>191</v>
      </c>
    </row>
    <row r="22">
      <c r="F22" s="28" t="s">
        <v>192</v>
      </c>
      <c r="AA22" s="26" t="s">
        <v>193</v>
      </c>
    </row>
    <row r="23">
      <c r="F23" s="28" t="s">
        <v>194</v>
      </c>
      <c r="AA23" s="26" t="s">
        <v>195</v>
      </c>
    </row>
    <row r="24">
      <c r="F24" s="28" t="s">
        <v>196</v>
      </c>
      <c r="AA24" s="26" t="s">
        <v>197</v>
      </c>
    </row>
    <row r="25">
      <c r="F25" s="28" t="s">
        <v>198</v>
      </c>
      <c r="AA25" s="26" t="s">
        <v>199</v>
      </c>
    </row>
    <row r="26">
      <c r="F26" s="28" t="s">
        <v>200</v>
      </c>
      <c r="AA26" s="26" t="s">
        <v>201</v>
      </c>
    </row>
    <row r="27">
      <c r="F27" s="28" t="s">
        <v>202</v>
      </c>
      <c r="AA27" s="26" t="s">
        <v>203</v>
      </c>
    </row>
    <row r="28">
      <c r="F28" s="28" t="s">
        <v>204</v>
      </c>
      <c r="AA28" s="26" t="s">
        <v>205</v>
      </c>
    </row>
    <row r="29">
      <c r="F29" s="28" t="s">
        <v>206</v>
      </c>
      <c r="AA29" s="26" t="s">
        <v>207</v>
      </c>
    </row>
    <row r="30">
      <c r="F30" s="28" t="s">
        <v>208</v>
      </c>
      <c r="AA30" s="26" t="s">
        <v>209</v>
      </c>
    </row>
    <row r="31">
      <c r="F31" s="28" t="s">
        <v>210</v>
      </c>
      <c r="AA31" s="26" t="s">
        <v>211</v>
      </c>
    </row>
    <row r="32">
      <c r="F32" s="28" t="s">
        <v>212</v>
      </c>
      <c r="AA32" s="26" t="s">
        <v>213</v>
      </c>
    </row>
    <row r="33">
      <c r="F33" s="28" t="s">
        <v>214</v>
      </c>
      <c r="AA33" s="26" t="s">
        <v>215</v>
      </c>
    </row>
    <row r="34">
      <c r="F34" s="28" t="s">
        <v>216</v>
      </c>
    </row>
    <row r="35">
      <c r="F35" s="28" t="s">
        <v>217</v>
      </c>
    </row>
    <row r="36">
      <c r="F36" s="28" t="s">
        <v>218</v>
      </c>
    </row>
    <row r="37">
      <c r="F37" s="28" t="s">
        <v>219</v>
      </c>
    </row>
    <row r="38">
      <c r="F38" s="28" t="s">
        <v>220</v>
      </c>
    </row>
    <row r="39">
      <c r="F39" s="28" t="s">
        <v>221</v>
      </c>
    </row>
    <row r="40">
      <c r="F40" s="28" t="s">
        <v>222</v>
      </c>
    </row>
    <row r="41">
      <c r="F41" s="28" t="s">
        <v>223</v>
      </c>
    </row>
    <row r="42">
      <c r="F42" s="28" t="s">
        <v>224</v>
      </c>
    </row>
    <row r="43">
      <c r="F43" s="28" t="s">
        <v>225</v>
      </c>
    </row>
    <row r="44">
      <c r="F44" s="28" t="s">
        <v>226</v>
      </c>
    </row>
    <row r="45">
      <c r="F45" s="28" t="s">
        <v>227</v>
      </c>
    </row>
    <row r="46">
      <c r="F46" s="28" t="s">
        <v>228</v>
      </c>
    </row>
    <row r="47">
      <c r="F47" s="28" t="s">
        <v>229</v>
      </c>
    </row>
    <row r="48">
      <c r="F48" s="28" t="s">
        <v>230</v>
      </c>
    </row>
    <row r="49">
      <c r="F49" s="28" t="s">
        <v>231</v>
      </c>
    </row>
    <row r="50">
      <c r="F50" s="28" t="s">
        <v>232</v>
      </c>
    </row>
    <row r="51">
      <c r="F51" s="28" t="s">
        <v>233</v>
      </c>
    </row>
    <row r="52">
      <c r="F52" s="28" t="s">
        <v>234</v>
      </c>
    </row>
    <row r="53">
      <c r="F53" s="28" t="s">
        <v>235</v>
      </c>
    </row>
    <row r="54">
      <c r="F54" s="28" t="s">
        <v>236</v>
      </c>
    </row>
    <row r="55">
      <c r="F55" s="28" t="s">
        <v>237</v>
      </c>
    </row>
    <row r="56">
      <c r="F56" s="28" t="s">
        <v>238</v>
      </c>
    </row>
    <row r="57">
      <c r="F57" s="28" t="s">
        <v>239</v>
      </c>
    </row>
    <row r="58">
      <c r="F58" s="28" t="s">
        <v>240</v>
      </c>
    </row>
    <row r="59">
      <c r="F59" s="28" t="s">
        <v>241</v>
      </c>
    </row>
    <row r="60">
      <c r="F60" s="28" t="s">
        <v>242</v>
      </c>
    </row>
    <row r="61">
      <c r="F61" s="28" t="s">
        <v>243</v>
      </c>
    </row>
    <row r="62">
      <c r="F62" s="28" t="s">
        <v>244</v>
      </c>
    </row>
    <row r="63">
      <c r="F63" s="28" t="s">
        <v>245</v>
      </c>
    </row>
    <row r="64">
      <c r="F64" s="28" t="s">
        <v>246</v>
      </c>
    </row>
    <row r="65">
      <c r="F65" s="28" t="s">
        <v>247</v>
      </c>
    </row>
    <row r="66">
      <c r="F66" s="28" t="s">
        <v>248</v>
      </c>
    </row>
    <row r="67">
      <c r="F67" s="28" t="s">
        <v>249</v>
      </c>
    </row>
    <row r="68">
      <c r="F68" s="28" t="s">
        <v>250</v>
      </c>
    </row>
    <row r="69">
      <c r="F69" s="28" t="s">
        <v>251</v>
      </c>
    </row>
    <row r="70">
      <c r="F70" s="28" t="s">
        <v>252</v>
      </c>
    </row>
    <row r="71">
      <c r="F71" s="28" t="s">
        <v>253</v>
      </c>
    </row>
    <row r="72">
      <c r="F72" s="28" t="s">
        <v>254</v>
      </c>
    </row>
    <row r="73">
      <c r="F73" s="28" t="s">
        <v>255</v>
      </c>
    </row>
    <row r="74">
      <c r="F74" s="28" t="s">
        <v>256</v>
      </c>
    </row>
    <row r="75">
      <c r="F75" s="28" t="s">
        <v>257</v>
      </c>
    </row>
    <row r="76">
      <c r="F76" s="28" t="s">
        <v>258</v>
      </c>
    </row>
    <row r="77">
      <c r="F77" s="28" t="s">
        <v>259</v>
      </c>
    </row>
    <row r="78">
      <c r="F78" s="28" t="s">
        <v>260</v>
      </c>
    </row>
    <row r="79">
      <c r="F79" s="28" t="s">
        <v>261</v>
      </c>
    </row>
    <row r="80">
      <c r="F80" s="28" t="s">
        <v>262</v>
      </c>
    </row>
    <row r="81">
      <c r="F81" s="28" t="s">
        <v>263</v>
      </c>
    </row>
    <row r="82">
      <c r="F82" s="28" t="s">
        <v>264</v>
      </c>
    </row>
    <row r="83">
      <c r="F83" s="28" t="s">
        <v>265</v>
      </c>
    </row>
    <row r="84">
      <c r="F84" s="28" t="s">
        <v>266</v>
      </c>
    </row>
    <row r="85">
      <c r="F85" s="28" t="s">
        <v>267</v>
      </c>
    </row>
    <row r="86">
      <c r="F86" s="28" t="s">
        <v>268</v>
      </c>
    </row>
    <row r="87">
      <c r="F87" s="28" t="s">
        <v>269</v>
      </c>
    </row>
    <row r="88">
      <c r="F88" s="28" t="s">
        <v>270</v>
      </c>
    </row>
    <row r="89">
      <c r="F89" s="28" t="s">
        <v>271</v>
      </c>
    </row>
    <row r="90">
      <c r="F90" s="28" t="s">
        <v>272</v>
      </c>
    </row>
    <row r="91">
      <c r="F91" s="28" t="s">
        <v>273</v>
      </c>
    </row>
    <row r="92">
      <c r="F92" s="28" t="s">
        <v>274</v>
      </c>
    </row>
    <row r="93">
      <c r="F93" s="28" t="s">
        <v>275</v>
      </c>
    </row>
    <row r="94">
      <c r="F94" s="28" t="s">
        <v>276</v>
      </c>
    </row>
    <row r="95">
      <c r="F95" s="28" t="s">
        <v>277</v>
      </c>
    </row>
    <row r="96">
      <c r="F96" s="28" t="s">
        <v>278</v>
      </c>
    </row>
    <row r="97">
      <c r="F97" s="28" t="s">
        <v>279</v>
      </c>
    </row>
    <row r="98">
      <c r="F98" s="28" t="s">
        <v>280</v>
      </c>
    </row>
    <row r="99">
      <c r="F99" s="28" t="s">
        <v>281</v>
      </c>
    </row>
    <row r="100">
      <c r="F100" s="28" t="s">
        <v>282</v>
      </c>
    </row>
    <row r="101">
      <c r="F101" s="28" t="s">
        <v>283</v>
      </c>
    </row>
    <row r="102">
      <c r="F102" s="28" t="s">
        <v>284</v>
      </c>
    </row>
    <row r="103">
      <c r="F103" s="28" t="s">
        <v>285</v>
      </c>
    </row>
    <row r="104">
      <c r="F104" s="28" t="s">
        <v>286</v>
      </c>
    </row>
    <row r="105">
      <c r="F105" s="28" t="s">
        <v>287</v>
      </c>
    </row>
    <row r="106">
      <c r="F106" s="28" t="s">
        <v>288</v>
      </c>
    </row>
    <row r="107">
      <c r="F107" s="28" t="s">
        <v>289</v>
      </c>
    </row>
    <row r="108">
      <c r="F108" s="28" t="s">
        <v>290</v>
      </c>
    </row>
    <row r="109">
      <c r="F109" s="28" t="s">
        <v>291</v>
      </c>
    </row>
    <row r="110">
      <c r="F110" s="28" t="s">
        <v>292</v>
      </c>
    </row>
    <row r="111">
      <c r="F111" s="28" t="s">
        <v>293</v>
      </c>
    </row>
    <row r="112">
      <c r="F112" s="28" t="s">
        <v>294</v>
      </c>
    </row>
    <row r="113">
      <c r="F113" s="28" t="s">
        <v>295</v>
      </c>
    </row>
    <row r="114">
      <c r="F114" s="28" t="s">
        <v>296</v>
      </c>
    </row>
    <row r="115">
      <c r="F115" s="28" t="s">
        <v>297</v>
      </c>
    </row>
    <row r="116">
      <c r="F116" s="28" t="s">
        <v>298</v>
      </c>
    </row>
    <row r="117">
      <c r="F117" s="28" t="s">
        <v>299</v>
      </c>
    </row>
    <row r="118">
      <c r="F118" s="28" t="s">
        <v>300</v>
      </c>
    </row>
    <row r="119">
      <c r="F119" s="28" t="s">
        <v>301</v>
      </c>
    </row>
    <row r="120">
      <c r="F120" s="28" t="s">
        <v>302</v>
      </c>
    </row>
    <row r="121">
      <c r="F121" s="28" t="s">
        <v>303</v>
      </c>
    </row>
    <row r="122">
      <c r="F122" s="28" t="s">
        <v>304</v>
      </c>
    </row>
    <row r="123">
      <c r="F123" s="28" t="s">
        <v>305</v>
      </c>
    </row>
    <row r="124">
      <c r="F124" s="28" t="s">
        <v>306</v>
      </c>
    </row>
    <row r="125">
      <c r="F125" s="28" t="s">
        <v>307</v>
      </c>
    </row>
    <row r="126">
      <c r="F126" s="28" t="s">
        <v>308</v>
      </c>
    </row>
    <row r="127">
      <c r="F127" s="28" t="s">
        <v>309</v>
      </c>
    </row>
    <row r="128">
      <c r="F128" s="28" t="s">
        <v>310</v>
      </c>
    </row>
    <row r="129">
      <c r="F129" s="28" t="s">
        <v>311</v>
      </c>
    </row>
    <row r="130">
      <c r="F130" s="28" t="s">
        <v>312</v>
      </c>
    </row>
    <row r="131">
      <c r="F131" s="28" t="s">
        <v>313</v>
      </c>
    </row>
    <row r="132">
      <c r="F132" s="28" t="s">
        <v>314</v>
      </c>
    </row>
    <row r="133">
      <c r="F133" s="28" t="s">
        <v>315</v>
      </c>
    </row>
    <row r="134">
      <c r="F134" s="28" t="s">
        <v>316</v>
      </c>
    </row>
    <row r="135">
      <c r="F135" s="28" t="s">
        <v>317</v>
      </c>
    </row>
    <row r="136">
      <c r="F136" s="28" t="s">
        <v>318</v>
      </c>
    </row>
    <row r="137">
      <c r="F137" s="28" t="s">
        <v>319</v>
      </c>
    </row>
    <row r="138">
      <c r="F138" s="28" t="s">
        <v>320</v>
      </c>
    </row>
    <row r="139">
      <c r="F139" s="28" t="s">
        <v>321</v>
      </c>
    </row>
    <row r="140">
      <c r="F140" s="28" t="s">
        <v>322</v>
      </c>
    </row>
    <row r="141">
      <c r="F141" s="28" t="s">
        <v>323</v>
      </c>
    </row>
    <row r="142">
      <c r="F142" s="28" t="s">
        <v>324</v>
      </c>
    </row>
    <row r="143">
      <c r="F143" s="28" t="s">
        <v>325</v>
      </c>
    </row>
    <row r="144">
      <c r="F144" s="28" t="s">
        <v>326</v>
      </c>
    </row>
    <row r="145">
      <c r="F145" s="28" t="s">
        <v>327</v>
      </c>
    </row>
    <row r="146">
      <c r="F146" s="28" t="s">
        <v>328</v>
      </c>
    </row>
    <row r="147">
      <c r="F147" s="28" t="s">
        <v>329</v>
      </c>
    </row>
    <row r="148">
      <c r="F148" s="28" t="s">
        <v>330</v>
      </c>
    </row>
    <row r="149">
      <c r="F149" s="28" t="s">
        <v>331</v>
      </c>
    </row>
    <row r="150">
      <c r="F150" s="28" t="s">
        <v>332</v>
      </c>
    </row>
    <row r="151">
      <c r="F151" s="28" t="s">
        <v>333</v>
      </c>
    </row>
    <row r="152">
      <c r="F152" s="28" t="s">
        <v>334</v>
      </c>
    </row>
    <row r="153">
      <c r="F153" s="28" t="s">
        <v>335</v>
      </c>
    </row>
    <row r="154">
      <c r="F154" s="28" t="s">
        <v>336</v>
      </c>
    </row>
    <row r="155">
      <c r="F155" s="28" t="s">
        <v>337</v>
      </c>
    </row>
    <row r="156">
      <c r="F156" s="28" t="s">
        <v>338</v>
      </c>
    </row>
    <row r="157">
      <c r="F157" s="28" t="s">
        <v>339</v>
      </c>
    </row>
    <row r="158">
      <c r="F158" s="28" t="s">
        <v>340</v>
      </c>
    </row>
    <row r="159">
      <c r="F159" s="28" t="s">
        <v>341</v>
      </c>
    </row>
    <row r="160">
      <c r="F160" s="28" t="s">
        <v>342</v>
      </c>
    </row>
    <row r="161">
      <c r="F161" s="28" t="s">
        <v>343</v>
      </c>
    </row>
    <row r="162">
      <c r="F162" s="28" t="s">
        <v>344</v>
      </c>
    </row>
    <row r="163">
      <c r="F163" s="28" t="s">
        <v>345</v>
      </c>
    </row>
    <row r="164">
      <c r="F164" s="28" t="s">
        <v>346</v>
      </c>
    </row>
    <row r="165">
      <c r="F165" s="28" t="s">
        <v>347</v>
      </c>
    </row>
    <row r="166">
      <c r="F166" s="28" t="s">
        <v>348</v>
      </c>
    </row>
    <row r="167">
      <c r="F167" s="28" t="s">
        <v>349</v>
      </c>
    </row>
    <row r="168">
      <c r="F168" s="28" t="s">
        <v>350</v>
      </c>
    </row>
    <row r="169">
      <c r="F169" s="28" t="s">
        <v>351</v>
      </c>
    </row>
    <row r="170">
      <c r="F170" s="28" t="s">
        <v>352</v>
      </c>
    </row>
    <row r="171">
      <c r="F171" s="28" t="s">
        <v>353</v>
      </c>
    </row>
    <row r="172">
      <c r="F172" s="28" t="s">
        <v>354</v>
      </c>
    </row>
    <row r="173">
      <c r="F173" s="28" t="s">
        <v>355</v>
      </c>
    </row>
    <row r="174">
      <c r="F174" s="28" t="s">
        <v>356</v>
      </c>
    </row>
    <row r="175">
      <c r="F175" s="28" t="s">
        <v>357</v>
      </c>
    </row>
    <row r="176">
      <c r="F176" s="28" t="s">
        <v>358</v>
      </c>
    </row>
    <row r="177">
      <c r="F177" s="28" t="s">
        <v>359</v>
      </c>
    </row>
    <row r="178">
      <c r="F178" s="28" t="s">
        <v>360</v>
      </c>
    </row>
    <row r="179">
      <c r="F179" s="28" t="s">
        <v>361</v>
      </c>
    </row>
    <row r="180">
      <c r="F180" s="28" t="s">
        <v>362</v>
      </c>
    </row>
    <row r="181">
      <c r="F181" s="28" t="s">
        <v>363</v>
      </c>
    </row>
    <row r="182">
      <c r="F182" s="28" t="s">
        <v>364</v>
      </c>
    </row>
    <row r="183">
      <c r="F183" s="28" t="s">
        <v>365</v>
      </c>
    </row>
    <row r="184">
      <c r="F184" s="28" t="s">
        <v>366</v>
      </c>
    </row>
    <row r="185">
      <c r="F185" s="28" t="s">
        <v>367</v>
      </c>
    </row>
    <row r="186">
      <c r="F186" s="28" t="s">
        <v>368</v>
      </c>
    </row>
    <row r="187">
      <c r="F187" s="28" t="s">
        <v>369</v>
      </c>
    </row>
    <row r="188">
      <c r="F188" s="28" t="s">
        <v>370</v>
      </c>
    </row>
    <row r="189">
      <c r="F189" s="28" t="s">
        <v>371</v>
      </c>
    </row>
    <row r="190">
      <c r="F190" s="28" t="s">
        <v>372</v>
      </c>
    </row>
    <row r="191">
      <c r="F191" s="28" t="s">
        <v>373</v>
      </c>
    </row>
    <row r="192">
      <c r="F192" s="28" t="s">
        <v>374</v>
      </c>
    </row>
    <row r="193">
      <c r="F193" s="28" t="s">
        <v>375</v>
      </c>
    </row>
    <row r="194">
      <c r="F194" s="28" t="s">
        <v>376</v>
      </c>
    </row>
    <row r="195">
      <c r="F195" s="28" t="s">
        <v>377</v>
      </c>
    </row>
    <row r="196">
      <c r="F196" s="28" t="s">
        <v>378</v>
      </c>
    </row>
    <row r="197">
      <c r="F197" s="28" t="s">
        <v>379</v>
      </c>
    </row>
    <row r="198">
      <c r="F198" s="28" t="s">
        <v>380</v>
      </c>
    </row>
    <row r="199">
      <c r="F199" s="28" t="s">
        <v>381</v>
      </c>
    </row>
    <row r="200">
      <c r="F200" s="28" t="s">
        <v>382</v>
      </c>
    </row>
    <row r="201">
      <c r="F201" s="28" t="s">
        <v>383</v>
      </c>
    </row>
    <row r="202">
      <c r="F202" s="28" t="s">
        <v>384</v>
      </c>
    </row>
    <row r="203">
      <c r="F203" s="28" t="s">
        <v>385</v>
      </c>
    </row>
    <row r="204">
      <c r="F204" s="28" t="s">
        <v>386</v>
      </c>
    </row>
    <row r="205">
      <c r="F205" s="28" t="s">
        <v>387</v>
      </c>
    </row>
    <row r="206">
      <c r="F206" s="28" t="s">
        <v>388</v>
      </c>
    </row>
    <row r="207">
      <c r="F207" s="28" t="s">
        <v>389</v>
      </c>
    </row>
    <row r="208">
      <c r="F208" s="28" t="s">
        <v>390</v>
      </c>
    </row>
    <row r="209">
      <c r="F209" s="28" t="s">
        <v>391</v>
      </c>
    </row>
    <row r="210">
      <c r="F210" s="28" t="s">
        <v>392</v>
      </c>
    </row>
    <row r="211">
      <c r="F211" s="28" t="s">
        <v>393</v>
      </c>
    </row>
    <row r="212">
      <c r="F212" s="28" t="s">
        <v>394</v>
      </c>
    </row>
    <row r="213">
      <c r="F213" s="28" t="s">
        <v>395</v>
      </c>
    </row>
    <row r="214">
      <c r="F214" s="28" t="s">
        <v>396</v>
      </c>
    </row>
    <row r="215">
      <c r="F215" s="28" t="s">
        <v>397</v>
      </c>
    </row>
    <row r="216">
      <c r="F216" s="28" t="s">
        <v>398</v>
      </c>
    </row>
    <row r="217">
      <c r="F217" s="28" t="s">
        <v>399</v>
      </c>
    </row>
    <row r="218">
      <c r="F218" s="28" t="s">
        <v>400</v>
      </c>
    </row>
    <row r="219">
      <c r="F219" s="28" t="s">
        <v>401</v>
      </c>
    </row>
    <row r="220">
      <c r="F220" s="28" t="s">
        <v>402</v>
      </c>
    </row>
    <row r="221">
      <c r="F221" s="28" t="s">
        <v>403</v>
      </c>
    </row>
    <row r="222">
      <c r="F222" s="28" t="s">
        <v>404</v>
      </c>
    </row>
    <row r="223">
      <c r="F223" s="28" t="s">
        <v>405</v>
      </c>
    </row>
    <row r="224">
      <c r="F224" s="28" t="s">
        <v>406</v>
      </c>
    </row>
    <row r="225">
      <c r="F225" s="28" t="s">
        <v>407</v>
      </c>
    </row>
    <row r="226">
      <c r="F226" s="28" t="s">
        <v>408</v>
      </c>
    </row>
    <row r="227">
      <c r="F227" s="28" t="s">
        <v>409</v>
      </c>
    </row>
    <row r="228">
      <c r="F228" s="28" t="s">
        <v>410</v>
      </c>
    </row>
    <row r="229">
      <c r="F229" s="28" t="s">
        <v>411</v>
      </c>
    </row>
    <row r="230">
      <c r="F230" s="28" t="s">
        <v>412</v>
      </c>
    </row>
    <row r="231">
      <c r="F231" s="28" t="s">
        <v>413</v>
      </c>
    </row>
    <row r="232">
      <c r="F232" s="28" t="s">
        <v>414</v>
      </c>
    </row>
    <row r="233">
      <c r="F233" s="28" t="s">
        <v>415</v>
      </c>
    </row>
    <row r="234">
      <c r="F234" s="28" t="s">
        <v>416</v>
      </c>
    </row>
    <row r="235">
      <c r="F235" s="28" t="s">
        <v>417</v>
      </c>
    </row>
    <row r="236">
      <c r="F236" s="28" t="s">
        <v>418</v>
      </c>
    </row>
    <row r="237">
      <c r="F237" s="28" t="s">
        <v>419</v>
      </c>
    </row>
    <row r="238">
      <c r="F238" s="28" t="s">
        <v>420</v>
      </c>
    </row>
    <row r="239">
      <c r="F239" s="28" t="s">
        <v>421</v>
      </c>
    </row>
    <row r="240">
      <c r="F240" s="28" t="s">
        <v>422</v>
      </c>
    </row>
    <row r="241">
      <c r="F241" s="28" t="s">
        <v>423</v>
      </c>
    </row>
    <row r="242">
      <c r="F242" s="28" t="s">
        <v>424</v>
      </c>
    </row>
    <row r="243">
      <c r="F243" s="28" t="s">
        <v>425</v>
      </c>
    </row>
    <row r="244">
      <c r="F244" s="28" t="s">
        <v>426</v>
      </c>
    </row>
    <row r="245">
      <c r="F245" s="28" t="s">
        <v>427</v>
      </c>
    </row>
    <row r="246">
      <c r="F246" s="28" t="s">
        <v>428</v>
      </c>
    </row>
    <row r="247">
      <c r="F247" s="28" t="s">
        <v>429</v>
      </c>
    </row>
    <row r="248">
      <c r="F248" s="28" t="s">
        <v>430</v>
      </c>
    </row>
    <row r="249">
      <c r="F249" s="28" t="s">
        <v>431</v>
      </c>
    </row>
    <row r="250">
      <c r="F250" s="28" t="s">
        <v>432</v>
      </c>
    </row>
    <row r="251">
      <c r="F251" s="28" t="s">
        <v>433</v>
      </c>
    </row>
    <row r="252">
      <c r="F252" s="28" t="s">
        <v>434</v>
      </c>
    </row>
    <row r="253">
      <c r="F253" s="28" t="s">
        <v>435</v>
      </c>
    </row>
    <row r="254">
      <c r="F254" s="28" t="s">
        <v>436</v>
      </c>
    </row>
    <row r="255">
      <c r="F255" s="28" t="s">
        <v>437</v>
      </c>
    </row>
    <row r="256">
      <c r="F256" s="28" t="s">
        <v>438</v>
      </c>
    </row>
    <row r="257">
      <c r="F257" s="28" t="s">
        <v>439</v>
      </c>
    </row>
    <row r="258">
      <c r="F258" s="28" t="s">
        <v>440</v>
      </c>
    </row>
    <row r="259">
      <c r="F259" s="28" t="s">
        <v>441</v>
      </c>
    </row>
    <row r="260">
      <c r="F260" s="28" t="s">
        <v>442</v>
      </c>
    </row>
    <row r="261">
      <c r="F261" s="28" t="s">
        <v>443</v>
      </c>
    </row>
    <row r="262">
      <c r="F262" s="28" t="s">
        <v>444</v>
      </c>
    </row>
    <row r="263">
      <c r="F263" s="28" t="s">
        <v>445</v>
      </c>
    </row>
    <row r="264">
      <c r="F264" s="28" t="s">
        <v>446</v>
      </c>
    </row>
    <row r="265">
      <c r="F265" s="28" t="s">
        <v>447</v>
      </c>
    </row>
    <row r="266">
      <c r="F266" s="28" t="s">
        <v>448</v>
      </c>
    </row>
    <row r="267">
      <c r="F267" s="28" t="s">
        <v>449</v>
      </c>
    </row>
    <row r="268">
      <c r="F268" s="28" t="s">
        <v>450</v>
      </c>
    </row>
    <row r="269">
      <c r="F269" s="28" t="s">
        <v>451</v>
      </c>
    </row>
    <row r="270">
      <c r="F270" s="28" t="s">
        <v>452</v>
      </c>
    </row>
    <row r="271">
      <c r="F271" s="28" t="s">
        <v>453</v>
      </c>
    </row>
    <row r="272">
      <c r="F272" s="28" t="s">
        <v>454</v>
      </c>
    </row>
    <row r="273">
      <c r="F273" s="28" t="s">
        <v>455</v>
      </c>
    </row>
    <row r="274">
      <c r="F274" s="28" t="s">
        <v>456</v>
      </c>
    </row>
    <row r="275">
      <c r="F275" s="28" t="s">
        <v>457</v>
      </c>
    </row>
    <row r="276">
      <c r="F276" s="28" t="s">
        <v>122</v>
      </c>
    </row>
    <row r="277">
      <c r="F277" s="28" t="s">
        <v>127</v>
      </c>
    </row>
    <row r="278">
      <c r="F278" s="28" t="s">
        <v>107</v>
      </c>
    </row>
    <row r="279">
      <c r="F279" s="28" t="s">
        <v>458</v>
      </c>
    </row>
    <row r="280">
      <c r="F280" s="28" t="s">
        <v>459</v>
      </c>
    </row>
    <row r="281">
      <c r="F281" s="28" t="s">
        <v>460</v>
      </c>
    </row>
    <row r="282">
      <c r="F282" s="28" t="s">
        <v>130</v>
      </c>
    </row>
    <row r="283">
      <c r="F283" s="28" t="s">
        <v>461</v>
      </c>
    </row>
    <row r="284">
      <c r="F284" s="28" t="s">
        <v>462</v>
      </c>
    </row>
    <row r="285">
      <c r="F285" s="28" t="s">
        <v>463</v>
      </c>
    </row>
    <row r="286">
      <c r="F286" s="28" t="s">
        <v>464</v>
      </c>
    </row>
    <row r="287">
      <c r="F287" s="28" t="s">
        <v>465</v>
      </c>
    </row>
    <row r="288">
      <c r="F288" s="28" t="s">
        <v>466</v>
      </c>
    </row>
    <row r="289">
      <c r="F289" s="28" t="s">
        <v>467</v>
      </c>
    </row>
    <row r="290">
      <c r="F290" s="28" t="s">
        <v>468</v>
      </c>
    </row>
    <row r="291">
      <c r="F291" s="28" t="s">
        <v>469</v>
      </c>
    </row>
    <row r="292">
      <c r="F292" s="28" t="s">
        <v>470</v>
      </c>
    </row>
    <row r="293">
      <c r="F293" s="28" t="s">
        <v>65</v>
      </c>
    </row>
    <row r="294">
      <c r="F294" s="28" t="s">
        <v>471</v>
      </c>
    </row>
    <row r="295">
      <c r="F295" s="28" t="s">
        <v>472</v>
      </c>
    </row>
    <row r="296">
      <c r="F296" s="28" t="s">
        <v>473</v>
      </c>
    </row>
    <row r="297">
      <c r="F297" s="28" t="s">
        <v>474</v>
      </c>
    </row>
    <row r="298">
      <c r="F298" s="28" t="s">
        <v>475</v>
      </c>
    </row>
    <row r="299">
      <c r="F299" s="28" t="s">
        <v>476</v>
      </c>
    </row>
    <row r="300">
      <c r="F300" s="28" t="s">
        <v>477</v>
      </c>
    </row>
    <row r="301">
      <c r="F301" s="28" t="s">
        <v>478</v>
      </c>
    </row>
    <row r="302">
      <c r="F302" s="28" t="s">
        <v>479</v>
      </c>
    </row>
    <row r="303">
      <c r="F303" s="28" t="s">
        <v>480</v>
      </c>
    </row>
    <row r="304">
      <c r="F304" s="28" t="s">
        <v>481</v>
      </c>
    </row>
    <row r="305">
      <c r="F305" s="28" t="s">
        <v>482</v>
      </c>
    </row>
    <row r="306">
      <c r="F306" s="28" t="s">
        <v>483</v>
      </c>
    </row>
    <row r="307">
      <c r="F307" s="28" t="s">
        <v>344</v>
      </c>
    </row>
    <row r="308">
      <c r="F308" s="29"/>
    </row>
    <row r="309">
      <c r="F309" s="29"/>
    </row>
    <row r="310">
      <c r="F310" s="29"/>
    </row>
    <row r="311">
      <c r="F311" s="29"/>
    </row>
    <row r="312">
      <c r="F312" s="29"/>
    </row>
    <row r="313">
      <c r="F313" s="29"/>
    </row>
    <row r="314">
      <c r="F314" s="29"/>
    </row>
    <row r="315">
      <c r="F315" s="29"/>
    </row>
    <row r="316">
      <c r="F316" s="29"/>
    </row>
    <row r="317">
      <c r="F317" s="29"/>
    </row>
    <row r="318">
      <c r="F318" s="29"/>
    </row>
    <row r="319">
      <c r="F319" s="29"/>
    </row>
    <row r="320">
      <c r="F320" s="29"/>
    </row>
    <row r="321">
      <c r="F321" s="29"/>
    </row>
    <row r="322">
      <c r="F322" s="29"/>
    </row>
    <row r="323">
      <c r="F323" s="29"/>
    </row>
    <row r="324">
      <c r="F324" s="29"/>
    </row>
    <row r="325">
      <c r="F325" s="29"/>
    </row>
    <row r="326">
      <c r="F326" s="29"/>
    </row>
    <row r="327">
      <c r="F327" s="29"/>
    </row>
    <row r="328">
      <c r="F328" s="29"/>
    </row>
    <row r="329">
      <c r="F329" s="29"/>
    </row>
    <row r="330">
      <c r="F330" s="29"/>
    </row>
    <row r="331">
      <c r="F331" s="29"/>
    </row>
    <row r="332">
      <c r="F332" s="29"/>
    </row>
    <row r="333">
      <c r="F333" s="29"/>
    </row>
    <row r="334">
      <c r="F334" s="29"/>
    </row>
    <row r="335">
      <c r="F335" s="29"/>
    </row>
    <row r="336">
      <c r="F336" s="29"/>
    </row>
    <row r="337">
      <c r="F337" s="29"/>
    </row>
    <row r="338">
      <c r="F338" s="29"/>
    </row>
    <row r="339">
      <c r="F339" s="29"/>
    </row>
    <row r="340">
      <c r="F340" s="29"/>
    </row>
    <row r="341">
      <c r="F341" s="29"/>
    </row>
    <row r="342">
      <c r="F342" s="29"/>
    </row>
    <row r="343">
      <c r="F343" s="29"/>
    </row>
    <row r="344">
      <c r="F344" s="29"/>
    </row>
    <row r="345">
      <c r="F345" s="29"/>
    </row>
    <row r="346">
      <c r="F346" s="29"/>
    </row>
    <row r="347">
      <c r="F347" s="29"/>
    </row>
    <row r="348">
      <c r="F348" s="29"/>
    </row>
    <row r="349">
      <c r="F349" s="29"/>
    </row>
    <row r="350">
      <c r="F350" s="29"/>
    </row>
    <row r="351">
      <c r="F351" s="29"/>
    </row>
    <row r="352">
      <c r="F352" s="29"/>
    </row>
    <row r="353">
      <c r="F353" s="29"/>
    </row>
    <row r="354">
      <c r="F354" s="29"/>
    </row>
    <row r="355">
      <c r="F355" s="29"/>
    </row>
    <row r="356">
      <c r="F356" s="29"/>
    </row>
    <row r="357">
      <c r="F357" s="29"/>
    </row>
    <row r="358">
      <c r="F358" s="29"/>
    </row>
    <row r="359">
      <c r="F359" s="29"/>
    </row>
    <row r="360">
      <c r="F360" s="29"/>
    </row>
    <row r="361">
      <c r="F361" s="29"/>
    </row>
    <row r="362">
      <c r="F362" s="29"/>
    </row>
    <row r="363">
      <c r="F363" s="29"/>
    </row>
    <row r="364">
      <c r="F364" s="29"/>
    </row>
    <row r="365">
      <c r="F365" s="29"/>
    </row>
    <row r="366">
      <c r="F366" s="29"/>
    </row>
    <row r="367">
      <c r="F367" s="29"/>
    </row>
    <row r="368">
      <c r="F368" s="29"/>
    </row>
    <row r="369">
      <c r="F369" s="29"/>
    </row>
    <row r="370">
      <c r="F370" s="29"/>
    </row>
    <row r="371">
      <c r="F371" s="29"/>
    </row>
    <row r="372">
      <c r="F372" s="29"/>
    </row>
    <row r="373">
      <c r="F373" s="29"/>
    </row>
    <row r="374">
      <c r="F374" s="29"/>
    </row>
    <row r="375">
      <c r="F375" s="29"/>
    </row>
    <row r="376">
      <c r="F376" s="29"/>
    </row>
    <row r="377">
      <c r="F377" s="29"/>
    </row>
    <row r="378">
      <c r="F378" s="29"/>
    </row>
    <row r="379">
      <c r="F379" s="29"/>
    </row>
    <row r="380">
      <c r="F380" s="29"/>
    </row>
    <row r="381">
      <c r="F381" s="29"/>
    </row>
    <row r="382">
      <c r="F382" s="29"/>
    </row>
    <row r="383">
      <c r="F383" s="29"/>
    </row>
    <row r="384">
      <c r="F384" s="29"/>
    </row>
    <row r="385">
      <c r="F385" s="29"/>
    </row>
    <row r="386">
      <c r="F386" s="29"/>
    </row>
    <row r="387">
      <c r="F387" s="29"/>
    </row>
    <row r="388">
      <c r="F388" s="29"/>
    </row>
    <row r="389">
      <c r="F389" s="29"/>
    </row>
    <row r="390">
      <c r="F390" s="29"/>
    </row>
    <row r="391">
      <c r="F391" s="29"/>
    </row>
    <row r="392">
      <c r="F392" s="29"/>
    </row>
    <row r="393">
      <c r="F393" s="29"/>
    </row>
    <row r="394">
      <c r="F394" s="29"/>
    </row>
    <row r="395">
      <c r="F395" s="29"/>
    </row>
    <row r="396">
      <c r="F396" s="29"/>
    </row>
    <row r="397">
      <c r="F397" s="29"/>
    </row>
    <row r="398">
      <c r="F398" s="29"/>
    </row>
    <row r="399">
      <c r="F399" s="29"/>
    </row>
    <row r="400">
      <c r="F400" s="29"/>
    </row>
    <row r="401">
      <c r="F401" s="29"/>
    </row>
    <row r="402">
      <c r="F402" s="29"/>
    </row>
    <row r="403">
      <c r="F403" s="29"/>
    </row>
    <row r="404">
      <c r="F404" s="29"/>
    </row>
    <row r="405">
      <c r="F405" s="29"/>
    </row>
    <row r="406">
      <c r="F406" s="29"/>
    </row>
    <row r="407">
      <c r="F407" s="29"/>
    </row>
    <row r="408">
      <c r="F408" s="29"/>
    </row>
    <row r="409">
      <c r="F409" s="29"/>
    </row>
    <row r="410">
      <c r="F410" s="29"/>
    </row>
    <row r="411">
      <c r="F411" s="29"/>
    </row>
    <row r="412">
      <c r="F412" s="29"/>
    </row>
    <row r="413">
      <c r="F413" s="29"/>
    </row>
    <row r="414">
      <c r="F414" s="29"/>
    </row>
    <row r="415">
      <c r="F415" s="29"/>
    </row>
    <row r="416">
      <c r="F416" s="29"/>
    </row>
    <row r="417">
      <c r="F417" s="29"/>
    </row>
    <row r="418">
      <c r="F418" s="29"/>
    </row>
    <row r="419">
      <c r="F419" s="29"/>
    </row>
    <row r="420">
      <c r="F420" s="29"/>
    </row>
    <row r="421">
      <c r="F421" s="29"/>
    </row>
    <row r="422">
      <c r="F422" s="29"/>
    </row>
    <row r="423">
      <c r="F423" s="29"/>
    </row>
    <row r="424">
      <c r="F424" s="29"/>
    </row>
    <row r="425">
      <c r="F425" s="29"/>
    </row>
    <row r="426">
      <c r="F426" s="29"/>
    </row>
    <row r="427">
      <c r="F427" s="29"/>
    </row>
    <row r="428">
      <c r="F428" s="29"/>
    </row>
    <row r="429">
      <c r="F429" s="29"/>
    </row>
    <row r="430">
      <c r="F430" s="29"/>
    </row>
    <row r="431">
      <c r="F431" s="29"/>
    </row>
    <row r="432">
      <c r="F432" s="29"/>
    </row>
    <row r="433">
      <c r="F433" s="29"/>
    </row>
    <row r="434">
      <c r="F434" s="29"/>
    </row>
    <row r="435">
      <c r="F435" s="29"/>
    </row>
    <row r="436">
      <c r="F436" s="29"/>
    </row>
    <row r="437">
      <c r="F437" s="29"/>
    </row>
    <row r="438">
      <c r="F438" s="29"/>
    </row>
    <row r="439">
      <c r="F439" s="29"/>
    </row>
    <row r="440">
      <c r="F440" s="29"/>
    </row>
    <row r="441">
      <c r="F441" s="29"/>
    </row>
    <row r="442">
      <c r="F442" s="29"/>
    </row>
    <row r="443">
      <c r="F443" s="29"/>
    </row>
    <row r="444">
      <c r="F444" s="29"/>
    </row>
    <row r="445">
      <c r="F445" s="29"/>
    </row>
    <row r="446">
      <c r="F446" s="29"/>
    </row>
    <row r="447">
      <c r="F447" s="29"/>
    </row>
    <row r="448">
      <c r="F448" s="29"/>
    </row>
    <row r="449">
      <c r="F449" s="29"/>
    </row>
    <row r="450">
      <c r="F450" s="29"/>
    </row>
    <row r="451">
      <c r="F451" s="29"/>
    </row>
    <row r="452">
      <c r="F452" s="29"/>
    </row>
    <row r="453">
      <c r="F453" s="29"/>
    </row>
    <row r="454">
      <c r="F454" s="29"/>
    </row>
    <row r="455">
      <c r="F455" s="29"/>
    </row>
    <row r="456">
      <c r="F456" s="29"/>
    </row>
    <row r="457">
      <c r="F457" s="29"/>
    </row>
    <row r="458">
      <c r="F458" s="29"/>
    </row>
    <row r="459">
      <c r="F459" s="29"/>
    </row>
    <row r="460">
      <c r="F460" s="29"/>
    </row>
    <row r="461">
      <c r="F461" s="29"/>
    </row>
    <row r="462">
      <c r="F462" s="29"/>
    </row>
    <row r="463">
      <c r="F463" s="29"/>
    </row>
    <row r="464">
      <c r="F464" s="29"/>
    </row>
    <row r="465">
      <c r="F465" s="29"/>
    </row>
    <row r="466">
      <c r="F466" s="29"/>
    </row>
    <row r="467">
      <c r="F467" s="29"/>
    </row>
    <row r="468">
      <c r="F468" s="29"/>
    </row>
    <row r="469">
      <c r="F469" s="29"/>
    </row>
    <row r="470">
      <c r="F470" s="29"/>
    </row>
    <row r="471">
      <c r="F471" s="29"/>
    </row>
    <row r="472">
      <c r="F472" s="29"/>
    </row>
    <row r="473">
      <c r="F473" s="29"/>
    </row>
    <row r="474">
      <c r="F474" s="29"/>
    </row>
    <row r="475">
      <c r="F475" s="29"/>
    </row>
    <row r="476">
      <c r="F476" s="29"/>
    </row>
    <row r="477">
      <c r="F477" s="29"/>
    </row>
    <row r="478">
      <c r="F478" s="29"/>
    </row>
    <row r="479">
      <c r="F479" s="29"/>
    </row>
    <row r="480">
      <c r="F480" s="29"/>
    </row>
    <row r="481">
      <c r="F481" s="29"/>
    </row>
    <row r="482">
      <c r="F482" s="29"/>
    </row>
    <row r="483">
      <c r="F483" s="29"/>
    </row>
    <row r="484">
      <c r="F484" s="29"/>
    </row>
    <row r="485">
      <c r="F485" s="29"/>
    </row>
    <row r="486">
      <c r="F486" s="29"/>
    </row>
    <row r="487">
      <c r="F487" s="29"/>
    </row>
    <row r="488">
      <c r="F488" s="29"/>
    </row>
    <row r="489">
      <c r="F489" s="29"/>
    </row>
    <row r="490">
      <c r="F490" s="29"/>
    </row>
    <row r="491">
      <c r="F491" s="29"/>
    </row>
    <row r="492">
      <c r="F492" s="29"/>
    </row>
    <row r="493">
      <c r="F493" s="29"/>
    </row>
    <row r="494">
      <c r="F494" s="29"/>
    </row>
    <row r="495">
      <c r="F495" s="29"/>
    </row>
    <row r="496">
      <c r="F496" s="29"/>
    </row>
    <row r="497">
      <c r="F497" s="29"/>
    </row>
    <row r="498">
      <c r="F498" s="29"/>
    </row>
    <row r="499">
      <c r="F499" s="29"/>
    </row>
    <row r="500">
      <c r="F500" s="29"/>
    </row>
    <row r="501">
      <c r="F501" s="29"/>
    </row>
    <row r="502">
      <c r="F502" s="29"/>
    </row>
    <row r="503">
      <c r="F503" s="29"/>
    </row>
    <row r="504">
      <c r="F504" s="29"/>
    </row>
    <row r="505">
      <c r="F505" s="29"/>
    </row>
    <row r="506">
      <c r="F506" s="29"/>
    </row>
    <row r="507">
      <c r="F507" s="29"/>
    </row>
    <row r="508">
      <c r="F508" s="29"/>
    </row>
    <row r="509">
      <c r="F509" s="29"/>
    </row>
    <row r="510">
      <c r="F510" s="29"/>
    </row>
    <row r="511">
      <c r="F511" s="29"/>
    </row>
    <row r="512">
      <c r="F512" s="29"/>
    </row>
    <row r="513">
      <c r="F513" s="29"/>
    </row>
    <row r="514">
      <c r="F514" s="29"/>
    </row>
    <row r="515">
      <c r="F515" s="29"/>
    </row>
    <row r="516">
      <c r="F516" s="29"/>
    </row>
    <row r="517">
      <c r="F517" s="29"/>
    </row>
    <row r="518">
      <c r="F518" s="29"/>
    </row>
    <row r="519">
      <c r="F519" s="29"/>
    </row>
    <row r="520">
      <c r="F520" s="29"/>
    </row>
    <row r="521">
      <c r="F521" s="29"/>
    </row>
    <row r="522">
      <c r="F522" s="29"/>
    </row>
    <row r="523">
      <c r="F523" s="29"/>
    </row>
    <row r="524">
      <c r="F524" s="29"/>
    </row>
    <row r="525">
      <c r="F525" s="29"/>
    </row>
    <row r="526">
      <c r="F526" s="29"/>
    </row>
    <row r="527">
      <c r="F527" s="29"/>
    </row>
    <row r="528">
      <c r="F528" s="29"/>
    </row>
    <row r="529">
      <c r="F529" s="29"/>
    </row>
    <row r="530">
      <c r="F530" s="29"/>
    </row>
    <row r="531">
      <c r="F531" s="29"/>
    </row>
    <row r="532">
      <c r="F532" s="29"/>
    </row>
    <row r="533">
      <c r="F533" s="29"/>
    </row>
    <row r="534">
      <c r="F534" s="29"/>
    </row>
    <row r="535">
      <c r="F535" s="29"/>
    </row>
    <row r="536">
      <c r="F536" s="29"/>
    </row>
    <row r="537">
      <c r="F537" s="29"/>
    </row>
    <row r="538">
      <c r="F538" s="29"/>
    </row>
    <row r="539">
      <c r="F539" s="29"/>
    </row>
    <row r="540">
      <c r="F540" s="29"/>
    </row>
    <row r="541">
      <c r="F541" s="29"/>
    </row>
    <row r="542">
      <c r="F542" s="29"/>
    </row>
    <row r="543">
      <c r="F543" s="29"/>
    </row>
    <row r="544">
      <c r="F544" s="29"/>
    </row>
    <row r="545">
      <c r="F545" s="29"/>
    </row>
    <row r="546">
      <c r="F546" s="29"/>
    </row>
    <row r="547">
      <c r="F547" s="29"/>
    </row>
    <row r="548">
      <c r="F548" s="29"/>
    </row>
    <row r="549">
      <c r="F549" s="29"/>
    </row>
    <row r="550">
      <c r="F550" s="29"/>
    </row>
    <row r="551">
      <c r="F551" s="29"/>
    </row>
    <row r="552">
      <c r="F552" s="29"/>
    </row>
    <row r="553">
      <c r="F553" s="29"/>
    </row>
    <row r="554">
      <c r="F554" s="29"/>
    </row>
    <row r="555">
      <c r="F555" s="29"/>
    </row>
    <row r="556">
      <c r="F556" s="29"/>
    </row>
    <row r="557">
      <c r="F557" s="29"/>
    </row>
    <row r="558">
      <c r="F558" s="29"/>
    </row>
    <row r="559">
      <c r="F559" s="29"/>
    </row>
    <row r="560">
      <c r="F560" s="29"/>
    </row>
    <row r="561">
      <c r="F561" s="29"/>
    </row>
    <row r="562">
      <c r="F562" s="29"/>
    </row>
    <row r="563">
      <c r="F563" s="29"/>
    </row>
    <row r="564">
      <c r="F564" s="29"/>
    </row>
    <row r="565">
      <c r="F565" s="29"/>
    </row>
    <row r="566">
      <c r="F566" s="29"/>
    </row>
    <row r="567">
      <c r="F567" s="29"/>
    </row>
    <row r="568">
      <c r="F568" s="29"/>
    </row>
    <row r="569">
      <c r="F569" s="29"/>
    </row>
    <row r="570">
      <c r="F570" s="29"/>
    </row>
    <row r="571">
      <c r="F571" s="29"/>
    </row>
    <row r="572">
      <c r="F572" s="29"/>
    </row>
    <row r="573">
      <c r="F573" s="29"/>
    </row>
    <row r="574">
      <c r="F574" s="29"/>
    </row>
    <row r="575">
      <c r="F575" s="29"/>
    </row>
    <row r="576">
      <c r="F576" s="29"/>
    </row>
    <row r="577">
      <c r="F577" s="29"/>
    </row>
    <row r="578">
      <c r="F578" s="29"/>
    </row>
    <row r="579">
      <c r="F579" s="29"/>
    </row>
    <row r="580">
      <c r="F580" s="29"/>
    </row>
    <row r="581">
      <c r="F581" s="29"/>
    </row>
    <row r="582">
      <c r="F582" s="29"/>
    </row>
    <row r="583">
      <c r="F583" s="29"/>
    </row>
    <row r="584">
      <c r="F584" s="29"/>
    </row>
    <row r="585">
      <c r="F585" s="29"/>
    </row>
    <row r="586">
      <c r="F586" s="29"/>
    </row>
    <row r="587">
      <c r="F587" s="29"/>
    </row>
    <row r="588">
      <c r="F588" s="29"/>
    </row>
    <row r="589">
      <c r="F589" s="29"/>
    </row>
    <row r="590">
      <c r="F590" s="29"/>
    </row>
    <row r="591">
      <c r="F591" s="29"/>
    </row>
    <row r="592">
      <c r="F592" s="29"/>
    </row>
    <row r="593">
      <c r="F593" s="29"/>
    </row>
    <row r="594">
      <c r="F594" s="29"/>
    </row>
    <row r="595">
      <c r="F595" s="29"/>
    </row>
    <row r="596">
      <c r="F596" s="29"/>
    </row>
    <row r="597">
      <c r="F597" s="29"/>
    </row>
    <row r="598">
      <c r="F598" s="29"/>
    </row>
    <row r="599">
      <c r="F599" s="29"/>
    </row>
    <row r="600">
      <c r="F600" s="29"/>
    </row>
    <row r="601">
      <c r="F601" s="29"/>
    </row>
    <row r="602">
      <c r="F602" s="29"/>
    </row>
    <row r="603">
      <c r="F603" s="29"/>
    </row>
    <row r="604">
      <c r="F604" s="29"/>
    </row>
    <row r="605">
      <c r="F605" s="29"/>
    </row>
    <row r="606">
      <c r="F606" s="29"/>
    </row>
    <row r="607">
      <c r="F607" s="29"/>
    </row>
    <row r="608">
      <c r="F608" s="29"/>
    </row>
    <row r="609">
      <c r="F609" s="29"/>
    </row>
    <row r="610">
      <c r="F610" s="29"/>
    </row>
    <row r="611">
      <c r="F611" s="29"/>
    </row>
    <row r="612">
      <c r="F612" s="29"/>
    </row>
    <row r="613">
      <c r="F613" s="29"/>
    </row>
    <row r="614">
      <c r="F614" s="29"/>
    </row>
    <row r="615">
      <c r="F615" s="29"/>
    </row>
    <row r="616">
      <c r="F616" s="29"/>
    </row>
    <row r="617">
      <c r="F617" s="29"/>
    </row>
    <row r="618">
      <c r="F618" s="29"/>
    </row>
    <row r="619">
      <c r="F619" s="29"/>
    </row>
    <row r="620">
      <c r="F620" s="29"/>
    </row>
    <row r="621">
      <c r="F621" s="29"/>
    </row>
    <row r="622">
      <c r="F622" s="29"/>
    </row>
    <row r="623">
      <c r="F623" s="29"/>
    </row>
    <row r="624">
      <c r="F624" s="29"/>
    </row>
    <row r="625">
      <c r="F625" s="29"/>
    </row>
    <row r="626">
      <c r="F626" s="29"/>
    </row>
    <row r="627">
      <c r="F627" s="29"/>
    </row>
    <row r="628">
      <c r="F628" s="29"/>
    </row>
    <row r="629">
      <c r="F629" s="29"/>
    </row>
    <row r="630">
      <c r="F630" s="29"/>
    </row>
    <row r="631">
      <c r="F631" s="29"/>
    </row>
    <row r="632">
      <c r="F632" s="29"/>
    </row>
    <row r="633">
      <c r="F633" s="29"/>
    </row>
    <row r="634">
      <c r="F634" s="29"/>
    </row>
    <row r="635">
      <c r="F635" s="29"/>
    </row>
    <row r="636">
      <c r="F636" s="29"/>
    </row>
    <row r="637">
      <c r="F637" s="29"/>
    </row>
    <row r="638">
      <c r="F638" s="29"/>
    </row>
    <row r="639">
      <c r="F639" s="29"/>
    </row>
    <row r="640">
      <c r="F640" s="29"/>
    </row>
    <row r="641">
      <c r="F641" s="29"/>
    </row>
    <row r="642">
      <c r="F642" s="29"/>
    </row>
    <row r="643">
      <c r="F643" s="29"/>
    </row>
    <row r="644">
      <c r="F644" s="29"/>
    </row>
    <row r="645">
      <c r="F645" s="29"/>
    </row>
    <row r="646">
      <c r="F646" s="29"/>
    </row>
    <row r="647">
      <c r="F647" s="29"/>
    </row>
    <row r="648">
      <c r="F648" s="29"/>
    </row>
    <row r="649">
      <c r="F649" s="29"/>
    </row>
    <row r="650">
      <c r="F650" s="29"/>
    </row>
    <row r="651">
      <c r="F651" s="29"/>
    </row>
    <row r="652">
      <c r="F652" s="29"/>
    </row>
    <row r="653">
      <c r="F653" s="29"/>
    </row>
    <row r="654">
      <c r="F654" s="29"/>
    </row>
    <row r="655">
      <c r="F655" s="29"/>
    </row>
    <row r="656">
      <c r="F656" s="29"/>
    </row>
    <row r="657">
      <c r="F657" s="29"/>
    </row>
    <row r="658">
      <c r="F658" s="29"/>
    </row>
    <row r="659">
      <c r="F659" s="29"/>
    </row>
    <row r="660">
      <c r="F660" s="29"/>
    </row>
    <row r="661">
      <c r="F661" s="29"/>
    </row>
    <row r="662">
      <c r="F662" s="29"/>
    </row>
    <row r="663">
      <c r="F663" s="29"/>
    </row>
    <row r="664">
      <c r="F664" s="29"/>
    </row>
    <row r="665">
      <c r="F665" s="29"/>
    </row>
    <row r="666">
      <c r="F666" s="29"/>
    </row>
    <row r="667">
      <c r="F667" s="29"/>
    </row>
    <row r="668">
      <c r="F668" s="29"/>
    </row>
    <row r="669">
      <c r="F669" s="29"/>
    </row>
    <row r="670">
      <c r="F670" s="29"/>
    </row>
    <row r="671">
      <c r="F671" s="29"/>
    </row>
    <row r="672">
      <c r="F672" s="29"/>
    </row>
    <row r="673">
      <c r="F673" s="29"/>
    </row>
    <row r="674">
      <c r="F674" s="29"/>
    </row>
    <row r="675">
      <c r="F675" s="29"/>
    </row>
    <row r="676">
      <c r="F676" s="29"/>
    </row>
    <row r="677">
      <c r="F677" s="29"/>
    </row>
    <row r="678">
      <c r="F678" s="29"/>
    </row>
    <row r="679">
      <c r="F679" s="29"/>
    </row>
    <row r="680">
      <c r="F680" s="29"/>
    </row>
    <row r="681">
      <c r="F681" s="29"/>
    </row>
    <row r="682">
      <c r="F682" s="29"/>
    </row>
    <row r="683">
      <c r="F683" s="29"/>
    </row>
    <row r="684">
      <c r="F684" s="29"/>
    </row>
    <row r="685">
      <c r="F685" s="29"/>
    </row>
    <row r="686">
      <c r="F686" s="29"/>
    </row>
    <row r="687">
      <c r="F687" s="29"/>
    </row>
    <row r="688">
      <c r="F688" s="29"/>
    </row>
    <row r="689">
      <c r="F689" s="29"/>
    </row>
    <row r="690">
      <c r="F690" s="29"/>
    </row>
    <row r="691">
      <c r="F691" s="29"/>
    </row>
    <row r="692">
      <c r="F692" s="29"/>
    </row>
    <row r="693">
      <c r="F693" s="29"/>
    </row>
    <row r="694">
      <c r="F694" s="29"/>
    </row>
    <row r="695">
      <c r="F695" s="29"/>
    </row>
    <row r="696">
      <c r="F696" s="29"/>
    </row>
    <row r="697">
      <c r="F697" s="29"/>
    </row>
    <row r="698">
      <c r="F698" s="29"/>
    </row>
    <row r="699">
      <c r="F699" s="29"/>
    </row>
    <row r="700">
      <c r="F700" s="29"/>
    </row>
    <row r="701">
      <c r="F701" s="29"/>
    </row>
    <row r="702">
      <c r="F702" s="29"/>
    </row>
    <row r="703">
      <c r="F703" s="29"/>
    </row>
    <row r="704">
      <c r="F704" s="29"/>
    </row>
    <row r="705">
      <c r="F705" s="29"/>
    </row>
    <row r="706">
      <c r="F706" s="29"/>
    </row>
    <row r="707">
      <c r="F707" s="29"/>
    </row>
    <row r="708">
      <c r="F708" s="29"/>
    </row>
    <row r="709">
      <c r="F709" s="29"/>
    </row>
    <row r="710">
      <c r="F710" s="29"/>
    </row>
    <row r="711">
      <c r="F711" s="29"/>
    </row>
    <row r="712">
      <c r="F712" s="29"/>
    </row>
    <row r="713">
      <c r="F713" s="29"/>
    </row>
    <row r="714">
      <c r="F714" s="29"/>
    </row>
    <row r="715">
      <c r="F715" s="29"/>
    </row>
    <row r="716">
      <c r="F716" s="29"/>
    </row>
    <row r="717">
      <c r="F717" s="29"/>
    </row>
    <row r="718">
      <c r="F718" s="29"/>
    </row>
    <row r="719">
      <c r="F719" s="29"/>
    </row>
    <row r="720">
      <c r="F720" s="29"/>
    </row>
    <row r="721">
      <c r="F721" s="29"/>
    </row>
    <row r="722">
      <c r="F722" s="29"/>
    </row>
    <row r="723">
      <c r="F723" s="29"/>
    </row>
    <row r="724">
      <c r="F724" s="29"/>
    </row>
    <row r="725">
      <c r="F725" s="29"/>
    </row>
    <row r="726">
      <c r="F726" s="29"/>
    </row>
    <row r="727">
      <c r="F727" s="29"/>
    </row>
    <row r="728">
      <c r="F728" s="29"/>
    </row>
    <row r="729">
      <c r="F729" s="29"/>
    </row>
    <row r="730">
      <c r="F730" s="29"/>
    </row>
    <row r="731">
      <c r="F731" s="29"/>
    </row>
    <row r="732">
      <c r="F732" s="29"/>
    </row>
    <row r="733">
      <c r="F733" s="29"/>
    </row>
    <row r="734">
      <c r="F734" s="29"/>
    </row>
    <row r="735">
      <c r="F735" s="29"/>
    </row>
    <row r="736">
      <c r="F736" s="29"/>
    </row>
    <row r="737">
      <c r="F737" s="29"/>
    </row>
    <row r="738">
      <c r="F738" s="29"/>
    </row>
    <row r="739">
      <c r="F739" s="29"/>
    </row>
    <row r="740">
      <c r="F740" s="29"/>
    </row>
    <row r="741">
      <c r="F741" s="29"/>
    </row>
    <row r="742">
      <c r="F742" s="29"/>
    </row>
    <row r="743">
      <c r="F743" s="29"/>
    </row>
    <row r="744">
      <c r="F744" s="29"/>
    </row>
    <row r="745">
      <c r="F745" s="29"/>
    </row>
    <row r="746">
      <c r="F746" s="29"/>
    </row>
    <row r="747">
      <c r="F747" s="29"/>
    </row>
    <row r="748">
      <c r="F748" s="29"/>
    </row>
    <row r="749">
      <c r="F749" s="29"/>
    </row>
    <row r="750">
      <c r="F750" s="29"/>
    </row>
    <row r="751">
      <c r="F751" s="29"/>
    </row>
    <row r="752">
      <c r="F752" s="29"/>
    </row>
    <row r="753">
      <c r="F753" s="29"/>
    </row>
    <row r="754">
      <c r="F754" s="29"/>
    </row>
    <row r="755">
      <c r="F755" s="29"/>
    </row>
    <row r="756">
      <c r="F756" s="29"/>
    </row>
    <row r="757">
      <c r="F757" s="29"/>
    </row>
    <row r="758">
      <c r="F758" s="29"/>
    </row>
    <row r="759">
      <c r="F759" s="29"/>
    </row>
    <row r="760">
      <c r="F760" s="29"/>
    </row>
    <row r="761">
      <c r="F761" s="29"/>
    </row>
    <row r="762">
      <c r="F762" s="29"/>
    </row>
    <row r="763">
      <c r="F763" s="29"/>
    </row>
    <row r="764">
      <c r="F764" s="29"/>
    </row>
    <row r="765">
      <c r="F765" s="29"/>
    </row>
    <row r="766">
      <c r="F766" s="29"/>
    </row>
    <row r="767">
      <c r="F767" s="29"/>
    </row>
    <row r="768">
      <c r="F768" s="29"/>
    </row>
    <row r="769">
      <c r="F769" s="29"/>
    </row>
    <row r="770">
      <c r="F770" s="29"/>
    </row>
    <row r="771">
      <c r="F771" s="29"/>
    </row>
    <row r="772">
      <c r="F772" s="29"/>
    </row>
    <row r="773">
      <c r="F773" s="29"/>
    </row>
    <row r="774">
      <c r="F774" s="29"/>
    </row>
    <row r="775">
      <c r="F775" s="29"/>
    </row>
    <row r="776">
      <c r="F776" s="29"/>
    </row>
    <row r="777">
      <c r="F777" s="29"/>
    </row>
    <row r="778">
      <c r="F778" s="29"/>
    </row>
    <row r="779">
      <c r="F779" s="29"/>
    </row>
    <row r="780">
      <c r="F780" s="29"/>
    </row>
    <row r="781">
      <c r="F781" s="29"/>
    </row>
    <row r="782">
      <c r="F782" s="29"/>
    </row>
    <row r="783">
      <c r="F783" s="29"/>
    </row>
    <row r="784">
      <c r="F784" s="29"/>
    </row>
    <row r="785">
      <c r="F785" s="29"/>
    </row>
    <row r="786">
      <c r="F786" s="29"/>
    </row>
    <row r="787">
      <c r="F787" s="29"/>
    </row>
    <row r="788">
      <c r="F788" s="29"/>
    </row>
    <row r="789">
      <c r="F789" s="29"/>
    </row>
    <row r="790">
      <c r="F790" s="29"/>
    </row>
    <row r="791">
      <c r="F791" s="29"/>
    </row>
    <row r="792">
      <c r="F792" s="29"/>
    </row>
    <row r="793">
      <c r="F793" s="29"/>
    </row>
    <row r="794">
      <c r="F794" s="29"/>
    </row>
    <row r="795">
      <c r="F795" s="29"/>
    </row>
    <row r="796">
      <c r="F796" s="29"/>
    </row>
    <row r="797">
      <c r="F797" s="29"/>
    </row>
    <row r="798">
      <c r="F798" s="29"/>
    </row>
    <row r="799">
      <c r="F799" s="29"/>
    </row>
    <row r="800">
      <c r="F800" s="29"/>
    </row>
    <row r="801">
      <c r="F801" s="29"/>
    </row>
    <row r="802">
      <c r="F802" s="29"/>
    </row>
    <row r="803">
      <c r="F803" s="29"/>
    </row>
    <row r="804">
      <c r="F804" s="29"/>
    </row>
    <row r="805">
      <c r="F805" s="29"/>
    </row>
    <row r="806">
      <c r="F806" s="29"/>
    </row>
    <row r="807">
      <c r="F807" s="29"/>
    </row>
    <row r="808">
      <c r="F808" s="29"/>
    </row>
    <row r="809">
      <c r="F809" s="29"/>
    </row>
    <row r="810">
      <c r="F810" s="29"/>
    </row>
    <row r="811">
      <c r="F811" s="29"/>
    </row>
    <row r="812">
      <c r="F812" s="29"/>
    </row>
    <row r="813">
      <c r="F813" s="29"/>
    </row>
    <row r="814">
      <c r="F814" s="29"/>
    </row>
    <row r="815">
      <c r="F815" s="29"/>
    </row>
    <row r="816">
      <c r="F816" s="29"/>
    </row>
    <row r="817">
      <c r="F817" s="29"/>
    </row>
    <row r="818">
      <c r="F818" s="29"/>
    </row>
    <row r="819">
      <c r="F819" s="29"/>
    </row>
    <row r="820">
      <c r="F820" s="29"/>
    </row>
    <row r="821">
      <c r="F821" s="29"/>
    </row>
    <row r="822">
      <c r="F822" s="29"/>
    </row>
    <row r="823">
      <c r="F823" s="29"/>
    </row>
    <row r="824">
      <c r="F824" s="29"/>
    </row>
    <row r="825">
      <c r="F825" s="29"/>
    </row>
    <row r="826">
      <c r="F826" s="29"/>
    </row>
    <row r="827">
      <c r="F827" s="29"/>
    </row>
    <row r="828">
      <c r="F828" s="29"/>
    </row>
    <row r="829">
      <c r="F829" s="29"/>
    </row>
    <row r="830">
      <c r="F830" s="29"/>
    </row>
    <row r="831">
      <c r="F831" s="29"/>
    </row>
    <row r="832">
      <c r="F832" s="29"/>
    </row>
    <row r="833">
      <c r="F833" s="29"/>
    </row>
    <row r="834">
      <c r="F834" s="29"/>
    </row>
    <row r="835">
      <c r="F835" s="29"/>
    </row>
    <row r="836">
      <c r="F836" s="29"/>
    </row>
    <row r="837">
      <c r="F837" s="29"/>
    </row>
    <row r="838">
      <c r="F838" s="29"/>
    </row>
    <row r="839">
      <c r="F839" s="29"/>
    </row>
    <row r="840">
      <c r="F840" s="29"/>
    </row>
    <row r="841">
      <c r="F841" s="29"/>
    </row>
    <row r="842">
      <c r="F842" s="29"/>
    </row>
    <row r="843">
      <c r="F843" s="29"/>
    </row>
    <row r="844">
      <c r="F844" s="29"/>
    </row>
    <row r="845">
      <c r="F845" s="29"/>
    </row>
    <row r="846">
      <c r="F846" s="29"/>
    </row>
    <row r="847">
      <c r="F847" s="29"/>
    </row>
    <row r="848">
      <c r="F848" s="29"/>
    </row>
    <row r="849">
      <c r="F849" s="29"/>
    </row>
    <row r="850">
      <c r="F850" s="29"/>
    </row>
    <row r="851">
      <c r="F851" s="29"/>
    </row>
    <row r="852">
      <c r="F852" s="29"/>
    </row>
    <row r="853">
      <c r="F853" s="29"/>
    </row>
    <row r="854">
      <c r="F854" s="29"/>
    </row>
    <row r="855">
      <c r="F855" s="29"/>
    </row>
    <row r="856">
      <c r="F856" s="29"/>
    </row>
    <row r="857">
      <c r="F857" s="29"/>
    </row>
    <row r="858">
      <c r="F858" s="29"/>
    </row>
    <row r="859">
      <c r="F859" s="29"/>
    </row>
    <row r="860">
      <c r="F860" s="29"/>
    </row>
    <row r="861">
      <c r="F861" s="29"/>
    </row>
    <row r="862">
      <c r="F862" s="29"/>
    </row>
    <row r="863">
      <c r="F863" s="29"/>
    </row>
    <row r="864">
      <c r="F864" s="29"/>
    </row>
    <row r="865">
      <c r="F865" s="29"/>
    </row>
    <row r="866">
      <c r="F866" s="29"/>
    </row>
    <row r="867">
      <c r="F867" s="29"/>
    </row>
    <row r="868">
      <c r="F868" s="29"/>
    </row>
    <row r="869">
      <c r="F869" s="29"/>
    </row>
    <row r="870">
      <c r="F870" s="29"/>
    </row>
    <row r="871">
      <c r="F871" s="29"/>
    </row>
    <row r="872">
      <c r="F872" s="29"/>
    </row>
    <row r="873">
      <c r="F873" s="29"/>
    </row>
    <row r="874">
      <c r="F874" s="29"/>
    </row>
    <row r="875">
      <c r="F875" s="29"/>
    </row>
    <row r="876">
      <c r="F876" s="29"/>
    </row>
    <row r="877">
      <c r="F877" s="29"/>
    </row>
    <row r="878">
      <c r="F878" s="29"/>
    </row>
    <row r="879">
      <c r="F879" s="29"/>
    </row>
    <row r="880">
      <c r="F880" s="29"/>
    </row>
    <row r="881">
      <c r="F881" s="29"/>
    </row>
    <row r="882">
      <c r="F882" s="29"/>
    </row>
    <row r="883">
      <c r="F883" s="29"/>
    </row>
    <row r="884">
      <c r="F884" s="29"/>
    </row>
    <row r="885">
      <c r="F885" s="29"/>
    </row>
    <row r="886">
      <c r="F886" s="29"/>
    </row>
    <row r="887">
      <c r="F887" s="29"/>
    </row>
    <row r="888">
      <c r="F888" s="29"/>
    </row>
    <row r="889">
      <c r="F889" s="29"/>
    </row>
    <row r="890">
      <c r="F890" s="29"/>
    </row>
    <row r="891">
      <c r="F891" s="29"/>
    </row>
    <row r="892">
      <c r="F892" s="29"/>
    </row>
    <row r="893">
      <c r="F893" s="29"/>
    </row>
    <row r="894">
      <c r="F894" s="29"/>
    </row>
    <row r="895">
      <c r="F895" s="29"/>
    </row>
    <row r="896">
      <c r="F896" s="29"/>
    </row>
    <row r="897">
      <c r="F897" s="29"/>
    </row>
    <row r="898">
      <c r="F898" s="29"/>
    </row>
    <row r="899">
      <c r="F899" s="29"/>
    </row>
    <row r="900">
      <c r="F900" s="29"/>
    </row>
    <row r="901">
      <c r="F901" s="29"/>
    </row>
    <row r="902">
      <c r="F902" s="29"/>
    </row>
    <row r="903">
      <c r="F903" s="29"/>
    </row>
    <row r="904">
      <c r="F904" s="29"/>
    </row>
    <row r="905">
      <c r="F905" s="29"/>
    </row>
    <row r="906">
      <c r="F906" s="29"/>
    </row>
    <row r="907">
      <c r="F907" s="29"/>
    </row>
    <row r="908">
      <c r="F908" s="29"/>
    </row>
    <row r="909">
      <c r="F909" s="29"/>
    </row>
    <row r="910">
      <c r="F910" s="29"/>
    </row>
    <row r="911">
      <c r="F911" s="29"/>
    </row>
    <row r="912">
      <c r="F912" s="29"/>
    </row>
    <row r="913">
      <c r="F913" s="29"/>
    </row>
    <row r="914">
      <c r="F914" s="29"/>
    </row>
    <row r="915">
      <c r="F915" s="29"/>
    </row>
    <row r="916">
      <c r="F916" s="29"/>
    </row>
    <row r="917">
      <c r="F917" s="29"/>
    </row>
    <row r="918">
      <c r="F918" s="29"/>
    </row>
    <row r="919">
      <c r="F919" s="29"/>
    </row>
    <row r="920">
      <c r="F920" s="29"/>
    </row>
    <row r="921">
      <c r="F921" s="29"/>
    </row>
    <row r="922">
      <c r="F922" s="29"/>
    </row>
    <row r="923">
      <c r="F923" s="29"/>
    </row>
    <row r="924">
      <c r="F924" s="29"/>
    </row>
    <row r="925">
      <c r="F925" s="29"/>
    </row>
    <row r="926">
      <c r="F926" s="29"/>
    </row>
    <row r="927">
      <c r="F927" s="29"/>
    </row>
    <row r="928">
      <c r="F928" s="29"/>
    </row>
    <row r="929">
      <c r="F929" s="29"/>
    </row>
    <row r="930">
      <c r="F930" s="29"/>
    </row>
    <row r="931">
      <c r="F931" s="29"/>
    </row>
    <row r="932">
      <c r="F932" s="29"/>
    </row>
    <row r="933">
      <c r="F933" s="29"/>
    </row>
    <row r="934">
      <c r="F934" s="29"/>
    </row>
    <row r="935">
      <c r="F935" s="29"/>
    </row>
    <row r="936">
      <c r="F936" s="29"/>
    </row>
    <row r="937">
      <c r="F937" s="29"/>
    </row>
    <row r="938">
      <c r="F938" s="29"/>
    </row>
    <row r="939">
      <c r="F939" s="29"/>
    </row>
    <row r="940">
      <c r="F940" s="29"/>
    </row>
    <row r="941">
      <c r="F941" s="29"/>
    </row>
    <row r="942">
      <c r="F942" s="29"/>
    </row>
    <row r="943">
      <c r="F943" s="29"/>
    </row>
    <row r="944">
      <c r="F944" s="29"/>
    </row>
    <row r="945">
      <c r="F945" s="29"/>
    </row>
    <row r="946">
      <c r="F946" s="29"/>
    </row>
    <row r="947">
      <c r="F947" s="29"/>
    </row>
    <row r="948">
      <c r="F948" s="29"/>
    </row>
    <row r="949">
      <c r="F949" s="29"/>
    </row>
    <row r="950">
      <c r="F950" s="29"/>
    </row>
    <row r="951">
      <c r="F951" s="29"/>
    </row>
    <row r="952">
      <c r="F952" s="29"/>
    </row>
    <row r="953">
      <c r="F953" s="29"/>
    </row>
    <row r="954">
      <c r="F954" s="29"/>
    </row>
    <row r="955">
      <c r="F955" s="29"/>
    </row>
    <row r="956">
      <c r="F956" s="29"/>
    </row>
    <row r="957">
      <c r="F957" s="29"/>
    </row>
    <row r="958">
      <c r="F958" s="29"/>
    </row>
    <row r="959">
      <c r="F959" s="29"/>
    </row>
    <row r="960">
      <c r="F960" s="29"/>
    </row>
    <row r="961">
      <c r="F961" s="29"/>
    </row>
    <row r="962">
      <c r="F962" s="29"/>
    </row>
    <row r="963">
      <c r="F963" s="29"/>
    </row>
    <row r="964">
      <c r="F964" s="29"/>
    </row>
    <row r="965">
      <c r="F965" s="29"/>
    </row>
    <row r="966">
      <c r="F966" s="29"/>
    </row>
    <row r="967">
      <c r="F967" s="29"/>
    </row>
    <row r="968">
      <c r="F968" s="29"/>
    </row>
    <row r="969">
      <c r="F969" s="29"/>
    </row>
    <row r="970">
      <c r="F970" s="29"/>
    </row>
    <row r="971">
      <c r="F971" s="29"/>
    </row>
    <row r="972">
      <c r="F972" s="29"/>
    </row>
    <row r="973">
      <c r="F973" s="29"/>
    </row>
    <row r="974">
      <c r="F974" s="29"/>
    </row>
    <row r="975">
      <c r="F975" s="29"/>
    </row>
    <row r="976">
      <c r="F976" s="29"/>
    </row>
    <row r="977">
      <c r="F977" s="29"/>
    </row>
    <row r="978">
      <c r="F978" s="29"/>
    </row>
    <row r="979">
      <c r="F979" s="29"/>
    </row>
    <row r="980">
      <c r="F980" s="29"/>
    </row>
    <row r="981">
      <c r="F981" s="29"/>
    </row>
    <row r="982">
      <c r="F982" s="29"/>
    </row>
    <row r="983">
      <c r="F983" s="29"/>
    </row>
    <row r="984">
      <c r="F984" s="29"/>
    </row>
    <row r="985">
      <c r="F985" s="29"/>
    </row>
    <row r="986">
      <c r="F986" s="29"/>
    </row>
    <row r="987">
      <c r="F987" s="29"/>
    </row>
    <row r="988">
      <c r="F988" s="29"/>
    </row>
    <row r="989">
      <c r="F989" s="29"/>
    </row>
    <row r="990">
      <c r="F990" s="29"/>
    </row>
    <row r="991">
      <c r="F991" s="29"/>
    </row>
    <row r="992">
      <c r="F992" s="29"/>
    </row>
    <row r="993">
      <c r="F993" s="29"/>
    </row>
    <row r="994">
      <c r="F994" s="29"/>
    </row>
    <row r="995">
      <c r="F995" s="29"/>
    </row>
    <row r="996">
      <c r="F996" s="29"/>
    </row>
    <row r="997">
      <c r="F997" s="29"/>
    </row>
    <row r="998">
      <c r="F998" s="29"/>
    </row>
    <row r="999">
      <c r="F999" s="29"/>
    </row>
    <row r="1000">
      <c r="F1000" s="2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4.38"/>
    <col customWidth="1" min="2" max="2" width="21.38"/>
    <col customWidth="1" min="3" max="3" width="59.63"/>
    <col customWidth="1" min="4" max="4" width="35.5"/>
    <col customWidth="1" min="5" max="5" width="17.0"/>
    <col customWidth="1" min="6" max="6" width="34.13"/>
    <col customWidth="1" min="7" max="7" width="16.75"/>
    <col customWidth="1" min="9" max="9" width="12.13"/>
    <col customWidth="1" min="10" max="10" width="13.13"/>
    <col customWidth="1" min="11" max="11" width="15.0"/>
    <col customWidth="1" min="12" max="12" width="14.25"/>
    <col customWidth="1" min="13" max="13" width="20.13"/>
    <col customWidth="1" min="15" max="15" width="14.88"/>
    <col customWidth="1" min="16" max="16" width="17.0"/>
    <col customWidth="1" min="17" max="17" width="17.25"/>
    <col customWidth="1" min="18" max="18" width="24.0"/>
    <col customWidth="1" min="19" max="19" width="17.75"/>
    <col customWidth="1" min="20" max="20" width="16.88"/>
    <col customWidth="1" min="23" max="23" width="15.38"/>
    <col customWidth="1" min="24" max="24" width="16.75"/>
    <col customWidth="1" min="25" max="25" width="15.88"/>
    <col customWidth="1" min="26" max="26" width="15.5"/>
    <col customWidth="1" min="27" max="27" width="18.13"/>
    <col customWidth="1" min="29" max="29" width="14.88"/>
    <col customWidth="1" min="30" max="30" width="15.5"/>
  </cols>
  <sheetData>
    <row r="1">
      <c r="A1" s="1" t="s">
        <v>0</v>
      </c>
      <c r="B1" s="2" t="s">
        <v>1</v>
      </c>
      <c r="C1" s="2" t="s">
        <v>2</v>
      </c>
      <c r="D1" s="2" t="s">
        <v>3</v>
      </c>
      <c r="E1" s="2" t="s">
        <v>4</v>
      </c>
      <c r="F1" s="2" t="s">
        <v>5</v>
      </c>
      <c r="G1" s="2" t="s">
        <v>6</v>
      </c>
      <c r="H1" s="3" t="s">
        <v>7</v>
      </c>
      <c r="I1" s="3" t="s">
        <v>8</v>
      </c>
      <c r="J1" s="3" t="s">
        <v>9</v>
      </c>
      <c r="K1" s="3" t="s">
        <v>10</v>
      </c>
      <c r="L1" s="3" t="s">
        <v>11</v>
      </c>
      <c r="M1" s="4" t="s">
        <v>12</v>
      </c>
      <c r="N1" s="4" t="s">
        <v>13</v>
      </c>
      <c r="O1" s="4" t="s">
        <v>14</v>
      </c>
      <c r="P1" s="4" t="s">
        <v>15</v>
      </c>
      <c r="Q1" s="4" t="s">
        <v>16</v>
      </c>
      <c r="R1" s="4" t="s">
        <v>17</v>
      </c>
      <c r="S1" s="4" t="s">
        <v>18</v>
      </c>
      <c r="T1" s="4" t="s">
        <v>19</v>
      </c>
      <c r="U1" s="4" t="s">
        <v>20</v>
      </c>
      <c r="V1" s="4" t="s">
        <v>21</v>
      </c>
      <c r="W1" s="4" t="s">
        <v>22</v>
      </c>
      <c r="X1" s="4" t="s">
        <v>23</v>
      </c>
      <c r="Y1" s="4" t="s">
        <v>24</v>
      </c>
      <c r="Z1" s="5" t="s">
        <v>25</v>
      </c>
      <c r="AA1" s="5" t="s">
        <v>26</v>
      </c>
      <c r="AB1" s="5" t="s">
        <v>27</v>
      </c>
      <c r="AC1" s="5" t="s">
        <v>28</v>
      </c>
      <c r="AD1" s="5" t="s">
        <v>29</v>
      </c>
      <c r="AE1" s="30" t="s">
        <v>484</v>
      </c>
      <c r="AF1" s="30" t="s">
        <v>485</v>
      </c>
      <c r="AG1" s="31" t="s">
        <v>486</v>
      </c>
      <c r="AH1" s="7"/>
      <c r="AI1" s="7"/>
      <c r="AJ1" s="7"/>
      <c r="AK1" s="7"/>
      <c r="AL1" s="7"/>
      <c r="AM1" s="7"/>
      <c r="AN1" s="7"/>
      <c r="AO1" s="7"/>
      <c r="AP1" s="7"/>
      <c r="AQ1" s="7"/>
      <c r="AR1" s="7"/>
    </row>
    <row r="2">
      <c r="A2" s="8">
        <v>1.0</v>
      </c>
      <c r="B2" s="9">
        <v>2.0</v>
      </c>
      <c r="C2" s="9">
        <v>3.0</v>
      </c>
      <c r="D2" s="9">
        <v>4.0</v>
      </c>
      <c r="E2" s="9">
        <v>5.0</v>
      </c>
      <c r="F2" s="9">
        <v>6.0</v>
      </c>
      <c r="G2" s="9">
        <v>7.0</v>
      </c>
      <c r="H2" s="11">
        <v>8.0</v>
      </c>
      <c r="I2" s="11">
        <v>9.0</v>
      </c>
      <c r="J2" s="11">
        <v>10.0</v>
      </c>
      <c r="K2" s="11">
        <v>11.0</v>
      </c>
      <c r="L2" s="11">
        <v>12.0</v>
      </c>
      <c r="M2" s="14">
        <v>13.0</v>
      </c>
      <c r="N2" s="14">
        <v>14.0</v>
      </c>
      <c r="O2" s="14">
        <v>15.0</v>
      </c>
      <c r="P2" s="14">
        <v>16.0</v>
      </c>
      <c r="Q2" s="14">
        <v>17.0</v>
      </c>
      <c r="R2" s="14">
        <v>18.0</v>
      </c>
      <c r="S2" s="14">
        <v>19.0</v>
      </c>
      <c r="T2" s="14">
        <v>20.0</v>
      </c>
      <c r="U2" s="14">
        <v>21.0</v>
      </c>
      <c r="V2" s="14">
        <v>22.0</v>
      </c>
      <c r="W2" s="14">
        <v>23.0</v>
      </c>
      <c r="X2" s="14">
        <v>24.0</v>
      </c>
      <c r="Y2" s="14">
        <v>25.0</v>
      </c>
      <c r="Z2" s="15">
        <v>26.0</v>
      </c>
      <c r="AA2" s="15">
        <v>27.0</v>
      </c>
      <c r="AB2" s="15">
        <v>28.0</v>
      </c>
      <c r="AC2" s="15">
        <v>29.0</v>
      </c>
      <c r="AD2" s="15">
        <v>30.0</v>
      </c>
      <c r="AE2" s="32">
        <v>31.0</v>
      </c>
      <c r="AF2" s="32">
        <v>32.0</v>
      </c>
      <c r="AG2" s="33">
        <v>33.0</v>
      </c>
      <c r="AH2" s="18"/>
      <c r="AI2" s="18"/>
      <c r="AJ2" s="18"/>
      <c r="AK2" s="18"/>
      <c r="AL2" s="18"/>
      <c r="AM2" s="18"/>
      <c r="AN2" s="18"/>
      <c r="AO2" s="18"/>
      <c r="AP2" s="18"/>
      <c r="AQ2" s="18"/>
      <c r="AR2" s="18"/>
    </row>
    <row r="3" ht="33.75" customHeight="1">
      <c r="A3" s="8" t="s">
        <v>30</v>
      </c>
      <c r="B3" s="19" t="s">
        <v>31</v>
      </c>
      <c r="C3" s="19" t="s">
        <v>62</v>
      </c>
      <c r="D3" s="19" t="s">
        <v>33</v>
      </c>
      <c r="E3" s="19" t="s">
        <v>34</v>
      </c>
      <c r="F3" s="19" t="s">
        <v>35</v>
      </c>
      <c r="G3" s="19" t="s">
        <v>36</v>
      </c>
      <c r="H3" s="19" t="s">
        <v>37</v>
      </c>
      <c r="I3" s="19" t="s">
        <v>38</v>
      </c>
      <c r="J3" s="19" t="s">
        <v>39</v>
      </c>
      <c r="K3" s="19" t="s">
        <v>40</v>
      </c>
      <c r="L3" s="19" t="s">
        <v>41</v>
      </c>
      <c r="M3" s="19" t="s">
        <v>42</v>
      </c>
      <c r="N3" s="19" t="s">
        <v>43</v>
      </c>
      <c r="O3" s="19" t="s">
        <v>44</v>
      </c>
      <c r="P3" s="19" t="s">
        <v>45</v>
      </c>
      <c r="Q3" s="19" t="s">
        <v>46</v>
      </c>
      <c r="R3" s="19" t="s">
        <v>47</v>
      </c>
      <c r="S3" s="19" t="s">
        <v>48</v>
      </c>
      <c r="T3" s="19" t="s">
        <v>49</v>
      </c>
      <c r="U3" s="19" t="s">
        <v>50</v>
      </c>
      <c r="V3" s="19" t="s">
        <v>51</v>
      </c>
      <c r="W3" s="19" t="s">
        <v>52</v>
      </c>
      <c r="X3" s="19" t="s">
        <v>53</v>
      </c>
      <c r="Y3" s="19" t="s">
        <v>54</v>
      </c>
      <c r="Z3" s="19" t="s">
        <v>55</v>
      </c>
      <c r="AA3" s="19" t="s">
        <v>56</v>
      </c>
      <c r="AB3" s="19" t="s">
        <v>57</v>
      </c>
      <c r="AC3" s="19" t="s">
        <v>58</v>
      </c>
      <c r="AD3" s="19" t="s">
        <v>59</v>
      </c>
      <c r="AE3" s="34" t="s">
        <v>487</v>
      </c>
      <c r="AF3" s="34" t="s">
        <v>488</v>
      </c>
      <c r="AG3" s="18"/>
      <c r="AH3" s="18"/>
      <c r="AI3" s="18"/>
      <c r="AJ3" s="18"/>
      <c r="AK3" s="18"/>
      <c r="AL3" s="18"/>
      <c r="AM3" s="18"/>
      <c r="AN3" s="18"/>
      <c r="AO3" s="18"/>
      <c r="AP3" s="18"/>
      <c r="AQ3" s="18"/>
      <c r="AR3" s="18"/>
    </row>
    <row r="4">
      <c r="A4" s="8" t="s">
        <v>60</v>
      </c>
      <c r="B4" s="19" t="s">
        <v>61</v>
      </c>
      <c r="D4" s="19" t="s">
        <v>63</v>
      </c>
      <c r="E4" s="19" t="s">
        <v>64</v>
      </c>
      <c r="F4" s="19" t="s">
        <v>65</v>
      </c>
      <c r="G4" s="19" t="s">
        <v>66</v>
      </c>
      <c r="H4" s="19" t="s">
        <v>67</v>
      </c>
      <c r="I4" s="19" t="s">
        <v>68</v>
      </c>
      <c r="J4" s="19" t="s">
        <v>69</v>
      </c>
      <c r="K4" s="19" t="s">
        <v>70</v>
      </c>
      <c r="L4" s="19" t="s">
        <v>71</v>
      </c>
      <c r="M4" s="19" t="s">
        <v>72</v>
      </c>
      <c r="N4" s="19" t="s">
        <v>73</v>
      </c>
      <c r="O4" s="19" t="s">
        <v>73</v>
      </c>
      <c r="P4" s="19" t="s">
        <v>74</v>
      </c>
      <c r="Q4" s="20" t="s">
        <v>75</v>
      </c>
      <c r="R4" s="19" t="s">
        <v>76</v>
      </c>
      <c r="S4" s="19" t="s">
        <v>77</v>
      </c>
      <c r="T4" s="19">
        <v>2018.0</v>
      </c>
      <c r="U4" s="19" t="s">
        <v>78</v>
      </c>
      <c r="V4" s="19" t="s">
        <v>79</v>
      </c>
      <c r="W4" s="19" t="s">
        <v>80</v>
      </c>
      <c r="X4" s="19" t="s">
        <v>80</v>
      </c>
      <c r="Y4" s="19" t="s">
        <v>80</v>
      </c>
      <c r="Z4" s="19" t="s">
        <v>81</v>
      </c>
      <c r="AA4" s="19" t="s">
        <v>82</v>
      </c>
      <c r="AB4" s="20" t="s">
        <v>489</v>
      </c>
      <c r="AC4" s="19">
        <v>123.0</v>
      </c>
      <c r="AD4" s="19" t="s">
        <v>84</v>
      </c>
      <c r="AE4" s="35">
        <v>28.0</v>
      </c>
      <c r="AF4" s="35" t="s">
        <v>71</v>
      </c>
      <c r="AG4" s="18"/>
      <c r="AH4" s="18"/>
      <c r="AI4" s="18"/>
      <c r="AJ4" s="18"/>
      <c r="AK4" s="18"/>
      <c r="AL4" s="18"/>
      <c r="AM4" s="18"/>
      <c r="AN4" s="18"/>
      <c r="AO4" s="18"/>
      <c r="AP4" s="18"/>
      <c r="AQ4" s="18"/>
      <c r="AR4" s="18"/>
    </row>
    <row r="5">
      <c r="A5" s="36" t="s">
        <v>82</v>
      </c>
      <c r="B5" s="37"/>
      <c r="C5" s="37"/>
      <c r="D5" s="38"/>
      <c r="E5" s="38"/>
      <c r="F5" s="37"/>
      <c r="G5" s="37"/>
      <c r="H5" s="37"/>
      <c r="I5" s="37"/>
      <c r="J5" s="37"/>
      <c r="K5" s="37"/>
      <c r="L5" s="37"/>
      <c r="M5" s="37"/>
      <c r="N5" s="37"/>
      <c r="O5" s="37"/>
      <c r="P5" s="37"/>
      <c r="Q5" s="37"/>
      <c r="R5" s="37"/>
      <c r="S5" s="37"/>
      <c r="T5" s="37"/>
      <c r="U5" s="37"/>
      <c r="V5" s="37"/>
      <c r="W5" s="37"/>
      <c r="X5" s="37"/>
      <c r="Y5" s="37"/>
      <c r="Z5" s="37"/>
      <c r="AA5" s="37"/>
      <c r="AB5" s="37"/>
      <c r="AC5" s="37"/>
      <c r="AD5" s="37"/>
      <c r="AE5" s="39"/>
      <c r="AF5" s="39"/>
      <c r="AG5" s="40"/>
      <c r="AH5" s="40"/>
      <c r="AI5" s="40"/>
      <c r="AJ5" s="40"/>
      <c r="AK5" s="40"/>
      <c r="AL5" s="40"/>
      <c r="AM5" s="40"/>
      <c r="AN5" s="40"/>
      <c r="AO5" s="40"/>
      <c r="AP5" s="40"/>
      <c r="AQ5" s="40"/>
      <c r="AR5" s="40"/>
    </row>
    <row r="6">
      <c r="A6" s="8">
        <v>1.0</v>
      </c>
      <c r="B6" s="21" t="s">
        <v>490</v>
      </c>
      <c r="C6" s="21" t="s">
        <v>491</v>
      </c>
      <c r="D6" s="41"/>
      <c r="E6" s="41"/>
      <c r="F6" s="19" t="s">
        <v>130</v>
      </c>
      <c r="G6" s="19" t="s">
        <v>123</v>
      </c>
      <c r="H6" s="19" t="s">
        <v>492</v>
      </c>
      <c r="I6" s="19" t="s">
        <v>492</v>
      </c>
      <c r="J6" s="19" t="s">
        <v>151</v>
      </c>
      <c r="K6" s="19"/>
      <c r="L6" s="19" t="s">
        <v>111</v>
      </c>
      <c r="M6" s="21"/>
      <c r="N6" s="19"/>
      <c r="O6" s="19"/>
      <c r="P6" s="19"/>
      <c r="Q6" s="25"/>
      <c r="R6" s="19"/>
      <c r="S6" s="19"/>
      <c r="T6" s="21"/>
      <c r="U6" s="19"/>
      <c r="V6" s="19"/>
      <c r="W6" s="19"/>
      <c r="X6" s="19"/>
      <c r="Y6" s="19"/>
      <c r="Z6" s="19" t="s">
        <v>493</v>
      </c>
      <c r="AA6" s="19" t="s">
        <v>82</v>
      </c>
      <c r="AB6" s="21"/>
      <c r="AC6" s="21"/>
      <c r="AD6" s="21"/>
      <c r="AE6" s="39"/>
      <c r="AF6" s="39"/>
      <c r="AG6" s="24"/>
      <c r="AH6" s="24"/>
      <c r="AI6" s="24"/>
      <c r="AJ6" s="24"/>
      <c r="AK6" s="24"/>
      <c r="AL6" s="24"/>
      <c r="AM6" s="24"/>
      <c r="AN6" s="24"/>
      <c r="AO6" s="24"/>
      <c r="AP6" s="24"/>
      <c r="AQ6" s="24"/>
      <c r="AR6" s="24"/>
    </row>
    <row r="7">
      <c r="A7" s="8">
        <v>2.0</v>
      </c>
      <c r="B7" s="21" t="s">
        <v>494</v>
      </c>
      <c r="C7" s="21" t="s">
        <v>495</v>
      </c>
      <c r="D7" s="41"/>
      <c r="E7" s="41"/>
      <c r="F7" s="19" t="s">
        <v>459</v>
      </c>
      <c r="G7" s="19"/>
      <c r="H7" s="42" t="s">
        <v>496</v>
      </c>
      <c r="I7" s="43" t="s">
        <v>496</v>
      </c>
      <c r="J7" s="19" t="s">
        <v>91</v>
      </c>
      <c r="K7" s="19"/>
      <c r="L7" s="19" t="s">
        <v>111</v>
      </c>
      <c r="M7" s="44" t="s">
        <v>497</v>
      </c>
      <c r="N7" s="19"/>
      <c r="O7" s="19"/>
      <c r="P7" s="19" t="s">
        <v>145</v>
      </c>
      <c r="Q7" s="22" t="s">
        <v>498</v>
      </c>
      <c r="R7" s="19"/>
      <c r="S7" s="19"/>
      <c r="T7" s="21"/>
      <c r="U7" s="19"/>
      <c r="V7" s="19"/>
      <c r="W7" s="19"/>
      <c r="X7" s="19"/>
      <c r="Y7" s="19"/>
      <c r="Z7" s="45" t="s">
        <v>499</v>
      </c>
      <c r="AA7" s="19" t="s">
        <v>82</v>
      </c>
      <c r="AB7" s="21"/>
      <c r="AC7" s="21"/>
      <c r="AD7" s="21"/>
      <c r="AE7" s="39"/>
      <c r="AF7" s="39"/>
      <c r="AG7" s="24"/>
      <c r="AH7" s="24"/>
      <c r="AI7" s="24"/>
      <c r="AJ7" s="24"/>
      <c r="AK7" s="24"/>
      <c r="AL7" s="24"/>
      <c r="AM7" s="24"/>
      <c r="AN7" s="24"/>
      <c r="AO7" s="24"/>
      <c r="AP7" s="24"/>
      <c r="AQ7" s="24"/>
      <c r="AR7" s="24"/>
    </row>
    <row r="8">
      <c r="A8" s="8">
        <v>3.0</v>
      </c>
      <c r="B8" s="21" t="s">
        <v>500</v>
      </c>
      <c r="C8" s="21" t="s">
        <v>501</v>
      </c>
      <c r="D8" s="41"/>
      <c r="E8" s="41"/>
      <c r="F8" s="19" t="s">
        <v>107</v>
      </c>
      <c r="G8" s="19" t="s">
        <v>123</v>
      </c>
      <c r="H8" s="46" t="s">
        <v>502</v>
      </c>
      <c r="I8" s="21" t="s">
        <v>502</v>
      </c>
      <c r="J8" s="19" t="s">
        <v>91</v>
      </c>
      <c r="K8" s="19"/>
      <c r="L8" s="19" t="s">
        <v>111</v>
      </c>
      <c r="M8" s="47" t="s">
        <v>503</v>
      </c>
      <c r="N8" s="19"/>
      <c r="O8" s="19"/>
      <c r="P8" s="19" t="s">
        <v>95</v>
      </c>
      <c r="Q8" s="22" t="s">
        <v>504</v>
      </c>
      <c r="R8" s="19"/>
      <c r="S8" s="19"/>
      <c r="T8" s="21"/>
      <c r="U8" s="19"/>
      <c r="V8" s="19"/>
      <c r="W8" s="19"/>
      <c r="X8" s="19"/>
      <c r="Y8" s="19"/>
      <c r="Z8" s="47" t="s">
        <v>505</v>
      </c>
      <c r="AA8" s="19" t="s">
        <v>82</v>
      </c>
      <c r="AB8" s="21"/>
      <c r="AC8" s="21"/>
      <c r="AD8" s="21"/>
      <c r="AE8" s="39"/>
      <c r="AF8" s="39"/>
      <c r="AG8" s="24"/>
      <c r="AH8" s="24"/>
      <c r="AI8" s="24"/>
      <c r="AJ8" s="24"/>
      <c r="AK8" s="24"/>
      <c r="AL8" s="24"/>
      <c r="AM8" s="24"/>
      <c r="AN8" s="24"/>
      <c r="AO8" s="24"/>
      <c r="AP8" s="24"/>
      <c r="AQ8" s="24"/>
      <c r="AR8" s="24"/>
    </row>
    <row r="9">
      <c r="A9" s="8">
        <v>4.0</v>
      </c>
      <c r="B9" s="21" t="s">
        <v>506</v>
      </c>
      <c r="C9" s="21" t="s">
        <v>507</v>
      </c>
      <c r="D9" s="41"/>
      <c r="E9" s="41"/>
      <c r="F9" s="19" t="s">
        <v>122</v>
      </c>
      <c r="G9" s="19" t="s">
        <v>66</v>
      </c>
      <c r="H9" s="42" t="s">
        <v>508</v>
      </c>
      <c r="I9" s="21" t="s">
        <v>508</v>
      </c>
      <c r="J9" s="19" t="s">
        <v>151</v>
      </c>
      <c r="K9" s="19"/>
      <c r="L9" s="19" t="s">
        <v>111</v>
      </c>
      <c r="M9" s="21"/>
      <c r="N9" s="19"/>
      <c r="O9" s="19"/>
      <c r="P9" s="19"/>
      <c r="Q9" s="25"/>
      <c r="R9" s="19"/>
      <c r="S9" s="19"/>
      <c r="T9" s="21"/>
      <c r="U9" s="19"/>
      <c r="V9" s="19"/>
      <c r="W9" s="19"/>
      <c r="X9" s="19"/>
      <c r="Y9" s="19"/>
      <c r="Z9" s="47" t="s">
        <v>509</v>
      </c>
      <c r="AA9" s="19" t="s">
        <v>82</v>
      </c>
      <c r="AB9" s="21"/>
      <c r="AC9" s="21"/>
      <c r="AD9" s="21"/>
      <c r="AE9" s="39"/>
      <c r="AF9" s="39"/>
      <c r="AG9" s="24"/>
      <c r="AH9" s="24"/>
      <c r="AI9" s="24"/>
      <c r="AJ9" s="24"/>
      <c r="AK9" s="24"/>
      <c r="AL9" s="24"/>
      <c r="AM9" s="24"/>
      <c r="AN9" s="24"/>
      <c r="AO9" s="24"/>
      <c r="AP9" s="24"/>
      <c r="AQ9" s="24"/>
      <c r="AR9" s="24"/>
    </row>
    <row r="10">
      <c r="A10" s="8">
        <v>5.0</v>
      </c>
      <c r="B10" s="21" t="s">
        <v>510</v>
      </c>
      <c r="C10" s="21" t="s">
        <v>511</v>
      </c>
      <c r="D10" s="41"/>
      <c r="E10" s="41"/>
      <c r="F10" s="19" t="s">
        <v>122</v>
      </c>
      <c r="G10" s="19" t="s">
        <v>66</v>
      </c>
      <c r="H10" s="19" t="s">
        <v>512</v>
      </c>
      <c r="I10" s="21" t="s">
        <v>512</v>
      </c>
      <c r="J10" s="19" t="s">
        <v>151</v>
      </c>
      <c r="K10" s="19"/>
      <c r="L10" s="19" t="s">
        <v>111</v>
      </c>
      <c r="M10" s="21"/>
      <c r="N10" s="19"/>
      <c r="O10" s="19"/>
      <c r="P10" s="19"/>
      <c r="Q10" s="25"/>
      <c r="R10" s="19"/>
      <c r="S10" s="19"/>
      <c r="T10" s="21"/>
      <c r="U10" s="19"/>
      <c r="V10" s="19"/>
      <c r="W10" s="19"/>
      <c r="X10" s="19"/>
      <c r="Y10" s="19"/>
      <c r="Z10" s="47" t="s">
        <v>509</v>
      </c>
      <c r="AA10" s="19" t="s">
        <v>82</v>
      </c>
      <c r="AB10" s="21"/>
      <c r="AC10" s="21"/>
      <c r="AD10" s="21"/>
      <c r="AE10" s="39"/>
      <c r="AF10" s="39"/>
      <c r="AG10" s="24"/>
      <c r="AH10" s="24"/>
      <c r="AI10" s="24"/>
      <c r="AJ10" s="24"/>
      <c r="AK10" s="24"/>
      <c r="AL10" s="24"/>
      <c r="AM10" s="24"/>
      <c r="AN10" s="24"/>
      <c r="AO10" s="24"/>
      <c r="AP10" s="24"/>
      <c r="AQ10" s="24"/>
      <c r="AR10" s="24"/>
    </row>
    <row r="11">
      <c r="A11" s="8">
        <v>6.0</v>
      </c>
      <c r="B11" s="21" t="s">
        <v>513</v>
      </c>
      <c r="C11" s="21" t="s">
        <v>514</v>
      </c>
      <c r="D11" s="41"/>
      <c r="E11" s="41"/>
      <c r="F11" s="19" t="s">
        <v>130</v>
      </c>
      <c r="G11" s="19" t="s">
        <v>66</v>
      </c>
      <c r="H11" s="48" t="s">
        <v>515</v>
      </c>
      <c r="I11" s="21" t="s">
        <v>515</v>
      </c>
      <c r="J11" s="19" t="s">
        <v>151</v>
      </c>
      <c r="K11" s="19"/>
      <c r="L11" s="19" t="s">
        <v>111</v>
      </c>
      <c r="M11" s="21"/>
      <c r="N11" s="19"/>
      <c r="O11" s="19"/>
      <c r="P11" s="19"/>
      <c r="Q11" s="25"/>
      <c r="R11" s="19"/>
      <c r="S11" s="19"/>
      <c r="T11" s="21"/>
      <c r="U11" s="19"/>
      <c r="V11" s="19"/>
      <c r="W11" s="19"/>
      <c r="X11" s="19"/>
      <c r="Y11" s="19"/>
      <c r="Z11" s="49" t="s">
        <v>509</v>
      </c>
      <c r="AA11" s="19" t="s">
        <v>82</v>
      </c>
      <c r="AB11" s="21"/>
      <c r="AC11" s="21"/>
      <c r="AD11" s="21"/>
      <c r="AE11" s="39"/>
      <c r="AF11" s="39"/>
      <c r="AG11" s="24"/>
      <c r="AH11" s="24"/>
      <c r="AI11" s="24"/>
      <c r="AJ11" s="24"/>
      <c r="AK11" s="24"/>
      <c r="AL11" s="24"/>
      <c r="AM11" s="24"/>
      <c r="AN11" s="24"/>
      <c r="AO11" s="24"/>
      <c r="AP11" s="24"/>
      <c r="AQ11" s="24"/>
      <c r="AR11" s="24"/>
    </row>
    <row r="12">
      <c r="A12" s="8">
        <v>7.0</v>
      </c>
      <c r="B12" s="21" t="s">
        <v>516</v>
      </c>
      <c r="C12" s="21" t="s">
        <v>517</v>
      </c>
      <c r="D12" s="41"/>
      <c r="E12" s="41"/>
      <c r="F12" s="19" t="s">
        <v>122</v>
      </c>
      <c r="G12" s="19" t="s">
        <v>123</v>
      </c>
      <c r="H12" s="48" t="s">
        <v>518</v>
      </c>
      <c r="I12" s="21" t="s">
        <v>518</v>
      </c>
      <c r="J12" s="19" t="s">
        <v>151</v>
      </c>
      <c r="K12" s="19"/>
      <c r="L12" s="19" t="s">
        <v>111</v>
      </c>
      <c r="M12" s="21"/>
      <c r="N12" s="19"/>
      <c r="O12" s="19"/>
      <c r="P12" s="19"/>
      <c r="Q12" s="25"/>
      <c r="R12" s="19"/>
      <c r="S12" s="19"/>
      <c r="T12" s="21"/>
      <c r="U12" s="19"/>
      <c r="V12" s="19"/>
      <c r="W12" s="19"/>
      <c r="X12" s="19"/>
      <c r="Y12" s="19"/>
      <c r="Z12" s="49" t="s">
        <v>509</v>
      </c>
      <c r="AA12" s="19" t="s">
        <v>82</v>
      </c>
      <c r="AB12" s="21"/>
      <c r="AC12" s="21"/>
      <c r="AD12" s="21"/>
      <c r="AE12" s="39"/>
      <c r="AF12" s="39"/>
      <c r="AG12" s="24"/>
      <c r="AH12" s="24"/>
      <c r="AI12" s="24"/>
      <c r="AJ12" s="24"/>
      <c r="AK12" s="24"/>
      <c r="AL12" s="24"/>
      <c r="AM12" s="24"/>
      <c r="AN12" s="24"/>
      <c r="AO12" s="24"/>
      <c r="AP12" s="24"/>
      <c r="AQ12" s="24"/>
      <c r="AR12" s="24"/>
    </row>
    <row r="13">
      <c r="A13" s="8">
        <v>8.0</v>
      </c>
      <c r="B13" s="21" t="s">
        <v>519</v>
      </c>
      <c r="C13" s="21" t="s">
        <v>520</v>
      </c>
      <c r="D13" s="41"/>
      <c r="E13" s="41"/>
      <c r="F13" s="19" t="s">
        <v>339</v>
      </c>
      <c r="G13" s="19" t="s">
        <v>123</v>
      </c>
      <c r="H13" s="50" t="s">
        <v>521</v>
      </c>
      <c r="I13" s="21" t="s">
        <v>521</v>
      </c>
      <c r="J13" s="19" t="s">
        <v>151</v>
      </c>
      <c r="K13" s="19"/>
      <c r="L13" s="19" t="s">
        <v>111</v>
      </c>
      <c r="M13" s="51" t="s">
        <v>522</v>
      </c>
      <c r="N13" s="19"/>
      <c r="O13" s="19"/>
      <c r="P13" s="19" t="s">
        <v>95</v>
      </c>
      <c r="Q13" s="52" t="s">
        <v>523</v>
      </c>
      <c r="R13" s="19"/>
      <c r="S13" s="19"/>
      <c r="T13" s="21"/>
      <c r="U13" s="19"/>
      <c r="V13" s="19"/>
      <c r="W13" s="19"/>
      <c r="X13" s="19"/>
      <c r="Y13" s="19"/>
      <c r="Z13" s="19"/>
      <c r="AA13" s="19" t="s">
        <v>82</v>
      </c>
      <c r="AB13" s="21"/>
      <c r="AC13" s="21"/>
      <c r="AD13" s="21"/>
      <c r="AE13" s="39"/>
      <c r="AF13" s="39"/>
      <c r="AG13" s="24"/>
      <c r="AH13" s="24"/>
      <c r="AI13" s="24"/>
      <c r="AJ13" s="24"/>
      <c r="AK13" s="24"/>
      <c r="AL13" s="24"/>
      <c r="AM13" s="24"/>
      <c r="AN13" s="24"/>
      <c r="AO13" s="24"/>
      <c r="AP13" s="24"/>
      <c r="AQ13" s="24"/>
      <c r="AR13" s="24"/>
    </row>
    <row r="14">
      <c r="A14" s="8">
        <v>9.0</v>
      </c>
      <c r="B14" s="21" t="s">
        <v>524</v>
      </c>
      <c r="C14" s="21" t="s">
        <v>525</v>
      </c>
      <c r="D14" s="41"/>
      <c r="E14" s="41"/>
      <c r="F14" s="19" t="s">
        <v>127</v>
      </c>
      <c r="G14" s="19" t="s">
        <v>123</v>
      </c>
      <c r="H14" s="42" t="s">
        <v>526</v>
      </c>
      <c r="I14" s="21" t="s">
        <v>526</v>
      </c>
      <c r="J14" s="19" t="s">
        <v>91</v>
      </c>
      <c r="K14" s="19"/>
      <c r="L14" s="19" t="s">
        <v>152</v>
      </c>
      <c r="M14" s="53" t="s">
        <v>527</v>
      </c>
      <c r="N14" s="19"/>
      <c r="O14" s="19"/>
      <c r="P14" s="19" t="s">
        <v>95</v>
      </c>
      <c r="Q14" s="22" t="s">
        <v>528</v>
      </c>
      <c r="R14" s="19"/>
      <c r="S14" s="19"/>
      <c r="T14" s="21"/>
      <c r="U14" s="19"/>
      <c r="V14" s="19"/>
      <c r="W14" s="19"/>
      <c r="X14" s="19"/>
      <c r="Y14" s="19"/>
      <c r="Z14" s="19"/>
      <c r="AA14" s="19" t="s">
        <v>82</v>
      </c>
      <c r="AB14" s="21"/>
      <c r="AC14" s="21"/>
      <c r="AD14" s="21"/>
      <c r="AE14" s="39"/>
      <c r="AF14" s="39"/>
      <c r="AG14" s="24"/>
      <c r="AH14" s="24"/>
      <c r="AI14" s="24"/>
      <c r="AJ14" s="24"/>
      <c r="AK14" s="24"/>
      <c r="AL14" s="24"/>
      <c r="AM14" s="24"/>
      <c r="AN14" s="24"/>
      <c r="AO14" s="24"/>
      <c r="AP14" s="24"/>
      <c r="AQ14" s="24"/>
      <c r="AR14" s="24"/>
    </row>
    <row r="15">
      <c r="A15" s="8">
        <v>10.0</v>
      </c>
      <c r="B15" s="21" t="s">
        <v>529</v>
      </c>
      <c r="C15" s="21" t="s">
        <v>530</v>
      </c>
      <c r="D15" s="41"/>
      <c r="E15" s="41"/>
      <c r="F15" s="19" t="s">
        <v>122</v>
      </c>
      <c r="G15" s="19" t="s">
        <v>123</v>
      </c>
      <c r="H15" s="48" t="s">
        <v>531</v>
      </c>
      <c r="I15" s="21" t="s">
        <v>531</v>
      </c>
      <c r="J15" s="19" t="s">
        <v>151</v>
      </c>
      <c r="K15" s="19"/>
      <c r="L15" s="19" t="s">
        <v>111</v>
      </c>
      <c r="M15" s="21"/>
      <c r="N15" s="19"/>
      <c r="O15" s="19"/>
      <c r="P15" s="19"/>
      <c r="Q15" s="25"/>
      <c r="R15" s="19"/>
      <c r="S15" s="19"/>
      <c r="T15" s="21"/>
      <c r="U15" s="19"/>
      <c r="V15" s="19"/>
      <c r="W15" s="19"/>
      <c r="X15" s="19"/>
      <c r="Y15" s="19"/>
      <c r="Z15" s="19"/>
      <c r="AA15" s="19" t="s">
        <v>82</v>
      </c>
      <c r="AB15" s="21"/>
      <c r="AC15" s="21"/>
      <c r="AD15" s="21"/>
      <c r="AE15" s="39"/>
      <c r="AF15" s="39"/>
      <c r="AG15" s="24"/>
      <c r="AH15" s="24"/>
      <c r="AI15" s="24"/>
      <c r="AJ15" s="24"/>
      <c r="AK15" s="24"/>
      <c r="AL15" s="24"/>
      <c r="AM15" s="24"/>
      <c r="AN15" s="24"/>
      <c r="AO15" s="24"/>
      <c r="AP15" s="24"/>
      <c r="AQ15" s="24"/>
      <c r="AR15" s="24"/>
    </row>
    <row r="16">
      <c r="A16" s="8">
        <v>11.0</v>
      </c>
      <c r="B16" s="21" t="s">
        <v>532</v>
      </c>
      <c r="C16" s="21" t="s">
        <v>533</v>
      </c>
      <c r="D16" s="41"/>
      <c r="E16" s="41"/>
      <c r="F16" s="19" t="s">
        <v>122</v>
      </c>
      <c r="G16" s="19" t="s">
        <v>123</v>
      </c>
      <c r="H16" s="48" t="s">
        <v>534</v>
      </c>
      <c r="I16" s="21" t="s">
        <v>534</v>
      </c>
      <c r="J16" s="19" t="s">
        <v>151</v>
      </c>
      <c r="K16" s="19"/>
      <c r="L16" s="19" t="s">
        <v>111</v>
      </c>
      <c r="M16" s="21"/>
      <c r="N16" s="19"/>
      <c r="O16" s="19"/>
      <c r="P16" s="19"/>
      <c r="Q16" s="25"/>
      <c r="R16" s="19"/>
      <c r="S16" s="19"/>
      <c r="T16" s="21"/>
      <c r="U16" s="19"/>
      <c r="V16" s="19"/>
      <c r="W16" s="19"/>
      <c r="X16" s="19"/>
      <c r="Y16" s="19"/>
      <c r="Z16" s="19"/>
      <c r="AA16" s="19" t="s">
        <v>82</v>
      </c>
      <c r="AB16" s="21"/>
      <c r="AC16" s="21"/>
      <c r="AD16" s="21"/>
      <c r="AE16" s="39"/>
      <c r="AF16" s="39"/>
      <c r="AG16" s="24"/>
      <c r="AH16" s="24"/>
      <c r="AI16" s="24"/>
      <c r="AJ16" s="24"/>
      <c r="AK16" s="24"/>
      <c r="AL16" s="24"/>
      <c r="AM16" s="24"/>
      <c r="AN16" s="24"/>
      <c r="AO16" s="24"/>
      <c r="AP16" s="24"/>
      <c r="AQ16" s="24"/>
      <c r="AR16" s="24"/>
    </row>
    <row r="17">
      <c r="A17" s="8">
        <v>12.0</v>
      </c>
      <c r="B17" s="21" t="s">
        <v>535</v>
      </c>
      <c r="C17" s="21" t="s">
        <v>536</v>
      </c>
      <c r="D17" s="41"/>
      <c r="E17" s="41"/>
      <c r="F17" s="19" t="s">
        <v>122</v>
      </c>
      <c r="G17" s="19" t="s">
        <v>123</v>
      </c>
      <c r="H17" s="54" t="s">
        <v>537</v>
      </c>
      <c r="I17" s="21" t="s">
        <v>537</v>
      </c>
      <c r="J17" s="19" t="s">
        <v>91</v>
      </c>
      <c r="K17" s="19"/>
      <c r="L17" s="19" t="s">
        <v>111</v>
      </c>
      <c r="M17" s="55" t="s">
        <v>538</v>
      </c>
      <c r="N17" s="19"/>
      <c r="O17" s="19"/>
      <c r="P17" s="19" t="s">
        <v>95</v>
      </c>
      <c r="Q17" s="22" t="s">
        <v>539</v>
      </c>
      <c r="R17" s="19"/>
      <c r="S17" s="19"/>
      <c r="T17" s="21"/>
      <c r="U17" s="19"/>
      <c r="V17" s="19"/>
      <c r="W17" s="19"/>
      <c r="X17" s="19"/>
      <c r="Y17" s="19"/>
      <c r="Z17" s="19"/>
      <c r="AA17" s="19" t="s">
        <v>82</v>
      </c>
      <c r="AB17" s="21"/>
      <c r="AC17" s="21"/>
      <c r="AD17" s="21"/>
      <c r="AE17" s="39"/>
      <c r="AF17" s="39"/>
      <c r="AG17" s="24"/>
      <c r="AH17" s="24"/>
      <c r="AI17" s="24"/>
      <c r="AJ17" s="24"/>
      <c r="AK17" s="24"/>
      <c r="AL17" s="24"/>
      <c r="AM17" s="24"/>
      <c r="AN17" s="24"/>
      <c r="AO17" s="24"/>
      <c r="AP17" s="24"/>
      <c r="AQ17" s="24"/>
      <c r="AR17" s="24"/>
    </row>
    <row r="18">
      <c r="A18" s="8">
        <v>13.0</v>
      </c>
      <c r="B18" s="21" t="s">
        <v>540</v>
      </c>
      <c r="C18" s="21" t="s">
        <v>541</v>
      </c>
      <c r="D18" s="41"/>
      <c r="E18" s="41"/>
      <c r="F18" s="19" t="s">
        <v>130</v>
      </c>
      <c r="G18" s="19" t="s">
        <v>66</v>
      </c>
      <c r="H18" s="48" t="s">
        <v>542</v>
      </c>
      <c r="I18" s="21" t="s">
        <v>542</v>
      </c>
      <c r="J18" s="19" t="s">
        <v>91</v>
      </c>
      <c r="K18" s="19"/>
      <c r="L18" s="19" t="s">
        <v>111</v>
      </c>
      <c r="M18" s="21"/>
      <c r="N18" s="19"/>
      <c r="O18" s="19"/>
      <c r="P18" s="19"/>
      <c r="Q18" s="25"/>
      <c r="R18" s="19"/>
      <c r="S18" s="19"/>
      <c r="T18" s="21"/>
      <c r="U18" s="19"/>
      <c r="V18" s="19"/>
      <c r="W18" s="19"/>
      <c r="X18" s="19"/>
      <c r="Y18" s="19"/>
      <c r="Z18" s="19"/>
      <c r="AA18" s="19" t="s">
        <v>82</v>
      </c>
      <c r="AB18" s="21"/>
      <c r="AC18" s="21"/>
      <c r="AD18" s="21"/>
      <c r="AE18" s="39"/>
      <c r="AF18" s="39"/>
      <c r="AG18" s="24"/>
      <c r="AH18" s="24"/>
      <c r="AI18" s="24"/>
      <c r="AJ18" s="24"/>
      <c r="AK18" s="24"/>
      <c r="AL18" s="24"/>
      <c r="AM18" s="24"/>
      <c r="AN18" s="24"/>
      <c r="AO18" s="24"/>
      <c r="AP18" s="24"/>
      <c r="AQ18" s="24"/>
      <c r="AR18" s="24"/>
    </row>
    <row r="19">
      <c r="A19" s="8">
        <v>14.0</v>
      </c>
      <c r="B19" s="21" t="s">
        <v>543</v>
      </c>
      <c r="C19" s="21" t="s">
        <v>544</v>
      </c>
      <c r="D19" s="41"/>
      <c r="E19" s="41"/>
      <c r="F19" s="19" t="s">
        <v>462</v>
      </c>
      <c r="G19" s="19" t="s">
        <v>66</v>
      </c>
      <c r="H19" s="48" t="s">
        <v>545</v>
      </c>
      <c r="I19" s="21" t="s">
        <v>545</v>
      </c>
      <c r="J19" s="19" t="s">
        <v>151</v>
      </c>
      <c r="K19" s="19"/>
      <c r="L19" s="19" t="s">
        <v>111</v>
      </c>
      <c r="M19" s="21"/>
      <c r="N19" s="19"/>
      <c r="O19" s="19"/>
      <c r="P19" s="19"/>
      <c r="Q19" s="25"/>
      <c r="R19" s="19"/>
      <c r="S19" s="19"/>
      <c r="T19" s="21"/>
      <c r="U19" s="19"/>
      <c r="V19" s="19"/>
      <c r="W19" s="19"/>
      <c r="X19" s="19"/>
      <c r="Y19" s="19"/>
      <c r="Z19" s="19"/>
      <c r="AA19" s="19" t="s">
        <v>82</v>
      </c>
      <c r="AB19" s="21"/>
      <c r="AC19" s="21"/>
      <c r="AD19" s="21"/>
      <c r="AE19" s="39"/>
      <c r="AF19" s="39"/>
      <c r="AG19" s="24"/>
      <c r="AH19" s="24"/>
      <c r="AI19" s="24"/>
      <c r="AJ19" s="24"/>
      <c r="AK19" s="24"/>
      <c r="AL19" s="24"/>
      <c r="AM19" s="24"/>
      <c r="AN19" s="24"/>
      <c r="AO19" s="24"/>
      <c r="AP19" s="24"/>
      <c r="AQ19" s="24"/>
      <c r="AR19" s="24"/>
    </row>
    <row r="20">
      <c r="A20" s="8">
        <v>15.0</v>
      </c>
      <c r="B20" s="21" t="s">
        <v>61</v>
      </c>
      <c r="C20" s="21" t="s">
        <v>546</v>
      </c>
      <c r="D20" s="41"/>
      <c r="E20" s="41"/>
      <c r="F20" s="19" t="s">
        <v>65</v>
      </c>
      <c r="G20" s="19" t="s">
        <v>66</v>
      </c>
      <c r="H20" s="48" t="s">
        <v>68</v>
      </c>
      <c r="I20" s="21" t="s">
        <v>68</v>
      </c>
      <c r="J20" s="19" t="s">
        <v>91</v>
      </c>
      <c r="K20" s="19"/>
      <c r="L20" s="19" t="s">
        <v>152</v>
      </c>
      <c r="M20" s="53" t="s">
        <v>72</v>
      </c>
      <c r="N20" s="19"/>
      <c r="O20" s="19"/>
      <c r="P20" s="19"/>
      <c r="Q20" s="25"/>
      <c r="R20" s="19"/>
      <c r="S20" s="19"/>
      <c r="T20" s="21"/>
      <c r="U20" s="19"/>
      <c r="V20" s="19"/>
      <c r="W20" s="19"/>
      <c r="X20" s="19"/>
      <c r="Y20" s="19"/>
      <c r="Z20" s="19"/>
      <c r="AA20" s="19" t="s">
        <v>82</v>
      </c>
      <c r="AB20" s="21"/>
      <c r="AC20" s="21"/>
      <c r="AD20" s="21"/>
      <c r="AE20" s="39"/>
      <c r="AF20" s="39"/>
      <c r="AG20" s="24"/>
      <c r="AH20" s="24"/>
      <c r="AI20" s="24"/>
      <c r="AJ20" s="24"/>
      <c r="AK20" s="24"/>
      <c r="AL20" s="24"/>
      <c r="AM20" s="24"/>
      <c r="AN20" s="24"/>
      <c r="AO20" s="24"/>
      <c r="AP20" s="24"/>
      <c r="AQ20" s="24"/>
      <c r="AR20" s="24"/>
    </row>
    <row r="21">
      <c r="A21" s="8">
        <v>16.0</v>
      </c>
      <c r="B21" s="21" t="s">
        <v>547</v>
      </c>
      <c r="C21" s="21" t="s">
        <v>548</v>
      </c>
      <c r="D21" s="41"/>
      <c r="E21" s="41"/>
      <c r="F21" s="19" t="s">
        <v>65</v>
      </c>
      <c r="G21" s="19" t="s">
        <v>66</v>
      </c>
      <c r="H21" s="48" t="s">
        <v>549</v>
      </c>
      <c r="I21" s="21" t="s">
        <v>549</v>
      </c>
      <c r="J21" s="19" t="s">
        <v>91</v>
      </c>
      <c r="K21" s="19"/>
      <c r="L21" s="19" t="s">
        <v>111</v>
      </c>
      <c r="M21" s="53" t="s">
        <v>550</v>
      </c>
      <c r="N21" s="19"/>
      <c r="O21" s="19"/>
      <c r="P21" s="19" t="s">
        <v>95</v>
      </c>
      <c r="Q21" s="22" t="s">
        <v>551</v>
      </c>
      <c r="R21" s="19"/>
      <c r="S21" s="19"/>
      <c r="T21" s="21"/>
      <c r="U21" s="19"/>
      <c r="V21" s="19"/>
      <c r="W21" s="19"/>
      <c r="X21" s="19"/>
      <c r="Y21" s="19"/>
      <c r="Z21" s="19"/>
      <c r="AA21" s="19" t="s">
        <v>82</v>
      </c>
      <c r="AB21" s="21"/>
      <c r="AC21" s="21"/>
      <c r="AD21" s="21"/>
      <c r="AE21" s="39"/>
      <c r="AF21" s="39"/>
      <c r="AG21" s="24"/>
      <c r="AH21" s="24"/>
      <c r="AI21" s="24"/>
      <c r="AJ21" s="24"/>
      <c r="AK21" s="24"/>
      <c r="AL21" s="24"/>
      <c r="AM21" s="24"/>
      <c r="AN21" s="24"/>
      <c r="AO21" s="24"/>
      <c r="AP21" s="24"/>
      <c r="AQ21" s="24"/>
      <c r="AR21" s="24"/>
    </row>
    <row r="22">
      <c r="A22" s="56" t="s">
        <v>552</v>
      </c>
      <c r="B22" s="57"/>
      <c r="C22" s="57"/>
      <c r="D22" s="58"/>
      <c r="E22" s="58"/>
      <c r="F22" s="57"/>
      <c r="G22" s="57"/>
      <c r="H22" s="57"/>
      <c r="I22" s="57"/>
      <c r="J22" s="57"/>
      <c r="K22" s="57"/>
      <c r="L22" s="57"/>
      <c r="M22" s="57"/>
      <c r="N22" s="57"/>
      <c r="O22" s="57"/>
      <c r="P22" s="57"/>
      <c r="Q22" s="57"/>
      <c r="R22" s="57"/>
      <c r="S22" s="57"/>
      <c r="T22" s="57"/>
      <c r="U22" s="57"/>
      <c r="V22" s="57"/>
      <c r="W22" s="57"/>
      <c r="X22" s="57"/>
      <c r="Y22" s="57"/>
      <c r="Z22" s="57"/>
      <c r="AA22" s="57"/>
      <c r="AB22" s="57"/>
      <c r="AC22" s="57"/>
      <c r="AD22" s="57"/>
      <c r="AE22" s="59"/>
      <c r="AF22" s="59"/>
      <c r="AG22" s="60"/>
      <c r="AH22" s="60"/>
      <c r="AI22" s="60"/>
      <c r="AJ22" s="60"/>
      <c r="AK22" s="60"/>
      <c r="AL22" s="60"/>
      <c r="AM22" s="60"/>
      <c r="AN22" s="60"/>
      <c r="AO22" s="60"/>
      <c r="AP22" s="60"/>
      <c r="AQ22" s="60"/>
      <c r="AR22" s="61"/>
    </row>
    <row r="23">
      <c r="A23" s="62">
        <v>1.0</v>
      </c>
      <c r="B23" s="63" t="s">
        <v>553</v>
      </c>
      <c r="C23" s="63" t="s">
        <v>554</v>
      </c>
      <c r="D23" s="63" t="s">
        <v>555</v>
      </c>
      <c r="E23" s="59"/>
      <c r="F23" s="64" t="s">
        <v>65</v>
      </c>
      <c r="G23" s="64" t="s">
        <v>123</v>
      </c>
      <c r="H23" s="64" t="s">
        <v>556</v>
      </c>
      <c r="I23" s="64" t="s">
        <v>557</v>
      </c>
      <c r="J23" s="64" t="s">
        <v>151</v>
      </c>
      <c r="K23" s="64" t="s">
        <v>110</v>
      </c>
      <c r="L23" s="64" t="s">
        <v>111</v>
      </c>
      <c r="M23" s="65" t="s">
        <v>558</v>
      </c>
      <c r="N23" s="64" t="s">
        <v>93</v>
      </c>
      <c r="O23" s="64" t="s">
        <v>113</v>
      </c>
      <c r="P23" s="64" t="s">
        <v>95</v>
      </c>
      <c r="Q23" s="66" t="s">
        <v>559</v>
      </c>
      <c r="R23" s="64" t="s">
        <v>76</v>
      </c>
      <c r="S23" s="64" t="s">
        <v>77</v>
      </c>
      <c r="T23" s="64">
        <v>2022.0</v>
      </c>
      <c r="U23" s="64" t="s">
        <v>78</v>
      </c>
      <c r="V23" s="64" t="s">
        <v>79</v>
      </c>
      <c r="W23" s="64" t="s">
        <v>80</v>
      </c>
      <c r="X23" s="64" t="s">
        <v>80</v>
      </c>
      <c r="Y23" s="64" t="s">
        <v>80</v>
      </c>
      <c r="Z23" s="64" t="s">
        <v>560</v>
      </c>
      <c r="AA23" s="64" t="s">
        <v>140</v>
      </c>
      <c r="AB23" s="63" t="s">
        <v>561</v>
      </c>
      <c r="AC23" s="63">
        <v>8.95327038135E11</v>
      </c>
      <c r="AD23" s="63" t="s">
        <v>562</v>
      </c>
      <c r="AE23" s="67" t="s">
        <v>563</v>
      </c>
      <c r="AF23" s="68" t="s">
        <v>111</v>
      </c>
      <c r="AG23" s="60"/>
      <c r="AH23" s="60"/>
      <c r="AI23" s="60"/>
      <c r="AJ23" s="60"/>
      <c r="AK23" s="60"/>
      <c r="AL23" s="60"/>
      <c r="AM23" s="60"/>
      <c r="AN23" s="60"/>
      <c r="AO23" s="60"/>
      <c r="AP23" s="60"/>
      <c r="AQ23" s="60"/>
      <c r="AR23" s="61"/>
    </row>
    <row r="24">
      <c r="A24" s="62">
        <v>2.0</v>
      </c>
      <c r="B24" s="63" t="s">
        <v>61</v>
      </c>
      <c r="C24" s="63" t="s">
        <v>62</v>
      </c>
      <c r="D24" s="63" t="s">
        <v>63</v>
      </c>
      <c r="E24" s="59"/>
      <c r="F24" s="64" t="s">
        <v>65</v>
      </c>
      <c r="G24" s="64" t="s">
        <v>66</v>
      </c>
      <c r="H24" s="64" t="s">
        <v>67</v>
      </c>
      <c r="I24" s="64" t="s">
        <v>68</v>
      </c>
      <c r="J24" s="64" t="s">
        <v>151</v>
      </c>
      <c r="K24" s="64" t="s">
        <v>70</v>
      </c>
      <c r="L24" s="64" t="s">
        <v>71</v>
      </c>
      <c r="M24" s="65" t="s">
        <v>72</v>
      </c>
      <c r="N24" s="64" t="s">
        <v>73</v>
      </c>
      <c r="O24" s="64" t="s">
        <v>73</v>
      </c>
      <c r="P24" s="64" t="s">
        <v>95</v>
      </c>
      <c r="Q24" s="66" t="s">
        <v>564</v>
      </c>
      <c r="R24" s="64" t="s">
        <v>76</v>
      </c>
      <c r="S24" s="64" t="s">
        <v>97</v>
      </c>
      <c r="T24" s="64">
        <v>2018.0</v>
      </c>
      <c r="U24" s="64" t="s">
        <v>78</v>
      </c>
      <c r="V24" s="64" t="s">
        <v>79</v>
      </c>
      <c r="W24" s="64" t="s">
        <v>80</v>
      </c>
      <c r="X24" s="64" t="s">
        <v>80</v>
      </c>
      <c r="Y24" s="64" t="s">
        <v>80</v>
      </c>
      <c r="Z24" s="64" t="s">
        <v>81</v>
      </c>
      <c r="AA24" s="64" t="s">
        <v>82</v>
      </c>
      <c r="AB24" s="63" t="s">
        <v>565</v>
      </c>
      <c r="AC24" s="63">
        <v>8.98800527E9</v>
      </c>
      <c r="AD24" s="63" t="s">
        <v>562</v>
      </c>
      <c r="AE24" s="67" t="s">
        <v>563</v>
      </c>
      <c r="AF24" s="68" t="s">
        <v>566</v>
      </c>
      <c r="AG24" s="60"/>
      <c r="AH24" s="60"/>
      <c r="AI24" s="60"/>
      <c r="AJ24" s="60"/>
      <c r="AK24" s="60"/>
      <c r="AL24" s="60"/>
      <c r="AM24" s="60"/>
      <c r="AN24" s="60"/>
      <c r="AO24" s="60"/>
      <c r="AP24" s="60"/>
      <c r="AQ24" s="60"/>
      <c r="AR24" s="61"/>
    </row>
    <row r="25">
      <c r="A25" s="62">
        <v>3.0</v>
      </c>
      <c r="B25" s="63" t="s">
        <v>567</v>
      </c>
      <c r="C25" s="63" t="s">
        <v>568</v>
      </c>
      <c r="D25" s="63" t="s">
        <v>569</v>
      </c>
      <c r="E25" s="59"/>
      <c r="F25" s="64" t="s">
        <v>107</v>
      </c>
      <c r="G25" s="64" t="s">
        <v>123</v>
      </c>
      <c r="H25" s="64" t="s">
        <v>570</v>
      </c>
      <c r="I25" s="64" t="s">
        <v>570</v>
      </c>
      <c r="J25" s="64" t="s">
        <v>151</v>
      </c>
      <c r="K25" s="64" t="s">
        <v>110</v>
      </c>
      <c r="L25" s="64" t="s">
        <v>111</v>
      </c>
      <c r="M25" s="65" t="s">
        <v>503</v>
      </c>
      <c r="N25" s="64" t="s">
        <v>93</v>
      </c>
      <c r="O25" s="64" t="s">
        <v>113</v>
      </c>
      <c r="P25" s="64" t="s">
        <v>95</v>
      </c>
      <c r="Q25" s="66" t="s">
        <v>571</v>
      </c>
      <c r="R25" s="64" t="s">
        <v>76</v>
      </c>
      <c r="S25" s="64" t="s">
        <v>97</v>
      </c>
      <c r="T25" s="64">
        <v>2022.0</v>
      </c>
      <c r="U25" s="64" t="s">
        <v>78</v>
      </c>
      <c r="V25" s="64" t="s">
        <v>98</v>
      </c>
      <c r="W25" s="64" t="s">
        <v>572</v>
      </c>
      <c r="X25" s="64" t="s">
        <v>155</v>
      </c>
      <c r="Y25" s="64" t="s">
        <v>139</v>
      </c>
      <c r="Z25" s="64" t="s">
        <v>116</v>
      </c>
      <c r="AA25" s="64" t="s">
        <v>82</v>
      </c>
      <c r="AB25" s="63" t="s">
        <v>573</v>
      </c>
      <c r="AC25" s="63">
        <v>8.190408571E10</v>
      </c>
      <c r="AD25" s="63" t="s">
        <v>562</v>
      </c>
      <c r="AE25" s="59"/>
      <c r="AF25" s="59"/>
      <c r="AG25" s="60"/>
      <c r="AH25" s="60"/>
      <c r="AI25" s="60"/>
      <c r="AJ25" s="60"/>
      <c r="AK25" s="60"/>
      <c r="AL25" s="60"/>
      <c r="AM25" s="60"/>
      <c r="AN25" s="60"/>
      <c r="AO25" s="60"/>
      <c r="AP25" s="60"/>
      <c r="AQ25" s="60"/>
      <c r="AR25" s="61"/>
    </row>
    <row r="26">
      <c r="A26" s="62">
        <v>4.0</v>
      </c>
      <c r="B26" s="63" t="s">
        <v>574</v>
      </c>
      <c r="C26" s="63" t="s">
        <v>575</v>
      </c>
      <c r="D26" s="63" t="s">
        <v>576</v>
      </c>
      <c r="E26" s="59"/>
      <c r="F26" s="64" t="s">
        <v>453</v>
      </c>
      <c r="G26" s="64" t="s">
        <v>123</v>
      </c>
      <c r="H26" s="64" t="s">
        <v>577</v>
      </c>
      <c r="I26" s="64" t="s">
        <v>578</v>
      </c>
      <c r="J26" s="64" t="s">
        <v>151</v>
      </c>
      <c r="K26" s="64" t="s">
        <v>110</v>
      </c>
      <c r="L26" s="64" t="s">
        <v>152</v>
      </c>
      <c r="M26" s="65" t="s">
        <v>579</v>
      </c>
      <c r="N26" s="67" t="s">
        <v>82</v>
      </c>
      <c r="O26" s="67" t="s">
        <v>113</v>
      </c>
      <c r="P26" s="67" t="s">
        <v>95</v>
      </c>
      <c r="Q26" s="66" t="s">
        <v>580</v>
      </c>
      <c r="R26" s="64" t="s">
        <v>76</v>
      </c>
      <c r="S26" s="64" t="s">
        <v>97</v>
      </c>
      <c r="T26" s="64">
        <v>2020.0</v>
      </c>
      <c r="U26" s="64" t="s">
        <v>78</v>
      </c>
      <c r="V26" s="64" t="s">
        <v>79</v>
      </c>
      <c r="W26" s="64" t="s">
        <v>80</v>
      </c>
      <c r="X26" s="64" t="s">
        <v>80</v>
      </c>
      <c r="Y26" s="64" t="s">
        <v>80</v>
      </c>
      <c r="Z26" s="64" t="s">
        <v>560</v>
      </c>
      <c r="AA26" s="64" t="s">
        <v>140</v>
      </c>
      <c r="AB26" s="63" t="s">
        <v>561</v>
      </c>
      <c r="AC26" s="63">
        <v>8.95327038135E11</v>
      </c>
      <c r="AD26" s="63" t="s">
        <v>562</v>
      </c>
      <c r="AE26" s="67" t="s">
        <v>563</v>
      </c>
      <c r="AF26" s="68" t="s">
        <v>152</v>
      </c>
      <c r="AG26" s="60"/>
      <c r="AH26" s="60"/>
      <c r="AI26" s="60"/>
      <c r="AJ26" s="60"/>
      <c r="AK26" s="60"/>
      <c r="AL26" s="60"/>
      <c r="AM26" s="60"/>
      <c r="AN26" s="60"/>
      <c r="AO26" s="60"/>
      <c r="AP26" s="60"/>
      <c r="AQ26" s="60"/>
      <c r="AR26" s="61"/>
    </row>
    <row r="27">
      <c r="A27" s="62">
        <v>5.0</v>
      </c>
      <c r="B27" s="63" t="s">
        <v>581</v>
      </c>
      <c r="C27" s="63" t="s">
        <v>582</v>
      </c>
      <c r="D27" s="63" t="s">
        <v>583</v>
      </c>
      <c r="E27" s="59"/>
      <c r="F27" s="64" t="s">
        <v>453</v>
      </c>
      <c r="G27" s="64" t="s">
        <v>123</v>
      </c>
      <c r="H27" s="64" t="s">
        <v>584</v>
      </c>
      <c r="I27" s="64" t="s">
        <v>585</v>
      </c>
      <c r="J27" s="64" t="s">
        <v>151</v>
      </c>
      <c r="K27" s="64" t="s">
        <v>70</v>
      </c>
      <c r="L27" s="64" t="s">
        <v>71</v>
      </c>
      <c r="M27" s="65" t="s">
        <v>586</v>
      </c>
      <c r="N27" s="67" t="s">
        <v>73</v>
      </c>
      <c r="O27" s="67" t="s">
        <v>73</v>
      </c>
      <c r="P27" s="64" t="s">
        <v>95</v>
      </c>
      <c r="Q27" s="66" t="s">
        <v>587</v>
      </c>
      <c r="R27" s="64" t="s">
        <v>76</v>
      </c>
      <c r="S27" s="64" t="s">
        <v>97</v>
      </c>
      <c r="T27" s="64">
        <v>2025.0</v>
      </c>
      <c r="U27" s="64" t="s">
        <v>78</v>
      </c>
      <c r="V27" s="64" t="s">
        <v>79</v>
      </c>
      <c r="W27" s="64" t="s">
        <v>80</v>
      </c>
      <c r="X27" s="64" t="s">
        <v>80</v>
      </c>
      <c r="Y27" s="64" t="s">
        <v>80</v>
      </c>
      <c r="Z27" s="64" t="s">
        <v>560</v>
      </c>
      <c r="AA27" s="64" t="s">
        <v>140</v>
      </c>
      <c r="AB27" s="63" t="s">
        <v>561</v>
      </c>
      <c r="AC27" s="63">
        <v>8.95327038135E11</v>
      </c>
      <c r="AD27" s="63" t="s">
        <v>562</v>
      </c>
      <c r="AE27" s="67" t="s">
        <v>563</v>
      </c>
      <c r="AF27" s="68" t="s">
        <v>71</v>
      </c>
      <c r="AG27" s="60"/>
      <c r="AH27" s="60"/>
      <c r="AI27" s="60"/>
      <c r="AJ27" s="60"/>
      <c r="AK27" s="60"/>
      <c r="AL27" s="60"/>
      <c r="AM27" s="60"/>
      <c r="AN27" s="60"/>
      <c r="AO27" s="60"/>
      <c r="AP27" s="60"/>
      <c r="AQ27" s="60"/>
      <c r="AR27" s="61"/>
    </row>
    <row r="28">
      <c r="A28" s="62">
        <v>6.0</v>
      </c>
      <c r="B28" s="63" t="s">
        <v>588</v>
      </c>
      <c r="C28" s="63" t="s">
        <v>589</v>
      </c>
      <c r="D28" s="63" t="s">
        <v>590</v>
      </c>
      <c r="E28" s="59"/>
      <c r="F28" s="64" t="s">
        <v>453</v>
      </c>
      <c r="G28" s="64" t="s">
        <v>123</v>
      </c>
      <c r="H28" s="64" t="s">
        <v>591</v>
      </c>
      <c r="I28" s="64" t="s">
        <v>592</v>
      </c>
      <c r="J28" s="64" t="s">
        <v>151</v>
      </c>
      <c r="K28" s="64" t="s">
        <v>110</v>
      </c>
      <c r="L28" s="64" t="s">
        <v>71</v>
      </c>
      <c r="M28" s="65" t="s">
        <v>593</v>
      </c>
      <c r="N28" s="67" t="s">
        <v>82</v>
      </c>
      <c r="O28" s="67" t="s">
        <v>113</v>
      </c>
      <c r="P28" s="67" t="s">
        <v>95</v>
      </c>
      <c r="Q28" s="66" t="s">
        <v>594</v>
      </c>
      <c r="R28" s="64" t="s">
        <v>76</v>
      </c>
      <c r="S28" s="64" t="s">
        <v>97</v>
      </c>
      <c r="T28" s="64">
        <v>2019.0</v>
      </c>
      <c r="U28" s="64" t="s">
        <v>78</v>
      </c>
      <c r="V28" s="64" t="s">
        <v>79</v>
      </c>
      <c r="W28" s="64" t="s">
        <v>80</v>
      </c>
      <c r="X28" s="64" t="s">
        <v>80</v>
      </c>
      <c r="Y28" s="64" t="s">
        <v>80</v>
      </c>
      <c r="Z28" s="64" t="s">
        <v>560</v>
      </c>
      <c r="AA28" s="64" t="s">
        <v>595</v>
      </c>
      <c r="AB28" s="63" t="s">
        <v>561</v>
      </c>
      <c r="AC28" s="63">
        <v>8.95327038135E11</v>
      </c>
      <c r="AD28" s="63" t="s">
        <v>562</v>
      </c>
      <c r="AE28" s="67" t="s">
        <v>563</v>
      </c>
      <c r="AF28" s="68" t="s">
        <v>71</v>
      </c>
      <c r="AG28" s="60"/>
      <c r="AH28" s="60"/>
      <c r="AI28" s="60"/>
      <c r="AJ28" s="60"/>
      <c r="AK28" s="60"/>
      <c r="AL28" s="60"/>
      <c r="AM28" s="60"/>
      <c r="AN28" s="60"/>
      <c r="AO28" s="60"/>
      <c r="AP28" s="60"/>
      <c r="AQ28" s="60"/>
      <c r="AR28" s="61"/>
    </row>
    <row r="29">
      <c r="A29" s="62">
        <v>7.0</v>
      </c>
      <c r="B29" s="63" t="s">
        <v>596</v>
      </c>
      <c r="C29" s="63" t="s">
        <v>597</v>
      </c>
      <c r="D29" s="63" t="s">
        <v>598</v>
      </c>
      <c r="E29" s="59"/>
      <c r="F29" s="64" t="s">
        <v>453</v>
      </c>
      <c r="G29" s="64" t="s">
        <v>123</v>
      </c>
      <c r="H29" s="64" t="s">
        <v>599</v>
      </c>
      <c r="I29" s="64" t="s">
        <v>600</v>
      </c>
      <c r="J29" s="64" t="s">
        <v>151</v>
      </c>
      <c r="K29" s="64" t="s">
        <v>110</v>
      </c>
      <c r="L29" s="64" t="s">
        <v>101</v>
      </c>
      <c r="M29" s="65" t="s">
        <v>601</v>
      </c>
      <c r="N29" s="64" t="s">
        <v>93</v>
      </c>
      <c r="O29" s="64" t="s">
        <v>94</v>
      </c>
      <c r="P29" s="64" t="s">
        <v>153</v>
      </c>
      <c r="Q29" s="67" t="s">
        <v>602</v>
      </c>
      <c r="R29" s="64" t="s">
        <v>76</v>
      </c>
      <c r="S29" s="64" t="s">
        <v>77</v>
      </c>
      <c r="T29" s="64">
        <v>2019.0</v>
      </c>
      <c r="U29" s="64" t="s">
        <v>78</v>
      </c>
      <c r="V29" s="64" t="s">
        <v>79</v>
      </c>
      <c r="W29" s="64" t="s">
        <v>80</v>
      </c>
      <c r="X29" s="64" t="s">
        <v>80</v>
      </c>
      <c r="Y29" s="64" t="s">
        <v>80</v>
      </c>
      <c r="Z29" s="64" t="s">
        <v>560</v>
      </c>
      <c r="AA29" s="64" t="s">
        <v>140</v>
      </c>
      <c r="AB29" s="63" t="s">
        <v>561</v>
      </c>
      <c r="AC29" s="63">
        <v>8.95327038135E11</v>
      </c>
      <c r="AD29" s="63" t="s">
        <v>562</v>
      </c>
      <c r="AE29" s="67" t="s">
        <v>563</v>
      </c>
      <c r="AF29" s="68" t="s">
        <v>71</v>
      </c>
      <c r="AG29" s="60"/>
      <c r="AH29" s="60"/>
      <c r="AI29" s="60"/>
      <c r="AJ29" s="60"/>
      <c r="AK29" s="60"/>
      <c r="AL29" s="60"/>
      <c r="AM29" s="60"/>
      <c r="AN29" s="60"/>
      <c r="AO29" s="60"/>
      <c r="AP29" s="60"/>
      <c r="AQ29" s="60"/>
      <c r="AR29" s="61"/>
    </row>
    <row r="30">
      <c r="A30" s="62">
        <v>8.0</v>
      </c>
      <c r="B30" s="63" t="s">
        <v>603</v>
      </c>
      <c r="C30" s="63" t="s">
        <v>604</v>
      </c>
      <c r="D30" s="63" t="s">
        <v>605</v>
      </c>
      <c r="E30" s="59"/>
      <c r="F30" s="64" t="s">
        <v>453</v>
      </c>
      <c r="G30" s="64" t="s">
        <v>123</v>
      </c>
      <c r="H30" s="64" t="s">
        <v>606</v>
      </c>
      <c r="I30" s="64" t="s">
        <v>606</v>
      </c>
      <c r="J30" s="64" t="s">
        <v>69</v>
      </c>
      <c r="K30" s="64" t="s">
        <v>70</v>
      </c>
      <c r="L30" s="64" t="s">
        <v>101</v>
      </c>
      <c r="M30" s="65" t="s">
        <v>607</v>
      </c>
      <c r="N30" s="64" t="s">
        <v>73</v>
      </c>
      <c r="O30" s="64" t="s">
        <v>73</v>
      </c>
      <c r="P30" s="64" t="s">
        <v>95</v>
      </c>
      <c r="Q30" s="66" t="s">
        <v>608</v>
      </c>
      <c r="R30" s="64" t="s">
        <v>76</v>
      </c>
      <c r="S30" s="64" t="s">
        <v>77</v>
      </c>
      <c r="T30" s="64">
        <v>2021.0</v>
      </c>
      <c r="U30" s="64" t="s">
        <v>78</v>
      </c>
      <c r="V30" s="64" t="s">
        <v>79</v>
      </c>
      <c r="W30" s="64" t="s">
        <v>80</v>
      </c>
      <c r="X30" s="64" t="s">
        <v>80</v>
      </c>
      <c r="Y30" s="64" t="s">
        <v>80</v>
      </c>
      <c r="Z30" s="64" t="s">
        <v>560</v>
      </c>
      <c r="AA30" s="64" t="s">
        <v>140</v>
      </c>
      <c r="AB30" s="63" t="s">
        <v>561</v>
      </c>
      <c r="AC30" s="63">
        <v>8.95327038135E11</v>
      </c>
      <c r="AD30" s="63" t="s">
        <v>562</v>
      </c>
      <c r="AE30" s="67" t="s">
        <v>563</v>
      </c>
      <c r="AF30" s="68" t="s">
        <v>71</v>
      </c>
      <c r="AG30" s="60"/>
      <c r="AH30" s="60"/>
      <c r="AI30" s="60"/>
      <c r="AJ30" s="60"/>
      <c r="AK30" s="60"/>
      <c r="AL30" s="60"/>
      <c r="AM30" s="60"/>
      <c r="AN30" s="60"/>
      <c r="AO30" s="60"/>
      <c r="AP30" s="60"/>
      <c r="AQ30" s="60"/>
      <c r="AR30" s="61"/>
    </row>
    <row r="31">
      <c r="A31" s="62">
        <v>10.0</v>
      </c>
      <c r="B31" s="63" t="s">
        <v>609</v>
      </c>
      <c r="C31" s="63" t="s">
        <v>610</v>
      </c>
      <c r="D31" s="63" t="s">
        <v>611</v>
      </c>
      <c r="E31" s="59"/>
      <c r="F31" s="64" t="s">
        <v>467</v>
      </c>
      <c r="G31" s="64" t="s">
        <v>123</v>
      </c>
      <c r="H31" s="64" t="s">
        <v>612</v>
      </c>
      <c r="I31" s="64" t="s">
        <v>613</v>
      </c>
      <c r="J31" s="64" t="s">
        <v>151</v>
      </c>
      <c r="K31" s="64" t="s">
        <v>110</v>
      </c>
      <c r="L31" s="64" t="s">
        <v>71</v>
      </c>
      <c r="M31" s="65" t="s">
        <v>614</v>
      </c>
      <c r="N31" s="64" t="s">
        <v>82</v>
      </c>
      <c r="O31" s="64" t="s">
        <v>113</v>
      </c>
      <c r="P31" s="64" t="s">
        <v>74</v>
      </c>
      <c r="Q31" s="66" t="s">
        <v>615</v>
      </c>
      <c r="R31" s="64" t="s">
        <v>76</v>
      </c>
      <c r="S31" s="64" t="s">
        <v>97</v>
      </c>
      <c r="T31" s="64">
        <v>2025.0</v>
      </c>
      <c r="U31" s="64" t="s">
        <v>78</v>
      </c>
      <c r="V31" s="64" t="s">
        <v>98</v>
      </c>
      <c r="W31" s="64" t="s">
        <v>616</v>
      </c>
      <c r="X31" s="64" t="s">
        <v>148</v>
      </c>
      <c r="Y31" s="64" t="s">
        <v>139</v>
      </c>
      <c r="Z31" s="64" t="s">
        <v>617</v>
      </c>
      <c r="AA31" s="64" t="s">
        <v>140</v>
      </c>
      <c r="AB31" s="63" t="s">
        <v>565</v>
      </c>
      <c r="AC31" s="63">
        <v>8.98800527E9</v>
      </c>
      <c r="AD31" s="63" t="s">
        <v>562</v>
      </c>
      <c r="AE31" s="67" t="s">
        <v>563</v>
      </c>
      <c r="AF31" s="68" t="s">
        <v>71</v>
      </c>
      <c r="AG31" s="60"/>
      <c r="AH31" s="60"/>
      <c r="AI31" s="60"/>
      <c r="AJ31" s="60"/>
      <c r="AK31" s="60"/>
      <c r="AL31" s="60"/>
      <c r="AM31" s="60"/>
      <c r="AN31" s="60"/>
      <c r="AO31" s="60"/>
      <c r="AP31" s="60"/>
      <c r="AQ31" s="60"/>
      <c r="AR31" s="61"/>
    </row>
    <row r="32">
      <c r="A32" s="62">
        <v>11.0</v>
      </c>
      <c r="B32" s="63" t="s">
        <v>618</v>
      </c>
      <c r="C32" s="63" t="s">
        <v>619</v>
      </c>
      <c r="D32" s="63" t="s">
        <v>620</v>
      </c>
      <c r="E32" s="59"/>
      <c r="F32" s="64" t="s">
        <v>463</v>
      </c>
      <c r="G32" s="64" t="s">
        <v>123</v>
      </c>
      <c r="H32" s="64" t="s">
        <v>621</v>
      </c>
      <c r="I32" s="64" t="s">
        <v>622</v>
      </c>
      <c r="J32" s="64" t="s">
        <v>151</v>
      </c>
      <c r="K32" s="64" t="s">
        <v>110</v>
      </c>
      <c r="L32" s="64" t="s">
        <v>111</v>
      </c>
      <c r="M32" s="65" t="s">
        <v>623</v>
      </c>
      <c r="N32" s="64" t="s">
        <v>26</v>
      </c>
      <c r="O32" s="64" t="s">
        <v>113</v>
      </c>
      <c r="P32" s="64" t="s">
        <v>95</v>
      </c>
      <c r="Q32" s="66" t="s">
        <v>624</v>
      </c>
      <c r="R32" s="64" t="s">
        <v>76</v>
      </c>
      <c r="S32" s="64" t="s">
        <v>97</v>
      </c>
      <c r="T32" s="69"/>
      <c r="U32" s="64" t="s">
        <v>78</v>
      </c>
      <c r="V32" s="64" t="s">
        <v>79</v>
      </c>
      <c r="W32" s="64" t="s">
        <v>80</v>
      </c>
      <c r="X32" s="64" t="s">
        <v>80</v>
      </c>
      <c r="Y32" s="64" t="s">
        <v>80</v>
      </c>
      <c r="Z32" s="64" t="s">
        <v>560</v>
      </c>
      <c r="AA32" s="64" t="s">
        <v>207</v>
      </c>
      <c r="AB32" s="63" t="s">
        <v>625</v>
      </c>
      <c r="AC32" s="63">
        <v>8.1321814674E10</v>
      </c>
      <c r="AD32" s="63" t="s">
        <v>626</v>
      </c>
      <c r="AE32" s="67" t="s">
        <v>563</v>
      </c>
      <c r="AF32" s="68" t="s">
        <v>111</v>
      </c>
      <c r="AG32" s="60"/>
      <c r="AH32" s="60"/>
      <c r="AI32" s="60"/>
      <c r="AJ32" s="60"/>
      <c r="AK32" s="60"/>
      <c r="AL32" s="60"/>
      <c r="AM32" s="60"/>
      <c r="AN32" s="60"/>
      <c r="AO32" s="60"/>
      <c r="AP32" s="60"/>
      <c r="AQ32" s="60"/>
      <c r="AR32" s="61"/>
    </row>
    <row r="33">
      <c r="A33" s="62">
        <v>12.0</v>
      </c>
      <c r="B33" s="63" t="s">
        <v>627</v>
      </c>
      <c r="C33" s="63" t="s">
        <v>628</v>
      </c>
      <c r="D33" s="63" t="s">
        <v>629</v>
      </c>
      <c r="E33" s="59"/>
      <c r="F33" s="64" t="s">
        <v>107</v>
      </c>
      <c r="G33" s="64" t="s">
        <v>123</v>
      </c>
      <c r="H33" s="64" t="s">
        <v>630</v>
      </c>
      <c r="I33" s="64" t="s">
        <v>630</v>
      </c>
      <c r="J33" s="64" t="s">
        <v>91</v>
      </c>
      <c r="K33" s="64" t="s">
        <v>110</v>
      </c>
      <c r="L33" s="64" t="s">
        <v>101</v>
      </c>
      <c r="M33" s="65" t="s">
        <v>631</v>
      </c>
      <c r="N33" s="64" t="s">
        <v>73</v>
      </c>
      <c r="O33" s="64" t="s">
        <v>73</v>
      </c>
      <c r="P33" s="64" t="s">
        <v>95</v>
      </c>
      <c r="Q33" s="66" t="s">
        <v>632</v>
      </c>
      <c r="R33" s="64" t="s">
        <v>76</v>
      </c>
      <c r="S33" s="64" t="s">
        <v>97</v>
      </c>
      <c r="T33" s="64">
        <v>2019.0</v>
      </c>
      <c r="U33" s="64" t="s">
        <v>78</v>
      </c>
      <c r="V33" s="64" t="s">
        <v>98</v>
      </c>
      <c r="W33" s="64" t="s">
        <v>633</v>
      </c>
      <c r="X33" s="64" t="s">
        <v>148</v>
      </c>
      <c r="Y33" s="64" t="s">
        <v>139</v>
      </c>
      <c r="Z33" s="64" t="s">
        <v>560</v>
      </c>
      <c r="AA33" s="64" t="s">
        <v>140</v>
      </c>
      <c r="AB33" s="63" t="s">
        <v>573</v>
      </c>
      <c r="AC33" s="63">
        <v>8.190408571E10</v>
      </c>
      <c r="AD33" s="63" t="s">
        <v>562</v>
      </c>
      <c r="AE33" s="67" t="s">
        <v>563</v>
      </c>
      <c r="AF33" s="68" t="s">
        <v>111</v>
      </c>
      <c r="AG33" s="60"/>
      <c r="AH33" s="60"/>
      <c r="AI33" s="60"/>
      <c r="AJ33" s="60"/>
      <c r="AK33" s="60"/>
      <c r="AL33" s="60"/>
      <c r="AM33" s="60"/>
      <c r="AN33" s="60"/>
      <c r="AO33" s="60"/>
      <c r="AP33" s="60"/>
      <c r="AQ33" s="60"/>
      <c r="AR33" s="61"/>
    </row>
    <row r="34">
      <c r="A34" s="62">
        <v>13.0</v>
      </c>
      <c r="B34" s="63" t="s">
        <v>634</v>
      </c>
      <c r="C34" s="63" t="s">
        <v>635</v>
      </c>
      <c r="D34" s="63" t="s">
        <v>636</v>
      </c>
      <c r="E34" s="59"/>
      <c r="F34" s="64" t="s">
        <v>65</v>
      </c>
      <c r="G34" s="64" t="s">
        <v>123</v>
      </c>
      <c r="H34" s="64" t="s">
        <v>637</v>
      </c>
      <c r="I34" s="64" t="s">
        <v>638</v>
      </c>
      <c r="J34" s="64" t="s">
        <v>151</v>
      </c>
      <c r="K34" s="64" t="s">
        <v>110</v>
      </c>
      <c r="L34" s="64" t="s">
        <v>111</v>
      </c>
      <c r="M34" s="65" t="s">
        <v>639</v>
      </c>
      <c r="N34" s="64" t="s">
        <v>93</v>
      </c>
      <c r="O34" s="64" t="s">
        <v>113</v>
      </c>
      <c r="P34" s="64" t="s">
        <v>95</v>
      </c>
      <c r="Q34" s="70" t="s">
        <v>640</v>
      </c>
      <c r="R34" s="64" t="s">
        <v>76</v>
      </c>
      <c r="S34" s="64" t="s">
        <v>77</v>
      </c>
      <c r="T34" s="64">
        <v>2022.0</v>
      </c>
      <c r="U34" s="64" t="s">
        <v>78</v>
      </c>
      <c r="V34" s="64" t="s">
        <v>79</v>
      </c>
      <c r="W34" s="64" t="s">
        <v>80</v>
      </c>
      <c r="X34" s="64" t="s">
        <v>80</v>
      </c>
      <c r="Y34" s="64" t="s">
        <v>80</v>
      </c>
      <c r="Z34" s="64" t="s">
        <v>560</v>
      </c>
      <c r="AA34" s="64" t="s">
        <v>641</v>
      </c>
      <c r="AB34" s="63" t="s">
        <v>642</v>
      </c>
      <c r="AC34" s="63">
        <v>8.127392553E9</v>
      </c>
      <c r="AD34" s="63" t="s">
        <v>562</v>
      </c>
      <c r="AE34" s="67" t="s">
        <v>643</v>
      </c>
      <c r="AF34" s="68" t="s">
        <v>111</v>
      </c>
      <c r="AG34" s="60"/>
      <c r="AH34" s="60"/>
      <c r="AI34" s="60"/>
      <c r="AJ34" s="60"/>
      <c r="AK34" s="60"/>
      <c r="AL34" s="60"/>
      <c r="AM34" s="60"/>
      <c r="AN34" s="60"/>
      <c r="AO34" s="60"/>
      <c r="AP34" s="60"/>
      <c r="AQ34" s="60"/>
      <c r="AR34" s="61"/>
    </row>
    <row r="35">
      <c r="A35" s="62">
        <v>14.0</v>
      </c>
      <c r="B35" s="63" t="s">
        <v>644</v>
      </c>
      <c r="C35" s="63" t="s">
        <v>645</v>
      </c>
      <c r="D35" s="63" t="s">
        <v>646</v>
      </c>
      <c r="E35" s="59"/>
      <c r="F35" s="64" t="s">
        <v>470</v>
      </c>
      <c r="G35" s="64" t="s">
        <v>123</v>
      </c>
      <c r="H35" s="64" t="s">
        <v>647</v>
      </c>
      <c r="I35" s="64" t="s">
        <v>648</v>
      </c>
      <c r="J35" s="64" t="s">
        <v>151</v>
      </c>
      <c r="K35" s="64" t="s">
        <v>110</v>
      </c>
      <c r="L35" s="64" t="s">
        <v>101</v>
      </c>
      <c r="M35" s="65" t="s">
        <v>649</v>
      </c>
      <c r="N35" s="64" t="s">
        <v>26</v>
      </c>
      <c r="O35" s="64" t="s">
        <v>113</v>
      </c>
      <c r="P35" s="64" t="s">
        <v>95</v>
      </c>
      <c r="Q35" s="66" t="s">
        <v>650</v>
      </c>
      <c r="R35" s="64" t="s">
        <v>76</v>
      </c>
      <c r="S35" s="64" t="s">
        <v>97</v>
      </c>
      <c r="T35" s="64">
        <v>2021.0</v>
      </c>
      <c r="U35" s="64" t="s">
        <v>78</v>
      </c>
      <c r="V35" s="67" t="s">
        <v>79</v>
      </c>
      <c r="W35" s="64" t="s">
        <v>607</v>
      </c>
      <c r="X35" s="64" t="s">
        <v>100</v>
      </c>
      <c r="Y35" s="64" t="s">
        <v>139</v>
      </c>
      <c r="Z35" s="64" t="s">
        <v>560</v>
      </c>
      <c r="AA35" s="64" t="s">
        <v>651</v>
      </c>
      <c r="AB35" s="63" t="s">
        <v>625</v>
      </c>
      <c r="AC35" s="63">
        <v>8.1321814674E10</v>
      </c>
      <c r="AD35" s="63" t="s">
        <v>626</v>
      </c>
      <c r="AE35" s="67" t="s">
        <v>563</v>
      </c>
      <c r="AF35" s="68" t="s">
        <v>111</v>
      </c>
      <c r="AG35" s="60"/>
      <c r="AH35" s="60"/>
      <c r="AI35" s="60"/>
      <c r="AJ35" s="60"/>
      <c r="AK35" s="60"/>
      <c r="AL35" s="60"/>
      <c r="AM35" s="60"/>
      <c r="AN35" s="60"/>
      <c r="AO35" s="60"/>
      <c r="AP35" s="60"/>
      <c r="AQ35" s="60"/>
      <c r="AR35" s="61"/>
    </row>
    <row r="36">
      <c r="A36" s="71" t="s">
        <v>652</v>
      </c>
      <c r="B36" s="57"/>
      <c r="C36" s="57"/>
      <c r="D36" s="58"/>
      <c r="E36" s="58"/>
      <c r="F36" s="57"/>
      <c r="G36" s="57"/>
      <c r="H36" s="57"/>
      <c r="I36" s="57"/>
      <c r="J36" s="57"/>
      <c r="K36" s="57"/>
      <c r="L36" s="57"/>
      <c r="M36" s="72"/>
      <c r="N36" s="57"/>
      <c r="O36" s="57"/>
      <c r="P36" s="57"/>
      <c r="Q36" s="57"/>
      <c r="R36" s="57"/>
      <c r="S36" s="57"/>
      <c r="T36" s="57"/>
      <c r="U36" s="57"/>
      <c r="V36" s="57"/>
      <c r="W36" s="57"/>
      <c r="X36" s="57"/>
      <c r="Y36" s="57"/>
      <c r="Z36" s="57"/>
      <c r="AA36" s="57"/>
      <c r="AB36" s="57"/>
      <c r="AC36" s="57"/>
      <c r="AD36" s="57"/>
      <c r="AE36" s="59"/>
      <c r="AF36" s="59"/>
      <c r="AG36" s="60"/>
      <c r="AH36" s="60"/>
      <c r="AI36" s="60"/>
      <c r="AJ36" s="60"/>
      <c r="AK36" s="60"/>
      <c r="AL36" s="60"/>
      <c r="AM36" s="60"/>
      <c r="AN36" s="60"/>
      <c r="AO36" s="60"/>
      <c r="AP36" s="60"/>
      <c r="AQ36" s="60"/>
      <c r="AR36" s="61"/>
    </row>
    <row r="37">
      <c r="A37" s="73">
        <v>15.0</v>
      </c>
      <c r="B37" s="63" t="s">
        <v>653</v>
      </c>
      <c r="C37" s="67" t="s">
        <v>654</v>
      </c>
      <c r="D37" s="67" t="s">
        <v>655</v>
      </c>
      <c r="E37" s="59"/>
      <c r="F37" s="67" t="s">
        <v>469</v>
      </c>
      <c r="G37" s="67" t="s">
        <v>131</v>
      </c>
      <c r="H37" s="67" t="s">
        <v>656</v>
      </c>
      <c r="I37" s="67" t="s">
        <v>656</v>
      </c>
      <c r="J37" s="67" t="s">
        <v>151</v>
      </c>
      <c r="K37" s="67" t="s">
        <v>70</v>
      </c>
      <c r="L37" s="67" t="s">
        <v>71</v>
      </c>
      <c r="M37" s="74" t="s">
        <v>657</v>
      </c>
      <c r="N37" s="67" t="s">
        <v>82</v>
      </c>
      <c r="O37" s="67" t="s">
        <v>113</v>
      </c>
      <c r="P37" s="67" t="s">
        <v>95</v>
      </c>
      <c r="Q37" s="75" t="s">
        <v>658</v>
      </c>
      <c r="R37" s="67" t="s">
        <v>76</v>
      </c>
      <c r="S37" s="67" t="s">
        <v>97</v>
      </c>
      <c r="T37" s="69"/>
      <c r="U37" s="67" t="s">
        <v>78</v>
      </c>
      <c r="V37" s="67" t="s">
        <v>98</v>
      </c>
      <c r="W37" s="67" t="s">
        <v>659</v>
      </c>
      <c r="X37" s="67" t="s">
        <v>155</v>
      </c>
      <c r="Y37" s="67" t="s">
        <v>139</v>
      </c>
      <c r="Z37" s="67" t="s">
        <v>660</v>
      </c>
      <c r="AA37" s="67" t="s">
        <v>140</v>
      </c>
      <c r="AB37" s="67" t="s">
        <v>661</v>
      </c>
      <c r="AC37" s="69"/>
      <c r="AD37" s="67" t="s">
        <v>662</v>
      </c>
      <c r="AE37" s="68">
        <v>28.0</v>
      </c>
      <c r="AF37" s="68" t="s">
        <v>71</v>
      </c>
      <c r="AG37" s="60"/>
      <c r="AH37" s="60"/>
      <c r="AI37" s="60"/>
      <c r="AJ37" s="60"/>
      <c r="AK37" s="60"/>
      <c r="AL37" s="60"/>
      <c r="AM37" s="60"/>
      <c r="AN37" s="60"/>
      <c r="AO37" s="60"/>
      <c r="AP37" s="60"/>
      <c r="AQ37" s="60"/>
      <c r="AR37" s="61"/>
    </row>
    <row r="38">
      <c r="A38" s="73">
        <v>16.0</v>
      </c>
      <c r="B38" s="63" t="s">
        <v>663</v>
      </c>
      <c r="C38" s="67" t="s">
        <v>664</v>
      </c>
      <c r="D38" s="67" t="s">
        <v>611</v>
      </c>
      <c r="E38" s="59"/>
      <c r="F38" s="67" t="s">
        <v>65</v>
      </c>
      <c r="G38" s="67" t="s">
        <v>123</v>
      </c>
      <c r="H38" s="67" t="s">
        <v>665</v>
      </c>
      <c r="I38" s="67" t="s">
        <v>666</v>
      </c>
      <c r="J38" s="67" t="s">
        <v>151</v>
      </c>
      <c r="K38" s="67" t="s">
        <v>110</v>
      </c>
      <c r="L38" s="67" t="s">
        <v>71</v>
      </c>
      <c r="M38" s="74" t="s">
        <v>667</v>
      </c>
      <c r="N38" s="67" t="s">
        <v>82</v>
      </c>
      <c r="O38" s="67" t="s">
        <v>113</v>
      </c>
      <c r="P38" s="67" t="s">
        <v>95</v>
      </c>
      <c r="Q38" s="75" t="s">
        <v>668</v>
      </c>
      <c r="R38" s="67" t="s">
        <v>76</v>
      </c>
      <c r="S38" s="67" t="s">
        <v>97</v>
      </c>
      <c r="T38" s="69"/>
      <c r="U38" s="67" t="s">
        <v>78</v>
      </c>
      <c r="V38" s="67" t="s">
        <v>98</v>
      </c>
      <c r="W38" s="67" t="s">
        <v>659</v>
      </c>
      <c r="X38" s="67" t="s">
        <v>155</v>
      </c>
      <c r="Y38" s="67" t="s">
        <v>139</v>
      </c>
      <c r="Z38" s="67" t="s">
        <v>660</v>
      </c>
      <c r="AA38" s="67" t="s">
        <v>140</v>
      </c>
      <c r="AB38" s="67" t="s">
        <v>661</v>
      </c>
      <c r="AC38" s="69"/>
      <c r="AD38" s="67" t="s">
        <v>662</v>
      </c>
      <c r="AE38" s="68">
        <v>28.0</v>
      </c>
      <c r="AF38" s="68" t="s">
        <v>71</v>
      </c>
      <c r="AG38" s="60"/>
      <c r="AH38" s="60"/>
      <c r="AI38" s="60"/>
      <c r="AJ38" s="60"/>
      <c r="AK38" s="60"/>
      <c r="AL38" s="60"/>
      <c r="AM38" s="60"/>
      <c r="AN38" s="60"/>
      <c r="AO38" s="60"/>
      <c r="AP38" s="60"/>
      <c r="AQ38" s="60"/>
      <c r="AR38" s="61"/>
    </row>
    <row r="39">
      <c r="A39" s="73">
        <v>16.0</v>
      </c>
      <c r="B39" s="63" t="s">
        <v>669</v>
      </c>
      <c r="C39" s="67" t="s">
        <v>670</v>
      </c>
      <c r="D39" s="67" t="s">
        <v>611</v>
      </c>
      <c r="E39" s="59"/>
      <c r="F39" s="67" t="s">
        <v>65</v>
      </c>
      <c r="G39" s="67" t="s">
        <v>123</v>
      </c>
      <c r="H39" s="67" t="s">
        <v>671</v>
      </c>
      <c r="I39" s="76" t="s">
        <v>672</v>
      </c>
      <c r="J39" s="67" t="s">
        <v>151</v>
      </c>
      <c r="K39" s="67" t="s">
        <v>110</v>
      </c>
      <c r="L39" s="67" t="s">
        <v>101</v>
      </c>
      <c r="M39" s="74" t="s">
        <v>673</v>
      </c>
      <c r="N39" s="67" t="s">
        <v>26</v>
      </c>
      <c r="O39" s="67" t="s">
        <v>113</v>
      </c>
      <c r="P39" s="67" t="s">
        <v>153</v>
      </c>
      <c r="Q39" s="67" t="s">
        <v>563</v>
      </c>
      <c r="R39" s="67" t="s">
        <v>146</v>
      </c>
      <c r="S39" s="67" t="s">
        <v>97</v>
      </c>
      <c r="T39" s="69"/>
      <c r="U39" s="67" t="s">
        <v>78</v>
      </c>
      <c r="V39" s="67" t="s">
        <v>79</v>
      </c>
      <c r="W39" s="64" t="s">
        <v>80</v>
      </c>
      <c r="X39" s="67" t="s">
        <v>80</v>
      </c>
      <c r="Y39" s="67" t="s">
        <v>80</v>
      </c>
      <c r="Z39" s="67" t="s">
        <v>660</v>
      </c>
      <c r="AA39" s="67" t="s">
        <v>140</v>
      </c>
      <c r="AB39" s="67" t="s">
        <v>661</v>
      </c>
      <c r="AC39" s="69"/>
      <c r="AD39" s="67" t="s">
        <v>662</v>
      </c>
      <c r="AE39" s="68">
        <v>28.0</v>
      </c>
      <c r="AF39" s="68" t="s">
        <v>71</v>
      </c>
      <c r="AG39" s="60"/>
      <c r="AH39" s="60"/>
      <c r="AI39" s="60"/>
      <c r="AJ39" s="60"/>
      <c r="AK39" s="60"/>
      <c r="AL39" s="60"/>
      <c r="AM39" s="60"/>
      <c r="AN39" s="60"/>
      <c r="AO39" s="60"/>
      <c r="AP39" s="60"/>
      <c r="AQ39" s="60"/>
      <c r="AR39" s="61"/>
    </row>
    <row r="40">
      <c r="A40" s="71" t="s">
        <v>674</v>
      </c>
      <c r="B40" s="57"/>
      <c r="C40" s="57"/>
      <c r="D40" s="58"/>
      <c r="E40" s="58"/>
      <c r="F40" s="57"/>
      <c r="G40" s="57"/>
      <c r="H40" s="57"/>
      <c r="I40" s="57"/>
      <c r="J40" s="57"/>
      <c r="K40" s="57"/>
      <c r="L40" s="57"/>
      <c r="M40" s="72"/>
      <c r="N40" s="57"/>
      <c r="O40" s="57"/>
      <c r="P40" s="57"/>
      <c r="Q40" s="57"/>
      <c r="R40" s="57"/>
      <c r="S40" s="57"/>
      <c r="T40" s="57"/>
      <c r="U40" s="57"/>
      <c r="V40" s="57"/>
      <c r="W40" s="57"/>
      <c r="X40" s="57"/>
      <c r="Y40" s="57"/>
      <c r="Z40" s="57"/>
      <c r="AA40" s="57"/>
      <c r="AB40" s="57"/>
      <c r="AC40" s="57"/>
      <c r="AD40" s="57"/>
      <c r="AE40" s="59"/>
      <c r="AF40" s="59"/>
      <c r="AG40" s="60"/>
      <c r="AH40" s="60"/>
      <c r="AI40" s="60"/>
      <c r="AJ40" s="60"/>
      <c r="AK40" s="60"/>
      <c r="AL40" s="60"/>
      <c r="AM40" s="60"/>
      <c r="AN40" s="60"/>
      <c r="AO40" s="60"/>
      <c r="AP40" s="60"/>
      <c r="AQ40" s="60"/>
      <c r="AR40" s="61"/>
    </row>
    <row r="41">
      <c r="A41" s="73">
        <v>17.0</v>
      </c>
      <c r="B41" s="63" t="s">
        <v>675</v>
      </c>
      <c r="C41" s="63" t="s">
        <v>676</v>
      </c>
      <c r="D41" s="63" t="s">
        <v>677</v>
      </c>
      <c r="E41" s="59"/>
      <c r="F41" s="64" t="s">
        <v>470</v>
      </c>
      <c r="G41" s="64" t="s">
        <v>123</v>
      </c>
      <c r="H41" s="64" t="s">
        <v>678</v>
      </c>
      <c r="I41" s="64" t="s">
        <v>678</v>
      </c>
      <c r="J41" s="64" t="s">
        <v>151</v>
      </c>
      <c r="K41" s="64" t="s">
        <v>110</v>
      </c>
      <c r="L41" s="64" t="s">
        <v>111</v>
      </c>
      <c r="M41" s="65" t="s">
        <v>679</v>
      </c>
      <c r="N41" s="64" t="s">
        <v>26</v>
      </c>
      <c r="O41" s="64" t="s">
        <v>113</v>
      </c>
      <c r="P41" s="64" t="s">
        <v>74</v>
      </c>
      <c r="Q41" s="66" t="s">
        <v>680</v>
      </c>
      <c r="R41" s="64" t="s">
        <v>76</v>
      </c>
      <c r="S41" s="64" t="s">
        <v>97</v>
      </c>
      <c r="T41" s="64">
        <v>2023.0</v>
      </c>
      <c r="U41" s="64" t="s">
        <v>78</v>
      </c>
      <c r="V41" s="64" t="s">
        <v>79</v>
      </c>
      <c r="W41" s="64" t="s">
        <v>80</v>
      </c>
      <c r="X41" s="64" t="s">
        <v>80</v>
      </c>
      <c r="Y41" s="64" t="s">
        <v>80</v>
      </c>
      <c r="Z41" s="64" t="s">
        <v>681</v>
      </c>
      <c r="AA41" s="64" t="s">
        <v>140</v>
      </c>
      <c r="AB41" s="66" t="s">
        <v>682</v>
      </c>
      <c r="AC41" s="63">
        <v>8.5218888714E10</v>
      </c>
      <c r="AD41" s="63" t="s">
        <v>562</v>
      </c>
      <c r="AE41" s="59"/>
      <c r="AF41" s="59"/>
      <c r="AG41" s="60"/>
      <c r="AH41" s="60"/>
      <c r="AI41" s="60"/>
      <c r="AJ41" s="60"/>
      <c r="AK41" s="60"/>
      <c r="AL41" s="60"/>
      <c r="AM41" s="60"/>
      <c r="AN41" s="60"/>
      <c r="AO41" s="60"/>
      <c r="AP41" s="60"/>
      <c r="AQ41" s="60"/>
      <c r="AR41" s="61"/>
    </row>
    <row r="42">
      <c r="A42" s="62">
        <v>18.0</v>
      </c>
      <c r="B42" s="63" t="s">
        <v>683</v>
      </c>
      <c r="C42" s="63" t="s">
        <v>684</v>
      </c>
      <c r="D42" s="63" t="s">
        <v>685</v>
      </c>
      <c r="E42" s="59"/>
      <c r="F42" s="64" t="s">
        <v>167</v>
      </c>
      <c r="G42" s="64" t="s">
        <v>123</v>
      </c>
      <c r="H42" s="64" t="s">
        <v>686</v>
      </c>
      <c r="I42" s="64" t="s">
        <v>687</v>
      </c>
      <c r="J42" s="64" t="s">
        <v>151</v>
      </c>
      <c r="K42" s="64" t="s">
        <v>110</v>
      </c>
      <c r="L42" s="64" t="s">
        <v>111</v>
      </c>
      <c r="M42" s="65" t="s">
        <v>688</v>
      </c>
      <c r="N42" s="64" t="s">
        <v>144</v>
      </c>
      <c r="O42" s="64" t="s">
        <v>144</v>
      </c>
      <c r="P42" s="64" t="s">
        <v>74</v>
      </c>
      <c r="Q42" s="66" t="s">
        <v>689</v>
      </c>
      <c r="R42" s="64" t="s">
        <v>76</v>
      </c>
      <c r="S42" s="64" t="s">
        <v>97</v>
      </c>
      <c r="T42" s="64">
        <v>2023.0</v>
      </c>
      <c r="U42" s="64" t="s">
        <v>78</v>
      </c>
      <c r="V42" s="64" t="s">
        <v>79</v>
      </c>
      <c r="W42" s="64" t="s">
        <v>80</v>
      </c>
      <c r="X42" s="64" t="s">
        <v>80</v>
      </c>
      <c r="Y42" s="64" t="s">
        <v>80</v>
      </c>
      <c r="Z42" s="64" t="s">
        <v>681</v>
      </c>
      <c r="AA42" s="64" t="s">
        <v>140</v>
      </c>
      <c r="AB42" s="66" t="s">
        <v>690</v>
      </c>
      <c r="AC42" s="63">
        <v>8.5218888714E10</v>
      </c>
      <c r="AD42" s="63" t="s">
        <v>562</v>
      </c>
      <c r="AE42" s="59"/>
      <c r="AF42" s="59"/>
      <c r="AG42" s="60"/>
      <c r="AH42" s="60"/>
      <c r="AI42" s="60"/>
      <c r="AJ42" s="60"/>
      <c r="AK42" s="60"/>
      <c r="AL42" s="60"/>
      <c r="AM42" s="60"/>
      <c r="AN42" s="60"/>
      <c r="AO42" s="60"/>
      <c r="AP42" s="60"/>
      <c r="AQ42" s="60"/>
      <c r="AR42" s="61"/>
    </row>
    <row r="43">
      <c r="A43" s="62">
        <v>19.0</v>
      </c>
      <c r="B43" s="63" t="s">
        <v>691</v>
      </c>
      <c r="C43" s="63" t="s">
        <v>692</v>
      </c>
      <c r="D43" s="63" t="s">
        <v>693</v>
      </c>
      <c r="E43" s="59"/>
      <c r="F43" s="64" t="s">
        <v>65</v>
      </c>
      <c r="G43" s="64" t="s">
        <v>66</v>
      </c>
      <c r="H43" s="64" t="s">
        <v>694</v>
      </c>
      <c r="I43" s="64" t="s">
        <v>695</v>
      </c>
      <c r="J43" s="64" t="s">
        <v>151</v>
      </c>
      <c r="K43" s="64" t="s">
        <v>70</v>
      </c>
      <c r="L43" s="64" t="s">
        <v>101</v>
      </c>
      <c r="M43" s="65" t="s">
        <v>696</v>
      </c>
      <c r="N43" s="64" t="s">
        <v>82</v>
      </c>
      <c r="O43" s="64" t="s">
        <v>113</v>
      </c>
      <c r="P43" s="64" t="s">
        <v>74</v>
      </c>
      <c r="Q43" s="66" t="s">
        <v>697</v>
      </c>
      <c r="R43" s="64" t="s">
        <v>76</v>
      </c>
      <c r="S43" s="64" t="s">
        <v>97</v>
      </c>
      <c r="T43" s="64">
        <v>2021.0</v>
      </c>
      <c r="U43" s="64" t="s">
        <v>78</v>
      </c>
      <c r="V43" s="64" t="s">
        <v>79</v>
      </c>
      <c r="W43" s="64" t="s">
        <v>80</v>
      </c>
      <c r="X43" s="64" t="s">
        <v>80</v>
      </c>
      <c r="Y43" s="64" t="s">
        <v>80</v>
      </c>
      <c r="Z43" s="64" t="s">
        <v>681</v>
      </c>
      <c r="AA43" s="64" t="s">
        <v>140</v>
      </c>
      <c r="AB43" s="63" t="s">
        <v>698</v>
      </c>
      <c r="AC43" s="63">
        <v>8.2190093518E10</v>
      </c>
      <c r="AD43" s="63" t="s">
        <v>562</v>
      </c>
      <c r="AE43" s="59"/>
      <c r="AF43" s="59"/>
      <c r="AG43" s="60"/>
      <c r="AH43" s="60"/>
      <c r="AI43" s="60"/>
      <c r="AJ43" s="60"/>
      <c r="AK43" s="60"/>
      <c r="AL43" s="60"/>
      <c r="AM43" s="60"/>
      <c r="AN43" s="60"/>
      <c r="AO43" s="60"/>
      <c r="AP43" s="60"/>
      <c r="AQ43" s="60"/>
      <c r="AR43" s="61"/>
    </row>
    <row r="44">
      <c r="A44" s="62">
        <v>20.0</v>
      </c>
      <c r="B44" s="63" t="s">
        <v>699</v>
      </c>
      <c r="C44" s="63" t="s">
        <v>700</v>
      </c>
      <c r="D44" s="63" t="s">
        <v>701</v>
      </c>
      <c r="E44" s="59"/>
      <c r="F44" s="64" t="s">
        <v>470</v>
      </c>
      <c r="G44" s="64" t="s">
        <v>131</v>
      </c>
      <c r="H44" s="64" t="s">
        <v>702</v>
      </c>
      <c r="I44" s="64" t="s">
        <v>703</v>
      </c>
      <c r="J44" s="64" t="s">
        <v>151</v>
      </c>
      <c r="K44" s="64" t="s">
        <v>70</v>
      </c>
      <c r="L44" s="64" t="s">
        <v>152</v>
      </c>
      <c r="M44" s="65" t="s">
        <v>704</v>
      </c>
      <c r="N44" s="64" t="s">
        <v>93</v>
      </c>
      <c r="O44" s="64" t="s">
        <v>113</v>
      </c>
      <c r="P44" s="64" t="s">
        <v>74</v>
      </c>
      <c r="Q44" s="66" t="s">
        <v>705</v>
      </c>
      <c r="R44" s="64" t="s">
        <v>76</v>
      </c>
      <c r="S44" s="64" t="s">
        <v>77</v>
      </c>
      <c r="T44" s="64">
        <v>2025.0</v>
      </c>
      <c r="U44" s="64" t="s">
        <v>78</v>
      </c>
      <c r="V44" s="64" t="s">
        <v>79</v>
      </c>
      <c r="W44" s="64" t="s">
        <v>706</v>
      </c>
      <c r="X44" s="64" t="s">
        <v>80</v>
      </c>
      <c r="Y44" s="64" t="s">
        <v>139</v>
      </c>
      <c r="Z44" s="64" t="s">
        <v>681</v>
      </c>
      <c r="AA44" s="64" t="s">
        <v>140</v>
      </c>
      <c r="AB44" s="66" t="s">
        <v>707</v>
      </c>
      <c r="AC44" s="63">
        <v>8.5218888714E10</v>
      </c>
      <c r="AD44" s="63" t="s">
        <v>562</v>
      </c>
      <c r="AE44" s="59"/>
      <c r="AF44" s="59"/>
      <c r="AG44" s="60"/>
      <c r="AH44" s="60"/>
      <c r="AI44" s="60"/>
      <c r="AJ44" s="60"/>
      <c r="AK44" s="60"/>
      <c r="AL44" s="60"/>
      <c r="AM44" s="60"/>
      <c r="AN44" s="60"/>
      <c r="AO44" s="60"/>
      <c r="AP44" s="60"/>
      <c r="AQ44" s="60"/>
      <c r="AR44" s="61"/>
    </row>
    <row r="45">
      <c r="A45" s="71" t="s">
        <v>708</v>
      </c>
      <c r="B45" s="57"/>
      <c r="C45" s="57"/>
      <c r="D45" s="58"/>
      <c r="E45" s="58"/>
      <c r="F45" s="57"/>
      <c r="G45" s="57"/>
      <c r="H45" s="57"/>
      <c r="I45" s="57"/>
      <c r="J45" s="57"/>
      <c r="K45" s="57"/>
      <c r="L45" s="57"/>
      <c r="M45" s="72"/>
      <c r="N45" s="57"/>
      <c r="O45" s="57"/>
      <c r="P45" s="57"/>
      <c r="Q45" s="57"/>
      <c r="R45" s="57"/>
      <c r="S45" s="57"/>
      <c r="T45" s="57"/>
      <c r="U45" s="57"/>
      <c r="V45" s="57"/>
      <c r="W45" s="57"/>
      <c r="X45" s="57"/>
      <c r="Y45" s="57"/>
      <c r="Z45" s="57"/>
      <c r="AA45" s="57"/>
      <c r="AB45" s="57"/>
      <c r="AC45" s="57"/>
      <c r="AD45" s="57"/>
      <c r="AE45" s="59"/>
      <c r="AF45" s="59"/>
      <c r="AG45" s="60"/>
      <c r="AH45" s="60"/>
      <c r="AI45" s="60"/>
      <c r="AJ45" s="60"/>
      <c r="AK45" s="60"/>
      <c r="AL45" s="60"/>
      <c r="AM45" s="60"/>
      <c r="AN45" s="60"/>
      <c r="AO45" s="60"/>
      <c r="AP45" s="60"/>
      <c r="AQ45" s="60"/>
      <c r="AR45" s="61"/>
    </row>
    <row r="46">
      <c r="A46" s="73">
        <v>20.0</v>
      </c>
      <c r="B46" s="63" t="s">
        <v>709</v>
      </c>
      <c r="C46" s="63" t="s">
        <v>710</v>
      </c>
      <c r="D46" s="59"/>
      <c r="E46" s="59"/>
      <c r="F46" s="64" t="s">
        <v>65</v>
      </c>
      <c r="G46" s="64" t="s">
        <v>131</v>
      </c>
      <c r="H46" s="64" t="s">
        <v>711</v>
      </c>
      <c r="I46" s="64" t="s">
        <v>712</v>
      </c>
      <c r="J46" s="64" t="s">
        <v>151</v>
      </c>
      <c r="K46" s="64" t="s">
        <v>110</v>
      </c>
      <c r="L46" s="64" t="s">
        <v>71</v>
      </c>
      <c r="M46" s="65" t="s">
        <v>713</v>
      </c>
      <c r="N46" s="64" t="s">
        <v>82</v>
      </c>
      <c r="O46" s="64" t="s">
        <v>113</v>
      </c>
      <c r="P46" s="64" t="s">
        <v>74</v>
      </c>
      <c r="Q46" s="66" t="s">
        <v>714</v>
      </c>
      <c r="R46" s="64" t="s">
        <v>76</v>
      </c>
      <c r="S46" s="64" t="s">
        <v>97</v>
      </c>
      <c r="T46" s="77">
        <v>2023.0</v>
      </c>
      <c r="U46" s="64" t="s">
        <v>78</v>
      </c>
      <c r="V46" s="64" t="s">
        <v>79</v>
      </c>
      <c r="W46" s="64" t="s">
        <v>80</v>
      </c>
      <c r="X46" s="64" t="s">
        <v>80</v>
      </c>
      <c r="Y46" s="64" t="s">
        <v>80</v>
      </c>
      <c r="Z46" s="64" t="s">
        <v>715</v>
      </c>
      <c r="AA46" s="64" t="s">
        <v>140</v>
      </c>
      <c r="AB46" s="67" t="s">
        <v>716</v>
      </c>
      <c r="AC46" s="77">
        <v>8.5294019899E10</v>
      </c>
      <c r="AD46" s="67" t="s">
        <v>563</v>
      </c>
      <c r="AE46" s="67" t="s">
        <v>563</v>
      </c>
      <c r="AF46" s="68" t="s">
        <v>71</v>
      </c>
      <c r="AG46" s="60"/>
      <c r="AH46" s="60"/>
      <c r="AI46" s="60"/>
      <c r="AJ46" s="60"/>
      <c r="AK46" s="60"/>
      <c r="AL46" s="60"/>
      <c r="AM46" s="60"/>
      <c r="AN46" s="60"/>
      <c r="AO46" s="60"/>
      <c r="AP46" s="60"/>
      <c r="AQ46" s="60"/>
      <c r="AR46" s="61"/>
    </row>
    <row r="47">
      <c r="A47" s="73">
        <v>21.0</v>
      </c>
      <c r="B47" s="63" t="s">
        <v>717</v>
      </c>
      <c r="C47" s="69"/>
      <c r="D47" s="59"/>
      <c r="E47" s="59"/>
      <c r="F47" s="64" t="s">
        <v>165</v>
      </c>
      <c r="G47" s="64" t="s">
        <v>138</v>
      </c>
      <c r="H47" s="64" t="s">
        <v>718</v>
      </c>
      <c r="I47" s="64" t="s">
        <v>719</v>
      </c>
      <c r="J47" s="64" t="s">
        <v>158</v>
      </c>
      <c r="K47" s="64" t="s">
        <v>110</v>
      </c>
      <c r="L47" s="64" t="s">
        <v>71</v>
      </c>
      <c r="M47" s="65" t="s">
        <v>720</v>
      </c>
      <c r="N47" s="64" t="s">
        <v>82</v>
      </c>
      <c r="O47" s="64" t="s">
        <v>113</v>
      </c>
      <c r="P47" s="64" t="s">
        <v>95</v>
      </c>
      <c r="Q47" s="78" t="s">
        <v>721</v>
      </c>
      <c r="R47" s="64" t="s">
        <v>76</v>
      </c>
      <c r="S47" s="64" t="s">
        <v>97</v>
      </c>
      <c r="T47" s="77">
        <v>2024.0</v>
      </c>
      <c r="U47" s="64" t="s">
        <v>147</v>
      </c>
      <c r="V47" s="64" t="s">
        <v>98</v>
      </c>
      <c r="W47" s="64" t="s">
        <v>722</v>
      </c>
      <c r="X47" s="64" t="s">
        <v>100</v>
      </c>
      <c r="Y47" s="64" t="s">
        <v>139</v>
      </c>
      <c r="Z47" s="64" t="s">
        <v>715</v>
      </c>
      <c r="AA47" s="64" t="s">
        <v>140</v>
      </c>
      <c r="AB47" s="67" t="s">
        <v>723</v>
      </c>
      <c r="AC47" s="67" t="s">
        <v>724</v>
      </c>
      <c r="AD47" s="69"/>
      <c r="AE47" s="67" t="s">
        <v>725</v>
      </c>
      <c r="AF47" s="68" t="s">
        <v>71</v>
      </c>
      <c r="AG47" s="60"/>
      <c r="AH47" s="60"/>
      <c r="AI47" s="60"/>
      <c r="AJ47" s="60"/>
      <c r="AK47" s="60"/>
      <c r="AL47" s="60"/>
      <c r="AM47" s="60"/>
      <c r="AN47" s="60"/>
      <c r="AO47" s="60"/>
      <c r="AP47" s="60"/>
      <c r="AQ47" s="60"/>
      <c r="AR47" s="61"/>
    </row>
    <row r="48">
      <c r="A48" s="71" t="s">
        <v>726</v>
      </c>
      <c r="B48" s="57"/>
      <c r="C48" s="57"/>
      <c r="D48" s="58"/>
      <c r="E48" s="58"/>
      <c r="F48" s="57"/>
      <c r="G48" s="57"/>
      <c r="H48" s="57"/>
      <c r="I48" s="57"/>
      <c r="J48" s="57"/>
      <c r="K48" s="57"/>
      <c r="L48" s="57"/>
      <c r="M48" s="72"/>
      <c r="N48" s="57"/>
      <c r="O48" s="57"/>
      <c r="P48" s="57"/>
      <c r="Q48" s="57"/>
      <c r="R48" s="57"/>
      <c r="S48" s="57"/>
      <c r="T48" s="57"/>
      <c r="U48" s="57"/>
      <c r="V48" s="57"/>
      <c r="W48" s="57"/>
      <c r="X48" s="57"/>
      <c r="Y48" s="57"/>
      <c r="Z48" s="57"/>
      <c r="AA48" s="57"/>
      <c r="AB48" s="57"/>
      <c r="AC48" s="57"/>
      <c r="AD48" s="57"/>
      <c r="AE48" s="59"/>
      <c r="AF48" s="59"/>
      <c r="AG48" s="60"/>
      <c r="AH48" s="60"/>
      <c r="AI48" s="60"/>
      <c r="AJ48" s="60"/>
      <c r="AK48" s="60"/>
      <c r="AL48" s="60"/>
      <c r="AM48" s="60"/>
      <c r="AN48" s="60"/>
      <c r="AO48" s="60"/>
      <c r="AP48" s="60"/>
      <c r="AQ48" s="60"/>
      <c r="AR48" s="61"/>
    </row>
    <row r="49">
      <c r="A49" s="73">
        <v>21.0</v>
      </c>
      <c r="B49" s="63" t="s">
        <v>727</v>
      </c>
      <c r="C49" s="63" t="s">
        <v>728</v>
      </c>
      <c r="D49" s="63" t="s">
        <v>729</v>
      </c>
      <c r="E49" s="59"/>
      <c r="F49" s="64" t="s">
        <v>441</v>
      </c>
      <c r="G49" s="64" t="s">
        <v>123</v>
      </c>
      <c r="H49" s="64" t="s">
        <v>730</v>
      </c>
      <c r="I49" s="64" t="s">
        <v>731</v>
      </c>
      <c r="J49" s="64" t="s">
        <v>91</v>
      </c>
      <c r="K49" s="64" t="s">
        <v>110</v>
      </c>
      <c r="L49" s="64" t="s">
        <v>71</v>
      </c>
      <c r="M49" s="65" t="s">
        <v>732</v>
      </c>
      <c r="N49" s="64" t="s">
        <v>73</v>
      </c>
      <c r="O49" s="64" t="s">
        <v>73</v>
      </c>
      <c r="P49" s="64" t="s">
        <v>74</v>
      </c>
      <c r="Q49" s="66" t="s">
        <v>733</v>
      </c>
      <c r="R49" s="64" t="s">
        <v>76</v>
      </c>
      <c r="S49" s="64" t="s">
        <v>97</v>
      </c>
      <c r="T49" s="64">
        <v>2021.0</v>
      </c>
      <c r="U49" s="64" t="s">
        <v>78</v>
      </c>
      <c r="V49" s="64" t="s">
        <v>79</v>
      </c>
      <c r="W49" s="64" t="s">
        <v>80</v>
      </c>
      <c r="X49" s="64" t="s">
        <v>80</v>
      </c>
      <c r="Y49" s="64" t="s">
        <v>80</v>
      </c>
      <c r="Z49" s="64" t="s">
        <v>734</v>
      </c>
      <c r="AA49" s="64" t="s">
        <v>140</v>
      </c>
      <c r="AB49" s="66" t="s">
        <v>735</v>
      </c>
      <c r="AC49" s="63" t="s">
        <v>736</v>
      </c>
      <c r="AD49" s="63" t="s">
        <v>737</v>
      </c>
      <c r="AE49" s="59"/>
      <c r="AF49" s="59"/>
      <c r="AG49" s="60"/>
      <c r="AH49" s="60"/>
      <c r="AI49" s="60"/>
      <c r="AJ49" s="60"/>
      <c r="AK49" s="60"/>
      <c r="AL49" s="60"/>
      <c r="AM49" s="60"/>
      <c r="AN49" s="60"/>
      <c r="AO49" s="60"/>
      <c r="AP49" s="60"/>
      <c r="AQ49" s="60"/>
      <c r="AR49" s="61"/>
    </row>
    <row r="50">
      <c r="A50" s="73">
        <v>22.0</v>
      </c>
      <c r="B50" s="63" t="s">
        <v>738</v>
      </c>
      <c r="C50" s="63" t="s">
        <v>739</v>
      </c>
      <c r="D50" s="63" t="s">
        <v>740</v>
      </c>
      <c r="E50" s="59"/>
      <c r="F50" s="64" t="s">
        <v>440</v>
      </c>
      <c r="G50" s="64" t="s">
        <v>123</v>
      </c>
      <c r="H50" s="69"/>
      <c r="I50" s="64" t="s">
        <v>741</v>
      </c>
      <c r="J50" s="64" t="s">
        <v>91</v>
      </c>
      <c r="K50" s="64" t="s">
        <v>110</v>
      </c>
      <c r="L50" s="64" t="s">
        <v>111</v>
      </c>
      <c r="M50" s="65" t="s">
        <v>742</v>
      </c>
      <c r="N50" s="64" t="s">
        <v>73</v>
      </c>
      <c r="O50" s="64" t="s">
        <v>73</v>
      </c>
      <c r="P50" s="64" t="s">
        <v>74</v>
      </c>
      <c r="Q50" s="66" t="s">
        <v>743</v>
      </c>
      <c r="R50" s="64" t="s">
        <v>76</v>
      </c>
      <c r="S50" s="64" t="s">
        <v>97</v>
      </c>
      <c r="T50" s="64">
        <v>2021.0</v>
      </c>
      <c r="U50" s="64" t="s">
        <v>78</v>
      </c>
      <c r="V50" s="64" t="s">
        <v>79</v>
      </c>
      <c r="W50" s="64" t="s">
        <v>80</v>
      </c>
      <c r="X50" s="64" t="s">
        <v>80</v>
      </c>
      <c r="Y50" s="64" t="s">
        <v>80</v>
      </c>
      <c r="Z50" s="64" t="s">
        <v>744</v>
      </c>
      <c r="AA50" s="64" t="s">
        <v>745</v>
      </c>
      <c r="AB50" s="66" t="s">
        <v>746</v>
      </c>
      <c r="AC50" s="63" t="s">
        <v>736</v>
      </c>
      <c r="AD50" s="63" t="s">
        <v>737</v>
      </c>
      <c r="AE50" s="59"/>
      <c r="AF50" s="59"/>
      <c r="AG50" s="60"/>
      <c r="AH50" s="60"/>
      <c r="AI50" s="60"/>
      <c r="AJ50" s="60"/>
      <c r="AK50" s="60"/>
      <c r="AL50" s="60"/>
      <c r="AM50" s="60"/>
      <c r="AN50" s="60"/>
      <c r="AO50" s="60"/>
      <c r="AP50" s="60"/>
      <c r="AQ50" s="60"/>
      <c r="AR50" s="61"/>
    </row>
    <row r="51">
      <c r="A51" s="73">
        <v>23.0</v>
      </c>
      <c r="B51" s="63" t="s">
        <v>747</v>
      </c>
      <c r="C51" s="63" t="s">
        <v>748</v>
      </c>
      <c r="D51" s="63" t="s">
        <v>749</v>
      </c>
      <c r="E51" s="59"/>
      <c r="F51" s="64" t="s">
        <v>440</v>
      </c>
      <c r="G51" s="64" t="s">
        <v>123</v>
      </c>
      <c r="H51" s="69"/>
      <c r="I51" s="64" t="s">
        <v>750</v>
      </c>
      <c r="J51" s="64" t="s">
        <v>91</v>
      </c>
      <c r="K51" s="64" t="s">
        <v>110</v>
      </c>
      <c r="L51" s="64" t="s">
        <v>101</v>
      </c>
      <c r="M51" s="65" t="s">
        <v>751</v>
      </c>
      <c r="N51" s="64" t="s">
        <v>73</v>
      </c>
      <c r="O51" s="64" t="s">
        <v>73</v>
      </c>
      <c r="P51" s="64" t="s">
        <v>74</v>
      </c>
      <c r="Q51" s="66" t="s">
        <v>752</v>
      </c>
      <c r="R51" s="64" t="s">
        <v>76</v>
      </c>
      <c r="S51" s="64" t="s">
        <v>97</v>
      </c>
      <c r="T51" s="64">
        <v>2021.0</v>
      </c>
      <c r="U51" s="64" t="s">
        <v>78</v>
      </c>
      <c r="V51" s="64" t="s">
        <v>79</v>
      </c>
      <c r="W51" s="64" t="s">
        <v>80</v>
      </c>
      <c r="X51" s="64" t="s">
        <v>80</v>
      </c>
      <c r="Y51" s="64" t="s">
        <v>80</v>
      </c>
      <c r="Z51" s="64" t="s">
        <v>744</v>
      </c>
      <c r="AA51" s="64" t="s">
        <v>753</v>
      </c>
      <c r="AB51" s="66" t="s">
        <v>754</v>
      </c>
      <c r="AC51" s="63" t="s">
        <v>736</v>
      </c>
      <c r="AD51" s="63" t="s">
        <v>737</v>
      </c>
      <c r="AE51" s="59"/>
      <c r="AF51" s="59"/>
      <c r="AG51" s="60"/>
      <c r="AH51" s="60"/>
      <c r="AI51" s="60"/>
      <c r="AJ51" s="60"/>
      <c r="AK51" s="60"/>
      <c r="AL51" s="60"/>
      <c r="AM51" s="60"/>
      <c r="AN51" s="60"/>
      <c r="AO51" s="60"/>
      <c r="AP51" s="60"/>
      <c r="AQ51" s="60"/>
      <c r="AR51" s="61"/>
    </row>
    <row r="52">
      <c r="A52" s="71" t="s">
        <v>755</v>
      </c>
      <c r="B52" s="57"/>
      <c r="C52" s="57"/>
      <c r="D52" s="58"/>
      <c r="E52" s="58"/>
      <c r="F52" s="57"/>
      <c r="G52" s="57"/>
      <c r="H52" s="57"/>
      <c r="I52" s="57"/>
      <c r="J52" s="57"/>
      <c r="K52" s="57"/>
      <c r="L52" s="57"/>
      <c r="M52" s="72"/>
      <c r="N52" s="57"/>
      <c r="O52" s="57"/>
      <c r="P52" s="57"/>
      <c r="Q52" s="57"/>
      <c r="R52" s="57"/>
      <c r="S52" s="57"/>
      <c r="T52" s="57"/>
      <c r="U52" s="57"/>
      <c r="V52" s="57"/>
      <c r="W52" s="57"/>
      <c r="X52" s="57"/>
      <c r="Y52" s="57"/>
      <c r="Z52" s="57"/>
      <c r="AA52" s="57"/>
      <c r="AB52" s="57"/>
      <c r="AC52" s="57"/>
      <c r="AD52" s="57"/>
      <c r="AE52" s="59"/>
      <c r="AF52" s="59"/>
      <c r="AG52" s="60"/>
      <c r="AH52" s="60"/>
      <c r="AI52" s="60"/>
      <c r="AJ52" s="60"/>
      <c r="AK52" s="60"/>
      <c r="AL52" s="60"/>
      <c r="AM52" s="60"/>
      <c r="AN52" s="60"/>
      <c r="AO52" s="60"/>
      <c r="AP52" s="60"/>
      <c r="AQ52" s="60"/>
      <c r="AR52" s="61"/>
    </row>
    <row r="53">
      <c r="A53" s="73">
        <v>31.0</v>
      </c>
      <c r="B53" s="63" t="s">
        <v>756</v>
      </c>
      <c r="C53" s="64" t="s">
        <v>757</v>
      </c>
      <c r="D53" s="67" t="s">
        <v>758</v>
      </c>
      <c r="E53" s="59"/>
      <c r="F53" s="67" t="s">
        <v>127</v>
      </c>
      <c r="G53" s="67" t="s">
        <v>138</v>
      </c>
      <c r="H53" s="68" t="s">
        <v>759</v>
      </c>
      <c r="I53" s="68" t="s">
        <v>759</v>
      </c>
      <c r="J53" s="67" t="s">
        <v>151</v>
      </c>
      <c r="K53" s="67" t="s">
        <v>110</v>
      </c>
      <c r="L53" s="67" t="s">
        <v>101</v>
      </c>
      <c r="M53" s="65" t="s">
        <v>527</v>
      </c>
      <c r="N53" s="67" t="s">
        <v>82</v>
      </c>
      <c r="O53" s="67" t="s">
        <v>113</v>
      </c>
      <c r="P53" s="67" t="s">
        <v>74</v>
      </c>
      <c r="Q53" s="75" t="s">
        <v>760</v>
      </c>
      <c r="R53" s="67" t="s">
        <v>76</v>
      </c>
      <c r="S53" s="67" t="s">
        <v>97</v>
      </c>
      <c r="T53" s="69"/>
      <c r="U53" s="67" t="s">
        <v>78</v>
      </c>
      <c r="V53" s="67" t="s">
        <v>98</v>
      </c>
      <c r="W53" s="79" t="s">
        <v>80</v>
      </c>
      <c r="X53" s="79" t="s">
        <v>80</v>
      </c>
      <c r="Y53" s="79" t="s">
        <v>80</v>
      </c>
      <c r="Z53" s="68" t="s">
        <v>761</v>
      </c>
      <c r="AA53" s="68" t="s">
        <v>140</v>
      </c>
      <c r="AB53" s="69"/>
      <c r="AC53" s="69"/>
      <c r="AD53" s="69"/>
      <c r="AE53" s="59"/>
      <c r="AF53" s="59"/>
      <c r="AG53" s="60"/>
      <c r="AH53" s="60"/>
      <c r="AI53" s="60"/>
      <c r="AJ53" s="60"/>
      <c r="AK53" s="60"/>
      <c r="AL53" s="60"/>
      <c r="AM53" s="60"/>
      <c r="AN53" s="60"/>
      <c r="AO53" s="60"/>
      <c r="AP53" s="60"/>
      <c r="AQ53" s="60"/>
      <c r="AR53" s="61"/>
    </row>
    <row r="54">
      <c r="A54" s="71" t="s">
        <v>762</v>
      </c>
      <c r="B54" s="57"/>
      <c r="C54" s="57"/>
      <c r="D54" s="58"/>
      <c r="E54" s="58"/>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9"/>
      <c r="AF54" s="59"/>
      <c r="AG54" s="60"/>
      <c r="AH54" s="60"/>
      <c r="AI54" s="60"/>
      <c r="AJ54" s="60"/>
      <c r="AK54" s="60"/>
      <c r="AL54" s="60"/>
      <c r="AM54" s="60"/>
      <c r="AN54" s="60"/>
      <c r="AO54" s="60"/>
      <c r="AP54" s="60"/>
      <c r="AQ54" s="60"/>
      <c r="AR54" s="61"/>
    </row>
    <row r="55">
      <c r="A55" s="73">
        <v>32.0</v>
      </c>
      <c r="B55" s="63" t="s">
        <v>763</v>
      </c>
      <c r="C55" s="63" t="s">
        <v>764</v>
      </c>
      <c r="D55" s="63" t="s">
        <v>765</v>
      </c>
      <c r="E55" s="63" t="s">
        <v>563</v>
      </c>
      <c r="F55" s="64" t="s">
        <v>360</v>
      </c>
      <c r="G55" s="64" t="s">
        <v>123</v>
      </c>
      <c r="H55" s="64" t="s">
        <v>766</v>
      </c>
      <c r="I55" s="64" t="s">
        <v>767</v>
      </c>
      <c r="J55" s="64" t="s">
        <v>151</v>
      </c>
      <c r="K55" s="64" t="s">
        <v>110</v>
      </c>
      <c r="L55" s="64" t="s">
        <v>152</v>
      </c>
      <c r="M55" s="80" t="s">
        <v>768</v>
      </c>
      <c r="N55" s="64" t="s">
        <v>82</v>
      </c>
      <c r="O55" s="64" t="s">
        <v>113</v>
      </c>
      <c r="P55" s="64" t="s">
        <v>95</v>
      </c>
      <c r="Q55" s="66" t="s">
        <v>769</v>
      </c>
      <c r="R55" s="64" t="s">
        <v>76</v>
      </c>
      <c r="S55" s="64" t="s">
        <v>97</v>
      </c>
      <c r="T55" s="64">
        <v>2024.0</v>
      </c>
      <c r="U55" s="64" t="s">
        <v>78</v>
      </c>
      <c r="V55" s="64" t="s">
        <v>98</v>
      </c>
      <c r="W55" s="64" t="s">
        <v>770</v>
      </c>
      <c r="X55" s="64" t="s">
        <v>155</v>
      </c>
      <c r="Y55" s="64" t="s">
        <v>139</v>
      </c>
      <c r="Z55" s="81" t="s">
        <v>771</v>
      </c>
      <c r="AA55" s="64" t="s">
        <v>140</v>
      </c>
      <c r="AB55" s="82" t="s">
        <v>772</v>
      </c>
      <c r="AC55" s="63">
        <v>8.5721347799E10</v>
      </c>
      <c r="AD55" s="63" t="s">
        <v>773</v>
      </c>
      <c r="AE55" s="59"/>
      <c r="AF55" s="59"/>
      <c r="AG55" s="60"/>
      <c r="AH55" s="60"/>
      <c r="AI55" s="60"/>
      <c r="AJ55" s="60"/>
      <c r="AK55" s="60"/>
      <c r="AL55" s="60"/>
      <c r="AM55" s="60"/>
      <c r="AN55" s="60"/>
      <c r="AO55" s="60"/>
      <c r="AP55" s="60"/>
      <c r="AQ55" s="60"/>
      <c r="AR55" s="61"/>
    </row>
    <row r="56">
      <c r="A56" s="73">
        <v>33.0</v>
      </c>
      <c r="B56" s="63" t="s">
        <v>774</v>
      </c>
      <c r="C56" s="83" t="s">
        <v>775</v>
      </c>
      <c r="D56" s="63" t="s">
        <v>563</v>
      </c>
      <c r="E56" s="63" t="s">
        <v>563</v>
      </c>
      <c r="F56" s="64" t="s">
        <v>361</v>
      </c>
      <c r="G56" s="64" t="s">
        <v>66</v>
      </c>
      <c r="H56" s="64" t="s">
        <v>776</v>
      </c>
      <c r="I56" s="64" t="s">
        <v>777</v>
      </c>
      <c r="J56" s="64" t="s">
        <v>91</v>
      </c>
      <c r="K56" s="64" t="s">
        <v>70</v>
      </c>
      <c r="L56" s="64" t="s">
        <v>152</v>
      </c>
      <c r="M56" s="80" t="s">
        <v>778</v>
      </c>
      <c r="N56" s="64" t="s">
        <v>82</v>
      </c>
      <c r="O56" s="64" t="s">
        <v>113</v>
      </c>
      <c r="P56" s="64" t="s">
        <v>95</v>
      </c>
      <c r="Q56" s="66" t="s">
        <v>779</v>
      </c>
      <c r="R56" s="64" t="s">
        <v>76</v>
      </c>
      <c r="S56" s="64" t="s">
        <v>97</v>
      </c>
      <c r="T56" s="64">
        <v>2023.0</v>
      </c>
      <c r="U56" s="64" t="s">
        <v>78</v>
      </c>
      <c r="V56" s="64" t="s">
        <v>98</v>
      </c>
      <c r="W56" s="64" t="s">
        <v>563</v>
      </c>
      <c r="X56" s="64" t="s">
        <v>155</v>
      </c>
      <c r="Y56" s="64" t="s">
        <v>152</v>
      </c>
      <c r="Z56" s="64" t="s">
        <v>780</v>
      </c>
      <c r="AA56" s="64" t="s">
        <v>140</v>
      </c>
      <c r="AB56" s="83" t="s">
        <v>781</v>
      </c>
      <c r="AC56" s="63">
        <v>8.127585399E9</v>
      </c>
      <c r="AD56" s="63" t="s">
        <v>782</v>
      </c>
      <c r="AE56" s="59"/>
      <c r="AF56" s="59"/>
      <c r="AG56" s="60"/>
      <c r="AH56" s="60"/>
      <c r="AI56" s="60"/>
      <c r="AJ56" s="60"/>
      <c r="AK56" s="60"/>
      <c r="AL56" s="60"/>
      <c r="AM56" s="60"/>
      <c r="AN56" s="60"/>
      <c r="AO56" s="60"/>
      <c r="AP56" s="60"/>
      <c r="AQ56" s="60"/>
      <c r="AR56" s="61"/>
    </row>
    <row r="57">
      <c r="A57" s="71" t="s">
        <v>783</v>
      </c>
      <c r="B57" s="57"/>
      <c r="C57" s="57"/>
      <c r="D57" s="58"/>
      <c r="E57" s="58"/>
      <c r="F57" s="57"/>
      <c r="G57" s="57"/>
      <c r="H57" s="57"/>
      <c r="I57" s="57"/>
      <c r="J57" s="57"/>
      <c r="K57" s="57"/>
      <c r="L57" s="57"/>
      <c r="M57" s="57"/>
      <c r="N57" s="57"/>
      <c r="O57" s="57"/>
      <c r="P57" s="57"/>
      <c r="Q57" s="57"/>
      <c r="R57" s="57"/>
      <c r="S57" s="57"/>
      <c r="T57" s="57"/>
      <c r="U57" s="57"/>
      <c r="V57" s="57"/>
      <c r="W57" s="57"/>
      <c r="X57" s="57"/>
      <c r="Y57" s="57"/>
      <c r="Z57" s="57"/>
      <c r="AA57" s="57"/>
      <c r="AB57" s="57"/>
      <c r="AC57" s="57"/>
      <c r="AD57" s="57"/>
      <c r="AE57" s="59"/>
      <c r="AF57" s="59"/>
      <c r="AG57" s="60"/>
      <c r="AH57" s="60"/>
      <c r="AI57" s="60"/>
      <c r="AJ57" s="60"/>
      <c r="AK57" s="60"/>
      <c r="AL57" s="60"/>
      <c r="AM57" s="60"/>
      <c r="AN57" s="60"/>
      <c r="AO57" s="60"/>
      <c r="AP57" s="60"/>
      <c r="AQ57" s="60"/>
      <c r="AR57" s="61"/>
    </row>
    <row r="58">
      <c r="A58" s="73">
        <v>34.0</v>
      </c>
      <c r="B58" s="63" t="s">
        <v>784</v>
      </c>
      <c r="C58" s="63" t="s">
        <v>785</v>
      </c>
      <c r="D58" s="63" t="s">
        <v>786</v>
      </c>
      <c r="E58" s="63" t="s">
        <v>787</v>
      </c>
      <c r="F58" s="64" t="s">
        <v>65</v>
      </c>
      <c r="G58" s="64" t="s">
        <v>788</v>
      </c>
      <c r="H58" s="64" t="s">
        <v>789</v>
      </c>
      <c r="I58" s="64" t="s">
        <v>790</v>
      </c>
      <c r="J58" s="64" t="s">
        <v>151</v>
      </c>
      <c r="K58" s="64" t="s">
        <v>70</v>
      </c>
      <c r="L58" s="64" t="s">
        <v>101</v>
      </c>
      <c r="M58" s="65" t="s">
        <v>791</v>
      </c>
      <c r="N58" s="64" t="s">
        <v>82</v>
      </c>
      <c r="O58" s="64" t="s">
        <v>113</v>
      </c>
      <c r="P58" s="64" t="s">
        <v>74</v>
      </c>
      <c r="Q58" s="66" t="s">
        <v>792</v>
      </c>
      <c r="R58" s="64" t="s">
        <v>76</v>
      </c>
      <c r="S58" s="64" t="s">
        <v>97</v>
      </c>
      <c r="T58" s="64">
        <v>2022.0</v>
      </c>
      <c r="U58" s="64" t="s">
        <v>78</v>
      </c>
      <c r="V58" s="64" t="s">
        <v>98</v>
      </c>
      <c r="W58" s="64" t="s">
        <v>793</v>
      </c>
      <c r="X58" s="64" t="s">
        <v>148</v>
      </c>
      <c r="Y58" s="64" t="s">
        <v>139</v>
      </c>
      <c r="Z58" s="64" t="s">
        <v>794</v>
      </c>
      <c r="AA58" s="64" t="s">
        <v>140</v>
      </c>
      <c r="AB58" s="63" t="s">
        <v>795</v>
      </c>
      <c r="AC58" s="63">
        <v>8.5322543009E10</v>
      </c>
      <c r="AD58" s="63" t="s">
        <v>796</v>
      </c>
      <c r="AE58" s="59"/>
      <c r="AF58" s="67" t="s">
        <v>797</v>
      </c>
      <c r="AG58" s="84" t="s">
        <v>798</v>
      </c>
    </row>
    <row r="59">
      <c r="A59" s="85" t="s">
        <v>799</v>
      </c>
      <c r="B59" s="57"/>
      <c r="C59" s="57"/>
      <c r="D59" s="58"/>
      <c r="E59" s="58"/>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9"/>
      <c r="AF59" s="59"/>
      <c r="AG59" s="60"/>
      <c r="AH59" s="60"/>
      <c r="AI59" s="60"/>
      <c r="AJ59" s="60"/>
      <c r="AK59" s="60"/>
      <c r="AL59" s="60"/>
      <c r="AM59" s="60"/>
      <c r="AN59" s="60"/>
      <c r="AO59" s="60"/>
      <c r="AP59" s="60"/>
      <c r="AQ59" s="60"/>
      <c r="AR59" s="61"/>
    </row>
    <row r="60">
      <c r="A60" s="73">
        <v>35.0</v>
      </c>
      <c r="B60" s="63" t="s">
        <v>800</v>
      </c>
      <c r="C60" s="63" t="s">
        <v>801</v>
      </c>
      <c r="D60" s="63" t="s">
        <v>802</v>
      </c>
      <c r="E60" s="59"/>
      <c r="F60" s="64" t="s">
        <v>282</v>
      </c>
      <c r="G60" s="64" t="s">
        <v>123</v>
      </c>
      <c r="H60" s="64" t="s">
        <v>803</v>
      </c>
      <c r="I60" s="64" t="s">
        <v>804</v>
      </c>
      <c r="J60" s="64" t="s">
        <v>91</v>
      </c>
      <c r="K60" s="64" t="s">
        <v>70</v>
      </c>
      <c r="L60" s="64" t="s">
        <v>71</v>
      </c>
      <c r="M60" s="86" t="s">
        <v>805</v>
      </c>
      <c r="N60" s="64" t="s">
        <v>73</v>
      </c>
      <c r="O60" s="64" t="s">
        <v>73</v>
      </c>
      <c r="P60" s="64" t="s">
        <v>95</v>
      </c>
      <c r="Q60" s="66" t="s">
        <v>806</v>
      </c>
      <c r="R60" s="64" t="s">
        <v>76</v>
      </c>
      <c r="S60" s="64" t="s">
        <v>97</v>
      </c>
      <c r="T60" s="64">
        <v>2017.0</v>
      </c>
      <c r="U60" s="64" t="s">
        <v>78</v>
      </c>
      <c r="V60" s="64" t="s">
        <v>79</v>
      </c>
      <c r="W60" s="64" t="s">
        <v>80</v>
      </c>
      <c r="X60" s="69"/>
      <c r="Y60" s="64" t="s">
        <v>143</v>
      </c>
      <c r="Z60" s="64" t="s">
        <v>807</v>
      </c>
      <c r="AA60" s="69"/>
      <c r="AB60" s="63" t="s">
        <v>808</v>
      </c>
      <c r="AC60" s="69"/>
      <c r="AD60" s="63" t="s">
        <v>809</v>
      </c>
      <c r="AE60" s="59"/>
      <c r="AF60" s="59"/>
      <c r="AG60" s="60"/>
      <c r="AH60" s="60"/>
      <c r="AI60" s="60"/>
      <c r="AJ60" s="60"/>
      <c r="AK60" s="60"/>
      <c r="AL60" s="60"/>
      <c r="AM60" s="60"/>
      <c r="AN60" s="60"/>
      <c r="AO60" s="60"/>
      <c r="AP60" s="60"/>
      <c r="AQ60" s="60"/>
      <c r="AR60" s="61"/>
    </row>
    <row r="61">
      <c r="A61" s="73">
        <v>36.0</v>
      </c>
      <c r="B61" s="82" t="s">
        <v>810</v>
      </c>
      <c r="C61" s="69"/>
      <c r="D61" s="63" t="s">
        <v>811</v>
      </c>
      <c r="E61" s="59"/>
      <c r="F61" s="64" t="s">
        <v>444</v>
      </c>
      <c r="G61" s="64" t="s">
        <v>123</v>
      </c>
      <c r="H61" s="64" t="s">
        <v>812</v>
      </c>
      <c r="I61" s="64" t="s">
        <v>813</v>
      </c>
      <c r="J61" s="64" t="s">
        <v>91</v>
      </c>
      <c r="K61" s="64" t="s">
        <v>110</v>
      </c>
      <c r="L61" s="64" t="s">
        <v>152</v>
      </c>
      <c r="M61" s="80" t="s">
        <v>814</v>
      </c>
      <c r="N61" s="64" t="s">
        <v>73</v>
      </c>
      <c r="O61" s="64" t="s">
        <v>73</v>
      </c>
      <c r="P61" s="64" t="s">
        <v>95</v>
      </c>
      <c r="Q61" s="66" t="s">
        <v>815</v>
      </c>
      <c r="R61" s="64" t="s">
        <v>76</v>
      </c>
      <c r="S61" s="64" t="s">
        <v>97</v>
      </c>
      <c r="T61" s="64">
        <v>2021.0</v>
      </c>
      <c r="U61" s="64" t="s">
        <v>78</v>
      </c>
      <c r="V61" s="64" t="s">
        <v>79</v>
      </c>
      <c r="W61" s="64" t="s">
        <v>80</v>
      </c>
      <c r="X61" s="69"/>
      <c r="Y61" s="64" t="s">
        <v>143</v>
      </c>
      <c r="Z61" s="64" t="s">
        <v>807</v>
      </c>
      <c r="AA61" s="64" t="s">
        <v>140</v>
      </c>
      <c r="AB61" s="63" t="s">
        <v>808</v>
      </c>
      <c r="AC61" s="69"/>
      <c r="AD61" s="63" t="s">
        <v>809</v>
      </c>
      <c r="AE61" s="59"/>
      <c r="AF61" s="59"/>
      <c r="AG61" s="60"/>
      <c r="AH61" s="60"/>
      <c r="AI61" s="60"/>
      <c r="AJ61" s="60"/>
      <c r="AK61" s="60"/>
      <c r="AL61" s="60"/>
      <c r="AM61" s="60"/>
      <c r="AN61" s="60"/>
      <c r="AO61" s="60"/>
      <c r="AP61" s="60"/>
      <c r="AQ61" s="60"/>
      <c r="AR61" s="61"/>
    </row>
    <row r="62">
      <c r="A62" s="73">
        <v>37.0</v>
      </c>
      <c r="B62" s="63" t="s">
        <v>816</v>
      </c>
      <c r="C62" s="63" t="s">
        <v>817</v>
      </c>
      <c r="D62" s="67" t="s">
        <v>818</v>
      </c>
      <c r="E62" s="59"/>
      <c r="F62" s="64" t="s">
        <v>470</v>
      </c>
      <c r="G62" s="64" t="s">
        <v>123</v>
      </c>
      <c r="H62" s="64" t="s">
        <v>819</v>
      </c>
      <c r="I62" s="64" t="s">
        <v>819</v>
      </c>
      <c r="J62" s="64" t="s">
        <v>91</v>
      </c>
      <c r="K62" s="64" t="s">
        <v>110</v>
      </c>
      <c r="L62" s="64" t="s">
        <v>152</v>
      </c>
      <c r="M62" s="80" t="s">
        <v>820</v>
      </c>
      <c r="N62" s="64" t="s">
        <v>144</v>
      </c>
      <c r="O62" s="64" t="s">
        <v>144</v>
      </c>
      <c r="P62" s="64" t="s">
        <v>95</v>
      </c>
      <c r="Q62" s="66" t="s">
        <v>821</v>
      </c>
      <c r="R62" s="64" t="s">
        <v>76</v>
      </c>
      <c r="S62" s="64" t="s">
        <v>97</v>
      </c>
      <c r="T62" s="69"/>
      <c r="U62" s="64" t="s">
        <v>78</v>
      </c>
      <c r="V62" s="64" t="s">
        <v>79</v>
      </c>
      <c r="W62" s="64" t="s">
        <v>80</v>
      </c>
      <c r="X62" s="69"/>
      <c r="Y62" s="64" t="s">
        <v>139</v>
      </c>
      <c r="Z62" s="64" t="s">
        <v>807</v>
      </c>
      <c r="AA62" s="64" t="s">
        <v>140</v>
      </c>
      <c r="AB62" s="63" t="s">
        <v>822</v>
      </c>
      <c r="AC62" s="69"/>
      <c r="AD62" s="69"/>
      <c r="AE62" s="59"/>
      <c r="AF62" s="59"/>
      <c r="AG62" s="60"/>
      <c r="AH62" s="60"/>
      <c r="AI62" s="60"/>
      <c r="AJ62" s="60"/>
      <c r="AK62" s="60"/>
      <c r="AL62" s="60"/>
      <c r="AM62" s="60"/>
      <c r="AN62" s="60"/>
      <c r="AO62" s="60"/>
      <c r="AP62" s="60"/>
      <c r="AQ62" s="60"/>
      <c r="AR62" s="61"/>
    </row>
    <row r="63">
      <c r="A63" s="73">
        <v>38.0</v>
      </c>
      <c r="B63" s="63" t="s">
        <v>816</v>
      </c>
      <c r="C63" s="63" t="s">
        <v>823</v>
      </c>
      <c r="D63" s="67" t="s">
        <v>818</v>
      </c>
      <c r="E63" s="59"/>
      <c r="F63" s="64" t="s">
        <v>470</v>
      </c>
      <c r="G63" s="64" t="s">
        <v>123</v>
      </c>
      <c r="H63" s="64" t="s">
        <v>819</v>
      </c>
      <c r="I63" s="64" t="s">
        <v>819</v>
      </c>
      <c r="J63" s="64" t="s">
        <v>91</v>
      </c>
      <c r="K63" s="64" t="s">
        <v>110</v>
      </c>
      <c r="L63" s="64" t="s">
        <v>152</v>
      </c>
      <c r="M63" s="80" t="s">
        <v>824</v>
      </c>
      <c r="N63" s="64" t="s">
        <v>73</v>
      </c>
      <c r="O63" s="64" t="s">
        <v>73</v>
      </c>
      <c r="P63" s="64" t="s">
        <v>95</v>
      </c>
      <c r="Q63" s="66" t="s">
        <v>825</v>
      </c>
      <c r="R63" s="64" t="s">
        <v>76</v>
      </c>
      <c r="S63" s="64" t="s">
        <v>97</v>
      </c>
      <c r="T63" s="69"/>
      <c r="U63" s="64" t="s">
        <v>78</v>
      </c>
      <c r="V63" s="64" t="s">
        <v>79</v>
      </c>
      <c r="W63" s="64" t="s">
        <v>80</v>
      </c>
      <c r="X63" s="69"/>
      <c r="Y63" s="64" t="s">
        <v>139</v>
      </c>
      <c r="Z63" s="64" t="s">
        <v>807</v>
      </c>
      <c r="AA63" s="64" t="s">
        <v>140</v>
      </c>
      <c r="AB63" s="63" t="s">
        <v>822</v>
      </c>
      <c r="AC63" s="69"/>
      <c r="AD63" s="69"/>
      <c r="AE63" s="59"/>
      <c r="AF63" s="59"/>
      <c r="AG63" s="60"/>
      <c r="AH63" s="60"/>
      <c r="AI63" s="60"/>
      <c r="AJ63" s="60"/>
      <c r="AK63" s="60"/>
      <c r="AL63" s="60"/>
      <c r="AM63" s="60"/>
      <c r="AN63" s="60"/>
      <c r="AO63" s="60"/>
      <c r="AP63" s="60"/>
      <c r="AQ63" s="60"/>
      <c r="AR63" s="61"/>
    </row>
    <row r="64">
      <c r="A64" s="73">
        <v>39.0</v>
      </c>
      <c r="B64" s="63" t="s">
        <v>826</v>
      </c>
      <c r="C64" s="63" t="s">
        <v>823</v>
      </c>
      <c r="D64" s="87" t="s">
        <v>827</v>
      </c>
      <c r="E64" s="59"/>
      <c r="F64" s="64" t="s">
        <v>470</v>
      </c>
      <c r="G64" s="64" t="s">
        <v>131</v>
      </c>
      <c r="H64" s="64" t="s">
        <v>828</v>
      </c>
      <c r="I64" s="64" t="s">
        <v>828</v>
      </c>
      <c r="J64" s="64" t="s">
        <v>151</v>
      </c>
      <c r="K64" s="64" t="s">
        <v>70</v>
      </c>
      <c r="L64" s="64" t="s">
        <v>101</v>
      </c>
      <c r="M64" s="80" t="s">
        <v>607</v>
      </c>
      <c r="N64" s="64" t="s">
        <v>73</v>
      </c>
      <c r="O64" s="64" t="s">
        <v>73</v>
      </c>
      <c r="P64" s="64" t="s">
        <v>95</v>
      </c>
      <c r="Q64" s="66" t="s">
        <v>829</v>
      </c>
      <c r="R64" s="69"/>
      <c r="S64" s="69"/>
      <c r="T64" s="69"/>
      <c r="U64" s="69"/>
      <c r="V64" s="69"/>
      <c r="W64" s="64" t="s">
        <v>80</v>
      </c>
      <c r="X64" s="69"/>
      <c r="Y64" s="69"/>
      <c r="Z64" s="64" t="s">
        <v>807</v>
      </c>
      <c r="AA64" s="64" t="s">
        <v>140</v>
      </c>
      <c r="AB64" s="88" t="s">
        <v>830</v>
      </c>
      <c r="AC64" s="69"/>
      <c r="AD64" s="69"/>
      <c r="AE64" s="59"/>
      <c r="AF64" s="59"/>
      <c r="AG64" s="60"/>
      <c r="AH64" s="60"/>
      <c r="AI64" s="60"/>
      <c r="AJ64" s="60"/>
      <c r="AK64" s="60"/>
      <c r="AL64" s="60"/>
      <c r="AM64" s="60"/>
      <c r="AN64" s="60"/>
      <c r="AO64" s="60"/>
      <c r="AP64" s="60"/>
      <c r="AQ64" s="60"/>
      <c r="AR64" s="61"/>
    </row>
    <row r="65">
      <c r="A65" s="73">
        <v>40.0</v>
      </c>
      <c r="B65" s="63" t="s">
        <v>831</v>
      </c>
      <c r="C65" s="63" t="s">
        <v>823</v>
      </c>
      <c r="D65" s="63" t="s">
        <v>832</v>
      </c>
      <c r="E65" s="59"/>
      <c r="F65" s="64" t="s">
        <v>470</v>
      </c>
      <c r="G65" s="64" t="s">
        <v>123</v>
      </c>
      <c r="H65" s="64" t="s">
        <v>833</v>
      </c>
      <c r="I65" s="64" t="s">
        <v>833</v>
      </c>
      <c r="J65" s="64" t="s">
        <v>91</v>
      </c>
      <c r="K65" s="64" t="s">
        <v>110</v>
      </c>
      <c r="L65" s="64" t="s">
        <v>152</v>
      </c>
      <c r="M65" s="80" t="s">
        <v>834</v>
      </c>
      <c r="N65" s="64" t="s">
        <v>73</v>
      </c>
      <c r="O65" s="64" t="s">
        <v>73</v>
      </c>
      <c r="P65" s="64" t="s">
        <v>95</v>
      </c>
      <c r="Q65" s="66" t="s">
        <v>835</v>
      </c>
      <c r="R65" s="69"/>
      <c r="S65" s="69"/>
      <c r="T65" s="69"/>
      <c r="U65" s="69"/>
      <c r="V65" s="69"/>
      <c r="W65" s="64" t="s">
        <v>80</v>
      </c>
      <c r="X65" s="69"/>
      <c r="Y65" s="69"/>
      <c r="Z65" s="64" t="s">
        <v>807</v>
      </c>
      <c r="AA65" s="64" t="s">
        <v>140</v>
      </c>
      <c r="AB65" s="63" t="s">
        <v>836</v>
      </c>
      <c r="AC65" s="69"/>
      <c r="AD65" s="69"/>
      <c r="AE65" s="59"/>
      <c r="AF65" s="59"/>
      <c r="AG65" s="60"/>
      <c r="AH65" s="60"/>
      <c r="AI65" s="60"/>
      <c r="AJ65" s="60"/>
      <c r="AK65" s="60"/>
      <c r="AL65" s="60"/>
      <c r="AM65" s="60"/>
      <c r="AN65" s="60"/>
      <c r="AO65" s="60"/>
      <c r="AP65" s="60"/>
      <c r="AQ65" s="60"/>
      <c r="AR65" s="61"/>
    </row>
    <row r="66">
      <c r="A66" s="73">
        <v>41.0</v>
      </c>
      <c r="B66" s="63" t="s">
        <v>837</v>
      </c>
      <c r="C66" s="63" t="s">
        <v>823</v>
      </c>
      <c r="D66" s="59"/>
      <c r="E66" s="59"/>
      <c r="F66" s="64" t="s">
        <v>470</v>
      </c>
      <c r="G66" s="64" t="s">
        <v>123</v>
      </c>
      <c r="H66" s="69"/>
      <c r="I66" s="69"/>
      <c r="J66" s="64" t="s">
        <v>91</v>
      </c>
      <c r="K66" s="64" t="s">
        <v>110</v>
      </c>
      <c r="L66" s="64" t="s">
        <v>101</v>
      </c>
      <c r="M66" s="80" t="s">
        <v>838</v>
      </c>
      <c r="N66" s="64" t="s">
        <v>73</v>
      </c>
      <c r="O66" s="64" t="s">
        <v>73</v>
      </c>
      <c r="P66" s="64" t="s">
        <v>95</v>
      </c>
      <c r="Q66" s="66" t="s">
        <v>839</v>
      </c>
      <c r="R66" s="64" t="s">
        <v>76</v>
      </c>
      <c r="S66" s="64" t="s">
        <v>97</v>
      </c>
      <c r="T66" s="69"/>
      <c r="U66" s="64" t="s">
        <v>78</v>
      </c>
      <c r="V66" s="69"/>
      <c r="W66" s="64" t="s">
        <v>80</v>
      </c>
      <c r="X66" s="69"/>
      <c r="Y66" s="64" t="s">
        <v>139</v>
      </c>
      <c r="Z66" s="64" t="s">
        <v>807</v>
      </c>
      <c r="AA66" s="64" t="s">
        <v>140</v>
      </c>
      <c r="AB66" s="63" t="s">
        <v>836</v>
      </c>
      <c r="AC66" s="69"/>
      <c r="AD66" s="69"/>
      <c r="AE66" s="59"/>
      <c r="AF66" s="59"/>
      <c r="AG66" s="60"/>
      <c r="AH66" s="60"/>
      <c r="AI66" s="60"/>
      <c r="AJ66" s="60"/>
      <c r="AK66" s="60"/>
      <c r="AL66" s="60"/>
      <c r="AM66" s="60"/>
      <c r="AN66" s="60"/>
      <c r="AO66" s="60"/>
      <c r="AP66" s="60"/>
      <c r="AQ66" s="60"/>
      <c r="AR66" s="61"/>
    </row>
    <row r="67">
      <c r="A67" s="73">
        <v>43.0</v>
      </c>
      <c r="B67" s="63" t="s">
        <v>840</v>
      </c>
      <c r="C67" s="63" t="s">
        <v>823</v>
      </c>
      <c r="D67" s="63" t="s">
        <v>841</v>
      </c>
      <c r="E67" s="59"/>
      <c r="F67" s="64" t="s">
        <v>470</v>
      </c>
      <c r="G67" s="64" t="s">
        <v>131</v>
      </c>
      <c r="H67" s="64" t="s">
        <v>842</v>
      </c>
      <c r="I67" s="64" t="s">
        <v>842</v>
      </c>
      <c r="J67" s="64" t="s">
        <v>91</v>
      </c>
      <c r="K67" s="64" t="s">
        <v>110</v>
      </c>
      <c r="L67" s="64" t="s">
        <v>101</v>
      </c>
      <c r="M67" s="80" t="s">
        <v>843</v>
      </c>
      <c r="N67" s="64" t="s">
        <v>26</v>
      </c>
      <c r="O67" s="64" t="s">
        <v>113</v>
      </c>
      <c r="P67" s="64" t="s">
        <v>95</v>
      </c>
      <c r="Q67" s="66" t="s">
        <v>844</v>
      </c>
      <c r="R67" s="64" t="s">
        <v>76</v>
      </c>
      <c r="S67" s="64" t="s">
        <v>97</v>
      </c>
      <c r="T67" s="69"/>
      <c r="U67" s="64" t="s">
        <v>78</v>
      </c>
      <c r="V67" s="69"/>
      <c r="W67" s="64" t="s">
        <v>80</v>
      </c>
      <c r="X67" s="69"/>
      <c r="Y67" s="64" t="s">
        <v>139</v>
      </c>
      <c r="Z67" s="64" t="s">
        <v>807</v>
      </c>
      <c r="AA67" s="64" t="s">
        <v>140</v>
      </c>
      <c r="AB67" s="63" t="s">
        <v>845</v>
      </c>
      <c r="AC67" s="69"/>
      <c r="AD67" s="69"/>
      <c r="AE67" s="59"/>
      <c r="AF67" s="59"/>
      <c r="AG67" s="60"/>
      <c r="AH67" s="60"/>
      <c r="AI67" s="60"/>
      <c r="AJ67" s="60"/>
      <c r="AK67" s="60"/>
      <c r="AL67" s="60"/>
      <c r="AM67" s="60"/>
      <c r="AN67" s="60"/>
      <c r="AO67" s="60"/>
      <c r="AP67" s="60"/>
      <c r="AQ67" s="60"/>
      <c r="AR67" s="61"/>
    </row>
    <row r="68">
      <c r="A68" s="73">
        <v>44.0</v>
      </c>
      <c r="B68" s="63" t="s">
        <v>846</v>
      </c>
      <c r="C68" s="63" t="s">
        <v>823</v>
      </c>
      <c r="D68" s="89" t="s">
        <v>847</v>
      </c>
      <c r="E68" s="59"/>
      <c r="F68" s="64" t="s">
        <v>470</v>
      </c>
      <c r="G68" s="64" t="s">
        <v>123</v>
      </c>
      <c r="H68" s="64" t="s">
        <v>848</v>
      </c>
      <c r="I68" s="64" t="s">
        <v>848</v>
      </c>
      <c r="J68" s="64" t="s">
        <v>151</v>
      </c>
      <c r="K68" s="64" t="s">
        <v>110</v>
      </c>
      <c r="L68" s="64" t="s">
        <v>152</v>
      </c>
      <c r="M68" s="80" t="s">
        <v>849</v>
      </c>
      <c r="N68" s="64" t="s">
        <v>73</v>
      </c>
      <c r="O68" s="64" t="s">
        <v>73</v>
      </c>
      <c r="P68" s="64" t="s">
        <v>95</v>
      </c>
      <c r="Q68" s="66" t="s">
        <v>850</v>
      </c>
      <c r="R68" s="64" t="s">
        <v>76</v>
      </c>
      <c r="S68" s="64" t="s">
        <v>97</v>
      </c>
      <c r="T68" s="69"/>
      <c r="U68" s="64" t="s">
        <v>78</v>
      </c>
      <c r="V68" s="64" t="s">
        <v>79</v>
      </c>
      <c r="W68" s="64" t="s">
        <v>80</v>
      </c>
      <c r="X68" s="69"/>
      <c r="Y68" s="64" t="s">
        <v>152</v>
      </c>
      <c r="Z68" s="64" t="s">
        <v>807</v>
      </c>
      <c r="AA68" s="64" t="s">
        <v>140</v>
      </c>
      <c r="AB68" s="63" t="s">
        <v>851</v>
      </c>
      <c r="AC68" s="69"/>
      <c r="AD68" s="69"/>
      <c r="AE68" s="59"/>
      <c r="AF68" s="59"/>
      <c r="AG68" s="60"/>
      <c r="AH68" s="60"/>
      <c r="AI68" s="60"/>
      <c r="AJ68" s="60"/>
      <c r="AK68" s="60"/>
      <c r="AL68" s="60"/>
      <c r="AM68" s="60"/>
      <c r="AN68" s="60"/>
      <c r="AO68" s="60"/>
      <c r="AP68" s="60"/>
      <c r="AQ68" s="60"/>
      <c r="AR68" s="61"/>
    </row>
    <row r="69">
      <c r="A69" s="71" t="s">
        <v>852</v>
      </c>
      <c r="B69" s="57"/>
      <c r="C69" s="57"/>
      <c r="D69" s="58"/>
      <c r="E69" s="58"/>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9"/>
      <c r="AF69" s="59"/>
      <c r="AG69" s="90"/>
      <c r="AH69" s="60"/>
      <c r="AI69" s="60"/>
      <c r="AJ69" s="60"/>
      <c r="AK69" s="60"/>
      <c r="AL69" s="60"/>
      <c r="AM69" s="60"/>
      <c r="AN69" s="60"/>
      <c r="AO69" s="60"/>
      <c r="AP69" s="60"/>
      <c r="AQ69" s="60"/>
      <c r="AR69" s="61"/>
    </row>
    <row r="70">
      <c r="A70" s="73">
        <v>45.0</v>
      </c>
      <c r="B70" s="63" t="s">
        <v>853</v>
      </c>
      <c r="C70" s="63" t="s">
        <v>854</v>
      </c>
      <c r="D70" s="63" t="s">
        <v>855</v>
      </c>
      <c r="E70" s="66" t="s">
        <v>856</v>
      </c>
      <c r="F70" s="64" t="s">
        <v>65</v>
      </c>
      <c r="G70" s="64" t="s">
        <v>123</v>
      </c>
      <c r="H70" s="64" t="s">
        <v>857</v>
      </c>
      <c r="I70" s="64" t="s">
        <v>858</v>
      </c>
      <c r="J70" s="64" t="s">
        <v>151</v>
      </c>
      <c r="K70" s="64" t="s">
        <v>110</v>
      </c>
      <c r="L70" s="64" t="s">
        <v>101</v>
      </c>
      <c r="M70" s="65" t="s">
        <v>859</v>
      </c>
      <c r="N70" s="64" t="s">
        <v>93</v>
      </c>
      <c r="O70" s="64" t="s">
        <v>113</v>
      </c>
      <c r="P70" s="64" t="s">
        <v>95</v>
      </c>
      <c r="Q70" s="66" t="s">
        <v>860</v>
      </c>
      <c r="R70" s="64" t="s">
        <v>76</v>
      </c>
      <c r="S70" s="64" t="s">
        <v>97</v>
      </c>
      <c r="T70" s="64">
        <v>2022.0</v>
      </c>
      <c r="U70" s="64" t="s">
        <v>78</v>
      </c>
      <c r="V70" s="64" t="s">
        <v>79</v>
      </c>
      <c r="W70" s="64" t="s">
        <v>861</v>
      </c>
      <c r="X70" s="64" t="s">
        <v>80</v>
      </c>
      <c r="Y70" s="64" t="s">
        <v>139</v>
      </c>
      <c r="Z70" s="64" t="s">
        <v>862</v>
      </c>
      <c r="AA70" s="64" t="s">
        <v>140</v>
      </c>
      <c r="AB70" s="63" t="s">
        <v>863</v>
      </c>
      <c r="AC70" s="63">
        <v>8.122233244E9</v>
      </c>
      <c r="AD70" s="63" t="s">
        <v>864</v>
      </c>
      <c r="AE70" s="67" t="s">
        <v>563</v>
      </c>
      <c r="AF70" s="68" t="s">
        <v>71</v>
      </c>
      <c r="AG70" s="91" t="s">
        <v>865</v>
      </c>
      <c r="AH70" s="92"/>
      <c r="AI70" s="92"/>
      <c r="AJ70" s="92"/>
      <c r="AK70" s="92"/>
      <c r="AL70" s="92"/>
      <c r="AM70" s="92"/>
      <c r="AN70" s="92"/>
      <c r="AO70" s="92"/>
      <c r="AP70" s="92"/>
      <c r="AQ70" s="92"/>
      <c r="AR70" s="61"/>
    </row>
    <row r="71">
      <c r="A71" s="73">
        <v>46.0</v>
      </c>
      <c r="B71" s="67" t="s">
        <v>866</v>
      </c>
      <c r="C71" s="67" t="s">
        <v>867</v>
      </c>
      <c r="D71" s="63" t="s">
        <v>868</v>
      </c>
      <c r="E71" s="59"/>
      <c r="F71" s="67" t="s">
        <v>65</v>
      </c>
      <c r="G71" s="67" t="s">
        <v>123</v>
      </c>
      <c r="H71" s="67" t="s">
        <v>869</v>
      </c>
      <c r="I71" s="67" t="s">
        <v>870</v>
      </c>
      <c r="J71" s="67" t="s">
        <v>151</v>
      </c>
      <c r="K71" s="67" t="s">
        <v>110</v>
      </c>
      <c r="L71" s="67" t="s">
        <v>111</v>
      </c>
      <c r="M71" s="93" t="s">
        <v>871</v>
      </c>
      <c r="N71" s="67" t="s">
        <v>93</v>
      </c>
      <c r="O71" s="67" t="s">
        <v>94</v>
      </c>
      <c r="P71" s="67" t="s">
        <v>95</v>
      </c>
      <c r="Q71" s="75" t="s">
        <v>872</v>
      </c>
      <c r="R71" s="67" t="s">
        <v>76</v>
      </c>
      <c r="S71" s="67" t="s">
        <v>97</v>
      </c>
      <c r="T71" s="68">
        <v>2020.0</v>
      </c>
      <c r="U71" s="67" t="s">
        <v>78</v>
      </c>
      <c r="V71" s="67" t="s">
        <v>79</v>
      </c>
      <c r="W71" s="79" t="s">
        <v>80</v>
      </c>
      <c r="X71" s="67" t="s">
        <v>80</v>
      </c>
      <c r="Y71" s="67" t="s">
        <v>80</v>
      </c>
      <c r="Z71" s="64" t="s">
        <v>862</v>
      </c>
      <c r="AA71" s="68" t="s">
        <v>140</v>
      </c>
      <c r="AB71" s="63" t="s">
        <v>863</v>
      </c>
      <c r="AC71" s="63">
        <v>8.122233244E9</v>
      </c>
      <c r="AD71" s="63" t="s">
        <v>864</v>
      </c>
      <c r="AE71" s="67" t="s">
        <v>563</v>
      </c>
      <c r="AF71" s="68" t="s">
        <v>111</v>
      </c>
      <c r="AG71" s="91" t="s">
        <v>26</v>
      </c>
      <c r="AH71" s="92"/>
      <c r="AI71" s="92"/>
      <c r="AJ71" s="92"/>
      <c r="AK71" s="92"/>
      <c r="AL71" s="92"/>
      <c r="AM71" s="92"/>
      <c r="AN71" s="92"/>
      <c r="AO71" s="92"/>
      <c r="AP71" s="92"/>
      <c r="AQ71" s="92"/>
      <c r="AR71" s="61"/>
    </row>
    <row r="72">
      <c r="A72" s="71" t="s">
        <v>873</v>
      </c>
      <c r="B72" s="57"/>
      <c r="C72" s="57"/>
      <c r="D72" s="58"/>
      <c r="E72" s="58"/>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9"/>
      <c r="AF72" s="68" t="s">
        <v>111</v>
      </c>
      <c r="AG72" s="60"/>
      <c r="AH72" s="60"/>
      <c r="AI72" s="60"/>
      <c r="AJ72" s="60"/>
      <c r="AK72" s="60"/>
      <c r="AL72" s="60"/>
      <c r="AM72" s="60"/>
      <c r="AN72" s="60"/>
      <c r="AO72" s="60"/>
      <c r="AP72" s="60"/>
      <c r="AQ72" s="60"/>
      <c r="AR72" s="61"/>
    </row>
    <row r="73">
      <c r="A73" s="73">
        <v>48.0</v>
      </c>
      <c r="B73" s="63" t="s">
        <v>874</v>
      </c>
      <c r="C73" s="63" t="s">
        <v>875</v>
      </c>
      <c r="D73" s="63" t="s">
        <v>876</v>
      </c>
      <c r="E73" s="66" t="s">
        <v>877</v>
      </c>
      <c r="F73" s="64" t="s">
        <v>65</v>
      </c>
      <c r="G73" s="64" t="s">
        <v>138</v>
      </c>
      <c r="H73" s="64" t="s">
        <v>878</v>
      </c>
      <c r="I73" s="64" t="s">
        <v>879</v>
      </c>
      <c r="J73" s="64" t="s">
        <v>91</v>
      </c>
      <c r="K73" s="64" t="s">
        <v>110</v>
      </c>
      <c r="L73" s="64" t="s">
        <v>101</v>
      </c>
      <c r="M73" s="65" t="s">
        <v>880</v>
      </c>
      <c r="N73" s="64" t="s">
        <v>73</v>
      </c>
      <c r="O73" s="64" t="s">
        <v>73</v>
      </c>
      <c r="P73" s="64" t="s">
        <v>95</v>
      </c>
      <c r="Q73" s="66" t="s">
        <v>881</v>
      </c>
      <c r="R73" s="64" t="s">
        <v>76</v>
      </c>
      <c r="S73" s="64" t="s">
        <v>97</v>
      </c>
      <c r="T73" s="64">
        <v>2013.0</v>
      </c>
      <c r="U73" s="64" t="s">
        <v>78</v>
      </c>
      <c r="V73" s="64" t="s">
        <v>79</v>
      </c>
      <c r="W73" s="64" t="s">
        <v>80</v>
      </c>
      <c r="X73" s="64" t="s">
        <v>80</v>
      </c>
      <c r="Y73" s="64" t="s">
        <v>80</v>
      </c>
      <c r="Z73" s="64" t="s">
        <v>882</v>
      </c>
      <c r="AA73" s="64" t="s">
        <v>140</v>
      </c>
      <c r="AB73" s="63" t="s">
        <v>883</v>
      </c>
      <c r="AC73" s="63">
        <v>8.5220648981E10</v>
      </c>
      <c r="AD73" s="63" t="s">
        <v>884</v>
      </c>
      <c r="AE73" s="94"/>
      <c r="AF73" s="68" t="s">
        <v>111</v>
      </c>
      <c r="AG73" s="60"/>
      <c r="AH73" s="60"/>
      <c r="AI73" s="60"/>
      <c r="AJ73" s="60"/>
      <c r="AK73" s="60"/>
      <c r="AL73" s="60"/>
      <c r="AM73" s="60"/>
      <c r="AN73" s="60"/>
      <c r="AO73" s="60"/>
      <c r="AP73" s="60"/>
      <c r="AQ73" s="60"/>
      <c r="AR73" s="61"/>
    </row>
    <row r="74">
      <c r="A74" s="71" t="s">
        <v>885</v>
      </c>
      <c r="B74" s="57"/>
      <c r="C74" s="57"/>
      <c r="D74" s="58"/>
      <c r="E74" s="58"/>
      <c r="F74" s="57"/>
      <c r="G74" s="57"/>
      <c r="H74" s="57"/>
      <c r="I74" s="57"/>
      <c r="J74" s="57"/>
      <c r="K74" s="57"/>
      <c r="L74" s="57"/>
      <c r="M74" s="57"/>
      <c r="N74" s="57"/>
      <c r="O74" s="57"/>
      <c r="P74" s="57"/>
      <c r="Q74" s="57"/>
      <c r="R74" s="57"/>
      <c r="S74" s="57"/>
      <c r="T74" s="57"/>
      <c r="U74" s="57"/>
      <c r="V74" s="57"/>
      <c r="W74" s="57"/>
      <c r="X74" s="57"/>
      <c r="Y74" s="57"/>
      <c r="Z74" s="57"/>
      <c r="AA74" s="57"/>
      <c r="AB74" s="57"/>
      <c r="AC74" s="57"/>
      <c r="AD74" s="57"/>
      <c r="AE74" s="94"/>
      <c r="AF74" s="94"/>
      <c r="AG74" s="60"/>
      <c r="AH74" s="60"/>
      <c r="AI74" s="60"/>
      <c r="AJ74" s="60"/>
      <c r="AK74" s="60"/>
      <c r="AL74" s="60"/>
      <c r="AM74" s="60"/>
      <c r="AN74" s="60"/>
      <c r="AO74" s="60"/>
      <c r="AP74" s="60"/>
      <c r="AQ74" s="60"/>
      <c r="AR74" s="61"/>
    </row>
    <row r="75">
      <c r="A75" s="73">
        <v>49.0</v>
      </c>
      <c r="B75" s="63" t="s">
        <v>886</v>
      </c>
      <c r="C75" s="63" t="s">
        <v>887</v>
      </c>
      <c r="D75" s="67" t="s">
        <v>888</v>
      </c>
      <c r="E75" s="59"/>
      <c r="F75" s="64" t="s">
        <v>477</v>
      </c>
      <c r="G75" s="64" t="s">
        <v>123</v>
      </c>
      <c r="H75" s="64" t="s">
        <v>889</v>
      </c>
      <c r="I75" s="63" t="s">
        <v>890</v>
      </c>
      <c r="J75" s="64" t="s">
        <v>91</v>
      </c>
      <c r="K75" s="64" t="s">
        <v>110</v>
      </c>
      <c r="L75" s="64" t="s">
        <v>143</v>
      </c>
      <c r="M75" s="80" t="s">
        <v>891</v>
      </c>
      <c r="N75" s="64" t="s">
        <v>82</v>
      </c>
      <c r="O75" s="64" t="s">
        <v>113</v>
      </c>
      <c r="P75" s="64" t="s">
        <v>74</v>
      </c>
      <c r="Q75" s="66" t="s">
        <v>892</v>
      </c>
      <c r="R75" s="64" t="s">
        <v>76</v>
      </c>
      <c r="S75" s="64" t="s">
        <v>97</v>
      </c>
      <c r="T75" s="77">
        <v>2025.0</v>
      </c>
      <c r="U75" s="64" t="s">
        <v>78</v>
      </c>
      <c r="V75" s="64" t="s">
        <v>79</v>
      </c>
      <c r="W75" s="64" t="s">
        <v>893</v>
      </c>
      <c r="X75" s="67" t="s">
        <v>155</v>
      </c>
      <c r="Y75" s="64" t="s">
        <v>139</v>
      </c>
      <c r="Z75" s="64" t="s">
        <v>894</v>
      </c>
      <c r="AA75" s="64" t="s">
        <v>895</v>
      </c>
      <c r="AB75" s="66" t="s">
        <v>896</v>
      </c>
      <c r="AC75" s="69"/>
      <c r="AD75" s="67" t="s">
        <v>897</v>
      </c>
      <c r="AE75" s="76" t="s">
        <v>898</v>
      </c>
      <c r="AF75" s="68" t="s">
        <v>71</v>
      </c>
      <c r="AG75" s="84" t="s">
        <v>899</v>
      </c>
      <c r="AJ75" s="92"/>
      <c r="AK75" s="92"/>
      <c r="AL75" s="92"/>
      <c r="AM75" s="92"/>
      <c r="AN75" s="92"/>
      <c r="AO75" s="92"/>
      <c r="AP75" s="92"/>
      <c r="AQ75" s="92"/>
      <c r="AR75" s="61"/>
    </row>
    <row r="76">
      <c r="A76" s="73">
        <v>50.0</v>
      </c>
      <c r="B76" s="63" t="s">
        <v>816</v>
      </c>
      <c r="C76" s="63" t="s">
        <v>817</v>
      </c>
      <c r="D76" s="67" t="s">
        <v>900</v>
      </c>
      <c r="E76" s="59"/>
      <c r="F76" s="64" t="s">
        <v>470</v>
      </c>
      <c r="G76" s="64" t="s">
        <v>123</v>
      </c>
      <c r="H76" s="64" t="s">
        <v>819</v>
      </c>
      <c r="I76" s="64" t="s">
        <v>819</v>
      </c>
      <c r="J76" s="64" t="s">
        <v>91</v>
      </c>
      <c r="K76" s="64" t="s">
        <v>110</v>
      </c>
      <c r="L76" s="64" t="s">
        <v>152</v>
      </c>
      <c r="M76" s="65" t="s">
        <v>820</v>
      </c>
      <c r="N76" s="64" t="s">
        <v>144</v>
      </c>
      <c r="O76" s="64" t="s">
        <v>144</v>
      </c>
      <c r="P76" s="64" t="s">
        <v>95</v>
      </c>
      <c r="Q76" s="66" t="s">
        <v>901</v>
      </c>
      <c r="R76" s="64" t="s">
        <v>76</v>
      </c>
      <c r="S76" s="64" t="s">
        <v>97</v>
      </c>
      <c r="T76" s="67" t="s">
        <v>563</v>
      </c>
      <c r="U76" s="64" t="s">
        <v>78</v>
      </c>
      <c r="V76" s="64" t="s">
        <v>79</v>
      </c>
      <c r="W76" s="64" t="s">
        <v>80</v>
      </c>
      <c r="X76" s="67" t="s">
        <v>159</v>
      </c>
      <c r="Y76" s="64" t="s">
        <v>139</v>
      </c>
      <c r="Z76" s="64" t="s">
        <v>894</v>
      </c>
      <c r="AA76" s="64" t="s">
        <v>902</v>
      </c>
      <c r="AB76" s="66" t="s">
        <v>903</v>
      </c>
      <c r="AC76" s="69"/>
      <c r="AD76" s="67" t="s">
        <v>897</v>
      </c>
      <c r="AE76" s="59"/>
      <c r="AF76" s="59"/>
      <c r="AG76" s="60"/>
      <c r="AH76" s="60"/>
      <c r="AI76" s="60"/>
      <c r="AJ76" s="60"/>
      <c r="AK76" s="60"/>
      <c r="AL76" s="60"/>
      <c r="AM76" s="60"/>
      <c r="AN76" s="60"/>
      <c r="AO76" s="60"/>
      <c r="AP76" s="60"/>
      <c r="AQ76" s="60"/>
      <c r="AR76" s="61"/>
    </row>
    <row r="77">
      <c r="A77" s="71" t="s">
        <v>904</v>
      </c>
      <c r="B77" s="57"/>
      <c r="C77" s="57"/>
      <c r="D77" s="58"/>
      <c r="E77" s="58"/>
      <c r="F77" s="57"/>
      <c r="G77" s="57"/>
      <c r="H77" s="57"/>
      <c r="I77" s="57"/>
      <c r="J77" s="57"/>
      <c r="K77" s="57"/>
      <c r="L77" s="57"/>
      <c r="M77" s="57"/>
      <c r="N77" s="57"/>
      <c r="O77" s="57"/>
      <c r="P77" s="57"/>
      <c r="Q77" s="57"/>
      <c r="R77" s="57"/>
      <c r="S77" s="57"/>
      <c r="T77" s="57"/>
      <c r="U77" s="57"/>
      <c r="V77" s="57"/>
      <c r="W77" s="57"/>
      <c r="X77" s="57"/>
      <c r="Y77" s="57"/>
      <c r="Z77" s="57"/>
      <c r="AA77" s="57"/>
      <c r="AB77" s="57"/>
      <c r="AC77" s="57"/>
      <c r="AD77" s="57"/>
      <c r="AE77" s="94"/>
      <c r="AF77" s="94"/>
      <c r="AG77" s="60"/>
      <c r="AH77" s="60"/>
      <c r="AI77" s="60"/>
      <c r="AJ77" s="60"/>
      <c r="AK77" s="60"/>
      <c r="AL77" s="60"/>
      <c r="AM77" s="60"/>
      <c r="AN77" s="60"/>
      <c r="AO77" s="60"/>
      <c r="AP77" s="60"/>
      <c r="AQ77" s="60"/>
      <c r="AR77" s="61"/>
    </row>
    <row r="78">
      <c r="A78" s="95">
        <v>1.0</v>
      </c>
      <c r="B78" s="96" t="s">
        <v>905</v>
      </c>
      <c r="C78" s="96" t="s">
        <v>906</v>
      </c>
      <c r="D78" s="96" t="s">
        <v>907</v>
      </c>
      <c r="E78" s="70" t="s">
        <v>908</v>
      </c>
      <c r="F78" s="79" t="s">
        <v>65</v>
      </c>
      <c r="G78" s="79" t="s">
        <v>66</v>
      </c>
      <c r="H78" s="79" t="s">
        <v>909</v>
      </c>
      <c r="I78" s="96" t="s">
        <v>909</v>
      </c>
      <c r="J78" s="79" t="s">
        <v>91</v>
      </c>
      <c r="K78" s="79" t="s">
        <v>70</v>
      </c>
      <c r="L78" s="79" t="s">
        <v>71</v>
      </c>
      <c r="M78" s="97" t="s">
        <v>910</v>
      </c>
      <c r="N78" s="79" t="s">
        <v>82</v>
      </c>
      <c r="O78" s="79" t="s">
        <v>113</v>
      </c>
      <c r="P78" s="79" t="s">
        <v>95</v>
      </c>
      <c r="Q78" s="69"/>
      <c r="R78" s="79" t="s">
        <v>76</v>
      </c>
      <c r="S78" s="79" t="s">
        <v>77</v>
      </c>
      <c r="T78" s="98">
        <v>2022.0</v>
      </c>
      <c r="U78" s="79" t="s">
        <v>154</v>
      </c>
      <c r="V78" s="79" t="s">
        <v>79</v>
      </c>
      <c r="W78" s="69"/>
      <c r="X78" s="69"/>
      <c r="Y78" s="79" t="s">
        <v>101</v>
      </c>
      <c r="Z78" s="79" t="s">
        <v>660</v>
      </c>
      <c r="AA78" s="79" t="s">
        <v>149</v>
      </c>
      <c r="AB78" s="96" t="s">
        <v>911</v>
      </c>
      <c r="AC78" s="96">
        <v>8.163796E8</v>
      </c>
      <c r="AD78" s="69"/>
      <c r="AE78" s="59"/>
      <c r="AF78" s="67" t="s">
        <v>71</v>
      </c>
      <c r="AG78" s="60"/>
      <c r="AH78" s="60"/>
      <c r="AI78" s="60"/>
      <c r="AJ78" s="60"/>
      <c r="AK78" s="60"/>
      <c r="AL78" s="60"/>
      <c r="AM78" s="60"/>
      <c r="AN78" s="60"/>
      <c r="AO78" s="60"/>
      <c r="AP78" s="60"/>
      <c r="AQ78" s="60"/>
      <c r="AR78" s="61"/>
    </row>
    <row r="79">
      <c r="A79" s="95">
        <v>2.0</v>
      </c>
      <c r="B79" s="96" t="s">
        <v>912</v>
      </c>
      <c r="C79" s="96" t="s">
        <v>913</v>
      </c>
      <c r="D79" s="96" t="s">
        <v>914</v>
      </c>
      <c r="E79" s="59"/>
      <c r="F79" s="79" t="s">
        <v>163</v>
      </c>
      <c r="G79" s="79" t="s">
        <v>66</v>
      </c>
      <c r="H79" s="79" t="s">
        <v>915</v>
      </c>
      <c r="I79" s="79" t="s">
        <v>915</v>
      </c>
      <c r="J79" s="79" t="s">
        <v>91</v>
      </c>
      <c r="K79" s="79" t="s">
        <v>110</v>
      </c>
      <c r="L79" s="79" t="s">
        <v>71</v>
      </c>
      <c r="M79" s="97" t="s">
        <v>916</v>
      </c>
      <c r="N79" s="79" t="s">
        <v>82</v>
      </c>
      <c r="O79" s="79" t="s">
        <v>113</v>
      </c>
      <c r="P79" s="79" t="s">
        <v>95</v>
      </c>
      <c r="Q79" s="70" t="s">
        <v>917</v>
      </c>
      <c r="R79" s="79" t="s">
        <v>76</v>
      </c>
      <c r="S79" s="79" t="s">
        <v>97</v>
      </c>
      <c r="T79" s="98">
        <v>2022.0</v>
      </c>
      <c r="U79" s="79" t="s">
        <v>78</v>
      </c>
      <c r="V79" s="79" t="s">
        <v>98</v>
      </c>
      <c r="W79" s="79" t="s">
        <v>918</v>
      </c>
      <c r="X79" s="79" t="s">
        <v>100</v>
      </c>
      <c r="Y79" s="79" t="s">
        <v>71</v>
      </c>
      <c r="Z79" s="79" t="s">
        <v>919</v>
      </c>
      <c r="AA79" s="79" t="s">
        <v>149</v>
      </c>
      <c r="AB79" s="96" t="s">
        <v>920</v>
      </c>
      <c r="AC79" s="96">
        <v>8.131307723E10</v>
      </c>
      <c r="AD79" s="69"/>
      <c r="AE79" s="59"/>
      <c r="AF79" s="67" t="s">
        <v>71</v>
      </c>
      <c r="AG79" s="60"/>
      <c r="AH79" s="60"/>
      <c r="AI79" s="60"/>
      <c r="AJ79" s="60"/>
      <c r="AK79" s="60"/>
      <c r="AL79" s="60"/>
      <c r="AM79" s="60"/>
      <c r="AN79" s="60"/>
      <c r="AO79" s="60"/>
      <c r="AP79" s="60"/>
      <c r="AQ79" s="60"/>
      <c r="AR79" s="61"/>
    </row>
    <row r="80">
      <c r="A80" s="99">
        <v>3.0</v>
      </c>
      <c r="B80" s="100" t="s">
        <v>921</v>
      </c>
      <c r="C80" s="100" t="s">
        <v>922</v>
      </c>
      <c r="D80" s="100" t="s">
        <v>923</v>
      </c>
      <c r="E80" s="101"/>
      <c r="F80" s="102" t="s">
        <v>165</v>
      </c>
      <c r="G80" s="102" t="s">
        <v>123</v>
      </c>
      <c r="H80" s="102" t="s">
        <v>924</v>
      </c>
      <c r="I80" s="102" t="s">
        <v>924</v>
      </c>
      <c r="J80" s="102" t="s">
        <v>91</v>
      </c>
      <c r="K80" s="103"/>
      <c r="L80" s="103"/>
      <c r="M80" s="103"/>
      <c r="N80" s="102" t="s">
        <v>82</v>
      </c>
      <c r="O80" s="102" t="s">
        <v>113</v>
      </c>
      <c r="P80" s="103"/>
      <c r="Q80" s="70" t="s">
        <v>925</v>
      </c>
      <c r="R80" s="102" t="s">
        <v>76</v>
      </c>
      <c r="S80" s="102" t="s">
        <v>77</v>
      </c>
      <c r="T80" s="104">
        <v>2025.0</v>
      </c>
      <c r="U80" s="102" t="s">
        <v>78</v>
      </c>
      <c r="V80" s="102" t="s">
        <v>98</v>
      </c>
      <c r="W80" s="102" t="s">
        <v>926</v>
      </c>
      <c r="X80" s="102" t="s">
        <v>100</v>
      </c>
      <c r="Y80" s="102" t="s">
        <v>71</v>
      </c>
      <c r="Z80" s="79" t="s">
        <v>660</v>
      </c>
      <c r="AA80" s="79" t="s">
        <v>149</v>
      </c>
      <c r="AB80" s="96" t="s">
        <v>927</v>
      </c>
      <c r="AC80" s="96">
        <v>8.95385108021E11</v>
      </c>
      <c r="AD80" s="69"/>
      <c r="AE80" s="59"/>
      <c r="AF80" s="67" t="s">
        <v>71</v>
      </c>
      <c r="AG80" s="60"/>
      <c r="AH80" s="60"/>
      <c r="AI80" s="60"/>
      <c r="AJ80" s="60"/>
      <c r="AK80" s="60"/>
      <c r="AL80" s="60"/>
      <c r="AM80" s="60"/>
      <c r="AN80" s="60"/>
      <c r="AO80" s="60"/>
      <c r="AP80" s="60"/>
      <c r="AQ80" s="60"/>
      <c r="AR80" s="61"/>
    </row>
    <row r="81">
      <c r="A81" s="99">
        <v>4.0</v>
      </c>
      <c r="B81" s="100" t="s">
        <v>928</v>
      </c>
      <c r="C81" s="100" t="s">
        <v>929</v>
      </c>
      <c r="D81" s="100" t="s">
        <v>930</v>
      </c>
      <c r="E81" s="101"/>
      <c r="F81" s="102" t="s">
        <v>165</v>
      </c>
      <c r="G81" s="102" t="s">
        <v>123</v>
      </c>
      <c r="H81" s="102" t="s">
        <v>931</v>
      </c>
      <c r="I81" s="102" t="s">
        <v>931</v>
      </c>
      <c r="J81" s="102" t="s">
        <v>151</v>
      </c>
      <c r="K81" s="102" t="s">
        <v>70</v>
      </c>
      <c r="L81" s="102" t="s">
        <v>111</v>
      </c>
      <c r="M81" s="103"/>
      <c r="N81" s="103"/>
      <c r="O81" s="103"/>
      <c r="P81" s="103"/>
      <c r="Q81" s="103"/>
      <c r="R81" s="102" t="s">
        <v>146</v>
      </c>
      <c r="S81" s="102" t="s">
        <v>77</v>
      </c>
      <c r="T81" s="103"/>
      <c r="U81" s="103"/>
      <c r="V81" s="103"/>
      <c r="W81" s="103"/>
      <c r="X81" s="103"/>
      <c r="Y81" s="103"/>
      <c r="Z81" s="79" t="s">
        <v>932</v>
      </c>
      <c r="AA81" s="79" t="s">
        <v>149</v>
      </c>
      <c r="AB81" s="96" t="s">
        <v>933</v>
      </c>
      <c r="AC81" s="96">
        <v>8.1322007652E10</v>
      </c>
      <c r="AD81" s="69"/>
      <c r="AE81" s="59"/>
      <c r="AF81" s="67" t="s">
        <v>111</v>
      </c>
      <c r="AG81" s="60"/>
      <c r="AH81" s="60"/>
      <c r="AI81" s="60"/>
      <c r="AJ81" s="60"/>
      <c r="AK81" s="60"/>
      <c r="AL81" s="60"/>
      <c r="AM81" s="60"/>
      <c r="AN81" s="60"/>
      <c r="AO81" s="60"/>
      <c r="AP81" s="60"/>
      <c r="AQ81" s="60"/>
      <c r="AR81" s="61"/>
    </row>
    <row r="82">
      <c r="A82" s="71" t="s">
        <v>934</v>
      </c>
      <c r="B82" s="57"/>
      <c r="C82" s="57"/>
      <c r="D82" s="58"/>
      <c r="E82" s="58"/>
      <c r="F82" s="57"/>
      <c r="G82" s="57"/>
      <c r="H82" s="57"/>
      <c r="I82" s="57"/>
      <c r="J82" s="57"/>
      <c r="K82" s="57"/>
      <c r="L82" s="57"/>
      <c r="M82" s="57"/>
      <c r="N82" s="57"/>
      <c r="O82" s="57"/>
      <c r="P82" s="57"/>
      <c r="Q82" s="57"/>
      <c r="R82" s="57"/>
      <c r="S82" s="57"/>
      <c r="T82" s="57"/>
      <c r="U82" s="57"/>
      <c r="V82" s="57"/>
      <c r="W82" s="57"/>
      <c r="X82" s="57"/>
      <c r="Y82" s="57"/>
      <c r="Z82" s="57"/>
      <c r="AA82" s="57"/>
      <c r="AB82" s="57"/>
      <c r="AC82" s="57"/>
      <c r="AD82" s="57"/>
      <c r="AE82" s="94"/>
      <c r="AF82" s="94"/>
      <c r="AG82" s="60"/>
      <c r="AH82" s="60"/>
      <c r="AI82" s="60"/>
      <c r="AJ82" s="60"/>
      <c r="AK82" s="60"/>
      <c r="AL82" s="60"/>
      <c r="AM82" s="60"/>
      <c r="AN82" s="60"/>
      <c r="AO82" s="60"/>
      <c r="AP82" s="60"/>
      <c r="AQ82" s="60"/>
      <c r="AR82" s="61"/>
    </row>
    <row r="83">
      <c r="A83" s="95">
        <v>1.0</v>
      </c>
      <c r="B83" s="96" t="s">
        <v>935</v>
      </c>
      <c r="C83" s="96" t="s">
        <v>936</v>
      </c>
      <c r="D83" s="96" t="s">
        <v>937</v>
      </c>
      <c r="E83" s="70" t="s">
        <v>938</v>
      </c>
      <c r="F83" s="79" t="s">
        <v>470</v>
      </c>
      <c r="G83" s="79" t="s">
        <v>123</v>
      </c>
      <c r="H83" s="79" t="s">
        <v>939</v>
      </c>
      <c r="I83" s="96" t="s">
        <v>940</v>
      </c>
      <c r="J83" s="79" t="s">
        <v>151</v>
      </c>
      <c r="K83" s="79" t="s">
        <v>110</v>
      </c>
      <c r="L83" s="79" t="s">
        <v>152</v>
      </c>
      <c r="M83" s="97" t="s">
        <v>941</v>
      </c>
      <c r="N83" s="79" t="s">
        <v>82</v>
      </c>
      <c r="O83" s="79" t="s">
        <v>113</v>
      </c>
      <c r="P83" s="79" t="s">
        <v>74</v>
      </c>
      <c r="Q83" s="70" t="s">
        <v>942</v>
      </c>
      <c r="R83" s="79" t="s">
        <v>76</v>
      </c>
      <c r="S83" s="79" t="s">
        <v>77</v>
      </c>
      <c r="T83" s="98">
        <v>2024.0</v>
      </c>
      <c r="U83" s="79" t="s">
        <v>78</v>
      </c>
      <c r="V83" s="79" t="s">
        <v>79</v>
      </c>
      <c r="W83" s="79" t="s">
        <v>943</v>
      </c>
      <c r="X83" s="79" t="s">
        <v>80</v>
      </c>
      <c r="Y83" s="79" t="s">
        <v>80</v>
      </c>
      <c r="Z83" s="79" t="s">
        <v>944</v>
      </c>
      <c r="AA83" s="79" t="s">
        <v>156</v>
      </c>
      <c r="AB83" s="96" t="s">
        <v>945</v>
      </c>
      <c r="AC83" s="98">
        <v>8.177660196E10</v>
      </c>
      <c r="AD83" s="96" t="s">
        <v>563</v>
      </c>
      <c r="AE83" s="77">
        <v>37.0</v>
      </c>
      <c r="AF83" s="68" t="s">
        <v>152</v>
      </c>
      <c r="AG83" s="60"/>
      <c r="AH83" s="60"/>
      <c r="AI83" s="60"/>
      <c r="AJ83" s="60"/>
      <c r="AK83" s="60"/>
      <c r="AL83" s="60"/>
      <c r="AM83" s="60"/>
      <c r="AN83" s="60"/>
      <c r="AO83" s="60"/>
      <c r="AP83" s="60"/>
      <c r="AQ83" s="60"/>
      <c r="AR83" s="61"/>
    </row>
    <row r="84">
      <c r="A84" s="95">
        <v>2.0</v>
      </c>
      <c r="B84" s="96" t="s">
        <v>946</v>
      </c>
      <c r="C84" s="96" t="s">
        <v>947</v>
      </c>
      <c r="D84" s="59"/>
      <c r="E84" s="70" t="s">
        <v>948</v>
      </c>
      <c r="F84" s="79" t="s">
        <v>65</v>
      </c>
      <c r="G84" s="79" t="s">
        <v>123</v>
      </c>
      <c r="H84" s="79" t="s">
        <v>949</v>
      </c>
      <c r="I84" s="79" t="s">
        <v>950</v>
      </c>
      <c r="J84" s="79" t="s">
        <v>69</v>
      </c>
      <c r="K84" s="79" t="s">
        <v>110</v>
      </c>
      <c r="L84" s="79" t="s">
        <v>143</v>
      </c>
      <c r="M84" s="105" t="s">
        <v>951</v>
      </c>
      <c r="N84" s="79" t="s">
        <v>26</v>
      </c>
      <c r="O84" s="79" t="s">
        <v>94</v>
      </c>
      <c r="P84" s="79" t="s">
        <v>95</v>
      </c>
      <c r="Q84" s="70" t="s">
        <v>952</v>
      </c>
      <c r="R84" s="79" t="s">
        <v>76</v>
      </c>
      <c r="S84" s="79" t="s">
        <v>77</v>
      </c>
      <c r="T84" s="98">
        <v>2025.0</v>
      </c>
      <c r="U84" s="79" t="s">
        <v>78</v>
      </c>
      <c r="V84" s="79" t="s">
        <v>79</v>
      </c>
      <c r="W84" s="79" t="s">
        <v>943</v>
      </c>
      <c r="X84" s="79" t="s">
        <v>80</v>
      </c>
      <c r="Y84" s="79" t="s">
        <v>80</v>
      </c>
      <c r="Z84" s="79" t="s">
        <v>953</v>
      </c>
      <c r="AA84" s="79" t="s">
        <v>156</v>
      </c>
      <c r="AB84" s="96" t="s">
        <v>954</v>
      </c>
      <c r="AC84" s="98">
        <v>8.2117986701E10</v>
      </c>
      <c r="AD84" s="96" t="s">
        <v>563</v>
      </c>
      <c r="AE84" s="67" t="s">
        <v>643</v>
      </c>
      <c r="AF84" s="68" t="s">
        <v>71</v>
      </c>
      <c r="AG84" s="60"/>
      <c r="AH84" s="60"/>
      <c r="AI84" s="60"/>
      <c r="AJ84" s="60"/>
      <c r="AK84" s="60"/>
      <c r="AL84" s="60"/>
      <c r="AM84" s="60"/>
      <c r="AN84" s="60"/>
      <c r="AO84" s="60"/>
      <c r="AP84" s="60"/>
      <c r="AQ84" s="60"/>
      <c r="AR84" s="61"/>
    </row>
    <row r="85">
      <c r="A85" s="95">
        <v>3.0</v>
      </c>
      <c r="B85" s="96" t="s">
        <v>955</v>
      </c>
      <c r="C85" s="96" t="s">
        <v>956</v>
      </c>
      <c r="D85" s="96" t="s">
        <v>957</v>
      </c>
      <c r="E85" s="59"/>
      <c r="F85" s="79" t="s">
        <v>470</v>
      </c>
      <c r="G85" s="79" t="s">
        <v>123</v>
      </c>
      <c r="H85" s="79" t="s">
        <v>958</v>
      </c>
      <c r="I85" s="96" t="s">
        <v>959</v>
      </c>
      <c r="J85" s="79" t="s">
        <v>69</v>
      </c>
      <c r="K85" s="79" t="s">
        <v>70</v>
      </c>
      <c r="L85" s="79" t="s">
        <v>101</v>
      </c>
      <c r="M85" s="97" t="s">
        <v>960</v>
      </c>
      <c r="N85" s="79" t="s">
        <v>93</v>
      </c>
      <c r="O85" s="79" t="s">
        <v>113</v>
      </c>
      <c r="P85" s="79" t="s">
        <v>95</v>
      </c>
      <c r="Q85" s="96" t="s">
        <v>961</v>
      </c>
      <c r="R85" s="79" t="s">
        <v>76</v>
      </c>
      <c r="S85" s="79" t="s">
        <v>77</v>
      </c>
      <c r="T85" s="96" t="s">
        <v>961</v>
      </c>
      <c r="U85" s="79" t="s">
        <v>147</v>
      </c>
      <c r="V85" s="79" t="s">
        <v>79</v>
      </c>
      <c r="W85" s="79" t="s">
        <v>943</v>
      </c>
      <c r="X85" s="79" t="s">
        <v>80</v>
      </c>
      <c r="Y85" s="79" t="s">
        <v>80</v>
      </c>
      <c r="Z85" s="79" t="s">
        <v>962</v>
      </c>
      <c r="AA85" s="79" t="s">
        <v>156</v>
      </c>
      <c r="AB85" s="96" t="s">
        <v>963</v>
      </c>
      <c r="AC85" s="98">
        <v>8.2130540674E10</v>
      </c>
      <c r="AD85" s="96" t="s">
        <v>563</v>
      </c>
      <c r="AE85" s="76" t="s">
        <v>563</v>
      </c>
      <c r="AF85" s="68" t="s">
        <v>111</v>
      </c>
      <c r="AG85" s="60"/>
      <c r="AH85" s="60"/>
      <c r="AI85" s="60"/>
      <c r="AJ85" s="60"/>
      <c r="AK85" s="60"/>
      <c r="AL85" s="60"/>
      <c r="AM85" s="60"/>
      <c r="AN85" s="60"/>
      <c r="AO85" s="60"/>
      <c r="AP85" s="60"/>
      <c r="AQ85" s="60"/>
      <c r="AR85" s="61"/>
    </row>
    <row r="86">
      <c r="A86" s="95">
        <v>4.0</v>
      </c>
      <c r="B86" s="96" t="s">
        <v>964</v>
      </c>
      <c r="C86" s="96" t="s">
        <v>965</v>
      </c>
      <c r="D86" s="96" t="s">
        <v>966</v>
      </c>
      <c r="E86" s="94"/>
      <c r="F86" s="79" t="s">
        <v>470</v>
      </c>
      <c r="G86" s="79" t="s">
        <v>123</v>
      </c>
      <c r="H86" s="79" t="s">
        <v>967</v>
      </c>
      <c r="I86" s="96" t="s">
        <v>968</v>
      </c>
      <c r="J86" s="79" t="s">
        <v>69</v>
      </c>
      <c r="K86" s="79" t="s">
        <v>70</v>
      </c>
      <c r="L86" s="79" t="s">
        <v>111</v>
      </c>
      <c r="M86" s="97" t="s">
        <v>639</v>
      </c>
      <c r="N86" s="79" t="s">
        <v>93</v>
      </c>
      <c r="O86" s="79" t="s">
        <v>113</v>
      </c>
      <c r="P86" s="79" t="s">
        <v>95</v>
      </c>
      <c r="Q86" s="70" t="s">
        <v>969</v>
      </c>
      <c r="R86" s="79" t="s">
        <v>76</v>
      </c>
      <c r="S86" s="79" t="s">
        <v>77</v>
      </c>
      <c r="T86" s="98">
        <v>2025.0</v>
      </c>
      <c r="U86" s="79" t="s">
        <v>78</v>
      </c>
      <c r="V86" s="79" t="s">
        <v>79</v>
      </c>
      <c r="W86" s="79" t="s">
        <v>970</v>
      </c>
      <c r="X86" s="79" t="s">
        <v>80</v>
      </c>
      <c r="Y86" s="79" t="s">
        <v>80</v>
      </c>
      <c r="Z86" s="79" t="s">
        <v>944</v>
      </c>
      <c r="AA86" s="79" t="s">
        <v>156</v>
      </c>
      <c r="AB86" s="76" t="s">
        <v>971</v>
      </c>
      <c r="AC86" s="106">
        <v>8.132016216E9</v>
      </c>
      <c r="AD86" s="76" t="s">
        <v>563</v>
      </c>
      <c r="AE86" s="67" t="s">
        <v>643</v>
      </c>
      <c r="AF86" s="68" t="s">
        <v>111</v>
      </c>
      <c r="AG86" s="60"/>
      <c r="AH86" s="60"/>
      <c r="AI86" s="60"/>
      <c r="AJ86" s="60"/>
      <c r="AK86" s="60"/>
      <c r="AL86" s="60"/>
      <c r="AM86" s="60"/>
      <c r="AN86" s="60"/>
      <c r="AO86" s="60"/>
      <c r="AP86" s="60"/>
      <c r="AQ86" s="60"/>
      <c r="AR86" s="61"/>
    </row>
    <row r="87">
      <c r="A87" s="95">
        <v>5.0</v>
      </c>
      <c r="B87" s="96" t="s">
        <v>972</v>
      </c>
      <c r="C87" s="96" t="s">
        <v>973</v>
      </c>
      <c r="D87" s="96" t="s">
        <v>974</v>
      </c>
      <c r="E87" s="59"/>
      <c r="F87" s="79" t="s">
        <v>470</v>
      </c>
      <c r="G87" s="79" t="s">
        <v>123</v>
      </c>
      <c r="H87" s="79" t="s">
        <v>939</v>
      </c>
      <c r="I87" s="96" t="s">
        <v>975</v>
      </c>
      <c r="J87" s="79" t="s">
        <v>158</v>
      </c>
      <c r="K87" s="79" t="s">
        <v>70</v>
      </c>
      <c r="L87" s="79" t="s">
        <v>101</v>
      </c>
      <c r="M87" s="97" t="s">
        <v>558</v>
      </c>
      <c r="N87" s="79" t="s">
        <v>93</v>
      </c>
      <c r="O87" s="79" t="s">
        <v>113</v>
      </c>
      <c r="P87" s="79" t="s">
        <v>95</v>
      </c>
      <c r="Q87" s="70" t="s">
        <v>976</v>
      </c>
      <c r="R87" s="79" t="s">
        <v>76</v>
      </c>
      <c r="S87" s="79" t="s">
        <v>77</v>
      </c>
      <c r="T87" s="79">
        <v>2022.0</v>
      </c>
      <c r="U87" s="79" t="s">
        <v>78</v>
      </c>
      <c r="V87" s="79" t="s">
        <v>79</v>
      </c>
      <c r="W87" s="79" t="s">
        <v>80</v>
      </c>
      <c r="X87" s="79" t="s">
        <v>80</v>
      </c>
      <c r="Y87" s="79" t="s">
        <v>80</v>
      </c>
      <c r="Z87" s="79" t="s">
        <v>977</v>
      </c>
      <c r="AA87" s="79" t="s">
        <v>156</v>
      </c>
      <c r="AB87" s="96" t="s">
        <v>978</v>
      </c>
      <c r="AC87" s="96" t="s">
        <v>979</v>
      </c>
      <c r="AD87" s="96" t="s">
        <v>563</v>
      </c>
      <c r="AE87" s="59"/>
      <c r="AF87" s="68" t="s">
        <v>152</v>
      </c>
      <c r="AG87" s="60"/>
      <c r="AH87" s="60"/>
      <c r="AI87" s="60"/>
      <c r="AJ87" s="60"/>
      <c r="AK87" s="60"/>
      <c r="AL87" s="60"/>
      <c r="AM87" s="60"/>
      <c r="AN87" s="60"/>
      <c r="AO87" s="60"/>
      <c r="AP87" s="60"/>
      <c r="AQ87" s="60"/>
      <c r="AR87" s="61"/>
    </row>
    <row r="88">
      <c r="A88" s="107">
        <v>6.0</v>
      </c>
      <c r="B88" s="108" t="s">
        <v>980</v>
      </c>
      <c r="C88" s="108" t="s">
        <v>981</v>
      </c>
      <c r="D88" s="108" t="s">
        <v>982</v>
      </c>
      <c r="E88" s="109"/>
      <c r="F88" s="110" t="s">
        <v>470</v>
      </c>
      <c r="G88" s="110" t="s">
        <v>123</v>
      </c>
      <c r="H88" s="110" t="s">
        <v>983</v>
      </c>
      <c r="I88" s="108" t="s">
        <v>984</v>
      </c>
      <c r="J88" s="110" t="s">
        <v>158</v>
      </c>
      <c r="K88" s="110" t="s">
        <v>70</v>
      </c>
      <c r="L88" s="110" t="s">
        <v>101</v>
      </c>
      <c r="M88" s="72"/>
      <c r="N88" s="110" t="s">
        <v>93</v>
      </c>
      <c r="O88" s="110" t="s">
        <v>113</v>
      </c>
      <c r="P88" s="110" t="s">
        <v>95</v>
      </c>
      <c r="Q88" s="111"/>
      <c r="R88" s="110" t="s">
        <v>76</v>
      </c>
      <c r="S88" s="111"/>
      <c r="T88" s="111"/>
      <c r="U88" s="110" t="s">
        <v>78</v>
      </c>
      <c r="V88" s="110" t="s">
        <v>98</v>
      </c>
      <c r="W88" s="110" t="s">
        <v>639</v>
      </c>
      <c r="X88" s="111"/>
      <c r="Y88" s="110" t="s">
        <v>101</v>
      </c>
      <c r="Z88" s="110" t="s">
        <v>985</v>
      </c>
      <c r="AA88" s="110" t="s">
        <v>156</v>
      </c>
      <c r="AB88" s="108" t="s">
        <v>986</v>
      </c>
      <c r="AC88" s="112">
        <v>8.95358E16</v>
      </c>
      <c r="AD88" s="108" t="s">
        <v>563</v>
      </c>
      <c r="AE88" s="113" t="s">
        <v>643</v>
      </c>
      <c r="AF88" s="114" t="s">
        <v>111</v>
      </c>
      <c r="AG88" s="115"/>
      <c r="AH88" s="115"/>
      <c r="AI88" s="115"/>
      <c r="AJ88" s="115"/>
      <c r="AK88" s="115"/>
      <c r="AL88" s="115"/>
      <c r="AM88" s="115"/>
      <c r="AN88" s="115"/>
      <c r="AO88" s="115"/>
      <c r="AP88" s="115"/>
      <c r="AQ88" s="115"/>
      <c r="AR88" s="61"/>
    </row>
    <row r="89">
      <c r="A89" s="95">
        <v>7.0</v>
      </c>
      <c r="B89" s="96" t="s">
        <v>987</v>
      </c>
      <c r="C89" s="96" t="s">
        <v>988</v>
      </c>
      <c r="D89" s="96" t="s">
        <v>989</v>
      </c>
      <c r="E89" s="59"/>
      <c r="F89" s="79" t="s">
        <v>470</v>
      </c>
      <c r="G89" s="79" t="s">
        <v>66</v>
      </c>
      <c r="H89" s="79" t="s">
        <v>990</v>
      </c>
      <c r="I89" s="96" t="s">
        <v>991</v>
      </c>
      <c r="J89" s="79" t="s">
        <v>158</v>
      </c>
      <c r="K89" s="79" t="s">
        <v>70</v>
      </c>
      <c r="L89" s="79" t="s">
        <v>101</v>
      </c>
      <c r="M89" s="97" t="s">
        <v>793</v>
      </c>
      <c r="N89" s="79" t="s">
        <v>82</v>
      </c>
      <c r="O89" s="79" t="s">
        <v>113</v>
      </c>
      <c r="P89" s="79" t="s">
        <v>95</v>
      </c>
      <c r="Q89" s="96" t="s">
        <v>992</v>
      </c>
      <c r="R89" s="79" t="s">
        <v>76</v>
      </c>
      <c r="S89" s="79" t="s">
        <v>97</v>
      </c>
      <c r="T89" s="98">
        <v>2024.0</v>
      </c>
      <c r="U89" s="79" t="s">
        <v>78</v>
      </c>
      <c r="V89" s="79" t="s">
        <v>79</v>
      </c>
      <c r="W89" s="79" t="s">
        <v>80</v>
      </c>
      <c r="X89" s="79" t="s">
        <v>80</v>
      </c>
      <c r="Y89" s="79" t="s">
        <v>101</v>
      </c>
      <c r="Z89" s="79" t="s">
        <v>993</v>
      </c>
      <c r="AA89" s="79" t="s">
        <v>156</v>
      </c>
      <c r="AB89" s="96" t="s">
        <v>994</v>
      </c>
      <c r="AC89" s="98">
        <v>8.788122721E10</v>
      </c>
      <c r="AD89" s="96" t="s">
        <v>563</v>
      </c>
      <c r="AE89" s="67" t="s">
        <v>563</v>
      </c>
      <c r="AF89" s="68" t="s">
        <v>566</v>
      </c>
      <c r="AG89" s="60"/>
      <c r="AH89" s="60"/>
      <c r="AI89" s="60"/>
      <c r="AJ89" s="60"/>
      <c r="AK89" s="60"/>
      <c r="AL89" s="60"/>
      <c r="AM89" s="60"/>
      <c r="AN89" s="60"/>
      <c r="AO89" s="60"/>
      <c r="AP89" s="60"/>
      <c r="AQ89" s="60"/>
      <c r="AR89" s="61"/>
    </row>
    <row r="90">
      <c r="A90" s="71" t="s">
        <v>995</v>
      </c>
      <c r="B90" s="57"/>
      <c r="C90" s="57"/>
      <c r="D90" s="58"/>
      <c r="E90" s="58"/>
      <c r="F90" s="57"/>
      <c r="G90" s="57"/>
      <c r="H90" s="57"/>
      <c r="I90" s="57"/>
      <c r="J90" s="57"/>
      <c r="K90" s="57"/>
      <c r="L90" s="57"/>
      <c r="M90" s="57"/>
      <c r="N90" s="57"/>
      <c r="O90" s="57"/>
      <c r="P90" s="57"/>
      <c r="Q90" s="57"/>
      <c r="R90" s="57"/>
      <c r="S90" s="57"/>
      <c r="T90" s="57"/>
      <c r="U90" s="57"/>
      <c r="V90" s="57"/>
      <c r="W90" s="57"/>
      <c r="X90" s="57"/>
      <c r="Y90" s="57"/>
      <c r="Z90" s="57"/>
      <c r="AA90" s="57"/>
      <c r="AB90" s="57"/>
      <c r="AC90" s="57"/>
      <c r="AD90" s="57"/>
      <c r="AE90" s="94"/>
      <c r="AF90" s="94"/>
      <c r="AG90" s="60"/>
      <c r="AH90" s="60"/>
      <c r="AI90" s="60"/>
      <c r="AJ90" s="60"/>
      <c r="AK90" s="60"/>
      <c r="AL90" s="60"/>
      <c r="AM90" s="60"/>
      <c r="AN90" s="60"/>
      <c r="AO90" s="60"/>
      <c r="AP90" s="60"/>
      <c r="AQ90" s="60"/>
      <c r="AR90" s="61"/>
    </row>
    <row r="91">
      <c r="A91" s="116">
        <v>9.0</v>
      </c>
      <c r="B91" s="96" t="s">
        <v>996</v>
      </c>
      <c r="C91" s="96" t="s">
        <v>997</v>
      </c>
      <c r="D91" s="79" t="s">
        <v>63</v>
      </c>
      <c r="E91" s="96" t="s">
        <v>998</v>
      </c>
      <c r="F91" s="79" t="s">
        <v>65</v>
      </c>
      <c r="G91" s="79" t="s">
        <v>66</v>
      </c>
      <c r="H91" s="79" t="s">
        <v>999</v>
      </c>
      <c r="I91" s="96" t="s">
        <v>1000</v>
      </c>
      <c r="J91" s="79" t="s">
        <v>69</v>
      </c>
      <c r="K91" s="79" t="s">
        <v>70</v>
      </c>
      <c r="L91" s="79" t="s">
        <v>101</v>
      </c>
      <c r="M91" s="97" t="s">
        <v>1001</v>
      </c>
      <c r="N91" s="79" t="s">
        <v>82</v>
      </c>
      <c r="O91" s="79" t="s">
        <v>113</v>
      </c>
      <c r="P91" s="79" t="s">
        <v>74</v>
      </c>
      <c r="Q91" s="70" t="s">
        <v>1002</v>
      </c>
      <c r="R91" s="79" t="s">
        <v>76</v>
      </c>
      <c r="S91" s="79" t="s">
        <v>77</v>
      </c>
      <c r="T91" s="98">
        <v>2024.0</v>
      </c>
      <c r="U91" s="79" t="s">
        <v>78</v>
      </c>
      <c r="V91" s="79" t="s">
        <v>98</v>
      </c>
      <c r="W91" s="79" t="s">
        <v>1003</v>
      </c>
      <c r="X91" s="79" t="s">
        <v>155</v>
      </c>
      <c r="Y91" s="79" t="s">
        <v>101</v>
      </c>
      <c r="Z91" s="79" t="s">
        <v>1004</v>
      </c>
      <c r="AA91" s="79" t="s">
        <v>160</v>
      </c>
      <c r="AB91" s="96" t="s">
        <v>1005</v>
      </c>
      <c r="AC91" s="96">
        <v>8.5117111582E10</v>
      </c>
      <c r="AD91" s="96" t="s">
        <v>563</v>
      </c>
      <c r="AE91" s="59"/>
      <c r="AF91" s="68" t="s">
        <v>566</v>
      </c>
      <c r="AG91" s="60"/>
      <c r="AH91" s="60"/>
      <c r="AI91" s="60"/>
      <c r="AJ91" s="60"/>
      <c r="AK91" s="60"/>
      <c r="AL91" s="60"/>
      <c r="AM91" s="60"/>
      <c r="AN91" s="60"/>
      <c r="AO91" s="60"/>
      <c r="AP91" s="60"/>
      <c r="AQ91" s="60"/>
      <c r="AR91" s="61"/>
    </row>
    <row r="92">
      <c r="A92" s="116">
        <v>13.0</v>
      </c>
      <c r="B92" s="96" t="s">
        <v>1006</v>
      </c>
      <c r="C92" s="96" t="s">
        <v>1007</v>
      </c>
      <c r="D92" s="79" t="s">
        <v>63</v>
      </c>
      <c r="E92" s="96" t="s">
        <v>1008</v>
      </c>
      <c r="F92" s="79" t="s">
        <v>65</v>
      </c>
      <c r="G92" s="79" t="s">
        <v>66</v>
      </c>
      <c r="H92" s="79" t="s">
        <v>1009</v>
      </c>
      <c r="I92" s="96" t="s">
        <v>1010</v>
      </c>
      <c r="J92" s="79" t="s">
        <v>69</v>
      </c>
      <c r="K92" s="79" t="s">
        <v>110</v>
      </c>
      <c r="L92" s="79" t="s">
        <v>152</v>
      </c>
      <c r="M92" s="97" t="s">
        <v>1011</v>
      </c>
      <c r="N92" s="79" t="s">
        <v>73</v>
      </c>
      <c r="O92" s="79" t="s">
        <v>73</v>
      </c>
      <c r="P92" s="79" t="s">
        <v>95</v>
      </c>
      <c r="Q92" s="70" t="s">
        <v>1012</v>
      </c>
      <c r="R92" s="79" t="s">
        <v>76</v>
      </c>
      <c r="S92" s="79" t="s">
        <v>97</v>
      </c>
      <c r="T92" s="96" t="s">
        <v>1013</v>
      </c>
      <c r="U92" s="79" t="s">
        <v>78</v>
      </c>
      <c r="V92" s="69"/>
      <c r="W92" s="79" t="s">
        <v>563</v>
      </c>
      <c r="X92" s="69"/>
      <c r="Y92" s="79" t="s">
        <v>152</v>
      </c>
      <c r="Z92" s="79" t="s">
        <v>1014</v>
      </c>
      <c r="AA92" s="79" t="s">
        <v>160</v>
      </c>
      <c r="AB92" s="96" t="s">
        <v>1015</v>
      </c>
      <c r="AC92" s="96">
        <v>8.5117111582E10</v>
      </c>
      <c r="AD92" s="96" t="s">
        <v>563</v>
      </c>
      <c r="AE92" s="59"/>
      <c r="AF92" s="68" t="s">
        <v>566</v>
      </c>
      <c r="AG92" s="60"/>
      <c r="AH92" s="60"/>
      <c r="AI92" s="60"/>
      <c r="AJ92" s="60"/>
      <c r="AK92" s="60"/>
      <c r="AL92" s="60"/>
      <c r="AM92" s="60"/>
      <c r="AN92" s="60"/>
      <c r="AO92" s="60"/>
      <c r="AP92" s="60"/>
      <c r="AQ92" s="60"/>
      <c r="AR92" s="61"/>
    </row>
    <row r="93">
      <c r="A93" s="116">
        <v>14.0</v>
      </c>
      <c r="B93" s="96" t="s">
        <v>1016</v>
      </c>
      <c r="C93" s="96" t="s">
        <v>1017</v>
      </c>
      <c r="D93" s="79" t="s">
        <v>63</v>
      </c>
      <c r="E93" s="59"/>
      <c r="F93" s="79" t="s">
        <v>65</v>
      </c>
      <c r="G93" s="79" t="s">
        <v>123</v>
      </c>
      <c r="H93" s="79" t="s">
        <v>1018</v>
      </c>
      <c r="I93" s="96" t="s">
        <v>1019</v>
      </c>
      <c r="J93" s="79" t="s">
        <v>69</v>
      </c>
      <c r="K93" s="79" t="s">
        <v>110</v>
      </c>
      <c r="L93" s="79" t="s">
        <v>101</v>
      </c>
      <c r="M93" s="97" t="s">
        <v>1020</v>
      </c>
      <c r="N93" s="79" t="s">
        <v>82</v>
      </c>
      <c r="O93" s="79" t="s">
        <v>113</v>
      </c>
      <c r="P93" s="79" t="s">
        <v>153</v>
      </c>
      <c r="Q93" s="70" t="s">
        <v>1021</v>
      </c>
      <c r="R93" s="79" t="s">
        <v>76</v>
      </c>
      <c r="S93" s="79" t="s">
        <v>97</v>
      </c>
      <c r="T93" s="79">
        <v>2024.0</v>
      </c>
      <c r="U93" s="79" t="s">
        <v>78</v>
      </c>
      <c r="V93" s="79" t="s">
        <v>79</v>
      </c>
      <c r="W93" s="79" t="s">
        <v>563</v>
      </c>
      <c r="X93" s="79" t="s">
        <v>80</v>
      </c>
      <c r="Y93" s="79" t="s">
        <v>80</v>
      </c>
      <c r="Z93" s="79" t="s">
        <v>1004</v>
      </c>
      <c r="AA93" s="79" t="s">
        <v>160</v>
      </c>
      <c r="AB93" s="96" t="s">
        <v>1022</v>
      </c>
      <c r="AC93" s="96">
        <v>8.5768637781E10</v>
      </c>
      <c r="AD93" s="96" t="s">
        <v>1023</v>
      </c>
      <c r="AE93" s="59"/>
      <c r="AF93" s="68" t="s">
        <v>566</v>
      </c>
      <c r="AG93" s="60"/>
      <c r="AH93" s="60"/>
      <c r="AI93" s="60"/>
      <c r="AJ93" s="60"/>
      <c r="AK93" s="60"/>
      <c r="AL93" s="60"/>
      <c r="AM93" s="60"/>
      <c r="AN93" s="60"/>
      <c r="AO93" s="60"/>
      <c r="AP93" s="60"/>
      <c r="AQ93" s="60"/>
      <c r="AR93" s="61"/>
    </row>
    <row r="94">
      <c r="A94" s="95">
        <v>16.0</v>
      </c>
      <c r="B94" s="96" t="s">
        <v>1024</v>
      </c>
      <c r="C94" s="96" t="s">
        <v>1025</v>
      </c>
      <c r="D94" s="96" t="s">
        <v>1026</v>
      </c>
      <c r="E94" s="59"/>
      <c r="F94" s="79" t="s">
        <v>379</v>
      </c>
      <c r="G94" s="79" t="s">
        <v>66</v>
      </c>
      <c r="H94" s="79" t="s">
        <v>1027</v>
      </c>
      <c r="I94" s="96" t="s">
        <v>1028</v>
      </c>
      <c r="J94" s="79" t="s">
        <v>69</v>
      </c>
      <c r="K94" s="79" t="s">
        <v>70</v>
      </c>
      <c r="L94" s="79" t="s">
        <v>101</v>
      </c>
      <c r="M94" s="97" t="s">
        <v>1029</v>
      </c>
      <c r="N94" s="79" t="s">
        <v>82</v>
      </c>
      <c r="O94" s="79" t="s">
        <v>113</v>
      </c>
      <c r="P94" s="79" t="s">
        <v>95</v>
      </c>
      <c r="Q94" s="70" t="s">
        <v>1030</v>
      </c>
      <c r="R94" s="79" t="s">
        <v>76</v>
      </c>
      <c r="S94" s="79" t="s">
        <v>97</v>
      </c>
      <c r="T94" s="98">
        <v>2025.0</v>
      </c>
      <c r="U94" s="79" t="s">
        <v>78</v>
      </c>
      <c r="V94" s="79" t="s">
        <v>79</v>
      </c>
      <c r="W94" s="79" t="s">
        <v>563</v>
      </c>
      <c r="X94" s="69"/>
      <c r="Y94" s="69"/>
      <c r="Z94" s="79" t="s">
        <v>1014</v>
      </c>
      <c r="AA94" s="79" t="s">
        <v>160</v>
      </c>
      <c r="AB94" s="96" t="s">
        <v>1031</v>
      </c>
      <c r="AC94" s="96">
        <v>8.7869520475E10</v>
      </c>
      <c r="AD94" s="79" t="s">
        <v>563</v>
      </c>
      <c r="AE94" s="59"/>
      <c r="AF94" s="68" t="s">
        <v>566</v>
      </c>
      <c r="AG94" s="60"/>
      <c r="AH94" s="60"/>
      <c r="AI94" s="60"/>
      <c r="AJ94" s="60"/>
      <c r="AK94" s="60"/>
      <c r="AL94" s="60"/>
      <c r="AM94" s="60"/>
      <c r="AN94" s="60"/>
      <c r="AO94" s="60"/>
      <c r="AP94" s="60"/>
      <c r="AQ94" s="60"/>
      <c r="AR94" s="61"/>
    </row>
    <row r="95">
      <c r="A95" s="71" t="s">
        <v>1032</v>
      </c>
      <c r="B95" s="57"/>
      <c r="C95" s="57"/>
      <c r="D95" s="58"/>
      <c r="E95" s="58"/>
      <c r="F95" s="57"/>
      <c r="G95" s="57"/>
      <c r="H95" s="57"/>
      <c r="I95" s="57"/>
      <c r="J95" s="57"/>
      <c r="K95" s="57"/>
      <c r="L95" s="57"/>
      <c r="M95" s="57"/>
      <c r="N95" s="57"/>
      <c r="O95" s="57"/>
      <c r="P95" s="57"/>
      <c r="Q95" s="57"/>
      <c r="R95" s="57"/>
      <c r="S95" s="57"/>
      <c r="T95" s="57"/>
      <c r="U95" s="57"/>
      <c r="V95" s="57"/>
      <c r="W95" s="57"/>
      <c r="X95" s="57"/>
      <c r="Y95" s="57"/>
      <c r="Z95" s="57"/>
      <c r="AA95" s="57"/>
      <c r="AB95" s="57"/>
      <c r="AC95" s="57"/>
      <c r="AD95" s="57"/>
      <c r="AE95" s="94"/>
      <c r="AF95" s="94"/>
      <c r="AG95" s="60"/>
      <c r="AH95" s="60"/>
      <c r="AI95" s="60"/>
      <c r="AJ95" s="60"/>
      <c r="AK95" s="60"/>
      <c r="AL95" s="60"/>
      <c r="AM95" s="60"/>
      <c r="AN95" s="60"/>
      <c r="AO95" s="60"/>
      <c r="AP95" s="60"/>
      <c r="AQ95" s="60"/>
      <c r="AR95" s="61"/>
    </row>
    <row r="96">
      <c r="A96" s="116">
        <v>1.0</v>
      </c>
      <c r="B96" s="117" t="s">
        <v>1033</v>
      </c>
      <c r="C96" s="117" t="s">
        <v>1034</v>
      </c>
      <c r="D96" s="118"/>
      <c r="E96" s="118"/>
      <c r="F96" s="119" t="s">
        <v>341</v>
      </c>
      <c r="G96" s="119" t="s">
        <v>66</v>
      </c>
      <c r="H96" s="119" t="s">
        <v>1035</v>
      </c>
      <c r="I96" s="117" t="s">
        <v>1036</v>
      </c>
      <c r="J96" s="119" t="s">
        <v>91</v>
      </c>
      <c r="K96" s="119" t="s">
        <v>70</v>
      </c>
      <c r="L96" s="119" t="s">
        <v>71</v>
      </c>
      <c r="M96" s="97" t="s">
        <v>1037</v>
      </c>
      <c r="N96" s="119" t="s">
        <v>26</v>
      </c>
      <c r="O96" s="119" t="s">
        <v>113</v>
      </c>
      <c r="P96" s="119" t="s">
        <v>95</v>
      </c>
      <c r="Q96" s="70" t="s">
        <v>1038</v>
      </c>
      <c r="R96" s="119" t="s">
        <v>76</v>
      </c>
      <c r="S96" s="119" t="s">
        <v>97</v>
      </c>
      <c r="T96" s="120"/>
      <c r="U96" s="119" t="s">
        <v>78</v>
      </c>
      <c r="V96" s="119" t="s">
        <v>79</v>
      </c>
      <c r="W96" s="120"/>
      <c r="X96" s="119" t="s">
        <v>159</v>
      </c>
      <c r="Y96" s="119" t="s">
        <v>71</v>
      </c>
      <c r="Z96" s="119" t="s">
        <v>1039</v>
      </c>
      <c r="AA96" s="119" t="s">
        <v>162</v>
      </c>
      <c r="AB96" s="117" t="s">
        <v>1040</v>
      </c>
      <c r="AC96" s="117">
        <v>8.2120399599E10</v>
      </c>
      <c r="AD96" s="117" t="s">
        <v>1041</v>
      </c>
      <c r="AE96" s="118"/>
      <c r="AF96" s="118"/>
      <c r="AG96" s="121"/>
      <c r="AH96" s="121"/>
      <c r="AI96" s="121"/>
      <c r="AJ96" s="121"/>
      <c r="AK96" s="121"/>
      <c r="AL96" s="121"/>
      <c r="AM96" s="121"/>
      <c r="AN96" s="121"/>
      <c r="AO96" s="121"/>
      <c r="AP96" s="121"/>
      <c r="AQ96" s="121"/>
      <c r="AR96" s="61"/>
    </row>
    <row r="97">
      <c r="A97" s="116">
        <v>2.0</v>
      </c>
      <c r="B97" s="117" t="s">
        <v>1042</v>
      </c>
      <c r="C97" s="117" t="s">
        <v>1043</v>
      </c>
      <c r="D97" s="118"/>
      <c r="E97" s="118"/>
      <c r="F97" s="119" t="s">
        <v>344</v>
      </c>
      <c r="G97" s="119" t="s">
        <v>66</v>
      </c>
      <c r="H97" s="119" t="s">
        <v>1044</v>
      </c>
      <c r="I97" s="117" t="s">
        <v>1045</v>
      </c>
      <c r="J97" s="119" t="s">
        <v>69</v>
      </c>
      <c r="K97" s="119" t="s">
        <v>70</v>
      </c>
      <c r="L97" s="119" t="s">
        <v>71</v>
      </c>
      <c r="M97" s="97" t="s">
        <v>1046</v>
      </c>
      <c r="N97" s="119" t="s">
        <v>73</v>
      </c>
      <c r="O97" s="119" t="s">
        <v>73</v>
      </c>
      <c r="P97" s="119" t="s">
        <v>95</v>
      </c>
      <c r="Q97" s="122" t="s">
        <v>1047</v>
      </c>
      <c r="R97" s="119" t="s">
        <v>76</v>
      </c>
      <c r="S97" s="119" t="s">
        <v>97</v>
      </c>
      <c r="T97" s="123">
        <v>2026.0</v>
      </c>
      <c r="U97" s="119" t="s">
        <v>78</v>
      </c>
      <c r="V97" s="119" t="s">
        <v>79</v>
      </c>
      <c r="W97" s="120"/>
      <c r="X97" s="119" t="s">
        <v>159</v>
      </c>
      <c r="Y97" s="119" t="s">
        <v>71</v>
      </c>
      <c r="Z97" s="119" t="s">
        <v>1048</v>
      </c>
      <c r="AA97" s="119" t="s">
        <v>162</v>
      </c>
      <c r="AB97" s="117" t="s">
        <v>1049</v>
      </c>
      <c r="AC97" s="117">
        <v>8.11976661E8</v>
      </c>
      <c r="AD97" s="117" t="s">
        <v>1050</v>
      </c>
      <c r="AE97" s="118"/>
      <c r="AF97" s="118"/>
      <c r="AG97" s="121"/>
      <c r="AH97" s="121"/>
      <c r="AI97" s="121"/>
      <c r="AJ97" s="121"/>
      <c r="AK97" s="121"/>
      <c r="AL97" s="121"/>
      <c r="AM97" s="121"/>
      <c r="AN97" s="121"/>
      <c r="AO97" s="121"/>
      <c r="AP97" s="121"/>
      <c r="AQ97" s="121"/>
      <c r="AR97" s="61"/>
    </row>
    <row r="98">
      <c r="A98" s="116">
        <v>3.0</v>
      </c>
      <c r="B98" s="117" t="s">
        <v>1051</v>
      </c>
      <c r="C98" s="117" t="s">
        <v>1052</v>
      </c>
      <c r="D98" s="118"/>
      <c r="E98" s="118"/>
      <c r="F98" s="119" t="s">
        <v>344</v>
      </c>
      <c r="G98" s="119" t="s">
        <v>66</v>
      </c>
      <c r="H98" s="119" t="s">
        <v>1053</v>
      </c>
      <c r="I98" s="117" t="s">
        <v>1054</v>
      </c>
      <c r="J98" s="119" t="s">
        <v>69</v>
      </c>
      <c r="K98" s="119" t="s">
        <v>70</v>
      </c>
      <c r="L98" s="119" t="s">
        <v>71</v>
      </c>
      <c r="M98" s="97" t="s">
        <v>1046</v>
      </c>
      <c r="N98" s="119" t="s">
        <v>73</v>
      </c>
      <c r="O98" s="119" t="s">
        <v>73</v>
      </c>
      <c r="P98" s="119" t="s">
        <v>95</v>
      </c>
      <c r="Q98" s="122" t="s">
        <v>1055</v>
      </c>
      <c r="R98" s="119" t="s">
        <v>76</v>
      </c>
      <c r="S98" s="119" t="s">
        <v>97</v>
      </c>
      <c r="T98" s="123">
        <v>2026.0</v>
      </c>
      <c r="U98" s="119" t="s">
        <v>78</v>
      </c>
      <c r="V98" s="119" t="s">
        <v>79</v>
      </c>
      <c r="W98" s="120"/>
      <c r="X98" s="119" t="s">
        <v>159</v>
      </c>
      <c r="Y98" s="119" t="s">
        <v>71</v>
      </c>
      <c r="Z98" s="119" t="s">
        <v>1048</v>
      </c>
      <c r="AA98" s="119" t="s">
        <v>162</v>
      </c>
      <c r="AB98" s="117" t="s">
        <v>1049</v>
      </c>
      <c r="AC98" s="117">
        <v>8.11976661E8</v>
      </c>
      <c r="AD98" s="117" t="s">
        <v>1050</v>
      </c>
      <c r="AE98" s="118"/>
      <c r="AF98" s="118"/>
      <c r="AG98" s="121"/>
      <c r="AH98" s="121"/>
      <c r="AI98" s="121"/>
      <c r="AJ98" s="121"/>
      <c r="AK98" s="121"/>
      <c r="AL98" s="121"/>
      <c r="AM98" s="121"/>
      <c r="AN98" s="121"/>
      <c r="AO98" s="121"/>
      <c r="AP98" s="121"/>
      <c r="AQ98" s="121"/>
      <c r="AR98" s="61"/>
    </row>
    <row r="99">
      <c r="A99" s="95">
        <v>4.0</v>
      </c>
      <c r="B99" s="96" t="s">
        <v>1056</v>
      </c>
      <c r="C99" s="96" t="s">
        <v>1057</v>
      </c>
      <c r="D99" s="59"/>
      <c r="E99" s="59"/>
      <c r="F99" s="69"/>
      <c r="G99" s="69"/>
      <c r="H99" s="69"/>
      <c r="I99" s="96" t="s">
        <v>1058</v>
      </c>
      <c r="J99" s="69"/>
      <c r="K99" s="69"/>
      <c r="L99" s="69"/>
      <c r="M99" s="97" t="s">
        <v>1059</v>
      </c>
      <c r="N99" s="79" t="s">
        <v>93</v>
      </c>
      <c r="O99" s="69"/>
      <c r="P99" s="79" t="s">
        <v>153</v>
      </c>
      <c r="Q99" s="69"/>
      <c r="R99" s="69"/>
      <c r="S99" s="69"/>
      <c r="T99" s="69"/>
      <c r="U99" s="69"/>
      <c r="V99" s="69"/>
      <c r="W99" s="69"/>
      <c r="X99" s="69"/>
      <c r="Y99" s="69"/>
      <c r="Z99" s="69"/>
      <c r="AA99" s="69"/>
      <c r="AB99" s="69"/>
      <c r="AC99" s="69"/>
      <c r="AD99" s="69"/>
      <c r="AE99" s="59"/>
      <c r="AF99" s="59"/>
      <c r="AG99" s="60"/>
      <c r="AH99" s="60"/>
      <c r="AI99" s="60"/>
      <c r="AJ99" s="60"/>
      <c r="AK99" s="60"/>
      <c r="AL99" s="60"/>
      <c r="AM99" s="60"/>
      <c r="AN99" s="60"/>
      <c r="AO99" s="60"/>
      <c r="AP99" s="60"/>
      <c r="AQ99" s="60"/>
      <c r="AR99" s="61"/>
    </row>
    <row r="100">
      <c r="A100" s="116">
        <v>5.0</v>
      </c>
      <c r="B100" s="117" t="s">
        <v>1060</v>
      </c>
      <c r="C100" s="117" t="s">
        <v>1061</v>
      </c>
      <c r="D100" s="118"/>
      <c r="E100" s="118"/>
      <c r="F100" s="119" t="s">
        <v>345</v>
      </c>
      <c r="G100" s="119" t="s">
        <v>66</v>
      </c>
      <c r="H100" s="120"/>
      <c r="I100" s="117" t="s">
        <v>1062</v>
      </c>
      <c r="J100" s="119" t="s">
        <v>69</v>
      </c>
      <c r="K100" s="119" t="s">
        <v>70</v>
      </c>
      <c r="L100" s="119" t="s">
        <v>143</v>
      </c>
      <c r="M100" s="97" t="s">
        <v>1063</v>
      </c>
      <c r="N100" s="119" t="s">
        <v>73</v>
      </c>
      <c r="O100" s="119" t="s">
        <v>73</v>
      </c>
      <c r="P100" s="119" t="s">
        <v>95</v>
      </c>
      <c r="Q100" s="70" t="s">
        <v>1064</v>
      </c>
      <c r="R100" s="119" t="s">
        <v>76</v>
      </c>
      <c r="S100" s="119" t="s">
        <v>97</v>
      </c>
      <c r="T100" s="123">
        <v>2015.0</v>
      </c>
      <c r="U100" s="119" t="s">
        <v>78</v>
      </c>
      <c r="V100" s="119" t="s">
        <v>98</v>
      </c>
      <c r="W100" s="120"/>
      <c r="X100" s="119" t="s">
        <v>100</v>
      </c>
      <c r="Y100" s="119" t="s">
        <v>139</v>
      </c>
      <c r="Z100" s="119" t="s">
        <v>1065</v>
      </c>
      <c r="AA100" s="119" t="s">
        <v>162</v>
      </c>
      <c r="AB100" s="117" t="s">
        <v>1066</v>
      </c>
      <c r="AC100" s="117">
        <v>8.7822419136E10</v>
      </c>
      <c r="AD100" s="117" t="s">
        <v>1067</v>
      </c>
      <c r="AE100" s="118"/>
      <c r="AF100" s="118"/>
      <c r="AG100" s="121"/>
      <c r="AH100" s="121"/>
      <c r="AI100" s="121"/>
      <c r="AJ100" s="121"/>
      <c r="AK100" s="121"/>
      <c r="AL100" s="121"/>
      <c r="AM100" s="121"/>
      <c r="AN100" s="121"/>
      <c r="AO100" s="121"/>
      <c r="AP100" s="121"/>
      <c r="AQ100" s="121"/>
      <c r="AR100" s="61"/>
    </row>
    <row r="101">
      <c r="A101" s="124">
        <v>6.0</v>
      </c>
      <c r="B101" s="125" t="s">
        <v>1068</v>
      </c>
      <c r="C101" s="125" t="s">
        <v>1069</v>
      </c>
      <c r="D101" s="126"/>
      <c r="E101" s="126"/>
      <c r="F101" s="127"/>
      <c r="G101" s="127"/>
      <c r="H101" s="127"/>
      <c r="I101" s="125" t="s">
        <v>1070</v>
      </c>
      <c r="J101" s="127"/>
      <c r="K101" s="127"/>
      <c r="L101" s="127"/>
      <c r="M101" s="97" t="s">
        <v>1071</v>
      </c>
      <c r="N101" s="128" t="s">
        <v>73</v>
      </c>
      <c r="O101" s="128" t="s">
        <v>73</v>
      </c>
      <c r="P101" s="128" t="s">
        <v>95</v>
      </c>
      <c r="Q101" s="70" t="s">
        <v>1072</v>
      </c>
      <c r="R101" s="127"/>
      <c r="S101" s="127"/>
      <c r="T101" s="127"/>
      <c r="U101" s="128" t="s">
        <v>147</v>
      </c>
      <c r="V101" s="127"/>
      <c r="W101" s="127"/>
      <c r="X101" s="127"/>
      <c r="Y101" s="127"/>
      <c r="Z101" s="127"/>
      <c r="AA101" s="127"/>
      <c r="AB101" s="127"/>
      <c r="AC101" s="127"/>
      <c r="AD101" s="127"/>
      <c r="AE101" s="126"/>
      <c r="AF101" s="126"/>
      <c r="AG101" s="129"/>
      <c r="AH101" s="129"/>
      <c r="AI101" s="129"/>
      <c r="AJ101" s="129"/>
      <c r="AK101" s="129"/>
      <c r="AL101" s="129"/>
      <c r="AM101" s="129"/>
      <c r="AN101" s="129"/>
      <c r="AO101" s="129"/>
      <c r="AP101" s="129"/>
      <c r="AQ101" s="129"/>
      <c r="AR101" s="61"/>
    </row>
    <row r="102">
      <c r="A102" s="116">
        <v>7.0</v>
      </c>
      <c r="B102" s="117" t="s">
        <v>1073</v>
      </c>
      <c r="C102" s="117" t="s">
        <v>1074</v>
      </c>
      <c r="D102" s="117" t="s">
        <v>1075</v>
      </c>
      <c r="E102" s="118"/>
      <c r="F102" s="119" t="s">
        <v>345</v>
      </c>
      <c r="G102" s="119" t="s">
        <v>66</v>
      </c>
      <c r="H102" s="120"/>
      <c r="I102" s="117" t="s">
        <v>1076</v>
      </c>
      <c r="J102" s="119" t="s">
        <v>69</v>
      </c>
      <c r="K102" s="119" t="s">
        <v>70</v>
      </c>
      <c r="L102" s="119" t="s">
        <v>71</v>
      </c>
      <c r="M102" s="97" t="s">
        <v>1077</v>
      </c>
      <c r="N102" s="119" t="s">
        <v>73</v>
      </c>
      <c r="O102" s="119" t="s">
        <v>73</v>
      </c>
      <c r="P102" s="119" t="s">
        <v>95</v>
      </c>
      <c r="Q102" s="122" t="s">
        <v>1078</v>
      </c>
      <c r="R102" s="119" t="s">
        <v>76</v>
      </c>
      <c r="S102" s="119" t="s">
        <v>97</v>
      </c>
      <c r="T102" s="123">
        <v>2023.0</v>
      </c>
      <c r="U102" s="119" t="s">
        <v>78</v>
      </c>
      <c r="V102" s="119" t="s">
        <v>98</v>
      </c>
      <c r="W102" s="120"/>
      <c r="X102" s="119" t="s">
        <v>100</v>
      </c>
      <c r="Y102" s="119" t="s">
        <v>71</v>
      </c>
      <c r="Z102" s="119" t="s">
        <v>1065</v>
      </c>
      <c r="AA102" s="119" t="s">
        <v>162</v>
      </c>
      <c r="AB102" s="117" t="s">
        <v>1079</v>
      </c>
      <c r="AC102" s="117">
        <v>8.1313125931E10</v>
      </c>
      <c r="AD102" s="117" t="s">
        <v>1067</v>
      </c>
      <c r="AE102" s="118"/>
      <c r="AF102" s="118"/>
      <c r="AG102" s="121"/>
      <c r="AH102" s="121"/>
      <c r="AI102" s="121"/>
      <c r="AJ102" s="121"/>
      <c r="AK102" s="121"/>
      <c r="AL102" s="121"/>
      <c r="AM102" s="121"/>
      <c r="AN102" s="121"/>
      <c r="AO102" s="121"/>
      <c r="AP102" s="121"/>
      <c r="AQ102" s="121"/>
      <c r="AR102" s="61"/>
    </row>
    <row r="103">
      <c r="A103" s="95">
        <v>8.0</v>
      </c>
      <c r="B103" s="96" t="s">
        <v>1080</v>
      </c>
      <c r="C103" s="96" t="s">
        <v>1081</v>
      </c>
      <c r="D103" s="59"/>
      <c r="E103" s="59"/>
      <c r="F103" s="69"/>
      <c r="G103" s="69"/>
      <c r="H103" s="69"/>
      <c r="I103" s="96" t="s">
        <v>1082</v>
      </c>
      <c r="J103" s="69"/>
      <c r="K103" s="69"/>
      <c r="L103" s="69"/>
      <c r="M103" s="97" t="s">
        <v>1083</v>
      </c>
      <c r="N103" s="79" t="s">
        <v>73</v>
      </c>
      <c r="O103" s="79" t="s">
        <v>73</v>
      </c>
      <c r="P103" s="79" t="s">
        <v>95</v>
      </c>
      <c r="Q103" s="70" t="s">
        <v>1084</v>
      </c>
      <c r="R103" s="69"/>
      <c r="S103" s="69"/>
      <c r="T103" s="69"/>
      <c r="U103" s="69"/>
      <c r="V103" s="69"/>
      <c r="W103" s="69"/>
      <c r="X103" s="69"/>
      <c r="Y103" s="69"/>
      <c r="Z103" s="69"/>
      <c r="AA103" s="69"/>
      <c r="AB103" s="69"/>
      <c r="AC103" s="69"/>
      <c r="AD103" s="69"/>
      <c r="AE103" s="59"/>
      <c r="AF103" s="59"/>
      <c r="AG103" s="60"/>
      <c r="AH103" s="60"/>
      <c r="AI103" s="60"/>
      <c r="AJ103" s="60"/>
      <c r="AK103" s="60"/>
      <c r="AL103" s="60"/>
      <c r="AM103" s="60"/>
      <c r="AN103" s="60"/>
      <c r="AO103" s="60"/>
      <c r="AP103" s="60"/>
      <c r="AQ103" s="60"/>
      <c r="AR103" s="61"/>
    </row>
    <row r="104">
      <c r="A104" s="95">
        <v>9.0</v>
      </c>
      <c r="B104" s="96" t="s">
        <v>1085</v>
      </c>
      <c r="C104" s="96" t="s">
        <v>1086</v>
      </c>
      <c r="D104" s="59"/>
      <c r="E104" s="59"/>
      <c r="F104" s="69"/>
      <c r="G104" s="69"/>
      <c r="H104" s="69"/>
      <c r="I104" s="96" t="s">
        <v>1087</v>
      </c>
      <c r="J104" s="69"/>
      <c r="K104" s="69"/>
      <c r="L104" s="69"/>
      <c r="M104" s="97" t="s">
        <v>1088</v>
      </c>
      <c r="N104" s="69"/>
      <c r="O104" s="69"/>
      <c r="P104" s="69"/>
      <c r="Q104" s="69"/>
      <c r="R104" s="69"/>
      <c r="S104" s="69"/>
      <c r="T104" s="69"/>
      <c r="U104" s="69"/>
      <c r="V104" s="69"/>
      <c r="W104" s="69"/>
      <c r="X104" s="69"/>
      <c r="Y104" s="69"/>
      <c r="Z104" s="69"/>
      <c r="AA104" s="69"/>
      <c r="AB104" s="69"/>
      <c r="AC104" s="69"/>
      <c r="AD104" s="69"/>
      <c r="AE104" s="59"/>
      <c r="AF104" s="59"/>
      <c r="AG104" s="60"/>
      <c r="AH104" s="60"/>
      <c r="AI104" s="60"/>
      <c r="AJ104" s="60"/>
      <c r="AK104" s="60"/>
      <c r="AL104" s="60"/>
      <c r="AM104" s="60"/>
      <c r="AN104" s="60"/>
      <c r="AO104" s="60"/>
      <c r="AP104" s="60"/>
      <c r="AQ104" s="60"/>
      <c r="AR104" s="61"/>
    </row>
    <row r="105">
      <c r="A105" s="95">
        <v>10.0</v>
      </c>
      <c r="B105" s="96" t="s">
        <v>1089</v>
      </c>
      <c r="C105" s="96" t="s">
        <v>1090</v>
      </c>
      <c r="D105" s="59"/>
      <c r="E105" s="59"/>
      <c r="F105" s="69"/>
      <c r="G105" s="69"/>
      <c r="H105" s="69"/>
      <c r="I105" s="96" t="s">
        <v>1091</v>
      </c>
      <c r="J105" s="69"/>
      <c r="K105" s="69"/>
      <c r="L105" s="69"/>
      <c r="M105" s="97" t="s">
        <v>1092</v>
      </c>
      <c r="N105" s="69"/>
      <c r="O105" s="69"/>
      <c r="P105" s="69"/>
      <c r="Q105" s="69"/>
      <c r="R105" s="69"/>
      <c r="S105" s="69"/>
      <c r="T105" s="69"/>
      <c r="U105" s="69"/>
      <c r="V105" s="69"/>
      <c r="W105" s="69"/>
      <c r="X105" s="69"/>
      <c r="Y105" s="69"/>
      <c r="Z105" s="69"/>
      <c r="AA105" s="69"/>
      <c r="AB105" s="69"/>
      <c r="AC105" s="69"/>
      <c r="AD105" s="69"/>
      <c r="AE105" s="59"/>
      <c r="AF105" s="59"/>
      <c r="AG105" s="60"/>
      <c r="AH105" s="60"/>
      <c r="AI105" s="60"/>
      <c r="AJ105" s="60"/>
      <c r="AK105" s="60"/>
      <c r="AL105" s="60"/>
      <c r="AM105" s="60"/>
      <c r="AN105" s="60"/>
      <c r="AO105" s="60"/>
      <c r="AP105" s="60"/>
      <c r="AQ105" s="60"/>
      <c r="AR105" s="61"/>
    </row>
    <row r="106">
      <c r="A106" s="116">
        <v>11.0</v>
      </c>
      <c r="B106" s="117" t="s">
        <v>1093</v>
      </c>
      <c r="C106" s="117" t="s">
        <v>1094</v>
      </c>
      <c r="D106" s="118"/>
      <c r="E106" s="118"/>
      <c r="F106" s="119" t="s">
        <v>345</v>
      </c>
      <c r="G106" s="119" t="s">
        <v>66</v>
      </c>
      <c r="H106" s="120"/>
      <c r="I106" s="117" t="s">
        <v>1095</v>
      </c>
      <c r="J106" s="119" t="s">
        <v>151</v>
      </c>
      <c r="K106" s="119" t="s">
        <v>70</v>
      </c>
      <c r="L106" s="119" t="s">
        <v>71</v>
      </c>
      <c r="M106" s="97" t="s">
        <v>1096</v>
      </c>
      <c r="N106" s="119" t="s">
        <v>73</v>
      </c>
      <c r="O106" s="119" t="s">
        <v>73</v>
      </c>
      <c r="P106" s="119" t="s">
        <v>95</v>
      </c>
      <c r="Q106" s="70" t="s">
        <v>1097</v>
      </c>
      <c r="R106" s="119" t="s">
        <v>76</v>
      </c>
      <c r="S106" s="119" t="s">
        <v>97</v>
      </c>
      <c r="T106" s="120"/>
      <c r="U106" s="119" t="s">
        <v>78</v>
      </c>
      <c r="V106" s="119" t="s">
        <v>98</v>
      </c>
      <c r="W106" s="120"/>
      <c r="X106" s="119" t="s">
        <v>159</v>
      </c>
      <c r="Y106" s="119" t="s">
        <v>139</v>
      </c>
      <c r="Z106" s="119" t="s">
        <v>1065</v>
      </c>
      <c r="AA106" s="119" t="s">
        <v>162</v>
      </c>
      <c r="AB106" s="117" t="s">
        <v>1098</v>
      </c>
      <c r="AC106" s="117">
        <v>8.1322836363E10</v>
      </c>
      <c r="AD106" s="117" t="s">
        <v>1099</v>
      </c>
      <c r="AE106" s="118"/>
      <c r="AF106" s="118"/>
      <c r="AG106" s="121"/>
      <c r="AH106" s="121"/>
      <c r="AI106" s="121"/>
      <c r="AJ106" s="121"/>
      <c r="AK106" s="121"/>
      <c r="AL106" s="121"/>
      <c r="AM106" s="121"/>
      <c r="AN106" s="121"/>
      <c r="AO106" s="121"/>
      <c r="AP106" s="121"/>
      <c r="AQ106" s="121"/>
      <c r="AR106" s="61"/>
    </row>
    <row r="107">
      <c r="A107" s="116">
        <v>12.0</v>
      </c>
      <c r="B107" s="117" t="s">
        <v>1100</v>
      </c>
      <c r="C107" s="117" t="s">
        <v>1101</v>
      </c>
      <c r="D107" s="118"/>
      <c r="E107" s="118"/>
      <c r="F107" s="119" t="s">
        <v>345</v>
      </c>
      <c r="G107" s="119" t="s">
        <v>66</v>
      </c>
      <c r="H107" s="120"/>
      <c r="I107" s="117" t="s">
        <v>1102</v>
      </c>
      <c r="J107" s="119" t="s">
        <v>151</v>
      </c>
      <c r="K107" s="119" t="s">
        <v>70</v>
      </c>
      <c r="L107" s="119" t="s">
        <v>71</v>
      </c>
      <c r="M107" s="97" t="s">
        <v>1103</v>
      </c>
      <c r="N107" s="119" t="s">
        <v>73</v>
      </c>
      <c r="O107" s="119" t="s">
        <v>73</v>
      </c>
      <c r="P107" s="119" t="s">
        <v>95</v>
      </c>
      <c r="Q107" s="70" t="s">
        <v>1104</v>
      </c>
      <c r="R107" s="119" t="s">
        <v>76</v>
      </c>
      <c r="S107" s="119" t="s">
        <v>97</v>
      </c>
      <c r="T107" s="120"/>
      <c r="U107" s="119" t="s">
        <v>78</v>
      </c>
      <c r="V107" s="119" t="s">
        <v>98</v>
      </c>
      <c r="W107" s="120"/>
      <c r="X107" s="119" t="s">
        <v>159</v>
      </c>
      <c r="Y107" s="119" t="s">
        <v>139</v>
      </c>
      <c r="Z107" s="119" t="s">
        <v>1065</v>
      </c>
      <c r="AA107" s="119" t="s">
        <v>162</v>
      </c>
      <c r="AB107" s="117" t="s">
        <v>1105</v>
      </c>
      <c r="AC107" s="117">
        <v>8.1223266494E10</v>
      </c>
      <c r="AD107" s="117" t="s">
        <v>1099</v>
      </c>
      <c r="AE107" s="118"/>
      <c r="AF107" s="118"/>
      <c r="AG107" s="121"/>
      <c r="AH107" s="121"/>
      <c r="AI107" s="121"/>
      <c r="AJ107" s="121"/>
      <c r="AK107" s="121"/>
      <c r="AL107" s="121"/>
      <c r="AM107" s="121"/>
      <c r="AN107" s="121"/>
      <c r="AO107" s="121"/>
      <c r="AP107" s="121"/>
      <c r="AQ107" s="121"/>
      <c r="AR107" s="61"/>
    </row>
    <row r="108">
      <c r="A108" s="116">
        <v>13.0</v>
      </c>
      <c r="B108" s="117" t="s">
        <v>1106</v>
      </c>
      <c r="C108" s="117" t="s">
        <v>1107</v>
      </c>
      <c r="D108" s="118"/>
      <c r="E108" s="118"/>
      <c r="F108" s="119" t="s">
        <v>345</v>
      </c>
      <c r="G108" s="119" t="s">
        <v>66</v>
      </c>
      <c r="H108" s="120"/>
      <c r="I108" s="117" t="s">
        <v>1108</v>
      </c>
      <c r="J108" s="119" t="s">
        <v>151</v>
      </c>
      <c r="K108" s="119" t="s">
        <v>70</v>
      </c>
      <c r="L108" s="119" t="s">
        <v>71</v>
      </c>
      <c r="M108" s="97" t="s">
        <v>1109</v>
      </c>
      <c r="N108" s="119" t="s">
        <v>73</v>
      </c>
      <c r="O108" s="119" t="s">
        <v>73</v>
      </c>
      <c r="P108" s="119" t="s">
        <v>95</v>
      </c>
      <c r="Q108" s="70" t="s">
        <v>1110</v>
      </c>
      <c r="R108" s="119" t="s">
        <v>76</v>
      </c>
      <c r="S108" s="119" t="s">
        <v>97</v>
      </c>
      <c r="T108" s="120"/>
      <c r="U108" s="119" t="s">
        <v>78</v>
      </c>
      <c r="V108" s="119" t="s">
        <v>98</v>
      </c>
      <c r="W108" s="120"/>
      <c r="X108" s="119" t="s">
        <v>159</v>
      </c>
      <c r="Y108" s="119" t="s">
        <v>139</v>
      </c>
      <c r="Z108" s="119" t="s">
        <v>1065</v>
      </c>
      <c r="AA108" s="119" t="s">
        <v>162</v>
      </c>
      <c r="AB108" s="117" t="s">
        <v>1105</v>
      </c>
      <c r="AC108" s="117">
        <v>8.1223266494E10</v>
      </c>
      <c r="AD108" s="117" t="s">
        <v>1099</v>
      </c>
      <c r="AE108" s="118"/>
      <c r="AF108" s="118"/>
      <c r="AG108" s="121"/>
      <c r="AH108" s="121"/>
      <c r="AI108" s="121"/>
      <c r="AJ108" s="121"/>
      <c r="AK108" s="121"/>
      <c r="AL108" s="121"/>
      <c r="AM108" s="121"/>
      <c r="AN108" s="121"/>
      <c r="AO108" s="121"/>
      <c r="AP108" s="121"/>
      <c r="AQ108" s="121"/>
      <c r="AR108" s="61"/>
    </row>
    <row r="109">
      <c r="A109" s="95">
        <v>14.0</v>
      </c>
      <c r="B109" s="96" t="s">
        <v>1111</v>
      </c>
      <c r="C109" s="96" t="s">
        <v>1112</v>
      </c>
      <c r="D109" s="59"/>
      <c r="E109" s="59"/>
      <c r="F109" s="69"/>
      <c r="G109" s="69"/>
      <c r="H109" s="69"/>
      <c r="I109" s="96" t="s">
        <v>1113</v>
      </c>
      <c r="J109" s="69"/>
      <c r="K109" s="69"/>
      <c r="L109" s="69"/>
      <c r="M109" s="97" t="s">
        <v>1114</v>
      </c>
      <c r="N109" s="69"/>
      <c r="O109" s="69"/>
      <c r="P109" s="69"/>
      <c r="Q109" s="69"/>
      <c r="R109" s="69"/>
      <c r="S109" s="69"/>
      <c r="T109" s="69"/>
      <c r="U109" s="69"/>
      <c r="V109" s="69"/>
      <c r="W109" s="69"/>
      <c r="X109" s="69"/>
      <c r="Y109" s="69"/>
      <c r="Z109" s="69"/>
      <c r="AA109" s="69"/>
      <c r="AB109" s="96" t="s">
        <v>1115</v>
      </c>
      <c r="AC109" s="69"/>
      <c r="AD109" s="69"/>
      <c r="AE109" s="59"/>
      <c r="AF109" s="59"/>
      <c r="AG109" s="60"/>
      <c r="AH109" s="60"/>
      <c r="AI109" s="60"/>
      <c r="AJ109" s="60"/>
      <c r="AK109" s="60"/>
      <c r="AL109" s="60"/>
      <c r="AM109" s="60"/>
      <c r="AN109" s="60"/>
      <c r="AO109" s="60"/>
      <c r="AP109" s="60"/>
      <c r="AQ109" s="60"/>
      <c r="AR109" s="61"/>
    </row>
    <row r="110">
      <c r="A110" s="95">
        <v>15.0</v>
      </c>
      <c r="B110" s="96" t="s">
        <v>1116</v>
      </c>
      <c r="C110" s="96" t="s">
        <v>1117</v>
      </c>
      <c r="D110" s="59"/>
      <c r="E110" s="59"/>
      <c r="F110" s="69"/>
      <c r="G110" s="69"/>
      <c r="H110" s="69"/>
      <c r="I110" s="96" t="s">
        <v>1118</v>
      </c>
      <c r="J110" s="69"/>
      <c r="K110" s="69"/>
      <c r="L110" s="69"/>
      <c r="M110" s="97" t="s">
        <v>1119</v>
      </c>
      <c r="N110" s="69"/>
      <c r="O110" s="69"/>
      <c r="P110" s="69"/>
      <c r="Q110" s="69"/>
      <c r="R110" s="69"/>
      <c r="S110" s="69"/>
      <c r="T110" s="69"/>
      <c r="U110" s="69"/>
      <c r="V110" s="69"/>
      <c r="W110" s="69"/>
      <c r="X110" s="69"/>
      <c r="Y110" s="69"/>
      <c r="Z110" s="69"/>
      <c r="AA110" s="69"/>
      <c r="AB110" s="96" t="s">
        <v>1120</v>
      </c>
      <c r="AC110" s="69"/>
      <c r="AD110" s="69"/>
      <c r="AE110" s="59"/>
      <c r="AF110" s="59"/>
      <c r="AG110" s="60"/>
      <c r="AH110" s="60"/>
      <c r="AI110" s="60"/>
      <c r="AJ110" s="60"/>
      <c r="AK110" s="60"/>
      <c r="AL110" s="60"/>
      <c r="AM110" s="60"/>
      <c r="AN110" s="60"/>
      <c r="AO110" s="60"/>
      <c r="AP110" s="60"/>
      <c r="AQ110" s="60"/>
      <c r="AR110" s="61"/>
    </row>
    <row r="111">
      <c r="A111" s="116">
        <v>16.0</v>
      </c>
      <c r="B111" s="117" t="s">
        <v>1121</v>
      </c>
      <c r="C111" s="117" t="s">
        <v>1122</v>
      </c>
      <c r="D111" s="118"/>
      <c r="E111" s="118"/>
      <c r="F111" s="119" t="s">
        <v>345</v>
      </c>
      <c r="G111" s="119" t="s">
        <v>66</v>
      </c>
      <c r="H111" s="120"/>
      <c r="I111" s="117" t="s">
        <v>1123</v>
      </c>
      <c r="J111" s="119" t="s">
        <v>151</v>
      </c>
      <c r="K111" s="119" t="s">
        <v>70</v>
      </c>
      <c r="L111" s="119" t="s">
        <v>71</v>
      </c>
      <c r="M111" s="97" t="s">
        <v>1124</v>
      </c>
      <c r="N111" s="119" t="s">
        <v>73</v>
      </c>
      <c r="O111" s="119" t="s">
        <v>73</v>
      </c>
      <c r="P111" s="119" t="s">
        <v>95</v>
      </c>
      <c r="Q111" s="70" t="s">
        <v>1125</v>
      </c>
      <c r="R111" s="119" t="s">
        <v>76</v>
      </c>
      <c r="S111" s="119" t="s">
        <v>97</v>
      </c>
      <c r="T111" s="120"/>
      <c r="U111" s="119" t="s">
        <v>78</v>
      </c>
      <c r="V111" s="119" t="s">
        <v>98</v>
      </c>
      <c r="W111" s="120"/>
      <c r="X111" s="119" t="s">
        <v>159</v>
      </c>
      <c r="Y111" s="119" t="s">
        <v>139</v>
      </c>
      <c r="Z111" s="119" t="s">
        <v>1065</v>
      </c>
      <c r="AA111" s="119" t="s">
        <v>162</v>
      </c>
      <c r="AB111" s="117" t="s">
        <v>1105</v>
      </c>
      <c r="AC111" s="117">
        <v>8.1223266494E10</v>
      </c>
      <c r="AD111" s="117" t="s">
        <v>1099</v>
      </c>
      <c r="AE111" s="118"/>
      <c r="AF111" s="118"/>
      <c r="AG111" s="121"/>
      <c r="AH111" s="121"/>
      <c r="AI111" s="121"/>
      <c r="AJ111" s="121"/>
      <c r="AK111" s="121"/>
      <c r="AL111" s="121"/>
      <c r="AM111" s="121"/>
      <c r="AN111" s="121"/>
      <c r="AO111" s="121"/>
      <c r="AP111" s="121"/>
      <c r="AQ111" s="121"/>
      <c r="AR111" s="61"/>
    </row>
    <row r="112">
      <c r="A112" s="99">
        <v>17.0</v>
      </c>
      <c r="B112" s="100" t="s">
        <v>1126</v>
      </c>
      <c r="C112" s="100" t="s">
        <v>1127</v>
      </c>
      <c r="D112" s="101"/>
      <c r="E112" s="101"/>
      <c r="F112" s="103"/>
      <c r="G112" s="103"/>
      <c r="H112" s="103"/>
      <c r="I112" s="100" t="s">
        <v>1128</v>
      </c>
      <c r="J112" s="103"/>
      <c r="K112" s="103"/>
      <c r="L112" s="103"/>
      <c r="M112" s="103"/>
      <c r="N112" s="103"/>
      <c r="O112" s="103"/>
      <c r="P112" s="103"/>
      <c r="Q112" s="103"/>
      <c r="R112" s="103"/>
      <c r="S112" s="103"/>
      <c r="T112" s="103"/>
      <c r="U112" s="103"/>
      <c r="V112" s="103"/>
      <c r="W112" s="103"/>
      <c r="X112" s="103"/>
      <c r="Y112" s="103"/>
      <c r="Z112" s="69"/>
      <c r="AA112" s="69"/>
      <c r="AB112" s="69"/>
      <c r="AC112" s="69"/>
      <c r="AD112" s="69"/>
      <c r="AE112" s="59"/>
      <c r="AF112" s="59"/>
      <c r="AG112" s="60"/>
      <c r="AH112" s="60"/>
      <c r="AI112" s="60"/>
      <c r="AJ112" s="60"/>
      <c r="AK112" s="60"/>
      <c r="AL112" s="60"/>
      <c r="AM112" s="60"/>
      <c r="AN112" s="60"/>
      <c r="AO112" s="60"/>
      <c r="AP112" s="60"/>
      <c r="AQ112" s="60"/>
      <c r="AR112" s="61"/>
    </row>
    <row r="113">
      <c r="A113" s="95">
        <v>18.0</v>
      </c>
      <c r="B113" s="96" t="s">
        <v>1129</v>
      </c>
      <c r="C113" s="96" t="s">
        <v>1130</v>
      </c>
      <c r="D113" s="59"/>
      <c r="E113" s="59"/>
      <c r="F113" s="69"/>
      <c r="G113" s="69"/>
      <c r="H113" s="69"/>
      <c r="I113" s="96" t="s">
        <v>1131</v>
      </c>
      <c r="J113" s="69"/>
      <c r="K113" s="69"/>
      <c r="L113" s="69"/>
      <c r="M113" s="97" t="s">
        <v>1132</v>
      </c>
      <c r="N113" s="69"/>
      <c r="O113" s="69"/>
      <c r="P113" s="69"/>
      <c r="Q113" s="69"/>
      <c r="R113" s="69"/>
      <c r="S113" s="69"/>
      <c r="T113" s="69"/>
      <c r="U113" s="69"/>
      <c r="V113" s="69"/>
      <c r="W113" s="69"/>
      <c r="X113" s="69"/>
      <c r="Y113" s="69"/>
      <c r="Z113" s="69"/>
      <c r="AA113" s="69"/>
      <c r="AB113" s="69"/>
      <c r="AC113" s="69"/>
      <c r="AD113" s="69"/>
      <c r="AE113" s="59"/>
      <c r="AF113" s="59"/>
      <c r="AG113" s="60"/>
      <c r="AH113" s="60"/>
      <c r="AI113" s="60"/>
      <c r="AJ113" s="60"/>
      <c r="AK113" s="60"/>
      <c r="AL113" s="60"/>
      <c r="AM113" s="60"/>
      <c r="AN113" s="60"/>
      <c r="AO113" s="60"/>
      <c r="AP113" s="60"/>
      <c r="AQ113" s="60"/>
      <c r="AR113" s="61"/>
    </row>
    <row r="114">
      <c r="A114" s="95">
        <v>19.0</v>
      </c>
      <c r="B114" s="96" t="s">
        <v>1133</v>
      </c>
      <c r="C114" s="96" t="s">
        <v>1134</v>
      </c>
      <c r="D114" s="59"/>
      <c r="E114" s="59"/>
      <c r="F114" s="69"/>
      <c r="G114" s="69"/>
      <c r="H114" s="69"/>
      <c r="I114" s="96" t="s">
        <v>1135</v>
      </c>
      <c r="J114" s="69"/>
      <c r="K114" s="69"/>
      <c r="L114" s="69"/>
      <c r="M114" s="97" t="s">
        <v>1136</v>
      </c>
      <c r="N114" s="69"/>
      <c r="O114" s="69"/>
      <c r="P114" s="69"/>
      <c r="Q114" s="69"/>
      <c r="R114" s="69"/>
      <c r="S114" s="69"/>
      <c r="T114" s="69"/>
      <c r="U114" s="69"/>
      <c r="V114" s="69"/>
      <c r="W114" s="69"/>
      <c r="X114" s="69"/>
      <c r="Y114" s="69"/>
      <c r="Z114" s="69"/>
      <c r="AA114" s="69"/>
      <c r="AB114" s="69"/>
      <c r="AC114" s="69"/>
      <c r="AD114" s="69"/>
      <c r="AE114" s="59"/>
      <c r="AF114" s="59"/>
      <c r="AG114" s="60"/>
      <c r="AH114" s="60"/>
      <c r="AI114" s="60"/>
      <c r="AJ114" s="60"/>
      <c r="AK114" s="60"/>
      <c r="AL114" s="60"/>
      <c r="AM114" s="60"/>
      <c r="AN114" s="60"/>
      <c r="AO114" s="60"/>
      <c r="AP114" s="60"/>
      <c r="AQ114" s="60"/>
      <c r="AR114" s="61"/>
    </row>
    <row r="115">
      <c r="A115" s="95">
        <v>20.0</v>
      </c>
      <c r="B115" s="96" t="s">
        <v>1137</v>
      </c>
      <c r="C115" s="96" t="s">
        <v>1138</v>
      </c>
      <c r="D115" s="59"/>
      <c r="E115" s="59"/>
      <c r="F115" s="69"/>
      <c r="G115" s="69"/>
      <c r="H115" s="69"/>
      <c r="I115" s="96" t="s">
        <v>1139</v>
      </c>
      <c r="J115" s="69"/>
      <c r="K115" s="69"/>
      <c r="L115" s="69"/>
      <c r="M115" s="97" t="s">
        <v>1140</v>
      </c>
      <c r="N115" s="69"/>
      <c r="O115" s="69"/>
      <c r="P115" s="69"/>
      <c r="Q115" s="69"/>
      <c r="R115" s="69"/>
      <c r="S115" s="69"/>
      <c r="T115" s="69"/>
      <c r="U115" s="69"/>
      <c r="V115" s="69"/>
      <c r="W115" s="69"/>
      <c r="X115" s="69"/>
      <c r="Y115" s="69"/>
      <c r="Z115" s="69"/>
      <c r="AA115" s="69"/>
      <c r="AB115" s="69"/>
      <c r="AC115" s="69"/>
      <c r="AD115" s="69"/>
      <c r="AE115" s="59"/>
      <c r="AF115" s="59"/>
      <c r="AG115" s="60"/>
      <c r="AH115" s="60"/>
      <c r="AI115" s="60"/>
      <c r="AJ115" s="60"/>
      <c r="AK115" s="60"/>
      <c r="AL115" s="60"/>
      <c r="AM115" s="60"/>
      <c r="AN115" s="60"/>
      <c r="AO115" s="60"/>
      <c r="AP115" s="60"/>
      <c r="AQ115" s="60"/>
      <c r="AR115" s="61"/>
    </row>
    <row r="116">
      <c r="A116" s="95">
        <v>21.0</v>
      </c>
      <c r="B116" s="96" t="s">
        <v>1141</v>
      </c>
      <c r="C116" s="96" t="s">
        <v>1142</v>
      </c>
      <c r="D116" s="59"/>
      <c r="E116" s="59"/>
      <c r="F116" s="69"/>
      <c r="G116" s="79" t="s">
        <v>123</v>
      </c>
      <c r="H116" s="69"/>
      <c r="I116" s="69"/>
      <c r="J116" s="69"/>
      <c r="K116" s="69"/>
      <c r="L116" s="79" t="s">
        <v>71</v>
      </c>
      <c r="M116" s="97" t="s">
        <v>1143</v>
      </c>
      <c r="N116" s="79" t="s">
        <v>73</v>
      </c>
      <c r="O116" s="79" t="s">
        <v>73</v>
      </c>
      <c r="P116" s="79" t="s">
        <v>74</v>
      </c>
      <c r="Q116" s="70" t="s">
        <v>1144</v>
      </c>
      <c r="R116" s="79" t="s">
        <v>76</v>
      </c>
      <c r="S116" s="69"/>
      <c r="T116" s="69"/>
      <c r="U116" s="79" t="s">
        <v>78</v>
      </c>
      <c r="V116" s="79" t="s">
        <v>98</v>
      </c>
      <c r="W116" s="79" t="s">
        <v>1145</v>
      </c>
      <c r="X116" s="69"/>
      <c r="Y116" s="79" t="s">
        <v>139</v>
      </c>
      <c r="Z116" s="79" t="s">
        <v>1146</v>
      </c>
      <c r="AA116" s="69"/>
      <c r="AB116" s="69"/>
      <c r="AC116" s="69"/>
      <c r="AD116" s="69"/>
      <c r="AE116" s="59"/>
      <c r="AF116" s="59"/>
      <c r="AG116" s="60"/>
      <c r="AH116" s="60"/>
      <c r="AI116" s="60"/>
      <c r="AJ116" s="60"/>
      <c r="AK116" s="60"/>
      <c r="AL116" s="60"/>
      <c r="AM116" s="60"/>
      <c r="AN116" s="60"/>
      <c r="AO116" s="60"/>
      <c r="AP116" s="60"/>
      <c r="AQ116" s="60"/>
      <c r="AR116" s="61"/>
    </row>
    <row r="117">
      <c r="A117" s="71" t="s">
        <v>164</v>
      </c>
      <c r="B117" s="57"/>
      <c r="C117" s="57"/>
      <c r="D117" s="58"/>
      <c r="E117" s="58"/>
      <c r="F117" s="57"/>
      <c r="G117" s="57"/>
      <c r="H117" s="57"/>
      <c r="I117" s="57"/>
      <c r="J117" s="57"/>
      <c r="K117" s="57"/>
      <c r="L117" s="57"/>
      <c r="M117" s="57"/>
      <c r="N117" s="57"/>
      <c r="O117" s="57"/>
      <c r="P117" s="57"/>
      <c r="Q117" s="57"/>
      <c r="R117" s="57"/>
      <c r="S117" s="57"/>
      <c r="T117" s="57"/>
      <c r="U117" s="57"/>
      <c r="V117" s="57"/>
      <c r="W117" s="57"/>
      <c r="X117" s="57"/>
      <c r="Y117" s="57"/>
      <c r="Z117" s="57"/>
      <c r="AA117" s="57"/>
      <c r="AB117" s="57"/>
      <c r="AC117" s="57"/>
      <c r="AD117" s="57"/>
      <c r="AE117" s="94"/>
      <c r="AF117" s="94"/>
      <c r="AG117" s="60"/>
      <c r="AH117" s="60"/>
      <c r="AI117" s="60"/>
      <c r="AJ117" s="60"/>
      <c r="AK117" s="60"/>
      <c r="AL117" s="60"/>
      <c r="AM117" s="60"/>
      <c r="AN117" s="60"/>
      <c r="AO117" s="60"/>
      <c r="AP117" s="60"/>
      <c r="AQ117" s="60"/>
      <c r="AR117" s="61"/>
    </row>
    <row r="118">
      <c r="A118" s="95">
        <v>1.0</v>
      </c>
      <c r="B118" s="96" t="s">
        <v>1147</v>
      </c>
      <c r="C118" s="96" t="s">
        <v>1148</v>
      </c>
      <c r="D118" s="96" t="s">
        <v>1149</v>
      </c>
      <c r="E118" s="79" t="s">
        <v>88</v>
      </c>
      <c r="F118" s="79" t="s">
        <v>290</v>
      </c>
      <c r="G118" s="79" t="s">
        <v>66</v>
      </c>
      <c r="H118" s="96" t="s">
        <v>1150</v>
      </c>
      <c r="I118" s="96" t="s">
        <v>1151</v>
      </c>
      <c r="J118" s="79" t="s">
        <v>91</v>
      </c>
      <c r="K118" s="79" t="s">
        <v>70</v>
      </c>
      <c r="L118" s="79" t="s">
        <v>71</v>
      </c>
      <c r="M118" s="130" t="s">
        <v>1152</v>
      </c>
      <c r="N118" s="79" t="s">
        <v>93</v>
      </c>
      <c r="O118" s="79" t="s">
        <v>113</v>
      </c>
      <c r="P118" s="79" t="s">
        <v>74</v>
      </c>
      <c r="Q118" s="70" t="s">
        <v>1153</v>
      </c>
      <c r="R118" s="79" t="s">
        <v>76</v>
      </c>
      <c r="S118" s="79" t="s">
        <v>77</v>
      </c>
      <c r="T118" s="79">
        <v>2024.0</v>
      </c>
      <c r="U118" s="79" t="s">
        <v>78</v>
      </c>
      <c r="V118" s="79" t="s">
        <v>79</v>
      </c>
      <c r="W118" s="79" t="s">
        <v>80</v>
      </c>
      <c r="X118" s="79" t="s">
        <v>80</v>
      </c>
      <c r="Y118" s="79" t="s">
        <v>80</v>
      </c>
      <c r="Z118" s="79" t="s">
        <v>1154</v>
      </c>
      <c r="AA118" s="79" t="s">
        <v>164</v>
      </c>
      <c r="AB118" s="96" t="s">
        <v>1155</v>
      </c>
      <c r="AC118" s="79">
        <v>8.1290730949E10</v>
      </c>
      <c r="AD118" s="69"/>
      <c r="AE118" s="68">
        <v>39.0</v>
      </c>
      <c r="AF118" s="68" t="s">
        <v>71</v>
      </c>
      <c r="AG118" s="60"/>
      <c r="AH118" s="60"/>
      <c r="AI118" s="60"/>
      <c r="AJ118" s="60"/>
      <c r="AK118" s="60"/>
      <c r="AL118" s="60"/>
      <c r="AM118" s="60"/>
      <c r="AN118" s="60"/>
      <c r="AO118" s="60"/>
      <c r="AP118" s="60"/>
      <c r="AQ118" s="60"/>
      <c r="AR118" s="61"/>
    </row>
    <row r="119">
      <c r="A119" s="95">
        <v>2.0</v>
      </c>
      <c r="B119" s="96" t="s">
        <v>1156</v>
      </c>
      <c r="C119" s="96" t="s">
        <v>1157</v>
      </c>
      <c r="D119" s="96" t="s">
        <v>1158</v>
      </c>
      <c r="E119" s="131" t="s">
        <v>1159</v>
      </c>
      <c r="F119" s="79" t="s">
        <v>309</v>
      </c>
      <c r="G119" s="79" t="s">
        <v>66</v>
      </c>
      <c r="H119" s="79" t="s">
        <v>1160</v>
      </c>
      <c r="I119" s="79" t="s">
        <v>1161</v>
      </c>
      <c r="J119" s="79" t="s">
        <v>151</v>
      </c>
      <c r="K119" s="79" t="s">
        <v>70</v>
      </c>
      <c r="L119" s="79" t="s">
        <v>71</v>
      </c>
      <c r="M119" s="130" t="s">
        <v>1162</v>
      </c>
      <c r="N119" s="79" t="s">
        <v>93</v>
      </c>
      <c r="O119" s="79" t="s">
        <v>113</v>
      </c>
      <c r="P119" s="79" t="s">
        <v>74</v>
      </c>
      <c r="Q119" s="70" t="s">
        <v>1163</v>
      </c>
      <c r="R119" s="79" t="s">
        <v>76</v>
      </c>
      <c r="S119" s="79" t="s">
        <v>97</v>
      </c>
      <c r="T119" s="79">
        <v>2022.0</v>
      </c>
      <c r="U119" s="79" t="s">
        <v>78</v>
      </c>
      <c r="V119" s="79" t="s">
        <v>98</v>
      </c>
      <c r="W119" s="79" t="s">
        <v>1164</v>
      </c>
      <c r="X119" s="79" t="s">
        <v>155</v>
      </c>
      <c r="Y119" s="79" t="s">
        <v>71</v>
      </c>
      <c r="Z119" s="79" t="s">
        <v>1165</v>
      </c>
      <c r="AA119" s="79" t="s">
        <v>164</v>
      </c>
      <c r="AB119" s="96" t="s">
        <v>1166</v>
      </c>
      <c r="AC119" s="79">
        <v>8.1318911897E10</v>
      </c>
      <c r="AD119" s="96" t="s">
        <v>1167</v>
      </c>
      <c r="AE119" s="64" t="s">
        <v>1168</v>
      </c>
      <c r="AF119" s="64" t="s">
        <v>71</v>
      </c>
      <c r="AG119" s="60"/>
      <c r="AH119" s="60"/>
      <c r="AI119" s="60"/>
      <c r="AJ119" s="60"/>
      <c r="AK119" s="60"/>
      <c r="AL119" s="60"/>
      <c r="AM119" s="60"/>
      <c r="AN119" s="60"/>
      <c r="AO119" s="60"/>
      <c r="AP119" s="60"/>
      <c r="AQ119" s="60"/>
      <c r="AR119" s="61"/>
    </row>
    <row r="120">
      <c r="A120" s="95">
        <v>3.0</v>
      </c>
      <c r="B120" s="96" t="s">
        <v>1169</v>
      </c>
      <c r="C120" s="96" t="s">
        <v>1170</v>
      </c>
      <c r="D120" s="96" t="s">
        <v>63</v>
      </c>
      <c r="E120" s="131" t="s">
        <v>1171</v>
      </c>
      <c r="F120" s="79" t="s">
        <v>65</v>
      </c>
      <c r="G120" s="79" t="s">
        <v>66</v>
      </c>
      <c r="H120" s="79" t="s">
        <v>1172</v>
      </c>
      <c r="I120" s="79" t="s">
        <v>68</v>
      </c>
      <c r="J120" s="79" t="s">
        <v>91</v>
      </c>
      <c r="K120" s="79" t="s">
        <v>70</v>
      </c>
      <c r="L120" s="79" t="s">
        <v>71</v>
      </c>
      <c r="M120" s="130" t="s">
        <v>1173</v>
      </c>
      <c r="N120" s="79" t="s">
        <v>93</v>
      </c>
      <c r="O120" s="79" t="s">
        <v>113</v>
      </c>
      <c r="P120" s="79" t="s">
        <v>74</v>
      </c>
      <c r="Q120" s="70" t="s">
        <v>1174</v>
      </c>
      <c r="R120" s="79" t="s">
        <v>76</v>
      </c>
      <c r="S120" s="79" t="s">
        <v>77</v>
      </c>
      <c r="T120" s="79">
        <v>2022.0</v>
      </c>
      <c r="U120" s="79" t="s">
        <v>78</v>
      </c>
      <c r="V120" s="79" t="s">
        <v>79</v>
      </c>
      <c r="W120" s="79" t="s">
        <v>80</v>
      </c>
      <c r="X120" s="79" t="s">
        <v>80</v>
      </c>
      <c r="Y120" s="79" t="s">
        <v>80</v>
      </c>
      <c r="Z120" s="79" t="s">
        <v>1175</v>
      </c>
      <c r="AA120" s="79" t="s">
        <v>164</v>
      </c>
      <c r="AB120" s="96" t="s">
        <v>1176</v>
      </c>
      <c r="AC120" s="69"/>
      <c r="AD120" s="69"/>
      <c r="AE120" s="59"/>
      <c r="AF120" s="64" t="s">
        <v>71</v>
      </c>
      <c r="AG120" s="60"/>
      <c r="AH120" s="60"/>
      <c r="AI120" s="60"/>
      <c r="AJ120" s="60"/>
      <c r="AK120" s="60"/>
      <c r="AL120" s="60"/>
      <c r="AM120" s="60"/>
      <c r="AN120" s="60"/>
      <c r="AO120" s="60"/>
      <c r="AP120" s="60"/>
      <c r="AQ120" s="60"/>
      <c r="AR120" s="61"/>
    </row>
    <row r="121">
      <c r="A121" s="95">
        <v>4.0</v>
      </c>
      <c r="B121" s="96" t="s">
        <v>1177</v>
      </c>
      <c r="C121" s="96" t="s">
        <v>1178</v>
      </c>
      <c r="D121" s="132" t="s">
        <v>1179</v>
      </c>
      <c r="E121" s="79" t="s">
        <v>88</v>
      </c>
      <c r="F121" s="79" t="s">
        <v>290</v>
      </c>
      <c r="G121" s="79" t="s">
        <v>123</v>
      </c>
      <c r="H121" s="79" t="s">
        <v>1180</v>
      </c>
      <c r="I121" s="79" t="s">
        <v>1181</v>
      </c>
      <c r="J121" s="79" t="s">
        <v>151</v>
      </c>
      <c r="K121" s="79" t="s">
        <v>70</v>
      </c>
      <c r="L121" s="79" t="s">
        <v>152</v>
      </c>
      <c r="M121" s="130" t="s">
        <v>1182</v>
      </c>
      <c r="N121" s="79" t="s">
        <v>93</v>
      </c>
      <c r="O121" s="79" t="s">
        <v>113</v>
      </c>
      <c r="P121" s="79" t="s">
        <v>74</v>
      </c>
      <c r="Q121" s="70" t="s">
        <v>1183</v>
      </c>
      <c r="R121" s="79" t="s">
        <v>76</v>
      </c>
      <c r="S121" s="79" t="s">
        <v>97</v>
      </c>
      <c r="T121" s="79">
        <v>2024.0</v>
      </c>
      <c r="U121" s="79" t="s">
        <v>78</v>
      </c>
      <c r="V121" s="79" t="s">
        <v>79</v>
      </c>
      <c r="W121" s="79" t="s">
        <v>80</v>
      </c>
      <c r="X121" s="79" t="s">
        <v>80</v>
      </c>
      <c r="Y121" s="79" t="s">
        <v>80</v>
      </c>
      <c r="Z121" s="79" t="s">
        <v>1184</v>
      </c>
      <c r="AA121" s="79" t="s">
        <v>164</v>
      </c>
      <c r="AB121" s="96" t="s">
        <v>1185</v>
      </c>
      <c r="AC121" s="79">
        <v>8.5860661778E10</v>
      </c>
      <c r="AD121" s="96" t="s">
        <v>1186</v>
      </c>
      <c r="AE121" s="68">
        <v>47.0</v>
      </c>
      <c r="AF121" s="64" t="s">
        <v>152</v>
      </c>
      <c r="AG121" s="60"/>
      <c r="AH121" s="60"/>
      <c r="AI121" s="60"/>
      <c r="AJ121" s="60"/>
      <c r="AK121" s="60"/>
      <c r="AL121" s="60"/>
      <c r="AM121" s="60"/>
      <c r="AN121" s="60"/>
      <c r="AO121" s="60"/>
      <c r="AP121" s="60"/>
      <c r="AQ121" s="60"/>
      <c r="AR121" s="61"/>
    </row>
    <row r="122">
      <c r="A122" s="95">
        <v>5.0</v>
      </c>
      <c r="B122" s="96" t="s">
        <v>1187</v>
      </c>
      <c r="C122" s="96" t="s">
        <v>1188</v>
      </c>
      <c r="D122" s="96" t="s">
        <v>1189</v>
      </c>
      <c r="E122" s="70" t="s">
        <v>1190</v>
      </c>
      <c r="F122" s="79" t="s">
        <v>222</v>
      </c>
      <c r="G122" s="79" t="s">
        <v>66</v>
      </c>
      <c r="H122" s="79" t="s">
        <v>1191</v>
      </c>
      <c r="I122" s="79" t="s">
        <v>1192</v>
      </c>
      <c r="J122" s="79" t="s">
        <v>91</v>
      </c>
      <c r="K122" s="79" t="s">
        <v>70</v>
      </c>
      <c r="L122" s="79" t="s">
        <v>71</v>
      </c>
      <c r="M122" s="130" t="s">
        <v>1193</v>
      </c>
      <c r="N122" s="79" t="s">
        <v>93</v>
      </c>
      <c r="O122" s="79" t="s">
        <v>113</v>
      </c>
      <c r="P122" s="79" t="s">
        <v>74</v>
      </c>
      <c r="Q122" s="70" t="s">
        <v>1194</v>
      </c>
      <c r="R122" s="79" t="s">
        <v>76</v>
      </c>
      <c r="S122" s="79" t="s">
        <v>77</v>
      </c>
      <c r="T122" s="79">
        <v>2024.0</v>
      </c>
      <c r="U122" s="79" t="s">
        <v>154</v>
      </c>
      <c r="V122" s="79" t="s">
        <v>79</v>
      </c>
      <c r="W122" s="79" t="s">
        <v>80</v>
      </c>
      <c r="X122" s="79" t="s">
        <v>80</v>
      </c>
      <c r="Y122" s="79" t="s">
        <v>80</v>
      </c>
      <c r="Z122" s="79" t="s">
        <v>1195</v>
      </c>
      <c r="AA122" s="79" t="s">
        <v>164</v>
      </c>
      <c r="AB122" s="96" t="s">
        <v>1196</v>
      </c>
      <c r="AC122" s="79">
        <v>8.9681575101E10</v>
      </c>
      <c r="AD122" s="96" t="s">
        <v>1197</v>
      </c>
      <c r="AE122" s="68">
        <v>47.0</v>
      </c>
      <c r="AF122" s="64" t="s">
        <v>71</v>
      </c>
      <c r="AG122" s="60"/>
      <c r="AH122" s="60"/>
      <c r="AI122" s="60"/>
      <c r="AJ122" s="60"/>
      <c r="AK122" s="60"/>
      <c r="AL122" s="60"/>
      <c r="AM122" s="60"/>
      <c r="AN122" s="60"/>
      <c r="AO122" s="60"/>
      <c r="AP122" s="60"/>
      <c r="AQ122" s="60"/>
      <c r="AR122" s="61"/>
    </row>
    <row r="123">
      <c r="A123" s="95">
        <v>6.0</v>
      </c>
      <c r="B123" s="96" t="s">
        <v>1198</v>
      </c>
      <c r="C123" s="96" t="s">
        <v>1199</v>
      </c>
      <c r="D123" s="96" t="s">
        <v>1200</v>
      </c>
      <c r="E123" s="131" t="s">
        <v>1201</v>
      </c>
      <c r="F123" s="79" t="s">
        <v>65</v>
      </c>
      <c r="G123" s="79" t="s">
        <v>66</v>
      </c>
      <c r="H123" s="79" t="s">
        <v>1202</v>
      </c>
      <c r="I123" s="79" t="s">
        <v>1203</v>
      </c>
      <c r="J123" s="79" t="s">
        <v>151</v>
      </c>
      <c r="K123" s="79" t="s">
        <v>70</v>
      </c>
      <c r="L123" s="79" t="s">
        <v>152</v>
      </c>
      <c r="M123" s="130" t="s">
        <v>1204</v>
      </c>
      <c r="N123" s="79" t="s">
        <v>93</v>
      </c>
      <c r="O123" s="79" t="s">
        <v>113</v>
      </c>
      <c r="P123" s="79" t="s">
        <v>74</v>
      </c>
      <c r="Q123" s="70" t="s">
        <v>1205</v>
      </c>
      <c r="R123" s="79" t="s">
        <v>76</v>
      </c>
      <c r="S123" s="79" t="s">
        <v>97</v>
      </c>
      <c r="T123" s="79">
        <v>2022.0</v>
      </c>
      <c r="U123" s="79" t="s">
        <v>78</v>
      </c>
      <c r="V123" s="79" t="s">
        <v>79</v>
      </c>
      <c r="W123" s="79" t="s">
        <v>80</v>
      </c>
      <c r="X123" s="79" t="s">
        <v>80</v>
      </c>
      <c r="Y123" s="79" t="s">
        <v>80</v>
      </c>
      <c r="Z123" s="79" t="s">
        <v>1206</v>
      </c>
      <c r="AA123" s="79" t="s">
        <v>164</v>
      </c>
      <c r="AB123" s="96" t="s">
        <v>1207</v>
      </c>
      <c r="AC123" s="133">
        <v>8.9649072891E10</v>
      </c>
      <c r="AD123" s="96" t="s">
        <v>1208</v>
      </c>
      <c r="AE123" s="68">
        <v>13.0</v>
      </c>
      <c r="AF123" s="64" t="s">
        <v>152</v>
      </c>
      <c r="AG123" s="60"/>
      <c r="AH123" s="60"/>
      <c r="AI123" s="60"/>
      <c r="AJ123" s="60"/>
      <c r="AK123" s="60"/>
      <c r="AL123" s="60"/>
      <c r="AM123" s="60"/>
      <c r="AN123" s="60"/>
      <c r="AO123" s="60"/>
      <c r="AP123" s="60"/>
      <c r="AQ123" s="60"/>
      <c r="AR123" s="61"/>
    </row>
    <row r="124">
      <c r="A124" s="95">
        <v>7.0</v>
      </c>
      <c r="B124" s="96" t="s">
        <v>1209</v>
      </c>
      <c r="C124" s="96" t="s">
        <v>1210</v>
      </c>
      <c r="D124" s="96" t="s">
        <v>1211</v>
      </c>
      <c r="E124" s="79" t="s">
        <v>88</v>
      </c>
      <c r="F124" s="79" t="s">
        <v>420</v>
      </c>
      <c r="G124" s="79" t="s">
        <v>66</v>
      </c>
      <c r="H124" s="79" t="s">
        <v>1212</v>
      </c>
      <c r="I124" s="79" t="s">
        <v>1213</v>
      </c>
      <c r="J124" s="79" t="s">
        <v>91</v>
      </c>
      <c r="K124" s="79" t="s">
        <v>110</v>
      </c>
      <c r="L124" s="79" t="s">
        <v>143</v>
      </c>
      <c r="M124" s="130" t="s">
        <v>1214</v>
      </c>
      <c r="N124" s="79" t="s">
        <v>93</v>
      </c>
      <c r="O124" s="79" t="s">
        <v>113</v>
      </c>
      <c r="P124" s="79" t="s">
        <v>74</v>
      </c>
      <c r="Q124" s="70" t="s">
        <v>1215</v>
      </c>
      <c r="R124" s="79" t="s">
        <v>76</v>
      </c>
      <c r="S124" s="79" t="s">
        <v>97</v>
      </c>
      <c r="T124" s="79">
        <v>2024.0</v>
      </c>
      <c r="U124" s="79" t="s">
        <v>78</v>
      </c>
      <c r="V124" s="79" t="s">
        <v>79</v>
      </c>
      <c r="W124" s="79" t="s">
        <v>80</v>
      </c>
      <c r="X124" s="79" t="s">
        <v>80</v>
      </c>
      <c r="Y124" s="79" t="s">
        <v>80</v>
      </c>
      <c r="Z124" s="79" t="s">
        <v>1184</v>
      </c>
      <c r="AA124" s="79" t="s">
        <v>164</v>
      </c>
      <c r="AB124" s="96" t="s">
        <v>1216</v>
      </c>
      <c r="AC124" s="79">
        <v>8.1221971903E10</v>
      </c>
      <c r="AD124" s="96" t="s">
        <v>1217</v>
      </c>
      <c r="AE124" s="68" t="s">
        <v>1218</v>
      </c>
      <c r="AF124" s="64" t="s">
        <v>152</v>
      </c>
      <c r="AG124" s="60"/>
      <c r="AH124" s="60"/>
      <c r="AI124" s="60"/>
      <c r="AJ124" s="60"/>
      <c r="AK124" s="60"/>
      <c r="AL124" s="60"/>
      <c r="AM124" s="60"/>
      <c r="AN124" s="60"/>
      <c r="AO124" s="60"/>
      <c r="AP124" s="60"/>
      <c r="AQ124" s="60"/>
      <c r="AR124" s="61"/>
    </row>
    <row r="125">
      <c r="A125" s="99">
        <v>8.0</v>
      </c>
      <c r="B125" s="100" t="s">
        <v>1219</v>
      </c>
      <c r="C125" s="100" t="s">
        <v>1220</v>
      </c>
      <c r="D125" s="134" t="s">
        <v>1179</v>
      </c>
      <c r="E125" s="70" t="s">
        <v>1221</v>
      </c>
      <c r="F125" s="102" t="s">
        <v>290</v>
      </c>
      <c r="G125" s="102" t="s">
        <v>66</v>
      </c>
      <c r="H125" s="102" t="s">
        <v>1222</v>
      </c>
      <c r="I125" s="102" t="s">
        <v>1223</v>
      </c>
      <c r="J125" s="102" t="s">
        <v>91</v>
      </c>
      <c r="K125" s="102" t="s">
        <v>110</v>
      </c>
      <c r="L125" s="102" t="s">
        <v>111</v>
      </c>
      <c r="M125" s="102" t="s">
        <v>88</v>
      </c>
      <c r="N125" s="103"/>
      <c r="O125" s="103"/>
      <c r="P125" s="103"/>
      <c r="Q125" s="103"/>
      <c r="R125" s="102" t="s">
        <v>146</v>
      </c>
      <c r="S125" s="102" t="s">
        <v>97</v>
      </c>
      <c r="T125" s="102">
        <v>2022.0</v>
      </c>
      <c r="U125" s="102" t="s">
        <v>78</v>
      </c>
      <c r="V125" s="102" t="s">
        <v>79</v>
      </c>
      <c r="W125" s="102" t="s">
        <v>80</v>
      </c>
      <c r="X125" s="102" t="s">
        <v>80</v>
      </c>
      <c r="Y125" s="102" t="s">
        <v>80</v>
      </c>
      <c r="Z125" s="102" t="s">
        <v>1184</v>
      </c>
      <c r="AA125" s="102" t="s">
        <v>164</v>
      </c>
      <c r="AB125" s="100" t="s">
        <v>1185</v>
      </c>
      <c r="AC125" s="102">
        <v>8.5860661778E10</v>
      </c>
      <c r="AD125" s="100" t="s">
        <v>1186</v>
      </c>
      <c r="AE125" s="135">
        <v>47.0</v>
      </c>
      <c r="AF125" s="136" t="s">
        <v>111</v>
      </c>
      <c r="AG125" s="137"/>
      <c r="AH125" s="137"/>
      <c r="AI125" s="137"/>
      <c r="AJ125" s="137"/>
      <c r="AK125" s="137"/>
      <c r="AL125" s="137"/>
      <c r="AM125" s="137"/>
      <c r="AN125" s="137"/>
      <c r="AO125" s="137"/>
      <c r="AP125" s="137"/>
      <c r="AQ125" s="137"/>
      <c r="AR125" s="61"/>
    </row>
    <row r="126">
      <c r="A126" s="99">
        <v>9.0</v>
      </c>
      <c r="B126" s="100" t="s">
        <v>1224</v>
      </c>
      <c r="C126" s="100" t="s">
        <v>1225</v>
      </c>
      <c r="D126" s="102" t="s">
        <v>563</v>
      </c>
      <c r="E126" s="102" t="s">
        <v>88</v>
      </c>
      <c r="F126" s="102" t="s">
        <v>291</v>
      </c>
      <c r="G126" s="102" t="s">
        <v>66</v>
      </c>
      <c r="H126" s="102" t="s">
        <v>1226</v>
      </c>
      <c r="I126" s="102" t="s">
        <v>1227</v>
      </c>
      <c r="J126" s="102" t="s">
        <v>91</v>
      </c>
      <c r="K126" s="102" t="s">
        <v>110</v>
      </c>
      <c r="L126" s="102" t="s">
        <v>152</v>
      </c>
      <c r="M126" s="102" t="s">
        <v>88</v>
      </c>
      <c r="N126" s="103"/>
      <c r="O126" s="103"/>
      <c r="P126" s="103"/>
      <c r="Q126" s="103"/>
      <c r="R126" s="102" t="s">
        <v>146</v>
      </c>
      <c r="S126" s="102" t="s">
        <v>97</v>
      </c>
      <c r="T126" s="102">
        <v>2022.0</v>
      </c>
      <c r="U126" s="102" t="s">
        <v>78</v>
      </c>
      <c r="V126" s="102" t="s">
        <v>79</v>
      </c>
      <c r="W126" s="102" t="s">
        <v>80</v>
      </c>
      <c r="X126" s="102" t="s">
        <v>80</v>
      </c>
      <c r="Y126" s="102" t="s">
        <v>80</v>
      </c>
      <c r="Z126" s="102" t="s">
        <v>1184</v>
      </c>
      <c r="AA126" s="102" t="s">
        <v>164</v>
      </c>
      <c r="AB126" s="100" t="s">
        <v>1228</v>
      </c>
      <c r="AC126" s="102">
        <v>8.1223591974E10</v>
      </c>
      <c r="AD126" s="100" t="s">
        <v>1229</v>
      </c>
      <c r="AE126" s="101"/>
      <c r="AF126" s="136" t="s">
        <v>152</v>
      </c>
      <c r="AG126" s="137"/>
      <c r="AH126" s="137"/>
      <c r="AI126" s="137"/>
      <c r="AJ126" s="137"/>
      <c r="AK126" s="137"/>
      <c r="AL126" s="137"/>
      <c r="AM126" s="137"/>
      <c r="AN126" s="137"/>
      <c r="AO126" s="137"/>
      <c r="AP126" s="137"/>
      <c r="AQ126" s="137"/>
      <c r="AR126" s="61"/>
    </row>
    <row r="127">
      <c r="A127" s="99">
        <v>10.0</v>
      </c>
      <c r="B127" s="100" t="s">
        <v>1230</v>
      </c>
      <c r="C127" s="100" t="s">
        <v>1231</v>
      </c>
      <c r="D127" s="100" t="s">
        <v>1232</v>
      </c>
      <c r="E127" s="102" t="s">
        <v>88</v>
      </c>
      <c r="F127" s="102" t="s">
        <v>327</v>
      </c>
      <c r="G127" s="102" t="s">
        <v>1233</v>
      </c>
      <c r="H127" s="100" t="s">
        <v>1234</v>
      </c>
      <c r="I127" s="100" t="s">
        <v>1235</v>
      </c>
      <c r="J127" s="102" t="s">
        <v>91</v>
      </c>
      <c r="K127" s="102" t="s">
        <v>70</v>
      </c>
      <c r="L127" s="102" t="s">
        <v>152</v>
      </c>
      <c r="M127" s="102" t="s">
        <v>88</v>
      </c>
      <c r="N127" s="102" t="s">
        <v>93</v>
      </c>
      <c r="O127" s="102" t="s">
        <v>113</v>
      </c>
      <c r="P127" s="102" t="s">
        <v>95</v>
      </c>
      <c r="Q127" s="100" t="s">
        <v>1236</v>
      </c>
      <c r="R127" s="102" t="s">
        <v>76</v>
      </c>
      <c r="S127" s="102" t="s">
        <v>77</v>
      </c>
      <c r="T127" s="102">
        <v>2025.0</v>
      </c>
      <c r="U127" s="102" t="s">
        <v>78</v>
      </c>
      <c r="V127" s="102" t="s">
        <v>79</v>
      </c>
      <c r="W127" s="102" t="s">
        <v>80</v>
      </c>
      <c r="X127" s="102" t="s">
        <v>80</v>
      </c>
      <c r="Y127" s="102" t="s">
        <v>80</v>
      </c>
      <c r="Z127" s="79" t="s">
        <v>1237</v>
      </c>
      <c r="AA127" s="79" t="s">
        <v>164</v>
      </c>
      <c r="AB127" s="96" t="s">
        <v>1238</v>
      </c>
      <c r="AC127" s="138">
        <v>8.122175177E10</v>
      </c>
      <c r="AD127" s="79" t="s">
        <v>1239</v>
      </c>
      <c r="AE127" s="68">
        <v>37.0</v>
      </c>
      <c r="AF127" s="64" t="s">
        <v>152</v>
      </c>
      <c r="AG127" s="60"/>
      <c r="AH127" s="60"/>
      <c r="AI127" s="60"/>
      <c r="AJ127" s="60"/>
      <c r="AK127" s="60"/>
      <c r="AL127" s="60"/>
      <c r="AM127" s="60"/>
      <c r="AN127" s="60"/>
      <c r="AO127" s="60"/>
      <c r="AP127" s="60"/>
      <c r="AQ127" s="60"/>
      <c r="AR127" s="61"/>
    </row>
    <row r="128">
      <c r="A128" s="99">
        <v>11.0</v>
      </c>
      <c r="B128" s="100" t="s">
        <v>1240</v>
      </c>
      <c r="C128" s="100" t="s">
        <v>1241</v>
      </c>
      <c r="D128" s="100" t="s">
        <v>1232</v>
      </c>
      <c r="E128" s="102" t="s">
        <v>88</v>
      </c>
      <c r="F128" s="102" t="s">
        <v>327</v>
      </c>
      <c r="G128" s="102" t="s">
        <v>66</v>
      </c>
      <c r="H128" s="139" t="s">
        <v>1242</v>
      </c>
      <c r="I128" s="100" t="s">
        <v>1243</v>
      </c>
      <c r="J128" s="102" t="s">
        <v>91</v>
      </c>
      <c r="K128" s="102" t="s">
        <v>70</v>
      </c>
      <c r="L128" s="102" t="s">
        <v>152</v>
      </c>
      <c r="M128" s="102" t="s">
        <v>88</v>
      </c>
      <c r="N128" s="102" t="s">
        <v>93</v>
      </c>
      <c r="O128" s="102" t="s">
        <v>113</v>
      </c>
      <c r="P128" s="102" t="s">
        <v>145</v>
      </c>
      <c r="Q128" s="100" t="s">
        <v>1244</v>
      </c>
      <c r="R128" s="102" t="s">
        <v>76</v>
      </c>
      <c r="S128" s="102" t="s">
        <v>77</v>
      </c>
      <c r="T128" s="102">
        <v>2025.0</v>
      </c>
      <c r="U128" s="102" t="s">
        <v>78</v>
      </c>
      <c r="V128" s="102" t="s">
        <v>79</v>
      </c>
      <c r="W128" s="102" t="s">
        <v>80</v>
      </c>
      <c r="X128" s="102" t="s">
        <v>80</v>
      </c>
      <c r="Y128" s="102" t="s">
        <v>80</v>
      </c>
      <c r="Z128" s="79" t="s">
        <v>1237</v>
      </c>
      <c r="AA128" s="79" t="s">
        <v>164</v>
      </c>
      <c r="AB128" s="96" t="s">
        <v>1245</v>
      </c>
      <c r="AC128" s="138">
        <v>8.2136118779E10</v>
      </c>
      <c r="AD128" s="79" t="s">
        <v>1246</v>
      </c>
      <c r="AE128" s="68">
        <v>37.0</v>
      </c>
      <c r="AF128" s="64" t="s">
        <v>152</v>
      </c>
      <c r="AG128" s="60"/>
      <c r="AH128" s="60"/>
      <c r="AI128" s="60"/>
      <c r="AJ128" s="60"/>
      <c r="AK128" s="60"/>
      <c r="AL128" s="60"/>
      <c r="AM128" s="60"/>
      <c r="AN128" s="60"/>
      <c r="AO128" s="60"/>
      <c r="AP128" s="60"/>
      <c r="AQ128" s="60"/>
      <c r="AR128" s="61"/>
    </row>
    <row r="129">
      <c r="A129" s="71" t="s">
        <v>1247</v>
      </c>
      <c r="B129" s="57"/>
      <c r="C129" s="57"/>
      <c r="D129" s="58"/>
      <c r="E129" s="58"/>
      <c r="F129" s="57"/>
      <c r="G129" s="57"/>
      <c r="H129" s="57"/>
      <c r="I129" s="57"/>
      <c r="J129" s="57"/>
      <c r="K129" s="57"/>
      <c r="L129" s="57"/>
      <c r="M129" s="57"/>
      <c r="N129" s="57"/>
      <c r="O129" s="57"/>
      <c r="P129" s="57"/>
      <c r="Q129" s="57"/>
      <c r="R129" s="57"/>
      <c r="S129" s="57"/>
      <c r="T129" s="57"/>
      <c r="U129" s="57"/>
      <c r="V129" s="57"/>
      <c r="W129" s="57"/>
      <c r="X129" s="57"/>
      <c r="Y129" s="57"/>
      <c r="Z129" s="57"/>
      <c r="AA129" s="57"/>
      <c r="AB129" s="57"/>
      <c r="AC129" s="57"/>
      <c r="AD129" s="57"/>
      <c r="AE129" s="94"/>
      <c r="AF129" s="94"/>
      <c r="AG129" s="60"/>
      <c r="AH129" s="60"/>
      <c r="AI129" s="60"/>
      <c r="AJ129" s="60"/>
      <c r="AK129" s="60"/>
      <c r="AL129" s="60"/>
      <c r="AM129" s="60"/>
      <c r="AN129" s="60"/>
      <c r="AO129" s="60"/>
      <c r="AP129" s="60"/>
      <c r="AQ129" s="60"/>
      <c r="AR129" s="61"/>
    </row>
    <row r="130">
      <c r="A130" s="95">
        <v>1.0</v>
      </c>
      <c r="B130" s="96" t="s">
        <v>1248</v>
      </c>
      <c r="C130" s="96" t="s">
        <v>1249</v>
      </c>
      <c r="D130" s="96" t="s">
        <v>1250</v>
      </c>
      <c r="E130" s="70" t="s">
        <v>1251</v>
      </c>
      <c r="F130" s="79" t="s">
        <v>312</v>
      </c>
      <c r="G130" s="79" t="s">
        <v>66</v>
      </c>
      <c r="H130" s="68" t="s">
        <v>89</v>
      </c>
      <c r="I130" s="96" t="s">
        <v>1252</v>
      </c>
      <c r="J130" s="79" t="s">
        <v>151</v>
      </c>
      <c r="K130" s="79" t="s">
        <v>70</v>
      </c>
      <c r="L130" s="79" t="s">
        <v>111</v>
      </c>
      <c r="M130" s="97" t="s">
        <v>1253</v>
      </c>
      <c r="N130" s="79" t="s">
        <v>82</v>
      </c>
      <c r="O130" s="79" t="s">
        <v>113</v>
      </c>
      <c r="P130" s="79" t="s">
        <v>95</v>
      </c>
      <c r="Q130" s="70" t="s">
        <v>1254</v>
      </c>
      <c r="R130" s="79" t="s">
        <v>76</v>
      </c>
      <c r="S130" s="79" t="s">
        <v>97</v>
      </c>
      <c r="T130" s="79">
        <v>2025.0</v>
      </c>
      <c r="U130" s="79" t="s">
        <v>78</v>
      </c>
      <c r="V130" s="69"/>
      <c r="W130" s="69"/>
      <c r="X130" s="69"/>
      <c r="Y130" s="69"/>
      <c r="Z130" s="79" t="s">
        <v>1255</v>
      </c>
      <c r="AA130" s="79" t="s">
        <v>166</v>
      </c>
      <c r="AB130" s="69"/>
      <c r="AC130" s="69"/>
      <c r="AD130" s="69"/>
      <c r="AE130" s="59"/>
      <c r="AF130" s="59"/>
      <c r="AG130" s="60"/>
      <c r="AH130" s="60"/>
      <c r="AI130" s="60"/>
      <c r="AJ130" s="60"/>
      <c r="AK130" s="60"/>
      <c r="AL130" s="60"/>
      <c r="AM130" s="60"/>
      <c r="AN130" s="60"/>
      <c r="AO130" s="60"/>
      <c r="AP130" s="60"/>
      <c r="AQ130" s="60"/>
      <c r="AR130" s="61"/>
    </row>
    <row r="131">
      <c r="A131" s="71" t="s">
        <v>1256</v>
      </c>
      <c r="B131" s="57"/>
      <c r="C131" s="57"/>
      <c r="D131" s="58"/>
      <c r="E131" s="58"/>
      <c r="F131" s="57"/>
      <c r="G131" s="57"/>
      <c r="H131" s="57"/>
      <c r="I131" s="57"/>
      <c r="J131" s="57"/>
      <c r="K131" s="57"/>
      <c r="L131" s="57"/>
      <c r="M131" s="57"/>
      <c r="N131" s="57"/>
      <c r="O131" s="57"/>
      <c r="P131" s="57"/>
      <c r="Q131" s="57"/>
      <c r="R131" s="57"/>
      <c r="S131" s="57"/>
      <c r="T131" s="57"/>
      <c r="U131" s="57"/>
      <c r="V131" s="57"/>
      <c r="W131" s="57"/>
      <c r="X131" s="57"/>
      <c r="Y131" s="57"/>
      <c r="Z131" s="57"/>
      <c r="AA131" s="57"/>
      <c r="AB131" s="57"/>
      <c r="AC131" s="57"/>
      <c r="AD131" s="57"/>
      <c r="AE131" s="94"/>
      <c r="AF131" s="94"/>
      <c r="AG131" s="60"/>
      <c r="AH131" s="60"/>
      <c r="AI131" s="60"/>
      <c r="AJ131" s="60"/>
      <c r="AK131" s="60"/>
      <c r="AL131" s="60"/>
      <c r="AM131" s="60"/>
      <c r="AN131" s="60"/>
      <c r="AO131" s="60"/>
      <c r="AP131" s="60"/>
      <c r="AQ131" s="60"/>
      <c r="AR131" s="61"/>
    </row>
    <row r="132">
      <c r="A132" s="95">
        <v>1.0</v>
      </c>
      <c r="B132" s="96" t="s">
        <v>1257</v>
      </c>
      <c r="C132" s="96" t="s">
        <v>1258</v>
      </c>
      <c r="D132" s="96" t="s">
        <v>1259</v>
      </c>
      <c r="E132" s="70" t="s">
        <v>1260</v>
      </c>
      <c r="F132" s="79" t="s">
        <v>351</v>
      </c>
      <c r="G132" s="79" t="s">
        <v>66</v>
      </c>
      <c r="H132" s="79" t="s">
        <v>1261</v>
      </c>
      <c r="I132" s="96" t="s">
        <v>1262</v>
      </c>
      <c r="J132" s="79" t="s">
        <v>69</v>
      </c>
      <c r="K132" s="79" t="s">
        <v>70</v>
      </c>
      <c r="L132" s="79" t="s">
        <v>152</v>
      </c>
      <c r="M132" s="97" t="s">
        <v>1263</v>
      </c>
      <c r="N132" s="79" t="s">
        <v>26</v>
      </c>
      <c r="O132" s="79" t="s">
        <v>113</v>
      </c>
      <c r="P132" s="79" t="s">
        <v>74</v>
      </c>
      <c r="Q132" s="70" t="s">
        <v>1264</v>
      </c>
      <c r="R132" s="79" t="s">
        <v>76</v>
      </c>
      <c r="S132" s="79" t="s">
        <v>77</v>
      </c>
      <c r="T132" s="79">
        <v>2021.0</v>
      </c>
      <c r="U132" s="79" t="s">
        <v>78</v>
      </c>
      <c r="V132" s="79" t="s">
        <v>79</v>
      </c>
      <c r="W132" s="79" t="s">
        <v>80</v>
      </c>
      <c r="X132" s="79" t="s">
        <v>80</v>
      </c>
      <c r="Y132" s="79" t="s">
        <v>80</v>
      </c>
      <c r="Z132" s="79" t="s">
        <v>1265</v>
      </c>
      <c r="AA132" s="79" t="s">
        <v>168</v>
      </c>
      <c r="AB132" s="96" t="s">
        <v>1266</v>
      </c>
      <c r="AC132" s="96">
        <v>8.994413332E9</v>
      </c>
      <c r="AD132" s="96" t="s">
        <v>1267</v>
      </c>
      <c r="AE132" s="77">
        <v>10.0</v>
      </c>
      <c r="AF132" s="68" t="s">
        <v>1268</v>
      </c>
      <c r="AG132" s="60"/>
      <c r="AH132" s="60"/>
      <c r="AI132" s="60"/>
      <c r="AJ132" s="60"/>
      <c r="AK132" s="60"/>
      <c r="AL132" s="60"/>
      <c r="AM132" s="60"/>
      <c r="AN132" s="60"/>
      <c r="AO132" s="60"/>
      <c r="AP132" s="60"/>
      <c r="AQ132" s="60"/>
      <c r="AR132" s="61"/>
    </row>
    <row r="133">
      <c r="A133" s="99">
        <v>4.0</v>
      </c>
      <c r="B133" s="100" t="s">
        <v>1269</v>
      </c>
      <c r="C133" s="100" t="s">
        <v>1270</v>
      </c>
      <c r="D133" s="100" t="s">
        <v>1271</v>
      </c>
      <c r="E133" s="70" t="s">
        <v>1272</v>
      </c>
      <c r="F133" s="102" t="s">
        <v>349</v>
      </c>
      <c r="G133" s="102" t="s">
        <v>66</v>
      </c>
      <c r="H133" s="102" t="s">
        <v>1273</v>
      </c>
      <c r="I133" s="100" t="s">
        <v>1274</v>
      </c>
      <c r="J133" s="102" t="s">
        <v>69</v>
      </c>
      <c r="K133" s="102" t="s">
        <v>70</v>
      </c>
      <c r="L133" s="102" t="s">
        <v>111</v>
      </c>
      <c r="M133" s="100" t="s">
        <v>563</v>
      </c>
      <c r="N133" s="103"/>
      <c r="O133" s="103"/>
      <c r="P133" s="103"/>
      <c r="Q133" s="103"/>
      <c r="R133" s="102" t="s">
        <v>146</v>
      </c>
      <c r="S133" s="103"/>
      <c r="T133" s="103"/>
      <c r="U133" s="103"/>
      <c r="V133" s="103"/>
      <c r="W133" s="103"/>
      <c r="X133" s="103"/>
      <c r="Y133" s="103"/>
      <c r="Z133" s="79" t="s">
        <v>1275</v>
      </c>
      <c r="AA133" s="79" t="s">
        <v>168</v>
      </c>
      <c r="AB133" s="96" t="s">
        <v>1276</v>
      </c>
      <c r="AC133" s="96">
        <v>8.1214287537E10</v>
      </c>
      <c r="AD133" s="96" t="s">
        <v>1267</v>
      </c>
      <c r="AE133" s="77">
        <v>10.0</v>
      </c>
      <c r="AF133" s="68" t="s">
        <v>566</v>
      </c>
      <c r="AG133" s="60"/>
      <c r="AH133" s="60"/>
      <c r="AI133" s="60"/>
      <c r="AJ133" s="60"/>
      <c r="AK133" s="60"/>
      <c r="AL133" s="60"/>
      <c r="AM133" s="60"/>
      <c r="AN133" s="60"/>
      <c r="AO133" s="60"/>
      <c r="AP133" s="60"/>
      <c r="AQ133" s="60"/>
      <c r="AR133" s="61"/>
    </row>
    <row r="134">
      <c r="A134" s="99">
        <v>5.0</v>
      </c>
      <c r="B134" s="100" t="s">
        <v>1277</v>
      </c>
      <c r="C134" s="100" t="s">
        <v>1278</v>
      </c>
      <c r="D134" s="100" t="s">
        <v>1279</v>
      </c>
      <c r="E134" s="70" t="s">
        <v>1280</v>
      </c>
      <c r="F134" s="102" t="s">
        <v>349</v>
      </c>
      <c r="G134" s="102" t="s">
        <v>66</v>
      </c>
      <c r="H134" s="102" t="s">
        <v>1281</v>
      </c>
      <c r="I134" s="100" t="s">
        <v>1282</v>
      </c>
      <c r="J134" s="102" t="s">
        <v>69</v>
      </c>
      <c r="K134" s="102" t="s">
        <v>70</v>
      </c>
      <c r="L134" s="102" t="s">
        <v>111</v>
      </c>
      <c r="M134" s="103"/>
      <c r="N134" s="103"/>
      <c r="O134" s="103"/>
      <c r="P134" s="103"/>
      <c r="Q134" s="103"/>
      <c r="R134" s="102" t="s">
        <v>146</v>
      </c>
      <c r="S134" s="103"/>
      <c r="T134" s="103"/>
      <c r="U134" s="103"/>
      <c r="V134" s="103"/>
      <c r="W134" s="103"/>
      <c r="X134" s="103"/>
      <c r="Y134" s="103"/>
      <c r="Z134" s="79" t="s">
        <v>1275</v>
      </c>
      <c r="AA134" s="79" t="s">
        <v>168</v>
      </c>
      <c r="AB134" s="96" t="s">
        <v>1276</v>
      </c>
      <c r="AC134" s="96">
        <v>8.1214287537E10</v>
      </c>
      <c r="AD134" s="96" t="s">
        <v>1267</v>
      </c>
      <c r="AE134" s="77">
        <v>10.0</v>
      </c>
      <c r="AF134" s="68" t="s">
        <v>566</v>
      </c>
      <c r="AG134" s="60"/>
      <c r="AH134" s="60"/>
      <c r="AI134" s="60"/>
      <c r="AJ134" s="60"/>
      <c r="AK134" s="60"/>
      <c r="AL134" s="60"/>
      <c r="AM134" s="60"/>
      <c r="AN134" s="60"/>
      <c r="AO134" s="60"/>
      <c r="AP134" s="60"/>
      <c r="AQ134" s="60"/>
      <c r="AR134" s="61"/>
    </row>
    <row r="135">
      <c r="A135" s="99">
        <v>6.0</v>
      </c>
      <c r="B135" s="100" t="s">
        <v>1283</v>
      </c>
      <c r="C135" s="100" t="s">
        <v>1284</v>
      </c>
      <c r="D135" s="100" t="s">
        <v>1285</v>
      </c>
      <c r="E135" s="70" t="s">
        <v>1286</v>
      </c>
      <c r="F135" s="102" t="s">
        <v>349</v>
      </c>
      <c r="G135" s="102" t="s">
        <v>66</v>
      </c>
      <c r="H135" s="102" t="s">
        <v>1273</v>
      </c>
      <c r="I135" s="100" t="s">
        <v>1287</v>
      </c>
      <c r="J135" s="102" t="s">
        <v>69</v>
      </c>
      <c r="K135" s="102" t="s">
        <v>70</v>
      </c>
      <c r="L135" s="102" t="s">
        <v>111</v>
      </c>
      <c r="M135" s="103"/>
      <c r="N135" s="103"/>
      <c r="O135" s="103"/>
      <c r="P135" s="103"/>
      <c r="Q135" s="103"/>
      <c r="R135" s="102" t="s">
        <v>146</v>
      </c>
      <c r="S135" s="103"/>
      <c r="T135" s="103"/>
      <c r="U135" s="103"/>
      <c r="V135" s="103"/>
      <c r="W135" s="103"/>
      <c r="X135" s="103"/>
      <c r="Y135" s="103"/>
      <c r="Z135" s="79" t="s">
        <v>1275</v>
      </c>
      <c r="AA135" s="79" t="s">
        <v>168</v>
      </c>
      <c r="AB135" s="96" t="s">
        <v>1288</v>
      </c>
      <c r="AC135" s="96">
        <v>8.1298832008E10</v>
      </c>
      <c r="AD135" s="96" t="s">
        <v>1267</v>
      </c>
      <c r="AE135" s="77">
        <v>10.0</v>
      </c>
      <c r="AF135" s="68" t="s">
        <v>566</v>
      </c>
      <c r="AG135" s="60"/>
      <c r="AH135" s="60"/>
      <c r="AI135" s="60"/>
      <c r="AJ135" s="60"/>
      <c r="AK135" s="60"/>
      <c r="AL135" s="60"/>
      <c r="AM135" s="60"/>
      <c r="AN135" s="60"/>
      <c r="AO135" s="60"/>
      <c r="AP135" s="60"/>
      <c r="AQ135" s="60"/>
      <c r="AR135" s="61"/>
    </row>
    <row r="136">
      <c r="A136" s="99">
        <v>7.0</v>
      </c>
      <c r="B136" s="100" t="s">
        <v>1289</v>
      </c>
      <c r="C136" s="100" t="s">
        <v>1290</v>
      </c>
      <c r="D136" s="100" t="s">
        <v>1291</v>
      </c>
      <c r="E136" s="70" t="s">
        <v>1292</v>
      </c>
      <c r="F136" s="102" t="s">
        <v>349</v>
      </c>
      <c r="G136" s="102" t="s">
        <v>66</v>
      </c>
      <c r="H136" s="102" t="s">
        <v>1273</v>
      </c>
      <c r="I136" s="100" t="s">
        <v>1293</v>
      </c>
      <c r="J136" s="102" t="s">
        <v>69</v>
      </c>
      <c r="K136" s="102" t="s">
        <v>70</v>
      </c>
      <c r="L136" s="102" t="s">
        <v>111</v>
      </c>
      <c r="M136" s="103"/>
      <c r="N136" s="103"/>
      <c r="O136" s="103"/>
      <c r="P136" s="103"/>
      <c r="Q136" s="103"/>
      <c r="R136" s="102" t="s">
        <v>146</v>
      </c>
      <c r="S136" s="103"/>
      <c r="T136" s="103"/>
      <c r="U136" s="103"/>
      <c r="V136" s="103"/>
      <c r="W136" s="103"/>
      <c r="X136" s="103"/>
      <c r="Y136" s="103"/>
      <c r="Z136" s="79" t="s">
        <v>1275</v>
      </c>
      <c r="AA136" s="79" t="s">
        <v>168</v>
      </c>
      <c r="AB136" s="96" t="s">
        <v>1294</v>
      </c>
      <c r="AC136" s="96">
        <v>8.1220580948E10</v>
      </c>
      <c r="AD136" s="96" t="s">
        <v>1267</v>
      </c>
      <c r="AE136" s="77">
        <v>10.0</v>
      </c>
      <c r="AF136" s="68" t="s">
        <v>566</v>
      </c>
      <c r="AG136" s="60"/>
      <c r="AH136" s="60"/>
      <c r="AI136" s="60"/>
      <c r="AJ136" s="60"/>
      <c r="AK136" s="60"/>
      <c r="AL136" s="60"/>
      <c r="AM136" s="60"/>
      <c r="AN136" s="60"/>
      <c r="AO136" s="60"/>
      <c r="AP136" s="60"/>
      <c r="AQ136" s="60"/>
      <c r="AR136" s="61"/>
    </row>
    <row r="137">
      <c r="A137" s="99">
        <v>8.0</v>
      </c>
      <c r="B137" s="100" t="s">
        <v>1295</v>
      </c>
      <c r="C137" s="100" t="s">
        <v>1296</v>
      </c>
      <c r="D137" s="100" t="s">
        <v>1297</v>
      </c>
      <c r="E137" s="70" t="s">
        <v>1298</v>
      </c>
      <c r="F137" s="102" t="s">
        <v>352</v>
      </c>
      <c r="G137" s="102" t="s">
        <v>66</v>
      </c>
      <c r="H137" s="102" t="s">
        <v>1299</v>
      </c>
      <c r="I137" s="100" t="s">
        <v>1300</v>
      </c>
      <c r="J137" s="102" t="s">
        <v>69</v>
      </c>
      <c r="K137" s="102" t="s">
        <v>70</v>
      </c>
      <c r="L137" s="102" t="s">
        <v>111</v>
      </c>
      <c r="M137" s="103"/>
      <c r="N137" s="103"/>
      <c r="O137" s="103"/>
      <c r="P137" s="103"/>
      <c r="Q137" s="103"/>
      <c r="R137" s="102" t="s">
        <v>146</v>
      </c>
      <c r="S137" s="103"/>
      <c r="T137" s="103"/>
      <c r="U137" s="103"/>
      <c r="V137" s="103"/>
      <c r="W137" s="103"/>
      <c r="X137" s="103"/>
      <c r="Y137" s="103"/>
      <c r="Z137" s="79" t="s">
        <v>1301</v>
      </c>
      <c r="AA137" s="79" t="s">
        <v>168</v>
      </c>
      <c r="AB137" s="70" t="s">
        <v>1302</v>
      </c>
      <c r="AC137" s="96">
        <v>8.1221019185E10</v>
      </c>
      <c r="AD137" s="96" t="s">
        <v>1267</v>
      </c>
      <c r="AE137" s="77">
        <v>10.0</v>
      </c>
      <c r="AF137" s="68" t="s">
        <v>566</v>
      </c>
      <c r="AG137" s="60"/>
      <c r="AH137" s="60"/>
      <c r="AI137" s="60"/>
      <c r="AJ137" s="60"/>
      <c r="AK137" s="60"/>
      <c r="AL137" s="60"/>
      <c r="AM137" s="60"/>
      <c r="AN137" s="60"/>
      <c r="AO137" s="60"/>
      <c r="AP137" s="60"/>
      <c r="AQ137" s="60"/>
      <c r="AR137" s="61"/>
    </row>
    <row r="138">
      <c r="A138" s="99">
        <v>9.0</v>
      </c>
      <c r="B138" s="140" t="s">
        <v>1303</v>
      </c>
      <c r="C138" s="100" t="s">
        <v>1304</v>
      </c>
      <c r="D138" s="100" t="s">
        <v>1291</v>
      </c>
      <c r="E138" s="70" t="s">
        <v>1305</v>
      </c>
      <c r="F138" s="102" t="s">
        <v>351</v>
      </c>
      <c r="G138" s="102" t="s">
        <v>66</v>
      </c>
      <c r="H138" s="102" t="s">
        <v>1306</v>
      </c>
      <c r="I138" s="100" t="s">
        <v>1307</v>
      </c>
      <c r="J138" s="102" t="s">
        <v>69</v>
      </c>
      <c r="K138" s="102" t="s">
        <v>70</v>
      </c>
      <c r="L138" s="102" t="s">
        <v>111</v>
      </c>
      <c r="M138" s="103"/>
      <c r="N138" s="103"/>
      <c r="O138" s="103"/>
      <c r="P138" s="103"/>
      <c r="Q138" s="103"/>
      <c r="R138" s="102" t="s">
        <v>146</v>
      </c>
      <c r="S138" s="103"/>
      <c r="T138" s="103"/>
      <c r="U138" s="103"/>
      <c r="V138" s="103"/>
      <c r="W138" s="103"/>
      <c r="X138" s="103"/>
      <c r="Y138" s="103"/>
      <c r="Z138" s="79" t="s">
        <v>1308</v>
      </c>
      <c r="AA138" s="79" t="s">
        <v>168</v>
      </c>
      <c r="AB138" s="96" t="s">
        <v>1309</v>
      </c>
      <c r="AC138" s="96">
        <v>8.13942523E10</v>
      </c>
      <c r="AD138" s="96" t="s">
        <v>1267</v>
      </c>
      <c r="AE138" s="77">
        <v>10.0</v>
      </c>
      <c r="AF138" s="68" t="s">
        <v>566</v>
      </c>
      <c r="AG138" s="60"/>
      <c r="AH138" s="60"/>
      <c r="AI138" s="60"/>
      <c r="AJ138" s="60"/>
      <c r="AK138" s="60"/>
      <c r="AL138" s="60"/>
      <c r="AM138" s="60"/>
      <c r="AN138" s="60"/>
      <c r="AO138" s="60"/>
      <c r="AP138" s="60"/>
      <c r="AQ138" s="60"/>
      <c r="AR138" s="61"/>
    </row>
    <row r="139">
      <c r="A139" s="71" t="s">
        <v>1310</v>
      </c>
      <c r="B139" s="57"/>
      <c r="C139" s="57"/>
      <c r="D139" s="58"/>
      <c r="E139" s="58"/>
      <c r="F139" s="57"/>
      <c r="G139" s="57"/>
      <c r="H139" s="57"/>
      <c r="I139" s="57"/>
      <c r="J139" s="57"/>
      <c r="K139" s="57"/>
      <c r="L139" s="57"/>
      <c r="M139" s="57"/>
      <c r="N139" s="57"/>
      <c r="O139" s="57"/>
      <c r="P139" s="57"/>
      <c r="Q139" s="57"/>
      <c r="R139" s="57"/>
      <c r="S139" s="57"/>
      <c r="T139" s="57"/>
      <c r="U139" s="57"/>
      <c r="V139" s="57"/>
      <c r="W139" s="57"/>
      <c r="X139" s="57"/>
      <c r="Y139" s="57"/>
      <c r="Z139" s="57"/>
      <c r="AA139" s="57"/>
      <c r="AB139" s="57"/>
      <c r="AC139" s="57"/>
      <c r="AD139" s="57"/>
      <c r="AE139" s="94"/>
      <c r="AF139" s="94"/>
      <c r="AG139" s="60"/>
      <c r="AH139" s="60"/>
      <c r="AI139" s="60"/>
      <c r="AJ139" s="60"/>
      <c r="AK139" s="60"/>
      <c r="AL139" s="60"/>
      <c r="AM139" s="60"/>
      <c r="AN139" s="60"/>
      <c r="AO139" s="60"/>
      <c r="AP139" s="60"/>
      <c r="AQ139" s="60"/>
      <c r="AR139" s="61"/>
    </row>
    <row r="140">
      <c r="A140" s="95">
        <v>1.0</v>
      </c>
      <c r="B140" s="96" t="s">
        <v>1311</v>
      </c>
      <c r="C140" s="96" t="s">
        <v>1312</v>
      </c>
      <c r="D140" s="96" t="s">
        <v>1313</v>
      </c>
      <c r="E140" s="70" t="s">
        <v>1314</v>
      </c>
      <c r="F140" s="79" t="s">
        <v>65</v>
      </c>
      <c r="G140" s="79" t="s">
        <v>66</v>
      </c>
      <c r="H140" s="79" t="s">
        <v>1315</v>
      </c>
      <c r="I140" s="96" t="s">
        <v>1316</v>
      </c>
      <c r="J140" s="79" t="s">
        <v>91</v>
      </c>
      <c r="K140" s="79" t="s">
        <v>70</v>
      </c>
      <c r="L140" s="79" t="s">
        <v>71</v>
      </c>
      <c r="M140" s="97" t="s">
        <v>1317</v>
      </c>
      <c r="N140" s="79" t="s">
        <v>73</v>
      </c>
      <c r="O140" s="79" t="s">
        <v>73</v>
      </c>
      <c r="P140" s="79" t="s">
        <v>74</v>
      </c>
      <c r="Q140" s="70" t="s">
        <v>1318</v>
      </c>
      <c r="R140" s="79" t="s">
        <v>76</v>
      </c>
      <c r="S140" s="79" t="s">
        <v>77</v>
      </c>
      <c r="T140" s="79">
        <v>2023.0</v>
      </c>
      <c r="U140" s="79" t="s">
        <v>78</v>
      </c>
      <c r="V140" s="79" t="s">
        <v>79</v>
      </c>
      <c r="W140" s="131" t="s">
        <v>1319</v>
      </c>
      <c r="X140" s="79" t="s">
        <v>155</v>
      </c>
      <c r="Y140" s="79" t="s">
        <v>71</v>
      </c>
      <c r="Z140" s="79" t="s">
        <v>1320</v>
      </c>
      <c r="AA140" s="79" t="s">
        <v>170</v>
      </c>
      <c r="AB140" s="96" t="s">
        <v>1321</v>
      </c>
      <c r="AC140" s="96">
        <v>8.5759713013E10</v>
      </c>
      <c r="AD140" s="96" t="s">
        <v>1322</v>
      </c>
      <c r="AE140" s="68">
        <v>28.0</v>
      </c>
      <c r="AF140" s="68" t="s">
        <v>71</v>
      </c>
      <c r="AG140" s="84" t="s">
        <v>1323</v>
      </c>
      <c r="AH140" s="92"/>
      <c r="AI140" s="92"/>
      <c r="AJ140" s="92"/>
      <c r="AK140" s="92"/>
      <c r="AL140" s="92"/>
      <c r="AM140" s="92"/>
      <c r="AN140" s="92"/>
      <c r="AO140" s="92"/>
      <c r="AP140" s="92"/>
      <c r="AQ140" s="92"/>
      <c r="AR140" s="61"/>
    </row>
    <row r="141">
      <c r="A141" s="95">
        <v>3.0</v>
      </c>
      <c r="B141" s="96" t="s">
        <v>1324</v>
      </c>
      <c r="C141" s="96" t="s">
        <v>1325</v>
      </c>
      <c r="D141" s="96" t="s">
        <v>1326</v>
      </c>
      <c r="E141" s="96" t="s">
        <v>1327</v>
      </c>
      <c r="F141" s="79" t="s">
        <v>65</v>
      </c>
      <c r="G141" s="79" t="s">
        <v>1328</v>
      </c>
      <c r="H141" s="79" t="s">
        <v>1329</v>
      </c>
      <c r="I141" s="96" t="s">
        <v>1330</v>
      </c>
      <c r="J141" s="79" t="s">
        <v>91</v>
      </c>
      <c r="K141" s="79" t="s">
        <v>70</v>
      </c>
      <c r="L141" s="79" t="s">
        <v>71</v>
      </c>
      <c r="M141" s="97" t="s">
        <v>1331</v>
      </c>
      <c r="N141" s="79" t="s">
        <v>82</v>
      </c>
      <c r="O141" s="79" t="s">
        <v>113</v>
      </c>
      <c r="P141" s="79" t="s">
        <v>95</v>
      </c>
      <c r="Q141" s="70" t="s">
        <v>1332</v>
      </c>
      <c r="R141" s="79" t="s">
        <v>76</v>
      </c>
      <c r="S141" s="79" t="s">
        <v>97</v>
      </c>
      <c r="T141" s="79">
        <v>2021.0</v>
      </c>
      <c r="U141" s="79" t="s">
        <v>78</v>
      </c>
      <c r="V141" s="79" t="s">
        <v>98</v>
      </c>
      <c r="W141" s="131" t="s">
        <v>1333</v>
      </c>
      <c r="X141" s="79" t="s">
        <v>155</v>
      </c>
      <c r="Y141" s="79" t="s">
        <v>71</v>
      </c>
      <c r="Z141" s="79" t="s">
        <v>1334</v>
      </c>
      <c r="AA141" s="79" t="s">
        <v>170</v>
      </c>
      <c r="AB141" s="96" t="s">
        <v>1335</v>
      </c>
      <c r="AC141" s="96">
        <v>8.1809627007E10</v>
      </c>
      <c r="AD141" s="96" t="s">
        <v>1336</v>
      </c>
      <c r="AE141" s="68">
        <v>28.0</v>
      </c>
      <c r="AF141" s="68" t="s">
        <v>71</v>
      </c>
      <c r="AG141" s="84" t="s">
        <v>1337</v>
      </c>
      <c r="AI141" s="92"/>
      <c r="AJ141" s="92"/>
      <c r="AK141" s="92"/>
      <c r="AL141" s="92"/>
      <c r="AM141" s="92"/>
      <c r="AN141" s="92"/>
      <c r="AO141" s="92"/>
      <c r="AP141" s="92"/>
      <c r="AQ141" s="92"/>
      <c r="AR141" s="61"/>
    </row>
    <row r="142">
      <c r="A142" s="124">
        <v>5.0</v>
      </c>
      <c r="B142" s="125" t="s">
        <v>1338</v>
      </c>
      <c r="C142" s="125" t="s">
        <v>1339</v>
      </c>
      <c r="D142" s="125" t="s">
        <v>1340</v>
      </c>
      <c r="E142" s="125" t="s">
        <v>1327</v>
      </c>
      <c r="F142" s="128" t="s">
        <v>65</v>
      </c>
      <c r="G142" s="128" t="s">
        <v>66</v>
      </c>
      <c r="H142" s="128" t="s">
        <v>1341</v>
      </c>
      <c r="I142" s="125" t="s">
        <v>1342</v>
      </c>
      <c r="J142" s="128" t="s">
        <v>91</v>
      </c>
      <c r="K142" s="128" t="s">
        <v>70</v>
      </c>
      <c r="L142" s="128" t="s">
        <v>71</v>
      </c>
      <c r="M142" s="97" t="s">
        <v>1343</v>
      </c>
      <c r="N142" s="128" t="s">
        <v>73</v>
      </c>
      <c r="O142" s="128" t="s">
        <v>73</v>
      </c>
      <c r="P142" s="128" t="s">
        <v>95</v>
      </c>
      <c r="Q142" s="70" t="s">
        <v>1344</v>
      </c>
      <c r="R142" s="128" t="s">
        <v>76</v>
      </c>
      <c r="S142" s="128" t="s">
        <v>97</v>
      </c>
      <c r="T142" s="128">
        <v>2024.0</v>
      </c>
      <c r="U142" s="128" t="s">
        <v>78</v>
      </c>
      <c r="V142" s="128" t="s">
        <v>79</v>
      </c>
      <c r="W142" s="128" t="s">
        <v>80</v>
      </c>
      <c r="X142" s="128" t="s">
        <v>80</v>
      </c>
      <c r="Y142" s="128" t="s">
        <v>80</v>
      </c>
      <c r="Z142" s="128" t="s">
        <v>1345</v>
      </c>
      <c r="AA142" s="128" t="s">
        <v>170</v>
      </c>
      <c r="AB142" s="125" t="s">
        <v>1346</v>
      </c>
      <c r="AC142" s="125">
        <v>8.122423955E9</v>
      </c>
      <c r="AD142" s="125" t="s">
        <v>1322</v>
      </c>
      <c r="AE142" s="141">
        <v>28.0</v>
      </c>
      <c r="AF142" s="141" t="s">
        <v>71</v>
      </c>
      <c r="AG142" s="129"/>
      <c r="AH142" s="129"/>
      <c r="AI142" s="129"/>
      <c r="AJ142" s="129"/>
      <c r="AK142" s="129"/>
      <c r="AL142" s="129"/>
      <c r="AM142" s="129"/>
      <c r="AN142" s="129"/>
      <c r="AO142" s="129"/>
      <c r="AP142" s="129"/>
      <c r="AQ142" s="129"/>
      <c r="AR142" s="61"/>
    </row>
    <row r="143">
      <c r="A143" s="95">
        <v>9.0</v>
      </c>
      <c r="B143" s="96" t="s">
        <v>1347</v>
      </c>
      <c r="C143" s="96" t="s">
        <v>1348</v>
      </c>
      <c r="D143" s="96" t="s">
        <v>1349</v>
      </c>
      <c r="E143" s="70" t="s">
        <v>1350</v>
      </c>
      <c r="F143" s="79" t="s">
        <v>65</v>
      </c>
      <c r="G143" s="79" t="s">
        <v>1328</v>
      </c>
      <c r="H143" s="79" t="s">
        <v>1351</v>
      </c>
      <c r="I143" s="96" t="s">
        <v>1352</v>
      </c>
      <c r="J143" s="79" t="s">
        <v>69</v>
      </c>
      <c r="K143" s="79" t="s">
        <v>70</v>
      </c>
      <c r="L143" s="79" t="s">
        <v>152</v>
      </c>
      <c r="M143" s="130" t="s">
        <v>72</v>
      </c>
      <c r="N143" s="79" t="s">
        <v>73</v>
      </c>
      <c r="O143" s="79" t="s">
        <v>73</v>
      </c>
      <c r="P143" s="79" t="s">
        <v>74</v>
      </c>
      <c r="Q143" s="131" t="s">
        <v>1353</v>
      </c>
      <c r="R143" s="79" t="s">
        <v>76</v>
      </c>
      <c r="S143" s="79" t="s">
        <v>77</v>
      </c>
      <c r="T143" s="79">
        <v>2018.0</v>
      </c>
      <c r="U143" s="79" t="s">
        <v>78</v>
      </c>
      <c r="V143" s="79" t="s">
        <v>79</v>
      </c>
      <c r="W143" s="79" t="s">
        <v>80</v>
      </c>
      <c r="X143" s="79" t="s">
        <v>80</v>
      </c>
      <c r="Y143" s="79" t="s">
        <v>80</v>
      </c>
      <c r="Z143" s="79" t="s">
        <v>1354</v>
      </c>
      <c r="AA143" s="79" t="s">
        <v>170</v>
      </c>
      <c r="AB143" s="96" t="s">
        <v>1355</v>
      </c>
      <c r="AC143" s="96" t="s">
        <v>1356</v>
      </c>
      <c r="AD143" s="96" t="s">
        <v>1357</v>
      </c>
      <c r="AE143" s="68">
        <v>28.0</v>
      </c>
      <c r="AF143" s="68" t="s">
        <v>152</v>
      </c>
      <c r="AG143" s="84" t="s">
        <v>1358</v>
      </c>
      <c r="AI143" s="92"/>
      <c r="AJ143" s="92"/>
      <c r="AK143" s="92"/>
      <c r="AL143" s="92"/>
      <c r="AM143" s="92"/>
      <c r="AN143" s="92"/>
      <c r="AO143" s="92"/>
      <c r="AP143" s="92"/>
      <c r="AQ143" s="92"/>
      <c r="AR143" s="61"/>
    </row>
    <row r="144">
      <c r="A144" s="71" t="s">
        <v>172</v>
      </c>
      <c r="B144" s="57"/>
      <c r="C144" s="57"/>
      <c r="D144" s="58"/>
      <c r="E144" s="58"/>
      <c r="F144" s="57"/>
      <c r="G144" s="57"/>
      <c r="H144" s="57"/>
      <c r="I144" s="57"/>
      <c r="J144" s="57"/>
      <c r="K144" s="57"/>
      <c r="L144" s="57"/>
      <c r="M144" s="57"/>
      <c r="N144" s="57"/>
      <c r="O144" s="57"/>
      <c r="P144" s="57"/>
      <c r="Q144" s="57"/>
      <c r="R144" s="57"/>
      <c r="S144" s="57"/>
      <c r="T144" s="57"/>
      <c r="U144" s="57"/>
      <c r="V144" s="57"/>
      <c r="W144" s="57"/>
      <c r="X144" s="57"/>
      <c r="Y144" s="57"/>
      <c r="Z144" s="57"/>
      <c r="AA144" s="57"/>
      <c r="AB144" s="57"/>
      <c r="AC144" s="57"/>
      <c r="AD144" s="57"/>
      <c r="AE144" s="94"/>
      <c r="AF144" s="94"/>
      <c r="AG144" s="60"/>
      <c r="AH144" s="60"/>
      <c r="AI144" s="60"/>
      <c r="AJ144" s="60"/>
      <c r="AK144" s="60"/>
      <c r="AL144" s="60"/>
      <c r="AM144" s="60"/>
      <c r="AN144" s="60"/>
      <c r="AO144" s="60"/>
      <c r="AP144" s="60"/>
      <c r="AQ144" s="60"/>
      <c r="AR144" s="61"/>
    </row>
    <row r="145">
      <c r="A145" s="95">
        <v>1.0</v>
      </c>
      <c r="B145" s="96" t="s">
        <v>1359</v>
      </c>
      <c r="C145" s="96" t="s">
        <v>1360</v>
      </c>
      <c r="D145" s="96" t="s">
        <v>1361</v>
      </c>
      <c r="E145" s="70" t="s">
        <v>1362</v>
      </c>
      <c r="F145" s="79" t="s">
        <v>65</v>
      </c>
      <c r="G145" s="79" t="s">
        <v>66</v>
      </c>
      <c r="H145" s="79" t="s">
        <v>1363</v>
      </c>
      <c r="I145" s="96" t="s">
        <v>1364</v>
      </c>
      <c r="J145" s="79" t="s">
        <v>158</v>
      </c>
      <c r="K145" s="79" t="s">
        <v>70</v>
      </c>
      <c r="L145" s="79" t="s">
        <v>71</v>
      </c>
      <c r="M145" s="97" t="s">
        <v>1365</v>
      </c>
      <c r="N145" s="79" t="s">
        <v>82</v>
      </c>
      <c r="O145" s="79" t="s">
        <v>113</v>
      </c>
      <c r="P145" s="79" t="s">
        <v>95</v>
      </c>
      <c r="Q145" s="70" t="s">
        <v>1366</v>
      </c>
      <c r="R145" s="79" t="s">
        <v>76</v>
      </c>
      <c r="S145" s="79" t="s">
        <v>77</v>
      </c>
      <c r="T145" s="98">
        <v>2023.0</v>
      </c>
      <c r="U145" s="79" t="s">
        <v>78</v>
      </c>
      <c r="V145" s="79" t="s">
        <v>79</v>
      </c>
      <c r="W145" s="79" t="s">
        <v>80</v>
      </c>
      <c r="X145" s="79" t="s">
        <v>80</v>
      </c>
      <c r="Y145" s="79" t="s">
        <v>80</v>
      </c>
      <c r="Z145" s="79" t="s">
        <v>1367</v>
      </c>
      <c r="AA145" s="79" t="s">
        <v>172</v>
      </c>
      <c r="AB145" s="142" t="s">
        <v>1368</v>
      </c>
      <c r="AC145" s="96">
        <v>8.5722205379E10</v>
      </c>
      <c r="AD145" s="69"/>
      <c r="AE145" s="77">
        <v>11.0</v>
      </c>
      <c r="AF145" s="68" t="s">
        <v>71</v>
      </c>
      <c r="AG145" s="60"/>
      <c r="AH145" s="60"/>
      <c r="AI145" s="60"/>
      <c r="AJ145" s="60"/>
      <c r="AK145" s="60"/>
      <c r="AL145" s="60"/>
      <c r="AM145" s="60"/>
      <c r="AN145" s="60"/>
      <c r="AO145" s="60"/>
      <c r="AP145" s="60"/>
      <c r="AQ145" s="60"/>
      <c r="AR145" s="61"/>
    </row>
    <row r="146">
      <c r="A146" s="95">
        <v>2.0</v>
      </c>
      <c r="B146" s="96" t="s">
        <v>1369</v>
      </c>
      <c r="C146" s="96" t="s">
        <v>1370</v>
      </c>
      <c r="D146" s="96" t="s">
        <v>1371</v>
      </c>
      <c r="E146" s="70" t="s">
        <v>1372</v>
      </c>
      <c r="F146" s="79" t="s">
        <v>355</v>
      </c>
      <c r="G146" s="79" t="s">
        <v>123</v>
      </c>
      <c r="H146" s="79" t="s">
        <v>1373</v>
      </c>
      <c r="I146" s="96" t="s">
        <v>1374</v>
      </c>
      <c r="J146" s="79" t="s">
        <v>151</v>
      </c>
      <c r="K146" s="79" t="s">
        <v>110</v>
      </c>
      <c r="L146" s="79" t="s">
        <v>111</v>
      </c>
      <c r="M146" s="97" t="s">
        <v>1375</v>
      </c>
      <c r="N146" s="79" t="s">
        <v>82</v>
      </c>
      <c r="O146" s="79" t="s">
        <v>113</v>
      </c>
      <c r="P146" s="79" t="s">
        <v>95</v>
      </c>
      <c r="Q146" s="70" t="s">
        <v>1376</v>
      </c>
      <c r="R146" s="79" t="s">
        <v>76</v>
      </c>
      <c r="S146" s="79" t="s">
        <v>77</v>
      </c>
      <c r="T146" s="98">
        <v>2022.0</v>
      </c>
      <c r="U146" s="79" t="s">
        <v>78</v>
      </c>
      <c r="V146" s="79" t="s">
        <v>98</v>
      </c>
      <c r="W146" s="79" t="s">
        <v>1377</v>
      </c>
      <c r="X146" s="79" t="s">
        <v>159</v>
      </c>
      <c r="Y146" s="79" t="s">
        <v>111</v>
      </c>
      <c r="Z146" s="79" t="s">
        <v>1367</v>
      </c>
      <c r="AA146" s="79" t="s">
        <v>172</v>
      </c>
      <c r="AB146" s="96" t="s">
        <v>1378</v>
      </c>
      <c r="AC146" s="96">
        <v>8.2317985659E10</v>
      </c>
      <c r="AD146" s="96" t="s">
        <v>1379</v>
      </c>
      <c r="AE146" s="77">
        <v>11.0</v>
      </c>
      <c r="AF146" s="68" t="s">
        <v>111</v>
      </c>
      <c r="AG146" s="60"/>
      <c r="AH146" s="60"/>
      <c r="AI146" s="60"/>
      <c r="AJ146" s="60"/>
      <c r="AK146" s="60"/>
      <c r="AL146" s="60"/>
      <c r="AM146" s="60"/>
      <c r="AN146" s="60"/>
      <c r="AO146" s="60"/>
      <c r="AP146" s="60"/>
      <c r="AQ146" s="60"/>
      <c r="AR146" s="61"/>
    </row>
    <row r="147">
      <c r="A147" s="95">
        <v>3.0</v>
      </c>
      <c r="B147" s="96" t="s">
        <v>1380</v>
      </c>
      <c r="C147" s="96" t="s">
        <v>1381</v>
      </c>
      <c r="D147" s="96" t="s">
        <v>1382</v>
      </c>
      <c r="E147" s="59"/>
      <c r="F147" s="79" t="s">
        <v>340</v>
      </c>
      <c r="G147" s="79" t="s">
        <v>66</v>
      </c>
      <c r="H147" s="79" t="s">
        <v>1383</v>
      </c>
      <c r="I147" s="96" t="s">
        <v>1384</v>
      </c>
      <c r="J147" s="79" t="s">
        <v>69</v>
      </c>
      <c r="K147" s="79" t="s">
        <v>70</v>
      </c>
      <c r="L147" s="79" t="s">
        <v>152</v>
      </c>
      <c r="M147" s="97" t="s">
        <v>1385</v>
      </c>
      <c r="N147" s="79" t="s">
        <v>73</v>
      </c>
      <c r="O147" s="79" t="s">
        <v>73</v>
      </c>
      <c r="P147" s="79" t="s">
        <v>74</v>
      </c>
      <c r="Q147" s="70" t="s">
        <v>1386</v>
      </c>
      <c r="R147" s="79" t="s">
        <v>76</v>
      </c>
      <c r="S147" s="79" t="s">
        <v>77</v>
      </c>
      <c r="T147" s="98">
        <v>2023.0</v>
      </c>
      <c r="U147" s="79" t="s">
        <v>78</v>
      </c>
      <c r="V147" s="79" t="s">
        <v>98</v>
      </c>
      <c r="W147" s="79" t="s">
        <v>1387</v>
      </c>
      <c r="X147" s="79" t="s">
        <v>100</v>
      </c>
      <c r="Y147" s="79" t="s">
        <v>139</v>
      </c>
      <c r="Z147" s="79" t="s">
        <v>1388</v>
      </c>
      <c r="AA147" s="79" t="s">
        <v>172</v>
      </c>
      <c r="AB147" s="96" t="s">
        <v>1389</v>
      </c>
      <c r="AC147" s="96">
        <v>8.5729245486E10</v>
      </c>
      <c r="AD147" s="69"/>
      <c r="AE147" s="77">
        <v>9.0</v>
      </c>
      <c r="AF147" s="68" t="s">
        <v>111</v>
      </c>
      <c r="AG147" s="60"/>
      <c r="AH147" s="60"/>
      <c r="AI147" s="60"/>
      <c r="AJ147" s="60"/>
      <c r="AK147" s="60"/>
      <c r="AL147" s="60"/>
      <c r="AM147" s="60"/>
      <c r="AN147" s="60"/>
      <c r="AO147" s="60"/>
      <c r="AP147" s="60"/>
      <c r="AQ147" s="60"/>
      <c r="AR147" s="61"/>
    </row>
    <row r="148">
      <c r="A148" s="95">
        <v>4.0</v>
      </c>
      <c r="B148" s="96" t="s">
        <v>1390</v>
      </c>
      <c r="C148" s="96" t="s">
        <v>1391</v>
      </c>
      <c r="D148" s="96" t="s">
        <v>1392</v>
      </c>
      <c r="E148" s="70" t="s">
        <v>1393</v>
      </c>
      <c r="F148" s="79" t="s">
        <v>65</v>
      </c>
      <c r="G148" s="79" t="s">
        <v>66</v>
      </c>
      <c r="H148" s="79" t="s">
        <v>1394</v>
      </c>
      <c r="I148" s="96" t="s">
        <v>1394</v>
      </c>
      <c r="J148" s="79" t="s">
        <v>69</v>
      </c>
      <c r="K148" s="79" t="s">
        <v>70</v>
      </c>
      <c r="L148" s="79" t="s">
        <v>152</v>
      </c>
      <c r="M148" s="97" t="s">
        <v>1395</v>
      </c>
      <c r="N148" s="79" t="s">
        <v>82</v>
      </c>
      <c r="O148" s="79" t="s">
        <v>113</v>
      </c>
      <c r="P148" s="79" t="s">
        <v>95</v>
      </c>
      <c r="Q148" s="70" t="s">
        <v>1396</v>
      </c>
      <c r="R148" s="79" t="s">
        <v>76</v>
      </c>
      <c r="S148" s="79" t="s">
        <v>77</v>
      </c>
      <c r="T148" s="98">
        <v>2024.0</v>
      </c>
      <c r="U148" s="79" t="s">
        <v>78</v>
      </c>
      <c r="V148" s="79" t="s">
        <v>98</v>
      </c>
      <c r="W148" s="79" t="s">
        <v>1397</v>
      </c>
      <c r="X148" s="79" t="s">
        <v>80</v>
      </c>
      <c r="Y148" s="79" t="s">
        <v>111</v>
      </c>
      <c r="Z148" s="79" t="s">
        <v>1367</v>
      </c>
      <c r="AA148" s="79" t="s">
        <v>172</v>
      </c>
      <c r="AB148" s="96" t="s">
        <v>1398</v>
      </c>
      <c r="AC148" s="96">
        <v>8.82001405143E11</v>
      </c>
      <c r="AD148" s="69"/>
      <c r="AE148" s="77">
        <v>11.0</v>
      </c>
      <c r="AF148" s="68" t="s">
        <v>152</v>
      </c>
      <c r="AG148" s="60"/>
      <c r="AH148" s="60"/>
      <c r="AI148" s="60"/>
      <c r="AJ148" s="60"/>
      <c r="AK148" s="60"/>
      <c r="AL148" s="60"/>
      <c r="AM148" s="60"/>
      <c r="AN148" s="60"/>
      <c r="AO148" s="60"/>
      <c r="AP148" s="60"/>
      <c r="AQ148" s="60"/>
      <c r="AR148" s="61"/>
    </row>
    <row r="149">
      <c r="A149" s="95">
        <v>5.0</v>
      </c>
      <c r="B149" s="96" t="s">
        <v>1399</v>
      </c>
      <c r="C149" s="96" t="s">
        <v>1400</v>
      </c>
      <c r="D149" s="96" t="s">
        <v>1401</v>
      </c>
      <c r="E149" s="70" t="s">
        <v>1402</v>
      </c>
      <c r="F149" s="79" t="s">
        <v>359</v>
      </c>
      <c r="G149" s="79" t="s">
        <v>131</v>
      </c>
      <c r="H149" s="79" t="s">
        <v>1363</v>
      </c>
      <c r="I149" s="96" t="s">
        <v>1403</v>
      </c>
      <c r="J149" s="79" t="s">
        <v>158</v>
      </c>
      <c r="K149" s="79" t="s">
        <v>70</v>
      </c>
      <c r="L149" s="79" t="s">
        <v>101</v>
      </c>
      <c r="M149" s="97" t="s">
        <v>1404</v>
      </c>
      <c r="N149" s="79" t="s">
        <v>73</v>
      </c>
      <c r="O149" s="79" t="s">
        <v>73</v>
      </c>
      <c r="P149" s="79" t="s">
        <v>95</v>
      </c>
      <c r="Q149" s="70" t="s">
        <v>1405</v>
      </c>
      <c r="R149" s="79" t="s">
        <v>76</v>
      </c>
      <c r="S149" s="79" t="s">
        <v>77</v>
      </c>
      <c r="T149" s="98">
        <v>2019.0</v>
      </c>
      <c r="U149" s="79" t="s">
        <v>78</v>
      </c>
      <c r="V149" s="79" t="s">
        <v>79</v>
      </c>
      <c r="W149" s="79" t="s">
        <v>80</v>
      </c>
      <c r="X149" s="79" t="s">
        <v>80</v>
      </c>
      <c r="Y149" s="79" t="s">
        <v>80</v>
      </c>
      <c r="Z149" s="79" t="s">
        <v>1406</v>
      </c>
      <c r="AA149" s="79" t="s">
        <v>172</v>
      </c>
      <c r="AB149" s="96" t="s">
        <v>1407</v>
      </c>
      <c r="AC149" s="96">
        <v>8.1320344426E10</v>
      </c>
      <c r="AD149" s="96" t="s">
        <v>1408</v>
      </c>
      <c r="AE149" s="77">
        <v>11.0</v>
      </c>
      <c r="AF149" s="68" t="s">
        <v>566</v>
      </c>
      <c r="AG149" s="60"/>
      <c r="AH149" s="60"/>
      <c r="AI149" s="60"/>
      <c r="AJ149" s="60"/>
      <c r="AK149" s="60"/>
      <c r="AL149" s="60"/>
      <c r="AM149" s="60"/>
      <c r="AN149" s="60"/>
      <c r="AO149" s="60"/>
      <c r="AP149" s="60"/>
      <c r="AQ149" s="60"/>
      <c r="AR149" s="61"/>
    </row>
    <row r="150">
      <c r="A150" s="95">
        <v>6.0</v>
      </c>
      <c r="B150" s="96" t="s">
        <v>1409</v>
      </c>
      <c r="C150" s="96" t="s">
        <v>1410</v>
      </c>
      <c r="D150" s="96" t="s">
        <v>1411</v>
      </c>
      <c r="E150" s="59"/>
      <c r="F150" s="79" t="s">
        <v>356</v>
      </c>
      <c r="G150" s="79" t="s">
        <v>66</v>
      </c>
      <c r="H150" s="79" t="s">
        <v>1412</v>
      </c>
      <c r="I150" s="96" t="s">
        <v>1413</v>
      </c>
      <c r="J150" s="79" t="s">
        <v>151</v>
      </c>
      <c r="K150" s="79" t="s">
        <v>70</v>
      </c>
      <c r="L150" s="79" t="s">
        <v>111</v>
      </c>
      <c r="M150" s="97" t="s">
        <v>1414</v>
      </c>
      <c r="N150" s="79" t="s">
        <v>82</v>
      </c>
      <c r="O150" s="79" t="s">
        <v>113</v>
      </c>
      <c r="P150" s="79" t="s">
        <v>74</v>
      </c>
      <c r="Q150" s="70" t="s">
        <v>1415</v>
      </c>
      <c r="R150" s="79" t="s">
        <v>76</v>
      </c>
      <c r="S150" s="79" t="s">
        <v>97</v>
      </c>
      <c r="T150" s="98">
        <v>2020.0</v>
      </c>
      <c r="U150" s="79" t="s">
        <v>78</v>
      </c>
      <c r="V150" s="79" t="s">
        <v>79</v>
      </c>
      <c r="W150" s="69"/>
      <c r="X150" s="69"/>
      <c r="Y150" s="69"/>
      <c r="Z150" s="79" t="s">
        <v>1416</v>
      </c>
      <c r="AA150" s="79" t="s">
        <v>172</v>
      </c>
      <c r="AB150" s="96" t="s">
        <v>1417</v>
      </c>
      <c r="AC150" s="98">
        <v>8.993829204E9</v>
      </c>
      <c r="AD150" s="96" t="s">
        <v>1418</v>
      </c>
      <c r="AE150" s="59"/>
      <c r="AF150" s="59"/>
      <c r="AG150" s="60"/>
      <c r="AH150" s="60"/>
      <c r="AI150" s="60"/>
      <c r="AJ150" s="60"/>
      <c r="AK150" s="60"/>
      <c r="AL150" s="60"/>
      <c r="AM150" s="60"/>
      <c r="AN150" s="60"/>
      <c r="AO150" s="60"/>
      <c r="AP150" s="60"/>
      <c r="AQ150" s="60"/>
      <c r="AR150" s="61"/>
    </row>
    <row r="151">
      <c r="A151" s="71" t="s">
        <v>174</v>
      </c>
      <c r="B151" s="57"/>
      <c r="C151" s="57"/>
      <c r="D151" s="58"/>
      <c r="E151" s="58"/>
      <c r="F151" s="57"/>
      <c r="G151" s="57"/>
      <c r="H151" s="57"/>
      <c r="I151" s="57"/>
      <c r="J151" s="57"/>
      <c r="K151" s="57"/>
      <c r="L151" s="57"/>
      <c r="M151" s="57"/>
      <c r="N151" s="57"/>
      <c r="O151" s="57"/>
      <c r="P151" s="57"/>
      <c r="Q151" s="57"/>
      <c r="R151" s="57"/>
      <c r="S151" s="57"/>
      <c r="T151" s="57"/>
      <c r="U151" s="57"/>
      <c r="V151" s="57"/>
      <c r="W151" s="57"/>
      <c r="X151" s="57"/>
      <c r="Y151" s="57"/>
      <c r="Z151" s="57"/>
      <c r="AA151" s="57"/>
      <c r="AB151" s="57"/>
      <c r="AC151" s="57"/>
      <c r="AD151" s="57"/>
      <c r="AE151" s="94"/>
      <c r="AF151" s="94"/>
      <c r="AG151" s="60"/>
      <c r="AH151" s="60"/>
      <c r="AI151" s="60"/>
      <c r="AJ151" s="60"/>
      <c r="AK151" s="60"/>
      <c r="AL151" s="60"/>
      <c r="AM151" s="60"/>
      <c r="AN151" s="60"/>
      <c r="AO151" s="60"/>
      <c r="AP151" s="60"/>
      <c r="AQ151" s="60"/>
      <c r="AR151" s="61"/>
    </row>
    <row r="152">
      <c r="A152" s="95">
        <v>1.0</v>
      </c>
      <c r="B152" s="96" t="s">
        <v>1419</v>
      </c>
      <c r="C152" s="96" t="s">
        <v>1420</v>
      </c>
      <c r="D152" s="96" t="s">
        <v>1421</v>
      </c>
      <c r="E152" s="96" t="s">
        <v>1422</v>
      </c>
      <c r="F152" s="79" t="s">
        <v>65</v>
      </c>
      <c r="G152" s="79" t="s">
        <v>66</v>
      </c>
      <c r="H152" s="79" t="s">
        <v>1423</v>
      </c>
      <c r="I152" s="96" t="s">
        <v>1424</v>
      </c>
      <c r="J152" s="79" t="s">
        <v>91</v>
      </c>
      <c r="K152" s="79" t="s">
        <v>70</v>
      </c>
      <c r="L152" s="79" t="s">
        <v>152</v>
      </c>
      <c r="M152" s="97" t="s">
        <v>72</v>
      </c>
      <c r="N152" s="79" t="s">
        <v>73</v>
      </c>
      <c r="O152" s="79" t="s">
        <v>73</v>
      </c>
      <c r="P152" s="79" t="s">
        <v>95</v>
      </c>
      <c r="Q152" s="70" t="s">
        <v>1425</v>
      </c>
      <c r="R152" s="79" t="s">
        <v>76</v>
      </c>
      <c r="S152" s="79" t="s">
        <v>97</v>
      </c>
      <c r="T152" s="98">
        <v>2012.0</v>
      </c>
      <c r="U152" s="79" t="s">
        <v>78</v>
      </c>
      <c r="V152" s="79" t="s">
        <v>79</v>
      </c>
      <c r="W152" s="79" t="s">
        <v>943</v>
      </c>
      <c r="X152" s="79" t="s">
        <v>159</v>
      </c>
      <c r="Y152" s="79" t="s">
        <v>80</v>
      </c>
      <c r="Z152" s="79" t="s">
        <v>1426</v>
      </c>
      <c r="AA152" s="79" t="s">
        <v>174</v>
      </c>
      <c r="AB152" s="96" t="s">
        <v>1427</v>
      </c>
      <c r="AC152" s="69"/>
      <c r="AD152" s="69"/>
      <c r="AE152" s="59"/>
      <c r="AF152" s="59"/>
      <c r="AG152" s="60"/>
      <c r="AH152" s="60"/>
      <c r="AI152" s="60"/>
      <c r="AJ152" s="60"/>
      <c r="AK152" s="60"/>
      <c r="AL152" s="60"/>
      <c r="AM152" s="60"/>
      <c r="AN152" s="60"/>
      <c r="AO152" s="60"/>
      <c r="AP152" s="60"/>
      <c r="AQ152" s="60"/>
      <c r="AR152" s="61"/>
    </row>
    <row r="153">
      <c r="A153" s="95">
        <v>5.0</v>
      </c>
      <c r="B153" s="96" t="s">
        <v>1428</v>
      </c>
      <c r="C153" s="96" t="s">
        <v>1429</v>
      </c>
      <c r="D153" s="96" t="s">
        <v>1430</v>
      </c>
      <c r="E153" s="96" t="s">
        <v>1422</v>
      </c>
      <c r="F153" s="79" t="s">
        <v>417</v>
      </c>
      <c r="G153" s="79" t="s">
        <v>138</v>
      </c>
      <c r="H153" s="79" t="s">
        <v>1431</v>
      </c>
      <c r="I153" s="96" t="s">
        <v>1432</v>
      </c>
      <c r="J153" s="79" t="s">
        <v>151</v>
      </c>
      <c r="K153" s="79" t="s">
        <v>70</v>
      </c>
      <c r="L153" s="79" t="s">
        <v>101</v>
      </c>
      <c r="M153" s="97" t="s">
        <v>1433</v>
      </c>
      <c r="N153" s="79" t="s">
        <v>73</v>
      </c>
      <c r="O153" s="79" t="s">
        <v>73</v>
      </c>
      <c r="P153" s="79" t="s">
        <v>95</v>
      </c>
      <c r="Q153" s="70" t="s">
        <v>1434</v>
      </c>
      <c r="R153" s="79" t="s">
        <v>76</v>
      </c>
      <c r="S153" s="79" t="s">
        <v>77</v>
      </c>
      <c r="T153" s="69"/>
      <c r="U153" s="79" t="s">
        <v>78</v>
      </c>
      <c r="V153" s="79" t="s">
        <v>79</v>
      </c>
      <c r="W153" s="79" t="s">
        <v>943</v>
      </c>
      <c r="X153" s="79" t="s">
        <v>80</v>
      </c>
      <c r="Y153" s="79" t="s">
        <v>80</v>
      </c>
      <c r="Z153" s="79" t="s">
        <v>1435</v>
      </c>
      <c r="AA153" s="79" t="s">
        <v>174</v>
      </c>
      <c r="AB153" s="96" t="s">
        <v>1436</v>
      </c>
      <c r="AC153" s="96" t="s">
        <v>1437</v>
      </c>
      <c r="AD153" s="96" t="s">
        <v>1438</v>
      </c>
      <c r="AE153" s="59"/>
      <c r="AF153" s="59"/>
      <c r="AG153" s="60"/>
      <c r="AH153" s="60"/>
      <c r="AI153" s="60"/>
      <c r="AJ153" s="60"/>
      <c r="AK153" s="60"/>
      <c r="AL153" s="60"/>
      <c r="AM153" s="60"/>
      <c r="AN153" s="60"/>
      <c r="AO153" s="60"/>
      <c r="AP153" s="60"/>
      <c r="AQ153" s="60"/>
      <c r="AR153" s="61"/>
    </row>
    <row r="154">
      <c r="A154" s="95">
        <v>8.0</v>
      </c>
      <c r="B154" s="96" t="s">
        <v>1439</v>
      </c>
      <c r="C154" s="96" t="s">
        <v>1440</v>
      </c>
      <c r="D154" s="143" t="s">
        <v>1441</v>
      </c>
      <c r="E154" s="96" t="s">
        <v>1422</v>
      </c>
      <c r="F154" s="79" t="s">
        <v>65</v>
      </c>
      <c r="G154" s="79" t="s">
        <v>138</v>
      </c>
      <c r="H154" s="79" t="s">
        <v>1442</v>
      </c>
      <c r="I154" s="96" t="s">
        <v>1443</v>
      </c>
      <c r="J154" s="79" t="s">
        <v>151</v>
      </c>
      <c r="K154" s="79" t="s">
        <v>70</v>
      </c>
      <c r="L154" s="79" t="s">
        <v>71</v>
      </c>
      <c r="M154" s="144" t="s">
        <v>696</v>
      </c>
      <c r="N154" s="79" t="s">
        <v>82</v>
      </c>
      <c r="O154" s="79" t="s">
        <v>113</v>
      </c>
      <c r="P154" s="79" t="s">
        <v>95</v>
      </c>
      <c r="Q154" s="70" t="s">
        <v>1444</v>
      </c>
      <c r="R154" s="79" t="s">
        <v>76</v>
      </c>
      <c r="S154" s="79" t="s">
        <v>97</v>
      </c>
      <c r="T154" s="69"/>
      <c r="U154" s="79" t="s">
        <v>78</v>
      </c>
      <c r="V154" s="79" t="s">
        <v>79</v>
      </c>
      <c r="W154" s="79" t="s">
        <v>943</v>
      </c>
      <c r="X154" s="79" t="s">
        <v>80</v>
      </c>
      <c r="Y154" s="79" t="s">
        <v>80</v>
      </c>
      <c r="Z154" s="79" t="s">
        <v>1445</v>
      </c>
      <c r="AA154" s="79" t="s">
        <v>174</v>
      </c>
      <c r="AB154" s="96" t="s">
        <v>1436</v>
      </c>
      <c r="AC154" s="96" t="s">
        <v>1437</v>
      </c>
      <c r="AD154" s="96" t="s">
        <v>1438</v>
      </c>
      <c r="AE154" s="59"/>
      <c r="AF154" s="59"/>
      <c r="AG154" s="60"/>
      <c r="AH154" s="60"/>
      <c r="AI154" s="60"/>
      <c r="AJ154" s="60"/>
      <c r="AK154" s="60"/>
      <c r="AL154" s="60"/>
      <c r="AM154" s="60"/>
      <c r="AN154" s="60"/>
      <c r="AO154" s="60"/>
      <c r="AP154" s="60"/>
      <c r="AQ154" s="60"/>
      <c r="AR154" s="61"/>
    </row>
    <row r="155">
      <c r="A155" s="95">
        <v>9.0</v>
      </c>
      <c r="B155" s="96" t="s">
        <v>1446</v>
      </c>
      <c r="C155" s="96" t="s">
        <v>1447</v>
      </c>
      <c r="D155" s="96" t="s">
        <v>1448</v>
      </c>
      <c r="E155" s="96" t="s">
        <v>1422</v>
      </c>
      <c r="F155" s="79" t="s">
        <v>420</v>
      </c>
      <c r="G155" s="79" t="s">
        <v>66</v>
      </c>
      <c r="H155" s="79" t="s">
        <v>1449</v>
      </c>
      <c r="I155" s="96" t="s">
        <v>1450</v>
      </c>
      <c r="J155" s="79" t="s">
        <v>91</v>
      </c>
      <c r="K155" s="79" t="s">
        <v>110</v>
      </c>
      <c r="L155" s="79" t="s">
        <v>71</v>
      </c>
      <c r="M155" s="97" t="s">
        <v>1451</v>
      </c>
      <c r="N155" s="79" t="s">
        <v>144</v>
      </c>
      <c r="O155" s="79" t="s">
        <v>144</v>
      </c>
      <c r="P155" s="79" t="s">
        <v>95</v>
      </c>
      <c r="Q155" s="70" t="s">
        <v>1452</v>
      </c>
      <c r="R155" s="79" t="s">
        <v>76</v>
      </c>
      <c r="S155" s="79" t="s">
        <v>97</v>
      </c>
      <c r="T155" s="69"/>
      <c r="U155" s="79" t="s">
        <v>78</v>
      </c>
      <c r="V155" s="79" t="s">
        <v>79</v>
      </c>
      <c r="W155" s="79" t="s">
        <v>943</v>
      </c>
      <c r="X155" s="79" t="s">
        <v>80</v>
      </c>
      <c r="Y155" s="79" t="s">
        <v>80</v>
      </c>
      <c r="Z155" s="79" t="s">
        <v>1453</v>
      </c>
      <c r="AA155" s="79" t="s">
        <v>174</v>
      </c>
      <c r="AB155" s="96" t="s">
        <v>1436</v>
      </c>
      <c r="AC155" s="96" t="s">
        <v>1437</v>
      </c>
      <c r="AD155" s="96" t="s">
        <v>1438</v>
      </c>
      <c r="AE155" s="68">
        <v>46.0</v>
      </c>
      <c r="AF155" s="68" t="s">
        <v>71</v>
      </c>
      <c r="AG155" s="60"/>
      <c r="AH155" s="60"/>
      <c r="AI155" s="60"/>
      <c r="AJ155" s="60"/>
      <c r="AK155" s="60"/>
      <c r="AL155" s="60"/>
      <c r="AM155" s="60"/>
      <c r="AN155" s="60"/>
      <c r="AO155" s="60"/>
      <c r="AP155" s="60"/>
      <c r="AQ155" s="60"/>
      <c r="AR155" s="61"/>
    </row>
    <row r="156">
      <c r="A156" s="95">
        <v>10.0</v>
      </c>
      <c r="B156" s="96" t="s">
        <v>1454</v>
      </c>
      <c r="C156" s="96" t="s">
        <v>1455</v>
      </c>
      <c r="D156" s="96" t="s">
        <v>1448</v>
      </c>
      <c r="E156" s="96" t="s">
        <v>1422</v>
      </c>
      <c r="F156" s="79" t="s">
        <v>420</v>
      </c>
      <c r="G156" s="79" t="s">
        <v>66</v>
      </c>
      <c r="H156" s="76" t="s">
        <v>1456</v>
      </c>
      <c r="I156" s="96" t="s">
        <v>1457</v>
      </c>
      <c r="J156" s="79" t="s">
        <v>91</v>
      </c>
      <c r="K156" s="79" t="s">
        <v>110</v>
      </c>
      <c r="L156" s="79" t="s">
        <v>111</v>
      </c>
      <c r="M156" s="144" t="s">
        <v>1458</v>
      </c>
      <c r="N156" s="79" t="s">
        <v>73</v>
      </c>
      <c r="O156" s="79" t="s">
        <v>73</v>
      </c>
      <c r="P156" s="79" t="s">
        <v>95</v>
      </c>
      <c r="Q156" s="131" t="s">
        <v>1459</v>
      </c>
      <c r="R156" s="79" t="s">
        <v>76</v>
      </c>
      <c r="S156" s="79" t="s">
        <v>97</v>
      </c>
      <c r="T156" s="69"/>
      <c r="U156" s="79" t="s">
        <v>78</v>
      </c>
      <c r="V156" s="79" t="s">
        <v>79</v>
      </c>
      <c r="W156" s="79" t="s">
        <v>943</v>
      </c>
      <c r="X156" s="79" t="s">
        <v>80</v>
      </c>
      <c r="Y156" s="79" t="s">
        <v>80</v>
      </c>
      <c r="Z156" s="79" t="s">
        <v>1453</v>
      </c>
      <c r="AA156" s="79" t="s">
        <v>174</v>
      </c>
      <c r="AB156" s="96" t="s">
        <v>1436</v>
      </c>
      <c r="AC156" s="96" t="s">
        <v>1437</v>
      </c>
      <c r="AD156" s="96" t="s">
        <v>1438</v>
      </c>
      <c r="AE156" s="68">
        <v>46.0</v>
      </c>
      <c r="AF156" s="68" t="s">
        <v>111</v>
      </c>
      <c r="AG156" s="60"/>
      <c r="AH156" s="60"/>
      <c r="AI156" s="60"/>
      <c r="AJ156" s="60"/>
      <c r="AK156" s="60"/>
      <c r="AL156" s="60"/>
      <c r="AM156" s="60"/>
      <c r="AN156" s="60"/>
      <c r="AO156" s="60"/>
      <c r="AP156" s="60"/>
      <c r="AQ156" s="60"/>
      <c r="AR156" s="61"/>
    </row>
    <row r="157">
      <c r="A157" s="95">
        <v>11.0</v>
      </c>
      <c r="B157" s="96" t="s">
        <v>1460</v>
      </c>
      <c r="C157" s="96" t="s">
        <v>1461</v>
      </c>
      <c r="D157" s="96" t="s">
        <v>1462</v>
      </c>
      <c r="E157" s="96" t="s">
        <v>1422</v>
      </c>
      <c r="F157" s="79" t="s">
        <v>418</v>
      </c>
      <c r="G157" s="79" t="s">
        <v>66</v>
      </c>
      <c r="H157" s="96" t="s">
        <v>1463</v>
      </c>
      <c r="I157" s="96" t="s">
        <v>1464</v>
      </c>
      <c r="J157" s="79" t="s">
        <v>91</v>
      </c>
      <c r="K157" s="79" t="s">
        <v>110</v>
      </c>
      <c r="L157" s="79" t="s">
        <v>152</v>
      </c>
      <c r="M157" s="97" t="s">
        <v>1465</v>
      </c>
      <c r="N157" s="79" t="s">
        <v>82</v>
      </c>
      <c r="O157" s="79" t="s">
        <v>113</v>
      </c>
      <c r="P157" s="79" t="s">
        <v>95</v>
      </c>
      <c r="Q157" s="70" t="s">
        <v>1466</v>
      </c>
      <c r="R157" s="79" t="s">
        <v>76</v>
      </c>
      <c r="S157" s="79" t="s">
        <v>97</v>
      </c>
      <c r="T157" s="98">
        <v>2025.0</v>
      </c>
      <c r="U157" s="79" t="s">
        <v>78</v>
      </c>
      <c r="V157" s="79" t="s">
        <v>79</v>
      </c>
      <c r="W157" s="79" t="s">
        <v>943</v>
      </c>
      <c r="X157" s="79" t="s">
        <v>80</v>
      </c>
      <c r="Y157" s="79" t="s">
        <v>80</v>
      </c>
      <c r="Z157" s="79" t="s">
        <v>1467</v>
      </c>
      <c r="AA157" s="79" t="s">
        <v>174</v>
      </c>
      <c r="AB157" s="96" t="s">
        <v>1436</v>
      </c>
      <c r="AC157" s="96" t="s">
        <v>1437</v>
      </c>
      <c r="AD157" s="96" t="s">
        <v>1438</v>
      </c>
      <c r="AE157" s="68">
        <v>41.0</v>
      </c>
      <c r="AF157" s="68" t="s">
        <v>152</v>
      </c>
      <c r="AG157" s="60"/>
      <c r="AH157" s="60"/>
      <c r="AI157" s="60"/>
      <c r="AJ157" s="60"/>
      <c r="AK157" s="60"/>
      <c r="AL157" s="60"/>
      <c r="AM157" s="60"/>
      <c r="AN157" s="60"/>
      <c r="AO157" s="60"/>
      <c r="AP157" s="60"/>
      <c r="AQ157" s="60"/>
      <c r="AR157" s="61"/>
    </row>
    <row r="158">
      <c r="A158" s="95">
        <v>12.0</v>
      </c>
      <c r="B158" s="96" t="s">
        <v>1468</v>
      </c>
      <c r="C158" s="96" t="s">
        <v>1469</v>
      </c>
      <c r="D158" s="96" t="s">
        <v>1470</v>
      </c>
      <c r="E158" s="96" t="s">
        <v>1422</v>
      </c>
      <c r="F158" s="79" t="s">
        <v>418</v>
      </c>
      <c r="G158" s="79" t="s">
        <v>66</v>
      </c>
      <c r="H158" s="96" t="s">
        <v>1471</v>
      </c>
      <c r="I158" s="96" t="s">
        <v>1471</v>
      </c>
      <c r="J158" s="79" t="s">
        <v>91</v>
      </c>
      <c r="K158" s="79" t="s">
        <v>110</v>
      </c>
      <c r="L158" s="79" t="s">
        <v>152</v>
      </c>
      <c r="M158" s="97" t="s">
        <v>1472</v>
      </c>
      <c r="N158" s="79" t="s">
        <v>82</v>
      </c>
      <c r="O158" s="79" t="s">
        <v>113</v>
      </c>
      <c r="P158" s="79" t="s">
        <v>95</v>
      </c>
      <c r="Q158" s="70" t="s">
        <v>1473</v>
      </c>
      <c r="R158" s="79" t="s">
        <v>76</v>
      </c>
      <c r="S158" s="79" t="s">
        <v>97</v>
      </c>
      <c r="T158" s="98">
        <v>2021.0</v>
      </c>
      <c r="U158" s="79" t="s">
        <v>78</v>
      </c>
      <c r="V158" s="79" t="s">
        <v>79</v>
      </c>
      <c r="W158" s="79" t="s">
        <v>943</v>
      </c>
      <c r="X158" s="79" t="s">
        <v>80</v>
      </c>
      <c r="Y158" s="79" t="s">
        <v>80</v>
      </c>
      <c r="Z158" s="79" t="s">
        <v>1467</v>
      </c>
      <c r="AA158" s="79" t="s">
        <v>174</v>
      </c>
      <c r="AB158" s="96" t="s">
        <v>1436</v>
      </c>
      <c r="AC158" s="96" t="s">
        <v>1437</v>
      </c>
      <c r="AD158" s="96" t="s">
        <v>1438</v>
      </c>
      <c r="AE158" s="68">
        <v>41.0</v>
      </c>
      <c r="AF158" s="68" t="s">
        <v>152</v>
      </c>
      <c r="AG158" s="60"/>
      <c r="AH158" s="60"/>
      <c r="AI158" s="60"/>
      <c r="AJ158" s="60"/>
      <c r="AK158" s="60"/>
      <c r="AL158" s="60"/>
      <c r="AM158" s="60"/>
      <c r="AN158" s="60"/>
      <c r="AO158" s="60"/>
      <c r="AP158" s="60"/>
      <c r="AQ158" s="60"/>
      <c r="AR158" s="61"/>
    </row>
    <row r="159">
      <c r="A159" s="71" t="s">
        <v>1474</v>
      </c>
      <c r="B159" s="57"/>
      <c r="C159" s="57"/>
      <c r="D159" s="58"/>
      <c r="E159" s="58"/>
      <c r="F159" s="57"/>
      <c r="G159" s="57"/>
      <c r="H159" s="57"/>
      <c r="I159" s="57"/>
      <c r="J159" s="57"/>
      <c r="K159" s="57"/>
      <c r="L159" s="57"/>
      <c r="M159" s="57"/>
      <c r="N159" s="57"/>
      <c r="O159" s="57"/>
      <c r="P159" s="57"/>
      <c r="Q159" s="57"/>
      <c r="R159" s="57"/>
      <c r="S159" s="57"/>
      <c r="T159" s="57"/>
      <c r="U159" s="57"/>
      <c r="V159" s="57"/>
      <c r="W159" s="57"/>
      <c r="X159" s="57"/>
      <c r="Y159" s="57"/>
      <c r="Z159" s="57"/>
      <c r="AA159" s="57"/>
      <c r="AB159" s="57"/>
      <c r="AC159" s="57"/>
      <c r="AD159" s="57"/>
      <c r="AE159" s="94"/>
      <c r="AF159" s="94"/>
      <c r="AG159" s="60"/>
      <c r="AH159" s="60"/>
      <c r="AI159" s="60"/>
      <c r="AJ159" s="60"/>
      <c r="AK159" s="60"/>
      <c r="AL159" s="60"/>
      <c r="AM159" s="60"/>
      <c r="AN159" s="60"/>
      <c r="AO159" s="60"/>
      <c r="AP159" s="60"/>
      <c r="AQ159" s="60"/>
      <c r="AR159" s="61"/>
    </row>
    <row r="160">
      <c r="A160" s="145">
        <v>1.0</v>
      </c>
      <c r="B160" s="146" t="s">
        <v>1475</v>
      </c>
      <c r="C160" s="147" t="s">
        <v>1476</v>
      </c>
      <c r="D160" s="146" t="s">
        <v>1477</v>
      </c>
      <c r="E160" s="148" t="s">
        <v>1478</v>
      </c>
      <c r="F160" s="149" t="s">
        <v>65</v>
      </c>
      <c r="G160" s="149" t="s">
        <v>66</v>
      </c>
      <c r="H160" s="149" t="s">
        <v>1479</v>
      </c>
      <c r="I160" s="149" t="s">
        <v>1479</v>
      </c>
      <c r="J160" s="149" t="s">
        <v>69</v>
      </c>
      <c r="K160" s="149" t="s">
        <v>70</v>
      </c>
      <c r="L160" s="149" t="s">
        <v>101</v>
      </c>
      <c r="M160" s="150" t="s">
        <v>793</v>
      </c>
      <c r="N160" s="149" t="s">
        <v>73</v>
      </c>
      <c r="O160" s="149" t="s">
        <v>73</v>
      </c>
      <c r="P160" s="149" t="s">
        <v>74</v>
      </c>
      <c r="Q160" s="151" t="s">
        <v>1480</v>
      </c>
      <c r="R160" s="149" t="s">
        <v>76</v>
      </c>
      <c r="S160" s="149" t="s">
        <v>77</v>
      </c>
      <c r="T160" s="149">
        <v>2022.0</v>
      </c>
      <c r="U160" s="149" t="s">
        <v>78</v>
      </c>
      <c r="V160" s="149" t="s">
        <v>79</v>
      </c>
      <c r="W160" s="149" t="s">
        <v>80</v>
      </c>
      <c r="X160" s="149" t="s">
        <v>80</v>
      </c>
      <c r="Y160" s="149" t="s">
        <v>80</v>
      </c>
      <c r="Z160" s="149" t="s">
        <v>1481</v>
      </c>
      <c r="AA160" s="149" t="s">
        <v>176</v>
      </c>
      <c r="AB160" s="152" t="s">
        <v>1482</v>
      </c>
      <c r="AC160" s="147">
        <v>8.994450222E9</v>
      </c>
      <c r="AD160" s="146" t="s">
        <v>1483</v>
      </c>
      <c r="AE160" s="147" t="s">
        <v>1484</v>
      </c>
      <c r="AF160" s="153" t="s">
        <v>71</v>
      </c>
      <c r="AG160" s="154" t="s">
        <v>1485</v>
      </c>
      <c r="AH160" s="155"/>
      <c r="AI160" s="155"/>
      <c r="AJ160" s="155"/>
      <c r="AK160" s="155"/>
      <c r="AL160" s="155"/>
      <c r="AM160" s="155"/>
      <c r="AN160" s="155"/>
      <c r="AO160" s="155"/>
      <c r="AP160" s="155"/>
      <c r="AQ160" s="155"/>
      <c r="AR160" s="61"/>
    </row>
    <row r="161">
      <c r="A161" s="145">
        <v>2.0</v>
      </c>
      <c r="B161" s="156"/>
      <c r="C161" s="157"/>
      <c r="D161" s="158"/>
      <c r="E161" s="159"/>
      <c r="F161" s="160"/>
      <c r="G161" s="160"/>
      <c r="H161" s="160"/>
      <c r="I161" s="160"/>
      <c r="J161" s="160"/>
      <c r="K161" s="160"/>
      <c r="L161" s="160"/>
      <c r="M161" s="150" t="s">
        <v>1486</v>
      </c>
      <c r="N161" s="149" t="s">
        <v>73</v>
      </c>
      <c r="O161" s="149" t="s">
        <v>73</v>
      </c>
      <c r="P161" s="149" t="s">
        <v>74</v>
      </c>
      <c r="Q161" s="151" t="s">
        <v>1487</v>
      </c>
      <c r="R161" s="149" t="s">
        <v>76</v>
      </c>
      <c r="S161" s="149" t="s">
        <v>77</v>
      </c>
      <c r="T161" s="149">
        <v>2022.0</v>
      </c>
      <c r="U161" s="149" t="s">
        <v>78</v>
      </c>
      <c r="V161" s="149" t="s">
        <v>79</v>
      </c>
      <c r="W161" s="149" t="s">
        <v>80</v>
      </c>
      <c r="X161" s="149" t="s">
        <v>80</v>
      </c>
      <c r="Y161" s="149" t="s">
        <v>80</v>
      </c>
      <c r="Z161" s="160"/>
      <c r="AA161" s="160"/>
      <c r="AB161" s="161"/>
      <c r="AC161" s="157"/>
      <c r="AD161" s="156"/>
      <c r="AE161" s="162"/>
      <c r="AF161" s="163"/>
      <c r="AG161" s="155"/>
      <c r="AH161" s="155"/>
      <c r="AI161" s="155"/>
      <c r="AJ161" s="155"/>
      <c r="AK161" s="155"/>
      <c r="AL161" s="155"/>
      <c r="AM161" s="155"/>
      <c r="AN161" s="155"/>
      <c r="AO161" s="155"/>
      <c r="AP161" s="155"/>
      <c r="AQ161" s="155"/>
      <c r="AR161" s="61"/>
    </row>
    <row r="162">
      <c r="A162" s="145">
        <v>28.0</v>
      </c>
      <c r="B162" s="164" t="s">
        <v>1488</v>
      </c>
      <c r="C162" s="147" t="s">
        <v>1489</v>
      </c>
      <c r="D162" s="146" t="s">
        <v>1477</v>
      </c>
      <c r="E162" s="148" t="s">
        <v>1490</v>
      </c>
      <c r="F162" s="149" t="s">
        <v>65</v>
      </c>
      <c r="G162" s="149" t="s">
        <v>66</v>
      </c>
      <c r="H162" s="149" t="s">
        <v>1479</v>
      </c>
      <c r="I162" s="149" t="s">
        <v>1479</v>
      </c>
      <c r="J162" s="149" t="s">
        <v>69</v>
      </c>
      <c r="K162" s="149" t="s">
        <v>70</v>
      </c>
      <c r="L162" s="149" t="s">
        <v>101</v>
      </c>
      <c r="M162" s="150" t="s">
        <v>1491</v>
      </c>
      <c r="N162" s="149" t="s">
        <v>26</v>
      </c>
      <c r="O162" s="149" t="s">
        <v>113</v>
      </c>
      <c r="P162" s="149" t="s">
        <v>95</v>
      </c>
      <c r="Q162" s="151" t="s">
        <v>1492</v>
      </c>
      <c r="R162" s="149" t="s">
        <v>76</v>
      </c>
      <c r="S162" s="149" t="s">
        <v>77</v>
      </c>
      <c r="T162" s="149">
        <v>2022.0</v>
      </c>
      <c r="U162" s="149" t="s">
        <v>147</v>
      </c>
      <c r="V162" s="149" t="s">
        <v>79</v>
      </c>
      <c r="W162" s="149" t="s">
        <v>80</v>
      </c>
      <c r="X162" s="149" t="s">
        <v>80</v>
      </c>
      <c r="Y162" s="149" t="s">
        <v>80</v>
      </c>
      <c r="Z162" s="149" t="s">
        <v>1493</v>
      </c>
      <c r="AA162" s="149" t="s">
        <v>176</v>
      </c>
      <c r="AB162" s="152" t="s">
        <v>1482</v>
      </c>
      <c r="AC162" s="147">
        <v>8.994450222E9</v>
      </c>
      <c r="AD162" s="146" t="s">
        <v>1483</v>
      </c>
      <c r="AE162" s="147" t="s">
        <v>1484</v>
      </c>
      <c r="AF162" s="153" t="s">
        <v>71</v>
      </c>
      <c r="AG162" s="154" t="s">
        <v>1494</v>
      </c>
      <c r="AH162" s="155"/>
      <c r="AI162" s="155"/>
      <c r="AJ162" s="155"/>
      <c r="AK162" s="155"/>
      <c r="AL162" s="155"/>
      <c r="AM162" s="155"/>
      <c r="AN162" s="155"/>
      <c r="AO162" s="155"/>
      <c r="AP162" s="155"/>
      <c r="AQ162" s="155"/>
      <c r="AR162" s="61"/>
    </row>
    <row r="163">
      <c r="A163" s="71" t="s">
        <v>178</v>
      </c>
      <c r="B163" s="57"/>
      <c r="C163" s="57"/>
      <c r="D163" s="58"/>
      <c r="E163" s="58"/>
      <c r="F163" s="57"/>
      <c r="G163" s="57"/>
      <c r="H163" s="57"/>
      <c r="I163" s="57"/>
      <c r="J163" s="57"/>
      <c r="K163" s="57"/>
      <c r="L163" s="57"/>
      <c r="M163" s="57"/>
      <c r="N163" s="57"/>
      <c r="O163" s="57"/>
      <c r="P163" s="57"/>
      <c r="Q163" s="57"/>
      <c r="R163" s="57"/>
      <c r="S163" s="57"/>
      <c r="T163" s="57"/>
      <c r="U163" s="57"/>
      <c r="V163" s="57"/>
      <c r="W163" s="57"/>
      <c r="X163" s="57"/>
      <c r="Y163" s="57"/>
      <c r="Z163" s="57"/>
      <c r="AA163" s="57"/>
      <c r="AB163" s="57"/>
      <c r="AC163" s="57"/>
      <c r="AD163" s="57"/>
      <c r="AE163" s="94"/>
      <c r="AF163" s="94"/>
      <c r="AG163" s="60"/>
      <c r="AH163" s="60"/>
      <c r="AI163" s="60"/>
      <c r="AJ163" s="60"/>
      <c r="AK163" s="60"/>
      <c r="AL163" s="60"/>
      <c r="AM163" s="60"/>
      <c r="AN163" s="60"/>
      <c r="AO163" s="60"/>
      <c r="AP163" s="60"/>
      <c r="AQ163" s="60"/>
      <c r="AR163" s="61"/>
    </row>
    <row r="164">
      <c r="A164" s="165">
        <v>1.0</v>
      </c>
      <c r="B164" s="166" t="s">
        <v>1495</v>
      </c>
      <c r="C164" s="166" t="s">
        <v>1496</v>
      </c>
      <c r="D164" s="166" t="s">
        <v>1497</v>
      </c>
      <c r="E164" s="166" t="s">
        <v>1498</v>
      </c>
      <c r="F164" s="167" t="s">
        <v>65</v>
      </c>
      <c r="G164" s="167" t="s">
        <v>66</v>
      </c>
      <c r="H164" s="166" t="s">
        <v>1499</v>
      </c>
      <c r="I164" s="166" t="s">
        <v>1499</v>
      </c>
      <c r="J164" s="167" t="s">
        <v>151</v>
      </c>
      <c r="K164" s="167" t="s">
        <v>70</v>
      </c>
      <c r="L164" s="167" t="s">
        <v>152</v>
      </c>
      <c r="M164" s="168" t="s">
        <v>1500</v>
      </c>
      <c r="N164" s="167" t="s">
        <v>73</v>
      </c>
      <c r="O164" s="167" t="s">
        <v>73</v>
      </c>
      <c r="P164" s="167" t="s">
        <v>153</v>
      </c>
      <c r="Q164" s="169" t="s">
        <v>1501</v>
      </c>
      <c r="R164" s="167" t="s">
        <v>76</v>
      </c>
      <c r="S164" s="167" t="s">
        <v>77</v>
      </c>
      <c r="T164" s="170">
        <v>2015.0</v>
      </c>
      <c r="U164" s="167" t="s">
        <v>78</v>
      </c>
      <c r="V164" s="167" t="s">
        <v>98</v>
      </c>
      <c r="W164" s="167" t="s">
        <v>1502</v>
      </c>
      <c r="X164" s="167" t="s">
        <v>155</v>
      </c>
      <c r="Y164" s="167" t="s">
        <v>101</v>
      </c>
      <c r="Z164" s="167" t="s">
        <v>1503</v>
      </c>
      <c r="AA164" s="167" t="s">
        <v>178</v>
      </c>
      <c r="AB164" s="166" t="s">
        <v>1504</v>
      </c>
      <c r="AC164" s="171" t="str">
        <f>+62 852-2443-7788</f>
        <v>#ERROR!</v>
      </c>
      <c r="AD164" s="69"/>
      <c r="AE164" s="67" t="s">
        <v>1505</v>
      </c>
      <c r="AF164" s="68" t="s">
        <v>71</v>
      </c>
      <c r="AG164" s="172" t="s">
        <v>1506</v>
      </c>
      <c r="AH164" s="173"/>
      <c r="AI164" s="173"/>
      <c r="AJ164" s="173"/>
      <c r="AK164" s="173"/>
      <c r="AL164" s="173"/>
      <c r="AM164" s="173"/>
      <c r="AN164" s="173"/>
      <c r="AO164" s="173"/>
      <c r="AP164" s="173"/>
      <c r="AQ164" s="173"/>
      <c r="AR164" s="61"/>
    </row>
    <row r="165">
      <c r="A165" s="165">
        <v>2.0</v>
      </c>
      <c r="B165" s="166" t="s">
        <v>1495</v>
      </c>
      <c r="C165" s="166" t="s">
        <v>1496</v>
      </c>
      <c r="D165" s="166" t="s">
        <v>1507</v>
      </c>
      <c r="E165" s="166" t="s">
        <v>1498</v>
      </c>
      <c r="F165" s="167" t="s">
        <v>65</v>
      </c>
      <c r="G165" s="167" t="s">
        <v>66</v>
      </c>
      <c r="H165" s="166" t="s">
        <v>1499</v>
      </c>
      <c r="I165" s="166" t="s">
        <v>1499</v>
      </c>
      <c r="J165" s="167" t="s">
        <v>151</v>
      </c>
      <c r="K165" s="167" t="s">
        <v>70</v>
      </c>
      <c r="L165" s="167" t="s">
        <v>152</v>
      </c>
      <c r="M165" s="168" t="s">
        <v>1508</v>
      </c>
      <c r="N165" s="167" t="s">
        <v>73</v>
      </c>
      <c r="O165" s="167" t="s">
        <v>73</v>
      </c>
      <c r="P165" s="167" t="s">
        <v>95</v>
      </c>
      <c r="Q165" s="169" t="s">
        <v>1509</v>
      </c>
      <c r="R165" s="167" t="s">
        <v>76</v>
      </c>
      <c r="S165" s="167" t="s">
        <v>77</v>
      </c>
      <c r="T165" s="170">
        <v>2016.0</v>
      </c>
      <c r="U165" s="167" t="s">
        <v>78</v>
      </c>
      <c r="V165" s="167" t="s">
        <v>98</v>
      </c>
      <c r="W165" s="167" t="s">
        <v>1510</v>
      </c>
      <c r="X165" s="167" t="s">
        <v>155</v>
      </c>
      <c r="Y165" s="167" t="s">
        <v>101</v>
      </c>
      <c r="Z165" s="167" t="s">
        <v>1503</v>
      </c>
      <c r="AA165" s="167" t="s">
        <v>178</v>
      </c>
      <c r="AB165" s="166" t="s">
        <v>1511</v>
      </c>
      <c r="AC165" s="171" t="str">
        <f>+62 877-4168-8587</f>
        <v>#ERROR!</v>
      </c>
      <c r="AD165" s="166" t="s">
        <v>1512</v>
      </c>
      <c r="AE165" s="67" t="s">
        <v>1505</v>
      </c>
      <c r="AF165" s="68" t="s">
        <v>71</v>
      </c>
      <c r="AG165" s="172" t="s">
        <v>1506</v>
      </c>
      <c r="AH165" s="173"/>
      <c r="AI165" s="173"/>
      <c r="AJ165" s="173"/>
      <c r="AK165" s="173"/>
      <c r="AL165" s="173"/>
      <c r="AM165" s="173"/>
      <c r="AN165" s="173"/>
      <c r="AO165" s="173"/>
      <c r="AP165" s="173"/>
      <c r="AQ165" s="173"/>
      <c r="AR165" s="61"/>
    </row>
    <row r="166">
      <c r="A166" s="165">
        <v>3.0</v>
      </c>
      <c r="B166" s="166" t="s">
        <v>1513</v>
      </c>
      <c r="C166" s="166" t="s">
        <v>1514</v>
      </c>
      <c r="D166" s="166" t="s">
        <v>1515</v>
      </c>
      <c r="E166" s="166" t="s">
        <v>1498</v>
      </c>
      <c r="F166" s="167" t="s">
        <v>65</v>
      </c>
      <c r="G166" s="167" t="s">
        <v>66</v>
      </c>
      <c r="H166" s="167" t="s">
        <v>1516</v>
      </c>
      <c r="I166" s="166" t="s">
        <v>1517</v>
      </c>
      <c r="J166" s="167" t="s">
        <v>151</v>
      </c>
      <c r="K166" s="167" t="s">
        <v>110</v>
      </c>
      <c r="L166" s="167" t="s">
        <v>71</v>
      </c>
      <c r="M166" s="168" t="s">
        <v>1518</v>
      </c>
      <c r="N166" s="167" t="s">
        <v>73</v>
      </c>
      <c r="O166" s="167" t="s">
        <v>73</v>
      </c>
      <c r="P166" s="167" t="s">
        <v>95</v>
      </c>
      <c r="Q166" s="169" t="s">
        <v>1519</v>
      </c>
      <c r="R166" s="167" t="s">
        <v>76</v>
      </c>
      <c r="S166" s="167" t="s">
        <v>97</v>
      </c>
      <c r="T166" s="170">
        <v>2011.0</v>
      </c>
      <c r="U166" s="167" t="s">
        <v>78</v>
      </c>
      <c r="V166" s="167" t="s">
        <v>79</v>
      </c>
      <c r="W166" s="167" t="s">
        <v>80</v>
      </c>
      <c r="X166" s="167" t="s">
        <v>80</v>
      </c>
      <c r="Y166" s="167" t="s">
        <v>80</v>
      </c>
      <c r="Z166" s="167" t="s">
        <v>1503</v>
      </c>
      <c r="AA166" s="167" t="s">
        <v>178</v>
      </c>
      <c r="AB166" s="166" t="s">
        <v>1520</v>
      </c>
      <c r="AC166" s="171" t="str">
        <f>+62 819-1521-7805</f>
        <v>#ERROR!</v>
      </c>
      <c r="AD166" s="69"/>
      <c r="AE166" s="59"/>
      <c r="AF166" s="68" t="s">
        <v>71</v>
      </c>
      <c r="AG166" s="172" t="s">
        <v>1506</v>
      </c>
      <c r="AH166" s="173"/>
      <c r="AI166" s="173"/>
      <c r="AJ166" s="173"/>
      <c r="AK166" s="173"/>
      <c r="AL166" s="173"/>
      <c r="AM166" s="173"/>
      <c r="AN166" s="173"/>
      <c r="AO166" s="173"/>
      <c r="AP166" s="173"/>
      <c r="AQ166" s="173"/>
      <c r="AR166" s="61"/>
    </row>
    <row r="167">
      <c r="A167" s="165">
        <v>4.0</v>
      </c>
      <c r="B167" s="166" t="s">
        <v>1513</v>
      </c>
      <c r="C167" s="166" t="s">
        <v>1514</v>
      </c>
      <c r="D167" s="166" t="s">
        <v>1521</v>
      </c>
      <c r="E167" s="166" t="s">
        <v>1498</v>
      </c>
      <c r="F167" s="167" t="s">
        <v>65</v>
      </c>
      <c r="G167" s="167" t="s">
        <v>123</v>
      </c>
      <c r="H167" s="167" t="s">
        <v>1522</v>
      </c>
      <c r="I167" s="166" t="s">
        <v>1523</v>
      </c>
      <c r="J167" s="167" t="s">
        <v>151</v>
      </c>
      <c r="K167" s="167" t="s">
        <v>110</v>
      </c>
      <c r="L167" s="167" t="s">
        <v>111</v>
      </c>
      <c r="M167" s="168" t="s">
        <v>1524</v>
      </c>
      <c r="N167" s="167" t="s">
        <v>73</v>
      </c>
      <c r="O167" s="167" t="s">
        <v>73</v>
      </c>
      <c r="P167" s="167" t="s">
        <v>95</v>
      </c>
      <c r="Q167" s="169" t="s">
        <v>1525</v>
      </c>
      <c r="R167" s="167" t="s">
        <v>76</v>
      </c>
      <c r="S167" s="167" t="s">
        <v>97</v>
      </c>
      <c r="T167" s="170">
        <v>2016.0</v>
      </c>
      <c r="U167" s="167" t="s">
        <v>78</v>
      </c>
      <c r="V167" s="167" t="s">
        <v>79</v>
      </c>
      <c r="W167" s="167" t="s">
        <v>80</v>
      </c>
      <c r="X167" s="167" t="s">
        <v>80</v>
      </c>
      <c r="Y167" s="167" t="s">
        <v>80</v>
      </c>
      <c r="Z167" s="167" t="s">
        <v>1503</v>
      </c>
      <c r="AA167" s="167" t="s">
        <v>178</v>
      </c>
      <c r="AB167" s="166" t="s">
        <v>1526</v>
      </c>
      <c r="AC167" s="171" t="str">
        <f>+62 852-2242-7635</f>
        <v>#ERROR!</v>
      </c>
      <c r="AD167" s="69"/>
      <c r="AE167" s="59"/>
      <c r="AF167" s="68" t="s">
        <v>71</v>
      </c>
      <c r="AG167" s="172" t="s">
        <v>1506</v>
      </c>
      <c r="AH167" s="173"/>
      <c r="AI167" s="173"/>
      <c r="AJ167" s="173"/>
      <c r="AK167" s="173"/>
      <c r="AL167" s="173"/>
      <c r="AM167" s="173"/>
      <c r="AN167" s="173"/>
      <c r="AO167" s="173"/>
      <c r="AP167" s="173"/>
      <c r="AQ167" s="173"/>
      <c r="AR167" s="61"/>
    </row>
    <row r="168">
      <c r="A168" s="165">
        <v>5.0</v>
      </c>
      <c r="B168" s="166" t="s">
        <v>1527</v>
      </c>
      <c r="C168" s="166" t="s">
        <v>1528</v>
      </c>
      <c r="D168" s="166" t="s">
        <v>1529</v>
      </c>
      <c r="E168" s="169" t="s">
        <v>1530</v>
      </c>
      <c r="F168" s="167" t="s">
        <v>65</v>
      </c>
      <c r="G168" s="167" t="s">
        <v>123</v>
      </c>
      <c r="H168" s="167" t="s">
        <v>1531</v>
      </c>
      <c r="I168" s="166" t="s">
        <v>1532</v>
      </c>
      <c r="J168" s="167" t="s">
        <v>151</v>
      </c>
      <c r="K168" s="167" t="s">
        <v>110</v>
      </c>
      <c r="L168" s="167" t="s">
        <v>71</v>
      </c>
      <c r="M168" s="168" t="s">
        <v>1533</v>
      </c>
      <c r="N168" s="167" t="s">
        <v>73</v>
      </c>
      <c r="O168" s="167" t="s">
        <v>73</v>
      </c>
      <c r="P168" s="167" t="s">
        <v>95</v>
      </c>
      <c r="Q168" s="169" t="s">
        <v>1534</v>
      </c>
      <c r="R168" s="167" t="s">
        <v>76</v>
      </c>
      <c r="S168" s="167" t="s">
        <v>97</v>
      </c>
      <c r="T168" s="170">
        <v>2017.0</v>
      </c>
      <c r="U168" s="167" t="s">
        <v>154</v>
      </c>
      <c r="V168" s="167" t="s">
        <v>98</v>
      </c>
      <c r="W168" s="167" t="s">
        <v>607</v>
      </c>
      <c r="X168" s="167" t="s">
        <v>155</v>
      </c>
      <c r="Y168" s="167" t="s">
        <v>139</v>
      </c>
      <c r="Z168" s="167" t="s">
        <v>1503</v>
      </c>
      <c r="AA168" s="167" t="s">
        <v>178</v>
      </c>
      <c r="AB168" s="166" t="s">
        <v>1535</v>
      </c>
      <c r="AC168" s="171" t="str">
        <f>+62 813-1367-9948</f>
        <v>#ERROR!</v>
      </c>
      <c r="AD168" s="166" t="s">
        <v>1536</v>
      </c>
      <c r="AE168" s="59"/>
      <c r="AF168" s="68" t="s">
        <v>71</v>
      </c>
      <c r="AG168" s="172" t="s">
        <v>1506</v>
      </c>
      <c r="AH168" s="173"/>
      <c r="AI168" s="173"/>
      <c r="AJ168" s="173"/>
      <c r="AK168" s="173"/>
      <c r="AL168" s="173"/>
      <c r="AM168" s="173"/>
      <c r="AN168" s="173"/>
      <c r="AO168" s="173"/>
      <c r="AP168" s="173"/>
      <c r="AQ168" s="173"/>
      <c r="AR168" s="61"/>
    </row>
    <row r="169">
      <c r="A169" s="165">
        <v>6.0</v>
      </c>
      <c r="B169" s="166" t="s">
        <v>1537</v>
      </c>
      <c r="C169" s="166" t="s">
        <v>1538</v>
      </c>
      <c r="D169" s="166" t="s">
        <v>1539</v>
      </c>
      <c r="E169" s="169" t="s">
        <v>1540</v>
      </c>
      <c r="F169" s="167" t="s">
        <v>65</v>
      </c>
      <c r="G169" s="167" t="s">
        <v>66</v>
      </c>
      <c r="H169" s="167" t="s">
        <v>1541</v>
      </c>
      <c r="I169" s="167" t="s">
        <v>1541</v>
      </c>
      <c r="J169" s="167" t="s">
        <v>151</v>
      </c>
      <c r="K169" s="167" t="s">
        <v>70</v>
      </c>
      <c r="L169" s="167" t="s">
        <v>71</v>
      </c>
      <c r="M169" s="168" t="s">
        <v>1542</v>
      </c>
      <c r="N169" s="167" t="s">
        <v>93</v>
      </c>
      <c r="O169" s="167" t="s">
        <v>113</v>
      </c>
      <c r="P169" s="167" t="s">
        <v>145</v>
      </c>
      <c r="Q169" s="169" t="s">
        <v>1543</v>
      </c>
      <c r="R169" s="167" t="s">
        <v>76</v>
      </c>
      <c r="S169" s="167" t="s">
        <v>77</v>
      </c>
      <c r="T169" s="170">
        <v>2025.0</v>
      </c>
      <c r="U169" s="167" t="s">
        <v>154</v>
      </c>
      <c r="V169" s="167" t="s">
        <v>79</v>
      </c>
      <c r="W169" s="167" t="s">
        <v>80</v>
      </c>
      <c r="X169" s="167" t="s">
        <v>80</v>
      </c>
      <c r="Y169" s="167" t="s">
        <v>80</v>
      </c>
      <c r="Z169" s="167" t="s">
        <v>1544</v>
      </c>
      <c r="AA169" s="167" t="s">
        <v>178</v>
      </c>
      <c r="AB169" s="166" t="s">
        <v>1545</v>
      </c>
      <c r="AC169" s="171" t="str">
        <f>+62 814-6098-3680
 +62 813-2079-8875</f>
        <v>#ERROR!</v>
      </c>
      <c r="AD169" s="69"/>
      <c r="AE169" s="59"/>
      <c r="AF169" s="68" t="s">
        <v>71</v>
      </c>
      <c r="AG169" s="172" t="s">
        <v>1506</v>
      </c>
      <c r="AH169" s="173"/>
      <c r="AI169" s="173"/>
      <c r="AJ169" s="173"/>
      <c r="AK169" s="173"/>
      <c r="AL169" s="173"/>
      <c r="AM169" s="173"/>
      <c r="AN169" s="173"/>
      <c r="AO169" s="173"/>
      <c r="AP169" s="173"/>
      <c r="AQ169" s="173"/>
      <c r="AR169" s="61"/>
    </row>
    <row r="170">
      <c r="A170" s="95">
        <v>7.0</v>
      </c>
      <c r="B170" s="96" t="s">
        <v>1495</v>
      </c>
      <c r="C170" s="96" t="s">
        <v>1546</v>
      </c>
      <c r="D170" s="96" t="s">
        <v>1547</v>
      </c>
      <c r="E170" s="70" t="s">
        <v>1548</v>
      </c>
      <c r="F170" s="79" t="s">
        <v>65</v>
      </c>
      <c r="G170" s="79" t="s">
        <v>123</v>
      </c>
      <c r="H170" s="79" t="s">
        <v>1549</v>
      </c>
      <c r="I170" s="96" t="s">
        <v>1550</v>
      </c>
      <c r="J170" s="79" t="s">
        <v>151</v>
      </c>
      <c r="K170" s="79" t="s">
        <v>70</v>
      </c>
      <c r="L170" s="79" t="s">
        <v>71</v>
      </c>
      <c r="M170" s="97" t="s">
        <v>1551</v>
      </c>
      <c r="N170" s="79" t="s">
        <v>93</v>
      </c>
      <c r="O170" s="79" t="s">
        <v>113</v>
      </c>
      <c r="P170" s="79" t="s">
        <v>95</v>
      </c>
      <c r="Q170" s="70" t="s">
        <v>1552</v>
      </c>
      <c r="R170" s="79" t="s">
        <v>76</v>
      </c>
      <c r="S170" s="79" t="s">
        <v>77</v>
      </c>
      <c r="T170" s="98">
        <v>2025.0</v>
      </c>
      <c r="U170" s="79" t="s">
        <v>78</v>
      </c>
      <c r="V170" s="79" t="s">
        <v>98</v>
      </c>
      <c r="W170" s="79" t="s">
        <v>1553</v>
      </c>
      <c r="X170" s="79" t="s">
        <v>100</v>
      </c>
      <c r="Y170" s="79" t="s">
        <v>71</v>
      </c>
      <c r="Z170" s="79" t="s">
        <v>1554</v>
      </c>
      <c r="AA170" s="79" t="s">
        <v>178</v>
      </c>
      <c r="AB170" s="96" t="s">
        <v>1555</v>
      </c>
      <c r="AC170" s="174" t="str">
        <f>+62 858-1117-3233
 +62 852-2443-7788</f>
        <v>#ERROR!</v>
      </c>
      <c r="AD170" s="69"/>
      <c r="AE170" s="67" t="s">
        <v>1505</v>
      </c>
      <c r="AF170" s="68" t="s">
        <v>71</v>
      </c>
      <c r="AG170" s="172" t="s">
        <v>1506</v>
      </c>
      <c r="AH170" s="173"/>
      <c r="AI170" s="173"/>
      <c r="AJ170" s="173"/>
      <c r="AK170" s="173"/>
      <c r="AL170" s="173"/>
      <c r="AM170" s="173"/>
      <c r="AN170" s="173"/>
      <c r="AO170" s="173"/>
      <c r="AP170" s="173"/>
      <c r="AQ170" s="173"/>
      <c r="AR170" s="61"/>
    </row>
    <row r="171">
      <c r="A171" s="95">
        <v>8.0</v>
      </c>
      <c r="B171" s="96" t="s">
        <v>1556</v>
      </c>
      <c r="C171" s="69"/>
      <c r="D171" s="59"/>
      <c r="E171" s="59"/>
      <c r="F171" s="79" t="s">
        <v>65</v>
      </c>
      <c r="G171" s="79" t="s">
        <v>123</v>
      </c>
      <c r="H171" s="69"/>
      <c r="I171" s="69"/>
      <c r="J171" s="79" t="s">
        <v>151</v>
      </c>
      <c r="K171" s="79" t="s">
        <v>70</v>
      </c>
      <c r="L171" s="79" t="s">
        <v>71</v>
      </c>
      <c r="M171" s="97" t="s">
        <v>793</v>
      </c>
      <c r="N171" s="79" t="s">
        <v>82</v>
      </c>
      <c r="O171" s="79" t="s">
        <v>113</v>
      </c>
      <c r="P171" s="79" t="s">
        <v>153</v>
      </c>
      <c r="Q171" s="70" t="s">
        <v>1557</v>
      </c>
      <c r="R171" s="79" t="s">
        <v>76</v>
      </c>
      <c r="S171" s="79" t="s">
        <v>97</v>
      </c>
      <c r="T171" s="98">
        <v>2025.0</v>
      </c>
      <c r="U171" s="79" t="s">
        <v>154</v>
      </c>
      <c r="V171" s="69"/>
      <c r="W171" s="69"/>
      <c r="X171" s="69"/>
      <c r="Y171" s="69"/>
      <c r="Z171" s="79" t="s">
        <v>1558</v>
      </c>
      <c r="AA171" s="79" t="s">
        <v>178</v>
      </c>
      <c r="AB171" s="96" t="s">
        <v>1559</v>
      </c>
      <c r="AC171" s="69"/>
      <c r="AD171" s="69"/>
      <c r="AE171" s="67" t="s">
        <v>1560</v>
      </c>
      <c r="AF171" s="68" t="s">
        <v>71</v>
      </c>
      <c r="AG171" s="172" t="s">
        <v>1506</v>
      </c>
      <c r="AH171" s="173"/>
      <c r="AI171" s="173"/>
      <c r="AJ171" s="173"/>
      <c r="AK171" s="173"/>
      <c r="AL171" s="173"/>
      <c r="AM171" s="173"/>
      <c r="AN171" s="173"/>
      <c r="AO171" s="173"/>
      <c r="AP171" s="173"/>
      <c r="AQ171" s="173"/>
      <c r="AR171" s="61"/>
    </row>
    <row r="172">
      <c r="A172" s="71" t="s">
        <v>1561</v>
      </c>
      <c r="B172" s="57"/>
      <c r="C172" s="57"/>
      <c r="D172" s="58"/>
      <c r="E172" s="58"/>
      <c r="F172" s="57"/>
      <c r="G172" s="57"/>
      <c r="H172" s="57"/>
      <c r="I172" s="57"/>
      <c r="J172" s="57"/>
      <c r="K172" s="57"/>
      <c r="L172" s="57"/>
      <c r="M172" s="57"/>
      <c r="N172" s="57"/>
      <c r="O172" s="57"/>
      <c r="P172" s="57"/>
      <c r="Q172" s="57"/>
      <c r="R172" s="57"/>
      <c r="S172" s="57"/>
      <c r="T172" s="57"/>
      <c r="U172" s="57"/>
      <c r="V172" s="57"/>
      <c r="W172" s="57"/>
      <c r="X172" s="57"/>
      <c r="Y172" s="57"/>
      <c r="Z172" s="57"/>
      <c r="AA172" s="57"/>
      <c r="AB172" s="57"/>
      <c r="AC172" s="57"/>
      <c r="AD172" s="57"/>
      <c r="AE172" s="94"/>
      <c r="AF172" s="94"/>
      <c r="AG172" s="60"/>
      <c r="AH172" s="60"/>
      <c r="AI172" s="60"/>
      <c r="AJ172" s="60"/>
      <c r="AK172" s="60"/>
      <c r="AL172" s="60"/>
      <c r="AM172" s="60"/>
      <c r="AN172" s="60"/>
      <c r="AO172" s="60"/>
      <c r="AP172" s="60"/>
      <c r="AQ172" s="60"/>
      <c r="AR172" s="61"/>
    </row>
    <row r="173">
      <c r="A173" s="175">
        <v>4.0</v>
      </c>
      <c r="B173" s="96" t="s">
        <v>1562</v>
      </c>
      <c r="C173" s="96" t="s">
        <v>1563</v>
      </c>
      <c r="D173" s="176" t="s">
        <v>1564</v>
      </c>
      <c r="E173" s="96" t="s">
        <v>1565</v>
      </c>
      <c r="F173" s="70" t="s">
        <v>1566</v>
      </c>
      <c r="G173" s="79" t="s">
        <v>65</v>
      </c>
      <c r="H173" s="79" t="s">
        <v>66</v>
      </c>
      <c r="I173" s="79" t="s">
        <v>1567</v>
      </c>
      <c r="J173" s="96" t="s">
        <v>1568</v>
      </c>
      <c r="K173" s="79" t="s">
        <v>151</v>
      </c>
      <c r="L173" s="79" t="s">
        <v>70</v>
      </c>
      <c r="M173" s="97" t="s">
        <v>1569</v>
      </c>
      <c r="N173" s="177"/>
      <c r="O173" s="79" t="s">
        <v>93</v>
      </c>
      <c r="P173" s="79" t="s">
        <v>113</v>
      </c>
      <c r="Q173" s="79" t="s">
        <v>153</v>
      </c>
      <c r="R173" s="69"/>
      <c r="S173" s="79" t="s">
        <v>76</v>
      </c>
      <c r="T173" s="79" t="s">
        <v>97</v>
      </c>
      <c r="U173" s="79">
        <v>2018.0</v>
      </c>
      <c r="V173" s="79" t="s">
        <v>78</v>
      </c>
      <c r="W173" s="79" t="s">
        <v>98</v>
      </c>
      <c r="X173" s="79" t="s">
        <v>1570</v>
      </c>
      <c r="Y173" s="79" t="s">
        <v>155</v>
      </c>
      <c r="Z173" s="79" t="s">
        <v>139</v>
      </c>
      <c r="AA173" s="79" t="s">
        <v>1564</v>
      </c>
      <c r="AB173" s="79" t="s">
        <v>180</v>
      </c>
      <c r="AC173" s="96" t="s">
        <v>1571</v>
      </c>
      <c r="AD173" s="96" t="s">
        <v>1572</v>
      </c>
      <c r="AE173" s="96" t="s">
        <v>1573</v>
      </c>
      <c r="AF173" s="59"/>
      <c r="AG173" s="90"/>
      <c r="AH173" s="60"/>
      <c r="AI173" s="60"/>
      <c r="AJ173" s="60"/>
      <c r="AK173" s="60"/>
      <c r="AL173" s="60"/>
      <c r="AM173" s="60"/>
      <c r="AN173" s="60"/>
      <c r="AO173" s="60"/>
      <c r="AP173" s="60"/>
      <c r="AQ173" s="60"/>
      <c r="AR173" s="61"/>
    </row>
    <row r="174">
      <c r="A174" s="175">
        <v>10.0</v>
      </c>
      <c r="B174" s="96" t="s">
        <v>1574</v>
      </c>
      <c r="C174" s="96" t="s">
        <v>1575</v>
      </c>
      <c r="D174" s="176" t="s">
        <v>1576</v>
      </c>
      <c r="E174" s="178"/>
      <c r="F174" s="69"/>
      <c r="G174" s="79" t="s">
        <v>65</v>
      </c>
      <c r="H174" s="79" t="s">
        <v>66</v>
      </c>
      <c r="I174" s="79" t="s">
        <v>1577</v>
      </c>
      <c r="J174" s="96" t="s">
        <v>1578</v>
      </c>
      <c r="K174" s="79" t="s">
        <v>69</v>
      </c>
      <c r="L174" s="79" t="s">
        <v>70</v>
      </c>
      <c r="M174" s="97" t="s">
        <v>72</v>
      </c>
      <c r="N174" s="177"/>
      <c r="O174" s="79" t="s">
        <v>73</v>
      </c>
      <c r="P174" s="79" t="s">
        <v>73</v>
      </c>
      <c r="Q174" s="79" t="s">
        <v>95</v>
      </c>
      <c r="R174" s="131" t="s">
        <v>1579</v>
      </c>
      <c r="S174" s="79" t="s">
        <v>76</v>
      </c>
      <c r="T174" s="79" t="s">
        <v>97</v>
      </c>
      <c r="U174" s="69"/>
      <c r="V174" s="79" t="s">
        <v>78</v>
      </c>
      <c r="W174" s="79" t="s">
        <v>79</v>
      </c>
      <c r="X174" s="69"/>
      <c r="Y174" s="79" t="s">
        <v>80</v>
      </c>
      <c r="Z174" s="79" t="s">
        <v>80</v>
      </c>
      <c r="AA174" s="79" t="s">
        <v>1576</v>
      </c>
      <c r="AB174" s="79" t="s">
        <v>180</v>
      </c>
      <c r="AC174" s="96" t="s">
        <v>1580</v>
      </c>
      <c r="AD174" s="98">
        <v>8.212033606E10</v>
      </c>
      <c r="AE174" s="59"/>
      <c r="AF174" s="59"/>
      <c r="AG174" s="90"/>
      <c r="AH174" s="60"/>
      <c r="AI174" s="60"/>
      <c r="AJ174" s="60"/>
      <c r="AK174" s="60"/>
      <c r="AL174" s="60"/>
      <c r="AM174" s="60"/>
      <c r="AN174" s="60"/>
      <c r="AO174" s="60"/>
      <c r="AP174" s="60"/>
      <c r="AQ174" s="60"/>
      <c r="AR174" s="61"/>
    </row>
    <row r="175">
      <c r="A175" s="71" t="s">
        <v>183</v>
      </c>
      <c r="B175" s="57"/>
      <c r="C175" s="57"/>
      <c r="D175" s="58"/>
      <c r="E175" s="58"/>
      <c r="F175" s="57"/>
      <c r="G175" s="57"/>
      <c r="H175" s="57"/>
      <c r="I175" s="57"/>
      <c r="J175" s="57"/>
      <c r="K175" s="57"/>
      <c r="L175" s="57"/>
      <c r="M175" s="57"/>
      <c r="N175" s="57"/>
      <c r="O175" s="57"/>
      <c r="P175" s="57"/>
      <c r="Q175" s="57"/>
      <c r="R175" s="57"/>
      <c r="S175" s="57"/>
      <c r="T175" s="57"/>
      <c r="U175" s="57"/>
      <c r="V175" s="57"/>
      <c r="W175" s="57"/>
      <c r="X175" s="57"/>
      <c r="Y175" s="57"/>
      <c r="Z175" s="57"/>
      <c r="AA175" s="57"/>
      <c r="AB175" s="57"/>
      <c r="AC175" s="57"/>
      <c r="AD175" s="57"/>
      <c r="AE175" s="94"/>
      <c r="AF175" s="94"/>
      <c r="AG175" s="60"/>
      <c r="AH175" s="60"/>
      <c r="AI175" s="60"/>
      <c r="AJ175" s="60"/>
      <c r="AK175" s="60"/>
      <c r="AL175" s="60"/>
      <c r="AM175" s="60"/>
      <c r="AN175" s="60"/>
      <c r="AO175" s="60"/>
      <c r="AP175" s="60"/>
      <c r="AQ175" s="60"/>
      <c r="AR175" s="61"/>
    </row>
    <row r="176">
      <c r="A176" s="95">
        <v>1.0</v>
      </c>
      <c r="B176" s="96" t="s">
        <v>1581</v>
      </c>
      <c r="C176" s="96" t="s">
        <v>1582</v>
      </c>
      <c r="D176" s="96" t="s">
        <v>1583</v>
      </c>
      <c r="E176" s="96" t="s">
        <v>136</v>
      </c>
      <c r="F176" s="79" t="s">
        <v>65</v>
      </c>
      <c r="G176" s="79" t="s">
        <v>66</v>
      </c>
      <c r="H176" s="79" t="s">
        <v>1584</v>
      </c>
      <c r="I176" s="96" t="s">
        <v>1584</v>
      </c>
      <c r="J176" s="79" t="s">
        <v>151</v>
      </c>
      <c r="K176" s="79" t="s">
        <v>70</v>
      </c>
      <c r="L176" s="79" t="s">
        <v>71</v>
      </c>
      <c r="M176" s="97" t="s">
        <v>1585</v>
      </c>
      <c r="N176" s="79" t="s">
        <v>73</v>
      </c>
      <c r="O176" s="79" t="s">
        <v>73</v>
      </c>
      <c r="P176" s="79" t="s">
        <v>74</v>
      </c>
      <c r="Q176" s="70" t="s">
        <v>1586</v>
      </c>
      <c r="R176" s="79" t="s">
        <v>76</v>
      </c>
      <c r="S176" s="79" t="s">
        <v>77</v>
      </c>
      <c r="T176" s="98">
        <v>2019.0</v>
      </c>
      <c r="U176" s="79" t="s">
        <v>78</v>
      </c>
      <c r="V176" s="79" t="s">
        <v>98</v>
      </c>
      <c r="W176" s="79" t="s">
        <v>1587</v>
      </c>
      <c r="X176" s="79" t="s">
        <v>100</v>
      </c>
      <c r="Y176" s="79" t="s">
        <v>139</v>
      </c>
      <c r="Z176" s="79" t="s">
        <v>1588</v>
      </c>
      <c r="AA176" s="79" t="s">
        <v>183</v>
      </c>
      <c r="AB176" s="69"/>
      <c r="AC176" s="69"/>
      <c r="AD176" s="96" t="s">
        <v>1589</v>
      </c>
      <c r="AE176" s="179" t="s">
        <v>1590</v>
      </c>
      <c r="AF176" s="68" t="s">
        <v>71</v>
      </c>
      <c r="AG176" s="180" t="s">
        <v>1591</v>
      </c>
      <c r="AH176" s="61"/>
      <c r="AI176" s="61"/>
      <c r="AJ176" s="61"/>
      <c r="AK176" s="61"/>
      <c r="AL176" s="61"/>
      <c r="AM176" s="61"/>
      <c r="AN176" s="61"/>
      <c r="AO176" s="61"/>
      <c r="AP176" s="61"/>
      <c r="AQ176" s="61"/>
      <c r="AR176" s="61"/>
    </row>
    <row r="177">
      <c r="A177" s="95">
        <v>2.0</v>
      </c>
      <c r="B177" s="96" t="s">
        <v>1592</v>
      </c>
      <c r="C177" s="96" t="s">
        <v>1593</v>
      </c>
      <c r="D177" s="96" t="s">
        <v>1594</v>
      </c>
      <c r="E177" s="96" t="s">
        <v>136</v>
      </c>
      <c r="F177" s="79" t="s">
        <v>65</v>
      </c>
      <c r="G177" s="79" t="s">
        <v>66</v>
      </c>
      <c r="H177" s="79" t="s">
        <v>1584</v>
      </c>
      <c r="I177" s="96" t="s">
        <v>1595</v>
      </c>
      <c r="J177" s="79" t="s">
        <v>151</v>
      </c>
      <c r="K177" s="79" t="s">
        <v>70</v>
      </c>
      <c r="L177" s="79" t="s">
        <v>71</v>
      </c>
      <c r="M177" s="97" t="s">
        <v>1596</v>
      </c>
      <c r="N177" s="79" t="s">
        <v>26</v>
      </c>
      <c r="O177" s="79" t="s">
        <v>113</v>
      </c>
      <c r="P177" s="79" t="s">
        <v>95</v>
      </c>
      <c r="Q177" s="70" t="s">
        <v>1597</v>
      </c>
      <c r="R177" s="79" t="s">
        <v>76</v>
      </c>
      <c r="S177" s="79" t="s">
        <v>77</v>
      </c>
      <c r="T177" s="98">
        <v>2018.0</v>
      </c>
      <c r="U177" s="79" t="s">
        <v>78</v>
      </c>
      <c r="V177" s="79" t="s">
        <v>98</v>
      </c>
      <c r="W177" s="79" t="s">
        <v>1598</v>
      </c>
      <c r="X177" s="79" t="s">
        <v>100</v>
      </c>
      <c r="Y177" s="79" t="s">
        <v>139</v>
      </c>
      <c r="Z177" s="79" t="s">
        <v>1588</v>
      </c>
      <c r="AA177" s="79" t="s">
        <v>183</v>
      </c>
      <c r="AB177" s="69"/>
      <c r="AC177" s="69"/>
      <c r="AD177" s="96" t="s">
        <v>1589</v>
      </c>
      <c r="AE177" s="179" t="s">
        <v>1590</v>
      </c>
      <c r="AF177" s="68" t="s">
        <v>71</v>
      </c>
      <c r="AG177" s="180" t="s">
        <v>1591</v>
      </c>
      <c r="AH177" s="61"/>
      <c r="AI177" s="61"/>
      <c r="AJ177" s="61"/>
      <c r="AK177" s="61"/>
      <c r="AL177" s="61"/>
      <c r="AM177" s="61"/>
      <c r="AN177" s="61"/>
      <c r="AO177" s="61"/>
      <c r="AP177" s="61"/>
      <c r="AQ177" s="61"/>
      <c r="AR177" s="61"/>
    </row>
    <row r="178">
      <c r="A178" s="95">
        <v>3.0</v>
      </c>
      <c r="B178" s="96" t="s">
        <v>1599</v>
      </c>
      <c r="C178" s="96" t="s">
        <v>1600</v>
      </c>
      <c r="D178" s="96" t="s">
        <v>1601</v>
      </c>
      <c r="E178" s="96" t="s">
        <v>136</v>
      </c>
      <c r="F178" s="79" t="s">
        <v>65</v>
      </c>
      <c r="G178" s="79" t="s">
        <v>66</v>
      </c>
      <c r="H178" s="79" t="s">
        <v>1602</v>
      </c>
      <c r="I178" s="96" t="s">
        <v>1602</v>
      </c>
      <c r="J178" s="79" t="s">
        <v>151</v>
      </c>
      <c r="K178" s="79" t="s">
        <v>70</v>
      </c>
      <c r="L178" s="79" t="s">
        <v>71</v>
      </c>
      <c r="M178" s="97" t="s">
        <v>1603</v>
      </c>
      <c r="N178" s="79" t="s">
        <v>73</v>
      </c>
      <c r="O178" s="79" t="s">
        <v>73</v>
      </c>
      <c r="P178" s="79" t="s">
        <v>95</v>
      </c>
      <c r="Q178" s="70" t="s">
        <v>1604</v>
      </c>
      <c r="R178" s="79" t="s">
        <v>76</v>
      </c>
      <c r="S178" s="79" t="s">
        <v>77</v>
      </c>
      <c r="T178" s="98">
        <v>2021.0</v>
      </c>
      <c r="U178" s="79" t="s">
        <v>78</v>
      </c>
      <c r="V178" s="79" t="s">
        <v>79</v>
      </c>
      <c r="W178" s="79" t="s">
        <v>563</v>
      </c>
      <c r="X178" s="79" t="s">
        <v>100</v>
      </c>
      <c r="Y178" s="79" t="s">
        <v>139</v>
      </c>
      <c r="Z178" s="79" t="s">
        <v>1588</v>
      </c>
      <c r="AA178" s="79" t="s">
        <v>183</v>
      </c>
      <c r="AB178" s="69"/>
      <c r="AC178" s="69"/>
      <c r="AD178" s="96" t="s">
        <v>1589</v>
      </c>
      <c r="AE178" s="179" t="s">
        <v>1590</v>
      </c>
      <c r="AF178" s="68" t="s">
        <v>71</v>
      </c>
      <c r="AG178" s="180" t="s">
        <v>1605</v>
      </c>
      <c r="AH178" s="61"/>
      <c r="AI178" s="61"/>
      <c r="AJ178" s="61"/>
      <c r="AK178" s="61"/>
      <c r="AL178" s="61"/>
      <c r="AM178" s="61"/>
      <c r="AN178" s="61"/>
      <c r="AO178" s="61"/>
      <c r="AP178" s="61"/>
      <c r="AQ178" s="61"/>
      <c r="AR178" s="61"/>
    </row>
    <row r="179">
      <c r="A179" s="95">
        <v>4.0</v>
      </c>
      <c r="B179" s="96" t="s">
        <v>1606</v>
      </c>
      <c r="C179" s="96" t="s">
        <v>1607</v>
      </c>
      <c r="D179" s="96" t="s">
        <v>1608</v>
      </c>
      <c r="E179" s="96" t="s">
        <v>136</v>
      </c>
      <c r="F179" s="79" t="s">
        <v>65</v>
      </c>
      <c r="G179" s="79" t="s">
        <v>66</v>
      </c>
      <c r="H179" s="79" t="s">
        <v>1609</v>
      </c>
      <c r="I179" s="96" t="s">
        <v>1610</v>
      </c>
      <c r="J179" s="79" t="s">
        <v>151</v>
      </c>
      <c r="K179" s="79" t="s">
        <v>70</v>
      </c>
      <c r="L179" s="79" t="s">
        <v>71</v>
      </c>
      <c r="M179" s="97" t="s">
        <v>1611</v>
      </c>
      <c r="N179" s="79" t="s">
        <v>73</v>
      </c>
      <c r="O179" s="79" t="s">
        <v>73</v>
      </c>
      <c r="P179" s="79" t="s">
        <v>74</v>
      </c>
      <c r="Q179" s="70" t="s">
        <v>1612</v>
      </c>
      <c r="R179" s="79" t="s">
        <v>76</v>
      </c>
      <c r="S179" s="79" t="s">
        <v>77</v>
      </c>
      <c r="T179" s="98">
        <v>2024.0</v>
      </c>
      <c r="U179" s="79" t="s">
        <v>78</v>
      </c>
      <c r="V179" s="79" t="s">
        <v>98</v>
      </c>
      <c r="W179" s="79" t="s">
        <v>1613</v>
      </c>
      <c r="X179" s="79" t="s">
        <v>100</v>
      </c>
      <c r="Y179" s="79" t="s">
        <v>139</v>
      </c>
      <c r="Z179" s="79" t="s">
        <v>1588</v>
      </c>
      <c r="AA179" s="79" t="s">
        <v>183</v>
      </c>
      <c r="AB179" s="69"/>
      <c r="AC179" s="69"/>
      <c r="AD179" s="96" t="s">
        <v>1589</v>
      </c>
      <c r="AE179" s="59"/>
      <c r="AF179" s="68" t="s">
        <v>71</v>
      </c>
      <c r="AG179" s="180" t="s">
        <v>1614</v>
      </c>
      <c r="AH179" s="61"/>
      <c r="AI179" s="61"/>
      <c r="AJ179" s="61"/>
      <c r="AK179" s="61"/>
      <c r="AL179" s="61"/>
      <c r="AM179" s="61"/>
      <c r="AN179" s="61"/>
      <c r="AO179" s="61"/>
      <c r="AP179" s="61"/>
      <c r="AQ179" s="61"/>
      <c r="AR179" s="61"/>
    </row>
    <row r="180">
      <c r="A180" s="95">
        <v>5.0</v>
      </c>
      <c r="B180" s="96" t="s">
        <v>1615</v>
      </c>
      <c r="C180" s="96" t="s">
        <v>1616</v>
      </c>
      <c r="D180" s="96" t="s">
        <v>1617</v>
      </c>
      <c r="E180" s="96" t="s">
        <v>136</v>
      </c>
      <c r="F180" s="79" t="s">
        <v>65</v>
      </c>
      <c r="G180" s="79" t="s">
        <v>66</v>
      </c>
      <c r="H180" s="79" t="s">
        <v>1618</v>
      </c>
      <c r="I180" s="96" t="s">
        <v>1619</v>
      </c>
      <c r="J180" s="79" t="s">
        <v>151</v>
      </c>
      <c r="K180" s="79" t="s">
        <v>70</v>
      </c>
      <c r="L180" s="79" t="s">
        <v>71</v>
      </c>
      <c r="M180" s="97" t="s">
        <v>1620</v>
      </c>
      <c r="N180" s="79" t="s">
        <v>26</v>
      </c>
      <c r="O180" s="79" t="s">
        <v>113</v>
      </c>
      <c r="P180" s="79" t="s">
        <v>95</v>
      </c>
      <c r="Q180" s="70" t="s">
        <v>1621</v>
      </c>
      <c r="R180" s="79" t="s">
        <v>76</v>
      </c>
      <c r="S180" s="79" t="s">
        <v>97</v>
      </c>
      <c r="T180" s="98">
        <v>2024.0</v>
      </c>
      <c r="U180" s="79" t="s">
        <v>78</v>
      </c>
      <c r="V180" s="79" t="s">
        <v>79</v>
      </c>
      <c r="W180" s="69"/>
      <c r="X180" s="79" t="s">
        <v>148</v>
      </c>
      <c r="Y180" s="79" t="s">
        <v>139</v>
      </c>
      <c r="Z180" s="79" t="s">
        <v>1622</v>
      </c>
      <c r="AA180" s="79" t="s">
        <v>183</v>
      </c>
      <c r="AB180" s="69"/>
      <c r="AC180" s="69"/>
      <c r="AD180" s="96" t="s">
        <v>1589</v>
      </c>
      <c r="AE180" s="179" t="s">
        <v>1590</v>
      </c>
      <c r="AF180" s="68" t="s">
        <v>71</v>
      </c>
      <c r="AG180" s="95" t="s">
        <v>183</v>
      </c>
      <c r="AH180" s="61"/>
      <c r="AI180" s="61"/>
      <c r="AJ180" s="61"/>
      <c r="AK180" s="61"/>
      <c r="AL180" s="61"/>
      <c r="AM180" s="61"/>
      <c r="AN180" s="61"/>
      <c r="AO180" s="61"/>
      <c r="AP180" s="61"/>
      <c r="AQ180" s="61"/>
      <c r="AR180" s="61"/>
    </row>
    <row r="181">
      <c r="A181" s="95">
        <v>6.0</v>
      </c>
      <c r="B181" s="96" t="s">
        <v>1623</v>
      </c>
      <c r="C181" s="96" t="s">
        <v>1624</v>
      </c>
      <c r="D181" s="96" t="s">
        <v>1625</v>
      </c>
      <c r="E181" s="96" t="s">
        <v>88</v>
      </c>
      <c r="F181" s="79" t="s">
        <v>65</v>
      </c>
      <c r="G181" s="79" t="s">
        <v>66</v>
      </c>
      <c r="H181" s="79" t="s">
        <v>1626</v>
      </c>
      <c r="I181" s="96" t="s">
        <v>1627</v>
      </c>
      <c r="J181" s="79" t="s">
        <v>151</v>
      </c>
      <c r="K181" s="79" t="s">
        <v>70</v>
      </c>
      <c r="L181" s="79" t="s">
        <v>143</v>
      </c>
      <c r="M181" s="97" t="s">
        <v>1628</v>
      </c>
      <c r="N181" s="79" t="s">
        <v>26</v>
      </c>
      <c r="O181" s="79" t="s">
        <v>113</v>
      </c>
      <c r="P181" s="79" t="s">
        <v>95</v>
      </c>
      <c r="Q181" s="70" t="s">
        <v>1629</v>
      </c>
      <c r="R181" s="79" t="s">
        <v>76</v>
      </c>
      <c r="S181" s="79" t="s">
        <v>97</v>
      </c>
      <c r="T181" s="98">
        <v>2024.0</v>
      </c>
      <c r="U181" s="79" t="s">
        <v>78</v>
      </c>
      <c r="V181" s="79" t="s">
        <v>79</v>
      </c>
      <c r="W181" s="69"/>
      <c r="X181" s="79" t="s">
        <v>148</v>
      </c>
      <c r="Y181" s="79" t="s">
        <v>139</v>
      </c>
      <c r="Z181" s="79" t="s">
        <v>1622</v>
      </c>
      <c r="AA181" s="79" t="s">
        <v>183</v>
      </c>
      <c r="AB181" s="69"/>
      <c r="AC181" s="69"/>
      <c r="AD181" s="96" t="s">
        <v>1589</v>
      </c>
      <c r="AE181" s="179" t="s">
        <v>1590</v>
      </c>
      <c r="AF181" s="68" t="s">
        <v>71</v>
      </c>
      <c r="AG181" s="95" t="s">
        <v>183</v>
      </c>
      <c r="AH181" s="61"/>
      <c r="AI181" s="61"/>
      <c r="AJ181" s="61"/>
      <c r="AK181" s="61"/>
      <c r="AL181" s="61"/>
      <c r="AM181" s="61"/>
      <c r="AN181" s="61"/>
      <c r="AO181" s="61"/>
      <c r="AP181" s="61"/>
      <c r="AQ181" s="61"/>
      <c r="AR181" s="61"/>
    </row>
    <row r="182">
      <c r="A182" s="71" t="s">
        <v>1630</v>
      </c>
      <c r="B182" s="57"/>
      <c r="C182" s="57"/>
      <c r="D182" s="58"/>
      <c r="E182" s="58"/>
      <c r="F182" s="57"/>
      <c r="G182" s="57"/>
      <c r="H182" s="57"/>
      <c r="I182" s="57"/>
      <c r="J182" s="57"/>
      <c r="K182" s="57"/>
      <c r="L182" s="57"/>
      <c r="M182" s="57"/>
      <c r="N182" s="57"/>
      <c r="O182" s="57"/>
      <c r="P182" s="57"/>
      <c r="Q182" s="57"/>
      <c r="R182" s="57"/>
      <c r="S182" s="57"/>
      <c r="T182" s="57"/>
      <c r="U182" s="57"/>
      <c r="V182" s="57"/>
      <c r="W182" s="57"/>
      <c r="X182" s="57"/>
      <c r="Y182" s="57"/>
      <c r="Z182" s="57"/>
      <c r="AA182" s="57"/>
      <c r="AB182" s="57"/>
      <c r="AC182" s="57"/>
      <c r="AD182" s="57"/>
      <c r="AE182" s="94"/>
      <c r="AF182" s="94"/>
      <c r="AG182" s="60"/>
      <c r="AH182" s="60"/>
      <c r="AI182" s="60"/>
      <c r="AJ182" s="60"/>
      <c r="AK182" s="60"/>
      <c r="AL182" s="60"/>
      <c r="AM182" s="60"/>
      <c r="AN182" s="60"/>
      <c r="AO182" s="60"/>
      <c r="AP182" s="60"/>
      <c r="AQ182" s="60"/>
      <c r="AR182" s="61"/>
    </row>
    <row r="183">
      <c r="A183" s="95">
        <v>1.0</v>
      </c>
      <c r="B183" s="96" t="s">
        <v>1631</v>
      </c>
      <c r="C183" s="96" t="s">
        <v>1632</v>
      </c>
      <c r="D183" s="96" t="s">
        <v>1633</v>
      </c>
      <c r="E183" s="96" t="s">
        <v>88</v>
      </c>
      <c r="F183" s="79" t="s">
        <v>395</v>
      </c>
      <c r="G183" s="79" t="s">
        <v>66</v>
      </c>
      <c r="H183" s="79" t="s">
        <v>1634</v>
      </c>
      <c r="I183" s="96" t="s">
        <v>1635</v>
      </c>
      <c r="J183" s="79" t="s">
        <v>151</v>
      </c>
      <c r="K183" s="79" t="s">
        <v>70</v>
      </c>
      <c r="L183" s="79" t="s">
        <v>152</v>
      </c>
      <c r="M183" s="97" t="s">
        <v>1636</v>
      </c>
      <c r="N183" s="79" t="s">
        <v>93</v>
      </c>
      <c r="O183" s="79" t="s">
        <v>94</v>
      </c>
      <c r="P183" s="79" t="s">
        <v>95</v>
      </c>
      <c r="Q183" s="70" t="s">
        <v>1637</v>
      </c>
      <c r="R183" s="79" t="s">
        <v>76</v>
      </c>
      <c r="S183" s="79" t="s">
        <v>97</v>
      </c>
      <c r="T183" s="98">
        <v>2022.0</v>
      </c>
      <c r="U183" s="79" t="s">
        <v>78</v>
      </c>
      <c r="V183" s="79" t="s">
        <v>98</v>
      </c>
      <c r="W183" s="79" t="s">
        <v>1638</v>
      </c>
      <c r="X183" s="79" t="s">
        <v>100</v>
      </c>
      <c r="Y183" s="79" t="s">
        <v>152</v>
      </c>
      <c r="Z183" s="79" t="s">
        <v>1639</v>
      </c>
      <c r="AA183" s="79" t="s">
        <v>185</v>
      </c>
      <c r="AB183" s="96" t="s">
        <v>1640</v>
      </c>
      <c r="AC183" s="79">
        <v>8.1912125222E10</v>
      </c>
      <c r="AD183" s="79" t="s">
        <v>1641</v>
      </c>
      <c r="AE183" s="68">
        <v>14.0</v>
      </c>
      <c r="AF183" s="68" t="s">
        <v>152</v>
      </c>
      <c r="AG183" s="60"/>
      <c r="AH183" s="61"/>
      <c r="AI183" s="61"/>
      <c r="AJ183" s="61"/>
      <c r="AK183" s="61"/>
      <c r="AL183" s="61"/>
      <c r="AM183" s="61"/>
      <c r="AN183" s="61"/>
      <c r="AO183" s="61"/>
      <c r="AP183" s="61"/>
      <c r="AQ183" s="61"/>
      <c r="AR183" s="61"/>
    </row>
    <row r="184">
      <c r="A184" s="95">
        <v>2.0</v>
      </c>
      <c r="B184" s="96" t="s">
        <v>1642</v>
      </c>
      <c r="C184" s="96" t="s">
        <v>1643</v>
      </c>
      <c r="D184" s="96" t="s">
        <v>1644</v>
      </c>
      <c r="E184" s="96" t="s">
        <v>88</v>
      </c>
      <c r="F184" s="79" t="s">
        <v>392</v>
      </c>
      <c r="G184" s="79" t="s">
        <v>66</v>
      </c>
      <c r="H184" s="79" t="s">
        <v>1645</v>
      </c>
      <c r="I184" s="96" t="s">
        <v>1646</v>
      </c>
      <c r="J184" s="79" t="s">
        <v>151</v>
      </c>
      <c r="K184" s="79" t="s">
        <v>70</v>
      </c>
      <c r="L184" s="79" t="s">
        <v>71</v>
      </c>
      <c r="M184" s="97" t="s">
        <v>1647</v>
      </c>
      <c r="N184" s="79" t="s">
        <v>93</v>
      </c>
      <c r="O184" s="79" t="s">
        <v>94</v>
      </c>
      <c r="P184" s="79" t="s">
        <v>95</v>
      </c>
      <c r="Q184" s="70" t="s">
        <v>1648</v>
      </c>
      <c r="R184" s="79" t="s">
        <v>76</v>
      </c>
      <c r="S184" s="79" t="s">
        <v>97</v>
      </c>
      <c r="T184" s="98">
        <v>2025.0</v>
      </c>
      <c r="U184" s="79" t="s">
        <v>78</v>
      </c>
      <c r="V184" s="79" t="s">
        <v>79</v>
      </c>
      <c r="W184" s="181" t="s">
        <v>1649</v>
      </c>
      <c r="X184" s="79" t="s">
        <v>80</v>
      </c>
      <c r="Y184" s="79" t="s">
        <v>80</v>
      </c>
      <c r="Z184" s="79" t="s">
        <v>1650</v>
      </c>
      <c r="AA184" s="79" t="s">
        <v>185</v>
      </c>
      <c r="AB184" s="96" t="s">
        <v>1651</v>
      </c>
      <c r="AC184" s="96">
        <v>8.1320998488E10</v>
      </c>
      <c r="AD184" s="96" t="s">
        <v>1652</v>
      </c>
      <c r="AE184" s="68">
        <v>17.0</v>
      </c>
      <c r="AF184" s="68" t="s">
        <v>71</v>
      </c>
      <c r="AG184" s="60"/>
      <c r="AH184" s="61"/>
      <c r="AI184" s="61"/>
      <c r="AJ184" s="61"/>
      <c r="AK184" s="61"/>
      <c r="AL184" s="61"/>
      <c r="AM184" s="61"/>
      <c r="AN184" s="61"/>
      <c r="AO184" s="61"/>
      <c r="AP184" s="61"/>
      <c r="AQ184" s="61"/>
      <c r="AR184" s="61"/>
    </row>
    <row r="185">
      <c r="A185" s="95">
        <v>3.0</v>
      </c>
      <c r="B185" s="96" t="s">
        <v>1653</v>
      </c>
      <c r="C185" s="96" t="s">
        <v>1654</v>
      </c>
      <c r="D185" s="96" t="s">
        <v>1655</v>
      </c>
      <c r="E185" s="96" t="s">
        <v>88</v>
      </c>
      <c r="F185" s="79" t="s">
        <v>456</v>
      </c>
      <c r="G185" s="79" t="s">
        <v>123</v>
      </c>
      <c r="H185" s="79" t="s">
        <v>1656</v>
      </c>
      <c r="I185" s="96" t="s">
        <v>1657</v>
      </c>
      <c r="J185" s="79" t="s">
        <v>69</v>
      </c>
      <c r="K185" s="79" t="s">
        <v>110</v>
      </c>
      <c r="L185" s="79" t="s">
        <v>101</v>
      </c>
      <c r="M185" s="97" t="s">
        <v>1658</v>
      </c>
      <c r="N185" s="79" t="s">
        <v>26</v>
      </c>
      <c r="O185" s="79" t="s">
        <v>113</v>
      </c>
      <c r="P185" s="79" t="s">
        <v>145</v>
      </c>
      <c r="Q185" s="96" t="s">
        <v>1659</v>
      </c>
      <c r="R185" s="79" t="s">
        <v>76</v>
      </c>
      <c r="S185" s="79" t="s">
        <v>97</v>
      </c>
      <c r="T185" s="98">
        <v>2016.0</v>
      </c>
      <c r="U185" s="79" t="s">
        <v>78</v>
      </c>
      <c r="V185" s="79" t="s">
        <v>98</v>
      </c>
      <c r="W185" s="79" t="s">
        <v>1660</v>
      </c>
      <c r="X185" s="79" t="s">
        <v>100</v>
      </c>
      <c r="Y185" s="79" t="s">
        <v>139</v>
      </c>
      <c r="Z185" s="79" t="s">
        <v>1661</v>
      </c>
      <c r="AA185" s="79" t="s">
        <v>185</v>
      </c>
      <c r="AB185" s="96" t="s">
        <v>1662</v>
      </c>
      <c r="AC185" s="96">
        <v>8.7806010625E10</v>
      </c>
      <c r="AD185" s="96" t="s">
        <v>1663</v>
      </c>
      <c r="AE185" s="68">
        <v>17.0</v>
      </c>
      <c r="AF185" s="68" t="s">
        <v>71</v>
      </c>
      <c r="AG185" s="60"/>
      <c r="AH185" s="61"/>
      <c r="AI185" s="61"/>
      <c r="AJ185" s="61"/>
      <c r="AK185" s="61"/>
      <c r="AL185" s="61"/>
      <c r="AM185" s="61"/>
      <c r="AN185" s="61"/>
      <c r="AO185" s="61"/>
      <c r="AP185" s="61"/>
      <c r="AQ185" s="61"/>
      <c r="AR185" s="61"/>
    </row>
    <row r="186">
      <c r="A186" s="95">
        <v>4.0</v>
      </c>
      <c r="B186" s="96" t="s">
        <v>1664</v>
      </c>
      <c r="C186" s="96" t="s">
        <v>1665</v>
      </c>
      <c r="D186" s="96" t="s">
        <v>1633</v>
      </c>
      <c r="E186" s="96" t="s">
        <v>1666</v>
      </c>
      <c r="F186" s="79" t="s">
        <v>394</v>
      </c>
      <c r="G186" s="79" t="s">
        <v>66</v>
      </c>
      <c r="H186" s="79" t="s">
        <v>1667</v>
      </c>
      <c r="I186" s="96" t="s">
        <v>1668</v>
      </c>
      <c r="J186" s="79" t="s">
        <v>91</v>
      </c>
      <c r="K186" s="79" t="s">
        <v>110</v>
      </c>
      <c r="L186" s="79" t="s">
        <v>71</v>
      </c>
      <c r="M186" s="97" t="s">
        <v>1669</v>
      </c>
      <c r="N186" s="79" t="s">
        <v>82</v>
      </c>
      <c r="O186" s="79" t="s">
        <v>113</v>
      </c>
      <c r="P186" s="79" t="s">
        <v>95</v>
      </c>
      <c r="Q186" s="70" t="s">
        <v>1670</v>
      </c>
      <c r="R186" s="79" t="s">
        <v>76</v>
      </c>
      <c r="S186" s="79" t="s">
        <v>97</v>
      </c>
      <c r="T186" s="98">
        <v>2022.0</v>
      </c>
      <c r="U186" s="79" t="s">
        <v>147</v>
      </c>
      <c r="V186" s="79" t="s">
        <v>79</v>
      </c>
      <c r="W186" s="79" t="s">
        <v>563</v>
      </c>
      <c r="X186" s="79" t="s">
        <v>80</v>
      </c>
      <c r="Y186" s="79" t="s">
        <v>80</v>
      </c>
      <c r="Z186" s="79" t="s">
        <v>1671</v>
      </c>
      <c r="AA186" s="79" t="s">
        <v>185</v>
      </c>
      <c r="AB186" s="96" t="s">
        <v>1672</v>
      </c>
      <c r="AC186" s="96">
        <v>8.2120532304E10</v>
      </c>
      <c r="AD186" s="96" t="s">
        <v>1673</v>
      </c>
      <c r="AE186" s="68">
        <v>17.0</v>
      </c>
      <c r="AF186" s="68" t="s">
        <v>152</v>
      </c>
      <c r="AG186" s="60"/>
      <c r="AH186" s="61"/>
      <c r="AI186" s="61"/>
      <c r="AJ186" s="61"/>
      <c r="AK186" s="61"/>
      <c r="AL186" s="61"/>
      <c r="AM186" s="61"/>
      <c r="AN186" s="61"/>
      <c r="AO186" s="61"/>
      <c r="AP186" s="61"/>
      <c r="AQ186" s="61"/>
      <c r="AR186" s="61"/>
    </row>
    <row r="187">
      <c r="A187" s="95">
        <v>5.0</v>
      </c>
      <c r="B187" s="96" t="s">
        <v>1674</v>
      </c>
      <c r="C187" s="96" t="s">
        <v>1675</v>
      </c>
      <c r="D187" s="96" t="s">
        <v>1676</v>
      </c>
      <c r="E187" s="96" t="s">
        <v>88</v>
      </c>
      <c r="F187" s="79" t="s">
        <v>453</v>
      </c>
      <c r="G187" s="79" t="s">
        <v>123</v>
      </c>
      <c r="H187" s="79" t="s">
        <v>1677</v>
      </c>
      <c r="I187" s="96" t="s">
        <v>1678</v>
      </c>
      <c r="J187" s="79" t="s">
        <v>91</v>
      </c>
      <c r="K187" s="79" t="s">
        <v>110</v>
      </c>
      <c r="L187" s="79" t="s">
        <v>71</v>
      </c>
      <c r="M187" s="97" t="s">
        <v>607</v>
      </c>
      <c r="N187" s="79" t="s">
        <v>26</v>
      </c>
      <c r="O187" s="79" t="s">
        <v>73</v>
      </c>
      <c r="P187" s="79" t="s">
        <v>95</v>
      </c>
      <c r="Q187" s="70" t="s">
        <v>1679</v>
      </c>
      <c r="R187" s="79" t="s">
        <v>76</v>
      </c>
      <c r="S187" s="79" t="s">
        <v>97</v>
      </c>
      <c r="T187" s="96" t="s">
        <v>563</v>
      </c>
      <c r="U187" s="79" t="s">
        <v>78</v>
      </c>
      <c r="V187" s="79" t="s">
        <v>98</v>
      </c>
      <c r="W187" s="79" t="s">
        <v>1680</v>
      </c>
      <c r="X187" s="79" t="s">
        <v>100</v>
      </c>
      <c r="Y187" s="79" t="s">
        <v>139</v>
      </c>
      <c r="Z187" s="79" t="s">
        <v>1681</v>
      </c>
      <c r="AA187" s="79" t="s">
        <v>205</v>
      </c>
      <c r="AB187" s="96" t="s">
        <v>1682</v>
      </c>
      <c r="AC187" s="96">
        <v>8.5315555521E10</v>
      </c>
      <c r="AD187" s="96" t="s">
        <v>1683</v>
      </c>
      <c r="AE187" s="59"/>
      <c r="AF187" s="59"/>
      <c r="AG187" s="60"/>
      <c r="AH187" s="61"/>
      <c r="AI187" s="61"/>
      <c r="AJ187" s="61"/>
      <c r="AK187" s="61"/>
      <c r="AL187" s="61"/>
      <c r="AM187" s="61"/>
      <c r="AN187" s="61"/>
      <c r="AO187" s="61"/>
      <c r="AP187" s="61"/>
      <c r="AQ187" s="61"/>
      <c r="AR187" s="61"/>
    </row>
    <row r="188">
      <c r="A188" s="95">
        <v>6.0</v>
      </c>
      <c r="B188" s="96" t="s">
        <v>1684</v>
      </c>
      <c r="C188" s="96" t="s">
        <v>1685</v>
      </c>
      <c r="D188" s="96" t="s">
        <v>563</v>
      </c>
      <c r="E188" s="96" t="s">
        <v>563</v>
      </c>
      <c r="F188" s="79" t="s">
        <v>107</v>
      </c>
      <c r="G188" s="79" t="s">
        <v>123</v>
      </c>
      <c r="H188" s="79" t="s">
        <v>1686</v>
      </c>
      <c r="I188" s="96" t="s">
        <v>1687</v>
      </c>
      <c r="J188" s="79" t="s">
        <v>151</v>
      </c>
      <c r="K188" s="79" t="s">
        <v>70</v>
      </c>
      <c r="L188" s="79" t="s">
        <v>111</v>
      </c>
      <c r="M188" s="97" t="s">
        <v>503</v>
      </c>
      <c r="N188" s="79" t="s">
        <v>26</v>
      </c>
      <c r="O188" s="79" t="s">
        <v>113</v>
      </c>
      <c r="P188" s="79" t="s">
        <v>95</v>
      </c>
      <c r="Q188" s="70" t="s">
        <v>1688</v>
      </c>
      <c r="R188" s="79" t="s">
        <v>76</v>
      </c>
      <c r="S188" s="79" t="s">
        <v>97</v>
      </c>
      <c r="T188" s="96" t="s">
        <v>563</v>
      </c>
      <c r="U188" s="79" t="s">
        <v>78</v>
      </c>
      <c r="V188" s="79" t="s">
        <v>98</v>
      </c>
      <c r="W188" s="79" t="s">
        <v>1680</v>
      </c>
      <c r="X188" s="79" t="s">
        <v>159</v>
      </c>
      <c r="Y188" s="79" t="s">
        <v>111</v>
      </c>
      <c r="Z188" s="79" t="s">
        <v>116</v>
      </c>
      <c r="AA188" s="79" t="s">
        <v>82</v>
      </c>
      <c r="AB188" s="96" t="s">
        <v>1689</v>
      </c>
      <c r="AC188" s="96">
        <v>8.121983027E10</v>
      </c>
      <c r="AD188" s="96" t="s">
        <v>1673</v>
      </c>
      <c r="AE188" s="59"/>
      <c r="AF188" s="59"/>
      <c r="AG188" s="60"/>
      <c r="AH188" s="61"/>
      <c r="AI188" s="61"/>
      <c r="AJ188" s="61"/>
      <c r="AK188" s="61"/>
      <c r="AL188" s="61"/>
      <c r="AM188" s="61"/>
      <c r="AN188" s="61"/>
      <c r="AO188" s="61"/>
      <c r="AP188" s="61"/>
      <c r="AQ188" s="61"/>
      <c r="AR188" s="61"/>
    </row>
    <row r="189">
      <c r="A189" s="95">
        <v>7.0</v>
      </c>
      <c r="B189" s="96" t="s">
        <v>1690</v>
      </c>
      <c r="C189" s="96" t="s">
        <v>1691</v>
      </c>
      <c r="D189" s="96" t="s">
        <v>1676</v>
      </c>
      <c r="E189" s="70" t="s">
        <v>1692</v>
      </c>
      <c r="F189" s="79" t="s">
        <v>394</v>
      </c>
      <c r="G189" s="79" t="s">
        <v>66</v>
      </c>
      <c r="H189" s="79" t="s">
        <v>1693</v>
      </c>
      <c r="I189" s="96" t="s">
        <v>1694</v>
      </c>
      <c r="J189" s="79" t="s">
        <v>91</v>
      </c>
      <c r="K189" s="79" t="s">
        <v>70</v>
      </c>
      <c r="L189" s="79" t="s">
        <v>71</v>
      </c>
      <c r="M189" s="97" t="s">
        <v>1695</v>
      </c>
      <c r="N189" s="79" t="s">
        <v>26</v>
      </c>
      <c r="O189" s="79" t="s">
        <v>113</v>
      </c>
      <c r="P189" s="79" t="s">
        <v>74</v>
      </c>
      <c r="Q189" s="96" t="s">
        <v>1696</v>
      </c>
      <c r="R189" s="79" t="s">
        <v>76</v>
      </c>
      <c r="S189" s="79" t="s">
        <v>77</v>
      </c>
      <c r="T189" s="96" t="s">
        <v>1697</v>
      </c>
      <c r="U189" s="79" t="s">
        <v>78</v>
      </c>
      <c r="V189" s="79" t="s">
        <v>98</v>
      </c>
      <c r="W189" s="79" t="s">
        <v>659</v>
      </c>
      <c r="X189" s="79" t="s">
        <v>100</v>
      </c>
      <c r="Y189" s="79" t="s">
        <v>139</v>
      </c>
      <c r="Z189" s="79" t="s">
        <v>1671</v>
      </c>
      <c r="AA189" s="79" t="s">
        <v>185</v>
      </c>
      <c r="AB189" s="96" t="s">
        <v>1698</v>
      </c>
      <c r="AC189" s="96" t="s">
        <v>1699</v>
      </c>
      <c r="AD189" s="96" t="s">
        <v>1700</v>
      </c>
      <c r="AE189" s="68">
        <v>17.0</v>
      </c>
      <c r="AF189" s="68" t="s">
        <v>71</v>
      </c>
      <c r="AG189" s="60"/>
      <c r="AH189" s="61"/>
      <c r="AI189" s="61"/>
      <c r="AJ189" s="61"/>
      <c r="AK189" s="61"/>
      <c r="AL189" s="61"/>
      <c r="AM189" s="61"/>
      <c r="AN189" s="61"/>
      <c r="AO189" s="61"/>
      <c r="AP189" s="61"/>
      <c r="AQ189" s="61"/>
      <c r="AR189" s="61"/>
    </row>
    <row r="190">
      <c r="A190" s="71" t="s">
        <v>1701</v>
      </c>
      <c r="B190" s="57"/>
      <c r="C190" s="57"/>
      <c r="D190" s="58"/>
      <c r="E190" s="58"/>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94"/>
      <c r="AF190" s="94"/>
      <c r="AG190" s="60"/>
      <c r="AH190" s="60"/>
      <c r="AI190" s="60"/>
      <c r="AJ190" s="60"/>
      <c r="AK190" s="60"/>
      <c r="AL190" s="60"/>
      <c r="AM190" s="60"/>
      <c r="AN190" s="60"/>
      <c r="AO190" s="60"/>
      <c r="AP190" s="60"/>
      <c r="AQ190" s="60"/>
      <c r="AR190" s="61"/>
    </row>
    <row r="191">
      <c r="A191" s="95">
        <v>1.0</v>
      </c>
      <c r="B191" s="96" t="s">
        <v>1702</v>
      </c>
      <c r="C191" s="96" t="s">
        <v>1703</v>
      </c>
      <c r="D191" s="96" t="s">
        <v>1704</v>
      </c>
      <c r="E191" s="70" t="s">
        <v>1705</v>
      </c>
      <c r="F191" s="79" t="s">
        <v>227</v>
      </c>
      <c r="G191" s="79" t="s">
        <v>138</v>
      </c>
      <c r="H191" s="79" t="s">
        <v>1706</v>
      </c>
      <c r="I191" s="96" t="s">
        <v>1707</v>
      </c>
      <c r="J191" s="79" t="s">
        <v>91</v>
      </c>
      <c r="K191" s="79" t="s">
        <v>70</v>
      </c>
      <c r="L191" s="79" t="s">
        <v>71</v>
      </c>
      <c r="M191" s="97" t="s">
        <v>1708</v>
      </c>
      <c r="N191" s="79" t="s">
        <v>93</v>
      </c>
      <c r="O191" s="79" t="s">
        <v>94</v>
      </c>
      <c r="P191" s="79" t="s">
        <v>74</v>
      </c>
      <c r="Q191" s="70" t="s">
        <v>1709</v>
      </c>
      <c r="R191" s="79" t="s">
        <v>76</v>
      </c>
      <c r="S191" s="79" t="s">
        <v>97</v>
      </c>
      <c r="T191" s="98">
        <v>2021.0</v>
      </c>
      <c r="U191" s="79" t="s">
        <v>78</v>
      </c>
      <c r="V191" s="79" t="s">
        <v>98</v>
      </c>
      <c r="W191" s="79" t="s">
        <v>1710</v>
      </c>
      <c r="X191" s="79" t="s">
        <v>148</v>
      </c>
      <c r="Y191" s="79" t="s">
        <v>71</v>
      </c>
      <c r="Z191" s="79" t="s">
        <v>1711</v>
      </c>
      <c r="AA191" s="79" t="s">
        <v>187</v>
      </c>
      <c r="AB191" s="96" t="s">
        <v>1712</v>
      </c>
      <c r="AC191" s="96">
        <v>8.2318055276E10</v>
      </c>
      <c r="AD191" s="96" t="s">
        <v>1713</v>
      </c>
      <c r="AE191" s="59"/>
      <c r="AF191" s="59"/>
      <c r="AG191" s="60"/>
      <c r="AH191" s="61"/>
      <c r="AI191" s="61"/>
      <c r="AJ191" s="61"/>
      <c r="AK191" s="61"/>
      <c r="AL191" s="61"/>
      <c r="AM191" s="61"/>
      <c r="AN191" s="61"/>
      <c r="AO191" s="61"/>
      <c r="AP191" s="61"/>
      <c r="AQ191" s="61"/>
      <c r="AR191" s="61"/>
    </row>
    <row r="192">
      <c r="A192" s="95">
        <v>2.0</v>
      </c>
      <c r="B192" s="96" t="s">
        <v>1714</v>
      </c>
      <c r="C192" s="96" t="s">
        <v>1715</v>
      </c>
      <c r="D192" s="96" t="s">
        <v>1716</v>
      </c>
      <c r="E192" s="70" t="s">
        <v>1717</v>
      </c>
      <c r="F192" s="79" t="s">
        <v>188</v>
      </c>
      <c r="G192" s="79" t="s">
        <v>138</v>
      </c>
      <c r="H192" s="79" t="s">
        <v>1718</v>
      </c>
      <c r="I192" s="96" t="s">
        <v>1719</v>
      </c>
      <c r="J192" s="79" t="s">
        <v>151</v>
      </c>
      <c r="K192" s="79" t="s">
        <v>70</v>
      </c>
      <c r="L192" s="79" t="s">
        <v>71</v>
      </c>
      <c r="M192" s="97" t="s">
        <v>1720</v>
      </c>
      <c r="N192" s="79" t="s">
        <v>73</v>
      </c>
      <c r="O192" s="79" t="s">
        <v>73</v>
      </c>
      <c r="P192" s="79" t="s">
        <v>74</v>
      </c>
      <c r="Q192" s="70" t="s">
        <v>1721</v>
      </c>
      <c r="R192" s="79" t="s">
        <v>76</v>
      </c>
      <c r="S192" s="79" t="s">
        <v>97</v>
      </c>
      <c r="T192" s="98">
        <v>2012.0</v>
      </c>
      <c r="U192" s="79" t="s">
        <v>78</v>
      </c>
      <c r="V192" s="79" t="s">
        <v>98</v>
      </c>
      <c r="W192" s="79" t="s">
        <v>1722</v>
      </c>
      <c r="X192" s="79" t="s">
        <v>155</v>
      </c>
      <c r="Y192" s="79" t="s">
        <v>71</v>
      </c>
      <c r="Z192" s="79" t="s">
        <v>1711</v>
      </c>
      <c r="AA192" s="79" t="s">
        <v>187</v>
      </c>
      <c r="AB192" s="96" t="s">
        <v>1723</v>
      </c>
      <c r="AC192" s="96">
        <v>8.122495695E9</v>
      </c>
      <c r="AD192" s="96" t="s">
        <v>1724</v>
      </c>
      <c r="AE192" s="59"/>
      <c r="AF192" s="59"/>
      <c r="AG192" s="60"/>
      <c r="AH192" s="61"/>
      <c r="AI192" s="61"/>
      <c r="AJ192" s="61"/>
      <c r="AK192" s="61"/>
      <c r="AL192" s="61"/>
      <c r="AM192" s="61"/>
      <c r="AN192" s="61"/>
      <c r="AO192" s="61"/>
      <c r="AP192" s="61"/>
      <c r="AQ192" s="61"/>
      <c r="AR192" s="61"/>
    </row>
    <row r="193">
      <c r="A193" s="95">
        <v>3.0</v>
      </c>
      <c r="B193" s="96" t="s">
        <v>1725</v>
      </c>
      <c r="C193" s="96" t="s">
        <v>1726</v>
      </c>
      <c r="D193" s="96" t="s">
        <v>1727</v>
      </c>
      <c r="E193" s="70" t="s">
        <v>1728</v>
      </c>
      <c r="F193" s="79" t="s">
        <v>190</v>
      </c>
      <c r="G193" s="79" t="s">
        <v>66</v>
      </c>
      <c r="H193" s="79" t="s">
        <v>1729</v>
      </c>
      <c r="I193" s="96" t="s">
        <v>1730</v>
      </c>
      <c r="J193" s="79" t="s">
        <v>69</v>
      </c>
      <c r="K193" s="79" t="s">
        <v>70</v>
      </c>
      <c r="L193" s="79" t="s">
        <v>71</v>
      </c>
      <c r="M193" s="130" t="s">
        <v>1731</v>
      </c>
      <c r="N193" s="79" t="s">
        <v>26</v>
      </c>
      <c r="O193" s="79" t="s">
        <v>113</v>
      </c>
      <c r="P193" s="79" t="s">
        <v>74</v>
      </c>
      <c r="Q193" s="70" t="s">
        <v>1732</v>
      </c>
      <c r="R193" s="79" t="s">
        <v>76</v>
      </c>
      <c r="S193" s="79" t="s">
        <v>97</v>
      </c>
      <c r="T193" s="79">
        <v>2022.0</v>
      </c>
      <c r="U193" s="79" t="s">
        <v>78</v>
      </c>
      <c r="V193" s="79" t="s">
        <v>79</v>
      </c>
      <c r="W193" s="69"/>
      <c r="X193" s="79" t="s">
        <v>80</v>
      </c>
      <c r="Y193" s="79" t="s">
        <v>80</v>
      </c>
      <c r="Z193" s="79" t="s">
        <v>1733</v>
      </c>
      <c r="AA193" s="79" t="s">
        <v>187</v>
      </c>
      <c r="AB193" s="131" t="s">
        <v>1734</v>
      </c>
      <c r="AC193" s="79">
        <v>8.2384797299E10</v>
      </c>
      <c r="AD193" s="79" t="s">
        <v>1735</v>
      </c>
      <c r="AE193" s="59"/>
      <c r="AF193" s="59"/>
      <c r="AG193" s="60"/>
      <c r="AH193" s="61"/>
      <c r="AI193" s="61"/>
      <c r="AJ193" s="61"/>
      <c r="AK193" s="61"/>
      <c r="AL193" s="61"/>
      <c r="AM193" s="61"/>
      <c r="AN193" s="61"/>
      <c r="AO193" s="61"/>
      <c r="AP193" s="61"/>
      <c r="AQ193" s="61"/>
      <c r="AR193" s="61"/>
    </row>
    <row r="194">
      <c r="A194" s="95">
        <v>4.0</v>
      </c>
      <c r="B194" s="96" t="s">
        <v>1736</v>
      </c>
      <c r="C194" s="96" t="s">
        <v>1737</v>
      </c>
      <c r="D194" s="96" t="s">
        <v>1738</v>
      </c>
      <c r="E194" s="70" t="s">
        <v>1739</v>
      </c>
      <c r="F194" s="79" t="s">
        <v>173</v>
      </c>
      <c r="G194" s="79" t="s">
        <v>138</v>
      </c>
      <c r="H194" s="79" t="s">
        <v>1740</v>
      </c>
      <c r="I194" s="96" t="s">
        <v>1741</v>
      </c>
      <c r="J194" s="79" t="s">
        <v>69</v>
      </c>
      <c r="K194" s="79" t="s">
        <v>70</v>
      </c>
      <c r="L194" s="79" t="s">
        <v>71</v>
      </c>
      <c r="M194" s="97" t="s">
        <v>1742</v>
      </c>
      <c r="N194" s="79" t="s">
        <v>73</v>
      </c>
      <c r="O194" s="79" t="s">
        <v>73</v>
      </c>
      <c r="P194" s="79" t="s">
        <v>95</v>
      </c>
      <c r="Q194" s="70" t="s">
        <v>1743</v>
      </c>
      <c r="R194" s="79" t="s">
        <v>76</v>
      </c>
      <c r="S194" s="79" t="s">
        <v>77</v>
      </c>
      <c r="T194" s="98">
        <v>2018.0</v>
      </c>
      <c r="U194" s="79" t="s">
        <v>78</v>
      </c>
      <c r="V194" s="79" t="s">
        <v>79</v>
      </c>
      <c r="W194" s="79" t="s">
        <v>563</v>
      </c>
      <c r="X194" s="79" t="s">
        <v>80</v>
      </c>
      <c r="Y194" s="79" t="s">
        <v>80</v>
      </c>
      <c r="Z194" s="79" t="s">
        <v>1744</v>
      </c>
      <c r="AA194" s="79" t="s">
        <v>187</v>
      </c>
      <c r="AB194" s="96" t="s">
        <v>1745</v>
      </c>
      <c r="AC194" s="96" t="s">
        <v>1746</v>
      </c>
      <c r="AD194" s="96" t="s">
        <v>1747</v>
      </c>
      <c r="AE194" s="59"/>
      <c r="AF194" s="59"/>
      <c r="AG194" s="60"/>
      <c r="AH194" s="61"/>
      <c r="AI194" s="61"/>
      <c r="AJ194" s="61"/>
      <c r="AK194" s="61"/>
      <c r="AL194" s="61"/>
      <c r="AM194" s="61"/>
      <c r="AN194" s="61"/>
      <c r="AO194" s="61"/>
      <c r="AP194" s="61"/>
      <c r="AQ194" s="61"/>
      <c r="AR194" s="61"/>
    </row>
    <row r="195">
      <c r="A195" s="95">
        <v>5.0</v>
      </c>
      <c r="B195" s="96" t="s">
        <v>1748</v>
      </c>
      <c r="C195" s="96" t="s">
        <v>1749</v>
      </c>
      <c r="D195" s="96" t="s">
        <v>1738</v>
      </c>
      <c r="E195" s="59"/>
      <c r="F195" s="79" t="s">
        <v>173</v>
      </c>
      <c r="G195" s="79" t="s">
        <v>138</v>
      </c>
      <c r="H195" s="79" t="s">
        <v>1750</v>
      </c>
      <c r="I195" s="96" t="s">
        <v>1741</v>
      </c>
      <c r="J195" s="79" t="s">
        <v>91</v>
      </c>
      <c r="K195" s="79" t="s">
        <v>110</v>
      </c>
      <c r="L195" s="79" t="s">
        <v>71</v>
      </c>
      <c r="M195" s="97" t="s">
        <v>1585</v>
      </c>
      <c r="N195" s="79" t="s">
        <v>73</v>
      </c>
      <c r="O195" s="79" t="s">
        <v>73</v>
      </c>
      <c r="P195" s="79" t="s">
        <v>95</v>
      </c>
      <c r="Q195" s="70" t="s">
        <v>1751</v>
      </c>
      <c r="R195" s="79" t="s">
        <v>76</v>
      </c>
      <c r="S195" s="79" t="s">
        <v>97</v>
      </c>
      <c r="T195" s="98">
        <v>2018.0</v>
      </c>
      <c r="U195" s="79" t="s">
        <v>78</v>
      </c>
      <c r="V195" s="79" t="s">
        <v>79</v>
      </c>
      <c r="W195" s="79" t="s">
        <v>80</v>
      </c>
      <c r="X195" s="79" t="s">
        <v>80</v>
      </c>
      <c r="Y195" s="79" t="s">
        <v>80</v>
      </c>
      <c r="Z195" s="79" t="s">
        <v>1744</v>
      </c>
      <c r="AA195" s="79" t="s">
        <v>187</v>
      </c>
      <c r="AB195" s="96" t="s">
        <v>1745</v>
      </c>
      <c r="AC195" s="96" t="s">
        <v>1746</v>
      </c>
      <c r="AD195" s="96" t="s">
        <v>1747</v>
      </c>
      <c r="AE195" s="59"/>
      <c r="AF195" s="59"/>
      <c r="AG195" s="60"/>
      <c r="AH195" s="61"/>
      <c r="AI195" s="61"/>
      <c r="AJ195" s="61"/>
      <c r="AK195" s="61"/>
      <c r="AL195" s="61"/>
      <c r="AM195" s="61"/>
      <c r="AN195" s="61"/>
      <c r="AO195" s="61"/>
      <c r="AP195" s="61"/>
      <c r="AQ195" s="61"/>
      <c r="AR195" s="61"/>
    </row>
    <row r="196">
      <c r="A196" s="95">
        <v>6.0</v>
      </c>
      <c r="B196" s="96" t="s">
        <v>1752</v>
      </c>
      <c r="C196" s="96" t="s">
        <v>1753</v>
      </c>
      <c r="D196" s="96" t="s">
        <v>1754</v>
      </c>
      <c r="E196" s="70" t="s">
        <v>1755</v>
      </c>
      <c r="F196" s="79" t="s">
        <v>65</v>
      </c>
      <c r="G196" s="79" t="s">
        <v>138</v>
      </c>
      <c r="H196" s="79" t="s">
        <v>1756</v>
      </c>
      <c r="I196" s="96" t="s">
        <v>1757</v>
      </c>
      <c r="J196" s="79" t="s">
        <v>69</v>
      </c>
      <c r="K196" s="79" t="s">
        <v>70</v>
      </c>
      <c r="L196" s="79" t="s">
        <v>71</v>
      </c>
      <c r="M196" s="70" t="s">
        <v>1758</v>
      </c>
      <c r="N196" s="79" t="s">
        <v>82</v>
      </c>
      <c r="O196" s="79" t="s">
        <v>113</v>
      </c>
      <c r="P196" s="79" t="s">
        <v>74</v>
      </c>
      <c r="Q196" s="70" t="s">
        <v>1759</v>
      </c>
      <c r="R196" s="79" t="s">
        <v>76</v>
      </c>
      <c r="S196" s="79" t="s">
        <v>77</v>
      </c>
      <c r="T196" s="79">
        <v>2022.0</v>
      </c>
      <c r="U196" s="79" t="s">
        <v>78</v>
      </c>
      <c r="V196" s="79" t="s">
        <v>79</v>
      </c>
      <c r="W196" s="79" t="s">
        <v>80</v>
      </c>
      <c r="X196" s="79" t="s">
        <v>80</v>
      </c>
      <c r="Y196" s="79" t="s">
        <v>80</v>
      </c>
      <c r="Z196" s="79" t="s">
        <v>1760</v>
      </c>
      <c r="AA196" s="79" t="s">
        <v>187</v>
      </c>
      <c r="AB196" s="96" t="s">
        <v>1761</v>
      </c>
      <c r="AC196" s="96">
        <v>8.2117525952E10</v>
      </c>
      <c r="AD196" s="96" t="s">
        <v>1762</v>
      </c>
      <c r="AE196" s="79" t="s">
        <v>1763</v>
      </c>
      <c r="AF196" s="68" t="s">
        <v>71</v>
      </c>
      <c r="AG196" s="60"/>
      <c r="AH196" s="61"/>
      <c r="AI196" s="61"/>
      <c r="AJ196" s="61"/>
      <c r="AK196" s="61"/>
      <c r="AL196" s="61"/>
      <c r="AM196" s="61"/>
      <c r="AN196" s="61"/>
      <c r="AO196" s="61"/>
      <c r="AP196" s="61"/>
      <c r="AQ196" s="61"/>
      <c r="AR196" s="61"/>
    </row>
    <row r="197">
      <c r="A197" s="99">
        <v>7.0</v>
      </c>
      <c r="B197" s="100" t="s">
        <v>1764</v>
      </c>
      <c r="C197" s="100" t="s">
        <v>1765</v>
      </c>
      <c r="D197" s="100" t="s">
        <v>1766</v>
      </c>
      <c r="E197" s="70" t="s">
        <v>1767</v>
      </c>
      <c r="F197" s="102" t="s">
        <v>65</v>
      </c>
      <c r="G197" s="102" t="s">
        <v>138</v>
      </c>
      <c r="H197" s="102" t="s">
        <v>1768</v>
      </c>
      <c r="I197" s="100" t="s">
        <v>1769</v>
      </c>
      <c r="J197" s="102" t="s">
        <v>69</v>
      </c>
      <c r="K197" s="102" t="s">
        <v>70</v>
      </c>
      <c r="L197" s="102" t="s">
        <v>111</v>
      </c>
      <c r="M197" s="100" t="s">
        <v>563</v>
      </c>
      <c r="N197" s="102" t="s">
        <v>73</v>
      </c>
      <c r="O197" s="102" t="s">
        <v>73</v>
      </c>
      <c r="P197" s="102" t="s">
        <v>74</v>
      </c>
      <c r="Q197" s="100" t="s">
        <v>563</v>
      </c>
      <c r="R197" s="103"/>
      <c r="S197" s="103"/>
      <c r="T197" s="100" t="s">
        <v>563</v>
      </c>
      <c r="U197" s="103"/>
      <c r="V197" s="103"/>
      <c r="W197" s="102" t="s">
        <v>563</v>
      </c>
      <c r="X197" s="103"/>
      <c r="Y197" s="103"/>
      <c r="Z197" s="102" t="s">
        <v>1760</v>
      </c>
      <c r="AA197" s="102" t="s">
        <v>187</v>
      </c>
      <c r="AB197" s="100" t="s">
        <v>1770</v>
      </c>
      <c r="AC197" s="104">
        <v>8.986037533E9</v>
      </c>
      <c r="AD197" s="100" t="s">
        <v>1771</v>
      </c>
      <c r="AE197" s="101"/>
      <c r="AF197" s="101"/>
      <c r="AG197" s="137"/>
      <c r="AH197" s="137"/>
      <c r="AI197" s="137"/>
      <c r="AJ197" s="137"/>
      <c r="AK197" s="137"/>
      <c r="AL197" s="137"/>
      <c r="AM197" s="137"/>
      <c r="AN197" s="137"/>
      <c r="AO197" s="137"/>
      <c r="AP197" s="137"/>
      <c r="AQ197" s="137"/>
      <c r="AR197" s="61"/>
    </row>
    <row r="198">
      <c r="A198" s="182"/>
      <c r="B198" s="177"/>
      <c r="C198" s="177"/>
      <c r="D198" s="94"/>
      <c r="E198" s="183"/>
      <c r="F198" s="184"/>
      <c r="G198" s="184"/>
      <c r="H198" s="184"/>
      <c r="I198" s="177"/>
      <c r="J198" s="184"/>
      <c r="K198" s="184"/>
      <c r="L198" s="184"/>
      <c r="M198" s="97" t="s">
        <v>1772</v>
      </c>
      <c r="N198" s="79" t="s">
        <v>73</v>
      </c>
      <c r="O198" s="79" t="s">
        <v>73</v>
      </c>
      <c r="P198" s="79" t="s">
        <v>95</v>
      </c>
      <c r="Q198" s="70" t="s">
        <v>1773</v>
      </c>
      <c r="R198" s="79" t="s">
        <v>76</v>
      </c>
      <c r="S198" s="79" t="s">
        <v>97</v>
      </c>
      <c r="T198" s="79" t="s">
        <v>1774</v>
      </c>
      <c r="U198" s="79" t="s">
        <v>78</v>
      </c>
      <c r="V198" s="79" t="s">
        <v>79</v>
      </c>
      <c r="W198" s="79" t="s">
        <v>80</v>
      </c>
      <c r="X198" s="79" t="s">
        <v>80</v>
      </c>
      <c r="Y198" s="79" t="s">
        <v>80</v>
      </c>
      <c r="Z198" s="184"/>
      <c r="AA198" s="184"/>
      <c r="AB198" s="184"/>
      <c r="AC198" s="184"/>
      <c r="AD198" s="184"/>
      <c r="AE198" s="59"/>
      <c r="AF198" s="59"/>
      <c r="AG198" s="60"/>
      <c r="AH198" s="61"/>
      <c r="AI198" s="61"/>
      <c r="AJ198" s="61"/>
      <c r="AK198" s="61"/>
      <c r="AL198" s="61"/>
      <c r="AM198" s="61"/>
      <c r="AN198" s="61"/>
      <c r="AO198" s="61"/>
      <c r="AP198" s="61"/>
      <c r="AQ198" s="61"/>
      <c r="AR198" s="61"/>
    </row>
    <row r="199">
      <c r="A199" s="182"/>
      <c r="B199" s="177"/>
      <c r="C199" s="177"/>
      <c r="D199" s="94"/>
      <c r="E199" s="183"/>
      <c r="F199" s="184"/>
      <c r="G199" s="184"/>
      <c r="H199" s="184"/>
      <c r="I199" s="177"/>
      <c r="J199" s="184"/>
      <c r="K199" s="184"/>
      <c r="L199" s="184"/>
      <c r="M199" s="97" t="s">
        <v>1775</v>
      </c>
      <c r="N199" s="79" t="s">
        <v>73</v>
      </c>
      <c r="O199" s="79" t="s">
        <v>73</v>
      </c>
      <c r="P199" s="79" t="s">
        <v>95</v>
      </c>
      <c r="Q199" s="70" t="s">
        <v>1776</v>
      </c>
      <c r="R199" s="79" t="s">
        <v>76</v>
      </c>
      <c r="S199" s="79" t="s">
        <v>97</v>
      </c>
      <c r="T199" s="79" t="s">
        <v>1774</v>
      </c>
      <c r="U199" s="79" t="s">
        <v>78</v>
      </c>
      <c r="V199" s="79" t="s">
        <v>79</v>
      </c>
      <c r="W199" s="79" t="s">
        <v>80</v>
      </c>
      <c r="X199" s="79" t="s">
        <v>80</v>
      </c>
      <c r="Y199" s="79" t="s">
        <v>80</v>
      </c>
      <c r="Z199" s="184"/>
      <c r="AA199" s="184"/>
      <c r="AB199" s="184"/>
      <c r="AC199" s="184"/>
      <c r="AD199" s="184"/>
      <c r="AE199" s="59"/>
      <c r="AF199" s="59"/>
      <c r="AG199" s="60"/>
      <c r="AH199" s="61"/>
      <c r="AI199" s="61"/>
      <c r="AJ199" s="61"/>
      <c r="AK199" s="61"/>
      <c r="AL199" s="61"/>
      <c r="AM199" s="61"/>
      <c r="AN199" s="61"/>
      <c r="AO199" s="61"/>
      <c r="AP199" s="61"/>
      <c r="AQ199" s="61"/>
      <c r="AR199" s="61"/>
    </row>
    <row r="200">
      <c r="A200" s="95">
        <v>8.0</v>
      </c>
      <c r="B200" s="96" t="s">
        <v>1777</v>
      </c>
      <c r="C200" s="96" t="s">
        <v>1778</v>
      </c>
      <c r="D200" s="76" t="s">
        <v>1779</v>
      </c>
      <c r="E200" s="70" t="s">
        <v>1780</v>
      </c>
      <c r="F200" s="79" t="s">
        <v>65</v>
      </c>
      <c r="G200" s="79" t="s">
        <v>138</v>
      </c>
      <c r="H200" s="79" t="s">
        <v>1781</v>
      </c>
      <c r="I200" s="96" t="s">
        <v>1782</v>
      </c>
      <c r="J200" s="79" t="s">
        <v>69</v>
      </c>
      <c r="K200" s="79" t="s">
        <v>70</v>
      </c>
      <c r="L200" s="79" t="s">
        <v>71</v>
      </c>
      <c r="M200" s="97" t="s">
        <v>1783</v>
      </c>
      <c r="N200" s="79" t="s">
        <v>73</v>
      </c>
      <c r="O200" s="79" t="s">
        <v>73</v>
      </c>
      <c r="P200" s="79" t="s">
        <v>95</v>
      </c>
      <c r="Q200" s="96" t="s">
        <v>1784</v>
      </c>
      <c r="R200" s="79" t="s">
        <v>76</v>
      </c>
      <c r="S200" s="79" t="s">
        <v>97</v>
      </c>
      <c r="T200" s="79" t="s">
        <v>1774</v>
      </c>
      <c r="U200" s="79" t="s">
        <v>78</v>
      </c>
      <c r="V200" s="79" t="s">
        <v>79</v>
      </c>
      <c r="W200" s="79" t="s">
        <v>80</v>
      </c>
      <c r="X200" s="79" t="s">
        <v>80</v>
      </c>
      <c r="Y200" s="79" t="s">
        <v>80</v>
      </c>
      <c r="Z200" s="79" t="s">
        <v>1785</v>
      </c>
      <c r="AA200" s="79" t="s">
        <v>187</v>
      </c>
      <c r="AB200" s="79" t="s">
        <v>1786</v>
      </c>
      <c r="AC200" s="79">
        <v>8.1320513721E10</v>
      </c>
      <c r="AD200" s="79" t="s">
        <v>1787</v>
      </c>
      <c r="AE200" s="59"/>
      <c r="AF200" s="59"/>
      <c r="AG200" s="60"/>
      <c r="AH200" s="61"/>
      <c r="AI200" s="61"/>
      <c r="AJ200" s="61"/>
      <c r="AK200" s="61"/>
      <c r="AL200" s="61"/>
      <c r="AM200" s="61"/>
      <c r="AN200" s="61"/>
      <c r="AO200" s="61"/>
      <c r="AP200" s="61"/>
      <c r="AQ200" s="61"/>
      <c r="AR200" s="61"/>
    </row>
    <row r="201">
      <c r="A201" s="95">
        <v>9.0</v>
      </c>
      <c r="B201" s="96" t="s">
        <v>1788</v>
      </c>
      <c r="C201" s="96" t="s">
        <v>1789</v>
      </c>
      <c r="D201" s="96" t="s">
        <v>1790</v>
      </c>
      <c r="E201" s="70" t="s">
        <v>1791</v>
      </c>
      <c r="F201" s="79" t="s">
        <v>65</v>
      </c>
      <c r="G201" s="79" t="s">
        <v>138</v>
      </c>
      <c r="H201" s="79" t="s">
        <v>1781</v>
      </c>
      <c r="I201" s="96" t="s">
        <v>1792</v>
      </c>
      <c r="J201" s="79" t="s">
        <v>69</v>
      </c>
      <c r="K201" s="79" t="s">
        <v>70</v>
      </c>
      <c r="L201" s="79" t="s">
        <v>71</v>
      </c>
      <c r="M201" s="185" t="s">
        <v>1783</v>
      </c>
      <c r="N201" s="79" t="s">
        <v>26</v>
      </c>
      <c r="O201" s="79" t="s">
        <v>113</v>
      </c>
      <c r="P201" s="79" t="s">
        <v>95</v>
      </c>
      <c r="Q201" s="70" t="s">
        <v>1793</v>
      </c>
      <c r="R201" s="79" t="s">
        <v>76</v>
      </c>
      <c r="S201" s="79" t="s">
        <v>97</v>
      </c>
      <c r="T201" s="98">
        <v>2020.0</v>
      </c>
      <c r="U201" s="79" t="s">
        <v>78</v>
      </c>
      <c r="V201" s="79" t="s">
        <v>79</v>
      </c>
      <c r="W201" s="79" t="s">
        <v>80</v>
      </c>
      <c r="X201" s="79" t="s">
        <v>80</v>
      </c>
      <c r="Y201" s="79" t="s">
        <v>80</v>
      </c>
      <c r="Z201" s="79" t="s">
        <v>1785</v>
      </c>
      <c r="AA201" s="79" t="s">
        <v>187</v>
      </c>
      <c r="AB201" s="96" t="s">
        <v>1786</v>
      </c>
      <c r="AC201" s="96">
        <v>8.1320513721E10</v>
      </c>
      <c r="AD201" s="96" t="s">
        <v>1794</v>
      </c>
      <c r="AE201" s="59"/>
      <c r="AF201" s="59"/>
      <c r="AG201" s="60"/>
      <c r="AH201" s="61"/>
      <c r="AI201" s="61"/>
      <c r="AJ201" s="61"/>
      <c r="AK201" s="61"/>
      <c r="AL201" s="61"/>
      <c r="AM201" s="61"/>
      <c r="AN201" s="61"/>
      <c r="AO201" s="61"/>
      <c r="AP201" s="61"/>
      <c r="AQ201" s="61"/>
      <c r="AR201" s="61"/>
    </row>
    <row r="202">
      <c r="A202" s="71" t="s">
        <v>1795</v>
      </c>
      <c r="B202" s="57"/>
      <c r="C202" s="57"/>
      <c r="D202" s="58"/>
      <c r="E202" s="58"/>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94"/>
      <c r="AF202" s="94"/>
      <c r="AG202" s="60"/>
      <c r="AH202" s="60"/>
      <c r="AI202" s="60"/>
      <c r="AJ202" s="60"/>
      <c r="AK202" s="60"/>
      <c r="AL202" s="60"/>
      <c r="AM202" s="60"/>
      <c r="AN202" s="60"/>
      <c r="AO202" s="60"/>
      <c r="AP202" s="60"/>
      <c r="AQ202" s="60"/>
      <c r="AR202" s="61"/>
    </row>
    <row r="203">
      <c r="A203" s="95">
        <v>1.0</v>
      </c>
      <c r="B203" s="79" t="s">
        <v>1796</v>
      </c>
      <c r="C203" s="79" t="s">
        <v>1797</v>
      </c>
      <c r="D203" s="79" t="s">
        <v>1798</v>
      </c>
      <c r="E203" s="131" t="s">
        <v>1799</v>
      </c>
      <c r="F203" s="79" t="s">
        <v>246</v>
      </c>
      <c r="G203" s="79" t="s">
        <v>66</v>
      </c>
      <c r="H203" s="79" t="s">
        <v>1800</v>
      </c>
      <c r="I203" s="79" t="s">
        <v>1801</v>
      </c>
      <c r="J203" s="79" t="s">
        <v>91</v>
      </c>
      <c r="K203" s="79" t="s">
        <v>70</v>
      </c>
      <c r="L203" s="79" t="s">
        <v>71</v>
      </c>
      <c r="M203" s="130" t="s">
        <v>1802</v>
      </c>
      <c r="N203" s="79" t="s">
        <v>82</v>
      </c>
      <c r="O203" s="79" t="s">
        <v>113</v>
      </c>
      <c r="P203" s="79" t="s">
        <v>95</v>
      </c>
      <c r="Q203" s="131" t="s">
        <v>1803</v>
      </c>
      <c r="R203" s="79" t="s">
        <v>76</v>
      </c>
      <c r="S203" s="79" t="s">
        <v>97</v>
      </c>
      <c r="T203" s="79">
        <v>2021.0</v>
      </c>
      <c r="U203" s="79" t="s">
        <v>78</v>
      </c>
      <c r="V203" s="79" t="s">
        <v>79</v>
      </c>
      <c r="W203" s="79" t="s">
        <v>80</v>
      </c>
      <c r="X203" s="79" t="s">
        <v>80</v>
      </c>
      <c r="Y203" s="79" t="s">
        <v>80</v>
      </c>
      <c r="Z203" s="79" t="s">
        <v>1804</v>
      </c>
      <c r="AA203" s="79" t="s">
        <v>189</v>
      </c>
      <c r="AB203" s="79" t="s">
        <v>1805</v>
      </c>
      <c r="AC203" s="79">
        <v>8.12245105E10</v>
      </c>
      <c r="AD203" s="69"/>
      <c r="AE203" s="59"/>
      <c r="AF203" s="68" t="s">
        <v>1268</v>
      </c>
      <c r="AG203" s="186" t="s">
        <v>1806</v>
      </c>
      <c r="AI203" s="61"/>
      <c r="AJ203" s="61"/>
      <c r="AK203" s="61"/>
      <c r="AL203" s="61"/>
      <c r="AM203" s="61"/>
      <c r="AN203" s="61"/>
      <c r="AO203" s="61"/>
      <c r="AP203" s="61"/>
      <c r="AQ203" s="61"/>
      <c r="AR203" s="61"/>
    </row>
    <row r="204">
      <c r="A204" s="95">
        <v>2.0</v>
      </c>
      <c r="B204" s="79" t="s">
        <v>1807</v>
      </c>
      <c r="C204" s="79" t="s">
        <v>1808</v>
      </c>
      <c r="D204" s="79" t="s">
        <v>1809</v>
      </c>
      <c r="E204" s="131" t="s">
        <v>1810</v>
      </c>
      <c r="F204" s="79" t="s">
        <v>246</v>
      </c>
      <c r="G204" s="79" t="s">
        <v>66</v>
      </c>
      <c r="H204" s="79" t="s">
        <v>1811</v>
      </c>
      <c r="I204" s="79" t="s">
        <v>1812</v>
      </c>
      <c r="J204" s="79" t="s">
        <v>69</v>
      </c>
      <c r="K204" s="79" t="s">
        <v>70</v>
      </c>
      <c r="L204" s="79" t="s">
        <v>71</v>
      </c>
      <c r="M204" s="130" t="s">
        <v>1813</v>
      </c>
      <c r="N204" s="79" t="s">
        <v>73</v>
      </c>
      <c r="O204" s="79" t="s">
        <v>73</v>
      </c>
      <c r="P204" s="79" t="s">
        <v>95</v>
      </c>
      <c r="Q204" s="131" t="s">
        <v>1814</v>
      </c>
      <c r="R204" s="79" t="s">
        <v>76</v>
      </c>
      <c r="S204" s="79" t="s">
        <v>97</v>
      </c>
      <c r="T204" s="79" t="s">
        <v>563</v>
      </c>
      <c r="U204" s="79" t="s">
        <v>78</v>
      </c>
      <c r="V204" s="79" t="s">
        <v>79</v>
      </c>
      <c r="W204" s="79" t="s">
        <v>80</v>
      </c>
      <c r="X204" s="79" t="s">
        <v>80</v>
      </c>
      <c r="Y204" s="79" t="s">
        <v>80</v>
      </c>
      <c r="Z204" s="79" t="s">
        <v>1804</v>
      </c>
      <c r="AA204" s="79" t="s">
        <v>189</v>
      </c>
      <c r="AB204" s="79" t="s">
        <v>1805</v>
      </c>
      <c r="AC204" s="79">
        <v>8.12245105E10</v>
      </c>
      <c r="AD204" s="69"/>
      <c r="AE204" s="59"/>
      <c r="AF204" s="68" t="s">
        <v>71</v>
      </c>
      <c r="AG204" s="187" t="s">
        <v>26</v>
      </c>
      <c r="AH204" s="61"/>
      <c r="AI204" s="61"/>
      <c r="AJ204" s="61"/>
      <c r="AK204" s="61"/>
      <c r="AL204" s="61"/>
      <c r="AM204" s="61"/>
      <c r="AN204" s="61"/>
      <c r="AO204" s="61"/>
      <c r="AP204" s="61"/>
      <c r="AQ204" s="61"/>
      <c r="AR204" s="61"/>
    </row>
    <row r="205">
      <c r="A205" s="95">
        <v>4.0</v>
      </c>
      <c r="B205" s="79" t="s">
        <v>1815</v>
      </c>
      <c r="C205" s="79" t="s">
        <v>1816</v>
      </c>
      <c r="D205" s="79" t="s">
        <v>1817</v>
      </c>
      <c r="E205" s="131" t="s">
        <v>1818</v>
      </c>
      <c r="F205" s="79" t="s">
        <v>204</v>
      </c>
      <c r="G205" s="79" t="s">
        <v>66</v>
      </c>
      <c r="H205" s="79" t="s">
        <v>1819</v>
      </c>
      <c r="I205" s="79" t="s">
        <v>1820</v>
      </c>
      <c r="J205" s="79" t="s">
        <v>91</v>
      </c>
      <c r="K205" s="79" t="s">
        <v>70</v>
      </c>
      <c r="L205" s="79" t="s">
        <v>71</v>
      </c>
      <c r="M205" s="130" t="s">
        <v>1821</v>
      </c>
      <c r="N205" s="79" t="s">
        <v>73</v>
      </c>
      <c r="O205" s="79" t="s">
        <v>73</v>
      </c>
      <c r="P205" s="79" t="s">
        <v>95</v>
      </c>
      <c r="Q205" s="131" t="s">
        <v>1822</v>
      </c>
      <c r="R205" s="79" t="s">
        <v>76</v>
      </c>
      <c r="S205" s="79" t="s">
        <v>97</v>
      </c>
      <c r="T205" s="79" t="s">
        <v>563</v>
      </c>
      <c r="U205" s="79" t="s">
        <v>78</v>
      </c>
      <c r="V205" s="79" t="s">
        <v>79</v>
      </c>
      <c r="W205" s="79" t="s">
        <v>80</v>
      </c>
      <c r="X205" s="79" t="s">
        <v>80</v>
      </c>
      <c r="Y205" s="79" t="s">
        <v>80</v>
      </c>
      <c r="Z205" s="79" t="s">
        <v>1823</v>
      </c>
      <c r="AA205" s="79" t="s">
        <v>189</v>
      </c>
      <c r="AB205" s="79" t="s">
        <v>1824</v>
      </c>
      <c r="AC205" s="79">
        <v>8.5794560785E10</v>
      </c>
      <c r="AD205" s="79" t="s">
        <v>1825</v>
      </c>
      <c r="AE205" s="59"/>
      <c r="AF205" s="59"/>
      <c r="AG205" s="90"/>
      <c r="AH205" s="61"/>
      <c r="AI205" s="61"/>
      <c r="AJ205" s="61"/>
      <c r="AK205" s="61"/>
      <c r="AL205" s="61"/>
      <c r="AM205" s="61"/>
      <c r="AN205" s="61"/>
      <c r="AO205" s="61"/>
      <c r="AP205" s="61"/>
      <c r="AQ205" s="61"/>
      <c r="AR205" s="61"/>
    </row>
    <row r="206">
      <c r="A206" s="95">
        <v>17.0</v>
      </c>
      <c r="B206" s="79" t="s">
        <v>1826</v>
      </c>
      <c r="C206" s="79" t="s">
        <v>1827</v>
      </c>
      <c r="D206" s="79" t="s">
        <v>1828</v>
      </c>
      <c r="E206" s="79" t="s">
        <v>88</v>
      </c>
      <c r="F206" s="79" t="s">
        <v>214</v>
      </c>
      <c r="G206" s="79" t="s">
        <v>66</v>
      </c>
      <c r="H206" s="79" t="s">
        <v>1829</v>
      </c>
      <c r="I206" s="79" t="s">
        <v>1830</v>
      </c>
      <c r="J206" s="79" t="s">
        <v>151</v>
      </c>
      <c r="K206" s="79" t="s">
        <v>70</v>
      </c>
      <c r="L206" s="79" t="s">
        <v>152</v>
      </c>
      <c r="M206" s="130" t="s">
        <v>1831</v>
      </c>
      <c r="N206" s="79" t="s">
        <v>93</v>
      </c>
      <c r="O206" s="79" t="s">
        <v>94</v>
      </c>
      <c r="P206" s="79" t="s">
        <v>74</v>
      </c>
      <c r="Q206" s="131" t="s">
        <v>1832</v>
      </c>
      <c r="R206" s="79" t="s">
        <v>76</v>
      </c>
      <c r="S206" s="79" t="s">
        <v>97</v>
      </c>
      <c r="T206" s="79" t="s">
        <v>563</v>
      </c>
      <c r="U206" s="79" t="s">
        <v>78</v>
      </c>
      <c r="V206" s="79" t="s">
        <v>79</v>
      </c>
      <c r="W206" s="79" t="s">
        <v>80</v>
      </c>
      <c r="X206" s="79" t="s">
        <v>100</v>
      </c>
      <c r="Y206" s="79" t="s">
        <v>139</v>
      </c>
      <c r="Z206" s="79" t="s">
        <v>1833</v>
      </c>
      <c r="AA206" s="79" t="s">
        <v>189</v>
      </c>
      <c r="AB206" s="79" t="s">
        <v>1834</v>
      </c>
      <c r="AC206" s="79">
        <v>8.5882562008E10</v>
      </c>
      <c r="AD206" s="79" t="s">
        <v>1835</v>
      </c>
      <c r="AE206" s="67" t="s">
        <v>1836</v>
      </c>
      <c r="AF206" s="68" t="s">
        <v>71</v>
      </c>
      <c r="AG206" s="187" t="s">
        <v>26</v>
      </c>
      <c r="AH206" s="61"/>
      <c r="AI206" s="61"/>
      <c r="AJ206" s="61"/>
      <c r="AK206" s="61"/>
      <c r="AL206" s="61"/>
      <c r="AM206" s="61"/>
      <c r="AN206" s="61"/>
      <c r="AO206" s="61"/>
      <c r="AP206" s="61"/>
      <c r="AQ206" s="61"/>
      <c r="AR206" s="61"/>
    </row>
    <row r="207">
      <c r="A207" s="95">
        <v>18.0</v>
      </c>
      <c r="B207" s="79" t="s">
        <v>1837</v>
      </c>
      <c r="C207" s="79" t="s">
        <v>1838</v>
      </c>
      <c r="D207" s="79" t="s">
        <v>1839</v>
      </c>
      <c r="E207" s="131" t="s">
        <v>1840</v>
      </c>
      <c r="F207" s="79" t="s">
        <v>214</v>
      </c>
      <c r="G207" s="79" t="s">
        <v>66</v>
      </c>
      <c r="H207" s="79" t="s">
        <v>1841</v>
      </c>
      <c r="I207" s="79" t="s">
        <v>1842</v>
      </c>
      <c r="J207" s="79" t="s">
        <v>69</v>
      </c>
      <c r="K207" s="79" t="s">
        <v>70</v>
      </c>
      <c r="L207" s="79" t="s">
        <v>111</v>
      </c>
      <c r="M207" s="130" t="s">
        <v>1843</v>
      </c>
      <c r="N207" s="79" t="s">
        <v>73</v>
      </c>
      <c r="O207" s="79" t="s">
        <v>73</v>
      </c>
      <c r="P207" s="79" t="s">
        <v>95</v>
      </c>
      <c r="Q207" s="131" t="s">
        <v>1844</v>
      </c>
      <c r="R207" s="79" t="s">
        <v>76</v>
      </c>
      <c r="S207" s="79" t="s">
        <v>97</v>
      </c>
      <c r="T207" s="79" t="s">
        <v>563</v>
      </c>
      <c r="U207" s="79" t="s">
        <v>78</v>
      </c>
      <c r="V207" s="79" t="s">
        <v>79</v>
      </c>
      <c r="W207" s="79" t="s">
        <v>80</v>
      </c>
      <c r="X207" s="79" t="s">
        <v>80</v>
      </c>
      <c r="Y207" s="79" t="s">
        <v>80</v>
      </c>
      <c r="Z207" s="79" t="s">
        <v>1845</v>
      </c>
      <c r="AA207" s="79" t="s">
        <v>189</v>
      </c>
      <c r="AB207" s="79" t="s">
        <v>1846</v>
      </c>
      <c r="AC207" s="79">
        <v>8.1321122481E10</v>
      </c>
      <c r="AD207" s="69"/>
      <c r="AE207" s="77">
        <v>22.0</v>
      </c>
      <c r="AF207" s="68" t="s">
        <v>566</v>
      </c>
      <c r="AG207" s="187" t="s">
        <v>26</v>
      </c>
      <c r="AH207" s="61"/>
      <c r="AI207" s="61"/>
      <c r="AJ207" s="61"/>
      <c r="AK207" s="61"/>
      <c r="AL207" s="61"/>
      <c r="AM207" s="61"/>
      <c r="AN207" s="61"/>
      <c r="AO207" s="61"/>
      <c r="AP207" s="61"/>
      <c r="AQ207" s="61"/>
      <c r="AR207" s="61"/>
    </row>
    <row r="208">
      <c r="A208" s="95">
        <v>19.0</v>
      </c>
      <c r="B208" s="79" t="s">
        <v>1847</v>
      </c>
      <c r="C208" s="79" t="s">
        <v>1848</v>
      </c>
      <c r="D208" s="79" t="s">
        <v>1849</v>
      </c>
      <c r="E208" s="131" t="s">
        <v>1850</v>
      </c>
      <c r="F208" s="79" t="s">
        <v>212</v>
      </c>
      <c r="G208" s="79" t="s">
        <v>66</v>
      </c>
      <c r="H208" s="79" t="s">
        <v>1851</v>
      </c>
      <c r="I208" s="79" t="s">
        <v>1852</v>
      </c>
      <c r="J208" s="79" t="s">
        <v>91</v>
      </c>
      <c r="K208" s="79" t="s">
        <v>70</v>
      </c>
      <c r="L208" s="79" t="s">
        <v>152</v>
      </c>
      <c r="M208" s="130" t="s">
        <v>1853</v>
      </c>
      <c r="N208" s="79" t="s">
        <v>73</v>
      </c>
      <c r="O208" s="79" t="s">
        <v>73</v>
      </c>
      <c r="P208" s="79" t="s">
        <v>95</v>
      </c>
      <c r="Q208" s="131" t="s">
        <v>1854</v>
      </c>
      <c r="R208" s="79" t="s">
        <v>76</v>
      </c>
      <c r="S208" s="79" t="s">
        <v>97</v>
      </c>
      <c r="T208" s="79" t="s">
        <v>563</v>
      </c>
      <c r="U208" s="79" t="s">
        <v>78</v>
      </c>
      <c r="V208" s="79" t="s">
        <v>79</v>
      </c>
      <c r="W208" s="79" t="s">
        <v>80</v>
      </c>
      <c r="X208" s="79" t="s">
        <v>80</v>
      </c>
      <c r="Y208" s="79" t="s">
        <v>80</v>
      </c>
      <c r="Z208" s="79" t="s">
        <v>1845</v>
      </c>
      <c r="AA208" s="79" t="s">
        <v>189</v>
      </c>
      <c r="AB208" s="79" t="s">
        <v>1846</v>
      </c>
      <c r="AC208" s="79">
        <v>8.1321122481E10</v>
      </c>
      <c r="AD208" s="69"/>
      <c r="AE208" s="67" t="s">
        <v>1855</v>
      </c>
      <c r="AF208" s="68" t="s">
        <v>1268</v>
      </c>
      <c r="AG208" s="187" t="s">
        <v>26</v>
      </c>
      <c r="AH208" s="61"/>
      <c r="AI208" s="61"/>
      <c r="AJ208" s="61"/>
      <c r="AK208" s="61"/>
      <c r="AL208" s="61"/>
      <c r="AM208" s="61"/>
      <c r="AN208" s="61"/>
      <c r="AO208" s="61"/>
      <c r="AP208" s="61"/>
      <c r="AQ208" s="61"/>
      <c r="AR208" s="61"/>
    </row>
    <row r="209">
      <c r="A209" s="95">
        <v>20.0</v>
      </c>
      <c r="B209" s="79" t="s">
        <v>1856</v>
      </c>
      <c r="C209" s="79" t="s">
        <v>1857</v>
      </c>
      <c r="D209" s="79" t="s">
        <v>1858</v>
      </c>
      <c r="E209" s="131" t="s">
        <v>1859</v>
      </c>
      <c r="F209" s="79" t="s">
        <v>245</v>
      </c>
      <c r="G209" s="79" t="s">
        <v>66</v>
      </c>
      <c r="H209" s="79" t="s">
        <v>1860</v>
      </c>
      <c r="I209" s="79" t="s">
        <v>1861</v>
      </c>
      <c r="J209" s="79" t="s">
        <v>91</v>
      </c>
      <c r="K209" s="79" t="s">
        <v>70</v>
      </c>
      <c r="L209" s="79" t="s">
        <v>71</v>
      </c>
      <c r="M209" s="130" t="s">
        <v>1862</v>
      </c>
      <c r="N209" s="79" t="s">
        <v>82</v>
      </c>
      <c r="O209" s="79" t="s">
        <v>113</v>
      </c>
      <c r="P209" s="79" t="s">
        <v>95</v>
      </c>
      <c r="Q209" s="131" t="s">
        <v>1863</v>
      </c>
      <c r="R209" s="79" t="s">
        <v>76</v>
      </c>
      <c r="S209" s="79" t="s">
        <v>97</v>
      </c>
      <c r="T209" s="79">
        <v>2021.0</v>
      </c>
      <c r="U209" s="79" t="s">
        <v>78</v>
      </c>
      <c r="V209" s="79" t="s">
        <v>79</v>
      </c>
      <c r="W209" s="79" t="s">
        <v>80</v>
      </c>
      <c r="X209" s="79" t="s">
        <v>80</v>
      </c>
      <c r="Y209" s="79" t="s">
        <v>80</v>
      </c>
      <c r="Z209" s="79" t="s">
        <v>1864</v>
      </c>
      <c r="AA209" s="79" t="s">
        <v>189</v>
      </c>
      <c r="AB209" s="79" t="s">
        <v>1865</v>
      </c>
      <c r="AC209" s="79">
        <v>8.1214317867E10</v>
      </c>
      <c r="AD209" s="79" t="s">
        <v>1866</v>
      </c>
      <c r="AE209" s="59"/>
      <c r="AF209" s="68" t="s">
        <v>1268</v>
      </c>
      <c r="AG209" s="187" t="s">
        <v>26</v>
      </c>
      <c r="AH209" s="61"/>
      <c r="AI209" s="61"/>
      <c r="AJ209" s="61"/>
      <c r="AK209" s="61"/>
      <c r="AL209" s="61"/>
      <c r="AM209" s="61"/>
      <c r="AN209" s="61"/>
      <c r="AO209" s="61"/>
      <c r="AP209" s="61"/>
      <c r="AQ209" s="61"/>
      <c r="AR209" s="61"/>
    </row>
    <row r="210">
      <c r="A210" s="71" t="s">
        <v>1867</v>
      </c>
      <c r="B210" s="57"/>
      <c r="C210" s="57"/>
      <c r="D210" s="58"/>
      <c r="E210" s="58"/>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94"/>
      <c r="AF210" s="94"/>
      <c r="AG210" s="60"/>
      <c r="AH210" s="60"/>
      <c r="AI210" s="60"/>
      <c r="AJ210" s="60"/>
      <c r="AK210" s="60"/>
      <c r="AL210" s="60"/>
      <c r="AM210" s="60"/>
      <c r="AN210" s="60"/>
      <c r="AO210" s="60"/>
      <c r="AP210" s="60"/>
      <c r="AQ210" s="60"/>
      <c r="AR210" s="61"/>
    </row>
    <row r="211">
      <c r="A211" s="95">
        <v>3.0</v>
      </c>
      <c r="B211" s="96" t="s">
        <v>1868</v>
      </c>
      <c r="C211" s="96" t="s">
        <v>1869</v>
      </c>
      <c r="D211" s="96" t="s">
        <v>1870</v>
      </c>
      <c r="E211" s="131" t="s">
        <v>1871</v>
      </c>
      <c r="F211" s="79" t="s">
        <v>256</v>
      </c>
      <c r="G211" s="79" t="s">
        <v>138</v>
      </c>
      <c r="H211" s="79" t="s">
        <v>1872</v>
      </c>
      <c r="I211" s="96" t="s">
        <v>1873</v>
      </c>
      <c r="J211" s="79" t="s">
        <v>151</v>
      </c>
      <c r="K211" s="79" t="s">
        <v>70</v>
      </c>
      <c r="L211" s="79" t="s">
        <v>152</v>
      </c>
      <c r="M211" s="130" t="s">
        <v>1874</v>
      </c>
      <c r="N211" s="79" t="s">
        <v>82</v>
      </c>
      <c r="O211" s="79" t="s">
        <v>113</v>
      </c>
      <c r="P211" s="79" t="s">
        <v>95</v>
      </c>
      <c r="Q211" s="70" t="s">
        <v>1875</v>
      </c>
      <c r="R211" s="79" t="s">
        <v>76</v>
      </c>
      <c r="S211" s="79" t="s">
        <v>97</v>
      </c>
      <c r="T211" s="79">
        <v>2018.0</v>
      </c>
      <c r="U211" s="79" t="s">
        <v>154</v>
      </c>
      <c r="V211" s="79" t="s">
        <v>79</v>
      </c>
      <c r="W211" s="79" t="s">
        <v>80</v>
      </c>
      <c r="X211" s="69"/>
      <c r="Y211" s="69"/>
      <c r="Z211" s="79" t="s">
        <v>1876</v>
      </c>
      <c r="AA211" s="79" t="s">
        <v>191</v>
      </c>
      <c r="AB211" s="96" t="s">
        <v>1877</v>
      </c>
      <c r="AC211" s="96" t="s">
        <v>1878</v>
      </c>
      <c r="AD211" s="96" t="s">
        <v>1879</v>
      </c>
      <c r="AE211" s="59"/>
      <c r="AF211" s="59"/>
      <c r="AG211" s="84" t="s">
        <v>1867</v>
      </c>
      <c r="AH211" s="61"/>
      <c r="AI211" s="61"/>
      <c r="AJ211" s="61"/>
      <c r="AK211" s="61"/>
      <c r="AL211" s="61"/>
      <c r="AM211" s="61"/>
      <c r="AN211" s="61"/>
      <c r="AO211" s="61"/>
      <c r="AP211" s="61"/>
      <c r="AQ211" s="61"/>
      <c r="AR211" s="61"/>
    </row>
    <row r="212">
      <c r="A212" s="95">
        <v>4.0</v>
      </c>
      <c r="B212" s="96" t="s">
        <v>1880</v>
      </c>
      <c r="C212" s="96" t="s">
        <v>1881</v>
      </c>
      <c r="D212" s="96" t="s">
        <v>1882</v>
      </c>
      <c r="E212" s="70" t="s">
        <v>1883</v>
      </c>
      <c r="F212" s="79" t="s">
        <v>257</v>
      </c>
      <c r="G212" s="79" t="s">
        <v>138</v>
      </c>
      <c r="H212" s="79" t="s">
        <v>1884</v>
      </c>
      <c r="I212" s="96" t="s">
        <v>1885</v>
      </c>
      <c r="J212" s="79" t="s">
        <v>151</v>
      </c>
      <c r="K212" s="79" t="s">
        <v>70</v>
      </c>
      <c r="L212" s="79" t="s">
        <v>152</v>
      </c>
      <c r="M212" s="130" t="s">
        <v>1886</v>
      </c>
      <c r="N212" s="79" t="s">
        <v>93</v>
      </c>
      <c r="O212" s="79" t="s">
        <v>94</v>
      </c>
      <c r="P212" s="79" t="s">
        <v>74</v>
      </c>
      <c r="Q212" s="70" t="s">
        <v>1887</v>
      </c>
      <c r="R212" s="79" t="s">
        <v>76</v>
      </c>
      <c r="S212" s="79" t="s">
        <v>97</v>
      </c>
      <c r="T212" s="79">
        <v>2022.0</v>
      </c>
      <c r="U212" s="79" t="s">
        <v>154</v>
      </c>
      <c r="V212" s="79" t="s">
        <v>79</v>
      </c>
      <c r="W212" s="79" t="s">
        <v>80</v>
      </c>
      <c r="X212" s="69"/>
      <c r="Y212" s="69"/>
      <c r="Z212" s="79" t="s">
        <v>1888</v>
      </c>
      <c r="AA212" s="79" t="s">
        <v>191</v>
      </c>
      <c r="AB212" s="96" t="s">
        <v>1889</v>
      </c>
      <c r="AC212" s="96">
        <v>8.7824561374E10</v>
      </c>
      <c r="AD212" s="96" t="s">
        <v>1890</v>
      </c>
      <c r="AE212" s="59"/>
      <c r="AF212" s="59"/>
      <c r="AG212" s="84" t="s">
        <v>1867</v>
      </c>
      <c r="AH212" s="61"/>
      <c r="AI212" s="61"/>
      <c r="AJ212" s="61"/>
      <c r="AK212" s="61"/>
      <c r="AL212" s="61"/>
      <c r="AM212" s="61"/>
      <c r="AN212" s="61"/>
      <c r="AO212" s="61"/>
      <c r="AP212" s="61"/>
      <c r="AQ212" s="61"/>
      <c r="AR212" s="61"/>
    </row>
    <row r="213">
      <c r="A213" s="95">
        <v>5.0</v>
      </c>
      <c r="B213" s="96" t="s">
        <v>1891</v>
      </c>
      <c r="C213" s="96" t="s">
        <v>1892</v>
      </c>
      <c r="D213" s="96" t="s">
        <v>1893</v>
      </c>
      <c r="E213" s="70" t="s">
        <v>1894</v>
      </c>
      <c r="F213" s="79" t="s">
        <v>228</v>
      </c>
      <c r="G213" s="79" t="s">
        <v>66</v>
      </c>
      <c r="H213" s="79" t="s">
        <v>1895</v>
      </c>
      <c r="I213" s="96" t="s">
        <v>1896</v>
      </c>
      <c r="J213" s="79" t="s">
        <v>151</v>
      </c>
      <c r="K213" s="79" t="s">
        <v>70</v>
      </c>
      <c r="L213" s="79" t="s">
        <v>111</v>
      </c>
      <c r="M213" s="130" t="s">
        <v>1897</v>
      </c>
      <c r="N213" s="79" t="s">
        <v>82</v>
      </c>
      <c r="O213" s="79" t="s">
        <v>113</v>
      </c>
      <c r="P213" s="79" t="s">
        <v>95</v>
      </c>
      <c r="Q213" s="70" t="s">
        <v>1898</v>
      </c>
      <c r="R213" s="79" t="s">
        <v>76</v>
      </c>
      <c r="S213" s="79" t="s">
        <v>97</v>
      </c>
      <c r="T213" s="79">
        <v>2021.0</v>
      </c>
      <c r="U213" s="79" t="s">
        <v>78</v>
      </c>
      <c r="V213" s="79" t="s">
        <v>79</v>
      </c>
      <c r="W213" s="79" t="s">
        <v>80</v>
      </c>
      <c r="X213" s="79" t="s">
        <v>80</v>
      </c>
      <c r="Y213" s="79" t="s">
        <v>80</v>
      </c>
      <c r="Z213" s="79" t="s">
        <v>1899</v>
      </c>
      <c r="AA213" s="79" t="s">
        <v>191</v>
      </c>
      <c r="AB213" s="96" t="s">
        <v>1900</v>
      </c>
      <c r="AC213" s="96">
        <v>8.529749963E10</v>
      </c>
      <c r="AD213" s="96" t="s">
        <v>1901</v>
      </c>
      <c r="AE213" s="59"/>
      <c r="AF213" s="59"/>
      <c r="AG213" s="84" t="s">
        <v>1867</v>
      </c>
      <c r="AH213" s="61"/>
      <c r="AI213" s="61"/>
      <c r="AJ213" s="61"/>
      <c r="AK213" s="61"/>
      <c r="AL213" s="61"/>
      <c r="AM213" s="61"/>
      <c r="AN213" s="61"/>
      <c r="AO213" s="61"/>
      <c r="AP213" s="61"/>
      <c r="AQ213" s="61"/>
      <c r="AR213" s="61"/>
    </row>
    <row r="214">
      <c r="A214" s="71" t="s">
        <v>1902</v>
      </c>
      <c r="B214" s="57"/>
      <c r="C214" s="57"/>
      <c r="D214" s="58"/>
      <c r="E214" s="58"/>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94"/>
      <c r="AF214" s="94"/>
      <c r="AG214" s="60"/>
      <c r="AH214" s="60"/>
      <c r="AI214" s="60"/>
      <c r="AJ214" s="60"/>
      <c r="AK214" s="60"/>
      <c r="AL214" s="60"/>
      <c r="AM214" s="60"/>
      <c r="AN214" s="60"/>
      <c r="AO214" s="60"/>
      <c r="AP214" s="60"/>
      <c r="AQ214" s="60"/>
      <c r="AR214" s="61"/>
    </row>
    <row r="215">
      <c r="A215" s="95">
        <v>1.0</v>
      </c>
      <c r="B215" s="96" t="s">
        <v>1903</v>
      </c>
      <c r="C215" s="96" t="s">
        <v>1904</v>
      </c>
      <c r="D215" s="96" t="s">
        <v>1905</v>
      </c>
      <c r="E215" s="96" t="s">
        <v>136</v>
      </c>
      <c r="F215" s="79" t="s">
        <v>433</v>
      </c>
      <c r="G215" s="79" t="s">
        <v>66</v>
      </c>
      <c r="H215" s="79" t="s">
        <v>1906</v>
      </c>
      <c r="I215" s="96" t="s">
        <v>1907</v>
      </c>
      <c r="J215" s="79" t="s">
        <v>91</v>
      </c>
      <c r="K215" s="79" t="s">
        <v>70</v>
      </c>
      <c r="L215" s="79" t="s">
        <v>111</v>
      </c>
      <c r="M215" s="97" t="s">
        <v>1908</v>
      </c>
      <c r="N215" s="79" t="s">
        <v>144</v>
      </c>
      <c r="O215" s="79" t="s">
        <v>144</v>
      </c>
      <c r="P215" s="79" t="s">
        <v>95</v>
      </c>
      <c r="Q215" s="70" t="s">
        <v>1909</v>
      </c>
      <c r="R215" s="79" t="s">
        <v>76</v>
      </c>
      <c r="S215" s="79" t="s">
        <v>97</v>
      </c>
      <c r="T215" s="79">
        <v>2017.0</v>
      </c>
      <c r="U215" s="79" t="s">
        <v>78</v>
      </c>
      <c r="V215" s="79" t="s">
        <v>79</v>
      </c>
      <c r="W215" s="79" t="s">
        <v>80</v>
      </c>
      <c r="X215" s="79" t="s">
        <v>80</v>
      </c>
      <c r="Y215" s="79" t="s">
        <v>80</v>
      </c>
      <c r="Z215" s="79" t="s">
        <v>1910</v>
      </c>
      <c r="AA215" s="79" t="s">
        <v>193</v>
      </c>
      <c r="AB215" s="96" t="s">
        <v>1911</v>
      </c>
      <c r="AC215" s="96">
        <v>8.2118147356E10</v>
      </c>
      <c r="AD215" s="96" t="s">
        <v>1912</v>
      </c>
      <c r="AE215" s="68">
        <v>18.0</v>
      </c>
      <c r="AF215" s="68" t="s">
        <v>152</v>
      </c>
      <c r="AG215" s="188" t="s">
        <v>26</v>
      </c>
      <c r="AH215" s="61"/>
      <c r="AI215" s="61"/>
      <c r="AJ215" s="61"/>
      <c r="AK215" s="61"/>
      <c r="AL215" s="61"/>
      <c r="AM215" s="61"/>
      <c r="AN215" s="61"/>
      <c r="AO215" s="61"/>
      <c r="AP215" s="61"/>
      <c r="AQ215" s="61"/>
      <c r="AR215" s="61"/>
    </row>
    <row r="216">
      <c r="A216" s="71" t="s">
        <v>1913</v>
      </c>
      <c r="B216" s="57"/>
      <c r="C216" s="57"/>
      <c r="D216" s="58"/>
      <c r="E216" s="58"/>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94"/>
      <c r="AF216" s="94"/>
      <c r="AG216" s="60"/>
      <c r="AH216" s="60"/>
      <c r="AI216" s="60"/>
      <c r="AJ216" s="60"/>
      <c r="AK216" s="60"/>
      <c r="AL216" s="60"/>
      <c r="AM216" s="60"/>
      <c r="AN216" s="60"/>
      <c r="AO216" s="60"/>
      <c r="AP216" s="60"/>
      <c r="AQ216" s="60"/>
      <c r="AR216" s="61"/>
    </row>
    <row r="217">
      <c r="A217" s="95">
        <v>1.0</v>
      </c>
      <c r="B217" s="96" t="s">
        <v>1914</v>
      </c>
      <c r="C217" s="79" t="s">
        <v>1915</v>
      </c>
      <c r="D217" s="79" t="s">
        <v>1916</v>
      </c>
      <c r="E217" s="96" t="s">
        <v>1327</v>
      </c>
      <c r="F217" s="79" t="s">
        <v>181</v>
      </c>
      <c r="G217" s="79" t="s">
        <v>66</v>
      </c>
      <c r="H217" s="79" t="s">
        <v>1917</v>
      </c>
      <c r="I217" s="79" t="s">
        <v>1918</v>
      </c>
      <c r="J217" s="79" t="s">
        <v>151</v>
      </c>
      <c r="K217" s="79" t="s">
        <v>70</v>
      </c>
      <c r="L217" s="79" t="s">
        <v>101</v>
      </c>
      <c r="M217" s="130" t="s">
        <v>1919</v>
      </c>
      <c r="N217" s="79" t="s">
        <v>26</v>
      </c>
      <c r="O217" s="79" t="s">
        <v>113</v>
      </c>
      <c r="P217" s="79" t="s">
        <v>95</v>
      </c>
      <c r="Q217" s="70" t="s">
        <v>1920</v>
      </c>
      <c r="R217" s="79" t="s">
        <v>76</v>
      </c>
      <c r="S217" s="79" t="s">
        <v>77</v>
      </c>
      <c r="T217" s="79">
        <v>2021.0</v>
      </c>
      <c r="U217" s="79" t="s">
        <v>78</v>
      </c>
      <c r="V217" s="79" t="s">
        <v>98</v>
      </c>
      <c r="W217" s="79" t="s">
        <v>1921</v>
      </c>
      <c r="X217" s="79" t="s">
        <v>148</v>
      </c>
      <c r="Y217" s="79" t="s">
        <v>139</v>
      </c>
      <c r="Z217" s="79" t="s">
        <v>1922</v>
      </c>
      <c r="AA217" s="79" t="s">
        <v>195</v>
      </c>
      <c r="AB217" s="131" t="s">
        <v>1923</v>
      </c>
      <c r="AC217" s="96">
        <v>8.1214589147E10</v>
      </c>
      <c r="AD217" s="96" t="s">
        <v>1924</v>
      </c>
      <c r="AE217" s="68" t="s">
        <v>1925</v>
      </c>
      <c r="AF217" s="68" t="s">
        <v>71</v>
      </c>
      <c r="AG217" s="188" t="s">
        <v>1926</v>
      </c>
      <c r="AH217" s="61"/>
      <c r="AI217" s="61"/>
      <c r="AJ217" s="61"/>
      <c r="AK217" s="61"/>
      <c r="AL217" s="61"/>
      <c r="AM217" s="61"/>
      <c r="AN217" s="61"/>
      <c r="AO217" s="61"/>
      <c r="AP217" s="61"/>
      <c r="AQ217" s="61"/>
      <c r="AR217" s="61"/>
    </row>
    <row r="218">
      <c r="A218" s="95">
        <v>2.0</v>
      </c>
      <c r="B218" s="189" t="s">
        <v>1927</v>
      </c>
      <c r="C218" s="68" t="s">
        <v>1928</v>
      </c>
      <c r="D218" s="96" t="s">
        <v>1929</v>
      </c>
      <c r="E218" s="96" t="s">
        <v>1327</v>
      </c>
      <c r="F218" s="79" t="s">
        <v>280</v>
      </c>
      <c r="G218" s="79" t="s">
        <v>66</v>
      </c>
      <c r="H218" s="79" t="s">
        <v>1930</v>
      </c>
      <c r="I218" s="96" t="s">
        <v>1931</v>
      </c>
      <c r="J218" s="79" t="s">
        <v>69</v>
      </c>
      <c r="K218" s="79" t="s">
        <v>70</v>
      </c>
      <c r="L218" s="79" t="s">
        <v>101</v>
      </c>
      <c r="M218" s="130" t="s">
        <v>1932</v>
      </c>
      <c r="N218" s="79" t="s">
        <v>26</v>
      </c>
      <c r="O218" s="79" t="s">
        <v>113</v>
      </c>
      <c r="P218" s="79" t="s">
        <v>95</v>
      </c>
      <c r="Q218" s="70" t="s">
        <v>1933</v>
      </c>
      <c r="R218" s="79" t="s">
        <v>76</v>
      </c>
      <c r="S218" s="79" t="s">
        <v>77</v>
      </c>
      <c r="T218" s="79">
        <v>2025.0</v>
      </c>
      <c r="U218" s="79" t="s">
        <v>78</v>
      </c>
      <c r="V218" s="79" t="s">
        <v>79</v>
      </c>
      <c r="W218" s="79" t="s">
        <v>80</v>
      </c>
      <c r="X218" s="79" t="s">
        <v>80</v>
      </c>
      <c r="Y218" s="79" t="s">
        <v>80</v>
      </c>
      <c r="Z218" s="79" t="s">
        <v>1934</v>
      </c>
      <c r="AA218" s="79" t="s">
        <v>195</v>
      </c>
      <c r="AB218" s="96" t="s">
        <v>1935</v>
      </c>
      <c r="AC218" s="96">
        <v>8.5724376051E10</v>
      </c>
      <c r="AD218" s="96" t="s">
        <v>1924</v>
      </c>
      <c r="AE218" s="68">
        <v>19.0</v>
      </c>
      <c r="AF218" s="68" t="s">
        <v>71</v>
      </c>
      <c r="AG218" s="188" t="s">
        <v>26</v>
      </c>
      <c r="AH218" s="61"/>
      <c r="AI218" s="61"/>
      <c r="AJ218" s="61"/>
      <c r="AK218" s="61"/>
      <c r="AL218" s="61"/>
      <c r="AM218" s="61"/>
      <c r="AN218" s="61"/>
      <c r="AO218" s="61"/>
      <c r="AP218" s="61"/>
      <c r="AQ218" s="61"/>
      <c r="AR218" s="61"/>
    </row>
    <row r="219">
      <c r="A219" s="95">
        <v>4.0</v>
      </c>
      <c r="B219" s="96" t="s">
        <v>1936</v>
      </c>
      <c r="C219" s="96" t="s">
        <v>1937</v>
      </c>
      <c r="D219" s="96" t="s">
        <v>1938</v>
      </c>
      <c r="E219" s="96" t="s">
        <v>1327</v>
      </c>
      <c r="F219" s="79" t="s">
        <v>281</v>
      </c>
      <c r="G219" s="79" t="s">
        <v>66</v>
      </c>
      <c r="H219" s="79" t="s">
        <v>1939</v>
      </c>
      <c r="I219" s="96" t="s">
        <v>1940</v>
      </c>
      <c r="J219" s="79" t="s">
        <v>69</v>
      </c>
      <c r="K219" s="79" t="s">
        <v>70</v>
      </c>
      <c r="L219" s="79" t="s">
        <v>101</v>
      </c>
      <c r="M219" s="97" t="s">
        <v>1585</v>
      </c>
      <c r="N219" s="79" t="s">
        <v>73</v>
      </c>
      <c r="O219" s="79" t="s">
        <v>113</v>
      </c>
      <c r="P219" s="79" t="s">
        <v>153</v>
      </c>
      <c r="Q219" s="70" t="s">
        <v>1941</v>
      </c>
      <c r="R219" s="79" t="s">
        <v>76</v>
      </c>
      <c r="S219" s="79" t="s">
        <v>77</v>
      </c>
      <c r="T219" s="79">
        <v>2023.0</v>
      </c>
      <c r="U219" s="79" t="s">
        <v>78</v>
      </c>
      <c r="V219" s="79" t="s">
        <v>79</v>
      </c>
      <c r="W219" s="79" t="s">
        <v>80</v>
      </c>
      <c r="X219" s="79" t="s">
        <v>80</v>
      </c>
      <c r="Y219" s="79" t="s">
        <v>80</v>
      </c>
      <c r="Z219" s="79" t="s">
        <v>1942</v>
      </c>
      <c r="AA219" s="79" t="s">
        <v>195</v>
      </c>
      <c r="AB219" s="96" t="s">
        <v>1943</v>
      </c>
      <c r="AC219" s="96" t="s">
        <v>1944</v>
      </c>
      <c r="AD219" s="96" t="s">
        <v>1924</v>
      </c>
      <c r="AE219" s="68" t="s">
        <v>1945</v>
      </c>
      <c r="AF219" s="68" t="s">
        <v>1268</v>
      </c>
      <c r="AG219" s="188" t="s">
        <v>1946</v>
      </c>
      <c r="AH219" s="61"/>
      <c r="AI219" s="61"/>
      <c r="AJ219" s="61"/>
      <c r="AK219" s="61"/>
      <c r="AL219" s="61"/>
      <c r="AM219" s="61"/>
      <c r="AN219" s="61"/>
      <c r="AO219" s="61"/>
      <c r="AP219" s="61"/>
      <c r="AQ219" s="61"/>
      <c r="AR219" s="61"/>
    </row>
    <row r="220">
      <c r="A220" s="95">
        <v>14.0</v>
      </c>
      <c r="B220" s="96" t="s">
        <v>1947</v>
      </c>
      <c r="C220" s="96" t="s">
        <v>1948</v>
      </c>
      <c r="D220" s="96" t="s">
        <v>1949</v>
      </c>
      <c r="E220" s="96" t="s">
        <v>1327</v>
      </c>
      <c r="F220" s="79" t="s">
        <v>281</v>
      </c>
      <c r="G220" s="79" t="s">
        <v>131</v>
      </c>
      <c r="H220" s="79" t="s">
        <v>1950</v>
      </c>
      <c r="I220" s="79" t="s">
        <v>1950</v>
      </c>
      <c r="J220" s="79" t="s">
        <v>151</v>
      </c>
      <c r="K220" s="79" t="s">
        <v>70</v>
      </c>
      <c r="L220" s="79" t="s">
        <v>101</v>
      </c>
      <c r="M220" s="97" t="s">
        <v>1951</v>
      </c>
      <c r="N220" s="79" t="s">
        <v>26</v>
      </c>
      <c r="O220" s="79" t="s">
        <v>113</v>
      </c>
      <c r="P220" s="79" t="s">
        <v>95</v>
      </c>
      <c r="Q220" s="70" t="s">
        <v>1952</v>
      </c>
      <c r="R220" s="79" t="s">
        <v>76</v>
      </c>
      <c r="S220" s="79" t="s">
        <v>97</v>
      </c>
      <c r="T220" s="79">
        <v>2023.0</v>
      </c>
      <c r="U220" s="79" t="s">
        <v>78</v>
      </c>
      <c r="V220" s="79" t="s">
        <v>98</v>
      </c>
      <c r="W220" s="79" t="s">
        <v>1921</v>
      </c>
      <c r="X220" s="79" t="s">
        <v>148</v>
      </c>
      <c r="Y220" s="79" t="s">
        <v>139</v>
      </c>
      <c r="Z220" s="79" t="s">
        <v>1922</v>
      </c>
      <c r="AA220" s="79" t="s">
        <v>195</v>
      </c>
      <c r="AB220" s="131" t="s">
        <v>1953</v>
      </c>
      <c r="AC220" s="96">
        <v>8.1214589147E10</v>
      </c>
      <c r="AD220" s="96" t="s">
        <v>1924</v>
      </c>
      <c r="AE220" s="68">
        <v>23.0</v>
      </c>
      <c r="AF220" s="68" t="s">
        <v>71</v>
      </c>
      <c r="AG220" s="188" t="s">
        <v>26</v>
      </c>
      <c r="AH220" s="61"/>
      <c r="AI220" s="61"/>
      <c r="AJ220" s="61"/>
      <c r="AK220" s="61"/>
      <c r="AL220" s="61"/>
      <c r="AM220" s="61"/>
      <c r="AN220" s="61"/>
      <c r="AO220" s="61"/>
      <c r="AP220" s="61"/>
      <c r="AQ220" s="61"/>
      <c r="AR220" s="61"/>
    </row>
    <row r="221">
      <c r="A221" s="71" t="s">
        <v>1954</v>
      </c>
      <c r="B221" s="57"/>
      <c r="C221" s="57"/>
      <c r="D221" s="58"/>
      <c r="E221" s="58"/>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94"/>
      <c r="AF221" s="94"/>
      <c r="AG221" s="60"/>
      <c r="AH221" s="60"/>
      <c r="AI221" s="60"/>
      <c r="AJ221" s="60"/>
      <c r="AK221" s="60"/>
      <c r="AL221" s="60"/>
      <c r="AM221" s="60"/>
      <c r="AN221" s="60"/>
      <c r="AO221" s="60"/>
      <c r="AP221" s="60"/>
      <c r="AQ221" s="60"/>
      <c r="AR221" s="61"/>
    </row>
    <row r="222">
      <c r="A222" s="95">
        <v>1.0</v>
      </c>
      <c r="B222" s="96" t="s">
        <v>1955</v>
      </c>
      <c r="C222" s="96" t="s">
        <v>1956</v>
      </c>
      <c r="D222" s="96" t="s">
        <v>1957</v>
      </c>
      <c r="E222" s="70" t="s">
        <v>1958</v>
      </c>
      <c r="F222" s="79" t="s">
        <v>65</v>
      </c>
      <c r="G222" s="79" t="s">
        <v>66</v>
      </c>
      <c r="H222" s="69"/>
      <c r="I222" s="96" t="s">
        <v>1959</v>
      </c>
      <c r="J222" s="79" t="s">
        <v>91</v>
      </c>
      <c r="K222" s="79" t="s">
        <v>110</v>
      </c>
      <c r="L222" s="79" t="s">
        <v>143</v>
      </c>
      <c r="M222" s="97" t="s">
        <v>1960</v>
      </c>
      <c r="N222" s="79" t="s">
        <v>93</v>
      </c>
      <c r="O222" s="79" t="s">
        <v>113</v>
      </c>
      <c r="P222" s="79" t="s">
        <v>74</v>
      </c>
      <c r="Q222" s="70" t="s">
        <v>1961</v>
      </c>
      <c r="R222" s="79" t="s">
        <v>76</v>
      </c>
      <c r="S222" s="79" t="s">
        <v>97</v>
      </c>
      <c r="T222" s="79">
        <v>2018.0</v>
      </c>
      <c r="U222" s="79" t="s">
        <v>78</v>
      </c>
      <c r="V222" s="79" t="s">
        <v>79</v>
      </c>
      <c r="W222" s="79" t="s">
        <v>80</v>
      </c>
      <c r="X222" s="79" t="s">
        <v>80</v>
      </c>
      <c r="Y222" s="79" t="s">
        <v>80</v>
      </c>
      <c r="Z222" s="79" t="s">
        <v>1962</v>
      </c>
      <c r="AA222" s="79" t="s">
        <v>197</v>
      </c>
      <c r="AB222" s="70" t="s">
        <v>1963</v>
      </c>
      <c r="AC222" s="96">
        <v>8.5607626507E10</v>
      </c>
      <c r="AD222" s="96" t="s">
        <v>1964</v>
      </c>
      <c r="AE222" s="59"/>
      <c r="AF222" s="59"/>
      <c r="AG222" s="60"/>
      <c r="AH222" s="61"/>
      <c r="AI222" s="61"/>
      <c r="AJ222" s="61"/>
      <c r="AK222" s="61"/>
      <c r="AL222" s="61"/>
      <c r="AM222" s="61"/>
      <c r="AN222" s="61"/>
      <c r="AO222" s="61"/>
      <c r="AP222" s="61"/>
      <c r="AQ222" s="61"/>
      <c r="AR222" s="61"/>
    </row>
    <row r="223">
      <c r="A223" s="95">
        <v>2.0</v>
      </c>
      <c r="B223" s="96" t="s">
        <v>1965</v>
      </c>
      <c r="C223" s="96" t="s">
        <v>1966</v>
      </c>
      <c r="D223" s="96" t="s">
        <v>1967</v>
      </c>
      <c r="E223" s="70" t="s">
        <v>1968</v>
      </c>
      <c r="F223" s="79" t="s">
        <v>65</v>
      </c>
      <c r="G223" s="79" t="s">
        <v>66</v>
      </c>
      <c r="H223" s="79" t="s">
        <v>1969</v>
      </c>
      <c r="I223" s="96" t="s">
        <v>1970</v>
      </c>
      <c r="J223" s="79" t="s">
        <v>69</v>
      </c>
      <c r="K223" s="79" t="s">
        <v>70</v>
      </c>
      <c r="L223" s="79" t="s">
        <v>71</v>
      </c>
      <c r="M223" s="97" t="s">
        <v>1971</v>
      </c>
      <c r="N223" s="79" t="s">
        <v>73</v>
      </c>
      <c r="O223" s="79" t="s">
        <v>73</v>
      </c>
      <c r="P223" s="79" t="s">
        <v>95</v>
      </c>
      <c r="Q223" s="70" t="s">
        <v>1972</v>
      </c>
      <c r="R223" s="79" t="s">
        <v>76</v>
      </c>
      <c r="S223" s="79" t="s">
        <v>77</v>
      </c>
      <c r="T223" s="98">
        <v>2013.0</v>
      </c>
      <c r="U223" s="79" t="s">
        <v>78</v>
      </c>
      <c r="V223" s="79" t="s">
        <v>79</v>
      </c>
      <c r="W223" s="79" t="s">
        <v>80</v>
      </c>
      <c r="X223" s="79" t="s">
        <v>80</v>
      </c>
      <c r="Y223" s="79" t="s">
        <v>80</v>
      </c>
      <c r="Z223" s="79" t="s">
        <v>1962</v>
      </c>
      <c r="AA223" s="79" t="s">
        <v>197</v>
      </c>
      <c r="AB223" s="96" t="s">
        <v>1973</v>
      </c>
      <c r="AC223" s="96">
        <v>8.1903169517E10</v>
      </c>
      <c r="AD223" s="96" t="s">
        <v>1974</v>
      </c>
      <c r="AE223" s="59"/>
      <c r="AF223" s="59"/>
      <c r="AG223" s="60"/>
      <c r="AH223" s="61"/>
      <c r="AI223" s="61"/>
      <c r="AJ223" s="61"/>
      <c r="AK223" s="61"/>
      <c r="AL223" s="61"/>
      <c r="AM223" s="61"/>
      <c r="AN223" s="61"/>
      <c r="AO223" s="61"/>
      <c r="AP223" s="61"/>
      <c r="AQ223" s="61"/>
      <c r="AR223" s="61"/>
    </row>
    <row r="224">
      <c r="A224" s="95">
        <v>4.0</v>
      </c>
      <c r="B224" s="96" t="s">
        <v>1975</v>
      </c>
      <c r="C224" s="96" t="s">
        <v>1976</v>
      </c>
      <c r="D224" s="96" t="s">
        <v>1977</v>
      </c>
      <c r="E224" s="59"/>
      <c r="F224" s="79" t="s">
        <v>65</v>
      </c>
      <c r="G224" s="79" t="s">
        <v>66</v>
      </c>
      <c r="H224" s="69"/>
      <c r="I224" s="96" t="s">
        <v>1978</v>
      </c>
      <c r="J224" s="79" t="s">
        <v>91</v>
      </c>
      <c r="K224" s="79" t="s">
        <v>110</v>
      </c>
      <c r="L224" s="79" t="s">
        <v>111</v>
      </c>
      <c r="M224" s="144" t="s">
        <v>1979</v>
      </c>
      <c r="N224" s="79" t="s">
        <v>73</v>
      </c>
      <c r="O224" s="79" t="s">
        <v>73</v>
      </c>
      <c r="P224" s="79" t="s">
        <v>95</v>
      </c>
      <c r="Q224" s="70" t="s">
        <v>1980</v>
      </c>
      <c r="R224" s="79" t="s">
        <v>76</v>
      </c>
      <c r="S224" s="79" t="s">
        <v>97</v>
      </c>
      <c r="T224" s="98">
        <v>2017.0</v>
      </c>
      <c r="U224" s="79" t="s">
        <v>78</v>
      </c>
      <c r="V224" s="79" t="s">
        <v>79</v>
      </c>
      <c r="W224" s="69"/>
      <c r="X224" s="69"/>
      <c r="Y224" s="69"/>
      <c r="Z224" s="79" t="s">
        <v>1981</v>
      </c>
      <c r="AA224" s="79" t="s">
        <v>197</v>
      </c>
      <c r="AB224" s="96" t="s">
        <v>1982</v>
      </c>
      <c r="AC224" s="98">
        <v>8.131192289E9</v>
      </c>
      <c r="AD224" s="69"/>
      <c r="AE224" s="59"/>
      <c r="AF224" s="67" t="s">
        <v>71</v>
      </c>
      <c r="AG224" s="60"/>
      <c r="AH224" s="61"/>
      <c r="AI224" s="61"/>
      <c r="AJ224" s="61"/>
      <c r="AK224" s="61"/>
      <c r="AL224" s="61"/>
      <c r="AM224" s="61"/>
      <c r="AN224" s="61"/>
      <c r="AO224" s="61"/>
      <c r="AP224" s="61"/>
      <c r="AQ224" s="61"/>
      <c r="AR224" s="61"/>
    </row>
    <row r="225">
      <c r="A225" s="95">
        <v>5.0</v>
      </c>
      <c r="B225" s="96" t="s">
        <v>1983</v>
      </c>
      <c r="C225" s="96" t="s">
        <v>1984</v>
      </c>
      <c r="D225" s="96" t="s">
        <v>1977</v>
      </c>
      <c r="E225" s="59"/>
      <c r="F225" s="79" t="s">
        <v>65</v>
      </c>
      <c r="G225" s="79" t="s">
        <v>66</v>
      </c>
      <c r="H225" s="69"/>
      <c r="I225" s="96" t="s">
        <v>1985</v>
      </c>
      <c r="J225" s="79" t="s">
        <v>91</v>
      </c>
      <c r="K225" s="79" t="s">
        <v>110</v>
      </c>
      <c r="L225" s="79" t="s">
        <v>111</v>
      </c>
      <c r="M225" s="97" t="s">
        <v>1986</v>
      </c>
      <c r="N225" s="79" t="s">
        <v>26</v>
      </c>
      <c r="O225" s="79" t="s">
        <v>113</v>
      </c>
      <c r="P225" s="79" t="s">
        <v>153</v>
      </c>
      <c r="Q225" s="70" t="s">
        <v>1987</v>
      </c>
      <c r="R225" s="79" t="s">
        <v>76</v>
      </c>
      <c r="S225" s="79" t="s">
        <v>97</v>
      </c>
      <c r="T225" s="98">
        <v>2022.0</v>
      </c>
      <c r="U225" s="79" t="s">
        <v>78</v>
      </c>
      <c r="V225" s="79" t="s">
        <v>79</v>
      </c>
      <c r="W225" s="69"/>
      <c r="X225" s="69"/>
      <c r="Y225" s="69"/>
      <c r="Z225" s="79" t="s">
        <v>1988</v>
      </c>
      <c r="AA225" s="79" t="s">
        <v>197</v>
      </c>
      <c r="AB225" s="96" t="s">
        <v>1989</v>
      </c>
      <c r="AC225" s="98">
        <v>8.2219151878E10</v>
      </c>
      <c r="AD225" s="69"/>
      <c r="AE225" s="59"/>
      <c r="AF225" s="67" t="s">
        <v>71</v>
      </c>
      <c r="AG225" s="60"/>
      <c r="AH225" s="61"/>
      <c r="AI225" s="61"/>
      <c r="AJ225" s="61"/>
      <c r="AK225" s="61"/>
      <c r="AL225" s="61"/>
      <c r="AM225" s="61"/>
      <c r="AN225" s="61"/>
      <c r="AO225" s="61"/>
      <c r="AP225" s="61"/>
      <c r="AQ225" s="61"/>
      <c r="AR225" s="61"/>
    </row>
    <row r="226">
      <c r="A226" s="95">
        <v>6.0</v>
      </c>
      <c r="B226" s="96" t="s">
        <v>1990</v>
      </c>
      <c r="C226" s="96" t="s">
        <v>1991</v>
      </c>
      <c r="D226" s="96" t="s">
        <v>1992</v>
      </c>
      <c r="E226" s="79" t="s">
        <v>563</v>
      </c>
      <c r="F226" s="79" t="s">
        <v>65</v>
      </c>
      <c r="G226" s="79" t="s">
        <v>66</v>
      </c>
      <c r="H226" s="69"/>
      <c r="I226" s="96" t="s">
        <v>1993</v>
      </c>
      <c r="J226" s="79" t="s">
        <v>69</v>
      </c>
      <c r="K226" s="79" t="s">
        <v>110</v>
      </c>
      <c r="L226" s="79" t="s">
        <v>71</v>
      </c>
      <c r="M226" s="97" t="s">
        <v>1994</v>
      </c>
      <c r="N226" s="79" t="s">
        <v>73</v>
      </c>
      <c r="O226" s="79" t="s">
        <v>73</v>
      </c>
      <c r="P226" s="79" t="s">
        <v>74</v>
      </c>
      <c r="Q226" s="70" t="s">
        <v>1995</v>
      </c>
      <c r="R226" s="79" t="s">
        <v>76</v>
      </c>
      <c r="S226" s="79" t="s">
        <v>97</v>
      </c>
      <c r="T226" s="79">
        <v>2016.0</v>
      </c>
      <c r="U226" s="79" t="s">
        <v>78</v>
      </c>
      <c r="V226" s="79" t="s">
        <v>79</v>
      </c>
      <c r="W226" s="79" t="s">
        <v>80</v>
      </c>
      <c r="X226" s="79" t="s">
        <v>80</v>
      </c>
      <c r="Y226" s="79" t="s">
        <v>80</v>
      </c>
      <c r="Z226" s="79" t="s">
        <v>1962</v>
      </c>
      <c r="AA226" s="79" t="s">
        <v>197</v>
      </c>
      <c r="AB226" s="96" t="s">
        <v>1996</v>
      </c>
      <c r="AC226" s="96">
        <v>8.9656240816E10</v>
      </c>
      <c r="AD226" s="96" t="s">
        <v>1964</v>
      </c>
      <c r="AE226" s="59"/>
      <c r="AF226" s="59"/>
      <c r="AG226" s="60"/>
      <c r="AH226" s="61"/>
      <c r="AI226" s="61"/>
      <c r="AJ226" s="61"/>
      <c r="AK226" s="61"/>
      <c r="AL226" s="61"/>
      <c r="AM226" s="61"/>
      <c r="AN226" s="61"/>
      <c r="AO226" s="61"/>
      <c r="AP226" s="61"/>
      <c r="AQ226" s="61"/>
      <c r="AR226" s="61"/>
    </row>
    <row r="227">
      <c r="A227" s="71" t="s">
        <v>1997</v>
      </c>
      <c r="B227" s="57"/>
      <c r="C227" s="57"/>
      <c r="D227" s="58"/>
      <c r="E227" s="58"/>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94"/>
      <c r="AF227" s="94"/>
      <c r="AG227" s="60"/>
      <c r="AH227" s="60"/>
      <c r="AI227" s="60"/>
      <c r="AJ227" s="60"/>
      <c r="AK227" s="60"/>
      <c r="AL227" s="60"/>
      <c r="AM227" s="60"/>
      <c r="AN227" s="60"/>
      <c r="AO227" s="60"/>
      <c r="AP227" s="60"/>
      <c r="AQ227" s="60"/>
      <c r="AR227" s="61"/>
    </row>
    <row r="228">
      <c r="A228" s="95">
        <v>1.0</v>
      </c>
      <c r="B228" s="96" t="s">
        <v>1998</v>
      </c>
      <c r="C228" s="96" t="s">
        <v>1999</v>
      </c>
      <c r="D228" s="96" t="s">
        <v>2000</v>
      </c>
      <c r="E228" s="70" t="s">
        <v>2001</v>
      </c>
      <c r="F228" s="79" t="s">
        <v>370</v>
      </c>
      <c r="G228" s="79" t="s">
        <v>66</v>
      </c>
      <c r="H228" s="79" t="s">
        <v>2002</v>
      </c>
      <c r="I228" s="96" t="s">
        <v>2003</v>
      </c>
      <c r="J228" s="79" t="s">
        <v>151</v>
      </c>
      <c r="K228" s="79" t="s">
        <v>70</v>
      </c>
      <c r="L228" s="79" t="s">
        <v>71</v>
      </c>
      <c r="M228" s="97" t="s">
        <v>2004</v>
      </c>
      <c r="N228" s="79" t="s">
        <v>93</v>
      </c>
      <c r="O228" s="79" t="s">
        <v>113</v>
      </c>
      <c r="P228" s="79" t="s">
        <v>74</v>
      </c>
      <c r="Q228" s="70" t="s">
        <v>2005</v>
      </c>
      <c r="R228" s="79" t="s">
        <v>76</v>
      </c>
      <c r="S228" s="79" t="s">
        <v>77</v>
      </c>
      <c r="T228" s="98">
        <v>2023.0</v>
      </c>
      <c r="U228" s="79" t="s">
        <v>78</v>
      </c>
      <c r="V228" s="79" t="s">
        <v>98</v>
      </c>
      <c r="W228" s="79" t="s">
        <v>2006</v>
      </c>
      <c r="X228" s="79" t="s">
        <v>100</v>
      </c>
      <c r="Y228" s="79" t="s">
        <v>139</v>
      </c>
      <c r="Z228" s="79" t="s">
        <v>2007</v>
      </c>
      <c r="AA228" s="79" t="s">
        <v>199</v>
      </c>
      <c r="AB228" s="96" t="s">
        <v>2008</v>
      </c>
      <c r="AC228" s="96">
        <v>8.5220376631E10</v>
      </c>
      <c r="AD228" s="96" t="s">
        <v>2009</v>
      </c>
      <c r="AE228" s="59"/>
      <c r="AF228" s="68" t="s">
        <v>566</v>
      </c>
      <c r="AG228" s="60"/>
      <c r="AH228" s="61"/>
      <c r="AI228" s="61"/>
      <c r="AJ228" s="61"/>
      <c r="AK228" s="61"/>
      <c r="AL228" s="61"/>
      <c r="AM228" s="61"/>
      <c r="AN228" s="61"/>
      <c r="AO228" s="61"/>
      <c r="AP228" s="61"/>
      <c r="AQ228" s="61"/>
      <c r="AR228" s="61"/>
    </row>
    <row r="229">
      <c r="A229" s="95">
        <v>2.0</v>
      </c>
      <c r="B229" s="96" t="s">
        <v>2010</v>
      </c>
      <c r="C229" s="96" t="s">
        <v>2011</v>
      </c>
      <c r="D229" s="96" t="s">
        <v>2000</v>
      </c>
      <c r="E229" s="70" t="s">
        <v>2012</v>
      </c>
      <c r="F229" s="79" t="s">
        <v>370</v>
      </c>
      <c r="G229" s="79" t="s">
        <v>66</v>
      </c>
      <c r="H229" s="79" t="s">
        <v>2002</v>
      </c>
      <c r="I229" s="96" t="s">
        <v>2013</v>
      </c>
      <c r="J229" s="79" t="s">
        <v>151</v>
      </c>
      <c r="K229" s="79" t="s">
        <v>70</v>
      </c>
      <c r="L229" s="79" t="s">
        <v>71</v>
      </c>
      <c r="M229" s="190"/>
      <c r="N229" s="79" t="s">
        <v>93</v>
      </c>
      <c r="O229" s="79" t="s">
        <v>113</v>
      </c>
      <c r="P229" s="79" t="s">
        <v>74</v>
      </c>
      <c r="Q229" s="70" t="s">
        <v>2014</v>
      </c>
      <c r="R229" s="79" t="s">
        <v>76</v>
      </c>
      <c r="S229" s="79" t="s">
        <v>77</v>
      </c>
      <c r="T229" s="98">
        <v>2023.0</v>
      </c>
      <c r="U229" s="79" t="s">
        <v>78</v>
      </c>
      <c r="V229" s="79" t="s">
        <v>98</v>
      </c>
      <c r="W229" s="79" t="s">
        <v>2006</v>
      </c>
      <c r="X229" s="79" t="s">
        <v>100</v>
      </c>
      <c r="Y229" s="79" t="s">
        <v>139</v>
      </c>
      <c r="Z229" s="79" t="s">
        <v>2007</v>
      </c>
      <c r="AA229" s="79" t="s">
        <v>199</v>
      </c>
      <c r="AB229" s="96" t="s">
        <v>2008</v>
      </c>
      <c r="AC229" s="96">
        <v>8.5220376631E10</v>
      </c>
      <c r="AD229" s="96" t="s">
        <v>2009</v>
      </c>
      <c r="AE229" s="59"/>
      <c r="AF229" s="68" t="s">
        <v>566</v>
      </c>
      <c r="AG229" s="60"/>
      <c r="AH229" s="61"/>
      <c r="AI229" s="61"/>
      <c r="AJ229" s="61"/>
      <c r="AK229" s="61"/>
      <c r="AL229" s="61"/>
      <c r="AM229" s="61"/>
      <c r="AN229" s="61"/>
      <c r="AO229" s="61"/>
      <c r="AP229" s="61"/>
      <c r="AQ229" s="61"/>
      <c r="AR229" s="61"/>
    </row>
    <row r="230">
      <c r="A230" s="95">
        <v>3.0</v>
      </c>
      <c r="B230" s="96" t="s">
        <v>2015</v>
      </c>
      <c r="C230" s="96" t="s">
        <v>2016</v>
      </c>
      <c r="D230" s="96" t="s">
        <v>2017</v>
      </c>
      <c r="E230" s="70" t="s">
        <v>2018</v>
      </c>
      <c r="F230" s="79" t="s">
        <v>304</v>
      </c>
      <c r="G230" s="79" t="s">
        <v>131</v>
      </c>
      <c r="H230" s="79" t="s">
        <v>2019</v>
      </c>
      <c r="I230" s="96" t="s">
        <v>2020</v>
      </c>
      <c r="J230" s="79" t="s">
        <v>151</v>
      </c>
      <c r="K230" s="79" t="s">
        <v>110</v>
      </c>
      <c r="L230" s="79" t="s">
        <v>101</v>
      </c>
      <c r="M230" s="97" t="s">
        <v>2021</v>
      </c>
      <c r="N230" s="79" t="s">
        <v>26</v>
      </c>
      <c r="O230" s="79" t="s">
        <v>113</v>
      </c>
      <c r="P230" s="79" t="s">
        <v>95</v>
      </c>
      <c r="Q230" s="70" t="s">
        <v>2022</v>
      </c>
      <c r="R230" s="79" t="s">
        <v>76</v>
      </c>
      <c r="S230" s="79" t="s">
        <v>97</v>
      </c>
      <c r="T230" s="98">
        <v>2024.0</v>
      </c>
      <c r="U230" s="79" t="s">
        <v>78</v>
      </c>
      <c r="V230" s="79" t="s">
        <v>79</v>
      </c>
      <c r="W230" s="79" t="s">
        <v>80</v>
      </c>
      <c r="X230" s="79" t="s">
        <v>80</v>
      </c>
      <c r="Y230" s="79" t="s">
        <v>80</v>
      </c>
      <c r="Z230" s="79" t="s">
        <v>2007</v>
      </c>
      <c r="AA230" s="79" t="s">
        <v>199</v>
      </c>
      <c r="AB230" s="96" t="s">
        <v>2008</v>
      </c>
      <c r="AC230" s="96">
        <v>8.5220376631E10</v>
      </c>
      <c r="AD230" s="96" t="s">
        <v>2009</v>
      </c>
      <c r="AE230" s="59"/>
      <c r="AF230" s="68" t="s">
        <v>566</v>
      </c>
      <c r="AG230" s="60"/>
      <c r="AH230" s="61"/>
      <c r="AI230" s="61"/>
      <c r="AJ230" s="61"/>
      <c r="AK230" s="61"/>
      <c r="AL230" s="61"/>
      <c r="AM230" s="61"/>
      <c r="AN230" s="61"/>
      <c r="AO230" s="61"/>
      <c r="AP230" s="61"/>
      <c r="AQ230" s="61"/>
      <c r="AR230" s="61"/>
    </row>
    <row r="231">
      <c r="A231" s="95">
        <v>4.0</v>
      </c>
      <c r="B231" s="96" t="s">
        <v>2023</v>
      </c>
      <c r="C231" s="96" t="s">
        <v>2024</v>
      </c>
      <c r="D231" s="96" t="s">
        <v>2017</v>
      </c>
      <c r="E231" s="70" t="s">
        <v>2025</v>
      </c>
      <c r="F231" s="79" t="s">
        <v>304</v>
      </c>
      <c r="G231" s="79" t="s">
        <v>131</v>
      </c>
      <c r="H231" s="79" t="s">
        <v>2026</v>
      </c>
      <c r="I231" s="96" t="s">
        <v>2027</v>
      </c>
      <c r="J231" s="79" t="s">
        <v>151</v>
      </c>
      <c r="K231" s="79" t="s">
        <v>110</v>
      </c>
      <c r="L231" s="79" t="s">
        <v>101</v>
      </c>
      <c r="M231" s="97" t="s">
        <v>2021</v>
      </c>
      <c r="N231" s="79" t="s">
        <v>26</v>
      </c>
      <c r="O231" s="79" t="s">
        <v>113</v>
      </c>
      <c r="P231" s="79" t="s">
        <v>95</v>
      </c>
      <c r="Q231" s="70" t="s">
        <v>2028</v>
      </c>
      <c r="R231" s="79" t="s">
        <v>76</v>
      </c>
      <c r="S231" s="79" t="s">
        <v>97</v>
      </c>
      <c r="T231" s="98">
        <v>2024.0</v>
      </c>
      <c r="U231" s="79" t="s">
        <v>78</v>
      </c>
      <c r="V231" s="79" t="s">
        <v>79</v>
      </c>
      <c r="W231" s="79" t="s">
        <v>80</v>
      </c>
      <c r="X231" s="79" t="s">
        <v>80</v>
      </c>
      <c r="Y231" s="79" t="s">
        <v>80</v>
      </c>
      <c r="Z231" s="79" t="s">
        <v>2007</v>
      </c>
      <c r="AA231" s="79" t="s">
        <v>199</v>
      </c>
      <c r="AB231" s="96" t="s">
        <v>2008</v>
      </c>
      <c r="AC231" s="96">
        <v>8.5220376631E10</v>
      </c>
      <c r="AD231" s="96" t="s">
        <v>2009</v>
      </c>
      <c r="AE231" s="59"/>
      <c r="AF231" s="68" t="s">
        <v>152</v>
      </c>
      <c r="AG231" s="60"/>
      <c r="AH231" s="61"/>
      <c r="AI231" s="61"/>
      <c r="AJ231" s="61"/>
      <c r="AK231" s="61"/>
      <c r="AL231" s="61"/>
      <c r="AM231" s="61"/>
      <c r="AN231" s="61"/>
      <c r="AO231" s="61"/>
      <c r="AP231" s="61"/>
      <c r="AQ231" s="61"/>
      <c r="AR231" s="61"/>
    </row>
    <row r="232">
      <c r="A232" s="95">
        <v>5.0</v>
      </c>
      <c r="B232" s="96" t="s">
        <v>2029</v>
      </c>
      <c r="C232" s="96" t="s">
        <v>2030</v>
      </c>
      <c r="D232" s="96" t="s">
        <v>2031</v>
      </c>
      <c r="E232" s="70" t="s">
        <v>2032</v>
      </c>
      <c r="F232" s="79" t="s">
        <v>339</v>
      </c>
      <c r="G232" s="79" t="s">
        <v>66</v>
      </c>
      <c r="H232" s="79" t="s">
        <v>2033</v>
      </c>
      <c r="I232" s="96" t="s">
        <v>2034</v>
      </c>
      <c r="J232" s="79" t="s">
        <v>151</v>
      </c>
      <c r="K232" s="79" t="s">
        <v>70</v>
      </c>
      <c r="L232" s="79" t="s">
        <v>152</v>
      </c>
      <c r="M232" s="97" t="s">
        <v>2035</v>
      </c>
      <c r="N232" s="79" t="s">
        <v>26</v>
      </c>
      <c r="O232" s="79" t="s">
        <v>113</v>
      </c>
      <c r="P232" s="79" t="s">
        <v>153</v>
      </c>
      <c r="Q232" s="96" t="s">
        <v>2036</v>
      </c>
      <c r="R232" s="79" t="s">
        <v>146</v>
      </c>
      <c r="S232" s="79" t="s">
        <v>77</v>
      </c>
      <c r="T232" s="98">
        <v>2021.0</v>
      </c>
      <c r="U232" s="79" t="s">
        <v>147</v>
      </c>
      <c r="V232" s="79" t="s">
        <v>79</v>
      </c>
      <c r="W232" s="79" t="s">
        <v>80</v>
      </c>
      <c r="X232" s="79" t="s">
        <v>80</v>
      </c>
      <c r="Y232" s="79" t="s">
        <v>80</v>
      </c>
      <c r="Z232" s="79" t="s">
        <v>2037</v>
      </c>
      <c r="AA232" s="79" t="s">
        <v>199</v>
      </c>
      <c r="AB232" s="96" t="s">
        <v>2038</v>
      </c>
      <c r="AC232" s="96" t="s">
        <v>2039</v>
      </c>
      <c r="AD232" s="96" t="s">
        <v>563</v>
      </c>
      <c r="AE232" s="59"/>
      <c r="AF232" s="68" t="s">
        <v>111</v>
      </c>
      <c r="AG232" s="60"/>
      <c r="AH232" s="61"/>
      <c r="AI232" s="61"/>
      <c r="AJ232" s="61"/>
      <c r="AK232" s="61"/>
      <c r="AL232" s="61"/>
      <c r="AM232" s="61"/>
      <c r="AN232" s="61"/>
      <c r="AO232" s="61"/>
      <c r="AP232" s="61"/>
      <c r="AQ232" s="61"/>
      <c r="AR232" s="61"/>
    </row>
    <row r="233">
      <c r="A233" s="95">
        <v>6.0</v>
      </c>
      <c r="B233" s="96" t="s">
        <v>2040</v>
      </c>
      <c r="C233" s="96" t="s">
        <v>2041</v>
      </c>
      <c r="D233" s="96" t="s">
        <v>2042</v>
      </c>
      <c r="E233" s="70" t="s">
        <v>2043</v>
      </c>
      <c r="F233" s="79" t="s">
        <v>339</v>
      </c>
      <c r="G233" s="79" t="s">
        <v>66</v>
      </c>
      <c r="H233" s="79" t="s">
        <v>2044</v>
      </c>
      <c r="I233" s="96" t="s">
        <v>2045</v>
      </c>
      <c r="J233" s="79" t="s">
        <v>151</v>
      </c>
      <c r="K233" s="79" t="s">
        <v>110</v>
      </c>
      <c r="L233" s="79" t="s">
        <v>152</v>
      </c>
      <c r="M233" s="97" t="s">
        <v>2035</v>
      </c>
      <c r="N233" s="79" t="s">
        <v>26</v>
      </c>
      <c r="O233" s="79" t="s">
        <v>113</v>
      </c>
      <c r="P233" s="79" t="s">
        <v>153</v>
      </c>
      <c r="Q233" s="96" t="s">
        <v>2036</v>
      </c>
      <c r="R233" s="79" t="s">
        <v>146</v>
      </c>
      <c r="S233" s="79" t="s">
        <v>97</v>
      </c>
      <c r="T233" s="98">
        <v>2021.0</v>
      </c>
      <c r="U233" s="79" t="s">
        <v>147</v>
      </c>
      <c r="V233" s="79" t="s">
        <v>79</v>
      </c>
      <c r="W233" s="79" t="s">
        <v>80</v>
      </c>
      <c r="X233" s="79" t="s">
        <v>80</v>
      </c>
      <c r="Y233" s="79" t="s">
        <v>80</v>
      </c>
      <c r="Z233" s="79" t="s">
        <v>2037</v>
      </c>
      <c r="AA233" s="79" t="s">
        <v>199</v>
      </c>
      <c r="AB233" s="96" t="s">
        <v>2038</v>
      </c>
      <c r="AC233" s="96" t="s">
        <v>2039</v>
      </c>
      <c r="AD233" s="96" t="s">
        <v>563</v>
      </c>
      <c r="AE233" s="59"/>
      <c r="AF233" s="68" t="s">
        <v>1268</v>
      </c>
      <c r="AG233" s="60"/>
      <c r="AH233" s="61"/>
      <c r="AI233" s="61"/>
      <c r="AJ233" s="61"/>
      <c r="AK233" s="61"/>
      <c r="AL233" s="61"/>
      <c r="AM233" s="61"/>
      <c r="AN233" s="61"/>
      <c r="AO233" s="61"/>
      <c r="AP233" s="61"/>
      <c r="AQ233" s="61"/>
      <c r="AR233" s="61"/>
    </row>
    <row r="234">
      <c r="A234" s="95">
        <v>7.0</v>
      </c>
      <c r="B234" s="96" t="s">
        <v>2046</v>
      </c>
      <c r="C234" s="96" t="s">
        <v>2047</v>
      </c>
      <c r="D234" s="96" t="s">
        <v>2048</v>
      </c>
      <c r="E234" s="70" t="s">
        <v>2049</v>
      </c>
      <c r="F234" s="79" t="s">
        <v>309</v>
      </c>
      <c r="G234" s="79" t="s">
        <v>66</v>
      </c>
      <c r="H234" s="79" t="s">
        <v>2050</v>
      </c>
      <c r="I234" s="79" t="s">
        <v>2050</v>
      </c>
      <c r="J234" s="79" t="s">
        <v>151</v>
      </c>
      <c r="K234" s="79" t="s">
        <v>70</v>
      </c>
      <c r="L234" s="79" t="s">
        <v>111</v>
      </c>
      <c r="M234" s="97" t="s">
        <v>2035</v>
      </c>
      <c r="N234" s="79" t="s">
        <v>26</v>
      </c>
      <c r="O234" s="79" t="s">
        <v>113</v>
      </c>
      <c r="P234" s="79" t="s">
        <v>153</v>
      </c>
      <c r="Q234" s="96" t="s">
        <v>2036</v>
      </c>
      <c r="R234" s="79" t="s">
        <v>146</v>
      </c>
      <c r="S234" s="79" t="s">
        <v>97</v>
      </c>
      <c r="T234" s="98">
        <v>2017.0</v>
      </c>
      <c r="U234" s="79" t="s">
        <v>147</v>
      </c>
      <c r="V234" s="79" t="s">
        <v>79</v>
      </c>
      <c r="W234" s="79" t="s">
        <v>80</v>
      </c>
      <c r="X234" s="79" t="s">
        <v>80</v>
      </c>
      <c r="Y234" s="79" t="s">
        <v>80</v>
      </c>
      <c r="Z234" s="79" t="s">
        <v>2051</v>
      </c>
      <c r="AA234" s="79" t="s">
        <v>199</v>
      </c>
      <c r="AB234" s="96" t="s">
        <v>2052</v>
      </c>
      <c r="AC234" s="96" t="s">
        <v>2053</v>
      </c>
      <c r="AD234" s="96" t="s">
        <v>563</v>
      </c>
      <c r="AE234" s="59"/>
      <c r="AF234" s="68" t="s">
        <v>1268</v>
      </c>
      <c r="AG234" s="60"/>
      <c r="AH234" s="61"/>
      <c r="AI234" s="61"/>
      <c r="AJ234" s="61"/>
      <c r="AK234" s="61"/>
      <c r="AL234" s="61"/>
      <c r="AM234" s="61"/>
      <c r="AN234" s="61"/>
      <c r="AO234" s="61"/>
      <c r="AP234" s="61"/>
      <c r="AQ234" s="61"/>
      <c r="AR234" s="61"/>
    </row>
    <row r="235">
      <c r="A235" s="95">
        <v>8.0</v>
      </c>
      <c r="B235" s="96" t="s">
        <v>2054</v>
      </c>
      <c r="C235" s="96" t="s">
        <v>2055</v>
      </c>
      <c r="D235" s="96" t="s">
        <v>2000</v>
      </c>
      <c r="E235" s="70" t="s">
        <v>2056</v>
      </c>
      <c r="F235" s="79" t="s">
        <v>370</v>
      </c>
      <c r="G235" s="79" t="s">
        <v>66</v>
      </c>
      <c r="H235" s="79" t="s">
        <v>2057</v>
      </c>
      <c r="I235" s="96" t="s">
        <v>2058</v>
      </c>
      <c r="J235" s="79" t="s">
        <v>151</v>
      </c>
      <c r="K235" s="79" t="s">
        <v>70</v>
      </c>
      <c r="L235" s="79" t="s">
        <v>152</v>
      </c>
      <c r="M235" s="97" t="s">
        <v>2059</v>
      </c>
      <c r="N235" s="79" t="s">
        <v>26</v>
      </c>
      <c r="O235" s="79" t="s">
        <v>113</v>
      </c>
      <c r="P235" s="79" t="s">
        <v>153</v>
      </c>
      <c r="Q235" s="96" t="s">
        <v>2036</v>
      </c>
      <c r="R235" s="79" t="s">
        <v>146</v>
      </c>
      <c r="S235" s="79" t="s">
        <v>97</v>
      </c>
      <c r="T235" s="98">
        <v>2021.0</v>
      </c>
      <c r="U235" s="79" t="s">
        <v>147</v>
      </c>
      <c r="V235" s="79" t="s">
        <v>79</v>
      </c>
      <c r="W235" s="79" t="s">
        <v>80</v>
      </c>
      <c r="X235" s="79" t="s">
        <v>80</v>
      </c>
      <c r="Y235" s="79" t="s">
        <v>80</v>
      </c>
      <c r="Z235" s="79" t="s">
        <v>2060</v>
      </c>
      <c r="AA235" s="79" t="s">
        <v>199</v>
      </c>
      <c r="AB235" s="96" t="s">
        <v>2061</v>
      </c>
      <c r="AC235" s="96" t="s">
        <v>2062</v>
      </c>
      <c r="AD235" s="96" t="s">
        <v>563</v>
      </c>
      <c r="AE235" s="59"/>
      <c r="AF235" s="68" t="s">
        <v>566</v>
      </c>
      <c r="AG235" s="60"/>
      <c r="AH235" s="61"/>
      <c r="AI235" s="61"/>
      <c r="AJ235" s="61"/>
      <c r="AK235" s="61"/>
      <c r="AL235" s="61"/>
      <c r="AM235" s="61"/>
      <c r="AN235" s="61"/>
      <c r="AO235" s="61"/>
      <c r="AP235" s="61"/>
      <c r="AQ235" s="61"/>
      <c r="AR235" s="61"/>
    </row>
    <row r="236">
      <c r="A236" s="95">
        <v>9.0</v>
      </c>
      <c r="B236" s="96" t="s">
        <v>2063</v>
      </c>
      <c r="C236" s="96" t="s">
        <v>2064</v>
      </c>
      <c r="D236" s="96" t="s">
        <v>2065</v>
      </c>
      <c r="E236" s="96" t="s">
        <v>563</v>
      </c>
      <c r="F236" s="79" t="s">
        <v>165</v>
      </c>
      <c r="G236" s="79" t="s">
        <v>66</v>
      </c>
      <c r="H236" s="79" t="s">
        <v>2066</v>
      </c>
      <c r="I236" s="96" t="s">
        <v>2067</v>
      </c>
      <c r="J236" s="79" t="s">
        <v>91</v>
      </c>
      <c r="K236" s="79" t="s">
        <v>110</v>
      </c>
      <c r="L236" s="79" t="s">
        <v>111</v>
      </c>
      <c r="M236" s="97" t="s">
        <v>1498</v>
      </c>
      <c r="N236" s="79" t="s">
        <v>82</v>
      </c>
      <c r="O236" s="79" t="s">
        <v>113</v>
      </c>
      <c r="P236" s="79" t="s">
        <v>95</v>
      </c>
      <c r="Q236" s="96" t="s">
        <v>2036</v>
      </c>
      <c r="R236" s="79" t="s">
        <v>146</v>
      </c>
      <c r="S236" s="79" t="s">
        <v>97</v>
      </c>
      <c r="T236" s="98">
        <v>2021.0</v>
      </c>
      <c r="U236" s="79" t="s">
        <v>147</v>
      </c>
      <c r="V236" s="79" t="s">
        <v>79</v>
      </c>
      <c r="W236" s="79" t="s">
        <v>80</v>
      </c>
      <c r="X236" s="79" t="s">
        <v>80</v>
      </c>
      <c r="Y236" s="79" t="s">
        <v>80</v>
      </c>
      <c r="Z236" s="79" t="s">
        <v>2068</v>
      </c>
      <c r="AA236" s="79" t="s">
        <v>199</v>
      </c>
      <c r="AB236" s="96" t="s">
        <v>2069</v>
      </c>
      <c r="AC236" s="96" t="s">
        <v>2070</v>
      </c>
      <c r="AD236" s="96" t="s">
        <v>563</v>
      </c>
      <c r="AE236" s="59"/>
      <c r="AF236" s="68" t="s">
        <v>1268</v>
      </c>
      <c r="AG236" s="60"/>
      <c r="AH236" s="61"/>
      <c r="AI236" s="61"/>
      <c r="AJ236" s="61"/>
      <c r="AK236" s="61"/>
      <c r="AL236" s="61"/>
      <c r="AM236" s="61"/>
      <c r="AN236" s="61"/>
      <c r="AO236" s="61"/>
      <c r="AP236" s="61"/>
      <c r="AQ236" s="61"/>
      <c r="AR236" s="61"/>
    </row>
    <row r="237">
      <c r="A237" s="95">
        <v>10.0</v>
      </c>
      <c r="B237" s="96" t="s">
        <v>2071</v>
      </c>
      <c r="C237" s="96" t="s">
        <v>2072</v>
      </c>
      <c r="D237" s="96" t="s">
        <v>2065</v>
      </c>
      <c r="E237" s="96" t="s">
        <v>563</v>
      </c>
      <c r="F237" s="79" t="s">
        <v>165</v>
      </c>
      <c r="G237" s="79" t="s">
        <v>66</v>
      </c>
      <c r="H237" s="79" t="s">
        <v>2073</v>
      </c>
      <c r="I237" s="96" t="s">
        <v>2067</v>
      </c>
      <c r="J237" s="79" t="s">
        <v>91</v>
      </c>
      <c r="K237" s="79" t="s">
        <v>110</v>
      </c>
      <c r="L237" s="79" t="s">
        <v>111</v>
      </c>
      <c r="M237" s="144" t="s">
        <v>527</v>
      </c>
      <c r="N237" s="79" t="s">
        <v>82</v>
      </c>
      <c r="O237" s="79" t="s">
        <v>113</v>
      </c>
      <c r="P237" s="79" t="s">
        <v>145</v>
      </c>
      <c r="Q237" s="70" t="s">
        <v>2074</v>
      </c>
      <c r="R237" s="79" t="s">
        <v>76</v>
      </c>
      <c r="S237" s="79" t="s">
        <v>97</v>
      </c>
      <c r="T237" s="98">
        <v>2021.0</v>
      </c>
      <c r="U237" s="79" t="s">
        <v>78</v>
      </c>
      <c r="V237" s="79" t="s">
        <v>79</v>
      </c>
      <c r="W237" s="79" t="s">
        <v>80</v>
      </c>
      <c r="X237" s="79" t="s">
        <v>80</v>
      </c>
      <c r="Y237" s="79" t="s">
        <v>80</v>
      </c>
      <c r="Z237" s="79" t="s">
        <v>2068</v>
      </c>
      <c r="AA237" s="79" t="s">
        <v>199</v>
      </c>
      <c r="AB237" s="96" t="s">
        <v>2069</v>
      </c>
      <c r="AC237" s="96" t="s">
        <v>2070</v>
      </c>
      <c r="AD237" s="96" t="s">
        <v>563</v>
      </c>
      <c r="AE237" s="59"/>
      <c r="AF237" s="68" t="s">
        <v>1268</v>
      </c>
      <c r="AG237" s="60"/>
      <c r="AH237" s="61"/>
      <c r="AI237" s="61"/>
      <c r="AJ237" s="61"/>
      <c r="AK237" s="61"/>
      <c r="AL237" s="61"/>
      <c r="AM237" s="61"/>
      <c r="AN237" s="61"/>
      <c r="AO237" s="61"/>
      <c r="AP237" s="61"/>
      <c r="AQ237" s="61"/>
      <c r="AR237" s="61"/>
    </row>
    <row r="238">
      <c r="A238" s="95" t="e">
        <v>#REF!</v>
      </c>
      <c r="B238" s="96" t="s">
        <v>2075</v>
      </c>
      <c r="C238" s="96" t="s">
        <v>2076</v>
      </c>
      <c r="D238" s="96" t="s">
        <v>2077</v>
      </c>
      <c r="E238" s="70" t="s">
        <v>2078</v>
      </c>
      <c r="F238" s="79" t="s">
        <v>339</v>
      </c>
      <c r="G238" s="79" t="s">
        <v>66</v>
      </c>
      <c r="H238" s="79" t="s">
        <v>2079</v>
      </c>
      <c r="I238" s="96" t="s">
        <v>2080</v>
      </c>
      <c r="J238" s="79" t="s">
        <v>151</v>
      </c>
      <c r="K238" s="79" t="s">
        <v>110</v>
      </c>
      <c r="L238" s="79" t="s">
        <v>111</v>
      </c>
      <c r="M238" s="97" t="s">
        <v>2035</v>
      </c>
      <c r="N238" s="79" t="s">
        <v>26</v>
      </c>
      <c r="O238" s="79" t="s">
        <v>113</v>
      </c>
      <c r="P238" s="79" t="s">
        <v>153</v>
      </c>
      <c r="Q238" s="96" t="s">
        <v>2036</v>
      </c>
      <c r="R238" s="79" t="s">
        <v>146</v>
      </c>
      <c r="S238" s="79" t="s">
        <v>77</v>
      </c>
      <c r="T238" s="98">
        <v>2021.0</v>
      </c>
      <c r="U238" s="79" t="s">
        <v>147</v>
      </c>
      <c r="V238" s="79" t="s">
        <v>79</v>
      </c>
      <c r="W238" s="79" t="s">
        <v>80</v>
      </c>
      <c r="X238" s="79" t="s">
        <v>80</v>
      </c>
      <c r="Y238" s="79" t="s">
        <v>80</v>
      </c>
      <c r="Z238" s="79" t="s">
        <v>2037</v>
      </c>
      <c r="AA238" s="79" t="s">
        <v>199</v>
      </c>
      <c r="AB238" s="96" t="s">
        <v>2038</v>
      </c>
      <c r="AC238" s="96" t="s">
        <v>2039</v>
      </c>
      <c r="AD238" s="96" t="s">
        <v>563</v>
      </c>
      <c r="AE238" s="59"/>
      <c r="AF238" s="68" t="s">
        <v>111</v>
      </c>
      <c r="AG238" s="60"/>
      <c r="AH238" s="61"/>
      <c r="AI238" s="61"/>
      <c r="AJ238" s="61"/>
      <c r="AK238" s="61"/>
      <c r="AL238" s="61"/>
      <c r="AM238" s="61"/>
      <c r="AN238" s="61"/>
      <c r="AO238" s="61"/>
      <c r="AP238" s="61"/>
      <c r="AQ238" s="61"/>
      <c r="AR238" s="61"/>
    </row>
    <row r="239">
      <c r="A239" s="95">
        <v>13.0</v>
      </c>
      <c r="B239" s="96" t="s">
        <v>2081</v>
      </c>
      <c r="C239" s="96" t="s">
        <v>2082</v>
      </c>
      <c r="D239" s="96" t="s">
        <v>2083</v>
      </c>
      <c r="E239" s="59"/>
      <c r="F239" s="79" t="s">
        <v>127</v>
      </c>
      <c r="G239" s="79" t="s">
        <v>131</v>
      </c>
      <c r="H239" s="79" t="s">
        <v>2084</v>
      </c>
      <c r="I239" s="96" t="s">
        <v>2085</v>
      </c>
      <c r="J239" s="79" t="s">
        <v>151</v>
      </c>
      <c r="K239" s="79" t="s">
        <v>70</v>
      </c>
      <c r="L239" s="79" t="s">
        <v>152</v>
      </c>
      <c r="M239" s="97" t="s">
        <v>2086</v>
      </c>
      <c r="N239" s="79" t="s">
        <v>26</v>
      </c>
      <c r="O239" s="79" t="s">
        <v>113</v>
      </c>
      <c r="P239" s="79" t="s">
        <v>95</v>
      </c>
      <c r="Q239" s="96" t="s">
        <v>2036</v>
      </c>
      <c r="R239" s="79" t="s">
        <v>76</v>
      </c>
      <c r="S239" s="79" t="s">
        <v>77</v>
      </c>
      <c r="T239" s="98">
        <v>2024.0</v>
      </c>
      <c r="U239" s="79" t="s">
        <v>78</v>
      </c>
      <c r="V239" s="79" t="s">
        <v>79</v>
      </c>
      <c r="W239" s="79" t="s">
        <v>80</v>
      </c>
      <c r="X239" s="79" t="s">
        <v>80</v>
      </c>
      <c r="Y239" s="79" t="s">
        <v>80</v>
      </c>
      <c r="Z239" s="79" t="s">
        <v>2068</v>
      </c>
      <c r="AA239" s="79" t="s">
        <v>199</v>
      </c>
      <c r="AB239" s="96" t="s">
        <v>2069</v>
      </c>
      <c r="AC239" s="96" t="s">
        <v>2070</v>
      </c>
      <c r="AD239" s="96" t="s">
        <v>2087</v>
      </c>
      <c r="AE239" s="59"/>
      <c r="AF239" s="68" t="s">
        <v>71</v>
      </c>
      <c r="AG239" s="60"/>
      <c r="AH239" s="61"/>
      <c r="AI239" s="61"/>
      <c r="AJ239" s="61"/>
      <c r="AK239" s="61"/>
      <c r="AL239" s="61"/>
      <c r="AM239" s="61"/>
      <c r="AN239" s="61"/>
      <c r="AO239" s="61"/>
      <c r="AP239" s="61"/>
      <c r="AQ239" s="61"/>
      <c r="AR239" s="61"/>
    </row>
    <row r="240">
      <c r="A240" s="71" t="s">
        <v>2088</v>
      </c>
      <c r="B240" s="57"/>
      <c r="C240" s="57"/>
      <c r="D240" s="58"/>
      <c r="E240" s="58"/>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94"/>
      <c r="AF240" s="94"/>
      <c r="AG240" s="60"/>
      <c r="AH240" s="60"/>
      <c r="AI240" s="60"/>
      <c r="AJ240" s="60"/>
      <c r="AK240" s="60"/>
      <c r="AL240" s="60"/>
      <c r="AM240" s="60"/>
      <c r="AN240" s="60"/>
      <c r="AO240" s="60"/>
      <c r="AP240" s="60"/>
      <c r="AQ240" s="60"/>
      <c r="AR240" s="61"/>
    </row>
    <row r="241">
      <c r="A241" s="95">
        <v>4.0</v>
      </c>
      <c r="B241" s="96" t="s">
        <v>2089</v>
      </c>
      <c r="C241" s="96" t="s">
        <v>2090</v>
      </c>
      <c r="D241" s="96" t="s">
        <v>2091</v>
      </c>
      <c r="E241" s="70" t="s">
        <v>2092</v>
      </c>
      <c r="F241" s="79" t="s">
        <v>107</v>
      </c>
      <c r="G241" s="79" t="s">
        <v>138</v>
      </c>
      <c r="H241" s="79" t="s">
        <v>2093</v>
      </c>
      <c r="I241" s="96" t="s">
        <v>2094</v>
      </c>
      <c r="J241" s="79" t="s">
        <v>151</v>
      </c>
      <c r="K241" s="79" t="s">
        <v>70</v>
      </c>
      <c r="L241" s="79" t="s">
        <v>101</v>
      </c>
      <c r="M241" s="97" t="s">
        <v>2095</v>
      </c>
      <c r="N241" s="79" t="s">
        <v>26</v>
      </c>
      <c r="O241" s="79" t="s">
        <v>113</v>
      </c>
      <c r="P241" s="79" t="s">
        <v>95</v>
      </c>
      <c r="Q241" s="70" t="s">
        <v>2096</v>
      </c>
      <c r="R241" s="79" t="s">
        <v>76</v>
      </c>
      <c r="S241" s="79" t="s">
        <v>97</v>
      </c>
      <c r="T241" s="79">
        <v>2022.0</v>
      </c>
      <c r="U241" s="79" t="s">
        <v>78</v>
      </c>
      <c r="V241" s="79" t="s">
        <v>79</v>
      </c>
      <c r="W241" s="79" t="s">
        <v>80</v>
      </c>
      <c r="X241" s="79" t="s">
        <v>80</v>
      </c>
      <c r="Y241" s="79" t="s">
        <v>80</v>
      </c>
      <c r="Z241" s="79" t="s">
        <v>2097</v>
      </c>
      <c r="AA241" s="79" t="s">
        <v>201</v>
      </c>
      <c r="AB241" s="96" t="s">
        <v>2098</v>
      </c>
      <c r="AC241" s="98">
        <v>8.9678500033E10</v>
      </c>
      <c r="AD241" s="96" t="s">
        <v>2099</v>
      </c>
      <c r="AE241" s="59"/>
      <c r="AF241" s="59"/>
      <c r="AG241" s="84" t="s">
        <v>2100</v>
      </c>
      <c r="AH241" s="61"/>
      <c r="AI241" s="61"/>
      <c r="AJ241" s="61"/>
      <c r="AK241" s="61"/>
      <c r="AL241" s="61"/>
      <c r="AM241" s="61"/>
      <c r="AN241" s="61"/>
      <c r="AO241" s="61"/>
      <c r="AP241" s="61"/>
      <c r="AQ241" s="61"/>
      <c r="AR241" s="61"/>
    </row>
    <row r="242">
      <c r="A242" s="71" t="s">
        <v>2101</v>
      </c>
      <c r="B242" s="57"/>
      <c r="C242" s="57"/>
      <c r="D242" s="58"/>
      <c r="E242" s="58"/>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94"/>
      <c r="AF242" s="94"/>
      <c r="AG242" s="60"/>
      <c r="AH242" s="60"/>
      <c r="AI242" s="60"/>
      <c r="AJ242" s="60"/>
      <c r="AK242" s="60"/>
      <c r="AL242" s="60"/>
      <c r="AM242" s="60"/>
      <c r="AN242" s="60"/>
      <c r="AO242" s="60"/>
      <c r="AP242" s="60"/>
      <c r="AQ242" s="60"/>
      <c r="AR242" s="61"/>
    </row>
    <row r="243">
      <c r="A243" s="71" t="s">
        <v>2102</v>
      </c>
      <c r="B243" s="57"/>
      <c r="C243" s="57"/>
      <c r="D243" s="58"/>
      <c r="E243" s="58"/>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94"/>
      <c r="AF243" s="94"/>
      <c r="AG243" s="60"/>
      <c r="AH243" s="60"/>
      <c r="AI243" s="60"/>
      <c r="AJ243" s="60"/>
      <c r="AK243" s="60"/>
      <c r="AL243" s="60"/>
      <c r="AM243" s="60"/>
      <c r="AN243" s="60"/>
      <c r="AO243" s="60"/>
      <c r="AP243" s="60"/>
      <c r="AQ243" s="60"/>
      <c r="AR243" s="61"/>
    </row>
    <row r="244">
      <c r="A244" s="95">
        <v>1.0</v>
      </c>
      <c r="B244" s="96" t="s">
        <v>85</v>
      </c>
      <c r="C244" s="96" t="s">
        <v>2103</v>
      </c>
      <c r="D244" s="96" t="s">
        <v>2104</v>
      </c>
      <c r="E244" s="70" t="s">
        <v>2105</v>
      </c>
      <c r="F244" s="79" t="s">
        <v>391</v>
      </c>
      <c r="G244" s="79" t="s">
        <v>131</v>
      </c>
      <c r="H244" s="79" t="s">
        <v>2106</v>
      </c>
      <c r="I244" s="96" t="s">
        <v>2107</v>
      </c>
      <c r="J244" s="79" t="s">
        <v>151</v>
      </c>
      <c r="K244" s="79" t="s">
        <v>110</v>
      </c>
      <c r="L244" s="79" t="s">
        <v>111</v>
      </c>
      <c r="M244" s="97" t="s">
        <v>2108</v>
      </c>
      <c r="N244" s="79" t="s">
        <v>82</v>
      </c>
      <c r="O244" s="79" t="s">
        <v>113</v>
      </c>
      <c r="P244" s="79" t="s">
        <v>95</v>
      </c>
      <c r="Q244" s="70" t="s">
        <v>2109</v>
      </c>
      <c r="R244" s="79" t="s">
        <v>76</v>
      </c>
      <c r="S244" s="79" t="s">
        <v>97</v>
      </c>
      <c r="T244" s="98">
        <v>2019.0</v>
      </c>
      <c r="U244" s="79" t="s">
        <v>78</v>
      </c>
      <c r="V244" s="79" t="s">
        <v>98</v>
      </c>
      <c r="W244" s="79" t="s">
        <v>2110</v>
      </c>
      <c r="X244" s="79" t="s">
        <v>148</v>
      </c>
      <c r="Y244" s="79" t="s">
        <v>139</v>
      </c>
      <c r="Z244" s="79" t="s">
        <v>2111</v>
      </c>
      <c r="AA244" s="79" t="s">
        <v>205</v>
      </c>
      <c r="AB244" s="96" t="s">
        <v>2112</v>
      </c>
      <c r="AC244" s="98">
        <v>8.170222882E9</v>
      </c>
      <c r="AD244" s="96" t="s">
        <v>2113</v>
      </c>
      <c r="AE244" s="77">
        <v>29.0</v>
      </c>
      <c r="AF244" s="67" t="s">
        <v>2114</v>
      </c>
      <c r="AG244" s="84" t="s">
        <v>26</v>
      </c>
      <c r="AH244" s="61"/>
      <c r="AI244" s="61"/>
      <c r="AJ244" s="61"/>
      <c r="AK244" s="61"/>
      <c r="AL244" s="61"/>
      <c r="AM244" s="61"/>
      <c r="AN244" s="61"/>
      <c r="AO244" s="61"/>
      <c r="AP244" s="61"/>
      <c r="AQ244" s="61"/>
      <c r="AR244" s="61"/>
    </row>
    <row r="245">
      <c r="A245" s="191">
        <v>2.0</v>
      </c>
      <c r="B245" s="192" t="s">
        <v>2115</v>
      </c>
      <c r="C245" s="193" t="s">
        <v>2116</v>
      </c>
      <c r="D245" s="96" t="s">
        <v>2104</v>
      </c>
      <c r="E245" s="70" t="s">
        <v>2117</v>
      </c>
      <c r="F245" s="79" t="s">
        <v>463</v>
      </c>
      <c r="G245" s="79" t="s">
        <v>123</v>
      </c>
      <c r="H245" s="79" t="s">
        <v>2118</v>
      </c>
      <c r="I245" s="69"/>
      <c r="J245" s="79" t="s">
        <v>151</v>
      </c>
      <c r="K245" s="79" t="s">
        <v>110</v>
      </c>
      <c r="L245" s="79" t="s">
        <v>111</v>
      </c>
      <c r="M245" s="97" t="s">
        <v>607</v>
      </c>
      <c r="N245" s="79" t="s">
        <v>73</v>
      </c>
      <c r="O245" s="79" t="s">
        <v>73</v>
      </c>
      <c r="P245" s="79" t="s">
        <v>95</v>
      </c>
      <c r="Q245" s="69"/>
      <c r="R245" s="79" t="s">
        <v>76</v>
      </c>
      <c r="S245" s="79" t="s">
        <v>97</v>
      </c>
      <c r="T245" s="69"/>
      <c r="U245" s="79" t="s">
        <v>78</v>
      </c>
      <c r="V245" s="79" t="s">
        <v>79</v>
      </c>
      <c r="W245" s="69"/>
      <c r="X245" s="79" t="s">
        <v>80</v>
      </c>
      <c r="Y245" s="79" t="s">
        <v>139</v>
      </c>
      <c r="Z245" s="69"/>
      <c r="AA245" s="69"/>
      <c r="AB245" s="96" t="s">
        <v>2119</v>
      </c>
      <c r="AC245" s="96" t="s">
        <v>2119</v>
      </c>
      <c r="AD245" s="96" t="s">
        <v>2119</v>
      </c>
      <c r="AE245" s="77">
        <v>29.0</v>
      </c>
      <c r="AF245" s="67" t="s">
        <v>2114</v>
      </c>
      <c r="AG245" s="194" t="s">
        <v>2120</v>
      </c>
      <c r="AH245" s="61"/>
      <c r="AI245" s="61"/>
      <c r="AJ245" s="61"/>
      <c r="AK245" s="61"/>
      <c r="AL245" s="61"/>
      <c r="AM245" s="61"/>
      <c r="AN245" s="61"/>
      <c r="AO245" s="61"/>
      <c r="AP245" s="61"/>
      <c r="AQ245" s="61"/>
      <c r="AR245" s="61"/>
    </row>
    <row r="246">
      <c r="A246" s="191">
        <v>3.0</v>
      </c>
      <c r="B246" s="193" t="s">
        <v>2121</v>
      </c>
      <c r="C246" s="193" t="s">
        <v>2122</v>
      </c>
      <c r="D246" s="96" t="s">
        <v>2104</v>
      </c>
      <c r="E246" s="70" t="s">
        <v>2123</v>
      </c>
      <c r="F246" s="79" t="s">
        <v>390</v>
      </c>
      <c r="G246" s="79" t="s">
        <v>131</v>
      </c>
      <c r="H246" s="79" t="s">
        <v>2106</v>
      </c>
      <c r="I246" s="96" t="s">
        <v>2107</v>
      </c>
      <c r="J246" s="79" t="s">
        <v>151</v>
      </c>
      <c r="K246" s="79" t="s">
        <v>110</v>
      </c>
      <c r="L246" s="79" t="s">
        <v>111</v>
      </c>
      <c r="M246" s="97" t="s">
        <v>2108</v>
      </c>
      <c r="N246" s="79" t="s">
        <v>82</v>
      </c>
      <c r="O246" s="79" t="s">
        <v>113</v>
      </c>
      <c r="P246" s="79" t="s">
        <v>95</v>
      </c>
      <c r="Q246" s="70" t="s">
        <v>2124</v>
      </c>
      <c r="R246" s="79" t="s">
        <v>76</v>
      </c>
      <c r="S246" s="79" t="s">
        <v>97</v>
      </c>
      <c r="T246" s="98">
        <v>2023.0</v>
      </c>
      <c r="U246" s="79" t="s">
        <v>78</v>
      </c>
      <c r="V246" s="79" t="s">
        <v>98</v>
      </c>
      <c r="W246" s="79" t="s">
        <v>2110</v>
      </c>
      <c r="X246" s="79" t="s">
        <v>148</v>
      </c>
      <c r="Y246" s="79" t="s">
        <v>139</v>
      </c>
      <c r="Z246" s="79" t="s">
        <v>2111</v>
      </c>
      <c r="AA246" s="79" t="s">
        <v>205</v>
      </c>
      <c r="AB246" s="96" t="s">
        <v>2112</v>
      </c>
      <c r="AC246" s="98">
        <v>8.170222882E9</v>
      </c>
      <c r="AD246" s="96" t="s">
        <v>2113</v>
      </c>
      <c r="AE246" s="77">
        <v>29.0</v>
      </c>
      <c r="AF246" s="67" t="s">
        <v>2114</v>
      </c>
      <c r="AG246" s="194" t="s">
        <v>2120</v>
      </c>
      <c r="AH246" s="61"/>
      <c r="AI246" s="61"/>
      <c r="AJ246" s="61"/>
      <c r="AK246" s="61"/>
      <c r="AL246" s="61"/>
      <c r="AM246" s="61"/>
      <c r="AN246" s="61"/>
      <c r="AO246" s="61"/>
      <c r="AP246" s="61"/>
      <c r="AQ246" s="61"/>
      <c r="AR246" s="61"/>
    </row>
    <row r="247">
      <c r="A247" s="191">
        <v>4.0</v>
      </c>
      <c r="B247" s="193" t="s">
        <v>2125</v>
      </c>
      <c r="C247" s="193" t="s">
        <v>2126</v>
      </c>
      <c r="D247" s="96" t="s">
        <v>2127</v>
      </c>
      <c r="E247" s="70" t="s">
        <v>2128</v>
      </c>
      <c r="F247" s="79" t="s">
        <v>452</v>
      </c>
      <c r="G247" s="79" t="s">
        <v>131</v>
      </c>
      <c r="H247" s="79" t="s">
        <v>2129</v>
      </c>
      <c r="I247" s="96" t="s">
        <v>2130</v>
      </c>
      <c r="J247" s="79" t="s">
        <v>151</v>
      </c>
      <c r="K247" s="79" t="s">
        <v>110</v>
      </c>
      <c r="L247" s="79" t="s">
        <v>101</v>
      </c>
      <c r="M247" s="97" t="s">
        <v>649</v>
      </c>
      <c r="N247" s="79" t="s">
        <v>93</v>
      </c>
      <c r="O247" s="79" t="s">
        <v>113</v>
      </c>
      <c r="P247" s="79" t="s">
        <v>95</v>
      </c>
      <c r="Q247" s="70" t="s">
        <v>2131</v>
      </c>
      <c r="R247" s="79" t="s">
        <v>76</v>
      </c>
      <c r="S247" s="79" t="s">
        <v>97</v>
      </c>
      <c r="T247" s="98">
        <v>2018.0</v>
      </c>
      <c r="U247" s="79" t="s">
        <v>78</v>
      </c>
      <c r="V247" s="79" t="s">
        <v>98</v>
      </c>
      <c r="W247" s="79" t="s">
        <v>2110</v>
      </c>
      <c r="X247" s="79" t="s">
        <v>80</v>
      </c>
      <c r="Y247" s="79" t="s">
        <v>80</v>
      </c>
      <c r="Z247" s="79" t="s">
        <v>2132</v>
      </c>
      <c r="AA247" s="79" t="s">
        <v>205</v>
      </c>
      <c r="AB247" s="96" t="s">
        <v>2133</v>
      </c>
      <c r="AC247" s="96" t="s">
        <v>2134</v>
      </c>
      <c r="AD247" s="96" t="s">
        <v>2135</v>
      </c>
      <c r="AE247" s="77">
        <v>28.0</v>
      </c>
      <c r="AF247" s="67" t="s">
        <v>2136</v>
      </c>
      <c r="AG247" s="84" t="s">
        <v>26</v>
      </c>
      <c r="AH247" s="61"/>
      <c r="AI247" s="61"/>
      <c r="AJ247" s="61"/>
      <c r="AK247" s="61"/>
      <c r="AL247" s="61"/>
      <c r="AM247" s="61"/>
      <c r="AN247" s="61"/>
      <c r="AO247" s="61"/>
      <c r="AP247" s="61"/>
      <c r="AQ247" s="61"/>
      <c r="AR247" s="61"/>
    </row>
    <row r="248">
      <c r="A248" s="191">
        <v>5.0</v>
      </c>
      <c r="B248" s="193" t="s">
        <v>2137</v>
      </c>
      <c r="C248" s="193" t="s">
        <v>2138</v>
      </c>
      <c r="D248" s="96" t="s">
        <v>2139</v>
      </c>
      <c r="E248" s="70" t="s">
        <v>2140</v>
      </c>
      <c r="F248" s="79" t="s">
        <v>391</v>
      </c>
      <c r="G248" s="79" t="s">
        <v>66</v>
      </c>
      <c r="H248" s="79" t="s">
        <v>2141</v>
      </c>
      <c r="I248" s="96" t="s">
        <v>2142</v>
      </c>
      <c r="J248" s="79" t="s">
        <v>91</v>
      </c>
      <c r="K248" s="79" t="s">
        <v>110</v>
      </c>
      <c r="L248" s="79" t="s">
        <v>152</v>
      </c>
      <c r="M248" s="97" t="s">
        <v>2143</v>
      </c>
      <c r="N248" s="79" t="s">
        <v>82</v>
      </c>
      <c r="O248" s="79" t="s">
        <v>113</v>
      </c>
      <c r="P248" s="79" t="s">
        <v>95</v>
      </c>
      <c r="Q248" s="70" t="s">
        <v>2144</v>
      </c>
      <c r="R248" s="79" t="s">
        <v>76</v>
      </c>
      <c r="S248" s="79" t="s">
        <v>97</v>
      </c>
      <c r="T248" s="98">
        <v>2024.0</v>
      </c>
      <c r="U248" s="79" t="s">
        <v>78</v>
      </c>
      <c r="V248" s="79" t="s">
        <v>98</v>
      </c>
      <c r="W248" s="79" t="s">
        <v>2145</v>
      </c>
      <c r="X248" s="79" t="s">
        <v>148</v>
      </c>
      <c r="Y248" s="79" t="s">
        <v>139</v>
      </c>
      <c r="Z248" s="79" t="s">
        <v>2111</v>
      </c>
      <c r="AA248" s="79" t="s">
        <v>205</v>
      </c>
      <c r="AB248" s="96" t="s">
        <v>2146</v>
      </c>
      <c r="AC248" s="98">
        <v>8.2218897073E10</v>
      </c>
      <c r="AD248" s="96" t="s">
        <v>2147</v>
      </c>
      <c r="AE248" s="77">
        <v>29.0</v>
      </c>
      <c r="AF248" s="67" t="s">
        <v>2148</v>
      </c>
      <c r="AG248" s="84" t="s">
        <v>26</v>
      </c>
      <c r="AH248" s="61"/>
      <c r="AI248" s="61"/>
      <c r="AJ248" s="61"/>
      <c r="AK248" s="61"/>
      <c r="AL248" s="61"/>
      <c r="AM248" s="61"/>
      <c r="AN248" s="61"/>
      <c r="AO248" s="61"/>
      <c r="AP248" s="61"/>
      <c r="AQ248" s="61"/>
      <c r="AR248" s="61"/>
    </row>
    <row r="249">
      <c r="A249" s="99">
        <v>6.0</v>
      </c>
      <c r="B249" s="100" t="s">
        <v>2149</v>
      </c>
      <c r="C249" s="100" t="s">
        <v>2150</v>
      </c>
      <c r="D249" s="100" t="s">
        <v>2151</v>
      </c>
      <c r="E249" s="101"/>
      <c r="F249" s="102" t="s">
        <v>328</v>
      </c>
      <c r="G249" s="102" t="s">
        <v>123</v>
      </c>
      <c r="H249" s="102" t="s">
        <v>2152</v>
      </c>
      <c r="I249" s="100" t="s">
        <v>2153</v>
      </c>
      <c r="J249" s="102" t="s">
        <v>69</v>
      </c>
      <c r="K249" s="102" t="s">
        <v>70</v>
      </c>
      <c r="L249" s="102" t="s">
        <v>111</v>
      </c>
      <c r="M249" s="103"/>
      <c r="N249" s="102" t="s">
        <v>93</v>
      </c>
      <c r="O249" s="102" t="s">
        <v>113</v>
      </c>
      <c r="P249" s="102" t="s">
        <v>74</v>
      </c>
      <c r="Q249" s="103"/>
      <c r="R249" s="102" t="s">
        <v>146</v>
      </c>
      <c r="S249" s="102" t="s">
        <v>97</v>
      </c>
      <c r="T249" s="104">
        <v>2025.0</v>
      </c>
      <c r="U249" s="102" t="s">
        <v>154</v>
      </c>
      <c r="V249" s="102" t="s">
        <v>79</v>
      </c>
      <c r="W249" s="103"/>
      <c r="X249" s="102" t="s">
        <v>159</v>
      </c>
      <c r="Y249" s="102" t="s">
        <v>111</v>
      </c>
      <c r="Z249" s="69"/>
      <c r="AA249" s="79" t="s">
        <v>205</v>
      </c>
      <c r="AB249" s="96" t="s">
        <v>2154</v>
      </c>
      <c r="AC249" s="96">
        <v>8.8223540075E10</v>
      </c>
      <c r="AD249" s="96" t="s">
        <v>2155</v>
      </c>
      <c r="AE249" s="67" t="s">
        <v>2156</v>
      </c>
      <c r="AF249" s="59"/>
      <c r="AG249" s="84" t="s">
        <v>2157</v>
      </c>
      <c r="AI249" s="61"/>
      <c r="AJ249" s="61"/>
      <c r="AK249" s="61"/>
      <c r="AL249" s="61"/>
      <c r="AM249" s="61"/>
      <c r="AN249" s="61"/>
      <c r="AO249" s="61"/>
      <c r="AP249" s="61"/>
      <c r="AQ249" s="61"/>
      <c r="AR249" s="61"/>
    </row>
    <row r="250">
      <c r="A250" s="95">
        <v>7.0</v>
      </c>
      <c r="B250" s="96" t="s">
        <v>964</v>
      </c>
      <c r="C250" s="96" t="s">
        <v>965</v>
      </c>
      <c r="D250" s="96" t="s">
        <v>966</v>
      </c>
      <c r="E250" s="59"/>
      <c r="F250" s="79" t="s">
        <v>470</v>
      </c>
      <c r="G250" s="79" t="s">
        <v>123</v>
      </c>
      <c r="H250" s="79" t="s">
        <v>967</v>
      </c>
      <c r="I250" s="96" t="s">
        <v>968</v>
      </c>
      <c r="J250" s="79" t="s">
        <v>69</v>
      </c>
      <c r="K250" s="79" t="s">
        <v>70</v>
      </c>
      <c r="L250" s="79" t="s">
        <v>111</v>
      </c>
      <c r="M250" s="97" t="s">
        <v>639</v>
      </c>
      <c r="N250" s="79" t="s">
        <v>93</v>
      </c>
      <c r="O250" s="79" t="s">
        <v>113</v>
      </c>
      <c r="P250" s="79" t="s">
        <v>95</v>
      </c>
      <c r="Q250" s="70" t="s">
        <v>2158</v>
      </c>
      <c r="R250" s="79" t="s">
        <v>76</v>
      </c>
      <c r="S250" s="79" t="s">
        <v>77</v>
      </c>
      <c r="T250" s="98">
        <v>2025.0</v>
      </c>
      <c r="U250" s="79" t="s">
        <v>78</v>
      </c>
      <c r="V250" s="79" t="s">
        <v>79</v>
      </c>
      <c r="W250" s="79" t="s">
        <v>970</v>
      </c>
      <c r="X250" s="79" t="s">
        <v>80</v>
      </c>
      <c r="Y250" s="79" t="s">
        <v>80</v>
      </c>
      <c r="Z250" s="79" t="s">
        <v>2159</v>
      </c>
      <c r="AA250" s="79" t="s">
        <v>156</v>
      </c>
      <c r="AB250" s="76" t="s">
        <v>971</v>
      </c>
      <c r="AC250" s="106">
        <v>8.132016216E9</v>
      </c>
      <c r="AD250" s="69"/>
      <c r="AE250" s="59"/>
      <c r="AF250" s="68" t="s">
        <v>111</v>
      </c>
      <c r="AG250" s="84" t="s">
        <v>934</v>
      </c>
      <c r="AH250" s="61"/>
      <c r="AI250" s="61"/>
      <c r="AJ250" s="61"/>
      <c r="AK250" s="61"/>
      <c r="AL250" s="61"/>
      <c r="AM250" s="61"/>
      <c r="AN250" s="61"/>
      <c r="AO250" s="61"/>
      <c r="AP250" s="61"/>
      <c r="AQ250" s="61"/>
      <c r="AR250" s="61"/>
    </row>
    <row r="251">
      <c r="A251" s="95">
        <v>8.0</v>
      </c>
      <c r="B251" s="96" t="s">
        <v>972</v>
      </c>
      <c r="C251" s="96" t="s">
        <v>973</v>
      </c>
      <c r="D251" s="96" t="s">
        <v>974</v>
      </c>
      <c r="E251" s="59"/>
      <c r="F251" s="79" t="s">
        <v>470</v>
      </c>
      <c r="G251" s="79" t="s">
        <v>123</v>
      </c>
      <c r="H251" s="79" t="s">
        <v>939</v>
      </c>
      <c r="I251" s="96" t="s">
        <v>975</v>
      </c>
      <c r="J251" s="79" t="s">
        <v>158</v>
      </c>
      <c r="K251" s="79" t="s">
        <v>70</v>
      </c>
      <c r="L251" s="79" t="s">
        <v>101</v>
      </c>
      <c r="M251" s="97" t="s">
        <v>558</v>
      </c>
      <c r="N251" s="79" t="s">
        <v>93</v>
      </c>
      <c r="O251" s="79" t="s">
        <v>113</v>
      </c>
      <c r="P251" s="79" t="s">
        <v>74</v>
      </c>
      <c r="Q251" s="70" t="s">
        <v>2160</v>
      </c>
      <c r="R251" s="79" t="s">
        <v>76</v>
      </c>
      <c r="S251" s="79" t="s">
        <v>77</v>
      </c>
      <c r="T251" s="79">
        <v>2022.0</v>
      </c>
      <c r="U251" s="79" t="s">
        <v>78</v>
      </c>
      <c r="V251" s="79" t="s">
        <v>79</v>
      </c>
      <c r="W251" s="79" t="s">
        <v>80</v>
      </c>
      <c r="X251" s="79" t="s">
        <v>80</v>
      </c>
      <c r="Y251" s="79" t="s">
        <v>80</v>
      </c>
      <c r="Z251" s="79" t="s">
        <v>977</v>
      </c>
      <c r="AA251" s="69"/>
      <c r="AB251" s="96" t="s">
        <v>978</v>
      </c>
      <c r="AC251" s="96" t="s">
        <v>979</v>
      </c>
      <c r="AD251" s="69"/>
      <c r="AE251" s="59"/>
      <c r="AF251" s="68" t="s">
        <v>152</v>
      </c>
      <c r="AG251" s="84" t="s">
        <v>934</v>
      </c>
      <c r="AH251" s="61"/>
      <c r="AI251" s="61"/>
      <c r="AJ251" s="61"/>
      <c r="AK251" s="61"/>
      <c r="AL251" s="61"/>
      <c r="AM251" s="61"/>
      <c r="AN251" s="61"/>
      <c r="AO251" s="61"/>
      <c r="AP251" s="61"/>
      <c r="AQ251" s="61"/>
      <c r="AR251" s="61"/>
    </row>
    <row r="252">
      <c r="A252" s="95">
        <v>9.0</v>
      </c>
      <c r="B252" s="96" t="s">
        <v>2161</v>
      </c>
      <c r="C252" s="96" t="s">
        <v>2162</v>
      </c>
      <c r="D252" s="59"/>
      <c r="E252" s="59"/>
      <c r="F252" s="69"/>
      <c r="G252" s="69"/>
      <c r="H252" s="69"/>
      <c r="I252" s="69"/>
      <c r="J252" s="69"/>
      <c r="K252" s="69"/>
      <c r="L252" s="69"/>
      <c r="M252" s="97" t="s">
        <v>503</v>
      </c>
      <c r="N252" s="69"/>
      <c r="O252" s="79" t="s">
        <v>113</v>
      </c>
      <c r="P252" s="79" t="s">
        <v>74</v>
      </c>
      <c r="Q252" s="70" t="s">
        <v>2163</v>
      </c>
      <c r="R252" s="79" t="s">
        <v>76</v>
      </c>
      <c r="S252" s="69"/>
      <c r="T252" s="69"/>
      <c r="U252" s="69"/>
      <c r="V252" s="69"/>
      <c r="W252" s="69"/>
      <c r="X252" s="69"/>
      <c r="Y252" s="69"/>
      <c r="Z252" s="69"/>
      <c r="AA252" s="79" t="s">
        <v>82</v>
      </c>
      <c r="AB252" s="96" t="s">
        <v>2164</v>
      </c>
      <c r="AC252" s="98">
        <v>8.1323976172E10</v>
      </c>
      <c r="AD252" s="69"/>
      <c r="AE252" s="59"/>
      <c r="AF252" s="59"/>
      <c r="AG252" s="84" t="s">
        <v>2165</v>
      </c>
      <c r="AH252" s="61"/>
      <c r="AI252" s="61"/>
      <c r="AJ252" s="61"/>
      <c r="AK252" s="61"/>
      <c r="AL252" s="61"/>
      <c r="AM252" s="61"/>
      <c r="AN252" s="61"/>
      <c r="AO252" s="61"/>
      <c r="AP252" s="61"/>
      <c r="AQ252" s="61"/>
      <c r="AR252" s="61"/>
    </row>
    <row r="253">
      <c r="A253" s="95">
        <v>10.0</v>
      </c>
      <c r="B253" s="96" t="s">
        <v>2166</v>
      </c>
      <c r="C253" s="96" t="s">
        <v>628</v>
      </c>
      <c r="D253" s="59"/>
      <c r="E253" s="59"/>
      <c r="F253" s="69"/>
      <c r="G253" s="69"/>
      <c r="H253" s="69"/>
      <c r="I253" s="69"/>
      <c r="J253" s="69"/>
      <c r="K253" s="69"/>
      <c r="L253" s="69"/>
      <c r="M253" s="97" t="s">
        <v>631</v>
      </c>
      <c r="N253" s="69"/>
      <c r="O253" s="79" t="s">
        <v>113</v>
      </c>
      <c r="P253" s="79" t="s">
        <v>74</v>
      </c>
      <c r="Q253" s="70" t="s">
        <v>2167</v>
      </c>
      <c r="R253" s="79" t="s">
        <v>76</v>
      </c>
      <c r="S253" s="69"/>
      <c r="T253" s="69"/>
      <c r="U253" s="69"/>
      <c r="V253" s="69"/>
      <c r="W253" s="69"/>
      <c r="X253" s="69"/>
      <c r="Y253" s="69"/>
      <c r="Z253" s="69"/>
      <c r="AA253" s="69"/>
      <c r="AB253" s="96" t="s">
        <v>2168</v>
      </c>
      <c r="AC253" s="98">
        <v>8.1223467651E10</v>
      </c>
      <c r="AD253" s="69"/>
      <c r="AE253" s="59"/>
      <c r="AF253" s="59"/>
      <c r="AG253" s="84" t="s">
        <v>2169</v>
      </c>
      <c r="AH253" s="61"/>
      <c r="AI253" s="61"/>
      <c r="AJ253" s="61"/>
      <c r="AK253" s="61"/>
      <c r="AL253" s="61"/>
      <c r="AM253" s="61"/>
      <c r="AN253" s="61"/>
      <c r="AO253" s="61"/>
      <c r="AP253" s="61"/>
      <c r="AQ253" s="61"/>
      <c r="AR253" s="61"/>
    </row>
    <row r="254">
      <c r="A254" s="95">
        <v>11.0</v>
      </c>
      <c r="B254" s="96" t="s">
        <v>2170</v>
      </c>
      <c r="C254" s="96" t="s">
        <v>2171</v>
      </c>
      <c r="D254" s="59"/>
      <c r="E254" s="59"/>
      <c r="F254" s="69"/>
      <c r="G254" s="69"/>
      <c r="H254" s="69"/>
      <c r="I254" s="69"/>
      <c r="J254" s="69"/>
      <c r="K254" s="69"/>
      <c r="L254" s="69"/>
      <c r="M254" s="97" t="s">
        <v>2172</v>
      </c>
      <c r="N254" s="69"/>
      <c r="O254" s="79" t="s">
        <v>113</v>
      </c>
      <c r="P254" s="79" t="s">
        <v>74</v>
      </c>
      <c r="Q254" s="70" t="s">
        <v>2173</v>
      </c>
      <c r="R254" s="79" t="s">
        <v>76</v>
      </c>
      <c r="S254" s="69"/>
      <c r="T254" s="69"/>
      <c r="U254" s="69"/>
      <c r="V254" s="69"/>
      <c r="W254" s="69"/>
      <c r="X254" s="69"/>
      <c r="Y254" s="69"/>
      <c r="Z254" s="69"/>
      <c r="AA254" s="69"/>
      <c r="AB254" s="96" t="s">
        <v>2168</v>
      </c>
      <c r="AC254" s="98">
        <v>8.1223467651E10</v>
      </c>
      <c r="AD254" s="69"/>
      <c r="AE254" s="59"/>
      <c r="AF254" s="59"/>
      <c r="AG254" s="84" t="s">
        <v>2169</v>
      </c>
      <c r="AH254" s="61"/>
      <c r="AI254" s="61"/>
      <c r="AJ254" s="61"/>
      <c r="AK254" s="61"/>
      <c r="AL254" s="61"/>
      <c r="AM254" s="61"/>
      <c r="AN254" s="61"/>
      <c r="AO254" s="61"/>
      <c r="AP254" s="61"/>
      <c r="AQ254" s="61"/>
      <c r="AR254" s="61"/>
    </row>
    <row r="255">
      <c r="A255" s="95">
        <v>12.0</v>
      </c>
      <c r="B255" s="96" t="s">
        <v>2174</v>
      </c>
      <c r="C255" s="96" t="s">
        <v>2175</v>
      </c>
      <c r="D255" s="59"/>
      <c r="E255" s="59"/>
      <c r="F255" s="69"/>
      <c r="G255" s="69"/>
      <c r="H255" s="69"/>
      <c r="I255" s="69"/>
      <c r="J255" s="69"/>
      <c r="K255" s="69"/>
      <c r="L255" s="69"/>
      <c r="M255" s="97" t="s">
        <v>2176</v>
      </c>
      <c r="N255" s="69"/>
      <c r="O255" s="79" t="s">
        <v>113</v>
      </c>
      <c r="P255" s="79" t="s">
        <v>74</v>
      </c>
      <c r="Q255" s="70" t="s">
        <v>2177</v>
      </c>
      <c r="R255" s="79" t="s">
        <v>76</v>
      </c>
      <c r="S255" s="69"/>
      <c r="T255" s="69"/>
      <c r="U255" s="69"/>
      <c r="V255" s="69"/>
      <c r="W255" s="69"/>
      <c r="X255" s="69"/>
      <c r="Y255" s="69"/>
      <c r="Z255" s="69"/>
      <c r="AA255" s="69"/>
      <c r="AB255" s="69"/>
      <c r="AC255" s="69"/>
      <c r="AD255" s="69"/>
      <c r="AE255" s="59"/>
      <c r="AF255" s="59"/>
      <c r="AG255" s="84" t="s">
        <v>207</v>
      </c>
      <c r="AH255" s="61"/>
      <c r="AI255" s="61"/>
      <c r="AJ255" s="61"/>
      <c r="AK255" s="61"/>
      <c r="AL255" s="61"/>
      <c r="AM255" s="61"/>
      <c r="AN255" s="61"/>
      <c r="AO255" s="61"/>
      <c r="AP255" s="61"/>
      <c r="AQ255" s="61"/>
      <c r="AR255" s="61"/>
    </row>
    <row r="256">
      <c r="A256" s="95">
        <v>13.0</v>
      </c>
      <c r="B256" s="96" t="s">
        <v>2178</v>
      </c>
      <c r="C256" s="96" t="s">
        <v>2179</v>
      </c>
      <c r="D256" s="59"/>
      <c r="E256" s="59"/>
      <c r="F256" s="69"/>
      <c r="G256" s="69"/>
      <c r="H256" s="69"/>
      <c r="I256" s="69"/>
      <c r="J256" s="69"/>
      <c r="K256" s="69"/>
      <c r="L256" s="69"/>
      <c r="M256" s="195" t="s">
        <v>2180</v>
      </c>
      <c r="N256" s="69"/>
      <c r="O256" s="79" t="s">
        <v>113</v>
      </c>
      <c r="P256" s="79" t="s">
        <v>74</v>
      </c>
      <c r="Q256" s="70" t="s">
        <v>2181</v>
      </c>
      <c r="R256" s="79" t="s">
        <v>76</v>
      </c>
      <c r="S256" s="69"/>
      <c r="T256" s="69"/>
      <c r="U256" s="69"/>
      <c r="V256" s="69"/>
      <c r="W256" s="69"/>
      <c r="X256" s="69"/>
      <c r="Y256" s="69"/>
      <c r="Z256" s="69"/>
      <c r="AA256" s="69"/>
      <c r="AB256" s="69"/>
      <c r="AC256" s="69"/>
      <c r="AD256" s="69"/>
      <c r="AE256" s="59"/>
      <c r="AF256" s="59"/>
      <c r="AG256" s="84" t="s">
        <v>207</v>
      </c>
      <c r="AH256" s="61"/>
      <c r="AI256" s="61"/>
      <c r="AJ256" s="61"/>
      <c r="AK256" s="61"/>
      <c r="AL256" s="61"/>
      <c r="AM256" s="61"/>
      <c r="AN256" s="61"/>
      <c r="AO256" s="61"/>
      <c r="AP256" s="61"/>
      <c r="AQ256" s="61"/>
      <c r="AR256" s="61"/>
    </row>
    <row r="257">
      <c r="A257" s="95">
        <v>14.0</v>
      </c>
      <c r="B257" s="96" t="s">
        <v>2182</v>
      </c>
      <c r="C257" s="96" t="s">
        <v>2183</v>
      </c>
      <c r="D257" s="96" t="s">
        <v>2184</v>
      </c>
      <c r="E257" s="79" t="s">
        <v>34</v>
      </c>
      <c r="F257" s="79" t="s">
        <v>469</v>
      </c>
      <c r="G257" s="79" t="s">
        <v>131</v>
      </c>
      <c r="H257" s="79" t="s">
        <v>1969</v>
      </c>
      <c r="I257" s="96" t="s">
        <v>2185</v>
      </c>
      <c r="J257" s="79" t="s">
        <v>151</v>
      </c>
      <c r="K257" s="79" t="s">
        <v>70</v>
      </c>
      <c r="L257" s="79" t="s">
        <v>71</v>
      </c>
      <c r="M257" s="97" t="s">
        <v>2186</v>
      </c>
      <c r="N257" s="79" t="s">
        <v>93</v>
      </c>
      <c r="O257" s="79" t="s">
        <v>113</v>
      </c>
      <c r="P257" s="79" t="s">
        <v>95</v>
      </c>
      <c r="Q257" s="70" t="s">
        <v>2187</v>
      </c>
      <c r="R257" s="79" t="s">
        <v>76</v>
      </c>
      <c r="S257" s="79" t="s">
        <v>77</v>
      </c>
      <c r="T257" s="79">
        <v>2017.0</v>
      </c>
      <c r="U257" s="79" t="s">
        <v>78</v>
      </c>
      <c r="V257" s="79" t="s">
        <v>98</v>
      </c>
      <c r="W257" s="79" t="s">
        <v>2188</v>
      </c>
      <c r="X257" s="79" t="s">
        <v>155</v>
      </c>
      <c r="Y257" s="79" t="s">
        <v>71</v>
      </c>
      <c r="Z257" s="79" t="s">
        <v>2189</v>
      </c>
      <c r="AA257" s="79" t="s">
        <v>211</v>
      </c>
      <c r="AB257" s="96" t="s">
        <v>2190</v>
      </c>
      <c r="AC257" s="96">
        <v>8.2133111001E10</v>
      </c>
      <c r="AD257" s="70" t="s">
        <v>2191</v>
      </c>
      <c r="AE257" s="68">
        <v>28.0</v>
      </c>
      <c r="AF257" s="96" t="s">
        <v>2192</v>
      </c>
      <c r="AG257" s="60"/>
      <c r="AH257" s="61"/>
      <c r="AI257" s="61"/>
      <c r="AJ257" s="61"/>
      <c r="AK257" s="61"/>
      <c r="AL257" s="61"/>
      <c r="AM257" s="61"/>
      <c r="AN257" s="61"/>
      <c r="AO257" s="61"/>
      <c r="AP257" s="61"/>
      <c r="AQ257" s="61"/>
      <c r="AR257" s="61"/>
    </row>
    <row r="258">
      <c r="A258" s="95">
        <v>15.0</v>
      </c>
      <c r="B258" s="96" t="s">
        <v>2192</v>
      </c>
      <c r="C258" s="96" t="s">
        <v>2193</v>
      </c>
      <c r="D258" s="96" t="s">
        <v>2194</v>
      </c>
      <c r="E258" s="70" t="s">
        <v>2195</v>
      </c>
      <c r="F258" s="79" t="s">
        <v>469</v>
      </c>
      <c r="G258" s="79" t="s">
        <v>131</v>
      </c>
      <c r="H258" s="79" t="s">
        <v>1969</v>
      </c>
      <c r="I258" s="96" t="s">
        <v>2196</v>
      </c>
      <c r="J258" s="79" t="s">
        <v>151</v>
      </c>
      <c r="K258" s="79" t="s">
        <v>70</v>
      </c>
      <c r="L258" s="79" t="s">
        <v>71</v>
      </c>
      <c r="M258" s="97" t="s">
        <v>2197</v>
      </c>
      <c r="N258" s="79" t="s">
        <v>26</v>
      </c>
      <c r="O258" s="79" t="s">
        <v>113</v>
      </c>
      <c r="P258" s="79" t="s">
        <v>95</v>
      </c>
      <c r="Q258" s="70" t="s">
        <v>2198</v>
      </c>
      <c r="R258" s="79" t="s">
        <v>76</v>
      </c>
      <c r="S258" s="79" t="s">
        <v>77</v>
      </c>
      <c r="T258" s="79">
        <v>2020.0</v>
      </c>
      <c r="U258" s="79" t="s">
        <v>78</v>
      </c>
      <c r="V258" s="79" t="s">
        <v>98</v>
      </c>
      <c r="W258" s="79" t="s">
        <v>2199</v>
      </c>
      <c r="X258" s="79" t="s">
        <v>155</v>
      </c>
      <c r="Y258" s="79" t="s">
        <v>71</v>
      </c>
      <c r="Z258" s="79" t="s">
        <v>2200</v>
      </c>
      <c r="AA258" s="79" t="s">
        <v>211</v>
      </c>
      <c r="AB258" s="96" t="s">
        <v>2201</v>
      </c>
      <c r="AC258" s="96">
        <v>8.2129997E10</v>
      </c>
      <c r="AD258" s="70" t="s">
        <v>2202</v>
      </c>
      <c r="AE258" s="59"/>
      <c r="AF258" s="59"/>
      <c r="AG258" s="60"/>
      <c r="AH258" s="61"/>
      <c r="AI258" s="61"/>
      <c r="AJ258" s="61"/>
      <c r="AK258" s="61"/>
      <c r="AL258" s="61"/>
      <c r="AM258" s="61"/>
      <c r="AN258" s="61"/>
      <c r="AO258" s="61"/>
      <c r="AP258" s="61"/>
      <c r="AQ258" s="61"/>
      <c r="AR258" s="61"/>
    </row>
    <row r="259">
      <c r="A259" s="95">
        <v>16.0</v>
      </c>
      <c r="B259" s="96" t="s">
        <v>2203</v>
      </c>
      <c r="C259" s="69"/>
      <c r="D259" s="59"/>
      <c r="E259" s="59"/>
      <c r="F259" s="69"/>
      <c r="G259" s="79" t="s">
        <v>131</v>
      </c>
      <c r="H259" s="69"/>
      <c r="I259" s="69"/>
      <c r="J259" s="69"/>
      <c r="K259" s="69"/>
      <c r="L259" s="69"/>
      <c r="M259" s="93" t="s">
        <v>614</v>
      </c>
      <c r="N259" s="79" t="s">
        <v>82</v>
      </c>
      <c r="O259" s="79" t="s">
        <v>113</v>
      </c>
      <c r="P259" s="79" t="s">
        <v>145</v>
      </c>
      <c r="Q259" s="70" t="s">
        <v>2204</v>
      </c>
      <c r="R259" s="79" t="s">
        <v>76</v>
      </c>
      <c r="S259" s="69"/>
      <c r="T259" s="69"/>
      <c r="U259" s="69"/>
      <c r="V259" s="69"/>
      <c r="W259" s="69"/>
      <c r="X259" s="69"/>
      <c r="Y259" s="69"/>
      <c r="Z259" s="69"/>
      <c r="AA259" s="69"/>
      <c r="AB259" s="69"/>
      <c r="AC259" s="69"/>
      <c r="AD259" s="69"/>
      <c r="AE259" s="59"/>
      <c r="AF259" s="59"/>
      <c r="AG259" s="60"/>
      <c r="AH259" s="61"/>
      <c r="AI259" s="61"/>
      <c r="AJ259" s="61"/>
      <c r="AK259" s="61"/>
      <c r="AL259" s="61"/>
      <c r="AM259" s="61"/>
      <c r="AN259" s="61"/>
      <c r="AO259" s="61"/>
      <c r="AP259" s="61"/>
      <c r="AQ259" s="61"/>
      <c r="AR259" s="61"/>
    </row>
    <row r="260">
      <c r="A260" s="71" t="s">
        <v>207</v>
      </c>
      <c r="B260" s="57"/>
      <c r="C260" s="57"/>
      <c r="D260" s="58"/>
      <c r="E260" s="58"/>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94"/>
      <c r="AF260" s="94"/>
      <c r="AG260" s="60"/>
      <c r="AH260" s="60"/>
      <c r="AI260" s="60"/>
      <c r="AJ260" s="60"/>
      <c r="AK260" s="60"/>
      <c r="AL260" s="60"/>
      <c r="AM260" s="60"/>
      <c r="AN260" s="60"/>
      <c r="AO260" s="60"/>
      <c r="AP260" s="60"/>
      <c r="AQ260" s="60"/>
      <c r="AR260" s="61"/>
    </row>
    <row r="261">
      <c r="A261" s="95">
        <v>2.0</v>
      </c>
      <c r="B261" s="96" t="s">
        <v>2205</v>
      </c>
      <c r="C261" s="96" t="s">
        <v>2206</v>
      </c>
      <c r="D261" s="59"/>
      <c r="E261" s="59"/>
      <c r="F261" s="79" t="s">
        <v>65</v>
      </c>
      <c r="G261" s="79" t="s">
        <v>123</v>
      </c>
      <c r="H261" s="79" t="s">
        <v>2207</v>
      </c>
      <c r="I261" s="96" t="s">
        <v>2208</v>
      </c>
      <c r="J261" s="79" t="s">
        <v>69</v>
      </c>
      <c r="K261" s="79" t="s">
        <v>110</v>
      </c>
      <c r="L261" s="79" t="s">
        <v>71</v>
      </c>
      <c r="M261" s="130" t="s">
        <v>2209</v>
      </c>
      <c r="N261" s="79" t="s">
        <v>93</v>
      </c>
      <c r="O261" s="79" t="s">
        <v>113</v>
      </c>
      <c r="P261" s="79" t="s">
        <v>95</v>
      </c>
      <c r="Q261" s="70" t="s">
        <v>2210</v>
      </c>
      <c r="R261" s="79" t="s">
        <v>76</v>
      </c>
      <c r="S261" s="79" t="s">
        <v>97</v>
      </c>
      <c r="T261" s="98">
        <v>2024.0</v>
      </c>
      <c r="U261" s="79" t="s">
        <v>78</v>
      </c>
      <c r="V261" s="79" t="s">
        <v>79</v>
      </c>
      <c r="W261" s="79" t="s">
        <v>80</v>
      </c>
      <c r="X261" s="79" t="s">
        <v>80</v>
      </c>
      <c r="Y261" s="79" t="s">
        <v>80</v>
      </c>
      <c r="Z261" s="79" t="s">
        <v>1004</v>
      </c>
      <c r="AA261" s="79" t="s">
        <v>207</v>
      </c>
      <c r="AB261" s="69"/>
      <c r="AC261" s="69"/>
      <c r="AD261" s="69"/>
      <c r="AE261" s="59"/>
      <c r="AF261" s="59"/>
      <c r="AG261" s="60"/>
      <c r="AH261" s="61"/>
      <c r="AI261" s="61"/>
      <c r="AJ261" s="61"/>
      <c r="AK261" s="61"/>
      <c r="AL261" s="61"/>
      <c r="AM261" s="61"/>
      <c r="AN261" s="61"/>
      <c r="AO261" s="61"/>
      <c r="AP261" s="61"/>
      <c r="AQ261" s="61"/>
      <c r="AR261" s="61"/>
    </row>
    <row r="262">
      <c r="A262" s="95">
        <v>6.0</v>
      </c>
      <c r="B262" s="96" t="s">
        <v>2211</v>
      </c>
      <c r="C262" s="96" t="s">
        <v>2212</v>
      </c>
      <c r="D262" s="96" t="s">
        <v>2213</v>
      </c>
      <c r="E262" s="70" t="s">
        <v>2214</v>
      </c>
      <c r="F262" s="79" t="s">
        <v>446</v>
      </c>
      <c r="G262" s="79" t="s">
        <v>123</v>
      </c>
      <c r="H262" s="79" t="s">
        <v>2215</v>
      </c>
      <c r="I262" s="96" t="s">
        <v>2216</v>
      </c>
      <c r="J262" s="79" t="s">
        <v>91</v>
      </c>
      <c r="K262" s="79" t="s">
        <v>110</v>
      </c>
      <c r="L262" s="79" t="s">
        <v>111</v>
      </c>
      <c r="M262" s="97" t="s">
        <v>2217</v>
      </c>
      <c r="N262" s="79" t="s">
        <v>93</v>
      </c>
      <c r="O262" s="79" t="s">
        <v>113</v>
      </c>
      <c r="P262" s="79" t="s">
        <v>95</v>
      </c>
      <c r="Q262" s="70" t="s">
        <v>2218</v>
      </c>
      <c r="R262" s="79" t="s">
        <v>76</v>
      </c>
      <c r="S262" s="79" t="s">
        <v>77</v>
      </c>
      <c r="T262" s="98">
        <v>2022.0</v>
      </c>
      <c r="U262" s="79" t="s">
        <v>78</v>
      </c>
      <c r="V262" s="79" t="s">
        <v>98</v>
      </c>
      <c r="W262" s="79" t="s">
        <v>2219</v>
      </c>
      <c r="X262" s="79" t="s">
        <v>100</v>
      </c>
      <c r="Y262" s="79" t="s">
        <v>139</v>
      </c>
      <c r="Z262" s="79" t="s">
        <v>2220</v>
      </c>
      <c r="AA262" s="79" t="s">
        <v>207</v>
      </c>
      <c r="AB262" s="96" t="s">
        <v>2221</v>
      </c>
      <c r="AC262" s="96">
        <v>8.5314238177E10</v>
      </c>
      <c r="AD262" s="96" t="s">
        <v>2222</v>
      </c>
      <c r="AE262" s="59"/>
      <c r="AF262" s="59"/>
      <c r="AG262" s="60"/>
      <c r="AH262" s="61"/>
      <c r="AI262" s="61"/>
      <c r="AJ262" s="61"/>
      <c r="AK262" s="61"/>
      <c r="AL262" s="61"/>
      <c r="AM262" s="61"/>
      <c r="AN262" s="61"/>
      <c r="AO262" s="61"/>
      <c r="AP262" s="61"/>
      <c r="AQ262" s="61"/>
      <c r="AR262" s="61"/>
    </row>
    <row r="263">
      <c r="A263" s="95">
        <v>17.0</v>
      </c>
      <c r="B263" s="96" t="s">
        <v>2223</v>
      </c>
      <c r="C263" s="196" t="s">
        <v>2224</v>
      </c>
      <c r="D263" s="96" t="s">
        <v>2225</v>
      </c>
      <c r="E263" s="59"/>
      <c r="F263" s="79" t="s">
        <v>65</v>
      </c>
      <c r="G263" s="79" t="s">
        <v>123</v>
      </c>
      <c r="H263" s="79" t="s">
        <v>2226</v>
      </c>
      <c r="I263" s="96" t="s">
        <v>2227</v>
      </c>
      <c r="J263" s="79" t="s">
        <v>69</v>
      </c>
      <c r="K263" s="79" t="s">
        <v>70</v>
      </c>
      <c r="L263" s="79" t="s">
        <v>71</v>
      </c>
      <c r="M263" s="130" t="s">
        <v>2228</v>
      </c>
      <c r="N263" s="79" t="s">
        <v>93</v>
      </c>
      <c r="O263" s="79" t="s">
        <v>94</v>
      </c>
      <c r="P263" s="79" t="s">
        <v>95</v>
      </c>
      <c r="Q263" s="70" t="s">
        <v>2229</v>
      </c>
      <c r="R263" s="79" t="s">
        <v>76</v>
      </c>
      <c r="S263" s="79" t="s">
        <v>97</v>
      </c>
      <c r="T263" s="79">
        <v>2024.0</v>
      </c>
      <c r="U263" s="79" t="s">
        <v>78</v>
      </c>
      <c r="V263" s="79" t="s">
        <v>79</v>
      </c>
      <c r="W263" s="79" t="s">
        <v>80</v>
      </c>
      <c r="X263" s="79" t="s">
        <v>80</v>
      </c>
      <c r="Y263" s="79" t="s">
        <v>80</v>
      </c>
      <c r="Z263" s="79" t="s">
        <v>1004</v>
      </c>
      <c r="AA263" s="79" t="s">
        <v>207</v>
      </c>
      <c r="AB263" s="69"/>
      <c r="AC263" s="69"/>
      <c r="AD263" s="69"/>
      <c r="AE263" s="59"/>
      <c r="AF263" s="59"/>
      <c r="AG263" s="60"/>
      <c r="AH263" s="61"/>
      <c r="AI263" s="61"/>
      <c r="AJ263" s="61"/>
      <c r="AK263" s="61"/>
      <c r="AL263" s="61"/>
      <c r="AM263" s="61"/>
      <c r="AN263" s="61"/>
      <c r="AO263" s="61"/>
      <c r="AP263" s="61"/>
      <c r="AQ263" s="61"/>
      <c r="AR263" s="61"/>
    </row>
    <row r="264">
      <c r="A264" s="95">
        <v>23.0</v>
      </c>
      <c r="B264" s="132" t="s">
        <v>2230</v>
      </c>
      <c r="C264" s="197" t="s">
        <v>2231</v>
      </c>
      <c r="D264" s="94"/>
      <c r="E264" s="132" t="s">
        <v>2232</v>
      </c>
      <c r="F264" s="79" t="s">
        <v>65</v>
      </c>
      <c r="G264" s="79" t="s">
        <v>131</v>
      </c>
      <c r="H264" s="79" t="s">
        <v>2233</v>
      </c>
      <c r="I264" s="96" t="s">
        <v>2234</v>
      </c>
      <c r="J264" s="79" t="s">
        <v>151</v>
      </c>
      <c r="K264" s="79" t="s">
        <v>110</v>
      </c>
      <c r="L264" s="79" t="s">
        <v>152</v>
      </c>
      <c r="M264" s="97" t="s">
        <v>2235</v>
      </c>
      <c r="N264" s="79" t="s">
        <v>93</v>
      </c>
      <c r="O264" s="79" t="s">
        <v>113</v>
      </c>
      <c r="P264" s="79" t="s">
        <v>95</v>
      </c>
      <c r="Q264" s="70" t="s">
        <v>2236</v>
      </c>
      <c r="R264" s="79" t="s">
        <v>76</v>
      </c>
      <c r="S264" s="79" t="s">
        <v>97</v>
      </c>
      <c r="T264" s="96" t="s">
        <v>2237</v>
      </c>
      <c r="U264" s="79" t="s">
        <v>78</v>
      </c>
      <c r="V264" s="79" t="s">
        <v>79</v>
      </c>
      <c r="W264" s="79" t="s">
        <v>80</v>
      </c>
      <c r="X264" s="79" t="s">
        <v>80</v>
      </c>
      <c r="Y264" s="79" t="s">
        <v>80</v>
      </c>
      <c r="Z264" s="79" t="s">
        <v>2238</v>
      </c>
      <c r="AA264" s="79" t="s">
        <v>207</v>
      </c>
      <c r="AB264" s="69"/>
      <c r="AC264" s="69"/>
      <c r="AD264" s="69"/>
      <c r="AE264" s="59"/>
      <c r="AF264" s="59"/>
      <c r="AG264" s="60"/>
      <c r="AH264" s="61"/>
      <c r="AI264" s="61"/>
      <c r="AJ264" s="61"/>
      <c r="AK264" s="61"/>
      <c r="AL264" s="61"/>
      <c r="AM264" s="61"/>
      <c r="AN264" s="61"/>
      <c r="AO264" s="61"/>
      <c r="AP264" s="61"/>
      <c r="AQ264" s="61"/>
      <c r="AR264" s="61"/>
    </row>
    <row r="265">
      <c r="A265" s="95">
        <v>26.0</v>
      </c>
      <c r="B265" s="132" t="s">
        <v>2239</v>
      </c>
      <c r="C265" s="132" t="s">
        <v>2240</v>
      </c>
      <c r="D265" s="132" t="s">
        <v>2241</v>
      </c>
      <c r="E265" s="198" t="s">
        <v>2242</v>
      </c>
      <c r="F265" s="79" t="s">
        <v>453</v>
      </c>
      <c r="G265" s="79" t="s">
        <v>123</v>
      </c>
      <c r="H265" s="79" t="s">
        <v>2243</v>
      </c>
      <c r="I265" s="96" t="s">
        <v>2244</v>
      </c>
      <c r="J265" s="79" t="s">
        <v>69</v>
      </c>
      <c r="K265" s="79" t="s">
        <v>110</v>
      </c>
      <c r="L265" s="79" t="s">
        <v>111</v>
      </c>
      <c r="M265" s="97" t="s">
        <v>2245</v>
      </c>
      <c r="N265" s="79" t="s">
        <v>93</v>
      </c>
      <c r="O265" s="79" t="s">
        <v>113</v>
      </c>
      <c r="P265" s="79" t="s">
        <v>95</v>
      </c>
      <c r="Q265" s="70" t="s">
        <v>2246</v>
      </c>
      <c r="R265" s="79" t="s">
        <v>76</v>
      </c>
      <c r="S265" s="79" t="s">
        <v>77</v>
      </c>
      <c r="T265" s="98">
        <v>2024.0</v>
      </c>
      <c r="U265" s="79" t="s">
        <v>154</v>
      </c>
      <c r="V265" s="79" t="s">
        <v>79</v>
      </c>
      <c r="W265" s="79" t="s">
        <v>2245</v>
      </c>
      <c r="X265" s="79" t="s">
        <v>100</v>
      </c>
      <c r="Y265" s="79" t="s">
        <v>139</v>
      </c>
      <c r="Z265" s="79" t="s">
        <v>2247</v>
      </c>
      <c r="AA265" s="79" t="s">
        <v>207</v>
      </c>
      <c r="AB265" s="96" t="s">
        <v>2248</v>
      </c>
      <c r="AC265" s="96">
        <v>8.9526465926E10</v>
      </c>
      <c r="AD265" s="96" t="s">
        <v>2249</v>
      </c>
      <c r="AE265" s="59"/>
      <c r="AF265" s="59"/>
      <c r="AG265" s="60"/>
      <c r="AH265" s="61"/>
      <c r="AI265" s="61"/>
      <c r="AJ265" s="61"/>
      <c r="AK265" s="61"/>
      <c r="AL265" s="61"/>
      <c r="AM265" s="61"/>
      <c r="AN265" s="61"/>
      <c r="AO265" s="61"/>
      <c r="AP265" s="61"/>
      <c r="AQ265" s="61"/>
      <c r="AR265" s="61"/>
    </row>
    <row r="266">
      <c r="A266" s="95">
        <v>27.0</v>
      </c>
      <c r="B266" s="132" t="s">
        <v>2250</v>
      </c>
      <c r="C266" s="132" t="s">
        <v>2251</v>
      </c>
      <c r="D266" s="132" t="s">
        <v>2252</v>
      </c>
      <c r="E266" s="198" t="s">
        <v>2253</v>
      </c>
      <c r="F266" s="79" t="s">
        <v>446</v>
      </c>
      <c r="G266" s="79" t="s">
        <v>123</v>
      </c>
      <c r="H266" s="79" t="s">
        <v>2254</v>
      </c>
      <c r="I266" s="96" t="s">
        <v>2255</v>
      </c>
      <c r="J266" s="79" t="s">
        <v>91</v>
      </c>
      <c r="K266" s="79" t="s">
        <v>110</v>
      </c>
      <c r="L266" s="79" t="s">
        <v>111</v>
      </c>
      <c r="M266" s="144" t="s">
        <v>2176</v>
      </c>
      <c r="N266" s="79" t="s">
        <v>93</v>
      </c>
      <c r="O266" s="79" t="s">
        <v>113</v>
      </c>
      <c r="P266" s="79" t="s">
        <v>95</v>
      </c>
      <c r="Q266" s="70" t="s">
        <v>2256</v>
      </c>
      <c r="R266" s="79" t="s">
        <v>76</v>
      </c>
      <c r="S266" s="79" t="s">
        <v>77</v>
      </c>
      <c r="T266" s="98">
        <v>2022.0</v>
      </c>
      <c r="U266" s="79" t="s">
        <v>78</v>
      </c>
      <c r="V266" s="79" t="s">
        <v>79</v>
      </c>
      <c r="W266" s="79" t="s">
        <v>623</v>
      </c>
      <c r="X266" s="79" t="s">
        <v>100</v>
      </c>
      <c r="Y266" s="79" t="s">
        <v>139</v>
      </c>
      <c r="Z266" s="79" t="s">
        <v>2247</v>
      </c>
      <c r="AA266" s="79" t="s">
        <v>207</v>
      </c>
      <c r="AB266" s="96" t="s">
        <v>2257</v>
      </c>
      <c r="AC266" s="96">
        <v>8.211691582E10</v>
      </c>
      <c r="AD266" s="96" t="s">
        <v>2258</v>
      </c>
      <c r="AE266" s="59"/>
      <c r="AF266" s="59"/>
      <c r="AG266" s="60"/>
      <c r="AH266" s="61"/>
      <c r="AI266" s="61"/>
      <c r="AJ266" s="61"/>
      <c r="AK266" s="61"/>
      <c r="AL266" s="61"/>
      <c r="AM266" s="61"/>
      <c r="AN266" s="61"/>
      <c r="AO266" s="61"/>
      <c r="AP266" s="61"/>
      <c r="AQ266" s="61"/>
      <c r="AR266" s="61"/>
    </row>
    <row r="267">
      <c r="A267" s="95">
        <v>28.0</v>
      </c>
      <c r="B267" s="132" t="s">
        <v>2259</v>
      </c>
      <c r="C267" s="132" t="s">
        <v>2260</v>
      </c>
      <c r="D267" s="132" t="s">
        <v>2261</v>
      </c>
      <c r="E267" s="198" t="s">
        <v>2262</v>
      </c>
      <c r="F267" s="79" t="s">
        <v>446</v>
      </c>
      <c r="G267" s="79" t="s">
        <v>123</v>
      </c>
      <c r="H267" s="79" t="s">
        <v>2263</v>
      </c>
      <c r="I267" s="96" t="s">
        <v>2264</v>
      </c>
      <c r="J267" s="79" t="s">
        <v>91</v>
      </c>
      <c r="K267" s="79" t="s">
        <v>110</v>
      </c>
      <c r="L267" s="79" t="s">
        <v>111</v>
      </c>
      <c r="M267" s="144" t="s">
        <v>2265</v>
      </c>
      <c r="N267" s="79" t="s">
        <v>93</v>
      </c>
      <c r="O267" s="79" t="s">
        <v>113</v>
      </c>
      <c r="P267" s="79" t="s">
        <v>95</v>
      </c>
      <c r="Q267" s="70" t="s">
        <v>2266</v>
      </c>
      <c r="R267" s="79" t="s">
        <v>76</v>
      </c>
      <c r="S267" s="79" t="s">
        <v>77</v>
      </c>
      <c r="T267" s="98">
        <v>2021.0</v>
      </c>
      <c r="U267" s="79" t="s">
        <v>78</v>
      </c>
      <c r="V267" s="79" t="s">
        <v>98</v>
      </c>
      <c r="W267" s="79" t="s">
        <v>2267</v>
      </c>
      <c r="X267" s="79" t="s">
        <v>100</v>
      </c>
      <c r="Y267" s="79" t="s">
        <v>139</v>
      </c>
      <c r="Z267" s="79" t="s">
        <v>2247</v>
      </c>
      <c r="AA267" s="79" t="s">
        <v>207</v>
      </c>
      <c r="AB267" s="96" t="s">
        <v>716</v>
      </c>
      <c r="AC267" s="96">
        <v>8.7838661789E10</v>
      </c>
      <c r="AD267" s="96" t="s">
        <v>2268</v>
      </c>
      <c r="AE267" s="59"/>
      <c r="AF267" s="59"/>
      <c r="AG267" s="60"/>
      <c r="AH267" s="61"/>
      <c r="AI267" s="61"/>
      <c r="AJ267" s="61"/>
      <c r="AK267" s="61"/>
      <c r="AL267" s="61"/>
      <c r="AM267" s="61"/>
      <c r="AN267" s="61"/>
      <c r="AO267" s="61"/>
      <c r="AP267" s="61"/>
      <c r="AQ267" s="61"/>
      <c r="AR267" s="61"/>
    </row>
    <row r="268">
      <c r="A268" s="95">
        <v>29.0</v>
      </c>
      <c r="B268" s="132" t="s">
        <v>2269</v>
      </c>
      <c r="C268" s="132" t="s">
        <v>2270</v>
      </c>
      <c r="D268" s="132" t="s">
        <v>2271</v>
      </c>
      <c r="E268" s="132" t="s">
        <v>1327</v>
      </c>
      <c r="F268" s="79" t="s">
        <v>453</v>
      </c>
      <c r="G268" s="79" t="s">
        <v>123</v>
      </c>
      <c r="H268" s="79" t="s">
        <v>2272</v>
      </c>
      <c r="I268" s="96" t="s">
        <v>2273</v>
      </c>
      <c r="J268" s="79" t="s">
        <v>91</v>
      </c>
      <c r="K268" s="79" t="s">
        <v>110</v>
      </c>
      <c r="L268" s="79" t="s">
        <v>111</v>
      </c>
      <c r="M268" s="199" t="s">
        <v>2274</v>
      </c>
      <c r="N268" s="79" t="s">
        <v>93</v>
      </c>
      <c r="O268" s="79" t="s">
        <v>113</v>
      </c>
      <c r="P268" s="79" t="s">
        <v>95</v>
      </c>
      <c r="Q268" s="70" t="s">
        <v>2275</v>
      </c>
      <c r="R268" s="79" t="s">
        <v>76</v>
      </c>
      <c r="S268" s="79" t="s">
        <v>77</v>
      </c>
      <c r="T268" s="98">
        <v>2024.0</v>
      </c>
      <c r="U268" s="79" t="s">
        <v>78</v>
      </c>
      <c r="V268" s="79" t="s">
        <v>79</v>
      </c>
      <c r="W268" s="79" t="s">
        <v>2276</v>
      </c>
      <c r="X268" s="79" t="s">
        <v>100</v>
      </c>
      <c r="Y268" s="79" t="s">
        <v>101</v>
      </c>
      <c r="Z268" s="79" t="s">
        <v>2277</v>
      </c>
      <c r="AA268" s="79" t="s">
        <v>207</v>
      </c>
      <c r="AB268" s="96" t="s">
        <v>2278</v>
      </c>
      <c r="AC268" s="96">
        <v>8.2116608826E10</v>
      </c>
      <c r="AD268" s="96" t="s">
        <v>2279</v>
      </c>
      <c r="AE268" s="59"/>
      <c r="AF268" s="59"/>
      <c r="AG268" s="60"/>
      <c r="AH268" s="61"/>
      <c r="AI268" s="61"/>
      <c r="AJ268" s="61"/>
      <c r="AK268" s="61"/>
      <c r="AL268" s="61"/>
      <c r="AM268" s="61"/>
      <c r="AN268" s="61"/>
      <c r="AO268" s="61"/>
      <c r="AP268" s="61"/>
      <c r="AQ268" s="61"/>
      <c r="AR268" s="61"/>
    </row>
    <row r="269">
      <c r="A269" s="95">
        <v>30.0</v>
      </c>
      <c r="B269" s="132" t="s">
        <v>2280</v>
      </c>
      <c r="C269" s="76" t="s">
        <v>2281</v>
      </c>
      <c r="D269" s="132" t="s">
        <v>2282</v>
      </c>
      <c r="E269" s="132" t="s">
        <v>1327</v>
      </c>
      <c r="F269" s="79" t="s">
        <v>453</v>
      </c>
      <c r="G269" s="79" t="s">
        <v>123</v>
      </c>
      <c r="H269" s="79" t="s">
        <v>2283</v>
      </c>
      <c r="I269" s="76" t="s">
        <v>2284</v>
      </c>
      <c r="J269" s="79" t="s">
        <v>91</v>
      </c>
      <c r="K269" s="79" t="s">
        <v>110</v>
      </c>
      <c r="L269" s="79" t="s">
        <v>71</v>
      </c>
      <c r="M269" s="97" t="s">
        <v>2180</v>
      </c>
      <c r="N269" s="79" t="s">
        <v>26</v>
      </c>
      <c r="O269" s="79" t="s">
        <v>113</v>
      </c>
      <c r="P269" s="79" t="s">
        <v>95</v>
      </c>
      <c r="Q269" s="70" t="s">
        <v>2285</v>
      </c>
      <c r="R269" s="79" t="s">
        <v>76</v>
      </c>
      <c r="S269" s="79" t="s">
        <v>77</v>
      </c>
      <c r="T269" s="98">
        <v>2023.0</v>
      </c>
      <c r="U269" s="79" t="s">
        <v>78</v>
      </c>
      <c r="V269" s="79" t="s">
        <v>98</v>
      </c>
      <c r="W269" s="79" t="s">
        <v>2286</v>
      </c>
      <c r="X269" s="79" t="s">
        <v>100</v>
      </c>
      <c r="Y269" s="79" t="s">
        <v>101</v>
      </c>
      <c r="Z269" s="79" t="s">
        <v>2287</v>
      </c>
      <c r="AA269" s="79" t="s">
        <v>207</v>
      </c>
      <c r="AB269" s="96" t="s">
        <v>2288</v>
      </c>
      <c r="AC269" s="96">
        <v>8.3822355705E10</v>
      </c>
      <c r="AD269" s="96" t="s">
        <v>2289</v>
      </c>
      <c r="AE269" s="59"/>
      <c r="AF269" s="59"/>
      <c r="AG269" s="60"/>
      <c r="AH269" s="61"/>
      <c r="AI269" s="61"/>
      <c r="AJ269" s="61"/>
      <c r="AK269" s="61"/>
      <c r="AL269" s="61"/>
      <c r="AM269" s="61"/>
      <c r="AN269" s="61"/>
      <c r="AO269" s="61"/>
      <c r="AP269" s="61"/>
      <c r="AQ269" s="61"/>
      <c r="AR269" s="61"/>
    </row>
    <row r="270">
      <c r="A270" s="95">
        <v>31.0</v>
      </c>
      <c r="B270" s="200"/>
      <c r="C270" s="200"/>
      <c r="D270" s="94"/>
      <c r="E270" s="132" t="s">
        <v>1327</v>
      </c>
      <c r="F270" s="69"/>
      <c r="G270" s="79" t="s">
        <v>123</v>
      </c>
      <c r="H270" s="69"/>
      <c r="I270" s="200"/>
      <c r="J270" s="79" t="s">
        <v>91</v>
      </c>
      <c r="K270" s="79" t="s">
        <v>110</v>
      </c>
      <c r="L270" s="79" t="s">
        <v>101</v>
      </c>
      <c r="M270" s="93" t="s">
        <v>2245</v>
      </c>
      <c r="N270" s="79" t="s">
        <v>93</v>
      </c>
      <c r="O270" s="79" t="s">
        <v>113</v>
      </c>
      <c r="P270" s="79" t="s">
        <v>95</v>
      </c>
      <c r="Q270" s="132" t="s">
        <v>2290</v>
      </c>
      <c r="R270" s="79" t="s">
        <v>76</v>
      </c>
      <c r="S270" s="79" t="s">
        <v>77</v>
      </c>
      <c r="T270" s="98">
        <v>2024.0</v>
      </c>
      <c r="U270" s="79" t="s">
        <v>78</v>
      </c>
      <c r="V270" s="79" t="s">
        <v>79</v>
      </c>
      <c r="W270" s="79" t="s">
        <v>2291</v>
      </c>
      <c r="X270" s="79" t="s">
        <v>100</v>
      </c>
      <c r="Y270" s="79" t="s">
        <v>101</v>
      </c>
      <c r="Z270" s="79" t="s">
        <v>2287</v>
      </c>
      <c r="AA270" s="79" t="s">
        <v>207</v>
      </c>
      <c r="AB270" s="96" t="s">
        <v>2292</v>
      </c>
      <c r="AC270" s="96" t="s">
        <v>2293</v>
      </c>
      <c r="AD270" s="69"/>
      <c r="AE270" s="59"/>
      <c r="AF270" s="59"/>
      <c r="AG270" s="60"/>
      <c r="AH270" s="61"/>
      <c r="AI270" s="61"/>
      <c r="AJ270" s="61"/>
      <c r="AK270" s="61"/>
      <c r="AL270" s="61"/>
      <c r="AM270" s="61"/>
      <c r="AN270" s="61"/>
      <c r="AO270" s="61"/>
      <c r="AP270" s="61"/>
      <c r="AQ270" s="61"/>
      <c r="AR270" s="61"/>
    </row>
    <row r="271">
      <c r="A271" s="71" t="s">
        <v>2294</v>
      </c>
      <c r="B271" s="57"/>
      <c r="C271" s="57"/>
      <c r="D271" s="58"/>
      <c r="E271" s="58"/>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94"/>
      <c r="AF271" s="94"/>
      <c r="AG271" s="60"/>
      <c r="AH271" s="60"/>
      <c r="AI271" s="60"/>
      <c r="AJ271" s="60"/>
      <c r="AK271" s="60"/>
      <c r="AL271" s="60"/>
      <c r="AM271" s="60"/>
      <c r="AN271" s="60"/>
      <c r="AO271" s="60"/>
      <c r="AP271" s="60"/>
      <c r="AQ271" s="60"/>
      <c r="AR271" s="61"/>
    </row>
    <row r="272">
      <c r="A272" s="175">
        <v>1.0</v>
      </c>
      <c r="B272" s="201" t="s">
        <v>2295</v>
      </c>
      <c r="C272" s="201" t="s">
        <v>2296</v>
      </c>
      <c r="D272" s="201" t="s">
        <v>2297</v>
      </c>
      <c r="E272" s="70" t="s">
        <v>2298</v>
      </c>
      <c r="F272" s="176" t="s">
        <v>65</v>
      </c>
      <c r="G272" s="79" t="s">
        <v>2299</v>
      </c>
      <c r="H272" s="201" t="s">
        <v>2300</v>
      </c>
      <c r="I272" s="201" t="s">
        <v>2301</v>
      </c>
      <c r="J272" s="176" t="s">
        <v>151</v>
      </c>
      <c r="K272" s="176" t="s">
        <v>70</v>
      </c>
      <c r="L272" s="176" t="s">
        <v>71</v>
      </c>
      <c r="M272" s="97" t="s">
        <v>2302</v>
      </c>
      <c r="N272" s="176" t="s">
        <v>93</v>
      </c>
      <c r="O272" s="176" t="s">
        <v>113</v>
      </c>
      <c r="P272" s="176" t="s">
        <v>74</v>
      </c>
      <c r="Q272" s="70" t="s">
        <v>2303</v>
      </c>
      <c r="R272" s="176" t="s">
        <v>76</v>
      </c>
      <c r="S272" s="176" t="s">
        <v>77</v>
      </c>
      <c r="T272" s="176">
        <v>2020.0</v>
      </c>
      <c r="U272" s="176" t="s">
        <v>78</v>
      </c>
      <c r="V272" s="176" t="s">
        <v>98</v>
      </c>
      <c r="W272" s="201" t="s">
        <v>2304</v>
      </c>
      <c r="X272" s="176" t="s">
        <v>100</v>
      </c>
      <c r="Y272" s="176" t="s">
        <v>139</v>
      </c>
      <c r="Z272" s="201" t="s">
        <v>2305</v>
      </c>
      <c r="AA272" s="176" t="s">
        <v>209</v>
      </c>
      <c r="AB272" s="201" t="s">
        <v>2306</v>
      </c>
      <c r="AC272" s="201">
        <v>8.2240473904E10</v>
      </c>
      <c r="AD272" s="176" t="s">
        <v>563</v>
      </c>
      <c r="AE272" s="59"/>
      <c r="AF272" s="59"/>
      <c r="AG272" s="202"/>
      <c r="AH272" s="61"/>
      <c r="AI272" s="61"/>
      <c r="AJ272" s="61"/>
      <c r="AK272" s="61"/>
      <c r="AL272" s="61"/>
      <c r="AM272" s="61"/>
      <c r="AN272" s="61"/>
      <c r="AO272" s="61"/>
      <c r="AP272" s="61"/>
      <c r="AQ272" s="61"/>
      <c r="AR272" s="61"/>
    </row>
    <row r="273">
      <c r="A273" s="175">
        <v>2.0</v>
      </c>
      <c r="B273" s="201" t="s">
        <v>2307</v>
      </c>
      <c r="C273" s="201" t="s">
        <v>2308</v>
      </c>
      <c r="D273" s="201" t="s">
        <v>2297</v>
      </c>
      <c r="E273" s="70" t="s">
        <v>2309</v>
      </c>
      <c r="F273" s="176" t="s">
        <v>65</v>
      </c>
      <c r="G273" s="79" t="s">
        <v>2299</v>
      </c>
      <c r="H273" s="201" t="s">
        <v>2310</v>
      </c>
      <c r="I273" s="201" t="s">
        <v>2311</v>
      </c>
      <c r="J273" s="176" t="s">
        <v>151</v>
      </c>
      <c r="K273" s="176" t="s">
        <v>70</v>
      </c>
      <c r="L273" s="176" t="s">
        <v>71</v>
      </c>
      <c r="M273" s="97" t="s">
        <v>2312</v>
      </c>
      <c r="N273" s="176" t="s">
        <v>93</v>
      </c>
      <c r="O273" s="176" t="s">
        <v>113</v>
      </c>
      <c r="P273" s="176" t="s">
        <v>95</v>
      </c>
      <c r="Q273" s="70" t="s">
        <v>2313</v>
      </c>
      <c r="R273" s="176" t="s">
        <v>76</v>
      </c>
      <c r="S273" s="176" t="s">
        <v>77</v>
      </c>
      <c r="T273" s="176">
        <v>2012.0</v>
      </c>
      <c r="U273" s="176" t="s">
        <v>78</v>
      </c>
      <c r="V273" s="176" t="s">
        <v>98</v>
      </c>
      <c r="W273" s="201" t="s">
        <v>2314</v>
      </c>
      <c r="X273" s="176" t="s">
        <v>100</v>
      </c>
      <c r="Y273" s="176" t="s">
        <v>139</v>
      </c>
      <c r="Z273" s="201" t="s">
        <v>2315</v>
      </c>
      <c r="AA273" s="176" t="s">
        <v>209</v>
      </c>
      <c r="AB273" s="201" t="s">
        <v>2316</v>
      </c>
      <c r="AC273" s="201">
        <v>8.1321159892E10</v>
      </c>
      <c r="AD273" s="176" t="s">
        <v>563</v>
      </c>
      <c r="AE273" s="59"/>
      <c r="AF273" s="59"/>
      <c r="AG273" s="202"/>
      <c r="AH273" s="61"/>
      <c r="AI273" s="61"/>
      <c r="AJ273" s="61"/>
      <c r="AK273" s="61"/>
      <c r="AL273" s="61"/>
      <c r="AM273" s="61"/>
      <c r="AN273" s="61"/>
      <c r="AO273" s="61"/>
      <c r="AP273" s="61"/>
      <c r="AQ273" s="61"/>
      <c r="AR273" s="61"/>
    </row>
    <row r="274">
      <c r="A274" s="175">
        <v>3.0</v>
      </c>
      <c r="B274" s="201" t="s">
        <v>2317</v>
      </c>
      <c r="C274" s="201" t="s">
        <v>2318</v>
      </c>
      <c r="D274" s="201" t="s">
        <v>2297</v>
      </c>
      <c r="E274" s="70" t="s">
        <v>2319</v>
      </c>
      <c r="F274" s="176" t="s">
        <v>65</v>
      </c>
      <c r="G274" s="79" t="s">
        <v>2299</v>
      </c>
      <c r="H274" s="201" t="s">
        <v>2320</v>
      </c>
      <c r="I274" s="201" t="s">
        <v>2311</v>
      </c>
      <c r="J274" s="176" t="s">
        <v>151</v>
      </c>
      <c r="K274" s="176" t="s">
        <v>70</v>
      </c>
      <c r="L274" s="176" t="s">
        <v>71</v>
      </c>
      <c r="M274" s="97" t="s">
        <v>2321</v>
      </c>
      <c r="N274" s="176" t="s">
        <v>26</v>
      </c>
      <c r="O274" s="176" t="s">
        <v>113</v>
      </c>
      <c r="P274" s="176" t="s">
        <v>95</v>
      </c>
      <c r="Q274" s="201" t="s">
        <v>2322</v>
      </c>
      <c r="R274" s="176" t="s">
        <v>76</v>
      </c>
      <c r="S274" s="176" t="s">
        <v>77</v>
      </c>
      <c r="T274" s="176">
        <v>2023.0</v>
      </c>
      <c r="U274" s="176" t="s">
        <v>78</v>
      </c>
      <c r="V274" s="176" t="s">
        <v>98</v>
      </c>
      <c r="W274" s="201" t="s">
        <v>2314</v>
      </c>
      <c r="X274" s="176" t="s">
        <v>100</v>
      </c>
      <c r="Y274" s="176" t="s">
        <v>139</v>
      </c>
      <c r="Z274" s="201" t="s">
        <v>2315</v>
      </c>
      <c r="AA274" s="176" t="s">
        <v>209</v>
      </c>
      <c r="AB274" s="201" t="s">
        <v>2316</v>
      </c>
      <c r="AC274" s="201">
        <v>8.1321159892E10</v>
      </c>
      <c r="AD274" s="176" t="s">
        <v>563</v>
      </c>
      <c r="AE274" s="59"/>
      <c r="AF274" s="59"/>
      <c r="AG274" s="202"/>
      <c r="AH274" s="61"/>
      <c r="AI274" s="61"/>
      <c r="AJ274" s="61"/>
      <c r="AK274" s="61"/>
      <c r="AL274" s="61"/>
      <c r="AM274" s="61"/>
      <c r="AN274" s="61"/>
      <c r="AO274" s="61"/>
      <c r="AP274" s="61"/>
      <c r="AQ274" s="61"/>
      <c r="AR274" s="61"/>
    </row>
    <row r="275">
      <c r="A275" s="175">
        <v>7.0</v>
      </c>
      <c r="B275" s="201" t="s">
        <v>2323</v>
      </c>
      <c r="C275" s="201" t="s">
        <v>2324</v>
      </c>
      <c r="D275" s="201" t="s">
        <v>2297</v>
      </c>
      <c r="E275" s="70" t="s">
        <v>2325</v>
      </c>
      <c r="F275" s="176" t="s">
        <v>65</v>
      </c>
      <c r="G275" s="79" t="s">
        <v>2299</v>
      </c>
      <c r="H275" s="201" t="s">
        <v>2326</v>
      </c>
      <c r="I275" s="201" t="s">
        <v>2327</v>
      </c>
      <c r="J275" s="176" t="s">
        <v>151</v>
      </c>
      <c r="K275" s="176" t="s">
        <v>70</v>
      </c>
      <c r="L275" s="176" t="s">
        <v>71</v>
      </c>
      <c r="M275" s="97" t="s">
        <v>2328</v>
      </c>
      <c r="N275" s="176" t="s">
        <v>93</v>
      </c>
      <c r="O275" s="176" t="s">
        <v>113</v>
      </c>
      <c r="P275" s="176" t="s">
        <v>95</v>
      </c>
      <c r="Q275" s="70" t="s">
        <v>2329</v>
      </c>
      <c r="R275" s="176" t="s">
        <v>76</v>
      </c>
      <c r="S275" s="176" t="s">
        <v>77</v>
      </c>
      <c r="T275" s="176">
        <v>2025.0</v>
      </c>
      <c r="U275" s="176" t="s">
        <v>78</v>
      </c>
      <c r="V275" s="176" t="s">
        <v>98</v>
      </c>
      <c r="W275" s="201" t="s">
        <v>2314</v>
      </c>
      <c r="X275" s="176" t="s">
        <v>100</v>
      </c>
      <c r="Y275" s="176" t="s">
        <v>139</v>
      </c>
      <c r="Z275" s="201" t="s">
        <v>2315</v>
      </c>
      <c r="AA275" s="176" t="s">
        <v>209</v>
      </c>
      <c r="AB275" s="201" t="s">
        <v>2316</v>
      </c>
      <c r="AC275" s="201">
        <v>8.1321159892E10</v>
      </c>
      <c r="AD275" s="176" t="s">
        <v>563</v>
      </c>
      <c r="AE275" s="59"/>
      <c r="AF275" s="59"/>
      <c r="AG275" s="202"/>
      <c r="AH275" s="61"/>
      <c r="AI275" s="61"/>
      <c r="AJ275" s="61"/>
      <c r="AK275" s="61"/>
      <c r="AL275" s="61"/>
      <c r="AM275" s="61"/>
      <c r="AN275" s="61"/>
      <c r="AO275" s="61"/>
      <c r="AP275" s="61"/>
      <c r="AQ275" s="61"/>
      <c r="AR275" s="61"/>
    </row>
    <row r="276">
      <c r="A276" s="175">
        <v>11.0</v>
      </c>
      <c r="B276" s="201" t="s">
        <v>2330</v>
      </c>
      <c r="C276" s="201" t="s">
        <v>2331</v>
      </c>
      <c r="D276" s="201" t="s">
        <v>2297</v>
      </c>
      <c r="E276" s="70" t="s">
        <v>2332</v>
      </c>
      <c r="F276" s="176" t="s">
        <v>65</v>
      </c>
      <c r="G276" s="79" t="s">
        <v>2299</v>
      </c>
      <c r="H276" s="201" t="s">
        <v>2333</v>
      </c>
      <c r="I276" s="201" t="s">
        <v>2334</v>
      </c>
      <c r="J276" s="176" t="s">
        <v>151</v>
      </c>
      <c r="K276" s="176" t="s">
        <v>70</v>
      </c>
      <c r="L276" s="176" t="s">
        <v>71</v>
      </c>
      <c r="M276" s="97" t="s">
        <v>2335</v>
      </c>
      <c r="N276" s="176" t="s">
        <v>93</v>
      </c>
      <c r="O276" s="176" t="s">
        <v>113</v>
      </c>
      <c r="P276" s="176" t="s">
        <v>74</v>
      </c>
      <c r="Q276" s="70" t="s">
        <v>2336</v>
      </c>
      <c r="R276" s="176" t="s">
        <v>76</v>
      </c>
      <c r="S276" s="176" t="s">
        <v>77</v>
      </c>
      <c r="T276" s="176">
        <v>2020.0</v>
      </c>
      <c r="U276" s="176" t="s">
        <v>78</v>
      </c>
      <c r="V276" s="176" t="s">
        <v>98</v>
      </c>
      <c r="W276" s="201" t="s">
        <v>2337</v>
      </c>
      <c r="X276" s="176" t="s">
        <v>100</v>
      </c>
      <c r="Y276" s="176" t="s">
        <v>139</v>
      </c>
      <c r="Z276" s="201" t="s">
        <v>2305</v>
      </c>
      <c r="AA276" s="176" t="s">
        <v>209</v>
      </c>
      <c r="AB276" s="201" t="s">
        <v>2306</v>
      </c>
      <c r="AC276" s="201">
        <v>8.2240473904E10</v>
      </c>
      <c r="AD276" s="176" t="s">
        <v>563</v>
      </c>
      <c r="AE276" s="59"/>
      <c r="AF276" s="59"/>
      <c r="AG276" s="202"/>
      <c r="AH276" s="61"/>
      <c r="AI276" s="61"/>
      <c r="AJ276" s="61"/>
      <c r="AK276" s="61"/>
      <c r="AL276" s="61"/>
      <c r="AM276" s="61"/>
      <c r="AN276" s="61"/>
      <c r="AO276" s="61"/>
      <c r="AP276" s="61"/>
      <c r="AQ276" s="61"/>
      <c r="AR276" s="61"/>
    </row>
    <row r="277">
      <c r="A277" s="175">
        <v>12.0</v>
      </c>
      <c r="B277" s="201" t="s">
        <v>2338</v>
      </c>
      <c r="C277" s="201" t="s">
        <v>2339</v>
      </c>
      <c r="D277" s="201" t="s">
        <v>2297</v>
      </c>
      <c r="E277" s="70" t="s">
        <v>2340</v>
      </c>
      <c r="F277" s="176" t="s">
        <v>65</v>
      </c>
      <c r="G277" s="79" t="s">
        <v>2299</v>
      </c>
      <c r="H277" s="201" t="s">
        <v>2341</v>
      </c>
      <c r="I277" s="201" t="s">
        <v>2342</v>
      </c>
      <c r="J277" s="176" t="s">
        <v>151</v>
      </c>
      <c r="K277" s="176" t="s">
        <v>70</v>
      </c>
      <c r="L277" s="176" t="s">
        <v>71</v>
      </c>
      <c r="M277" s="97" t="s">
        <v>2302</v>
      </c>
      <c r="N277" s="176" t="s">
        <v>93</v>
      </c>
      <c r="O277" s="176" t="s">
        <v>113</v>
      </c>
      <c r="P277" s="176" t="s">
        <v>74</v>
      </c>
      <c r="Q277" s="70" t="s">
        <v>2343</v>
      </c>
      <c r="R277" s="176" t="s">
        <v>76</v>
      </c>
      <c r="S277" s="176" t="s">
        <v>77</v>
      </c>
      <c r="T277" s="176">
        <v>2020.0</v>
      </c>
      <c r="U277" s="176" t="s">
        <v>78</v>
      </c>
      <c r="V277" s="176" t="s">
        <v>98</v>
      </c>
      <c r="W277" s="201" t="s">
        <v>2304</v>
      </c>
      <c r="X277" s="176" t="s">
        <v>100</v>
      </c>
      <c r="Y277" s="176" t="s">
        <v>139</v>
      </c>
      <c r="Z277" s="201" t="s">
        <v>2305</v>
      </c>
      <c r="AA277" s="176" t="s">
        <v>209</v>
      </c>
      <c r="AB277" s="201" t="s">
        <v>2306</v>
      </c>
      <c r="AC277" s="201">
        <v>8.2240473904E10</v>
      </c>
      <c r="AD277" s="176" t="s">
        <v>563</v>
      </c>
      <c r="AE277" s="59"/>
      <c r="AF277" s="59"/>
      <c r="AG277" s="202"/>
      <c r="AH277" s="61"/>
      <c r="AI277" s="61"/>
      <c r="AJ277" s="61"/>
      <c r="AK277" s="61"/>
      <c r="AL277" s="61"/>
      <c r="AM277" s="61"/>
      <c r="AN277" s="61"/>
      <c r="AO277" s="61"/>
      <c r="AP277" s="61"/>
      <c r="AQ277" s="61"/>
      <c r="AR277" s="61"/>
    </row>
    <row r="278">
      <c r="A278" s="175">
        <v>15.0</v>
      </c>
      <c r="B278" s="203"/>
      <c r="C278" s="203"/>
      <c r="D278" s="204"/>
      <c r="E278" s="204"/>
      <c r="F278" s="203"/>
      <c r="G278" s="69"/>
      <c r="H278" s="203"/>
      <c r="I278" s="203"/>
      <c r="J278" s="203"/>
      <c r="K278" s="203"/>
      <c r="L278" s="203"/>
      <c r="M278" s="97" t="s">
        <v>2344</v>
      </c>
      <c r="N278" s="176" t="s">
        <v>82</v>
      </c>
      <c r="O278" s="176" t="s">
        <v>113</v>
      </c>
      <c r="P278" s="176" t="s">
        <v>74</v>
      </c>
      <c r="Q278" s="70" t="s">
        <v>2345</v>
      </c>
      <c r="R278" s="176" t="s">
        <v>76</v>
      </c>
      <c r="S278" s="176" t="s">
        <v>77</v>
      </c>
      <c r="T278" s="176">
        <v>2021.0</v>
      </c>
      <c r="U278" s="176" t="s">
        <v>78</v>
      </c>
      <c r="V278" s="176" t="s">
        <v>98</v>
      </c>
      <c r="W278" s="201" t="s">
        <v>2346</v>
      </c>
      <c r="X278" s="176" t="s">
        <v>155</v>
      </c>
      <c r="Y278" s="176" t="s">
        <v>139</v>
      </c>
      <c r="Z278" s="201" t="s">
        <v>2347</v>
      </c>
      <c r="AA278" s="176" t="s">
        <v>140</v>
      </c>
      <c r="AB278" s="203"/>
      <c r="AC278" s="203"/>
      <c r="AD278" s="203"/>
      <c r="AE278" s="59"/>
      <c r="AF278" s="59"/>
      <c r="AG278" s="202"/>
      <c r="AH278" s="61"/>
      <c r="AI278" s="61"/>
      <c r="AJ278" s="61"/>
      <c r="AK278" s="61"/>
      <c r="AL278" s="61"/>
      <c r="AM278" s="61"/>
      <c r="AN278" s="61"/>
      <c r="AO278" s="61"/>
      <c r="AP278" s="61"/>
      <c r="AQ278" s="61"/>
      <c r="AR278" s="61"/>
    </row>
    <row r="279">
      <c r="A279" s="175">
        <v>16.0</v>
      </c>
      <c r="B279" s="203"/>
      <c r="C279" s="203"/>
      <c r="D279" s="204"/>
      <c r="E279" s="204"/>
      <c r="F279" s="203"/>
      <c r="G279" s="69"/>
      <c r="H279" s="203"/>
      <c r="I279" s="203"/>
      <c r="J279" s="203"/>
      <c r="K279" s="203"/>
      <c r="L279" s="203"/>
      <c r="M279" s="97" t="s">
        <v>1003</v>
      </c>
      <c r="N279" s="176" t="s">
        <v>26</v>
      </c>
      <c r="O279" s="176" t="s">
        <v>113</v>
      </c>
      <c r="P279" s="176" t="s">
        <v>95</v>
      </c>
      <c r="Q279" s="70" t="s">
        <v>2348</v>
      </c>
      <c r="R279" s="176" t="s">
        <v>76</v>
      </c>
      <c r="S279" s="176" t="s">
        <v>77</v>
      </c>
      <c r="T279" s="79">
        <v>2020.0</v>
      </c>
      <c r="U279" s="176" t="s">
        <v>78</v>
      </c>
      <c r="V279" s="176" t="s">
        <v>98</v>
      </c>
      <c r="W279" s="79" t="s">
        <v>2199</v>
      </c>
      <c r="X279" s="176" t="s">
        <v>155</v>
      </c>
      <c r="Y279" s="176" t="s">
        <v>71</v>
      </c>
      <c r="Z279" s="96" t="s">
        <v>2200</v>
      </c>
      <c r="AA279" s="176" t="s">
        <v>211</v>
      </c>
      <c r="AB279" s="203"/>
      <c r="AC279" s="203"/>
      <c r="AD279" s="203"/>
      <c r="AE279" s="59"/>
      <c r="AF279" s="59"/>
      <c r="AG279" s="202"/>
      <c r="AH279" s="61"/>
      <c r="AI279" s="61"/>
      <c r="AJ279" s="61"/>
      <c r="AK279" s="61"/>
      <c r="AL279" s="61"/>
      <c r="AM279" s="61"/>
      <c r="AN279" s="61"/>
      <c r="AO279" s="61"/>
      <c r="AP279" s="61"/>
      <c r="AQ279" s="61"/>
      <c r="AR279" s="61"/>
    </row>
    <row r="280">
      <c r="A280" s="175">
        <v>17.0</v>
      </c>
      <c r="B280" s="203"/>
      <c r="C280" s="203"/>
      <c r="D280" s="204"/>
      <c r="E280" s="204"/>
      <c r="F280" s="203"/>
      <c r="G280" s="69"/>
      <c r="H280" s="203"/>
      <c r="I280" s="203"/>
      <c r="J280" s="203"/>
      <c r="K280" s="203"/>
      <c r="L280" s="203"/>
      <c r="M280" s="97" t="s">
        <v>2186</v>
      </c>
      <c r="N280" s="176" t="s">
        <v>93</v>
      </c>
      <c r="O280" s="176" t="s">
        <v>113</v>
      </c>
      <c r="P280" s="176" t="s">
        <v>95</v>
      </c>
      <c r="Q280" s="70" t="s">
        <v>2349</v>
      </c>
      <c r="R280" s="176" t="s">
        <v>76</v>
      </c>
      <c r="S280" s="176" t="s">
        <v>77</v>
      </c>
      <c r="T280" s="79">
        <v>2017.0</v>
      </c>
      <c r="U280" s="176" t="s">
        <v>78</v>
      </c>
      <c r="V280" s="176" t="s">
        <v>98</v>
      </c>
      <c r="W280" s="79" t="s">
        <v>2188</v>
      </c>
      <c r="X280" s="176" t="s">
        <v>155</v>
      </c>
      <c r="Y280" s="176" t="s">
        <v>71</v>
      </c>
      <c r="Z280" s="96" t="s">
        <v>2189</v>
      </c>
      <c r="AA280" s="176" t="s">
        <v>211</v>
      </c>
      <c r="AB280" s="203"/>
      <c r="AC280" s="203"/>
      <c r="AD280" s="203"/>
      <c r="AE280" s="59"/>
      <c r="AF280" s="59"/>
      <c r="AG280" s="202"/>
      <c r="AH280" s="61"/>
      <c r="AI280" s="61"/>
      <c r="AJ280" s="61"/>
      <c r="AK280" s="61"/>
      <c r="AL280" s="61"/>
      <c r="AM280" s="61"/>
      <c r="AN280" s="61"/>
      <c r="AO280" s="61"/>
      <c r="AP280" s="61"/>
      <c r="AQ280" s="61"/>
      <c r="AR280" s="61"/>
    </row>
    <row r="281">
      <c r="A281" s="175">
        <v>18.0</v>
      </c>
      <c r="B281" s="203"/>
      <c r="C281" s="203"/>
      <c r="D281" s="204"/>
      <c r="E281" s="204"/>
      <c r="F281" s="203"/>
      <c r="G281" s="69"/>
      <c r="H281" s="203"/>
      <c r="I281" s="203"/>
      <c r="J281" s="203"/>
      <c r="K281" s="203"/>
      <c r="L281" s="203"/>
      <c r="M281" s="97" t="s">
        <v>2350</v>
      </c>
      <c r="N281" s="176" t="s">
        <v>82</v>
      </c>
      <c r="O281" s="176" t="s">
        <v>113</v>
      </c>
      <c r="P281" s="176" t="s">
        <v>74</v>
      </c>
      <c r="Q281" s="70" t="s">
        <v>2351</v>
      </c>
      <c r="R281" s="176" t="s">
        <v>76</v>
      </c>
      <c r="S281" s="176" t="s">
        <v>77</v>
      </c>
      <c r="T281" s="176" t="s">
        <v>563</v>
      </c>
      <c r="U281" s="176" t="s">
        <v>78</v>
      </c>
      <c r="V281" s="176" t="s">
        <v>98</v>
      </c>
      <c r="W281" s="176" t="s">
        <v>2186</v>
      </c>
      <c r="X281" s="176" t="s">
        <v>155</v>
      </c>
      <c r="Y281" s="176" t="s">
        <v>71</v>
      </c>
      <c r="Z281" s="176" t="s">
        <v>563</v>
      </c>
      <c r="AA281" s="176" t="s">
        <v>82</v>
      </c>
      <c r="AB281" s="203"/>
      <c r="AC281" s="203"/>
      <c r="AD281" s="203"/>
      <c r="AE281" s="59"/>
      <c r="AF281" s="59"/>
      <c r="AG281" s="202"/>
      <c r="AH281" s="61"/>
      <c r="AI281" s="61"/>
      <c r="AJ281" s="61"/>
      <c r="AK281" s="61"/>
      <c r="AL281" s="61"/>
      <c r="AM281" s="61"/>
      <c r="AN281" s="61"/>
      <c r="AO281" s="61"/>
      <c r="AP281" s="61"/>
      <c r="AQ281" s="61"/>
      <c r="AR281" s="61"/>
    </row>
    <row r="282">
      <c r="A282" s="175">
        <v>19.0</v>
      </c>
      <c r="B282" s="203"/>
      <c r="C282" s="203"/>
      <c r="D282" s="204"/>
      <c r="E282" s="204"/>
      <c r="F282" s="203"/>
      <c r="G282" s="69"/>
      <c r="H282" s="203"/>
      <c r="I282" s="203"/>
      <c r="J282" s="203"/>
      <c r="K282" s="203"/>
      <c r="L282" s="203"/>
      <c r="M282" s="97" t="s">
        <v>688</v>
      </c>
      <c r="N282" s="176" t="s">
        <v>144</v>
      </c>
      <c r="O282" s="176" t="s">
        <v>144</v>
      </c>
      <c r="P282" s="176" t="s">
        <v>74</v>
      </c>
      <c r="Q282" s="70" t="s">
        <v>2352</v>
      </c>
      <c r="R282" s="176" t="s">
        <v>76</v>
      </c>
      <c r="S282" s="176" t="s">
        <v>77</v>
      </c>
      <c r="T282" s="176">
        <v>2024.0</v>
      </c>
      <c r="U282" s="176" t="s">
        <v>78</v>
      </c>
      <c r="V282" s="176" t="s">
        <v>98</v>
      </c>
      <c r="W282" s="68" t="s">
        <v>563</v>
      </c>
      <c r="X282" s="176" t="s">
        <v>100</v>
      </c>
      <c r="Y282" s="176" t="s">
        <v>152</v>
      </c>
      <c r="Z282" s="201" t="s">
        <v>2353</v>
      </c>
      <c r="AA282" s="176" t="s">
        <v>140</v>
      </c>
      <c r="AB282" s="203"/>
      <c r="AC282" s="203"/>
      <c r="AD282" s="203"/>
      <c r="AE282" s="59"/>
      <c r="AF282" s="59"/>
      <c r="AG282" s="202"/>
      <c r="AH282" s="61"/>
      <c r="AI282" s="61"/>
      <c r="AJ282" s="61"/>
      <c r="AK282" s="61"/>
      <c r="AL282" s="61"/>
      <c r="AM282" s="61"/>
      <c r="AN282" s="61"/>
      <c r="AO282" s="61"/>
      <c r="AP282" s="61"/>
      <c r="AQ282" s="61"/>
      <c r="AR282" s="61"/>
    </row>
    <row r="283">
      <c r="A283" s="175">
        <v>20.0</v>
      </c>
      <c r="B283" s="203"/>
      <c r="C283" s="203"/>
      <c r="D283" s="204"/>
      <c r="E283" s="204"/>
      <c r="F283" s="203"/>
      <c r="G283" s="69"/>
      <c r="H283" s="203"/>
      <c r="I283" s="203"/>
      <c r="J283" s="203"/>
      <c r="K283" s="203"/>
      <c r="L283" s="203"/>
      <c r="M283" s="97" t="s">
        <v>607</v>
      </c>
      <c r="N283" s="79" t="s">
        <v>73</v>
      </c>
      <c r="O283" s="79" t="s">
        <v>73</v>
      </c>
      <c r="P283" s="79" t="s">
        <v>74</v>
      </c>
      <c r="Q283" s="75" t="s">
        <v>2354</v>
      </c>
      <c r="R283" s="79" t="s">
        <v>76</v>
      </c>
      <c r="S283" s="79" t="s">
        <v>77</v>
      </c>
      <c r="T283" s="68" t="s">
        <v>563</v>
      </c>
      <c r="U283" s="79" t="s">
        <v>78</v>
      </c>
      <c r="V283" s="79" t="s">
        <v>79</v>
      </c>
      <c r="W283" s="68" t="s">
        <v>563</v>
      </c>
      <c r="X283" s="79" t="s">
        <v>80</v>
      </c>
      <c r="Y283" s="79" t="s">
        <v>80</v>
      </c>
      <c r="Z283" s="68" t="s">
        <v>563</v>
      </c>
      <c r="AA283" s="79" t="s">
        <v>140</v>
      </c>
      <c r="AB283" s="203"/>
      <c r="AC283" s="203"/>
      <c r="AD283" s="203"/>
      <c r="AE283" s="59"/>
      <c r="AF283" s="59"/>
      <c r="AG283" s="202"/>
      <c r="AH283" s="61"/>
      <c r="AI283" s="61"/>
      <c r="AJ283" s="61"/>
      <c r="AK283" s="61"/>
      <c r="AL283" s="61"/>
      <c r="AM283" s="61"/>
      <c r="AN283" s="61"/>
      <c r="AO283" s="61"/>
      <c r="AP283" s="61"/>
      <c r="AQ283" s="61"/>
      <c r="AR283" s="61"/>
    </row>
    <row r="284">
      <c r="A284" s="175">
        <v>21.0</v>
      </c>
      <c r="B284" s="205"/>
      <c r="C284" s="205"/>
      <c r="D284" s="206"/>
      <c r="E284" s="206"/>
      <c r="F284" s="203"/>
      <c r="G284" s="69"/>
      <c r="H284" s="203"/>
      <c r="I284" s="203"/>
      <c r="J284" s="203"/>
      <c r="K284" s="203"/>
      <c r="L284" s="203"/>
      <c r="M284" s="97" t="s">
        <v>607</v>
      </c>
      <c r="N284" s="79" t="s">
        <v>73</v>
      </c>
      <c r="O284" s="79" t="s">
        <v>73</v>
      </c>
      <c r="P284" s="79" t="s">
        <v>74</v>
      </c>
      <c r="Q284" s="75" t="s">
        <v>2355</v>
      </c>
      <c r="R284" s="79" t="s">
        <v>76</v>
      </c>
      <c r="S284" s="79" t="s">
        <v>97</v>
      </c>
      <c r="T284" s="68" t="s">
        <v>563</v>
      </c>
      <c r="U284" s="79" t="s">
        <v>78</v>
      </c>
      <c r="V284" s="79" t="s">
        <v>79</v>
      </c>
      <c r="W284" s="68" t="s">
        <v>563</v>
      </c>
      <c r="X284" s="79" t="s">
        <v>80</v>
      </c>
      <c r="Y284" s="79" t="s">
        <v>80</v>
      </c>
      <c r="Z284" s="68" t="s">
        <v>563</v>
      </c>
      <c r="AA284" s="79" t="s">
        <v>140</v>
      </c>
      <c r="AB284" s="203"/>
      <c r="AC284" s="203"/>
      <c r="AD284" s="203"/>
      <c r="AE284" s="59"/>
      <c r="AF284" s="59"/>
      <c r="AG284" s="202"/>
      <c r="AH284" s="61"/>
      <c r="AI284" s="61"/>
      <c r="AJ284" s="61"/>
      <c r="AK284" s="61"/>
      <c r="AL284" s="61"/>
      <c r="AM284" s="61"/>
      <c r="AN284" s="61"/>
      <c r="AO284" s="61"/>
      <c r="AP284" s="61"/>
      <c r="AQ284" s="61"/>
      <c r="AR284" s="61"/>
    </row>
    <row r="285">
      <c r="A285" s="175">
        <v>22.0</v>
      </c>
      <c r="B285" s="205"/>
      <c r="C285" s="205"/>
      <c r="D285" s="206"/>
      <c r="E285" s="206"/>
      <c r="F285" s="203"/>
      <c r="G285" s="69"/>
      <c r="H285" s="203"/>
      <c r="I285" s="203"/>
      <c r="J285" s="203"/>
      <c r="K285" s="203"/>
      <c r="L285" s="203"/>
      <c r="M285" s="97" t="s">
        <v>1658</v>
      </c>
      <c r="N285" s="79" t="s">
        <v>73</v>
      </c>
      <c r="O285" s="79" t="s">
        <v>73</v>
      </c>
      <c r="P285" s="79" t="s">
        <v>153</v>
      </c>
      <c r="Q285" s="68" t="s">
        <v>563</v>
      </c>
      <c r="R285" s="79" t="s">
        <v>76</v>
      </c>
      <c r="S285" s="79" t="s">
        <v>97</v>
      </c>
      <c r="T285" s="68" t="s">
        <v>563</v>
      </c>
      <c r="U285" s="79" t="s">
        <v>78</v>
      </c>
      <c r="V285" s="79" t="s">
        <v>79</v>
      </c>
      <c r="W285" s="68" t="s">
        <v>563</v>
      </c>
      <c r="X285" s="79" t="s">
        <v>80</v>
      </c>
      <c r="Y285" s="79" t="s">
        <v>80</v>
      </c>
      <c r="Z285" s="68" t="s">
        <v>563</v>
      </c>
      <c r="AA285" s="79" t="s">
        <v>140</v>
      </c>
      <c r="AB285" s="69"/>
      <c r="AC285" s="69"/>
      <c r="AD285" s="69"/>
      <c r="AE285" s="59"/>
      <c r="AF285" s="59"/>
      <c r="AG285" s="202"/>
      <c r="AH285" s="61"/>
      <c r="AI285" s="61"/>
      <c r="AJ285" s="61"/>
      <c r="AK285" s="61"/>
      <c r="AL285" s="61"/>
      <c r="AM285" s="61"/>
      <c r="AN285" s="61"/>
      <c r="AO285" s="61"/>
      <c r="AP285" s="61"/>
      <c r="AQ285" s="61"/>
      <c r="AR285" s="61"/>
    </row>
    <row r="286">
      <c r="A286" s="95">
        <v>23.0</v>
      </c>
      <c r="B286" s="200"/>
      <c r="C286" s="200"/>
      <c r="D286" s="94"/>
      <c r="E286" s="94"/>
      <c r="F286" s="69"/>
      <c r="G286" s="69"/>
      <c r="H286" s="69"/>
      <c r="I286" s="69"/>
      <c r="J286" s="69"/>
      <c r="K286" s="69"/>
      <c r="L286" s="69"/>
      <c r="M286" s="97" t="s">
        <v>880</v>
      </c>
      <c r="N286" s="79" t="s">
        <v>73</v>
      </c>
      <c r="O286" s="79" t="s">
        <v>73</v>
      </c>
      <c r="P286" s="79" t="s">
        <v>74</v>
      </c>
      <c r="Q286" s="75" t="s">
        <v>2356</v>
      </c>
      <c r="R286" s="79" t="s">
        <v>76</v>
      </c>
      <c r="S286" s="79" t="s">
        <v>97</v>
      </c>
      <c r="T286" s="68" t="s">
        <v>563</v>
      </c>
      <c r="U286" s="79" t="s">
        <v>78</v>
      </c>
      <c r="V286" s="79" t="s">
        <v>79</v>
      </c>
      <c r="W286" s="68" t="s">
        <v>563</v>
      </c>
      <c r="X286" s="79" t="s">
        <v>80</v>
      </c>
      <c r="Y286" s="79" t="s">
        <v>80</v>
      </c>
      <c r="Z286" s="68" t="s">
        <v>563</v>
      </c>
      <c r="AA286" s="79" t="s">
        <v>140</v>
      </c>
      <c r="AB286" s="69"/>
      <c r="AC286" s="69"/>
      <c r="AD286" s="69"/>
      <c r="AE286" s="59"/>
      <c r="AF286" s="59"/>
      <c r="AG286" s="60"/>
      <c r="AH286" s="61"/>
      <c r="AI286" s="61"/>
      <c r="AJ286" s="61"/>
      <c r="AK286" s="61"/>
      <c r="AL286" s="61"/>
      <c r="AM286" s="61"/>
      <c r="AN286" s="61"/>
      <c r="AO286" s="61"/>
      <c r="AP286" s="61"/>
      <c r="AQ286" s="61"/>
      <c r="AR286" s="61"/>
    </row>
    <row r="287">
      <c r="A287" s="95">
        <v>24.0</v>
      </c>
      <c r="B287" s="200"/>
      <c r="C287" s="200"/>
      <c r="D287" s="94"/>
      <c r="E287" s="94"/>
      <c r="F287" s="69"/>
      <c r="G287" s="69"/>
      <c r="H287" s="69"/>
      <c r="I287" s="69"/>
      <c r="J287" s="69"/>
      <c r="K287" s="69"/>
      <c r="L287" s="69"/>
      <c r="M287" s="97" t="s">
        <v>768</v>
      </c>
      <c r="N287" s="79" t="s">
        <v>26</v>
      </c>
      <c r="O287" s="79" t="s">
        <v>113</v>
      </c>
      <c r="P287" s="79" t="s">
        <v>74</v>
      </c>
      <c r="Q287" s="75" t="s">
        <v>2357</v>
      </c>
      <c r="R287" s="79" t="s">
        <v>76</v>
      </c>
      <c r="S287" s="79" t="s">
        <v>97</v>
      </c>
      <c r="T287" s="68" t="s">
        <v>563</v>
      </c>
      <c r="U287" s="79" t="s">
        <v>78</v>
      </c>
      <c r="V287" s="79" t="s">
        <v>79</v>
      </c>
      <c r="W287" s="68" t="s">
        <v>563</v>
      </c>
      <c r="X287" s="79" t="s">
        <v>80</v>
      </c>
      <c r="Y287" s="79" t="s">
        <v>80</v>
      </c>
      <c r="Z287" s="68" t="s">
        <v>563</v>
      </c>
      <c r="AA287" s="79" t="s">
        <v>140</v>
      </c>
      <c r="AB287" s="69"/>
      <c r="AC287" s="69"/>
      <c r="AD287" s="69"/>
      <c r="AE287" s="59"/>
      <c r="AF287" s="59"/>
      <c r="AG287" s="60"/>
      <c r="AH287" s="61"/>
      <c r="AI287" s="61"/>
      <c r="AJ287" s="61"/>
      <c r="AK287" s="61"/>
      <c r="AL287" s="61"/>
      <c r="AM287" s="61"/>
      <c r="AN287" s="61"/>
      <c r="AO287" s="61"/>
      <c r="AP287" s="61"/>
      <c r="AQ287" s="61"/>
      <c r="AR287" s="61"/>
    </row>
    <row r="288">
      <c r="A288" s="95">
        <v>25.0</v>
      </c>
      <c r="B288" s="200"/>
      <c r="C288" s="200"/>
      <c r="D288" s="94"/>
      <c r="E288" s="94"/>
      <c r="F288" s="69"/>
      <c r="G288" s="69"/>
      <c r="H288" s="69"/>
      <c r="I288" s="69"/>
      <c r="J288" s="69"/>
      <c r="K288" s="69"/>
      <c r="L288" s="69"/>
      <c r="M288" s="97" t="s">
        <v>859</v>
      </c>
      <c r="N288" s="79" t="s">
        <v>26</v>
      </c>
      <c r="O288" s="79" t="s">
        <v>113</v>
      </c>
      <c r="P288" s="79" t="s">
        <v>74</v>
      </c>
      <c r="Q288" s="68" t="s">
        <v>563</v>
      </c>
      <c r="R288" s="79" t="s">
        <v>76</v>
      </c>
      <c r="S288" s="79" t="s">
        <v>97</v>
      </c>
      <c r="T288" s="68" t="s">
        <v>563</v>
      </c>
      <c r="U288" s="79" t="s">
        <v>78</v>
      </c>
      <c r="V288" s="79" t="s">
        <v>79</v>
      </c>
      <c r="W288" s="68" t="s">
        <v>563</v>
      </c>
      <c r="X288" s="79" t="s">
        <v>80</v>
      </c>
      <c r="Y288" s="79" t="s">
        <v>80</v>
      </c>
      <c r="Z288" s="68" t="s">
        <v>563</v>
      </c>
      <c r="AA288" s="79" t="s">
        <v>140</v>
      </c>
      <c r="AB288" s="69"/>
      <c r="AC288" s="69"/>
      <c r="AD288" s="69"/>
      <c r="AE288" s="59"/>
      <c r="AF288" s="59"/>
      <c r="AG288" s="60"/>
      <c r="AH288" s="61"/>
      <c r="AI288" s="61"/>
      <c r="AJ288" s="61"/>
      <c r="AK288" s="61"/>
      <c r="AL288" s="61"/>
      <c r="AM288" s="61"/>
      <c r="AN288" s="61"/>
      <c r="AO288" s="61"/>
      <c r="AP288" s="61"/>
      <c r="AQ288" s="61"/>
      <c r="AR288" s="61"/>
    </row>
    <row r="289">
      <c r="A289" s="95">
        <v>26.0</v>
      </c>
      <c r="B289" s="200"/>
      <c r="C289" s="200"/>
      <c r="D289" s="94"/>
      <c r="E289" s="94"/>
      <c r="F289" s="69"/>
      <c r="G289" s="69"/>
      <c r="H289" s="69"/>
      <c r="I289" s="69"/>
      <c r="J289" s="69"/>
      <c r="K289" s="69"/>
      <c r="L289" s="69"/>
      <c r="M289" s="97" t="s">
        <v>614</v>
      </c>
      <c r="N289" s="79" t="s">
        <v>82</v>
      </c>
      <c r="O289" s="79" t="s">
        <v>113</v>
      </c>
      <c r="P289" s="79" t="s">
        <v>74</v>
      </c>
      <c r="Q289" s="75" t="s">
        <v>2358</v>
      </c>
      <c r="R289" s="79" t="s">
        <v>76</v>
      </c>
      <c r="S289" s="79" t="s">
        <v>97</v>
      </c>
      <c r="T289" s="68" t="s">
        <v>563</v>
      </c>
      <c r="U289" s="79" t="s">
        <v>78</v>
      </c>
      <c r="V289" s="79" t="s">
        <v>79</v>
      </c>
      <c r="W289" s="68" t="s">
        <v>563</v>
      </c>
      <c r="X289" s="79" t="s">
        <v>80</v>
      </c>
      <c r="Y289" s="79" t="s">
        <v>80</v>
      </c>
      <c r="Z289" s="68" t="s">
        <v>563</v>
      </c>
      <c r="AA289" s="79" t="s">
        <v>140</v>
      </c>
      <c r="AB289" s="69"/>
      <c r="AC289" s="69"/>
      <c r="AD289" s="69"/>
      <c r="AE289" s="59"/>
      <c r="AF289" s="59"/>
      <c r="AG289" s="60"/>
      <c r="AH289" s="61"/>
      <c r="AI289" s="61"/>
      <c r="AJ289" s="61"/>
      <c r="AK289" s="61"/>
      <c r="AL289" s="61"/>
      <c r="AM289" s="61"/>
      <c r="AN289" s="61"/>
      <c r="AO289" s="61"/>
      <c r="AP289" s="61"/>
      <c r="AQ289" s="61"/>
      <c r="AR289" s="61"/>
    </row>
    <row r="290">
      <c r="A290" s="95">
        <v>27.0</v>
      </c>
      <c r="B290" s="200"/>
      <c r="C290" s="200"/>
      <c r="D290" s="94"/>
      <c r="E290" s="94"/>
      <c r="F290" s="69"/>
      <c r="G290" s="69"/>
      <c r="H290" s="69"/>
      <c r="I290" s="69"/>
      <c r="J290" s="69"/>
      <c r="K290" s="69"/>
      <c r="L290" s="69"/>
      <c r="M290" s="97" t="s">
        <v>503</v>
      </c>
      <c r="N290" s="79" t="s">
        <v>82</v>
      </c>
      <c r="O290" s="79" t="s">
        <v>113</v>
      </c>
      <c r="P290" s="79" t="s">
        <v>74</v>
      </c>
      <c r="Q290" s="75" t="s">
        <v>2359</v>
      </c>
      <c r="R290" s="79" t="s">
        <v>76</v>
      </c>
      <c r="S290" s="79" t="s">
        <v>97</v>
      </c>
      <c r="T290" s="68" t="s">
        <v>563</v>
      </c>
      <c r="U290" s="79" t="s">
        <v>78</v>
      </c>
      <c r="V290" s="79" t="s">
        <v>79</v>
      </c>
      <c r="W290" s="68" t="s">
        <v>563</v>
      </c>
      <c r="X290" s="79" t="s">
        <v>80</v>
      </c>
      <c r="Y290" s="79" t="s">
        <v>80</v>
      </c>
      <c r="Z290" s="68" t="s">
        <v>563</v>
      </c>
      <c r="AA290" s="79" t="s">
        <v>140</v>
      </c>
      <c r="AB290" s="69"/>
      <c r="AC290" s="69"/>
      <c r="AD290" s="69"/>
      <c r="AE290" s="59"/>
      <c r="AF290" s="59"/>
      <c r="AG290" s="60"/>
      <c r="AH290" s="61"/>
      <c r="AI290" s="61"/>
      <c r="AJ290" s="61"/>
      <c r="AK290" s="61"/>
      <c r="AL290" s="61"/>
      <c r="AM290" s="61"/>
      <c r="AN290" s="61"/>
      <c r="AO290" s="61"/>
      <c r="AP290" s="61"/>
      <c r="AQ290" s="61"/>
      <c r="AR290" s="61"/>
    </row>
    <row r="291">
      <c r="A291" s="71" t="s">
        <v>211</v>
      </c>
      <c r="B291" s="57"/>
      <c r="C291" s="57"/>
      <c r="D291" s="58"/>
      <c r="E291" s="58"/>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94"/>
      <c r="AF291" s="94"/>
      <c r="AG291" s="60"/>
      <c r="AH291" s="60"/>
      <c r="AI291" s="60"/>
      <c r="AJ291" s="60"/>
      <c r="AK291" s="60"/>
      <c r="AL291" s="60"/>
      <c r="AM291" s="60"/>
      <c r="AN291" s="60"/>
      <c r="AO291" s="60"/>
      <c r="AP291" s="60"/>
      <c r="AQ291" s="60"/>
      <c r="AR291" s="61"/>
    </row>
    <row r="292">
      <c r="A292" s="207">
        <v>1.0</v>
      </c>
      <c r="B292" s="208" t="s">
        <v>2182</v>
      </c>
      <c r="C292" s="208" t="s">
        <v>2183</v>
      </c>
      <c r="D292" s="208" t="s">
        <v>2184</v>
      </c>
      <c r="E292" s="70" t="s">
        <v>2360</v>
      </c>
      <c r="F292" s="208" t="s">
        <v>469</v>
      </c>
      <c r="G292" s="208" t="s">
        <v>131</v>
      </c>
      <c r="H292" s="209" t="s">
        <v>1969</v>
      </c>
      <c r="I292" s="208" t="s">
        <v>2185</v>
      </c>
      <c r="J292" s="208" t="s">
        <v>151</v>
      </c>
      <c r="K292" s="208" t="s">
        <v>70</v>
      </c>
      <c r="L292" s="208" t="s">
        <v>71</v>
      </c>
      <c r="M292" s="97" t="s">
        <v>2186</v>
      </c>
      <c r="N292" s="208" t="s">
        <v>93</v>
      </c>
      <c r="O292" s="208" t="s">
        <v>113</v>
      </c>
      <c r="P292" s="208" t="s">
        <v>95</v>
      </c>
      <c r="Q292" s="75" t="s">
        <v>2361</v>
      </c>
      <c r="R292" s="208" t="s">
        <v>76</v>
      </c>
      <c r="S292" s="208" t="s">
        <v>77</v>
      </c>
      <c r="T292" s="209">
        <v>2017.0</v>
      </c>
      <c r="U292" s="208" t="s">
        <v>78</v>
      </c>
      <c r="V292" s="208" t="s">
        <v>98</v>
      </c>
      <c r="W292" s="209" t="s">
        <v>2188</v>
      </c>
      <c r="X292" s="208" t="s">
        <v>155</v>
      </c>
      <c r="Y292" s="208" t="s">
        <v>71</v>
      </c>
      <c r="Z292" s="209" t="s">
        <v>2189</v>
      </c>
      <c r="AA292" s="208" t="s">
        <v>211</v>
      </c>
      <c r="AB292" s="208" t="s">
        <v>2190</v>
      </c>
      <c r="AC292" s="208">
        <v>8.2133111001E10</v>
      </c>
      <c r="AD292" s="75" t="s">
        <v>2362</v>
      </c>
      <c r="AE292" s="210">
        <v>28.0</v>
      </c>
      <c r="AF292" s="210" t="s">
        <v>566</v>
      </c>
      <c r="AG292" s="211"/>
      <c r="AH292" s="61"/>
      <c r="AI292" s="61"/>
      <c r="AJ292" s="61"/>
      <c r="AK292" s="61"/>
      <c r="AL292" s="61"/>
      <c r="AM292" s="61"/>
      <c r="AN292" s="61"/>
      <c r="AO292" s="61"/>
      <c r="AP292" s="61"/>
      <c r="AQ292" s="61"/>
      <c r="AR292" s="61"/>
    </row>
    <row r="293">
      <c r="A293" s="212">
        <v>2.0</v>
      </c>
      <c r="B293" s="201" t="s">
        <v>2192</v>
      </c>
      <c r="C293" s="213" t="s">
        <v>2193</v>
      </c>
      <c r="D293" s="201" t="s">
        <v>2194</v>
      </c>
      <c r="E293" s="70" t="s">
        <v>2363</v>
      </c>
      <c r="F293" s="213" t="s">
        <v>469</v>
      </c>
      <c r="G293" s="201" t="s">
        <v>131</v>
      </c>
      <c r="H293" s="214" t="s">
        <v>1969</v>
      </c>
      <c r="I293" s="201" t="s">
        <v>2196</v>
      </c>
      <c r="J293" s="213" t="s">
        <v>151</v>
      </c>
      <c r="K293" s="213" t="s">
        <v>70</v>
      </c>
      <c r="L293" s="213" t="s">
        <v>71</v>
      </c>
      <c r="M293" s="97" t="s">
        <v>1003</v>
      </c>
      <c r="N293" s="213" t="s">
        <v>26</v>
      </c>
      <c r="O293" s="213" t="s">
        <v>113</v>
      </c>
      <c r="P293" s="213" t="s">
        <v>95</v>
      </c>
      <c r="Q293" s="75" t="s">
        <v>2364</v>
      </c>
      <c r="R293" s="213" t="s">
        <v>76</v>
      </c>
      <c r="S293" s="213" t="s">
        <v>77</v>
      </c>
      <c r="T293" s="214">
        <v>2020.0</v>
      </c>
      <c r="U293" s="213" t="s">
        <v>78</v>
      </c>
      <c r="V293" s="213" t="s">
        <v>98</v>
      </c>
      <c r="W293" s="214" t="s">
        <v>2199</v>
      </c>
      <c r="X293" s="213" t="s">
        <v>155</v>
      </c>
      <c r="Y293" s="213" t="s">
        <v>71</v>
      </c>
      <c r="Z293" s="176" t="s">
        <v>2200</v>
      </c>
      <c r="AA293" s="201" t="s">
        <v>211</v>
      </c>
      <c r="AB293" s="201" t="s">
        <v>2201</v>
      </c>
      <c r="AC293" s="201">
        <v>8.2129997E10</v>
      </c>
      <c r="AD293" s="75" t="s">
        <v>2365</v>
      </c>
      <c r="AE293" s="204"/>
      <c r="AF293" s="204"/>
      <c r="AG293" s="215"/>
      <c r="AH293" s="61"/>
      <c r="AI293" s="61"/>
      <c r="AJ293" s="61"/>
      <c r="AK293" s="61"/>
      <c r="AL293" s="61"/>
      <c r="AM293" s="61"/>
      <c r="AN293" s="61"/>
      <c r="AO293" s="61"/>
      <c r="AP293" s="61"/>
      <c r="AQ293" s="61"/>
      <c r="AR293" s="61"/>
    </row>
    <row r="294">
      <c r="A294" s="71" t="s">
        <v>2366</v>
      </c>
      <c r="B294" s="57"/>
      <c r="C294" s="57"/>
      <c r="D294" s="58"/>
      <c r="E294" s="58"/>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94"/>
      <c r="AF294" s="94"/>
      <c r="AG294" s="60"/>
      <c r="AH294" s="60"/>
      <c r="AI294" s="60"/>
      <c r="AJ294" s="60"/>
      <c r="AK294" s="60"/>
      <c r="AL294" s="60"/>
      <c r="AM294" s="60"/>
      <c r="AN294" s="60"/>
      <c r="AO294" s="60"/>
      <c r="AP294" s="60"/>
      <c r="AQ294" s="60"/>
      <c r="AR294" s="61"/>
    </row>
    <row r="295">
      <c r="A295" s="95">
        <v>1.0</v>
      </c>
      <c r="B295" s="79" t="s">
        <v>2367</v>
      </c>
      <c r="C295" s="79" t="s">
        <v>2368</v>
      </c>
      <c r="D295" s="79" t="s">
        <v>2369</v>
      </c>
      <c r="E295" s="131" t="s">
        <v>2370</v>
      </c>
      <c r="F295" s="79" t="s">
        <v>65</v>
      </c>
      <c r="G295" s="79" t="s">
        <v>66</v>
      </c>
      <c r="H295" s="79" t="s">
        <v>2371</v>
      </c>
      <c r="I295" s="79" t="s">
        <v>2372</v>
      </c>
      <c r="J295" s="79" t="s">
        <v>151</v>
      </c>
      <c r="K295" s="79" t="s">
        <v>70</v>
      </c>
      <c r="L295" s="79" t="s">
        <v>71</v>
      </c>
      <c r="M295" s="130" t="s">
        <v>2373</v>
      </c>
      <c r="N295" s="79" t="s">
        <v>26</v>
      </c>
      <c r="O295" s="79" t="s">
        <v>113</v>
      </c>
      <c r="P295" s="79" t="s">
        <v>153</v>
      </c>
      <c r="Q295" s="79" t="s">
        <v>2374</v>
      </c>
      <c r="R295" s="79" t="s">
        <v>146</v>
      </c>
      <c r="S295" s="79" t="s">
        <v>97</v>
      </c>
      <c r="T295" s="79">
        <v>2009.0</v>
      </c>
      <c r="U295" s="79" t="s">
        <v>78</v>
      </c>
      <c r="V295" s="79" t="s">
        <v>79</v>
      </c>
      <c r="W295" s="79" t="s">
        <v>80</v>
      </c>
      <c r="X295" s="79" t="s">
        <v>159</v>
      </c>
      <c r="Y295" s="79" t="s">
        <v>80</v>
      </c>
      <c r="Z295" s="79" t="s">
        <v>2375</v>
      </c>
      <c r="AA295" s="79" t="s">
        <v>213</v>
      </c>
      <c r="AB295" s="79" t="s">
        <v>2376</v>
      </c>
      <c r="AC295" s="79">
        <v>8.2315879914E10</v>
      </c>
      <c r="AD295" s="79" t="s">
        <v>2377</v>
      </c>
      <c r="AE295" s="59"/>
      <c r="AF295" s="68" t="s">
        <v>71</v>
      </c>
      <c r="AG295" s="60"/>
      <c r="AH295" s="61"/>
      <c r="AI295" s="61"/>
      <c r="AJ295" s="61"/>
      <c r="AK295" s="61"/>
      <c r="AL295" s="61"/>
      <c r="AM295" s="61"/>
      <c r="AN295" s="61"/>
      <c r="AO295" s="61"/>
      <c r="AP295" s="61"/>
      <c r="AQ295" s="61"/>
      <c r="AR295" s="61"/>
    </row>
    <row r="296">
      <c r="A296" s="95">
        <v>2.0</v>
      </c>
      <c r="B296" s="96" t="s">
        <v>2378</v>
      </c>
      <c r="C296" s="133" t="s">
        <v>2379</v>
      </c>
      <c r="D296" s="96" t="s">
        <v>2380</v>
      </c>
      <c r="E296" s="70" t="s">
        <v>2381</v>
      </c>
      <c r="F296" s="79" t="s">
        <v>65</v>
      </c>
      <c r="G296" s="79" t="s">
        <v>66</v>
      </c>
      <c r="H296" s="79" t="s">
        <v>2382</v>
      </c>
      <c r="I296" s="96" t="s">
        <v>2383</v>
      </c>
      <c r="J296" s="79" t="s">
        <v>158</v>
      </c>
      <c r="K296" s="79" t="s">
        <v>70</v>
      </c>
      <c r="L296" s="79" t="s">
        <v>152</v>
      </c>
      <c r="M296" s="97" t="s">
        <v>2384</v>
      </c>
      <c r="N296" s="79" t="s">
        <v>26</v>
      </c>
      <c r="O296" s="79" t="s">
        <v>113</v>
      </c>
      <c r="P296" s="79" t="s">
        <v>153</v>
      </c>
      <c r="Q296" s="70" t="s">
        <v>2385</v>
      </c>
      <c r="R296" s="79" t="s">
        <v>76</v>
      </c>
      <c r="S296" s="79" t="s">
        <v>97</v>
      </c>
      <c r="T296" s="98">
        <v>2024.0</v>
      </c>
      <c r="U296" s="79" t="s">
        <v>78</v>
      </c>
      <c r="V296" s="79" t="s">
        <v>79</v>
      </c>
      <c r="W296" s="79" t="s">
        <v>80</v>
      </c>
      <c r="X296" s="79" t="s">
        <v>159</v>
      </c>
      <c r="Y296" s="79" t="s">
        <v>101</v>
      </c>
      <c r="Z296" s="79" t="s">
        <v>2386</v>
      </c>
      <c r="AA296" s="79" t="s">
        <v>213</v>
      </c>
      <c r="AB296" s="96" t="s">
        <v>2387</v>
      </c>
      <c r="AC296" s="79">
        <v>8.2219137079E10</v>
      </c>
      <c r="AD296" s="79" t="s">
        <v>2388</v>
      </c>
      <c r="AE296" s="68">
        <v>53.0</v>
      </c>
      <c r="AF296" s="68" t="s">
        <v>1268</v>
      </c>
      <c r="AG296" s="216"/>
      <c r="AH296" s="61"/>
      <c r="AI296" s="61"/>
      <c r="AJ296" s="61"/>
      <c r="AK296" s="61"/>
      <c r="AL296" s="61"/>
      <c r="AM296" s="61"/>
      <c r="AN296" s="61"/>
      <c r="AO296" s="61"/>
      <c r="AP296" s="61"/>
      <c r="AQ296" s="61"/>
      <c r="AR296" s="61"/>
    </row>
    <row r="297">
      <c r="A297" s="71" t="s">
        <v>215</v>
      </c>
      <c r="B297" s="57"/>
      <c r="C297" s="57"/>
      <c r="D297" s="58"/>
      <c r="E297" s="58"/>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94"/>
      <c r="AF297" s="94"/>
      <c r="AG297" s="60"/>
      <c r="AH297" s="60"/>
      <c r="AI297" s="60"/>
      <c r="AJ297" s="60"/>
      <c r="AK297" s="60"/>
      <c r="AL297" s="60"/>
      <c r="AM297" s="60"/>
      <c r="AN297" s="60"/>
      <c r="AO297" s="60"/>
      <c r="AP297" s="60"/>
      <c r="AQ297" s="60"/>
      <c r="AR297" s="61"/>
    </row>
    <row r="298">
      <c r="A298" s="95">
        <v>1.0</v>
      </c>
      <c r="B298" s="96" t="s">
        <v>2389</v>
      </c>
      <c r="C298" s="96" t="s">
        <v>2390</v>
      </c>
      <c r="D298" s="96" t="s">
        <v>2391</v>
      </c>
      <c r="E298" s="70" t="s">
        <v>2392</v>
      </c>
      <c r="F298" s="79" t="s">
        <v>354</v>
      </c>
      <c r="G298" s="79" t="s">
        <v>66</v>
      </c>
      <c r="H298" s="217" t="s">
        <v>2393</v>
      </c>
      <c r="I298" s="79" t="s">
        <v>2393</v>
      </c>
      <c r="J298" s="79" t="s">
        <v>91</v>
      </c>
      <c r="K298" s="79" t="s">
        <v>110</v>
      </c>
      <c r="L298" s="79" t="s">
        <v>71</v>
      </c>
      <c r="M298" s="130" t="s">
        <v>2394</v>
      </c>
      <c r="N298" s="79" t="s">
        <v>82</v>
      </c>
      <c r="O298" s="79" t="s">
        <v>113</v>
      </c>
      <c r="P298" s="79" t="s">
        <v>145</v>
      </c>
      <c r="Q298" s="70" t="s">
        <v>2395</v>
      </c>
      <c r="R298" s="79" t="s">
        <v>76</v>
      </c>
      <c r="S298" s="79" t="s">
        <v>97</v>
      </c>
      <c r="T298" s="98">
        <v>2022.0</v>
      </c>
      <c r="U298" s="79" t="s">
        <v>147</v>
      </c>
      <c r="V298" s="79" t="s">
        <v>79</v>
      </c>
      <c r="W298" s="69"/>
      <c r="X298" s="79" t="s">
        <v>80</v>
      </c>
      <c r="Y298" s="79" t="s">
        <v>80</v>
      </c>
      <c r="Z298" s="218" t="s">
        <v>2396</v>
      </c>
      <c r="AA298" s="79" t="s">
        <v>215</v>
      </c>
      <c r="AB298" s="69"/>
      <c r="AC298" s="69"/>
      <c r="AD298" s="69"/>
      <c r="AE298" s="94"/>
      <c r="AF298" s="94"/>
      <c r="AG298" s="60"/>
      <c r="AH298" s="61"/>
      <c r="AI298" s="61"/>
      <c r="AJ298" s="61"/>
      <c r="AK298" s="61"/>
      <c r="AL298" s="61"/>
      <c r="AM298" s="61"/>
      <c r="AN298" s="61"/>
      <c r="AO298" s="61"/>
      <c r="AP298" s="61"/>
      <c r="AQ298" s="61"/>
      <c r="AR298" s="61"/>
    </row>
    <row r="299">
      <c r="A299" s="95">
        <v>2.0</v>
      </c>
      <c r="B299" s="96" t="s">
        <v>2397</v>
      </c>
      <c r="C299" s="96" t="s">
        <v>2398</v>
      </c>
      <c r="D299" s="96" t="s">
        <v>2391</v>
      </c>
      <c r="E299" s="70" t="s">
        <v>2399</v>
      </c>
      <c r="F299" s="79" t="s">
        <v>354</v>
      </c>
      <c r="G299" s="79" t="s">
        <v>131</v>
      </c>
      <c r="H299" s="217" t="s">
        <v>2400</v>
      </c>
      <c r="I299" s="79" t="s">
        <v>2393</v>
      </c>
      <c r="J299" s="79" t="s">
        <v>91</v>
      </c>
      <c r="K299" s="69"/>
      <c r="L299" s="79" t="s">
        <v>71</v>
      </c>
      <c r="M299" s="130" t="s">
        <v>2401</v>
      </c>
      <c r="N299" s="69"/>
      <c r="O299" s="69"/>
      <c r="P299" s="79" t="s">
        <v>95</v>
      </c>
      <c r="Q299" s="70" t="s">
        <v>2402</v>
      </c>
      <c r="R299" s="79" t="s">
        <v>76</v>
      </c>
      <c r="S299" s="79" t="s">
        <v>97</v>
      </c>
      <c r="T299" s="69"/>
      <c r="U299" s="79" t="s">
        <v>78</v>
      </c>
      <c r="V299" s="69"/>
      <c r="W299" s="69"/>
      <c r="X299" s="79" t="s">
        <v>80</v>
      </c>
      <c r="Y299" s="69"/>
      <c r="Z299" s="79" t="s">
        <v>2396</v>
      </c>
      <c r="AA299" s="79" t="s">
        <v>215</v>
      </c>
      <c r="AB299" s="69"/>
      <c r="AC299" s="69"/>
      <c r="AD299" s="69"/>
      <c r="AE299" s="94"/>
      <c r="AF299" s="94"/>
      <c r="AG299" s="60"/>
      <c r="AH299" s="61"/>
      <c r="AI299" s="61"/>
      <c r="AJ299" s="61"/>
      <c r="AK299" s="61"/>
      <c r="AL299" s="61"/>
      <c r="AM299" s="61"/>
      <c r="AN299" s="61"/>
      <c r="AO299" s="61"/>
      <c r="AP299" s="61"/>
      <c r="AQ299" s="61"/>
      <c r="AR299" s="61"/>
    </row>
    <row r="300">
      <c r="A300" s="95">
        <v>4.0</v>
      </c>
      <c r="B300" s="96" t="s">
        <v>2403</v>
      </c>
      <c r="C300" s="96" t="s">
        <v>2404</v>
      </c>
      <c r="D300" s="96" t="s">
        <v>2391</v>
      </c>
      <c r="E300" s="70" t="s">
        <v>2405</v>
      </c>
      <c r="F300" s="79" t="s">
        <v>354</v>
      </c>
      <c r="G300" s="79" t="s">
        <v>66</v>
      </c>
      <c r="H300" s="79" t="s">
        <v>2406</v>
      </c>
      <c r="I300" s="79" t="s">
        <v>2406</v>
      </c>
      <c r="J300" s="79" t="s">
        <v>91</v>
      </c>
      <c r="K300" s="69"/>
      <c r="L300" s="79" t="s">
        <v>71</v>
      </c>
      <c r="M300" s="97" t="s">
        <v>2407</v>
      </c>
      <c r="N300" s="79" t="s">
        <v>93</v>
      </c>
      <c r="O300" s="79" t="s">
        <v>94</v>
      </c>
      <c r="P300" s="79" t="s">
        <v>145</v>
      </c>
      <c r="Q300" s="70" t="s">
        <v>2408</v>
      </c>
      <c r="R300" s="79" t="s">
        <v>76</v>
      </c>
      <c r="S300" s="79" t="s">
        <v>97</v>
      </c>
      <c r="T300" s="98">
        <v>2022.0</v>
      </c>
      <c r="U300" s="79" t="s">
        <v>78</v>
      </c>
      <c r="V300" s="79" t="s">
        <v>79</v>
      </c>
      <c r="W300" s="69"/>
      <c r="X300" s="79" t="s">
        <v>80</v>
      </c>
      <c r="Y300" s="69"/>
      <c r="Z300" s="79" t="s">
        <v>2409</v>
      </c>
      <c r="AA300" s="79" t="s">
        <v>215</v>
      </c>
      <c r="AB300" s="69"/>
      <c r="AC300" s="69"/>
      <c r="AD300" s="69"/>
      <c r="AE300" s="94"/>
      <c r="AF300" s="94"/>
      <c r="AG300" s="60"/>
      <c r="AH300" s="61"/>
      <c r="AI300" s="61"/>
      <c r="AJ300" s="61"/>
      <c r="AK300" s="61"/>
      <c r="AL300" s="61"/>
      <c r="AM300" s="61"/>
      <c r="AN300" s="61"/>
      <c r="AO300" s="61"/>
      <c r="AP300" s="61"/>
      <c r="AQ300" s="61"/>
      <c r="AR300" s="61"/>
    </row>
    <row r="301">
      <c r="A301" s="71" t="s">
        <v>2410</v>
      </c>
      <c r="B301" s="57"/>
      <c r="C301" s="57"/>
      <c r="D301" s="58"/>
      <c r="E301" s="58"/>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94"/>
      <c r="AF301" s="94"/>
      <c r="AG301" s="60"/>
      <c r="AH301" s="60"/>
      <c r="AI301" s="60"/>
      <c r="AJ301" s="60"/>
      <c r="AK301" s="60"/>
      <c r="AL301" s="60"/>
      <c r="AM301" s="60"/>
      <c r="AN301" s="60"/>
      <c r="AO301" s="60"/>
      <c r="AP301" s="60"/>
      <c r="AQ301" s="60"/>
      <c r="AR301" s="61"/>
    </row>
    <row r="302">
      <c r="A302" s="180">
        <v>1.0</v>
      </c>
      <c r="B302" s="79" t="s">
        <v>2411</v>
      </c>
      <c r="C302" s="79" t="s">
        <v>2412</v>
      </c>
      <c r="D302" s="79" t="s">
        <v>2413</v>
      </c>
      <c r="E302" s="131" t="s">
        <v>2414</v>
      </c>
      <c r="F302" s="79" t="s">
        <v>344</v>
      </c>
      <c r="G302" s="79" t="s">
        <v>66</v>
      </c>
      <c r="H302" s="79" t="s">
        <v>2415</v>
      </c>
      <c r="I302" s="96" t="s">
        <v>2416</v>
      </c>
      <c r="J302" s="79" t="s">
        <v>158</v>
      </c>
      <c r="K302" s="79" t="s">
        <v>70</v>
      </c>
      <c r="L302" s="79" t="s">
        <v>101</v>
      </c>
      <c r="M302" s="130" t="s">
        <v>2417</v>
      </c>
      <c r="N302" s="79" t="s">
        <v>93</v>
      </c>
      <c r="O302" s="79" t="s">
        <v>113</v>
      </c>
      <c r="P302" s="79" t="s">
        <v>153</v>
      </c>
      <c r="Q302" s="79" t="s">
        <v>2418</v>
      </c>
      <c r="R302" s="79" t="s">
        <v>146</v>
      </c>
      <c r="S302" s="79" t="s">
        <v>77</v>
      </c>
      <c r="T302" s="79">
        <v>2023.0</v>
      </c>
      <c r="U302" s="79" t="s">
        <v>78</v>
      </c>
      <c r="V302" s="79" t="s">
        <v>98</v>
      </c>
      <c r="W302" s="79" t="s">
        <v>2419</v>
      </c>
      <c r="X302" s="79" t="s">
        <v>148</v>
      </c>
      <c r="Y302" s="79" t="s">
        <v>139</v>
      </c>
      <c r="Z302" s="79" t="s">
        <v>2420</v>
      </c>
      <c r="AA302" s="79" t="s">
        <v>162</v>
      </c>
      <c r="AB302" s="79" t="s">
        <v>2421</v>
      </c>
      <c r="AC302" s="79">
        <v>8.129487531E9</v>
      </c>
      <c r="AD302" s="79" t="s">
        <v>2422</v>
      </c>
      <c r="AE302" s="79">
        <v>8.0</v>
      </c>
      <c r="AF302" s="79" t="s">
        <v>1268</v>
      </c>
      <c r="AG302" s="60"/>
      <c r="AH302" s="60"/>
      <c r="AI302" s="60"/>
      <c r="AJ302" s="60"/>
      <c r="AK302" s="60"/>
      <c r="AL302" s="60"/>
      <c r="AM302" s="60"/>
      <c r="AN302" s="60"/>
      <c r="AO302" s="60"/>
      <c r="AP302" s="60"/>
      <c r="AQ302" s="60"/>
      <c r="AR302" s="61"/>
    </row>
    <row r="303">
      <c r="A303" s="180">
        <v>2.0</v>
      </c>
      <c r="B303" s="79" t="s">
        <v>2423</v>
      </c>
      <c r="C303" s="176" t="s">
        <v>2424</v>
      </c>
      <c r="D303" s="79" t="s">
        <v>2425</v>
      </c>
      <c r="E303" s="131" t="s">
        <v>2426</v>
      </c>
      <c r="F303" s="79" t="s">
        <v>222</v>
      </c>
      <c r="G303" s="79" t="s">
        <v>138</v>
      </c>
      <c r="H303" s="79" t="s">
        <v>2427</v>
      </c>
      <c r="I303" s="79" t="s">
        <v>2427</v>
      </c>
      <c r="J303" s="79" t="s">
        <v>151</v>
      </c>
      <c r="K303" s="79" t="s">
        <v>70</v>
      </c>
      <c r="L303" s="79" t="s">
        <v>152</v>
      </c>
      <c r="M303" s="130" t="s">
        <v>2428</v>
      </c>
      <c r="N303" s="79" t="s">
        <v>73</v>
      </c>
      <c r="O303" s="79" t="s">
        <v>73</v>
      </c>
      <c r="P303" s="79" t="s">
        <v>95</v>
      </c>
      <c r="Q303" s="131" t="s">
        <v>2429</v>
      </c>
      <c r="R303" s="79" t="s">
        <v>76</v>
      </c>
      <c r="S303" s="79" t="s">
        <v>97</v>
      </c>
      <c r="T303" s="79">
        <v>2016.0</v>
      </c>
      <c r="U303" s="79" t="s">
        <v>78</v>
      </c>
      <c r="V303" s="79" t="s">
        <v>98</v>
      </c>
      <c r="W303" s="79" t="s">
        <v>2430</v>
      </c>
      <c r="X303" s="79" t="s">
        <v>155</v>
      </c>
      <c r="Y303" s="79" t="s">
        <v>139</v>
      </c>
      <c r="Z303" s="79" t="s">
        <v>2431</v>
      </c>
      <c r="AA303" s="79" t="s">
        <v>174</v>
      </c>
      <c r="AB303" s="79" t="s">
        <v>2432</v>
      </c>
      <c r="AC303" s="79">
        <v>8.2121996969E10</v>
      </c>
      <c r="AD303" s="79" t="s">
        <v>2433</v>
      </c>
      <c r="AE303" s="79">
        <v>41.0</v>
      </c>
      <c r="AF303" s="79" t="s">
        <v>71</v>
      </c>
      <c r="AG303" s="60"/>
      <c r="AH303" s="60"/>
      <c r="AI303" s="60"/>
      <c r="AJ303" s="60"/>
      <c r="AK303" s="60"/>
      <c r="AL303" s="60"/>
      <c r="AM303" s="60"/>
      <c r="AN303" s="60"/>
      <c r="AO303" s="60"/>
      <c r="AP303" s="60"/>
      <c r="AQ303" s="60"/>
      <c r="AR303" s="61"/>
    </row>
    <row r="304">
      <c r="A304" s="180">
        <v>3.0</v>
      </c>
      <c r="B304" s="79" t="s">
        <v>2434</v>
      </c>
      <c r="C304" s="79" t="s">
        <v>2435</v>
      </c>
      <c r="D304" s="59"/>
      <c r="E304" s="79" t="s">
        <v>563</v>
      </c>
      <c r="F304" s="79" t="s">
        <v>421</v>
      </c>
      <c r="G304" s="79" t="s">
        <v>138</v>
      </c>
      <c r="H304" s="79" t="s">
        <v>2436</v>
      </c>
      <c r="I304" s="79" t="s">
        <v>2436</v>
      </c>
      <c r="J304" s="79" t="s">
        <v>151</v>
      </c>
      <c r="K304" s="79" t="s">
        <v>110</v>
      </c>
      <c r="L304" s="79" t="s">
        <v>152</v>
      </c>
      <c r="M304" s="130" t="s">
        <v>2437</v>
      </c>
      <c r="N304" s="79" t="s">
        <v>144</v>
      </c>
      <c r="O304" s="79" t="s">
        <v>144</v>
      </c>
      <c r="P304" s="79" t="s">
        <v>95</v>
      </c>
      <c r="Q304" s="131" t="s">
        <v>2438</v>
      </c>
      <c r="R304" s="79" t="s">
        <v>76</v>
      </c>
      <c r="S304" s="79" t="s">
        <v>97</v>
      </c>
      <c r="T304" s="79">
        <v>2024.0</v>
      </c>
      <c r="U304" s="79" t="s">
        <v>78</v>
      </c>
      <c r="V304" s="79" t="s">
        <v>79</v>
      </c>
      <c r="W304" s="79" t="s">
        <v>80</v>
      </c>
      <c r="X304" s="79" t="s">
        <v>80</v>
      </c>
      <c r="Y304" s="79" t="s">
        <v>80</v>
      </c>
      <c r="Z304" s="79" t="s">
        <v>2431</v>
      </c>
      <c r="AA304" s="79" t="s">
        <v>162</v>
      </c>
      <c r="AB304" s="79" t="s">
        <v>2432</v>
      </c>
      <c r="AC304" s="79">
        <v>8.2121996969E10</v>
      </c>
      <c r="AD304" s="79" t="s">
        <v>2433</v>
      </c>
      <c r="AE304" s="59"/>
      <c r="AF304" s="79" t="s">
        <v>152</v>
      </c>
      <c r="AG304" s="60"/>
      <c r="AH304" s="60"/>
      <c r="AI304" s="60"/>
      <c r="AJ304" s="60"/>
      <c r="AK304" s="60"/>
      <c r="AL304" s="60"/>
      <c r="AM304" s="60"/>
      <c r="AN304" s="60"/>
      <c r="AO304" s="60"/>
      <c r="AP304" s="60"/>
      <c r="AQ304" s="60"/>
      <c r="AR304" s="61"/>
    </row>
    <row r="305">
      <c r="A305" s="180">
        <v>4.0</v>
      </c>
      <c r="B305" s="79" t="s">
        <v>2439</v>
      </c>
      <c r="C305" s="79" t="s">
        <v>2440</v>
      </c>
      <c r="D305" s="79" t="s">
        <v>2441</v>
      </c>
      <c r="E305" s="59"/>
      <c r="F305" s="69"/>
      <c r="G305" s="79" t="s">
        <v>123</v>
      </c>
      <c r="H305" s="79" t="s">
        <v>2442</v>
      </c>
      <c r="I305" s="96" t="s">
        <v>2443</v>
      </c>
      <c r="J305" s="79" t="s">
        <v>151</v>
      </c>
      <c r="K305" s="79" t="s">
        <v>70</v>
      </c>
      <c r="L305" s="79" t="s">
        <v>111</v>
      </c>
      <c r="M305" s="130" t="s">
        <v>2444</v>
      </c>
      <c r="N305" s="79" t="s">
        <v>26</v>
      </c>
      <c r="O305" s="79" t="s">
        <v>113</v>
      </c>
      <c r="P305" s="79" t="s">
        <v>95</v>
      </c>
      <c r="Q305" s="131" t="s">
        <v>2445</v>
      </c>
      <c r="R305" s="79" t="s">
        <v>76</v>
      </c>
      <c r="S305" s="79" t="s">
        <v>77</v>
      </c>
      <c r="T305" s="176">
        <v>2023.0</v>
      </c>
      <c r="U305" s="79" t="s">
        <v>78</v>
      </c>
      <c r="V305" s="79" t="s">
        <v>79</v>
      </c>
      <c r="W305" s="79" t="s">
        <v>80</v>
      </c>
      <c r="X305" s="79" t="s">
        <v>80</v>
      </c>
      <c r="Y305" s="79" t="s">
        <v>80</v>
      </c>
      <c r="Z305" s="79" t="s">
        <v>2446</v>
      </c>
      <c r="AA305" s="79" t="s">
        <v>207</v>
      </c>
      <c r="AB305" s="79" t="s">
        <v>2447</v>
      </c>
      <c r="AC305" s="79">
        <v>8.1224666679E10</v>
      </c>
      <c r="AD305" s="79" t="s">
        <v>2448</v>
      </c>
      <c r="AE305" s="59"/>
      <c r="AF305" s="79" t="s">
        <v>71</v>
      </c>
      <c r="AG305" s="60"/>
      <c r="AH305" s="60"/>
      <c r="AI305" s="60"/>
      <c r="AJ305" s="60"/>
      <c r="AK305" s="60"/>
      <c r="AL305" s="60"/>
      <c r="AM305" s="60"/>
      <c r="AN305" s="60"/>
      <c r="AO305" s="60"/>
      <c r="AP305" s="60"/>
      <c r="AQ305" s="60"/>
      <c r="AR305" s="61"/>
    </row>
    <row r="306">
      <c r="A306" s="180">
        <v>5.0</v>
      </c>
      <c r="B306" s="79" t="s">
        <v>2449</v>
      </c>
      <c r="C306" s="79" t="s">
        <v>2450</v>
      </c>
      <c r="D306" s="79" t="s">
        <v>2451</v>
      </c>
      <c r="E306" s="59"/>
      <c r="F306" s="79" t="s">
        <v>444</v>
      </c>
      <c r="G306" s="79" t="s">
        <v>131</v>
      </c>
      <c r="H306" s="79" t="s">
        <v>2452</v>
      </c>
      <c r="I306" s="96" t="s">
        <v>2453</v>
      </c>
      <c r="J306" s="79" t="s">
        <v>69</v>
      </c>
      <c r="K306" s="79" t="s">
        <v>70</v>
      </c>
      <c r="L306" s="79" t="s">
        <v>71</v>
      </c>
      <c r="M306" s="130" t="s">
        <v>2454</v>
      </c>
      <c r="N306" s="79" t="s">
        <v>93</v>
      </c>
      <c r="O306" s="79" t="s">
        <v>94</v>
      </c>
      <c r="P306" s="79" t="s">
        <v>95</v>
      </c>
      <c r="Q306" s="131" t="s">
        <v>2455</v>
      </c>
      <c r="R306" s="79" t="s">
        <v>76</v>
      </c>
      <c r="S306" s="79" t="s">
        <v>97</v>
      </c>
      <c r="T306" s="79">
        <v>2023.0</v>
      </c>
      <c r="U306" s="79" t="s">
        <v>78</v>
      </c>
      <c r="V306" s="79" t="s">
        <v>79</v>
      </c>
      <c r="W306" s="79" t="s">
        <v>80</v>
      </c>
      <c r="X306" s="79" t="s">
        <v>80</v>
      </c>
      <c r="Y306" s="79" t="s">
        <v>80</v>
      </c>
      <c r="Z306" s="79" t="s">
        <v>2456</v>
      </c>
      <c r="AA306" s="79" t="s">
        <v>207</v>
      </c>
      <c r="AB306" s="79" t="s">
        <v>2457</v>
      </c>
      <c r="AC306" s="79">
        <v>8.996105849E9</v>
      </c>
      <c r="AD306" s="79" t="s">
        <v>2458</v>
      </c>
      <c r="AE306" s="59"/>
      <c r="AF306" s="79" t="s">
        <v>152</v>
      </c>
      <c r="AG306" s="60"/>
      <c r="AH306" s="60"/>
      <c r="AI306" s="60"/>
      <c r="AJ306" s="60"/>
      <c r="AK306" s="60"/>
      <c r="AL306" s="60"/>
      <c r="AM306" s="60"/>
      <c r="AN306" s="60"/>
      <c r="AO306" s="60"/>
      <c r="AP306" s="60"/>
      <c r="AQ306" s="60"/>
      <c r="AR306" s="61"/>
    </row>
    <row r="307">
      <c r="A307" s="180">
        <v>6.0</v>
      </c>
      <c r="B307" s="79" t="s">
        <v>2459</v>
      </c>
      <c r="C307" s="79" t="s">
        <v>2460</v>
      </c>
      <c r="D307" s="79" t="s">
        <v>2461</v>
      </c>
      <c r="E307" s="59"/>
      <c r="F307" s="79" t="s">
        <v>448</v>
      </c>
      <c r="G307" s="79" t="s">
        <v>123</v>
      </c>
      <c r="H307" s="79" t="s">
        <v>2462</v>
      </c>
      <c r="I307" s="96" t="s">
        <v>2463</v>
      </c>
      <c r="J307" s="79" t="s">
        <v>158</v>
      </c>
      <c r="K307" s="79" t="s">
        <v>110</v>
      </c>
      <c r="L307" s="79" t="s">
        <v>71</v>
      </c>
      <c r="M307" s="130" t="s">
        <v>2464</v>
      </c>
      <c r="N307" s="79" t="s">
        <v>26</v>
      </c>
      <c r="O307" s="79" t="s">
        <v>113</v>
      </c>
      <c r="P307" s="79" t="s">
        <v>95</v>
      </c>
      <c r="Q307" s="131" t="s">
        <v>2465</v>
      </c>
      <c r="R307" s="79" t="s">
        <v>76</v>
      </c>
      <c r="S307" s="79" t="s">
        <v>97</v>
      </c>
      <c r="T307" s="79">
        <v>2024.0</v>
      </c>
      <c r="U307" s="79" t="s">
        <v>78</v>
      </c>
      <c r="V307" s="79" t="s">
        <v>79</v>
      </c>
      <c r="W307" s="79" t="s">
        <v>80</v>
      </c>
      <c r="X307" s="79" t="s">
        <v>80</v>
      </c>
      <c r="Y307" s="79" t="s">
        <v>80</v>
      </c>
      <c r="Z307" s="79" t="s">
        <v>2466</v>
      </c>
      <c r="AA307" s="79" t="s">
        <v>209</v>
      </c>
      <c r="AB307" s="131" t="s">
        <v>2467</v>
      </c>
      <c r="AC307" s="79">
        <v>8.9682973688E10</v>
      </c>
      <c r="AD307" s="79" t="s">
        <v>2468</v>
      </c>
      <c r="AE307" s="59"/>
      <c r="AF307" s="79" t="s">
        <v>71</v>
      </c>
      <c r="AG307" s="60"/>
      <c r="AH307" s="60"/>
      <c r="AI307" s="60"/>
      <c r="AJ307" s="60"/>
      <c r="AK307" s="60"/>
      <c r="AL307" s="60"/>
      <c r="AM307" s="60"/>
      <c r="AN307" s="60"/>
      <c r="AO307" s="60"/>
      <c r="AP307" s="60"/>
      <c r="AQ307" s="60"/>
      <c r="AR307" s="61"/>
    </row>
    <row r="308">
      <c r="A308" s="180">
        <v>7.0</v>
      </c>
      <c r="B308" s="79" t="s">
        <v>2469</v>
      </c>
      <c r="C308" s="79" t="s">
        <v>2470</v>
      </c>
      <c r="D308" s="79" t="s">
        <v>2471</v>
      </c>
      <c r="E308" s="59"/>
      <c r="F308" s="79" t="s">
        <v>446</v>
      </c>
      <c r="G308" s="79" t="s">
        <v>123</v>
      </c>
      <c r="H308" s="79" t="s">
        <v>2472</v>
      </c>
      <c r="I308" s="96" t="s">
        <v>2473</v>
      </c>
      <c r="J308" s="79" t="s">
        <v>151</v>
      </c>
      <c r="K308" s="79" t="s">
        <v>70</v>
      </c>
      <c r="L308" s="79" t="s">
        <v>71</v>
      </c>
      <c r="M308" s="130" t="s">
        <v>607</v>
      </c>
      <c r="N308" s="79" t="s">
        <v>73</v>
      </c>
      <c r="O308" s="79" t="s">
        <v>73</v>
      </c>
      <c r="P308" s="79" t="s">
        <v>95</v>
      </c>
      <c r="Q308" s="131" t="s">
        <v>2474</v>
      </c>
      <c r="R308" s="79" t="s">
        <v>76</v>
      </c>
      <c r="S308" s="79" t="s">
        <v>97</v>
      </c>
      <c r="T308" s="79">
        <v>2021.0</v>
      </c>
      <c r="U308" s="79" t="s">
        <v>78</v>
      </c>
      <c r="V308" s="79" t="s">
        <v>98</v>
      </c>
      <c r="W308" s="79" t="s">
        <v>2475</v>
      </c>
      <c r="X308" s="79" t="s">
        <v>148</v>
      </c>
      <c r="Y308" s="69"/>
      <c r="Z308" s="79" t="s">
        <v>2476</v>
      </c>
      <c r="AA308" s="79" t="s">
        <v>207</v>
      </c>
      <c r="AB308" s="131" t="s">
        <v>2477</v>
      </c>
      <c r="AC308" s="79" t="s">
        <v>2478</v>
      </c>
      <c r="AD308" s="79" t="s">
        <v>2479</v>
      </c>
      <c r="AE308" s="59"/>
      <c r="AF308" s="79" t="s">
        <v>152</v>
      </c>
      <c r="AG308" s="194" t="s">
        <v>2480</v>
      </c>
      <c r="AH308" s="60"/>
      <c r="AI308" s="60"/>
      <c r="AJ308" s="60"/>
      <c r="AK308" s="60"/>
      <c r="AL308" s="60"/>
      <c r="AM308" s="60"/>
      <c r="AN308" s="60"/>
      <c r="AO308" s="60"/>
      <c r="AP308" s="60"/>
      <c r="AQ308" s="60"/>
      <c r="AR308" s="61"/>
    </row>
    <row r="309">
      <c r="A309" s="180">
        <v>8.0</v>
      </c>
      <c r="B309" s="79" t="s">
        <v>2481</v>
      </c>
      <c r="C309" s="79" t="s">
        <v>2482</v>
      </c>
      <c r="D309" s="79" t="s">
        <v>2483</v>
      </c>
      <c r="E309" s="59"/>
      <c r="F309" s="79" t="s">
        <v>446</v>
      </c>
      <c r="G309" s="79" t="s">
        <v>138</v>
      </c>
      <c r="H309" s="79" t="s">
        <v>2484</v>
      </c>
      <c r="I309" s="96" t="s">
        <v>2485</v>
      </c>
      <c r="J309" s="79" t="s">
        <v>91</v>
      </c>
      <c r="K309" s="79" t="s">
        <v>70</v>
      </c>
      <c r="L309" s="79" t="s">
        <v>71</v>
      </c>
      <c r="M309" s="130" t="s">
        <v>2486</v>
      </c>
      <c r="N309" s="79" t="s">
        <v>73</v>
      </c>
      <c r="O309" s="79" t="s">
        <v>73</v>
      </c>
      <c r="P309" s="79" t="s">
        <v>95</v>
      </c>
      <c r="Q309" s="131" t="s">
        <v>2487</v>
      </c>
      <c r="R309" s="79" t="s">
        <v>76</v>
      </c>
      <c r="S309" s="79" t="s">
        <v>97</v>
      </c>
      <c r="T309" s="79">
        <v>2010.0</v>
      </c>
      <c r="U309" s="79" t="s">
        <v>78</v>
      </c>
      <c r="V309" s="79" t="s">
        <v>98</v>
      </c>
      <c r="W309" s="79" t="s">
        <v>2488</v>
      </c>
      <c r="X309" s="79" t="s">
        <v>155</v>
      </c>
      <c r="Y309" s="79" t="s">
        <v>139</v>
      </c>
      <c r="Z309" s="79" t="s">
        <v>2489</v>
      </c>
      <c r="AA309" s="79" t="s">
        <v>140</v>
      </c>
      <c r="AB309" s="79" t="s">
        <v>2490</v>
      </c>
      <c r="AC309" s="79">
        <v>8.5294011791E10</v>
      </c>
      <c r="AD309" s="79" t="s">
        <v>2491</v>
      </c>
      <c r="AE309" s="59"/>
      <c r="AF309" s="79" t="s">
        <v>71</v>
      </c>
      <c r="AG309" s="60"/>
      <c r="AH309" s="60"/>
      <c r="AI309" s="60"/>
      <c r="AJ309" s="60"/>
      <c r="AK309" s="60"/>
      <c r="AL309" s="60"/>
      <c r="AM309" s="60"/>
      <c r="AN309" s="60"/>
      <c r="AO309" s="60"/>
      <c r="AP309" s="60"/>
      <c r="AQ309" s="60"/>
      <c r="AR309" s="61"/>
    </row>
    <row r="310">
      <c r="A310" s="180">
        <v>9.0</v>
      </c>
      <c r="B310" s="79" t="s">
        <v>2492</v>
      </c>
      <c r="C310" s="79" t="s">
        <v>2493</v>
      </c>
      <c r="D310" s="79" t="s">
        <v>2494</v>
      </c>
      <c r="E310" s="59"/>
      <c r="F310" s="79" t="s">
        <v>470</v>
      </c>
      <c r="G310" s="79" t="s">
        <v>123</v>
      </c>
      <c r="H310" s="79" t="s">
        <v>2495</v>
      </c>
      <c r="I310" s="96" t="s">
        <v>2496</v>
      </c>
      <c r="J310" s="79" t="s">
        <v>69</v>
      </c>
      <c r="K310" s="79" t="s">
        <v>110</v>
      </c>
      <c r="L310" s="79" t="s">
        <v>101</v>
      </c>
      <c r="M310" s="130" t="s">
        <v>558</v>
      </c>
      <c r="N310" s="79" t="s">
        <v>26</v>
      </c>
      <c r="O310" s="79" t="s">
        <v>113</v>
      </c>
      <c r="P310" s="79" t="s">
        <v>95</v>
      </c>
      <c r="Q310" s="131" t="s">
        <v>2497</v>
      </c>
      <c r="R310" s="79" t="s">
        <v>76</v>
      </c>
      <c r="S310" s="79" t="s">
        <v>97</v>
      </c>
      <c r="T310" s="79">
        <v>2023.0</v>
      </c>
      <c r="U310" s="79" t="s">
        <v>78</v>
      </c>
      <c r="V310" s="79" t="s">
        <v>79</v>
      </c>
      <c r="W310" s="79" t="s">
        <v>80</v>
      </c>
      <c r="X310" s="79" t="s">
        <v>80</v>
      </c>
      <c r="Y310" s="79" t="s">
        <v>80</v>
      </c>
      <c r="Z310" s="79" t="s">
        <v>2456</v>
      </c>
      <c r="AA310" s="79" t="s">
        <v>156</v>
      </c>
      <c r="AB310" s="79" t="s">
        <v>2498</v>
      </c>
      <c r="AC310" s="79">
        <v>8.9656642966E10</v>
      </c>
      <c r="AD310" s="79" t="s">
        <v>2499</v>
      </c>
      <c r="AE310" s="59"/>
      <c r="AF310" s="79" t="s">
        <v>566</v>
      </c>
      <c r="AG310" s="60"/>
      <c r="AH310" s="60"/>
      <c r="AI310" s="60"/>
      <c r="AJ310" s="60"/>
      <c r="AK310" s="60"/>
      <c r="AL310" s="60"/>
      <c r="AM310" s="60"/>
      <c r="AN310" s="60"/>
      <c r="AO310" s="60"/>
      <c r="AP310" s="60"/>
      <c r="AQ310" s="60"/>
      <c r="AR310" s="61"/>
    </row>
    <row r="311">
      <c r="A311" s="180">
        <v>10.0</v>
      </c>
      <c r="B311" s="79" t="s">
        <v>2500</v>
      </c>
      <c r="C311" s="79" t="s">
        <v>2501</v>
      </c>
      <c r="D311" s="79" t="s">
        <v>2502</v>
      </c>
      <c r="E311" s="79" t="s">
        <v>2503</v>
      </c>
      <c r="F311" s="79" t="s">
        <v>444</v>
      </c>
      <c r="G311" s="79" t="s">
        <v>123</v>
      </c>
      <c r="H311" s="79" t="s">
        <v>2504</v>
      </c>
      <c r="I311" s="96" t="s">
        <v>2505</v>
      </c>
      <c r="J311" s="79" t="s">
        <v>91</v>
      </c>
      <c r="K311" s="79" t="s">
        <v>110</v>
      </c>
      <c r="L311" s="79" t="s">
        <v>71</v>
      </c>
      <c r="M311" s="130" t="s">
        <v>593</v>
      </c>
      <c r="N311" s="79" t="s">
        <v>26</v>
      </c>
      <c r="O311" s="79" t="s">
        <v>113</v>
      </c>
      <c r="P311" s="79" t="s">
        <v>95</v>
      </c>
      <c r="Q311" s="131" t="s">
        <v>2506</v>
      </c>
      <c r="R311" s="79" t="s">
        <v>76</v>
      </c>
      <c r="S311" s="79" t="s">
        <v>77</v>
      </c>
      <c r="T311" s="79">
        <v>2018.0</v>
      </c>
      <c r="U311" s="79" t="s">
        <v>78</v>
      </c>
      <c r="V311" s="79" t="s">
        <v>98</v>
      </c>
      <c r="W311" s="79" t="s">
        <v>80</v>
      </c>
      <c r="X311" s="79" t="s">
        <v>80</v>
      </c>
      <c r="Y311" s="79" t="s">
        <v>152</v>
      </c>
      <c r="Z311" s="79" t="s">
        <v>2456</v>
      </c>
      <c r="AA311" s="79" t="s">
        <v>209</v>
      </c>
      <c r="AB311" s="79" t="s">
        <v>2507</v>
      </c>
      <c r="AC311" s="79" t="s">
        <v>2508</v>
      </c>
      <c r="AD311" s="79" t="s">
        <v>2509</v>
      </c>
      <c r="AE311" s="59"/>
      <c r="AF311" s="79" t="s">
        <v>71</v>
      </c>
      <c r="AG311" s="60"/>
      <c r="AH311" s="60"/>
      <c r="AI311" s="60"/>
      <c r="AJ311" s="60"/>
      <c r="AK311" s="60"/>
      <c r="AL311" s="60"/>
      <c r="AM311" s="60"/>
      <c r="AN311" s="60"/>
      <c r="AO311" s="60"/>
      <c r="AP311" s="60"/>
      <c r="AQ311" s="60"/>
      <c r="AR311" s="61"/>
    </row>
    <row r="312">
      <c r="A312" s="180">
        <v>11.0</v>
      </c>
      <c r="B312" s="79" t="s">
        <v>2510</v>
      </c>
      <c r="C312" s="79" t="s">
        <v>2511</v>
      </c>
      <c r="D312" s="79" t="s">
        <v>2512</v>
      </c>
      <c r="E312" s="59"/>
      <c r="F312" s="79" t="s">
        <v>107</v>
      </c>
      <c r="G312" s="79" t="s">
        <v>123</v>
      </c>
      <c r="H312" s="79" t="s">
        <v>502</v>
      </c>
      <c r="I312" s="79" t="s">
        <v>502</v>
      </c>
      <c r="J312" s="79" t="s">
        <v>91</v>
      </c>
      <c r="K312" s="79" t="s">
        <v>110</v>
      </c>
      <c r="L312" s="79" t="s">
        <v>71</v>
      </c>
      <c r="M312" s="130" t="s">
        <v>503</v>
      </c>
      <c r="N312" s="79" t="s">
        <v>82</v>
      </c>
      <c r="O312" s="79" t="s">
        <v>113</v>
      </c>
      <c r="P312" s="79" t="s">
        <v>95</v>
      </c>
      <c r="Q312" s="131" t="s">
        <v>2513</v>
      </c>
      <c r="R312" s="79" t="s">
        <v>76</v>
      </c>
      <c r="S312" s="79" t="s">
        <v>97</v>
      </c>
      <c r="T312" s="79">
        <v>2021.0</v>
      </c>
      <c r="U312" s="79" t="s">
        <v>78</v>
      </c>
      <c r="V312" s="79" t="s">
        <v>98</v>
      </c>
      <c r="W312" s="79" t="s">
        <v>2514</v>
      </c>
      <c r="X312" s="79" t="s">
        <v>148</v>
      </c>
      <c r="Y312" s="79" t="s">
        <v>139</v>
      </c>
      <c r="Z312" s="79" t="s">
        <v>2489</v>
      </c>
      <c r="AA312" s="79" t="s">
        <v>82</v>
      </c>
      <c r="AB312" s="79" t="s">
        <v>2490</v>
      </c>
      <c r="AC312" s="79">
        <v>8.5294011791E10</v>
      </c>
      <c r="AD312" s="79" t="s">
        <v>2491</v>
      </c>
      <c r="AE312" s="59"/>
      <c r="AF312" s="79" t="s">
        <v>1268</v>
      </c>
      <c r="AG312" s="60"/>
      <c r="AH312" s="60"/>
      <c r="AI312" s="60"/>
      <c r="AJ312" s="60"/>
      <c r="AK312" s="60"/>
      <c r="AL312" s="60"/>
      <c r="AM312" s="60"/>
      <c r="AN312" s="60"/>
      <c r="AO312" s="60"/>
      <c r="AP312" s="60"/>
      <c r="AQ312" s="60"/>
      <c r="AR312" s="61"/>
    </row>
    <row r="313">
      <c r="A313" s="180">
        <v>12.0</v>
      </c>
      <c r="B313" s="79" t="s">
        <v>2515</v>
      </c>
      <c r="C313" s="79" t="s">
        <v>2516</v>
      </c>
      <c r="D313" s="59"/>
      <c r="E313" s="59"/>
      <c r="F313" s="79" t="s">
        <v>457</v>
      </c>
      <c r="G313" s="79" t="s">
        <v>123</v>
      </c>
      <c r="H313" s="79" t="s">
        <v>2517</v>
      </c>
      <c r="I313" s="96" t="s">
        <v>2443</v>
      </c>
      <c r="J313" s="79" t="s">
        <v>151</v>
      </c>
      <c r="K313" s="79" t="s">
        <v>110</v>
      </c>
      <c r="L313" s="69"/>
      <c r="M313" s="130" t="s">
        <v>2518</v>
      </c>
      <c r="N313" s="79" t="s">
        <v>26</v>
      </c>
      <c r="O313" s="79" t="s">
        <v>113</v>
      </c>
      <c r="P313" s="79" t="s">
        <v>153</v>
      </c>
      <c r="Q313" s="79" t="s">
        <v>2519</v>
      </c>
      <c r="R313" s="79" t="s">
        <v>146</v>
      </c>
      <c r="S313" s="79" t="s">
        <v>97</v>
      </c>
      <c r="T313" s="79">
        <v>2015.0</v>
      </c>
      <c r="U313" s="79" t="s">
        <v>78</v>
      </c>
      <c r="V313" s="79" t="s">
        <v>79</v>
      </c>
      <c r="W313" s="79" t="s">
        <v>2520</v>
      </c>
      <c r="X313" s="79" t="s">
        <v>80</v>
      </c>
      <c r="Y313" s="79" t="s">
        <v>80</v>
      </c>
      <c r="Z313" s="79" t="s">
        <v>2521</v>
      </c>
      <c r="AA313" s="79" t="s">
        <v>162</v>
      </c>
      <c r="AB313" s="69"/>
      <c r="AC313" s="69"/>
      <c r="AD313" s="69"/>
      <c r="AE313" s="59"/>
      <c r="AF313" s="79" t="s">
        <v>152</v>
      </c>
      <c r="AG313" s="60"/>
      <c r="AH313" s="60"/>
      <c r="AI313" s="60"/>
      <c r="AJ313" s="60"/>
      <c r="AK313" s="60"/>
      <c r="AL313" s="60"/>
      <c r="AM313" s="60"/>
      <c r="AN313" s="60"/>
      <c r="AO313" s="60"/>
      <c r="AP313" s="60"/>
      <c r="AQ313" s="60"/>
      <c r="AR313" s="61"/>
    </row>
    <row r="314">
      <c r="A314" s="180">
        <v>13.0</v>
      </c>
      <c r="B314" s="79" t="s">
        <v>2522</v>
      </c>
      <c r="C314" s="219" t="s">
        <v>2523</v>
      </c>
      <c r="D314" s="79" t="s">
        <v>2524</v>
      </c>
      <c r="E314" s="79" t="s">
        <v>2525</v>
      </c>
      <c r="F314" s="79" t="s">
        <v>344</v>
      </c>
      <c r="G314" s="79" t="s">
        <v>66</v>
      </c>
      <c r="H314" s="79" t="s">
        <v>2526</v>
      </c>
      <c r="I314" s="96" t="s">
        <v>2527</v>
      </c>
      <c r="J314" s="79" t="s">
        <v>151</v>
      </c>
      <c r="K314" s="79" t="s">
        <v>70</v>
      </c>
      <c r="L314" s="79" t="s">
        <v>71</v>
      </c>
      <c r="M314" s="130" t="s">
        <v>2528</v>
      </c>
      <c r="N314" s="79" t="s">
        <v>73</v>
      </c>
      <c r="O314" s="79" t="s">
        <v>73</v>
      </c>
      <c r="P314" s="79" t="s">
        <v>95</v>
      </c>
      <c r="Q314" s="131" t="s">
        <v>2529</v>
      </c>
      <c r="R314" s="79" t="s">
        <v>76</v>
      </c>
      <c r="S314" s="79" t="s">
        <v>97</v>
      </c>
      <c r="T314" s="79">
        <v>2016.0</v>
      </c>
      <c r="U314" s="79" t="s">
        <v>78</v>
      </c>
      <c r="V314" s="79" t="s">
        <v>79</v>
      </c>
      <c r="W314" s="79" t="s">
        <v>2520</v>
      </c>
      <c r="X314" s="79" t="s">
        <v>80</v>
      </c>
      <c r="Y314" s="79" t="s">
        <v>80</v>
      </c>
      <c r="Z314" s="79" t="s">
        <v>2530</v>
      </c>
      <c r="AA314" s="79" t="s">
        <v>162</v>
      </c>
      <c r="AB314" s="69"/>
      <c r="AC314" s="69"/>
      <c r="AD314" s="69"/>
      <c r="AE314" s="59"/>
      <c r="AF314" s="79" t="s">
        <v>71</v>
      </c>
      <c r="AG314" s="60"/>
      <c r="AH314" s="60"/>
      <c r="AI314" s="60"/>
      <c r="AJ314" s="60"/>
      <c r="AK314" s="60"/>
      <c r="AL314" s="60"/>
      <c r="AM314" s="60"/>
      <c r="AN314" s="60"/>
      <c r="AO314" s="60"/>
      <c r="AP314" s="60"/>
      <c r="AQ314" s="60"/>
      <c r="AR314" s="61"/>
    </row>
    <row r="315">
      <c r="A315" s="180">
        <v>14.0</v>
      </c>
      <c r="B315" s="79" t="s">
        <v>2531</v>
      </c>
      <c r="C315" s="79" t="s">
        <v>2532</v>
      </c>
      <c r="D315" s="79" t="s">
        <v>2533</v>
      </c>
      <c r="E315" s="59"/>
      <c r="F315" s="79" t="s">
        <v>453</v>
      </c>
      <c r="G315" s="79" t="s">
        <v>131</v>
      </c>
      <c r="H315" s="79" t="s">
        <v>2534</v>
      </c>
      <c r="I315" s="96" t="s">
        <v>2505</v>
      </c>
      <c r="J315" s="79" t="s">
        <v>151</v>
      </c>
      <c r="K315" s="79" t="s">
        <v>70</v>
      </c>
      <c r="L315" s="79" t="s">
        <v>71</v>
      </c>
      <c r="M315" s="130" t="s">
        <v>586</v>
      </c>
      <c r="N315" s="79" t="s">
        <v>73</v>
      </c>
      <c r="O315" s="79" t="s">
        <v>73</v>
      </c>
      <c r="P315" s="79" t="s">
        <v>95</v>
      </c>
      <c r="Q315" s="131" t="s">
        <v>2535</v>
      </c>
      <c r="R315" s="79" t="s">
        <v>76</v>
      </c>
      <c r="S315" s="79" t="s">
        <v>77</v>
      </c>
      <c r="T315" s="79">
        <v>2025.0</v>
      </c>
      <c r="U315" s="79" t="s">
        <v>78</v>
      </c>
      <c r="V315" s="79" t="s">
        <v>98</v>
      </c>
      <c r="W315" s="79" t="s">
        <v>2536</v>
      </c>
      <c r="X315" s="79" t="s">
        <v>148</v>
      </c>
      <c r="Y315" s="79" t="s">
        <v>152</v>
      </c>
      <c r="Z315" s="79" t="s">
        <v>2456</v>
      </c>
      <c r="AA315" s="79" t="s">
        <v>207</v>
      </c>
      <c r="AB315" s="79" t="s">
        <v>2537</v>
      </c>
      <c r="AC315" s="79" t="s">
        <v>2538</v>
      </c>
      <c r="AD315" s="79" t="s">
        <v>2539</v>
      </c>
      <c r="AE315" s="59"/>
      <c r="AF315" s="79" t="s">
        <v>152</v>
      </c>
      <c r="AG315" s="60"/>
      <c r="AH315" s="60"/>
      <c r="AI315" s="60"/>
      <c r="AJ315" s="60"/>
      <c r="AK315" s="60"/>
      <c r="AL315" s="60"/>
      <c r="AM315" s="60"/>
      <c r="AN315" s="60"/>
      <c r="AO315" s="60"/>
      <c r="AP315" s="60"/>
      <c r="AQ315" s="60"/>
      <c r="AR315" s="61"/>
    </row>
    <row r="316">
      <c r="A316" s="180">
        <v>15.0</v>
      </c>
      <c r="B316" s="79" t="s">
        <v>2540</v>
      </c>
      <c r="C316" s="79" t="s">
        <v>2541</v>
      </c>
      <c r="D316" s="79" t="s">
        <v>2542</v>
      </c>
      <c r="E316" s="59"/>
      <c r="F316" s="79" t="s">
        <v>453</v>
      </c>
      <c r="G316" s="79" t="s">
        <v>123</v>
      </c>
      <c r="H316" s="79" t="s">
        <v>2543</v>
      </c>
      <c r="I316" s="96" t="s">
        <v>2505</v>
      </c>
      <c r="J316" s="79" t="s">
        <v>151</v>
      </c>
      <c r="K316" s="79" t="s">
        <v>110</v>
      </c>
      <c r="L316" s="79" t="s">
        <v>152</v>
      </c>
      <c r="M316" s="130" t="s">
        <v>579</v>
      </c>
      <c r="N316" s="79" t="s">
        <v>82</v>
      </c>
      <c r="O316" s="79" t="s">
        <v>113</v>
      </c>
      <c r="P316" s="79" t="s">
        <v>95</v>
      </c>
      <c r="Q316" s="131" t="s">
        <v>2544</v>
      </c>
      <c r="R316" s="79" t="s">
        <v>76</v>
      </c>
      <c r="S316" s="79" t="s">
        <v>97</v>
      </c>
      <c r="T316" s="79">
        <v>2022.0</v>
      </c>
      <c r="U316" s="79" t="s">
        <v>78</v>
      </c>
      <c r="V316" s="79" t="s">
        <v>98</v>
      </c>
      <c r="W316" s="69"/>
      <c r="X316" s="79" t="s">
        <v>148</v>
      </c>
      <c r="Y316" s="79" t="s">
        <v>152</v>
      </c>
      <c r="Z316" s="79" t="s">
        <v>2456</v>
      </c>
      <c r="AA316" s="79" t="s">
        <v>207</v>
      </c>
      <c r="AB316" s="79" t="s">
        <v>2545</v>
      </c>
      <c r="AC316" s="79" t="s">
        <v>2546</v>
      </c>
      <c r="AD316" s="79" t="s">
        <v>2547</v>
      </c>
      <c r="AE316" s="59"/>
      <c r="AF316" s="79" t="s">
        <v>152</v>
      </c>
      <c r="AG316" s="60"/>
      <c r="AH316" s="60"/>
      <c r="AI316" s="60"/>
      <c r="AJ316" s="60"/>
      <c r="AK316" s="60"/>
      <c r="AL316" s="60"/>
      <c r="AM316" s="60"/>
      <c r="AN316" s="60"/>
      <c r="AO316" s="60"/>
      <c r="AP316" s="60"/>
      <c r="AQ316" s="60"/>
      <c r="AR316" s="61"/>
    </row>
    <row r="317">
      <c r="A317" s="180">
        <v>16.0</v>
      </c>
      <c r="B317" s="79" t="s">
        <v>2548</v>
      </c>
      <c r="C317" s="79" t="s">
        <v>2549</v>
      </c>
      <c r="D317" s="79" t="s">
        <v>2550</v>
      </c>
      <c r="E317" s="59"/>
      <c r="F317" s="79" t="s">
        <v>453</v>
      </c>
      <c r="G317" s="79" t="s">
        <v>123</v>
      </c>
      <c r="H317" s="79" t="s">
        <v>2551</v>
      </c>
      <c r="I317" s="96" t="s">
        <v>2552</v>
      </c>
      <c r="J317" s="79" t="s">
        <v>151</v>
      </c>
      <c r="K317" s="79" t="s">
        <v>110</v>
      </c>
      <c r="L317" s="79" t="s">
        <v>152</v>
      </c>
      <c r="M317" s="130" t="s">
        <v>2553</v>
      </c>
      <c r="N317" s="79" t="s">
        <v>73</v>
      </c>
      <c r="O317" s="79" t="s">
        <v>73</v>
      </c>
      <c r="P317" s="79" t="s">
        <v>95</v>
      </c>
      <c r="Q317" s="131" t="s">
        <v>2554</v>
      </c>
      <c r="R317" s="79" t="s">
        <v>76</v>
      </c>
      <c r="S317" s="79" t="s">
        <v>77</v>
      </c>
      <c r="T317" s="69"/>
      <c r="U317" s="79" t="s">
        <v>78</v>
      </c>
      <c r="V317" s="79" t="s">
        <v>98</v>
      </c>
      <c r="W317" s="79" t="s">
        <v>2555</v>
      </c>
      <c r="X317" s="79" t="s">
        <v>80</v>
      </c>
      <c r="Y317" s="79" t="s">
        <v>80</v>
      </c>
      <c r="Z317" s="79" t="s">
        <v>2456</v>
      </c>
      <c r="AA317" s="79" t="s">
        <v>207</v>
      </c>
      <c r="AB317" s="79" t="s">
        <v>2556</v>
      </c>
      <c r="AC317" s="79" t="s">
        <v>2557</v>
      </c>
      <c r="AD317" s="79" t="s">
        <v>2558</v>
      </c>
      <c r="AE317" s="59"/>
      <c r="AF317" s="79" t="s">
        <v>152</v>
      </c>
      <c r="AG317" s="60"/>
      <c r="AH317" s="60"/>
      <c r="AI317" s="60"/>
      <c r="AJ317" s="60"/>
      <c r="AK317" s="60"/>
      <c r="AL317" s="60"/>
      <c r="AM317" s="60"/>
      <c r="AN317" s="60"/>
      <c r="AO317" s="60"/>
      <c r="AP317" s="60"/>
      <c r="AQ317" s="60"/>
      <c r="AR317" s="61"/>
    </row>
    <row r="318">
      <c r="A318" s="180">
        <v>17.0</v>
      </c>
      <c r="B318" s="79" t="s">
        <v>2559</v>
      </c>
      <c r="C318" s="79" t="s">
        <v>2560</v>
      </c>
      <c r="D318" s="79" t="s">
        <v>2561</v>
      </c>
      <c r="E318" s="131" t="s">
        <v>2562</v>
      </c>
      <c r="F318" s="79" t="s">
        <v>344</v>
      </c>
      <c r="G318" s="79" t="s">
        <v>66</v>
      </c>
      <c r="H318" s="79" t="s">
        <v>2563</v>
      </c>
      <c r="I318" s="96" t="s">
        <v>2564</v>
      </c>
      <c r="J318" s="79" t="s">
        <v>151</v>
      </c>
      <c r="K318" s="79" t="s">
        <v>70</v>
      </c>
      <c r="L318" s="79" t="s">
        <v>101</v>
      </c>
      <c r="M318" s="130" t="s">
        <v>1096</v>
      </c>
      <c r="N318" s="79" t="s">
        <v>73</v>
      </c>
      <c r="O318" s="79" t="s">
        <v>73</v>
      </c>
      <c r="P318" s="79" t="s">
        <v>74</v>
      </c>
      <c r="Q318" s="131" t="s">
        <v>2565</v>
      </c>
      <c r="R318" s="79" t="s">
        <v>76</v>
      </c>
      <c r="S318" s="79" t="s">
        <v>97</v>
      </c>
      <c r="T318" s="79">
        <v>2018.0</v>
      </c>
      <c r="U318" s="79" t="s">
        <v>78</v>
      </c>
      <c r="V318" s="79" t="s">
        <v>98</v>
      </c>
      <c r="W318" s="79" t="s">
        <v>2566</v>
      </c>
      <c r="X318" s="79" t="s">
        <v>100</v>
      </c>
      <c r="Y318" s="79" t="s">
        <v>139</v>
      </c>
      <c r="Z318" s="79" t="s">
        <v>2567</v>
      </c>
      <c r="AA318" s="79" t="s">
        <v>162</v>
      </c>
      <c r="AB318" s="79" t="s">
        <v>2568</v>
      </c>
      <c r="AC318" s="79">
        <v>8.2124726619E10</v>
      </c>
      <c r="AD318" s="79" t="s">
        <v>2569</v>
      </c>
      <c r="AE318" s="59"/>
      <c r="AF318" s="79" t="s">
        <v>1268</v>
      </c>
      <c r="AG318" s="60"/>
      <c r="AH318" s="60"/>
      <c r="AI318" s="60"/>
      <c r="AJ318" s="60"/>
      <c r="AK318" s="60"/>
      <c r="AL318" s="60"/>
      <c r="AM318" s="60"/>
      <c r="AN318" s="60"/>
      <c r="AO318" s="60"/>
      <c r="AP318" s="60"/>
      <c r="AQ318" s="60"/>
      <c r="AR318" s="61"/>
    </row>
    <row r="319">
      <c r="A319" s="180">
        <v>18.0</v>
      </c>
      <c r="B319" s="79" t="s">
        <v>2570</v>
      </c>
      <c r="C319" s="79" t="s">
        <v>2571</v>
      </c>
      <c r="D319" s="79" t="s">
        <v>2572</v>
      </c>
      <c r="E319" s="59"/>
      <c r="F319" s="79" t="s">
        <v>469</v>
      </c>
      <c r="G319" s="79" t="s">
        <v>131</v>
      </c>
      <c r="H319" s="79" t="s">
        <v>2573</v>
      </c>
      <c r="I319" s="96" t="s">
        <v>2574</v>
      </c>
      <c r="J319" s="79" t="s">
        <v>151</v>
      </c>
      <c r="K319" s="79" t="s">
        <v>70</v>
      </c>
      <c r="L319" s="79" t="s">
        <v>152</v>
      </c>
      <c r="M319" s="130" t="s">
        <v>2575</v>
      </c>
      <c r="N319" s="79" t="s">
        <v>26</v>
      </c>
      <c r="O319" s="79" t="s">
        <v>113</v>
      </c>
      <c r="P319" s="79" t="s">
        <v>95</v>
      </c>
      <c r="Q319" s="131" t="s">
        <v>2576</v>
      </c>
      <c r="R319" s="79" t="s">
        <v>76</v>
      </c>
      <c r="S319" s="79" t="s">
        <v>97</v>
      </c>
      <c r="T319" s="79">
        <v>2018.0</v>
      </c>
      <c r="U319" s="79" t="s">
        <v>78</v>
      </c>
      <c r="V319" s="79" t="s">
        <v>98</v>
      </c>
      <c r="W319" s="79" t="s">
        <v>2577</v>
      </c>
      <c r="X319" s="79" t="s">
        <v>155</v>
      </c>
      <c r="Y319" s="79" t="s">
        <v>101</v>
      </c>
      <c r="Z319" s="79" t="s">
        <v>2521</v>
      </c>
      <c r="AA319" s="79" t="s">
        <v>211</v>
      </c>
      <c r="AB319" s="79" t="s">
        <v>2578</v>
      </c>
      <c r="AC319" s="79">
        <v>8.5222063396E10</v>
      </c>
      <c r="AD319" s="79" t="s">
        <v>2579</v>
      </c>
      <c r="AE319" s="59"/>
      <c r="AF319" s="79" t="s">
        <v>1268</v>
      </c>
      <c r="AG319" s="60"/>
      <c r="AH319" s="60"/>
      <c r="AI319" s="60"/>
      <c r="AJ319" s="60"/>
      <c r="AK319" s="60"/>
      <c r="AL319" s="60"/>
      <c r="AM319" s="60"/>
      <c r="AN319" s="60"/>
      <c r="AO319" s="60"/>
      <c r="AP319" s="60"/>
      <c r="AQ319" s="60"/>
      <c r="AR319" s="61"/>
    </row>
    <row r="320">
      <c r="A320" s="180">
        <v>19.0</v>
      </c>
      <c r="B320" s="79" t="s">
        <v>2580</v>
      </c>
      <c r="C320" s="79" t="s">
        <v>2581</v>
      </c>
      <c r="D320" s="79" t="s">
        <v>2572</v>
      </c>
      <c r="E320" s="59"/>
      <c r="F320" s="79" t="s">
        <v>469</v>
      </c>
      <c r="G320" s="79" t="s">
        <v>131</v>
      </c>
      <c r="H320" s="79" t="s">
        <v>2582</v>
      </c>
      <c r="I320" s="96" t="s">
        <v>2582</v>
      </c>
      <c r="J320" s="79" t="s">
        <v>151</v>
      </c>
      <c r="K320" s="79" t="s">
        <v>70</v>
      </c>
      <c r="L320" s="79" t="s">
        <v>71</v>
      </c>
      <c r="M320" s="130" t="s">
        <v>2350</v>
      </c>
      <c r="N320" s="79" t="s">
        <v>26</v>
      </c>
      <c r="O320" s="79" t="s">
        <v>113</v>
      </c>
      <c r="P320" s="79" t="s">
        <v>145</v>
      </c>
      <c r="Q320" s="220" t="s">
        <v>2350</v>
      </c>
      <c r="R320" s="79" t="s">
        <v>76</v>
      </c>
      <c r="S320" s="79" t="s">
        <v>97</v>
      </c>
      <c r="T320" s="69"/>
      <c r="U320" s="79" t="s">
        <v>78</v>
      </c>
      <c r="V320" s="79" t="s">
        <v>98</v>
      </c>
      <c r="W320" s="79" t="s">
        <v>2583</v>
      </c>
      <c r="X320" s="79" t="s">
        <v>148</v>
      </c>
      <c r="Y320" s="79" t="s">
        <v>71</v>
      </c>
      <c r="Z320" s="79" t="s">
        <v>2521</v>
      </c>
      <c r="AA320" s="79" t="s">
        <v>82</v>
      </c>
      <c r="AB320" s="79" t="s">
        <v>2584</v>
      </c>
      <c r="AC320" s="79">
        <v>8.5222063396E10</v>
      </c>
      <c r="AD320" s="79" t="s">
        <v>2579</v>
      </c>
      <c r="AE320" s="59"/>
      <c r="AF320" s="79" t="s">
        <v>1268</v>
      </c>
      <c r="AG320" s="60"/>
      <c r="AH320" s="60"/>
      <c r="AI320" s="60"/>
      <c r="AJ320" s="60"/>
      <c r="AK320" s="60"/>
      <c r="AL320" s="60"/>
      <c r="AM320" s="60"/>
      <c r="AN320" s="60"/>
      <c r="AO320" s="60"/>
      <c r="AP320" s="60"/>
      <c r="AQ320" s="60"/>
      <c r="AR320" s="61"/>
    </row>
    <row r="321">
      <c r="A321" s="180">
        <v>20.0</v>
      </c>
      <c r="B321" s="79" t="s">
        <v>2585</v>
      </c>
      <c r="C321" s="79" t="s">
        <v>2586</v>
      </c>
      <c r="D321" s="59"/>
      <c r="E321" s="59"/>
      <c r="F321" s="79" t="s">
        <v>468</v>
      </c>
      <c r="G321" s="79" t="s">
        <v>131</v>
      </c>
      <c r="H321" s="79" t="s">
        <v>2587</v>
      </c>
      <c r="I321" s="96" t="s">
        <v>2587</v>
      </c>
      <c r="J321" s="79" t="s">
        <v>151</v>
      </c>
      <c r="K321" s="79" t="s">
        <v>110</v>
      </c>
      <c r="L321" s="79" t="s">
        <v>71</v>
      </c>
      <c r="M321" s="130" t="s">
        <v>2588</v>
      </c>
      <c r="N321" s="79" t="s">
        <v>26</v>
      </c>
      <c r="O321" s="79" t="s">
        <v>113</v>
      </c>
      <c r="P321" s="79" t="s">
        <v>74</v>
      </c>
      <c r="Q321" s="131" t="s">
        <v>2589</v>
      </c>
      <c r="R321" s="79" t="s">
        <v>76</v>
      </c>
      <c r="S321" s="79" t="s">
        <v>97</v>
      </c>
      <c r="T321" s="69"/>
      <c r="U321" s="79" t="s">
        <v>78</v>
      </c>
      <c r="V321" s="79" t="s">
        <v>79</v>
      </c>
      <c r="W321" s="79" t="s">
        <v>943</v>
      </c>
      <c r="X321" s="79" t="s">
        <v>80</v>
      </c>
      <c r="Y321" s="79" t="s">
        <v>80</v>
      </c>
      <c r="Z321" s="79" t="s">
        <v>2590</v>
      </c>
      <c r="AA321" s="79" t="s">
        <v>82</v>
      </c>
      <c r="AB321" s="79" t="s">
        <v>2591</v>
      </c>
      <c r="AC321" s="79">
        <v>8.5222063396E10</v>
      </c>
      <c r="AD321" s="79" t="s">
        <v>2579</v>
      </c>
      <c r="AE321" s="59"/>
      <c r="AF321" s="79" t="s">
        <v>1268</v>
      </c>
      <c r="AG321" s="60"/>
      <c r="AH321" s="60"/>
      <c r="AI321" s="60"/>
      <c r="AJ321" s="60"/>
      <c r="AK321" s="60"/>
      <c r="AL321" s="60"/>
      <c r="AM321" s="60"/>
      <c r="AN321" s="60"/>
      <c r="AO321" s="60"/>
      <c r="AP321" s="60"/>
      <c r="AQ321" s="60"/>
      <c r="AR321" s="61"/>
    </row>
    <row r="322">
      <c r="A322" s="180">
        <v>21.0</v>
      </c>
      <c r="B322" s="79" t="s">
        <v>2592</v>
      </c>
      <c r="C322" s="79" t="s">
        <v>2592</v>
      </c>
      <c r="D322" s="79" t="s">
        <v>2572</v>
      </c>
      <c r="E322" s="59"/>
      <c r="F322" s="79" t="s">
        <v>469</v>
      </c>
      <c r="G322" s="79" t="s">
        <v>131</v>
      </c>
      <c r="H322" s="79" t="s">
        <v>2593</v>
      </c>
      <c r="I322" s="96" t="s">
        <v>2593</v>
      </c>
      <c r="J322" s="79" t="s">
        <v>151</v>
      </c>
      <c r="K322" s="79" t="s">
        <v>110</v>
      </c>
      <c r="L322" s="79" t="s">
        <v>71</v>
      </c>
      <c r="M322" s="130" t="s">
        <v>2186</v>
      </c>
      <c r="N322" s="79" t="s">
        <v>82</v>
      </c>
      <c r="O322" s="79" t="s">
        <v>113</v>
      </c>
      <c r="P322" s="79" t="s">
        <v>74</v>
      </c>
      <c r="Q322" s="131" t="s">
        <v>2594</v>
      </c>
      <c r="R322" s="79" t="s">
        <v>76</v>
      </c>
      <c r="S322" s="79" t="s">
        <v>97</v>
      </c>
      <c r="T322" s="69"/>
      <c r="U322" s="79" t="s">
        <v>78</v>
      </c>
      <c r="V322" s="79" t="s">
        <v>98</v>
      </c>
      <c r="W322" s="79" t="s">
        <v>2595</v>
      </c>
      <c r="X322" s="79" t="s">
        <v>148</v>
      </c>
      <c r="Y322" s="79" t="s">
        <v>139</v>
      </c>
      <c r="Z322" s="79" t="s">
        <v>2590</v>
      </c>
      <c r="AA322" s="79" t="s">
        <v>211</v>
      </c>
      <c r="AB322" s="79" t="s">
        <v>2578</v>
      </c>
      <c r="AC322" s="79">
        <v>8.5222063396E10</v>
      </c>
      <c r="AD322" s="79" t="s">
        <v>2579</v>
      </c>
      <c r="AE322" s="59"/>
      <c r="AF322" s="79" t="s">
        <v>71</v>
      </c>
      <c r="AG322" s="60"/>
      <c r="AH322" s="60"/>
      <c r="AI322" s="60"/>
      <c r="AJ322" s="60"/>
      <c r="AK322" s="60"/>
      <c r="AL322" s="60"/>
      <c r="AM322" s="60"/>
      <c r="AN322" s="60"/>
      <c r="AO322" s="60"/>
      <c r="AP322" s="60"/>
      <c r="AQ322" s="60"/>
      <c r="AR322" s="61"/>
    </row>
    <row r="323">
      <c r="A323" s="180">
        <v>22.0</v>
      </c>
      <c r="B323" s="79" t="s">
        <v>2596</v>
      </c>
      <c r="C323" s="79" t="s">
        <v>2597</v>
      </c>
      <c r="D323" s="79" t="s">
        <v>2598</v>
      </c>
      <c r="E323" s="59"/>
      <c r="F323" s="79" t="s">
        <v>341</v>
      </c>
      <c r="G323" s="79" t="s">
        <v>131</v>
      </c>
      <c r="H323" s="79" t="s">
        <v>2597</v>
      </c>
      <c r="I323" s="79" t="s">
        <v>2597</v>
      </c>
      <c r="J323" s="79" t="s">
        <v>151</v>
      </c>
      <c r="K323" s="79" t="s">
        <v>70</v>
      </c>
      <c r="L323" s="79" t="s">
        <v>71</v>
      </c>
      <c r="M323" s="130" t="s">
        <v>1114</v>
      </c>
      <c r="N323" s="79" t="s">
        <v>73</v>
      </c>
      <c r="O323" s="79" t="s">
        <v>73</v>
      </c>
      <c r="P323" s="79" t="s">
        <v>74</v>
      </c>
      <c r="Q323" s="131" t="s">
        <v>2599</v>
      </c>
      <c r="R323" s="79" t="s">
        <v>76</v>
      </c>
      <c r="S323" s="79" t="s">
        <v>97</v>
      </c>
      <c r="T323" s="69"/>
      <c r="U323" s="79" t="s">
        <v>78</v>
      </c>
      <c r="V323" s="79" t="s">
        <v>98</v>
      </c>
      <c r="W323" s="69"/>
      <c r="X323" s="79" t="s">
        <v>148</v>
      </c>
      <c r="Y323" s="79" t="s">
        <v>139</v>
      </c>
      <c r="Z323" s="79" t="s">
        <v>2590</v>
      </c>
      <c r="AA323" s="79" t="s">
        <v>162</v>
      </c>
      <c r="AB323" s="79" t="s">
        <v>2584</v>
      </c>
      <c r="AC323" s="79">
        <v>8.5222063396E10</v>
      </c>
      <c r="AD323" s="79" t="s">
        <v>2579</v>
      </c>
      <c r="AE323" s="59"/>
      <c r="AF323" s="79" t="s">
        <v>1268</v>
      </c>
      <c r="AG323" s="60"/>
      <c r="AH323" s="60"/>
      <c r="AI323" s="60"/>
      <c r="AJ323" s="60"/>
      <c r="AK323" s="60"/>
      <c r="AL323" s="60"/>
      <c r="AM323" s="60"/>
      <c r="AN323" s="60"/>
      <c r="AO323" s="60"/>
      <c r="AP323" s="60"/>
      <c r="AQ323" s="60"/>
      <c r="AR323" s="61"/>
    </row>
    <row r="324">
      <c r="A324" s="180">
        <v>23.0</v>
      </c>
      <c r="B324" s="79" t="s">
        <v>2600</v>
      </c>
      <c r="C324" s="176" t="s">
        <v>2601</v>
      </c>
      <c r="D324" s="79" t="s">
        <v>2602</v>
      </c>
      <c r="E324" s="94"/>
      <c r="F324" s="79" t="s">
        <v>344</v>
      </c>
      <c r="G324" s="79" t="s">
        <v>123</v>
      </c>
      <c r="H324" s="79" t="s">
        <v>2603</v>
      </c>
      <c r="I324" s="96" t="s">
        <v>2604</v>
      </c>
      <c r="J324" s="79" t="s">
        <v>151</v>
      </c>
      <c r="K324" s="79" t="s">
        <v>110</v>
      </c>
      <c r="L324" s="79" t="s">
        <v>71</v>
      </c>
      <c r="M324" s="97" t="s">
        <v>2605</v>
      </c>
      <c r="N324" s="79" t="s">
        <v>73</v>
      </c>
      <c r="O324" s="79" t="s">
        <v>73</v>
      </c>
      <c r="P324" s="67" t="s">
        <v>95</v>
      </c>
      <c r="Q324" s="131" t="s">
        <v>2606</v>
      </c>
      <c r="R324" s="79" t="s">
        <v>76</v>
      </c>
      <c r="S324" s="79" t="s">
        <v>97</v>
      </c>
      <c r="T324" s="69"/>
      <c r="U324" s="79" t="s">
        <v>78</v>
      </c>
      <c r="V324" s="79" t="s">
        <v>98</v>
      </c>
      <c r="W324" s="79" t="s">
        <v>970</v>
      </c>
      <c r="X324" s="79" t="s">
        <v>80</v>
      </c>
      <c r="Y324" s="79" t="s">
        <v>139</v>
      </c>
      <c r="Z324" s="79" t="s">
        <v>2607</v>
      </c>
      <c r="AA324" s="79" t="s">
        <v>162</v>
      </c>
      <c r="AB324" s="79" t="s">
        <v>2608</v>
      </c>
      <c r="AC324" s="79">
        <v>8.5721324997E10</v>
      </c>
      <c r="AD324" s="69"/>
      <c r="AE324" s="59"/>
      <c r="AF324" s="79" t="s">
        <v>71</v>
      </c>
      <c r="AG324" s="60"/>
      <c r="AH324" s="60"/>
      <c r="AI324" s="60"/>
      <c r="AJ324" s="60"/>
      <c r="AK324" s="60"/>
      <c r="AL324" s="60"/>
      <c r="AM324" s="60"/>
      <c r="AN324" s="60"/>
      <c r="AO324" s="60"/>
      <c r="AP324" s="60"/>
      <c r="AQ324" s="60"/>
      <c r="AR324" s="61"/>
    </row>
    <row r="325">
      <c r="A325" s="180">
        <v>24.0</v>
      </c>
      <c r="B325" s="79" t="s">
        <v>2609</v>
      </c>
      <c r="C325" s="221" t="s">
        <v>2610</v>
      </c>
      <c r="D325" s="79" t="s">
        <v>2611</v>
      </c>
      <c r="E325" s="59"/>
      <c r="F325" s="79" t="s">
        <v>470</v>
      </c>
      <c r="G325" s="79" t="s">
        <v>123</v>
      </c>
      <c r="H325" s="79" t="s">
        <v>2612</v>
      </c>
      <c r="I325" s="222" t="s">
        <v>2613</v>
      </c>
      <c r="J325" s="79" t="s">
        <v>91</v>
      </c>
      <c r="K325" s="79" t="s">
        <v>110</v>
      </c>
      <c r="L325" s="79" t="s">
        <v>111</v>
      </c>
      <c r="M325" s="130" t="s">
        <v>2614</v>
      </c>
      <c r="N325" s="79" t="s">
        <v>26</v>
      </c>
      <c r="O325" s="79" t="s">
        <v>113</v>
      </c>
      <c r="P325" s="79" t="s">
        <v>95</v>
      </c>
      <c r="Q325" s="131" t="s">
        <v>2615</v>
      </c>
      <c r="R325" s="79" t="s">
        <v>76</v>
      </c>
      <c r="S325" s="79" t="s">
        <v>97</v>
      </c>
      <c r="T325" s="69"/>
      <c r="U325" s="79" t="s">
        <v>78</v>
      </c>
      <c r="V325" s="79" t="s">
        <v>98</v>
      </c>
      <c r="W325" s="79" t="s">
        <v>649</v>
      </c>
      <c r="X325" s="69"/>
      <c r="Y325" s="69"/>
      <c r="Z325" s="79" t="s">
        <v>2489</v>
      </c>
      <c r="AA325" s="79" t="s">
        <v>140</v>
      </c>
      <c r="AB325" s="79" t="s">
        <v>2616</v>
      </c>
      <c r="AC325" s="79">
        <v>8.8901612437E10</v>
      </c>
      <c r="AD325" s="79" t="s">
        <v>2617</v>
      </c>
      <c r="AE325" s="59"/>
      <c r="AF325" s="79" t="s">
        <v>111</v>
      </c>
      <c r="AG325" s="60"/>
      <c r="AH325" s="60"/>
      <c r="AI325" s="60"/>
      <c r="AJ325" s="60"/>
      <c r="AK325" s="60"/>
      <c r="AL325" s="60"/>
      <c r="AM325" s="60"/>
      <c r="AN325" s="60"/>
      <c r="AO325" s="60"/>
      <c r="AP325" s="60"/>
      <c r="AQ325" s="60"/>
      <c r="AR325" s="61"/>
    </row>
    <row r="326">
      <c r="A326" s="180">
        <v>25.0</v>
      </c>
      <c r="B326" s="79" t="s">
        <v>2618</v>
      </c>
      <c r="C326" s="79" t="s">
        <v>2619</v>
      </c>
      <c r="D326" s="79" t="s">
        <v>2620</v>
      </c>
      <c r="E326" s="59"/>
      <c r="F326" s="79" t="s">
        <v>452</v>
      </c>
      <c r="G326" s="79" t="s">
        <v>123</v>
      </c>
      <c r="H326" s="79" t="s">
        <v>2621</v>
      </c>
      <c r="I326" s="79" t="s">
        <v>2622</v>
      </c>
      <c r="J326" s="79" t="s">
        <v>91</v>
      </c>
      <c r="K326" s="79" t="s">
        <v>110</v>
      </c>
      <c r="L326" s="79" t="s">
        <v>152</v>
      </c>
      <c r="M326" s="130" t="s">
        <v>2623</v>
      </c>
      <c r="N326" s="79" t="s">
        <v>26</v>
      </c>
      <c r="O326" s="79" t="s">
        <v>113</v>
      </c>
      <c r="P326" s="79" t="s">
        <v>95</v>
      </c>
      <c r="Q326" s="131" t="s">
        <v>2624</v>
      </c>
      <c r="R326" s="79" t="s">
        <v>76</v>
      </c>
      <c r="S326" s="79" t="s">
        <v>97</v>
      </c>
      <c r="T326" s="69"/>
      <c r="U326" s="79" t="s">
        <v>78</v>
      </c>
      <c r="V326" s="79" t="s">
        <v>98</v>
      </c>
      <c r="W326" s="79" t="s">
        <v>2625</v>
      </c>
      <c r="X326" s="69"/>
      <c r="Y326" s="69"/>
      <c r="Z326" s="79" t="s">
        <v>2489</v>
      </c>
      <c r="AA326" s="79" t="s">
        <v>205</v>
      </c>
      <c r="AB326" s="79" t="s">
        <v>2616</v>
      </c>
      <c r="AC326" s="79">
        <v>8.8901612437E10</v>
      </c>
      <c r="AD326" s="79" t="s">
        <v>2617</v>
      </c>
      <c r="AE326" s="59"/>
      <c r="AF326" s="79" t="s">
        <v>152</v>
      </c>
      <c r="AG326" s="60"/>
      <c r="AH326" s="60"/>
      <c r="AI326" s="60"/>
      <c r="AJ326" s="60"/>
      <c r="AK326" s="60"/>
      <c r="AL326" s="60"/>
      <c r="AM326" s="60"/>
      <c r="AN326" s="60"/>
      <c r="AO326" s="60"/>
      <c r="AP326" s="60"/>
      <c r="AQ326" s="60"/>
      <c r="AR326" s="61"/>
    </row>
    <row r="327">
      <c r="A327" s="180">
        <v>26.0</v>
      </c>
      <c r="B327" s="79" t="s">
        <v>2626</v>
      </c>
      <c r="C327" s="96" t="s">
        <v>2627</v>
      </c>
      <c r="D327" s="79" t="s">
        <v>2628</v>
      </c>
      <c r="E327" s="59"/>
      <c r="F327" s="79" t="s">
        <v>165</v>
      </c>
      <c r="G327" s="79" t="s">
        <v>66</v>
      </c>
      <c r="H327" s="79" t="s">
        <v>2629</v>
      </c>
      <c r="I327" s="96" t="s">
        <v>2630</v>
      </c>
      <c r="J327" s="79" t="s">
        <v>91</v>
      </c>
      <c r="K327" s="79" t="s">
        <v>70</v>
      </c>
      <c r="L327" s="79" t="s">
        <v>152</v>
      </c>
      <c r="M327" s="130" t="s">
        <v>696</v>
      </c>
      <c r="N327" s="79" t="s">
        <v>26</v>
      </c>
      <c r="O327" s="79" t="s">
        <v>113</v>
      </c>
      <c r="P327" s="79" t="s">
        <v>95</v>
      </c>
      <c r="Q327" s="131" t="s">
        <v>2631</v>
      </c>
      <c r="R327" s="79" t="s">
        <v>76</v>
      </c>
      <c r="S327" s="79" t="s">
        <v>97</v>
      </c>
      <c r="T327" s="69"/>
      <c r="U327" s="79" t="s">
        <v>78</v>
      </c>
      <c r="V327" s="79" t="s">
        <v>79</v>
      </c>
      <c r="W327" s="79" t="s">
        <v>80</v>
      </c>
      <c r="X327" s="79" t="s">
        <v>80</v>
      </c>
      <c r="Y327" s="79" t="s">
        <v>80</v>
      </c>
      <c r="Z327" s="79" t="s">
        <v>2489</v>
      </c>
      <c r="AA327" s="79" t="s">
        <v>140</v>
      </c>
      <c r="AB327" s="79" t="s">
        <v>2632</v>
      </c>
      <c r="AC327" s="79">
        <v>8.2118454036E10</v>
      </c>
      <c r="AD327" s="79" t="s">
        <v>2633</v>
      </c>
      <c r="AE327" s="59"/>
      <c r="AF327" s="79" t="s">
        <v>1268</v>
      </c>
      <c r="AG327" s="60"/>
      <c r="AH327" s="60"/>
      <c r="AI327" s="60"/>
      <c r="AJ327" s="60"/>
      <c r="AK327" s="60"/>
      <c r="AL327" s="60"/>
      <c r="AM327" s="60"/>
      <c r="AN327" s="60"/>
      <c r="AO327" s="60"/>
      <c r="AP327" s="60"/>
      <c r="AQ327" s="60"/>
      <c r="AR327" s="61"/>
    </row>
    <row r="328">
      <c r="A328" s="180">
        <v>27.0</v>
      </c>
      <c r="B328" s="79" t="s">
        <v>2634</v>
      </c>
      <c r="C328" s="96" t="s">
        <v>2635</v>
      </c>
      <c r="D328" s="79" t="s">
        <v>2628</v>
      </c>
      <c r="E328" s="59"/>
      <c r="F328" s="79" t="s">
        <v>165</v>
      </c>
      <c r="G328" s="79" t="s">
        <v>123</v>
      </c>
      <c r="H328" s="79" t="s">
        <v>2636</v>
      </c>
      <c r="I328" s="79" t="s">
        <v>2637</v>
      </c>
      <c r="J328" s="79" t="s">
        <v>91</v>
      </c>
      <c r="K328" s="79" t="s">
        <v>110</v>
      </c>
      <c r="L328" s="79" t="s">
        <v>101</v>
      </c>
      <c r="M328" s="130" t="s">
        <v>2638</v>
      </c>
      <c r="N328" s="79" t="s">
        <v>73</v>
      </c>
      <c r="O328" s="79" t="s">
        <v>73</v>
      </c>
      <c r="P328" s="79" t="s">
        <v>95</v>
      </c>
      <c r="Q328" s="131" t="s">
        <v>2639</v>
      </c>
      <c r="R328" s="79" t="s">
        <v>76</v>
      </c>
      <c r="S328" s="79" t="s">
        <v>97</v>
      </c>
      <c r="T328" s="69"/>
      <c r="U328" s="79" t="s">
        <v>78</v>
      </c>
      <c r="V328" s="79" t="s">
        <v>79</v>
      </c>
      <c r="W328" s="79" t="s">
        <v>80</v>
      </c>
      <c r="X328" s="79" t="s">
        <v>80</v>
      </c>
      <c r="Y328" s="79" t="s">
        <v>80</v>
      </c>
      <c r="Z328" s="79" t="s">
        <v>2489</v>
      </c>
      <c r="AA328" s="79" t="s">
        <v>162</v>
      </c>
      <c r="AB328" s="79" t="s">
        <v>2632</v>
      </c>
      <c r="AC328" s="79">
        <v>8.2118454036E10</v>
      </c>
      <c r="AD328" s="79" t="s">
        <v>2633</v>
      </c>
      <c r="AE328" s="59"/>
      <c r="AF328" s="79" t="s">
        <v>566</v>
      </c>
      <c r="AG328" s="60"/>
      <c r="AH328" s="60"/>
      <c r="AI328" s="60"/>
      <c r="AJ328" s="60"/>
      <c r="AK328" s="60"/>
      <c r="AL328" s="60"/>
      <c r="AM328" s="60"/>
      <c r="AN328" s="60"/>
      <c r="AO328" s="60"/>
      <c r="AP328" s="60"/>
      <c r="AQ328" s="60"/>
      <c r="AR328" s="61"/>
    </row>
    <row r="329">
      <c r="A329" s="180">
        <v>28.0</v>
      </c>
      <c r="B329" s="79" t="s">
        <v>61</v>
      </c>
      <c r="C329" s="96" t="s">
        <v>2640</v>
      </c>
      <c r="D329" s="79" t="s">
        <v>2641</v>
      </c>
      <c r="E329" s="59"/>
      <c r="F329" s="79" t="s">
        <v>165</v>
      </c>
      <c r="G329" s="79" t="s">
        <v>66</v>
      </c>
      <c r="H329" s="79" t="s">
        <v>2642</v>
      </c>
      <c r="I329" s="96" t="s">
        <v>2643</v>
      </c>
      <c r="J329" s="79" t="s">
        <v>151</v>
      </c>
      <c r="K329" s="79" t="s">
        <v>70</v>
      </c>
      <c r="L329" s="79" t="s">
        <v>101</v>
      </c>
      <c r="M329" s="130" t="s">
        <v>72</v>
      </c>
      <c r="N329" s="79" t="s">
        <v>73</v>
      </c>
      <c r="O329" s="79" t="s">
        <v>73</v>
      </c>
      <c r="P329" s="79" t="s">
        <v>95</v>
      </c>
      <c r="Q329" s="131" t="s">
        <v>2644</v>
      </c>
      <c r="R329" s="79" t="s">
        <v>76</v>
      </c>
      <c r="S329" s="79" t="s">
        <v>97</v>
      </c>
      <c r="T329" s="69"/>
      <c r="U329" s="79" t="s">
        <v>78</v>
      </c>
      <c r="V329" s="79" t="s">
        <v>79</v>
      </c>
      <c r="W329" s="79" t="s">
        <v>80</v>
      </c>
      <c r="X329" s="79" t="s">
        <v>80</v>
      </c>
      <c r="Y329" s="79" t="s">
        <v>80</v>
      </c>
      <c r="Z329" s="79" t="s">
        <v>2489</v>
      </c>
      <c r="AA329" s="79" t="s">
        <v>82</v>
      </c>
      <c r="AB329" s="79" t="s">
        <v>2632</v>
      </c>
      <c r="AC329" s="79">
        <v>8.2118454036E10</v>
      </c>
      <c r="AD329" s="79" t="s">
        <v>2633</v>
      </c>
      <c r="AE329" s="59"/>
      <c r="AF329" s="79" t="s">
        <v>566</v>
      </c>
      <c r="AG329" s="60"/>
      <c r="AH329" s="60"/>
      <c r="AI329" s="60"/>
      <c r="AJ329" s="60"/>
      <c r="AK329" s="60"/>
      <c r="AL329" s="60"/>
      <c r="AM329" s="60"/>
      <c r="AN329" s="60"/>
      <c r="AO329" s="60"/>
      <c r="AP329" s="60"/>
      <c r="AQ329" s="60"/>
      <c r="AR329" s="61"/>
    </row>
    <row r="330">
      <c r="A330" s="180">
        <v>29.0</v>
      </c>
      <c r="B330" s="79" t="s">
        <v>2645</v>
      </c>
      <c r="C330" s="96" t="s">
        <v>2646</v>
      </c>
      <c r="D330" s="79" t="s">
        <v>2647</v>
      </c>
      <c r="E330" s="59"/>
      <c r="F330" s="79" t="s">
        <v>165</v>
      </c>
      <c r="G330" s="79" t="s">
        <v>66</v>
      </c>
      <c r="H330" s="79" t="s">
        <v>2648</v>
      </c>
      <c r="I330" s="96" t="s">
        <v>2649</v>
      </c>
      <c r="J330" s="79" t="s">
        <v>91</v>
      </c>
      <c r="K330" s="79" t="s">
        <v>110</v>
      </c>
      <c r="L330" s="79" t="s">
        <v>101</v>
      </c>
      <c r="M330" s="130" t="s">
        <v>527</v>
      </c>
      <c r="N330" s="79" t="s">
        <v>82</v>
      </c>
      <c r="O330" s="79" t="s">
        <v>113</v>
      </c>
      <c r="P330" s="79" t="s">
        <v>95</v>
      </c>
      <c r="Q330" s="131" t="s">
        <v>2650</v>
      </c>
      <c r="R330" s="79" t="s">
        <v>76</v>
      </c>
      <c r="S330" s="79" t="s">
        <v>97</v>
      </c>
      <c r="T330" s="69"/>
      <c r="U330" s="79" t="s">
        <v>78</v>
      </c>
      <c r="V330" s="79" t="s">
        <v>79</v>
      </c>
      <c r="W330" s="79" t="s">
        <v>80</v>
      </c>
      <c r="X330" s="79" t="s">
        <v>80</v>
      </c>
      <c r="Y330" s="79" t="s">
        <v>80</v>
      </c>
      <c r="Z330" s="79" t="s">
        <v>2489</v>
      </c>
      <c r="AA330" s="79" t="s">
        <v>82</v>
      </c>
      <c r="AB330" s="79" t="s">
        <v>2632</v>
      </c>
      <c r="AC330" s="79">
        <v>8.2118454036E10</v>
      </c>
      <c r="AD330" s="79" t="s">
        <v>2633</v>
      </c>
      <c r="AE330" s="59"/>
      <c r="AF330" s="79" t="s">
        <v>566</v>
      </c>
      <c r="AG330" s="60"/>
      <c r="AH330" s="60"/>
      <c r="AI330" s="60"/>
      <c r="AJ330" s="60"/>
      <c r="AK330" s="60"/>
      <c r="AL330" s="60"/>
      <c r="AM330" s="60"/>
      <c r="AN330" s="60"/>
      <c r="AO330" s="60"/>
      <c r="AP330" s="60"/>
      <c r="AQ330" s="60"/>
      <c r="AR330" s="61"/>
    </row>
    <row r="331">
      <c r="A331" s="180">
        <v>30.0</v>
      </c>
      <c r="B331" s="79" t="s">
        <v>2651</v>
      </c>
      <c r="C331" s="96" t="s">
        <v>2652</v>
      </c>
      <c r="D331" s="79" t="s">
        <v>2653</v>
      </c>
      <c r="E331" s="59"/>
      <c r="F331" s="79" t="s">
        <v>165</v>
      </c>
      <c r="G331" s="79" t="s">
        <v>123</v>
      </c>
      <c r="H331" s="79" t="s">
        <v>2654</v>
      </c>
      <c r="I331" s="96" t="s">
        <v>2655</v>
      </c>
      <c r="J331" s="79" t="s">
        <v>91</v>
      </c>
      <c r="K331" s="79" t="s">
        <v>110</v>
      </c>
      <c r="L331" s="79" t="s">
        <v>101</v>
      </c>
      <c r="M331" s="130" t="s">
        <v>2108</v>
      </c>
      <c r="N331" s="79" t="s">
        <v>26</v>
      </c>
      <c r="O331" s="79" t="s">
        <v>113</v>
      </c>
      <c r="P331" s="79" t="s">
        <v>95</v>
      </c>
      <c r="Q331" s="131" t="s">
        <v>2656</v>
      </c>
      <c r="R331" s="79" t="s">
        <v>76</v>
      </c>
      <c r="S331" s="79" t="s">
        <v>97</v>
      </c>
      <c r="T331" s="69"/>
      <c r="U331" s="79" t="s">
        <v>78</v>
      </c>
      <c r="V331" s="79" t="s">
        <v>79</v>
      </c>
      <c r="W331" s="79" t="s">
        <v>80</v>
      </c>
      <c r="X331" s="79" t="s">
        <v>80</v>
      </c>
      <c r="Y331" s="79" t="s">
        <v>80</v>
      </c>
      <c r="Z331" s="79" t="s">
        <v>2489</v>
      </c>
      <c r="AA331" s="79" t="s">
        <v>205</v>
      </c>
      <c r="AB331" s="79" t="s">
        <v>2632</v>
      </c>
      <c r="AC331" s="79">
        <v>8.2118454036E10</v>
      </c>
      <c r="AD331" s="79" t="s">
        <v>2633</v>
      </c>
      <c r="AE331" s="59"/>
      <c r="AF331" s="79" t="s">
        <v>566</v>
      </c>
      <c r="AG331" s="60"/>
      <c r="AH331" s="60"/>
      <c r="AI331" s="60"/>
      <c r="AJ331" s="60"/>
      <c r="AK331" s="60"/>
      <c r="AL331" s="60"/>
      <c r="AM331" s="60"/>
      <c r="AN331" s="60"/>
      <c r="AO331" s="60"/>
      <c r="AP331" s="60"/>
      <c r="AQ331" s="60"/>
      <c r="AR331" s="61"/>
    </row>
    <row r="332">
      <c r="A332" s="180">
        <v>31.0</v>
      </c>
      <c r="B332" s="79" t="s">
        <v>2657</v>
      </c>
      <c r="C332" s="96" t="s">
        <v>2658</v>
      </c>
      <c r="D332" s="96" t="s">
        <v>2659</v>
      </c>
      <c r="E332" s="59"/>
      <c r="F332" s="79" t="s">
        <v>344</v>
      </c>
      <c r="G332" s="79" t="s">
        <v>123</v>
      </c>
      <c r="H332" s="96" t="s">
        <v>2660</v>
      </c>
      <c r="I332" s="96" t="s">
        <v>2661</v>
      </c>
      <c r="J332" s="79" t="s">
        <v>151</v>
      </c>
      <c r="K332" s="79" t="s">
        <v>110</v>
      </c>
      <c r="L332" s="79" t="s">
        <v>152</v>
      </c>
      <c r="M332" s="130" t="s">
        <v>2662</v>
      </c>
      <c r="N332" s="79" t="s">
        <v>73</v>
      </c>
      <c r="O332" s="79" t="s">
        <v>73</v>
      </c>
      <c r="P332" s="79" t="s">
        <v>95</v>
      </c>
      <c r="Q332" s="223" t="s">
        <v>2663</v>
      </c>
      <c r="R332" s="79" t="s">
        <v>76</v>
      </c>
      <c r="S332" s="79" t="s">
        <v>97</v>
      </c>
      <c r="T332" s="69"/>
      <c r="U332" s="79" t="s">
        <v>78</v>
      </c>
      <c r="V332" s="69"/>
      <c r="W332" s="69"/>
      <c r="X332" s="69"/>
      <c r="Y332" s="69"/>
      <c r="Z332" s="79" t="s">
        <v>2664</v>
      </c>
      <c r="AA332" s="79" t="s">
        <v>162</v>
      </c>
      <c r="AB332" s="131" t="s">
        <v>2665</v>
      </c>
      <c r="AC332" s="79">
        <v>8.812229285E9</v>
      </c>
      <c r="AD332" s="79" t="s">
        <v>2666</v>
      </c>
      <c r="AE332" s="59"/>
      <c r="AF332" s="79" t="s">
        <v>152</v>
      </c>
      <c r="AG332" s="60"/>
      <c r="AH332" s="60"/>
      <c r="AI332" s="60"/>
      <c r="AJ332" s="60"/>
      <c r="AK332" s="60"/>
      <c r="AL332" s="60"/>
      <c r="AM332" s="60"/>
      <c r="AN332" s="60"/>
      <c r="AO332" s="60"/>
      <c r="AP332" s="60"/>
      <c r="AQ332" s="60"/>
      <c r="AR332" s="61"/>
    </row>
    <row r="333">
      <c r="A333" s="180">
        <v>32.0</v>
      </c>
      <c r="B333" s="79" t="s">
        <v>2667</v>
      </c>
      <c r="C333" s="67" t="s">
        <v>2668</v>
      </c>
      <c r="D333" s="96" t="s">
        <v>2669</v>
      </c>
      <c r="E333" s="59"/>
      <c r="F333" s="79" t="s">
        <v>344</v>
      </c>
      <c r="G333" s="79" t="s">
        <v>123</v>
      </c>
      <c r="H333" s="96" t="s">
        <v>2670</v>
      </c>
      <c r="I333" s="96" t="s">
        <v>2671</v>
      </c>
      <c r="J333" s="79" t="s">
        <v>151</v>
      </c>
      <c r="K333" s="79" t="s">
        <v>70</v>
      </c>
      <c r="L333" s="79" t="s">
        <v>101</v>
      </c>
      <c r="M333" s="130" t="s">
        <v>2672</v>
      </c>
      <c r="N333" s="79" t="s">
        <v>73</v>
      </c>
      <c r="O333" s="79" t="s">
        <v>73</v>
      </c>
      <c r="P333" s="79" t="s">
        <v>95</v>
      </c>
      <c r="Q333" s="223" t="s">
        <v>2673</v>
      </c>
      <c r="R333" s="79" t="s">
        <v>76</v>
      </c>
      <c r="S333" s="79" t="s">
        <v>97</v>
      </c>
      <c r="T333" s="69"/>
      <c r="U333" s="79" t="s">
        <v>78</v>
      </c>
      <c r="V333" s="79" t="s">
        <v>98</v>
      </c>
      <c r="W333" s="79" t="s">
        <v>2674</v>
      </c>
      <c r="X333" s="79" t="s">
        <v>155</v>
      </c>
      <c r="Y333" s="79" t="s">
        <v>139</v>
      </c>
      <c r="Z333" s="79" t="s">
        <v>2675</v>
      </c>
      <c r="AA333" s="79" t="s">
        <v>162</v>
      </c>
      <c r="AB333" s="131" t="s">
        <v>2676</v>
      </c>
      <c r="AC333" s="79">
        <v>8.812229285E9</v>
      </c>
      <c r="AD333" s="131" t="s">
        <v>2677</v>
      </c>
      <c r="AE333" s="59"/>
      <c r="AF333" s="79" t="s">
        <v>566</v>
      </c>
      <c r="AG333" s="60"/>
      <c r="AH333" s="60"/>
      <c r="AI333" s="60"/>
      <c r="AJ333" s="60"/>
      <c r="AK333" s="60"/>
      <c r="AL333" s="60"/>
      <c r="AM333" s="60"/>
      <c r="AN333" s="60"/>
      <c r="AO333" s="60"/>
      <c r="AP333" s="60"/>
      <c r="AQ333" s="60"/>
      <c r="AR333" s="61"/>
    </row>
    <row r="334">
      <c r="A334" s="180">
        <v>33.0</v>
      </c>
      <c r="B334" s="96" t="s">
        <v>2678</v>
      </c>
      <c r="C334" s="224" t="s">
        <v>2679</v>
      </c>
      <c r="D334" s="225" t="s">
        <v>2680</v>
      </c>
      <c r="E334" s="59"/>
      <c r="F334" s="67" t="s">
        <v>344</v>
      </c>
      <c r="G334" s="79" t="s">
        <v>123</v>
      </c>
      <c r="H334" s="79" t="s">
        <v>2681</v>
      </c>
      <c r="I334" s="79" t="s">
        <v>2681</v>
      </c>
      <c r="J334" s="79" t="s">
        <v>69</v>
      </c>
      <c r="K334" s="79" t="s">
        <v>110</v>
      </c>
      <c r="L334" s="79" t="s">
        <v>71</v>
      </c>
      <c r="M334" s="130" t="s">
        <v>2682</v>
      </c>
      <c r="N334" s="79" t="s">
        <v>73</v>
      </c>
      <c r="O334" s="79" t="s">
        <v>73</v>
      </c>
      <c r="P334" s="79" t="s">
        <v>95</v>
      </c>
      <c r="Q334" s="131" t="s">
        <v>2683</v>
      </c>
      <c r="R334" s="79" t="s">
        <v>76</v>
      </c>
      <c r="S334" s="79" t="s">
        <v>97</v>
      </c>
      <c r="T334" s="79">
        <v>2018.0</v>
      </c>
      <c r="U334" s="79" t="s">
        <v>78</v>
      </c>
      <c r="V334" s="67" t="s">
        <v>79</v>
      </c>
      <c r="W334" s="79" t="s">
        <v>2684</v>
      </c>
      <c r="X334" s="67" t="s">
        <v>80</v>
      </c>
      <c r="Y334" s="79" t="s">
        <v>80</v>
      </c>
      <c r="Z334" s="68" t="s">
        <v>2675</v>
      </c>
      <c r="AA334" s="79" t="s">
        <v>162</v>
      </c>
      <c r="AB334" s="79" t="s">
        <v>2608</v>
      </c>
      <c r="AC334" s="79">
        <v>8.5721324997E10</v>
      </c>
      <c r="AD334" s="69"/>
      <c r="AE334" s="59"/>
      <c r="AF334" s="68" t="s">
        <v>566</v>
      </c>
      <c r="AG334" s="60"/>
      <c r="AH334" s="60"/>
      <c r="AI334" s="60"/>
      <c r="AJ334" s="60"/>
      <c r="AK334" s="60"/>
      <c r="AL334" s="60"/>
      <c r="AM334" s="60"/>
      <c r="AN334" s="60"/>
      <c r="AO334" s="60"/>
      <c r="AP334" s="60"/>
      <c r="AQ334" s="60"/>
      <c r="AR334" s="61"/>
    </row>
    <row r="335">
      <c r="A335" s="180">
        <v>35.0</v>
      </c>
      <c r="B335" s="96" t="s">
        <v>2685</v>
      </c>
      <c r="C335" s="226" t="s">
        <v>2686</v>
      </c>
      <c r="D335" s="225" t="s">
        <v>2687</v>
      </c>
      <c r="E335" s="59"/>
      <c r="F335" s="69"/>
      <c r="G335" s="67" t="s">
        <v>123</v>
      </c>
      <c r="H335" s="226" t="s">
        <v>2688</v>
      </c>
      <c r="I335" s="67" t="s">
        <v>2688</v>
      </c>
      <c r="J335" s="79" t="s">
        <v>69</v>
      </c>
      <c r="K335" s="79" t="s">
        <v>110</v>
      </c>
      <c r="L335" s="79" t="s">
        <v>111</v>
      </c>
      <c r="M335" s="130" t="s">
        <v>2176</v>
      </c>
      <c r="N335" s="69"/>
      <c r="O335" s="79" t="s">
        <v>113</v>
      </c>
      <c r="P335" s="79" t="s">
        <v>95</v>
      </c>
      <c r="Q335" s="131" t="s">
        <v>2689</v>
      </c>
      <c r="R335" s="79" t="s">
        <v>76</v>
      </c>
      <c r="S335" s="79" t="s">
        <v>77</v>
      </c>
      <c r="T335" s="69"/>
      <c r="U335" s="79" t="s">
        <v>78</v>
      </c>
      <c r="V335" s="67" t="s">
        <v>79</v>
      </c>
      <c r="W335" s="67" t="s">
        <v>2520</v>
      </c>
      <c r="X335" s="67" t="s">
        <v>80</v>
      </c>
      <c r="Y335" s="79" t="s">
        <v>111</v>
      </c>
      <c r="Z335" s="67" t="s">
        <v>2690</v>
      </c>
      <c r="AA335" s="79" t="s">
        <v>207</v>
      </c>
      <c r="AB335" s="79" t="s">
        <v>2608</v>
      </c>
      <c r="AC335" s="79">
        <v>8.5721324997E10</v>
      </c>
      <c r="AD335" s="69"/>
      <c r="AE335" s="59"/>
      <c r="AF335" s="64" t="s">
        <v>566</v>
      </c>
      <c r="AG335" s="60"/>
      <c r="AH335" s="60"/>
      <c r="AI335" s="60"/>
      <c r="AJ335" s="60"/>
      <c r="AK335" s="60"/>
      <c r="AL335" s="60"/>
      <c r="AM335" s="60"/>
      <c r="AN335" s="60"/>
      <c r="AO335" s="60"/>
      <c r="AP335" s="60"/>
      <c r="AQ335" s="60"/>
      <c r="AR335" s="61"/>
    </row>
    <row r="336">
      <c r="A336" s="71" t="s">
        <v>2691</v>
      </c>
      <c r="B336" s="57"/>
      <c r="C336" s="57"/>
      <c r="D336" s="58"/>
      <c r="E336" s="58"/>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94"/>
      <c r="AF336" s="94"/>
      <c r="AG336" s="60"/>
      <c r="AH336" s="60"/>
      <c r="AI336" s="60"/>
      <c r="AJ336" s="60"/>
      <c r="AK336" s="60"/>
      <c r="AL336" s="60"/>
      <c r="AM336" s="60"/>
      <c r="AN336" s="60"/>
      <c r="AO336" s="60"/>
      <c r="AP336" s="60"/>
      <c r="AQ336" s="60"/>
      <c r="AR336" s="61"/>
    </row>
    <row r="337">
      <c r="A337" s="180">
        <v>1.0</v>
      </c>
      <c r="B337" s="79" t="s">
        <v>2411</v>
      </c>
      <c r="C337" s="79" t="s">
        <v>2412</v>
      </c>
      <c r="D337" s="79" t="s">
        <v>2413</v>
      </c>
      <c r="E337" s="131" t="s">
        <v>2692</v>
      </c>
      <c r="F337" s="79" t="s">
        <v>344</v>
      </c>
      <c r="G337" s="79" t="s">
        <v>66</v>
      </c>
      <c r="H337" s="79" t="s">
        <v>2415</v>
      </c>
      <c r="I337" s="96" t="s">
        <v>2416</v>
      </c>
      <c r="J337" s="79" t="s">
        <v>158</v>
      </c>
      <c r="K337" s="79" t="s">
        <v>70</v>
      </c>
      <c r="L337" s="79" t="s">
        <v>101</v>
      </c>
      <c r="M337" s="130" t="s">
        <v>2693</v>
      </c>
      <c r="N337" s="79" t="s">
        <v>93</v>
      </c>
      <c r="O337" s="79" t="s">
        <v>113</v>
      </c>
      <c r="P337" s="79" t="s">
        <v>153</v>
      </c>
      <c r="Q337" s="79" t="s">
        <v>2418</v>
      </c>
      <c r="R337" s="79" t="s">
        <v>146</v>
      </c>
      <c r="S337" s="79" t="s">
        <v>77</v>
      </c>
      <c r="T337" s="79">
        <v>2023.0</v>
      </c>
      <c r="U337" s="79" t="s">
        <v>78</v>
      </c>
      <c r="V337" s="79" t="s">
        <v>98</v>
      </c>
      <c r="W337" s="79" t="s">
        <v>2419</v>
      </c>
      <c r="X337" s="79" t="s">
        <v>148</v>
      </c>
      <c r="Y337" s="79" t="s">
        <v>139</v>
      </c>
      <c r="Z337" s="79" t="s">
        <v>2420</v>
      </c>
      <c r="AA337" s="79" t="s">
        <v>162</v>
      </c>
      <c r="AB337" s="79" t="s">
        <v>2421</v>
      </c>
      <c r="AC337" s="79">
        <v>8.129487531E9</v>
      </c>
      <c r="AD337" s="79" t="s">
        <v>2422</v>
      </c>
      <c r="AE337" s="79">
        <v>8.0</v>
      </c>
      <c r="AF337" s="79" t="s">
        <v>1268</v>
      </c>
      <c r="AG337" s="60"/>
      <c r="AH337" s="60"/>
      <c r="AI337" s="60"/>
      <c r="AJ337" s="60"/>
      <c r="AK337" s="60"/>
      <c r="AL337" s="60"/>
      <c r="AM337" s="60"/>
      <c r="AN337" s="60"/>
      <c r="AO337" s="60"/>
      <c r="AP337" s="60"/>
      <c r="AQ337" s="60"/>
      <c r="AR337" s="61"/>
    </row>
    <row r="338">
      <c r="A338" s="180">
        <v>2.0</v>
      </c>
      <c r="B338" s="79" t="s">
        <v>2423</v>
      </c>
      <c r="C338" s="176" t="s">
        <v>2424</v>
      </c>
      <c r="D338" s="79" t="s">
        <v>2425</v>
      </c>
      <c r="E338" s="131" t="s">
        <v>2694</v>
      </c>
      <c r="F338" s="79" t="s">
        <v>222</v>
      </c>
      <c r="G338" s="79" t="s">
        <v>138</v>
      </c>
      <c r="H338" s="79" t="s">
        <v>2427</v>
      </c>
      <c r="I338" s="79" t="s">
        <v>2427</v>
      </c>
      <c r="J338" s="79" t="s">
        <v>151</v>
      </c>
      <c r="K338" s="79" t="s">
        <v>70</v>
      </c>
      <c r="L338" s="79" t="s">
        <v>152</v>
      </c>
      <c r="M338" s="130" t="s">
        <v>2428</v>
      </c>
      <c r="N338" s="79" t="s">
        <v>73</v>
      </c>
      <c r="O338" s="79" t="s">
        <v>73</v>
      </c>
      <c r="P338" s="79" t="s">
        <v>95</v>
      </c>
      <c r="Q338" s="131" t="s">
        <v>2695</v>
      </c>
      <c r="R338" s="79" t="s">
        <v>76</v>
      </c>
      <c r="S338" s="79" t="s">
        <v>97</v>
      </c>
      <c r="T338" s="79">
        <v>2016.0</v>
      </c>
      <c r="U338" s="79" t="s">
        <v>78</v>
      </c>
      <c r="V338" s="79" t="s">
        <v>98</v>
      </c>
      <c r="W338" s="79" t="s">
        <v>2430</v>
      </c>
      <c r="X338" s="79" t="s">
        <v>155</v>
      </c>
      <c r="Y338" s="79" t="s">
        <v>139</v>
      </c>
      <c r="Z338" s="79" t="s">
        <v>2431</v>
      </c>
      <c r="AA338" s="79" t="s">
        <v>174</v>
      </c>
      <c r="AB338" s="79" t="s">
        <v>2432</v>
      </c>
      <c r="AC338" s="79">
        <v>8.2121996969E10</v>
      </c>
      <c r="AD338" s="79" t="s">
        <v>2433</v>
      </c>
      <c r="AE338" s="79">
        <v>41.0</v>
      </c>
      <c r="AF338" s="79" t="s">
        <v>71</v>
      </c>
      <c r="AG338" s="60"/>
      <c r="AH338" s="60"/>
      <c r="AI338" s="60"/>
      <c r="AJ338" s="60"/>
      <c r="AK338" s="60"/>
      <c r="AL338" s="60"/>
      <c r="AM338" s="60"/>
      <c r="AN338" s="60"/>
      <c r="AO338" s="60"/>
      <c r="AP338" s="60"/>
      <c r="AQ338" s="60"/>
      <c r="AR338" s="61"/>
    </row>
    <row r="339">
      <c r="A339" s="180">
        <v>3.0</v>
      </c>
      <c r="B339" s="79" t="s">
        <v>2434</v>
      </c>
      <c r="C339" s="79" t="s">
        <v>2435</v>
      </c>
      <c r="D339" s="59"/>
      <c r="E339" s="79" t="s">
        <v>563</v>
      </c>
      <c r="F339" s="79" t="s">
        <v>421</v>
      </c>
      <c r="G339" s="79" t="s">
        <v>138</v>
      </c>
      <c r="H339" s="79" t="s">
        <v>2436</v>
      </c>
      <c r="I339" s="79" t="s">
        <v>2436</v>
      </c>
      <c r="J339" s="79" t="s">
        <v>151</v>
      </c>
      <c r="K339" s="79" t="s">
        <v>110</v>
      </c>
      <c r="L339" s="79" t="s">
        <v>152</v>
      </c>
      <c r="M339" s="130" t="s">
        <v>2437</v>
      </c>
      <c r="N339" s="79" t="s">
        <v>144</v>
      </c>
      <c r="O339" s="79" t="s">
        <v>144</v>
      </c>
      <c r="P339" s="79" t="s">
        <v>95</v>
      </c>
      <c r="Q339" s="131" t="s">
        <v>2696</v>
      </c>
      <c r="R339" s="79" t="s">
        <v>76</v>
      </c>
      <c r="S339" s="79" t="s">
        <v>97</v>
      </c>
      <c r="T339" s="79">
        <v>2024.0</v>
      </c>
      <c r="U339" s="79" t="s">
        <v>78</v>
      </c>
      <c r="V339" s="79" t="s">
        <v>79</v>
      </c>
      <c r="W339" s="79" t="s">
        <v>80</v>
      </c>
      <c r="X339" s="79" t="s">
        <v>80</v>
      </c>
      <c r="Y339" s="79" t="s">
        <v>80</v>
      </c>
      <c r="Z339" s="79" t="s">
        <v>2431</v>
      </c>
      <c r="AA339" s="79" t="s">
        <v>162</v>
      </c>
      <c r="AB339" s="79" t="s">
        <v>2432</v>
      </c>
      <c r="AC339" s="79">
        <v>8.2121996969E10</v>
      </c>
      <c r="AD339" s="79" t="s">
        <v>2433</v>
      </c>
      <c r="AE339" s="59"/>
      <c r="AF339" s="79" t="s">
        <v>152</v>
      </c>
      <c r="AG339" s="60"/>
      <c r="AH339" s="60"/>
      <c r="AI339" s="60"/>
      <c r="AJ339" s="60"/>
      <c r="AK339" s="60"/>
      <c r="AL339" s="60"/>
      <c r="AM339" s="60"/>
      <c r="AN339" s="60"/>
      <c r="AO339" s="60"/>
      <c r="AP339" s="60"/>
      <c r="AQ339" s="60"/>
      <c r="AR339" s="61"/>
    </row>
    <row r="340">
      <c r="A340" s="180">
        <v>4.0</v>
      </c>
      <c r="B340" s="79" t="s">
        <v>2439</v>
      </c>
      <c r="C340" s="79" t="s">
        <v>2440</v>
      </c>
      <c r="D340" s="79" t="s">
        <v>2441</v>
      </c>
      <c r="E340" s="59"/>
      <c r="F340" s="69"/>
      <c r="G340" s="79" t="s">
        <v>123</v>
      </c>
      <c r="H340" s="79" t="s">
        <v>2442</v>
      </c>
      <c r="I340" s="96" t="s">
        <v>2443</v>
      </c>
      <c r="J340" s="79" t="s">
        <v>151</v>
      </c>
      <c r="K340" s="79" t="s">
        <v>70</v>
      </c>
      <c r="L340" s="79" t="s">
        <v>111</v>
      </c>
      <c r="M340" s="130" t="s">
        <v>2444</v>
      </c>
      <c r="N340" s="79" t="s">
        <v>26</v>
      </c>
      <c r="O340" s="79" t="s">
        <v>113</v>
      </c>
      <c r="P340" s="79" t="s">
        <v>95</v>
      </c>
      <c r="Q340" s="131" t="s">
        <v>2697</v>
      </c>
      <c r="R340" s="79" t="s">
        <v>76</v>
      </c>
      <c r="S340" s="79" t="s">
        <v>77</v>
      </c>
      <c r="T340" s="176">
        <v>2023.0</v>
      </c>
      <c r="U340" s="79" t="s">
        <v>78</v>
      </c>
      <c r="V340" s="79" t="s">
        <v>79</v>
      </c>
      <c r="W340" s="79" t="s">
        <v>80</v>
      </c>
      <c r="X340" s="79" t="s">
        <v>80</v>
      </c>
      <c r="Y340" s="79" t="s">
        <v>80</v>
      </c>
      <c r="Z340" s="79" t="s">
        <v>2446</v>
      </c>
      <c r="AA340" s="79" t="s">
        <v>207</v>
      </c>
      <c r="AB340" s="79" t="s">
        <v>2447</v>
      </c>
      <c r="AC340" s="79">
        <v>8.1224666679E10</v>
      </c>
      <c r="AD340" s="79" t="s">
        <v>2448</v>
      </c>
      <c r="AE340" s="59"/>
      <c r="AF340" s="79" t="s">
        <v>71</v>
      </c>
      <c r="AG340" s="60"/>
      <c r="AH340" s="60"/>
      <c r="AI340" s="60"/>
      <c r="AJ340" s="60"/>
      <c r="AK340" s="60"/>
      <c r="AL340" s="60"/>
      <c r="AM340" s="60"/>
      <c r="AN340" s="60"/>
      <c r="AO340" s="60"/>
      <c r="AP340" s="60"/>
      <c r="AQ340" s="60"/>
      <c r="AR340" s="61"/>
    </row>
    <row r="341">
      <c r="A341" s="180">
        <v>5.0</v>
      </c>
      <c r="B341" s="79" t="s">
        <v>2449</v>
      </c>
      <c r="C341" s="79" t="s">
        <v>2450</v>
      </c>
      <c r="D341" s="79" t="s">
        <v>2451</v>
      </c>
      <c r="E341" s="59"/>
      <c r="F341" s="79" t="s">
        <v>444</v>
      </c>
      <c r="G341" s="79" t="s">
        <v>131</v>
      </c>
      <c r="H341" s="79" t="s">
        <v>2452</v>
      </c>
      <c r="I341" s="96" t="s">
        <v>2453</v>
      </c>
      <c r="J341" s="79" t="s">
        <v>69</v>
      </c>
      <c r="K341" s="79" t="s">
        <v>70</v>
      </c>
      <c r="L341" s="79" t="s">
        <v>71</v>
      </c>
      <c r="M341" s="130" t="s">
        <v>2454</v>
      </c>
      <c r="N341" s="79" t="s">
        <v>93</v>
      </c>
      <c r="O341" s="79" t="s">
        <v>94</v>
      </c>
      <c r="P341" s="79" t="s">
        <v>95</v>
      </c>
      <c r="Q341" s="131" t="s">
        <v>2698</v>
      </c>
      <c r="R341" s="79" t="s">
        <v>76</v>
      </c>
      <c r="S341" s="79" t="s">
        <v>97</v>
      </c>
      <c r="T341" s="79">
        <v>2023.0</v>
      </c>
      <c r="U341" s="79" t="s">
        <v>78</v>
      </c>
      <c r="V341" s="79" t="s">
        <v>79</v>
      </c>
      <c r="W341" s="79" t="s">
        <v>80</v>
      </c>
      <c r="X341" s="79" t="s">
        <v>80</v>
      </c>
      <c r="Y341" s="79" t="s">
        <v>80</v>
      </c>
      <c r="Z341" s="79" t="s">
        <v>2456</v>
      </c>
      <c r="AA341" s="79" t="s">
        <v>207</v>
      </c>
      <c r="AB341" s="79" t="s">
        <v>2457</v>
      </c>
      <c r="AC341" s="79">
        <v>8.996105849E9</v>
      </c>
      <c r="AD341" s="79" t="s">
        <v>2458</v>
      </c>
      <c r="AE341" s="59"/>
      <c r="AF341" s="79" t="s">
        <v>152</v>
      </c>
      <c r="AG341" s="60"/>
      <c r="AH341" s="60"/>
      <c r="AI341" s="60"/>
      <c r="AJ341" s="60"/>
      <c r="AK341" s="60"/>
      <c r="AL341" s="60"/>
      <c r="AM341" s="60"/>
      <c r="AN341" s="60"/>
      <c r="AO341" s="60"/>
      <c r="AP341" s="60"/>
      <c r="AQ341" s="60"/>
      <c r="AR341" s="61"/>
    </row>
    <row r="342">
      <c r="A342" s="180">
        <v>6.0</v>
      </c>
      <c r="B342" s="79" t="s">
        <v>2459</v>
      </c>
      <c r="C342" s="79" t="s">
        <v>2460</v>
      </c>
      <c r="D342" s="79" t="s">
        <v>2461</v>
      </c>
      <c r="E342" s="59"/>
      <c r="F342" s="79" t="s">
        <v>448</v>
      </c>
      <c r="G342" s="79" t="s">
        <v>123</v>
      </c>
      <c r="H342" s="79" t="s">
        <v>2462</v>
      </c>
      <c r="I342" s="96" t="s">
        <v>2463</v>
      </c>
      <c r="J342" s="79" t="s">
        <v>158</v>
      </c>
      <c r="K342" s="79" t="s">
        <v>110</v>
      </c>
      <c r="L342" s="79" t="s">
        <v>71</v>
      </c>
      <c r="M342" s="130" t="s">
        <v>2464</v>
      </c>
      <c r="N342" s="79" t="s">
        <v>26</v>
      </c>
      <c r="O342" s="79" t="s">
        <v>113</v>
      </c>
      <c r="P342" s="79" t="s">
        <v>95</v>
      </c>
      <c r="Q342" s="131" t="s">
        <v>2699</v>
      </c>
      <c r="R342" s="79" t="s">
        <v>76</v>
      </c>
      <c r="S342" s="79" t="s">
        <v>97</v>
      </c>
      <c r="T342" s="79">
        <v>2024.0</v>
      </c>
      <c r="U342" s="79" t="s">
        <v>78</v>
      </c>
      <c r="V342" s="79" t="s">
        <v>79</v>
      </c>
      <c r="W342" s="79" t="s">
        <v>80</v>
      </c>
      <c r="X342" s="79" t="s">
        <v>80</v>
      </c>
      <c r="Y342" s="79" t="s">
        <v>80</v>
      </c>
      <c r="Z342" s="79" t="s">
        <v>2466</v>
      </c>
      <c r="AA342" s="79" t="s">
        <v>209</v>
      </c>
      <c r="AB342" s="131" t="s">
        <v>2700</v>
      </c>
      <c r="AC342" s="79">
        <v>8.9682973688E10</v>
      </c>
      <c r="AD342" s="79" t="s">
        <v>2468</v>
      </c>
      <c r="AE342" s="59"/>
      <c r="AF342" s="79" t="s">
        <v>71</v>
      </c>
      <c r="AG342" s="60"/>
      <c r="AH342" s="60"/>
      <c r="AI342" s="60"/>
      <c r="AJ342" s="60"/>
      <c r="AK342" s="60"/>
      <c r="AL342" s="60"/>
      <c r="AM342" s="60"/>
      <c r="AN342" s="60"/>
      <c r="AO342" s="60"/>
      <c r="AP342" s="60"/>
      <c r="AQ342" s="60"/>
      <c r="AR342" s="61"/>
    </row>
    <row r="343">
      <c r="A343" s="180">
        <v>7.0</v>
      </c>
      <c r="B343" s="79" t="s">
        <v>2469</v>
      </c>
      <c r="C343" s="79" t="s">
        <v>2470</v>
      </c>
      <c r="D343" s="79" t="s">
        <v>2471</v>
      </c>
      <c r="E343" s="59"/>
      <c r="F343" s="79" t="s">
        <v>446</v>
      </c>
      <c r="G343" s="79" t="s">
        <v>123</v>
      </c>
      <c r="H343" s="79" t="s">
        <v>2472</v>
      </c>
      <c r="I343" s="96" t="s">
        <v>2473</v>
      </c>
      <c r="J343" s="79" t="s">
        <v>151</v>
      </c>
      <c r="K343" s="79" t="s">
        <v>70</v>
      </c>
      <c r="L343" s="79" t="s">
        <v>71</v>
      </c>
      <c r="M343" s="130" t="s">
        <v>607</v>
      </c>
      <c r="N343" s="79" t="s">
        <v>73</v>
      </c>
      <c r="O343" s="79" t="s">
        <v>73</v>
      </c>
      <c r="P343" s="79" t="s">
        <v>95</v>
      </c>
      <c r="Q343" s="131" t="s">
        <v>2701</v>
      </c>
      <c r="R343" s="79" t="s">
        <v>76</v>
      </c>
      <c r="S343" s="79" t="s">
        <v>97</v>
      </c>
      <c r="T343" s="79">
        <v>2021.0</v>
      </c>
      <c r="U343" s="79" t="s">
        <v>78</v>
      </c>
      <c r="V343" s="79" t="s">
        <v>98</v>
      </c>
      <c r="W343" s="79" t="s">
        <v>2475</v>
      </c>
      <c r="X343" s="79" t="s">
        <v>148</v>
      </c>
      <c r="Y343" s="69"/>
      <c r="Z343" s="79" t="s">
        <v>2476</v>
      </c>
      <c r="AA343" s="79" t="s">
        <v>207</v>
      </c>
      <c r="AB343" s="131" t="s">
        <v>2702</v>
      </c>
      <c r="AC343" s="79" t="s">
        <v>2478</v>
      </c>
      <c r="AD343" s="79" t="s">
        <v>2479</v>
      </c>
      <c r="AE343" s="59"/>
      <c r="AF343" s="79" t="s">
        <v>152</v>
      </c>
      <c r="AG343" s="194" t="s">
        <v>2480</v>
      </c>
      <c r="AH343" s="60"/>
      <c r="AI343" s="60"/>
      <c r="AJ343" s="60"/>
      <c r="AK343" s="60"/>
      <c r="AL343" s="60"/>
      <c r="AM343" s="60"/>
      <c r="AN343" s="60"/>
      <c r="AO343" s="60"/>
      <c r="AP343" s="60"/>
      <c r="AQ343" s="60"/>
      <c r="AR343" s="61"/>
    </row>
    <row r="344">
      <c r="A344" s="180">
        <v>8.0</v>
      </c>
      <c r="B344" s="79" t="s">
        <v>2481</v>
      </c>
      <c r="C344" s="79" t="s">
        <v>2482</v>
      </c>
      <c r="D344" s="79" t="s">
        <v>2483</v>
      </c>
      <c r="E344" s="59"/>
      <c r="F344" s="79" t="s">
        <v>446</v>
      </c>
      <c r="G344" s="79" t="s">
        <v>138</v>
      </c>
      <c r="H344" s="79" t="s">
        <v>2484</v>
      </c>
      <c r="I344" s="96" t="s">
        <v>2485</v>
      </c>
      <c r="J344" s="79" t="s">
        <v>91</v>
      </c>
      <c r="K344" s="79" t="s">
        <v>70</v>
      </c>
      <c r="L344" s="79" t="s">
        <v>71</v>
      </c>
      <c r="M344" s="130" t="s">
        <v>2486</v>
      </c>
      <c r="N344" s="79" t="s">
        <v>73</v>
      </c>
      <c r="O344" s="79" t="s">
        <v>73</v>
      </c>
      <c r="P344" s="79" t="s">
        <v>95</v>
      </c>
      <c r="Q344" s="131" t="s">
        <v>2703</v>
      </c>
      <c r="R344" s="79" t="s">
        <v>76</v>
      </c>
      <c r="S344" s="79" t="s">
        <v>97</v>
      </c>
      <c r="T344" s="79">
        <v>2010.0</v>
      </c>
      <c r="U344" s="79" t="s">
        <v>78</v>
      </c>
      <c r="V344" s="79" t="s">
        <v>98</v>
      </c>
      <c r="W344" s="79" t="s">
        <v>2488</v>
      </c>
      <c r="X344" s="79" t="s">
        <v>155</v>
      </c>
      <c r="Y344" s="79" t="s">
        <v>139</v>
      </c>
      <c r="Z344" s="79" t="s">
        <v>2489</v>
      </c>
      <c r="AA344" s="79" t="s">
        <v>140</v>
      </c>
      <c r="AB344" s="79" t="s">
        <v>2490</v>
      </c>
      <c r="AC344" s="79">
        <v>8.5294011791E10</v>
      </c>
      <c r="AD344" s="79" t="s">
        <v>2491</v>
      </c>
      <c r="AE344" s="59"/>
      <c r="AF344" s="79" t="s">
        <v>71</v>
      </c>
      <c r="AG344" s="60"/>
      <c r="AH344" s="60"/>
      <c r="AI344" s="60"/>
      <c r="AJ344" s="60"/>
      <c r="AK344" s="60"/>
      <c r="AL344" s="60"/>
      <c r="AM344" s="60"/>
      <c r="AN344" s="60"/>
      <c r="AO344" s="60"/>
      <c r="AP344" s="60"/>
      <c r="AQ344" s="60"/>
      <c r="AR344" s="61"/>
    </row>
    <row r="345">
      <c r="A345" s="180">
        <v>9.0</v>
      </c>
      <c r="B345" s="79" t="s">
        <v>2492</v>
      </c>
      <c r="C345" s="79" t="s">
        <v>2493</v>
      </c>
      <c r="D345" s="79" t="s">
        <v>2494</v>
      </c>
      <c r="E345" s="59"/>
      <c r="F345" s="79" t="s">
        <v>470</v>
      </c>
      <c r="G345" s="79" t="s">
        <v>123</v>
      </c>
      <c r="H345" s="79" t="s">
        <v>2495</v>
      </c>
      <c r="I345" s="96" t="s">
        <v>2496</v>
      </c>
      <c r="J345" s="79" t="s">
        <v>69</v>
      </c>
      <c r="K345" s="79" t="s">
        <v>110</v>
      </c>
      <c r="L345" s="79" t="s">
        <v>101</v>
      </c>
      <c r="M345" s="130" t="s">
        <v>558</v>
      </c>
      <c r="N345" s="79" t="s">
        <v>26</v>
      </c>
      <c r="O345" s="79" t="s">
        <v>113</v>
      </c>
      <c r="P345" s="79" t="s">
        <v>95</v>
      </c>
      <c r="Q345" s="131" t="s">
        <v>2704</v>
      </c>
      <c r="R345" s="79" t="s">
        <v>76</v>
      </c>
      <c r="S345" s="79" t="s">
        <v>97</v>
      </c>
      <c r="T345" s="79">
        <v>2023.0</v>
      </c>
      <c r="U345" s="79" t="s">
        <v>78</v>
      </c>
      <c r="V345" s="79" t="s">
        <v>79</v>
      </c>
      <c r="W345" s="79" t="s">
        <v>80</v>
      </c>
      <c r="X345" s="79" t="s">
        <v>80</v>
      </c>
      <c r="Y345" s="79" t="s">
        <v>80</v>
      </c>
      <c r="Z345" s="79" t="s">
        <v>2456</v>
      </c>
      <c r="AA345" s="79" t="s">
        <v>156</v>
      </c>
      <c r="AB345" s="79" t="s">
        <v>2498</v>
      </c>
      <c r="AC345" s="79">
        <v>8.9656642966E10</v>
      </c>
      <c r="AD345" s="79" t="s">
        <v>2499</v>
      </c>
      <c r="AE345" s="59"/>
      <c r="AF345" s="79" t="s">
        <v>566</v>
      </c>
      <c r="AG345" s="60"/>
      <c r="AH345" s="60"/>
      <c r="AI345" s="60"/>
      <c r="AJ345" s="60"/>
      <c r="AK345" s="60"/>
      <c r="AL345" s="60"/>
      <c r="AM345" s="60"/>
      <c r="AN345" s="60"/>
      <c r="AO345" s="60"/>
      <c r="AP345" s="60"/>
      <c r="AQ345" s="60"/>
      <c r="AR345" s="61"/>
    </row>
    <row r="346">
      <c r="A346" s="180">
        <v>10.0</v>
      </c>
      <c r="B346" s="79" t="s">
        <v>2500</v>
      </c>
      <c r="C346" s="79" t="s">
        <v>2501</v>
      </c>
      <c r="D346" s="79" t="s">
        <v>2502</v>
      </c>
      <c r="E346" s="79" t="s">
        <v>2503</v>
      </c>
      <c r="F346" s="79" t="s">
        <v>444</v>
      </c>
      <c r="G346" s="79" t="s">
        <v>123</v>
      </c>
      <c r="H346" s="79" t="s">
        <v>2504</v>
      </c>
      <c r="I346" s="96" t="s">
        <v>2505</v>
      </c>
      <c r="J346" s="79" t="s">
        <v>91</v>
      </c>
      <c r="K346" s="79" t="s">
        <v>110</v>
      </c>
      <c r="L346" s="79" t="s">
        <v>71</v>
      </c>
      <c r="M346" s="130" t="s">
        <v>593</v>
      </c>
      <c r="N346" s="79" t="s">
        <v>26</v>
      </c>
      <c r="O346" s="79" t="s">
        <v>113</v>
      </c>
      <c r="P346" s="79" t="s">
        <v>95</v>
      </c>
      <c r="Q346" s="131" t="s">
        <v>2705</v>
      </c>
      <c r="R346" s="79" t="s">
        <v>76</v>
      </c>
      <c r="S346" s="79" t="s">
        <v>77</v>
      </c>
      <c r="T346" s="79">
        <v>2018.0</v>
      </c>
      <c r="U346" s="79" t="s">
        <v>78</v>
      </c>
      <c r="V346" s="79" t="s">
        <v>98</v>
      </c>
      <c r="W346" s="79" t="s">
        <v>80</v>
      </c>
      <c r="X346" s="79" t="s">
        <v>80</v>
      </c>
      <c r="Y346" s="79" t="s">
        <v>152</v>
      </c>
      <c r="Z346" s="79" t="s">
        <v>2456</v>
      </c>
      <c r="AA346" s="79" t="s">
        <v>209</v>
      </c>
      <c r="AB346" s="79" t="s">
        <v>2507</v>
      </c>
      <c r="AC346" s="79" t="s">
        <v>2508</v>
      </c>
      <c r="AD346" s="79" t="s">
        <v>2509</v>
      </c>
      <c r="AE346" s="59"/>
      <c r="AF346" s="79" t="s">
        <v>71</v>
      </c>
      <c r="AG346" s="60"/>
      <c r="AH346" s="60"/>
      <c r="AI346" s="60"/>
      <c r="AJ346" s="60"/>
      <c r="AK346" s="60"/>
      <c r="AL346" s="60"/>
      <c r="AM346" s="60"/>
      <c r="AN346" s="60"/>
      <c r="AO346" s="60"/>
      <c r="AP346" s="60"/>
      <c r="AQ346" s="60"/>
      <c r="AR346" s="61"/>
    </row>
    <row r="347">
      <c r="A347" s="180">
        <v>11.0</v>
      </c>
      <c r="B347" s="79" t="s">
        <v>2510</v>
      </c>
      <c r="C347" s="79" t="s">
        <v>2511</v>
      </c>
      <c r="D347" s="79" t="s">
        <v>2512</v>
      </c>
      <c r="E347" s="59"/>
      <c r="F347" s="79" t="s">
        <v>107</v>
      </c>
      <c r="G347" s="79" t="s">
        <v>123</v>
      </c>
      <c r="H347" s="79" t="s">
        <v>502</v>
      </c>
      <c r="I347" s="79" t="s">
        <v>502</v>
      </c>
      <c r="J347" s="79" t="s">
        <v>91</v>
      </c>
      <c r="K347" s="79" t="s">
        <v>110</v>
      </c>
      <c r="L347" s="79" t="s">
        <v>71</v>
      </c>
      <c r="M347" s="130" t="s">
        <v>503</v>
      </c>
      <c r="N347" s="79" t="s">
        <v>82</v>
      </c>
      <c r="O347" s="79" t="s">
        <v>113</v>
      </c>
      <c r="P347" s="79" t="s">
        <v>95</v>
      </c>
      <c r="Q347" s="131" t="s">
        <v>2706</v>
      </c>
      <c r="R347" s="79" t="s">
        <v>76</v>
      </c>
      <c r="S347" s="79" t="s">
        <v>97</v>
      </c>
      <c r="T347" s="79">
        <v>2021.0</v>
      </c>
      <c r="U347" s="79" t="s">
        <v>78</v>
      </c>
      <c r="V347" s="79" t="s">
        <v>98</v>
      </c>
      <c r="W347" s="79" t="s">
        <v>2514</v>
      </c>
      <c r="X347" s="79" t="s">
        <v>148</v>
      </c>
      <c r="Y347" s="79" t="s">
        <v>139</v>
      </c>
      <c r="Z347" s="79" t="s">
        <v>2489</v>
      </c>
      <c r="AA347" s="79" t="s">
        <v>82</v>
      </c>
      <c r="AB347" s="79" t="s">
        <v>2490</v>
      </c>
      <c r="AC347" s="79">
        <v>8.5294011791E10</v>
      </c>
      <c r="AD347" s="79" t="s">
        <v>2491</v>
      </c>
      <c r="AE347" s="59"/>
      <c r="AF347" s="79" t="s">
        <v>1268</v>
      </c>
      <c r="AG347" s="60"/>
      <c r="AH347" s="60"/>
      <c r="AI347" s="60"/>
      <c r="AJ347" s="60"/>
      <c r="AK347" s="60"/>
      <c r="AL347" s="60"/>
      <c r="AM347" s="60"/>
      <c r="AN347" s="60"/>
      <c r="AO347" s="60"/>
      <c r="AP347" s="60"/>
      <c r="AQ347" s="60"/>
      <c r="AR347" s="61"/>
    </row>
    <row r="348">
      <c r="A348" s="180">
        <v>12.0</v>
      </c>
      <c r="B348" s="79" t="s">
        <v>2515</v>
      </c>
      <c r="C348" s="79" t="s">
        <v>2516</v>
      </c>
      <c r="D348" s="59"/>
      <c r="E348" s="59"/>
      <c r="F348" s="79" t="s">
        <v>457</v>
      </c>
      <c r="G348" s="79" t="s">
        <v>123</v>
      </c>
      <c r="H348" s="79" t="s">
        <v>2517</v>
      </c>
      <c r="I348" s="96" t="s">
        <v>2443</v>
      </c>
      <c r="J348" s="79" t="s">
        <v>151</v>
      </c>
      <c r="K348" s="79" t="s">
        <v>110</v>
      </c>
      <c r="L348" s="69"/>
      <c r="M348" s="130" t="s">
        <v>2707</v>
      </c>
      <c r="N348" s="79" t="s">
        <v>26</v>
      </c>
      <c r="O348" s="79" t="s">
        <v>113</v>
      </c>
      <c r="P348" s="79" t="s">
        <v>153</v>
      </c>
      <c r="Q348" s="79" t="s">
        <v>2519</v>
      </c>
      <c r="R348" s="79" t="s">
        <v>146</v>
      </c>
      <c r="S348" s="79" t="s">
        <v>97</v>
      </c>
      <c r="T348" s="79">
        <v>2015.0</v>
      </c>
      <c r="U348" s="79" t="s">
        <v>78</v>
      </c>
      <c r="V348" s="79" t="s">
        <v>79</v>
      </c>
      <c r="W348" s="79" t="s">
        <v>2520</v>
      </c>
      <c r="X348" s="79" t="s">
        <v>80</v>
      </c>
      <c r="Y348" s="79" t="s">
        <v>80</v>
      </c>
      <c r="Z348" s="79" t="s">
        <v>2521</v>
      </c>
      <c r="AA348" s="79" t="s">
        <v>162</v>
      </c>
      <c r="AB348" s="69"/>
      <c r="AC348" s="69"/>
      <c r="AD348" s="69"/>
      <c r="AE348" s="59"/>
      <c r="AF348" s="79" t="s">
        <v>152</v>
      </c>
      <c r="AG348" s="60"/>
      <c r="AH348" s="60"/>
      <c r="AI348" s="60"/>
      <c r="AJ348" s="60"/>
      <c r="AK348" s="60"/>
      <c r="AL348" s="60"/>
      <c r="AM348" s="60"/>
      <c r="AN348" s="60"/>
      <c r="AO348" s="60"/>
      <c r="AP348" s="60"/>
      <c r="AQ348" s="60"/>
      <c r="AR348" s="61"/>
    </row>
    <row r="349">
      <c r="A349" s="180">
        <v>13.0</v>
      </c>
      <c r="B349" s="79" t="s">
        <v>2522</v>
      </c>
      <c r="C349" s="219" t="s">
        <v>2523</v>
      </c>
      <c r="D349" s="79" t="s">
        <v>2524</v>
      </c>
      <c r="E349" s="79" t="s">
        <v>2525</v>
      </c>
      <c r="F349" s="79" t="s">
        <v>344</v>
      </c>
      <c r="G349" s="79" t="s">
        <v>66</v>
      </c>
      <c r="H349" s="79" t="s">
        <v>2526</v>
      </c>
      <c r="I349" s="96" t="s">
        <v>2527</v>
      </c>
      <c r="J349" s="79" t="s">
        <v>151</v>
      </c>
      <c r="K349" s="79" t="s">
        <v>70</v>
      </c>
      <c r="L349" s="79" t="s">
        <v>71</v>
      </c>
      <c r="M349" s="130" t="s">
        <v>2528</v>
      </c>
      <c r="N349" s="79" t="s">
        <v>73</v>
      </c>
      <c r="O349" s="79" t="s">
        <v>73</v>
      </c>
      <c r="P349" s="79" t="s">
        <v>95</v>
      </c>
      <c r="Q349" s="131" t="s">
        <v>2708</v>
      </c>
      <c r="R349" s="79" t="s">
        <v>76</v>
      </c>
      <c r="S349" s="79" t="s">
        <v>97</v>
      </c>
      <c r="T349" s="79">
        <v>2016.0</v>
      </c>
      <c r="U349" s="79" t="s">
        <v>78</v>
      </c>
      <c r="V349" s="79" t="s">
        <v>79</v>
      </c>
      <c r="W349" s="79" t="s">
        <v>2520</v>
      </c>
      <c r="X349" s="79" t="s">
        <v>80</v>
      </c>
      <c r="Y349" s="79" t="s">
        <v>80</v>
      </c>
      <c r="Z349" s="79" t="s">
        <v>2530</v>
      </c>
      <c r="AA349" s="79" t="s">
        <v>162</v>
      </c>
      <c r="AB349" s="69"/>
      <c r="AC349" s="69"/>
      <c r="AD349" s="69"/>
      <c r="AE349" s="59"/>
      <c r="AF349" s="79" t="s">
        <v>71</v>
      </c>
      <c r="AG349" s="60"/>
      <c r="AH349" s="60"/>
      <c r="AI349" s="60"/>
      <c r="AJ349" s="60"/>
      <c r="AK349" s="60"/>
      <c r="AL349" s="60"/>
      <c r="AM349" s="60"/>
      <c r="AN349" s="60"/>
      <c r="AO349" s="60"/>
      <c r="AP349" s="60"/>
      <c r="AQ349" s="60"/>
      <c r="AR349" s="61"/>
    </row>
    <row r="350">
      <c r="A350" s="180">
        <v>14.0</v>
      </c>
      <c r="B350" s="79" t="s">
        <v>2531</v>
      </c>
      <c r="C350" s="79" t="s">
        <v>2532</v>
      </c>
      <c r="D350" s="79" t="s">
        <v>2533</v>
      </c>
      <c r="E350" s="59"/>
      <c r="F350" s="79" t="s">
        <v>453</v>
      </c>
      <c r="G350" s="79" t="s">
        <v>131</v>
      </c>
      <c r="H350" s="79" t="s">
        <v>2534</v>
      </c>
      <c r="I350" s="96" t="s">
        <v>2505</v>
      </c>
      <c r="J350" s="79" t="s">
        <v>151</v>
      </c>
      <c r="K350" s="79" t="s">
        <v>70</v>
      </c>
      <c r="L350" s="79" t="s">
        <v>71</v>
      </c>
      <c r="M350" s="130" t="s">
        <v>586</v>
      </c>
      <c r="N350" s="79" t="s">
        <v>73</v>
      </c>
      <c r="O350" s="79" t="s">
        <v>73</v>
      </c>
      <c r="P350" s="79" t="s">
        <v>95</v>
      </c>
      <c r="Q350" s="131" t="s">
        <v>2709</v>
      </c>
      <c r="R350" s="79" t="s">
        <v>76</v>
      </c>
      <c r="S350" s="79" t="s">
        <v>77</v>
      </c>
      <c r="T350" s="79">
        <v>2025.0</v>
      </c>
      <c r="U350" s="79" t="s">
        <v>78</v>
      </c>
      <c r="V350" s="79" t="s">
        <v>98</v>
      </c>
      <c r="W350" s="79" t="s">
        <v>2536</v>
      </c>
      <c r="X350" s="79" t="s">
        <v>148</v>
      </c>
      <c r="Y350" s="79" t="s">
        <v>152</v>
      </c>
      <c r="Z350" s="79" t="s">
        <v>2456</v>
      </c>
      <c r="AA350" s="79" t="s">
        <v>207</v>
      </c>
      <c r="AB350" s="79" t="s">
        <v>2537</v>
      </c>
      <c r="AC350" s="79" t="s">
        <v>2538</v>
      </c>
      <c r="AD350" s="79" t="s">
        <v>2539</v>
      </c>
      <c r="AE350" s="59"/>
      <c r="AF350" s="79" t="s">
        <v>152</v>
      </c>
      <c r="AG350" s="60"/>
      <c r="AH350" s="60"/>
      <c r="AI350" s="60"/>
      <c r="AJ350" s="60"/>
      <c r="AK350" s="60"/>
      <c r="AL350" s="60"/>
      <c r="AM350" s="60"/>
      <c r="AN350" s="60"/>
      <c r="AO350" s="60"/>
      <c r="AP350" s="60"/>
      <c r="AQ350" s="60"/>
      <c r="AR350" s="61"/>
    </row>
    <row r="351">
      <c r="A351" s="180">
        <v>15.0</v>
      </c>
      <c r="B351" s="79" t="s">
        <v>2540</v>
      </c>
      <c r="C351" s="79" t="s">
        <v>2541</v>
      </c>
      <c r="D351" s="79" t="s">
        <v>2542</v>
      </c>
      <c r="E351" s="59"/>
      <c r="F351" s="79" t="s">
        <v>453</v>
      </c>
      <c r="G351" s="79" t="s">
        <v>123</v>
      </c>
      <c r="H351" s="79" t="s">
        <v>2543</v>
      </c>
      <c r="I351" s="96" t="s">
        <v>2505</v>
      </c>
      <c r="J351" s="79" t="s">
        <v>151</v>
      </c>
      <c r="K351" s="79" t="s">
        <v>110</v>
      </c>
      <c r="L351" s="79" t="s">
        <v>152</v>
      </c>
      <c r="M351" s="130" t="s">
        <v>579</v>
      </c>
      <c r="N351" s="79" t="s">
        <v>82</v>
      </c>
      <c r="O351" s="79" t="s">
        <v>113</v>
      </c>
      <c r="P351" s="79" t="s">
        <v>95</v>
      </c>
      <c r="Q351" s="131" t="s">
        <v>2710</v>
      </c>
      <c r="R351" s="79" t="s">
        <v>76</v>
      </c>
      <c r="S351" s="79" t="s">
        <v>97</v>
      </c>
      <c r="T351" s="79">
        <v>2022.0</v>
      </c>
      <c r="U351" s="79" t="s">
        <v>78</v>
      </c>
      <c r="V351" s="79" t="s">
        <v>98</v>
      </c>
      <c r="W351" s="69"/>
      <c r="X351" s="79" t="s">
        <v>148</v>
      </c>
      <c r="Y351" s="79" t="s">
        <v>152</v>
      </c>
      <c r="Z351" s="79" t="s">
        <v>2456</v>
      </c>
      <c r="AA351" s="79" t="s">
        <v>207</v>
      </c>
      <c r="AB351" s="79" t="s">
        <v>2545</v>
      </c>
      <c r="AC351" s="79" t="s">
        <v>2546</v>
      </c>
      <c r="AD351" s="79" t="s">
        <v>2547</v>
      </c>
      <c r="AE351" s="59"/>
      <c r="AF351" s="79" t="s">
        <v>152</v>
      </c>
      <c r="AG351" s="60"/>
      <c r="AH351" s="60"/>
      <c r="AI351" s="60"/>
      <c r="AJ351" s="60"/>
      <c r="AK351" s="60"/>
      <c r="AL351" s="60"/>
      <c r="AM351" s="60"/>
      <c r="AN351" s="60"/>
      <c r="AO351" s="60"/>
      <c r="AP351" s="60"/>
      <c r="AQ351" s="60"/>
      <c r="AR351" s="61"/>
    </row>
    <row r="352">
      <c r="A352" s="180">
        <v>16.0</v>
      </c>
      <c r="B352" s="79" t="s">
        <v>2548</v>
      </c>
      <c r="C352" s="79" t="s">
        <v>2549</v>
      </c>
      <c r="D352" s="79" t="s">
        <v>2550</v>
      </c>
      <c r="E352" s="59"/>
      <c r="F352" s="79" t="s">
        <v>453</v>
      </c>
      <c r="G352" s="79" t="s">
        <v>123</v>
      </c>
      <c r="H352" s="79" t="s">
        <v>2551</v>
      </c>
      <c r="I352" s="96" t="s">
        <v>2552</v>
      </c>
      <c r="J352" s="79" t="s">
        <v>151</v>
      </c>
      <c r="K352" s="79" t="s">
        <v>110</v>
      </c>
      <c r="L352" s="79" t="s">
        <v>152</v>
      </c>
      <c r="M352" s="130" t="s">
        <v>2553</v>
      </c>
      <c r="N352" s="79" t="s">
        <v>73</v>
      </c>
      <c r="O352" s="79" t="s">
        <v>73</v>
      </c>
      <c r="P352" s="79" t="s">
        <v>95</v>
      </c>
      <c r="Q352" s="131" t="s">
        <v>2711</v>
      </c>
      <c r="R352" s="79" t="s">
        <v>76</v>
      </c>
      <c r="S352" s="79" t="s">
        <v>77</v>
      </c>
      <c r="T352" s="69"/>
      <c r="U352" s="79" t="s">
        <v>78</v>
      </c>
      <c r="V352" s="79" t="s">
        <v>98</v>
      </c>
      <c r="W352" s="79" t="s">
        <v>2555</v>
      </c>
      <c r="X352" s="79" t="s">
        <v>80</v>
      </c>
      <c r="Y352" s="79" t="s">
        <v>80</v>
      </c>
      <c r="Z352" s="79" t="s">
        <v>2456</v>
      </c>
      <c r="AA352" s="79" t="s">
        <v>207</v>
      </c>
      <c r="AB352" s="79" t="s">
        <v>2556</v>
      </c>
      <c r="AC352" s="79" t="s">
        <v>2557</v>
      </c>
      <c r="AD352" s="79" t="s">
        <v>2558</v>
      </c>
      <c r="AE352" s="59"/>
      <c r="AF352" s="79" t="s">
        <v>152</v>
      </c>
      <c r="AG352" s="60"/>
      <c r="AH352" s="60"/>
      <c r="AI352" s="60"/>
      <c r="AJ352" s="60"/>
      <c r="AK352" s="60"/>
      <c r="AL352" s="60"/>
      <c r="AM352" s="60"/>
      <c r="AN352" s="60"/>
      <c r="AO352" s="60"/>
      <c r="AP352" s="60"/>
      <c r="AQ352" s="60"/>
      <c r="AR352" s="61"/>
    </row>
    <row r="353">
      <c r="A353" s="180">
        <v>17.0</v>
      </c>
      <c r="B353" s="79" t="s">
        <v>2559</v>
      </c>
      <c r="C353" s="79" t="s">
        <v>2560</v>
      </c>
      <c r="D353" s="79" t="s">
        <v>2561</v>
      </c>
      <c r="E353" s="131" t="s">
        <v>2712</v>
      </c>
      <c r="F353" s="79" t="s">
        <v>344</v>
      </c>
      <c r="G353" s="79" t="s">
        <v>66</v>
      </c>
      <c r="H353" s="79" t="s">
        <v>2563</v>
      </c>
      <c r="I353" s="96" t="s">
        <v>2564</v>
      </c>
      <c r="J353" s="79" t="s">
        <v>151</v>
      </c>
      <c r="K353" s="79" t="s">
        <v>70</v>
      </c>
      <c r="L353" s="79" t="s">
        <v>101</v>
      </c>
      <c r="M353" s="130" t="s">
        <v>1096</v>
      </c>
      <c r="N353" s="79" t="s">
        <v>73</v>
      </c>
      <c r="O353" s="79" t="s">
        <v>73</v>
      </c>
      <c r="P353" s="79" t="s">
        <v>74</v>
      </c>
      <c r="Q353" s="131" t="s">
        <v>2713</v>
      </c>
      <c r="R353" s="79" t="s">
        <v>76</v>
      </c>
      <c r="S353" s="79" t="s">
        <v>97</v>
      </c>
      <c r="T353" s="79">
        <v>2018.0</v>
      </c>
      <c r="U353" s="79" t="s">
        <v>78</v>
      </c>
      <c r="V353" s="79" t="s">
        <v>98</v>
      </c>
      <c r="W353" s="79" t="s">
        <v>2566</v>
      </c>
      <c r="X353" s="79" t="s">
        <v>100</v>
      </c>
      <c r="Y353" s="79" t="s">
        <v>139</v>
      </c>
      <c r="Z353" s="79" t="s">
        <v>2567</v>
      </c>
      <c r="AA353" s="79" t="s">
        <v>162</v>
      </c>
      <c r="AB353" s="79" t="s">
        <v>2568</v>
      </c>
      <c r="AC353" s="79">
        <v>8.2124726619E10</v>
      </c>
      <c r="AD353" s="79" t="s">
        <v>2569</v>
      </c>
      <c r="AE353" s="59"/>
      <c r="AF353" s="79" t="s">
        <v>1268</v>
      </c>
      <c r="AG353" s="60"/>
      <c r="AH353" s="60"/>
      <c r="AI353" s="60"/>
      <c r="AJ353" s="60"/>
      <c r="AK353" s="60"/>
      <c r="AL353" s="60"/>
      <c r="AM353" s="60"/>
      <c r="AN353" s="60"/>
      <c r="AO353" s="60"/>
      <c r="AP353" s="60"/>
      <c r="AQ353" s="60"/>
      <c r="AR353" s="61"/>
    </row>
    <row r="354">
      <c r="A354" s="180">
        <v>18.0</v>
      </c>
      <c r="B354" s="79" t="s">
        <v>2570</v>
      </c>
      <c r="C354" s="79" t="s">
        <v>2571</v>
      </c>
      <c r="D354" s="79" t="s">
        <v>2572</v>
      </c>
      <c r="E354" s="59"/>
      <c r="F354" s="79" t="s">
        <v>469</v>
      </c>
      <c r="G354" s="79" t="s">
        <v>131</v>
      </c>
      <c r="H354" s="79" t="s">
        <v>2573</v>
      </c>
      <c r="I354" s="96" t="s">
        <v>2574</v>
      </c>
      <c r="J354" s="79" t="s">
        <v>151</v>
      </c>
      <c r="K354" s="79" t="s">
        <v>70</v>
      </c>
      <c r="L354" s="79" t="s">
        <v>152</v>
      </c>
      <c r="M354" s="130" t="s">
        <v>2575</v>
      </c>
      <c r="N354" s="79" t="s">
        <v>26</v>
      </c>
      <c r="O354" s="79" t="s">
        <v>113</v>
      </c>
      <c r="P354" s="79" t="s">
        <v>95</v>
      </c>
      <c r="Q354" s="131" t="s">
        <v>2714</v>
      </c>
      <c r="R354" s="79" t="s">
        <v>76</v>
      </c>
      <c r="S354" s="79" t="s">
        <v>97</v>
      </c>
      <c r="T354" s="79">
        <v>2018.0</v>
      </c>
      <c r="U354" s="79" t="s">
        <v>78</v>
      </c>
      <c r="V354" s="79" t="s">
        <v>98</v>
      </c>
      <c r="W354" s="79" t="s">
        <v>2577</v>
      </c>
      <c r="X354" s="79" t="s">
        <v>155</v>
      </c>
      <c r="Y354" s="79" t="s">
        <v>101</v>
      </c>
      <c r="Z354" s="79" t="s">
        <v>2521</v>
      </c>
      <c r="AA354" s="79" t="s">
        <v>211</v>
      </c>
      <c r="AB354" s="79" t="s">
        <v>2578</v>
      </c>
      <c r="AC354" s="79">
        <v>8.5222063396E10</v>
      </c>
      <c r="AD354" s="79" t="s">
        <v>2579</v>
      </c>
      <c r="AE354" s="59"/>
      <c r="AF354" s="79" t="s">
        <v>1268</v>
      </c>
      <c r="AG354" s="60"/>
      <c r="AH354" s="60"/>
      <c r="AI354" s="60"/>
      <c r="AJ354" s="60"/>
      <c r="AK354" s="60"/>
      <c r="AL354" s="60"/>
      <c r="AM354" s="60"/>
      <c r="AN354" s="60"/>
      <c r="AO354" s="60"/>
      <c r="AP354" s="60"/>
      <c r="AQ354" s="60"/>
      <c r="AR354" s="61"/>
    </row>
    <row r="355">
      <c r="A355" s="180">
        <v>19.0</v>
      </c>
      <c r="B355" s="79" t="s">
        <v>2580</v>
      </c>
      <c r="C355" s="79" t="s">
        <v>2581</v>
      </c>
      <c r="D355" s="79" t="s">
        <v>2572</v>
      </c>
      <c r="E355" s="59"/>
      <c r="F355" s="79" t="s">
        <v>469</v>
      </c>
      <c r="G355" s="79" t="s">
        <v>131</v>
      </c>
      <c r="H355" s="79" t="s">
        <v>2582</v>
      </c>
      <c r="I355" s="96" t="s">
        <v>2582</v>
      </c>
      <c r="J355" s="79" t="s">
        <v>151</v>
      </c>
      <c r="K355" s="79" t="s">
        <v>70</v>
      </c>
      <c r="L355" s="79" t="s">
        <v>71</v>
      </c>
      <c r="M355" s="130" t="s">
        <v>2350</v>
      </c>
      <c r="N355" s="79" t="s">
        <v>26</v>
      </c>
      <c r="O355" s="79" t="s">
        <v>113</v>
      </c>
      <c r="P355" s="79" t="s">
        <v>145</v>
      </c>
      <c r="Q355" s="220" t="s">
        <v>2350</v>
      </c>
      <c r="R355" s="79" t="s">
        <v>76</v>
      </c>
      <c r="S355" s="79" t="s">
        <v>97</v>
      </c>
      <c r="T355" s="69"/>
      <c r="U355" s="79" t="s">
        <v>78</v>
      </c>
      <c r="V355" s="79" t="s">
        <v>98</v>
      </c>
      <c r="W355" s="79" t="s">
        <v>2583</v>
      </c>
      <c r="X355" s="79" t="s">
        <v>148</v>
      </c>
      <c r="Y355" s="79" t="s">
        <v>71</v>
      </c>
      <c r="Z355" s="79" t="s">
        <v>2521</v>
      </c>
      <c r="AA355" s="79" t="s">
        <v>82</v>
      </c>
      <c r="AB355" s="79" t="s">
        <v>2584</v>
      </c>
      <c r="AC355" s="79">
        <v>8.5222063396E10</v>
      </c>
      <c r="AD355" s="79" t="s">
        <v>2579</v>
      </c>
      <c r="AE355" s="59"/>
      <c r="AF355" s="79" t="s">
        <v>1268</v>
      </c>
      <c r="AG355" s="60"/>
      <c r="AH355" s="60"/>
      <c r="AI355" s="60"/>
      <c r="AJ355" s="60"/>
      <c r="AK355" s="60"/>
      <c r="AL355" s="60"/>
      <c r="AM355" s="60"/>
      <c r="AN355" s="60"/>
      <c r="AO355" s="60"/>
      <c r="AP355" s="60"/>
      <c r="AQ355" s="60"/>
      <c r="AR355" s="61"/>
    </row>
    <row r="356">
      <c r="A356" s="180">
        <v>20.0</v>
      </c>
      <c r="B356" s="79" t="s">
        <v>2585</v>
      </c>
      <c r="C356" s="79" t="s">
        <v>2586</v>
      </c>
      <c r="D356" s="59"/>
      <c r="E356" s="59"/>
      <c r="F356" s="79" t="s">
        <v>468</v>
      </c>
      <c r="G356" s="79" t="s">
        <v>131</v>
      </c>
      <c r="H356" s="79" t="s">
        <v>2587</v>
      </c>
      <c r="I356" s="96" t="s">
        <v>2587</v>
      </c>
      <c r="J356" s="79" t="s">
        <v>151</v>
      </c>
      <c r="K356" s="79" t="s">
        <v>110</v>
      </c>
      <c r="L356" s="79" t="s">
        <v>71</v>
      </c>
      <c r="M356" s="130" t="s">
        <v>2715</v>
      </c>
      <c r="N356" s="79" t="s">
        <v>26</v>
      </c>
      <c r="O356" s="79" t="s">
        <v>113</v>
      </c>
      <c r="P356" s="79" t="s">
        <v>74</v>
      </c>
      <c r="Q356" s="131" t="s">
        <v>2716</v>
      </c>
      <c r="R356" s="79" t="s">
        <v>76</v>
      </c>
      <c r="S356" s="79" t="s">
        <v>97</v>
      </c>
      <c r="T356" s="69"/>
      <c r="U356" s="79" t="s">
        <v>78</v>
      </c>
      <c r="V356" s="79" t="s">
        <v>79</v>
      </c>
      <c r="W356" s="79" t="s">
        <v>943</v>
      </c>
      <c r="X356" s="79" t="s">
        <v>80</v>
      </c>
      <c r="Y356" s="79" t="s">
        <v>80</v>
      </c>
      <c r="Z356" s="79" t="s">
        <v>2590</v>
      </c>
      <c r="AA356" s="79" t="s">
        <v>82</v>
      </c>
      <c r="AB356" s="79" t="s">
        <v>2591</v>
      </c>
      <c r="AC356" s="79">
        <v>8.5222063396E10</v>
      </c>
      <c r="AD356" s="79" t="s">
        <v>2579</v>
      </c>
      <c r="AE356" s="59"/>
      <c r="AF356" s="79" t="s">
        <v>1268</v>
      </c>
      <c r="AG356" s="60"/>
      <c r="AH356" s="60"/>
      <c r="AI356" s="60"/>
      <c r="AJ356" s="60"/>
      <c r="AK356" s="60"/>
      <c r="AL356" s="60"/>
      <c r="AM356" s="60"/>
      <c r="AN356" s="60"/>
      <c r="AO356" s="60"/>
      <c r="AP356" s="60"/>
      <c r="AQ356" s="60"/>
      <c r="AR356" s="61"/>
    </row>
    <row r="357">
      <c r="A357" s="180">
        <v>21.0</v>
      </c>
      <c r="B357" s="79" t="s">
        <v>2592</v>
      </c>
      <c r="C357" s="79" t="s">
        <v>2592</v>
      </c>
      <c r="D357" s="79" t="s">
        <v>2572</v>
      </c>
      <c r="E357" s="59"/>
      <c r="F357" s="79" t="s">
        <v>469</v>
      </c>
      <c r="G357" s="79" t="s">
        <v>131</v>
      </c>
      <c r="H357" s="79" t="s">
        <v>2593</v>
      </c>
      <c r="I357" s="96" t="s">
        <v>2593</v>
      </c>
      <c r="J357" s="79" t="s">
        <v>151</v>
      </c>
      <c r="K357" s="79" t="s">
        <v>110</v>
      </c>
      <c r="L357" s="79" t="s">
        <v>71</v>
      </c>
      <c r="M357" s="130" t="s">
        <v>2717</v>
      </c>
      <c r="N357" s="79" t="s">
        <v>82</v>
      </c>
      <c r="O357" s="79" t="s">
        <v>113</v>
      </c>
      <c r="P357" s="79" t="s">
        <v>74</v>
      </c>
      <c r="Q357" s="131" t="s">
        <v>2718</v>
      </c>
      <c r="R357" s="79" t="s">
        <v>76</v>
      </c>
      <c r="S357" s="79" t="s">
        <v>97</v>
      </c>
      <c r="T357" s="69"/>
      <c r="U357" s="79" t="s">
        <v>78</v>
      </c>
      <c r="V357" s="79" t="s">
        <v>98</v>
      </c>
      <c r="W357" s="79" t="s">
        <v>2595</v>
      </c>
      <c r="X357" s="79" t="s">
        <v>148</v>
      </c>
      <c r="Y357" s="79" t="s">
        <v>139</v>
      </c>
      <c r="Z357" s="79" t="s">
        <v>2590</v>
      </c>
      <c r="AA357" s="79" t="s">
        <v>211</v>
      </c>
      <c r="AB357" s="79" t="s">
        <v>2578</v>
      </c>
      <c r="AC357" s="79">
        <v>8.5222063396E10</v>
      </c>
      <c r="AD357" s="79" t="s">
        <v>2579</v>
      </c>
      <c r="AE357" s="59"/>
      <c r="AF357" s="79" t="s">
        <v>71</v>
      </c>
      <c r="AG357" s="60"/>
      <c r="AH357" s="60"/>
      <c r="AI357" s="60"/>
      <c r="AJ357" s="60"/>
      <c r="AK357" s="60"/>
      <c r="AL357" s="60"/>
      <c r="AM357" s="60"/>
      <c r="AN357" s="60"/>
      <c r="AO357" s="60"/>
      <c r="AP357" s="60"/>
      <c r="AQ357" s="60"/>
      <c r="AR357" s="61"/>
    </row>
    <row r="358">
      <c r="A358" s="180">
        <v>22.0</v>
      </c>
      <c r="B358" s="79" t="s">
        <v>2596</v>
      </c>
      <c r="C358" s="79" t="s">
        <v>2597</v>
      </c>
      <c r="D358" s="79" t="s">
        <v>2598</v>
      </c>
      <c r="E358" s="59"/>
      <c r="F358" s="79" t="s">
        <v>341</v>
      </c>
      <c r="G358" s="79" t="s">
        <v>131</v>
      </c>
      <c r="H358" s="79" t="s">
        <v>2597</v>
      </c>
      <c r="I358" s="79" t="s">
        <v>2597</v>
      </c>
      <c r="J358" s="79" t="s">
        <v>151</v>
      </c>
      <c r="K358" s="79" t="s">
        <v>70</v>
      </c>
      <c r="L358" s="79" t="s">
        <v>71</v>
      </c>
      <c r="M358" s="130" t="s">
        <v>1114</v>
      </c>
      <c r="N358" s="79" t="s">
        <v>73</v>
      </c>
      <c r="O358" s="79" t="s">
        <v>73</v>
      </c>
      <c r="P358" s="79" t="s">
        <v>74</v>
      </c>
      <c r="Q358" s="131" t="s">
        <v>2719</v>
      </c>
      <c r="R358" s="79" t="s">
        <v>76</v>
      </c>
      <c r="S358" s="79" t="s">
        <v>97</v>
      </c>
      <c r="T358" s="69"/>
      <c r="U358" s="79" t="s">
        <v>78</v>
      </c>
      <c r="V358" s="79" t="s">
        <v>98</v>
      </c>
      <c r="W358" s="69"/>
      <c r="X358" s="79" t="s">
        <v>148</v>
      </c>
      <c r="Y358" s="79" t="s">
        <v>139</v>
      </c>
      <c r="Z358" s="79" t="s">
        <v>2590</v>
      </c>
      <c r="AA358" s="79" t="s">
        <v>162</v>
      </c>
      <c r="AB358" s="79" t="s">
        <v>2584</v>
      </c>
      <c r="AC358" s="79">
        <v>8.5222063396E10</v>
      </c>
      <c r="AD358" s="79" t="s">
        <v>2579</v>
      </c>
      <c r="AE358" s="59"/>
      <c r="AF358" s="79" t="s">
        <v>1268</v>
      </c>
      <c r="AG358" s="60"/>
      <c r="AH358" s="60"/>
      <c r="AI358" s="60"/>
      <c r="AJ358" s="60"/>
      <c r="AK358" s="60"/>
      <c r="AL358" s="60"/>
      <c r="AM358" s="60"/>
      <c r="AN358" s="60"/>
      <c r="AO358" s="60"/>
      <c r="AP358" s="60"/>
      <c r="AQ358" s="60"/>
      <c r="AR358" s="61"/>
    </row>
    <row r="359">
      <c r="A359" s="180">
        <v>23.0</v>
      </c>
      <c r="B359" s="79" t="s">
        <v>2600</v>
      </c>
      <c r="C359" s="176" t="s">
        <v>2601</v>
      </c>
      <c r="D359" s="79" t="s">
        <v>2602</v>
      </c>
      <c r="E359" s="94"/>
      <c r="F359" s="79" t="s">
        <v>344</v>
      </c>
      <c r="G359" s="79" t="s">
        <v>123</v>
      </c>
      <c r="H359" s="79" t="s">
        <v>2603</v>
      </c>
      <c r="I359" s="96" t="s">
        <v>2604</v>
      </c>
      <c r="J359" s="79" t="s">
        <v>151</v>
      </c>
      <c r="K359" s="79" t="s">
        <v>110</v>
      </c>
      <c r="L359" s="79" t="s">
        <v>71</v>
      </c>
      <c r="M359" s="97" t="s">
        <v>2605</v>
      </c>
      <c r="N359" s="79" t="s">
        <v>73</v>
      </c>
      <c r="O359" s="79" t="s">
        <v>73</v>
      </c>
      <c r="P359" s="67" t="s">
        <v>95</v>
      </c>
      <c r="Q359" s="131" t="s">
        <v>2720</v>
      </c>
      <c r="R359" s="79" t="s">
        <v>76</v>
      </c>
      <c r="S359" s="79" t="s">
        <v>97</v>
      </c>
      <c r="T359" s="69"/>
      <c r="U359" s="79" t="s">
        <v>78</v>
      </c>
      <c r="V359" s="79" t="s">
        <v>98</v>
      </c>
      <c r="W359" s="79" t="s">
        <v>970</v>
      </c>
      <c r="X359" s="79" t="s">
        <v>80</v>
      </c>
      <c r="Y359" s="79" t="s">
        <v>139</v>
      </c>
      <c r="Z359" s="79" t="s">
        <v>2607</v>
      </c>
      <c r="AA359" s="79" t="s">
        <v>162</v>
      </c>
      <c r="AB359" s="79" t="s">
        <v>2608</v>
      </c>
      <c r="AC359" s="79">
        <v>8.5721324997E10</v>
      </c>
      <c r="AD359" s="69"/>
      <c r="AE359" s="59"/>
      <c r="AF359" s="79" t="s">
        <v>71</v>
      </c>
      <c r="AG359" s="60"/>
      <c r="AH359" s="60"/>
      <c r="AI359" s="60"/>
      <c r="AJ359" s="60"/>
      <c r="AK359" s="60"/>
      <c r="AL359" s="60"/>
      <c r="AM359" s="60"/>
      <c r="AN359" s="60"/>
      <c r="AO359" s="60"/>
      <c r="AP359" s="60"/>
      <c r="AQ359" s="60"/>
      <c r="AR359" s="61"/>
    </row>
    <row r="360">
      <c r="A360" s="180">
        <v>24.0</v>
      </c>
      <c r="B360" s="79" t="s">
        <v>2609</v>
      </c>
      <c r="C360" s="221" t="s">
        <v>2610</v>
      </c>
      <c r="D360" s="79" t="s">
        <v>2611</v>
      </c>
      <c r="E360" s="59"/>
      <c r="F360" s="79" t="s">
        <v>470</v>
      </c>
      <c r="G360" s="79" t="s">
        <v>123</v>
      </c>
      <c r="H360" s="79" t="s">
        <v>2612</v>
      </c>
      <c r="I360" s="222" t="s">
        <v>2613</v>
      </c>
      <c r="J360" s="79" t="s">
        <v>91</v>
      </c>
      <c r="K360" s="79" t="s">
        <v>110</v>
      </c>
      <c r="L360" s="79" t="s">
        <v>111</v>
      </c>
      <c r="M360" s="130" t="s">
        <v>2614</v>
      </c>
      <c r="N360" s="79" t="s">
        <v>26</v>
      </c>
      <c r="O360" s="79" t="s">
        <v>113</v>
      </c>
      <c r="P360" s="79" t="s">
        <v>95</v>
      </c>
      <c r="Q360" s="131" t="s">
        <v>2721</v>
      </c>
      <c r="R360" s="79" t="s">
        <v>76</v>
      </c>
      <c r="S360" s="79" t="s">
        <v>97</v>
      </c>
      <c r="T360" s="69"/>
      <c r="U360" s="79" t="s">
        <v>78</v>
      </c>
      <c r="V360" s="79" t="s">
        <v>98</v>
      </c>
      <c r="W360" s="79" t="s">
        <v>649</v>
      </c>
      <c r="X360" s="69"/>
      <c r="Y360" s="69"/>
      <c r="Z360" s="79" t="s">
        <v>2489</v>
      </c>
      <c r="AA360" s="79" t="s">
        <v>140</v>
      </c>
      <c r="AB360" s="79" t="s">
        <v>2616</v>
      </c>
      <c r="AC360" s="79">
        <v>8.8901612437E10</v>
      </c>
      <c r="AD360" s="79" t="s">
        <v>2617</v>
      </c>
      <c r="AE360" s="59"/>
      <c r="AF360" s="79" t="s">
        <v>111</v>
      </c>
      <c r="AG360" s="60"/>
      <c r="AH360" s="60"/>
      <c r="AI360" s="60"/>
      <c r="AJ360" s="60"/>
      <c r="AK360" s="60"/>
      <c r="AL360" s="60"/>
      <c r="AM360" s="60"/>
      <c r="AN360" s="60"/>
      <c r="AO360" s="60"/>
      <c r="AP360" s="60"/>
      <c r="AQ360" s="60"/>
      <c r="AR360" s="61"/>
    </row>
    <row r="361">
      <c r="A361" s="180">
        <v>25.0</v>
      </c>
      <c r="B361" s="79" t="s">
        <v>2618</v>
      </c>
      <c r="C361" s="79" t="s">
        <v>2619</v>
      </c>
      <c r="D361" s="79" t="s">
        <v>2620</v>
      </c>
      <c r="E361" s="59"/>
      <c r="F361" s="79" t="s">
        <v>452</v>
      </c>
      <c r="G361" s="79" t="s">
        <v>123</v>
      </c>
      <c r="H361" s="79" t="s">
        <v>2621</v>
      </c>
      <c r="I361" s="79" t="s">
        <v>2622</v>
      </c>
      <c r="J361" s="79" t="s">
        <v>91</v>
      </c>
      <c r="K361" s="79" t="s">
        <v>110</v>
      </c>
      <c r="L361" s="79" t="s">
        <v>152</v>
      </c>
      <c r="M361" s="130" t="s">
        <v>2623</v>
      </c>
      <c r="N361" s="79" t="s">
        <v>26</v>
      </c>
      <c r="O361" s="79" t="s">
        <v>113</v>
      </c>
      <c r="P361" s="79" t="s">
        <v>95</v>
      </c>
      <c r="Q361" s="131" t="s">
        <v>2722</v>
      </c>
      <c r="R361" s="79" t="s">
        <v>76</v>
      </c>
      <c r="S361" s="79" t="s">
        <v>97</v>
      </c>
      <c r="T361" s="69"/>
      <c r="U361" s="79" t="s">
        <v>78</v>
      </c>
      <c r="V361" s="79" t="s">
        <v>98</v>
      </c>
      <c r="W361" s="79" t="s">
        <v>2625</v>
      </c>
      <c r="X361" s="69"/>
      <c r="Y361" s="69"/>
      <c r="Z361" s="79" t="s">
        <v>2489</v>
      </c>
      <c r="AA361" s="79" t="s">
        <v>205</v>
      </c>
      <c r="AB361" s="79" t="s">
        <v>2616</v>
      </c>
      <c r="AC361" s="79">
        <v>8.8901612437E10</v>
      </c>
      <c r="AD361" s="79" t="s">
        <v>2617</v>
      </c>
      <c r="AE361" s="59"/>
      <c r="AF361" s="79" t="s">
        <v>152</v>
      </c>
      <c r="AG361" s="60"/>
      <c r="AH361" s="60"/>
      <c r="AI361" s="60"/>
      <c r="AJ361" s="60"/>
      <c r="AK361" s="60"/>
      <c r="AL361" s="60"/>
      <c r="AM361" s="60"/>
      <c r="AN361" s="60"/>
      <c r="AO361" s="60"/>
      <c r="AP361" s="60"/>
      <c r="AQ361" s="60"/>
      <c r="AR361" s="61"/>
    </row>
    <row r="362">
      <c r="A362" s="180">
        <v>26.0</v>
      </c>
      <c r="B362" s="79" t="s">
        <v>2626</v>
      </c>
      <c r="C362" s="96" t="s">
        <v>2627</v>
      </c>
      <c r="D362" s="79" t="s">
        <v>2628</v>
      </c>
      <c r="E362" s="59"/>
      <c r="F362" s="79" t="s">
        <v>165</v>
      </c>
      <c r="G362" s="79" t="s">
        <v>66</v>
      </c>
      <c r="H362" s="79" t="s">
        <v>2629</v>
      </c>
      <c r="I362" s="96" t="s">
        <v>2630</v>
      </c>
      <c r="J362" s="79" t="s">
        <v>91</v>
      </c>
      <c r="K362" s="79" t="s">
        <v>70</v>
      </c>
      <c r="L362" s="79" t="s">
        <v>152</v>
      </c>
      <c r="M362" s="130" t="s">
        <v>696</v>
      </c>
      <c r="N362" s="79" t="s">
        <v>26</v>
      </c>
      <c r="O362" s="79" t="s">
        <v>113</v>
      </c>
      <c r="P362" s="79" t="s">
        <v>95</v>
      </c>
      <c r="Q362" s="131" t="s">
        <v>2723</v>
      </c>
      <c r="R362" s="79" t="s">
        <v>76</v>
      </c>
      <c r="S362" s="79" t="s">
        <v>97</v>
      </c>
      <c r="T362" s="69"/>
      <c r="U362" s="79" t="s">
        <v>78</v>
      </c>
      <c r="V362" s="79" t="s">
        <v>79</v>
      </c>
      <c r="W362" s="79" t="s">
        <v>80</v>
      </c>
      <c r="X362" s="79" t="s">
        <v>80</v>
      </c>
      <c r="Y362" s="79" t="s">
        <v>80</v>
      </c>
      <c r="Z362" s="79" t="s">
        <v>2489</v>
      </c>
      <c r="AA362" s="79" t="s">
        <v>140</v>
      </c>
      <c r="AB362" s="79" t="s">
        <v>2632</v>
      </c>
      <c r="AC362" s="79">
        <v>8.2118454036E10</v>
      </c>
      <c r="AD362" s="79" t="s">
        <v>2633</v>
      </c>
      <c r="AE362" s="59"/>
      <c r="AF362" s="79" t="s">
        <v>1268</v>
      </c>
      <c r="AG362" s="60"/>
      <c r="AH362" s="60"/>
      <c r="AI362" s="60"/>
      <c r="AJ362" s="60"/>
      <c r="AK362" s="60"/>
      <c r="AL362" s="60"/>
      <c r="AM362" s="60"/>
      <c r="AN362" s="60"/>
      <c r="AO362" s="60"/>
      <c r="AP362" s="60"/>
      <c r="AQ362" s="60"/>
      <c r="AR362" s="61"/>
    </row>
    <row r="363">
      <c r="A363" s="180">
        <v>27.0</v>
      </c>
      <c r="B363" s="79" t="s">
        <v>2634</v>
      </c>
      <c r="C363" s="96" t="s">
        <v>2635</v>
      </c>
      <c r="D363" s="79" t="s">
        <v>2628</v>
      </c>
      <c r="E363" s="59"/>
      <c r="F363" s="79" t="s">
        <v>165</v>
      </c>
      <c r="G363" s="79" t="s">
        <v>123</v>
      </c>
      <c r="H363" s="79" t="s">
        <v>2636</v>
      </c>
      <c r="I363" s="79" t="s">
        <v>2637</v>
      </c>
      <c r="J363" s="79" t="s">
        <v>91</v>
      </c>
      <c r="K363" s="79" t="s">
        <v>110</v>
      </c>
      <c r="L363" s="79" t="s">
        <v>101</v>
      </c>
      <c r="M363" s="130" t="s">
        <v>2638</v>
      </c>
      <c r="N363" s="79" t="s">
        <v>73</v>
      </c>
      <c r="O363" s="79" t="s">
        <v>73</v>
      </c>
      <c r="P363" s="79" t="s">
        <v>95</v>
      </c>
      <c r="Q363" s="131" t="s">
        <v>2724</v>
      </c>
      <c r="R363" s="79" t="s">
        <v>76</v>
      </c>
      <c r="S363" s="79" t="s">
        <v>97</v>
      </c>
      <c r="T363" s="69"/>
      <c r="U363" s="79" t="s">
        <v>78</v>
      </c>
      <c r="V363" s="79" t="s">
        <v>79</v>
      </c>
      <c r="W363" s="79" t="s">
        <v>80</v>
      </c>
      <c r="X363" s="79" t="s">
        <v>80</v>
      </c>
      <c r="Y363" s="79" t="s">
        <v>80</v>
      </c>
      <c r="Z363" s="79" t="s">
        <v>2489</v>
      </c>
      <c r="AA363" s="79" t="s">
        <v>162</v>
      </c>
      <c r="AB363" s="79" t="s">
        <v>2632</v>
      </c>
      <c r="AC363" s="79">
        <v>8.2118454036E10</v>
      </c>
      <c r="AD363" s="79" t="s">
        <v>2633</v>
      </c>
      <c r="AE363" s="59"/>
      <c r="AF363" s="79" t="s">
        <v>566</v>
      </c>
      <c r="AG363" s="60"/>
      <c r="AH363" s="60"/>
      <c r="AI363" s="60"/>
      <c r="AJ363" s="60"/>
      <c r="AK363" s="60"/>
      <c r="AL363" s="60"/>
      <c r="AM363" s="60"/>
      <c r="AN363" s="60"/>
      <c r="AO363" s="60"/>
      <c r="AP363" s="60"/>
      <c r="AQ363" s="60"/>
      <c r="AR363" s="61"/>
    </row>
    <row r="364">
      <c r="A364" s="180">
        <v>28.0</v>
      </c>
      <c r="B364" s="79" t="s">
        <v>61</v>
      </c>
      <c r="C364" s="96" t="s">
        <v>2640</v>
      </c>
      <c r="D364" s="79" t="s">
        <v>2641</v>
      </c>
      <c r="E364" s="59"/>
      <c r="F364" s="79" t="s">
        <v>165</v>
      </c>
      <c r="G364" s="79" t="s">
        <v>66</v>
      </c>
      <c r="H364" s="79" t="s">
        <v>2642</v>
      </c>
      <c r="I364" s="96" t="s">
        <v>2643</v>
      </c>
      <c r="J364" s="79" t="s">
        <v>151</v>
      </c>
      <c r="K364" s="79" t="s">
        <v>70</v>
      </c>
      <c r="L364" s="79" t="s">
        <v>101</v>
      </c>
      <c r="M364" s="130" t="s">
        <v>72</v>
      </c>
      <c r="N364" s="79" t="s">
        <v>73</v>
      </c>
      <c r="O364" s="79" t="s">
        <v>73</v>
      </c>
      <c r="P364" s="79" t="s">
        <v>95</v>
      </c>
      <c r="Q364" s="131" t="s">
        <v>2725</v>
      </c>
      <c r="R364" s="79" t="s">
        <v>76</v>
      </c>
      <c r="S364" s="79" t="s">
        <v>97</v>
      </c>
      <c r="T364" s="69"/>
      <c r="U364" s="79" t="s">
        <v>78</v>
      </c>
      <c r="V364" s="79" t="s">
        <v>79</v>
      </c>
      <c r="W364" s="79" t="s">
        <v>80</v>
      </c>
      <c r="X364" s="79" t="s">
        <v>80</v>
      </c>
      <c r="Y364" s="79" t="s">
        <v>80</v>
      </c>
      <c r="Z364" s="79" t="s">
        <v>2489</v>
      </c>
      <c r="AA364" s="79" t="s">
        <v>82</v>
      </c>
      <c r="AB364" s="79" t="s">
        <v>2632</v>
      </c>
      <c r="AC364" s="79">
        <v>8.2118454036E10</v>
      </c>
      <c r="AD364" s="79" t="s">
        <v>2633</v>
      </c>
      <c r="AE364" s="59"/>
      <c r="AF364" s="79" t="s">
        <v>566</v>
      </c>
      <c r="AG364" s="60"/>
      <c r="AH364" s="60"/>
      <c r="AI364" s="60"/>
      <c r="AJ364" s="60"/>
      <c r="AK364" s="60"/>
      <c r="AL364" s="60"/>
      <c r="AM364" s="60"/>
      <c r="AN364" s="60"/>
      <c r="AO364" s="60"/>
      <c r="AP364" s="60"/>
      <c r="AQ364" s="60"/>
      <c r="AR364" s="61"/>
    </row>
    <row r="365">
      <c r="A365" s="180">
        <v>29.0</v>
      </c>
      <c r="B365" s="79" t="s">
        <v>2645</v>
      </c>
      <c r="C365" s="96" t="s">
        <v>2646</v>
      </c>
      <c r="D365" s="79" t="s">
        <v>2647</v>
      </c>
      <c r="E365" s="59"/>
      <c r="F365" s="79" t="s">
        <v>165</v>
      </c>
      <c r="G365" s="79" t="s">
        <v>66</v>
      </c>
      <c r="H365" s="79" t="s">
        <v>2648</v>
      </c>
      <c r="I365" s="96" t="s">
        <v>2649</v>
      </c>
      <c r="J365" s="79" t="s">
        <v>91</v>
      </c>
      <c r="K365" s="79" t="s">
        <v>110</v>
      </c>
      <c r="L365" s="79" t="s">
        <v>101</v>
      </c>
      <c r="M365" s="130" t="s">
        <v>527</v>
      </c>
      <c r="N365" s="79" t="s">
        <v>82</v>
      </c>
      <c r="O365" s="79" t="s">
        <v>113</v>
      </c>
      <c r="P365" s="79" t="s">
        <v>95</v>
      </c>
      <c r="Q365" s="131" t="s">
        <v>2726</v>
      </c>
      <c r="R365" s="79" t="s">
        <v>76</v>
      </c>
      <c r="S365" s="79" t="s">
        <v>97</v>
      </c>
      <c r="T365" s="69"/>
      <c r="U365" s="79" t="s">
        <v>78</v>
      </c>
      <c r="V365" s="79" t="s">
        <v>79</v>
      </c>
      <c r="W365" s="79" t="s">
        <v>80</v>
      </c>
      <c r="X365" s="79" t="s">
        <v>80</v>
      </c>
      <c r="Y365" s="79" t="s">
        <v>80</v>
      </c>
      <c r="Z365" s="79" t="s">
        <v>2489</v>
      </c>
      <c r="AA365" s="79" t="s">
        <v>82</v>
      </c>
      <c r="AB365" s="79" t="s">
        <v>2632</v>
      </c>
      <c r="AC365" s="79">
        <v>8.2118454036E10</v>
      </c>
      <c r="AD365" s="79" t="s">
        <v>2633</v>
      </c>
      <c r="AE365" s="59"/>
      <c r="AF365" s="79" t="s">
        <v>566</v>
      </c>
      <c r="AG365" s="60"/>
      <c r="AH365" s="60"/>
      <c r="AI365" s="60"/>
      <c r="AJ365" s="60"/>
      <c r="AK365" s="60"/>
      <c r="AL365" s="60"/>
      <c r="AM365" s="60"/>
      <c r="AN365" s="60"/>
      <c r="AO365" s="60"/>
      <c r="AP365" s="60"/>
      <c r="AQ365" s="60"/>
      <c r="AR365" s="61"/>
    </row>
    <row r="366">
      <c r="A366" s="180">
        <v>30.0</v>
      </c>
      <c r="B366" s="79" t="s">
        <v>2651</v>
      </c>
      <c r="C366" s="96" t="s">
        <v>2652</v>
      </c>
      <c r="D366" s="79" t="s">
        <v>2653</v>
      </c>
      <c r="E366" s="59"/>
      <c r="F366" s="79" t="s">
        <v>165</v>
      </c>
      <c r="G366" s="79" t="s">
        <v>123</v>
      </c>
      <c r="H366" s="79" t="s">
        <v>2654</v>
      </c>
      <c r="I366" s="96" t="s">
        <v>2655</v>
      </c>
      <c r="J366" s="79" t="s">
        <v>91</v>
      </c>
      <c r="K366" s="79" t="s">
        <v>110</v>
      </c>
      <c r="L366" s="79" t="s">
        <v>101</v>
      </c>
      <c r="M366" s="130" t="s">
        <v>2108</v>
      </c>
      <c r="N366" s="79" t="s">
        <v>26</v>
      </c>
      <c r="O366" s="79" t="s">
        <v>113</v>
      </c>
      <c r="P366" s="79" t="s">
        <v>95</v>
      </c>
      <c r="Q366" s="131" t="s">
        <v>2727</v>
      </c>
      <c r="R366" s="79" t="s">
        <v>76</v>
      </c>
      <c r="S366" s="79" t="s">
        <v>97</v>
      </c>
      <c r="T366" s="69"/>
      <c r="U366" s="79" t="s">
        <v>78</v>
      </c>
      <c r="V366" s="79" t="s">
        <v>79</v>
      </c>
      <c r="W366" s="79" t="s">
        <v>80</v>
      </c>
      <c r="X366" s="79" t="s">
        <v>80</v>
      </c>
      <c r="Y366" s="79" t="s">
        <v>80</v>
      </c>
      <c r="Z366" s="79" t="s">
        <v>2489</v>
      </c>
      <c r="AA366" s="79" t="s">
        <v>205</v>
      </c>
      <c r="AB366" s="79" t="s">
        <v>2632</v>
      </c>
      <c r="AC366" s="79">
        <v>8.2118454036E10</v>
      </c>
      <c r="AD366" s="79" t="s">
        <v>2633</v>
      </c>
      <c r="AE366" s="59"/>
      <c r="AF366" s="79" t="s">
        <v>566</v>
      </c>
      <c r="AG366" s="60"/>
      <c r="AH366" s="60"/>
      <c r="AI366" s="60"/>
      <c r="AJ366" s="60"/>
      <c r="AK366" s="60"/>
      <c r="AL366" s="60"/>
      <c r="AM366" s="60"/>
      <c r="AN366" s="60"/>
      <c r="AO366" s="60"/>
      <c r="AP366" s="60"/>
      <c r="AQ366" s="60"/>
      <c r="AR366" s="61"/>
    </row>
    <row r="367">
      <c r="A367" s="180">
        <v>31.0</v>
      </c>
      <c r="B367" s="79" t="s">
        <v>2657</v>
      </c>
      <c r="C367" s="96" t="s">
        <v>2658</v>
      </c>
      <c r="D367" s="96" t="s">
        <v>2659</v>
      </c>
      <c r="E367" s="59"/>
      <c r="F367" s="79" t="s">
        <v>344</v>
      </c>
      <c r="G367" s="79" t="s">
        <v>123</v>
      </c>
      <c r="H367" s="96" t="s">
        <v>2660</v>
      </c>
      <c r="I367" s="96" t="s">
        <v>2661</v>
      </c>
      <c r="J367" s="79" t="s">
        <v>151</v>
      </c>
      <c r="K367" s="79" t="s">
        <v>110</v>
      </c>
      <c r="L367" s="79" t="s">
        <v>152</v>
      </c>
      <c r="M367" s="130" t="s">
        <v>2662</v>
      </c>
      <c r="N367" s="79" t="s">
        <v>73</v>
      </c>
      <c r="O367" s="79" t="s">
        <v>73</v>
      </c>
      <c r="P367" s="79" t="s">
        <v>95</v>
      </c>
      <c r="Q367" s="223" t="s">
        <v>2728</v>
      </c>
      <c r="R367" s="79" t="s">
        <v>76</v>
      </c>
      <c r="S367" s="79" t="s">
        <v>97</v>
      </c>
      <c r="T367" s="69"/>
      <c r="U367" s="79" t="s">
        <v>78</v>
      </c>
      <c r="V367" s="69"/>
      <c r="W367" s="69"/>
      <c r="X367" s="69"/>
      <c r="Y367" s="69"/>
      <c r="Z367" s="79" t="s">
        <v>2664</v>
      </c>
      <c r="AA367" s="79" t="s">
        <v>162</v>
      </c>
      <c r="AB367" s="131" t="s">
        <v>2729</v>
      </c>
      <c r="AC367" s="79">
        <v>8.812229285E9</v>
      </c>
      <c r="AD367" s="79" t="s">
        <v>2666</v>
      </c>
      <c r="AE367" s="59"/>
      <c r="AF367" s="79" t="s">
        <v>152</v>
      </c>
      <c r="AG367" s="60"/>
      <c r="AH367" s="60"/>
      <c r="AI367" s="60"/>
      <c r="AJ367" s="60"/>
      <c r="AK367" s="60"/>
      <c r="AL367" s="60"/>
      <c r="AM367" s="60"/>
      <c r="AN367" s="60"/>
      <c r="AO367" s="60"/>
      <c r="AP367" s="60"/>
      <c r="AQ367" s="60"/>
      <c r="AR367" s="61"/>
    </row>
    <row r="368">
      <c r="A368" s="180">
        <v>32.0</v>
      </c>
      <c r="B368" s="79" t="s">
        <v>2667</v>
      </c>
      <c r="C368" s="67" t="s">
        <v>2668</v>
      </c>
      <c r="D368" s="96" t="s">
        <v>2669</v>
      </c>
      <c r="E368" s="59"/>
      <c r="F368" s="79" t="s">
        <v>344</v>
      </c>
      <c r="G368" s="79" t="s">
        <v>123</v>
      </c>
      <c r="H368" s="96" t="s">
        <v>2670</v>
      </c>
      <c r="I368" s="96" t="s">
        <v>2671</v>
      </c>
      <c r="J368" s="79" t="s">
        <v>151</v>
      </c>
      <c r="K368" s="79" t="s">
        <v>70</v>
      </c>
      <c r="L368" s="79" t="s">
        <v>101</v>
      </c>
      <c r="M368" s="130" t="s">
        <v>2672</v>
      </c>
      <c r="N368" s="79" t="s">
        <v>73</v>
      </c>
      <c r="O368" s="79" t="s">
        <v>73</v>
      </c>
      <c r="P368" s="79" t="s">
        <v>95</v>
      </c>
      <c r="Q368" s="223" t="s">
        <v>2730</v>
      </c>
      <c r="R368" s="79" t="s">
        <v>76</v>
      </c>
      <c r="S368" s="79" t="s">
        <v>97</v>
      </c>
      <c r="T368" s="69"/>
      <c r="U368" s="79" t="s">
        <v>78</v>
      </c>
      <c r="V368" s="79" t="s">
        <v>98</v>
      </c>
      <c r="W368" s="79" t="s">
        <v>2674</v>
      </c>
      <c r="X368" s="79" t="s">
        <v>155</v>
      </c>
      <c r="Y368" s="79" t="s">
        <v>139</v>
      </c>
      <c r="Z368" s="79" t="s">
        <v>2675</v>
      </c>
      <c r="AA368" s="79" t="s">
        <v>162</v>
      </c>
      <c r="AB368" s="131" t="s">
        <v>2731</v>
      </c>
      <c r="AC368" s="79">
        <v>8.812229285E9</v>
      </c>
      <c r="AD368" s="131" t="s">
        <v>2732</v>
      </c>
      <c r="AE368" s="59"/>
      <c r="AF368" s="79" t="s">
        <v>566</v>
      </c>
      <c r="AG368" s="60"/>
      <c r="AH368" s="60"/>
      <c r="AI368" s="60"/>
      <c r="AJ368" s="60"/>
      <c r="AK368" s="60"/>
      <c r="AL368" s="60"/>
      <c r="AM368" s="60"/>
      <c r="AN368" s="60"/>
      <c r="AO368" s="60"/>
      <c r="AP368" s="60"/>
      <c r="AQ368" s="60"/>
      <c r="AR368" s="61"/>
    </row>
    <row r="369">
      <c r="A369" s="180">
        <v>33.0</v>
      </c>
      <c r="B369" s="96" t="s">
        <v>2678</v>
      </c>
      <c r="C369" s="224" t="s">
        <v>2679</v>
      </c>
      <c r="D369" s="225" t="s">
        <v>2680</v>
      </c>
      <c r="E369" s="59"/>
      <c r="F369" s="67" t="s">
        <v>344</v>
      </c>
      <c r="G369" s="79" t="s">
        <v>123</v>
      </c>
      <c r="H369" s="79" t="s">
        <v>2681</v>
      </c>
      <c r="I369" s="79" t="s">
        <v>2681</v>
      </c>
      <c r="J369" s="79" t="s">
        <v>69</v>
      </c>
      <c r="K369" s="79" t="s">
        <v>110</v>
      </c>
      <c r="L369" s="79" t="s">
        <v>71</v>
      </c>
      <c r="M369" s="130" t="s">
        <v>2682</v>
      </c>
      <c r="N369" s="79" t="s">
        <v>73</v>
      </c>
      <c r="O369" s="79" t="s">
        <v>73</v>
      </c>
      <c r="P369" s="79" t="s">
        <v>95</v>
      </c>
      <c r="Q369" s="131" t="s">
        <v>2733</v>
      </c>
      <c r="R369" s="79" t="s">
        <v>76</v>
      </c>
      <c r="S369" s="79" t="s">
        <v>97</v>
      </c>
      <c r="T369" s="79">
        <v>2018.0</v>
      </c>
      <c r="U369" s="79" t="s">
        <v>78</v>
      </c>
      <c r="V369" s="67" t="s">
        <v>79</v>
      </c>
      <c r="W369" s="79" t="s">
        <v>2684</v>
      </c>
      <c r="X369" s="67" t="s">
        <v>80</v>
      </c>
      <c r="Y369" s="79" t="s">
        <v>80</v>
      </c>
      <c r="Z369" s="68" t="s">
        <v>2675</v>
      </c>
      <c r="AA369" s="79" t="s">
        <v>162</v>
      </c>
      <c r="AB369" s="79" t="s">
        <v>2608</v>
      </c>
      <c r="AC369" s="79">
        <v>8.5721324997E10</v>
      </c>
      <c r="AD369" s="69"/>
      <c r="AE369" s="59"/>
      <c r="AF369" s="68" t="s">
        <v>566</v>
      </c>
      <c r="AG369" s="60"/>
      <c r="AH369" s="60"/>
      <c r="AI369" s="60"/>
      <c r="AJ369" s="60"/>
      <c r="AK369" s="60"/>
      <c r="AL369" s="60"/>
      <c r="AM369" s="60"/>
      <c r="AN369" s="60"/>
      <c r="AO369" s="60"/>
      <c r="AP369" s="60"/>
      <c r="AQ369" s="60"/>
      <c r="AR369" s="61"/>
    </row>
    <row r="370">
      <c r="A370" s="180">
        <v>35.0</v>
      </c>
      <c r="B370" s="96" t="s">
        <v>2685</v>
      </c>
      <c r="C370" s="226" t="s">
        <v>2686</v>
      </c>
      <c r="D370" s="225" t="s">
        <v>2687</v>
      </c>
      <c r="E370" s="59"/>
      <c r="F370" s="69"/>
      <c r="G370" s="67" t="s">
        <v>123</v>
      </c>
      <c r="H370" s="226" t="s">
        <v>2688</v>
      </c>
      <c r="I370" s="67" t="s">
        <v>2688</v>
      </c>
      <c r="J370" s="79" t="s">
        <v>69</v>
      </c>
      <c r="K370" s="79" t="s">
        <v>110</v>
      </c>
      <c r="L370" s="79" t="s">
        <v>111</v>
      </c>
      <c r="M370" s="130" t="s">
        <v>2176</v>
      </c>
      <c r="N370" s="69"/>
      <c r="O370" s="79" t="s">
        <v>113</v>
      </c>
      <c r="P370" s="79" t="s">
        <v>95</v>
      </c>
      <c r="Q370" s="131" t="s">
        <v>2734</v>
      </c>
      <c r="R370" s="79" t="s">
        <v>76</v>
      </c>
      <c r="S370" s="79" t="s">
        <v>77</v>
      </c>
      <c r="T370" s="69"/>
      <c r="U370" s="79" t="s">
        <v>78</v>
      </c>
      <c r="V370" s="67" t="s">
        <v>79</v>
      </c>
      <c r="W370" s="67" t="s">
        <v>2520</v>
      </c>
      <c r="X370" s="67" t="s">
        <v>80</v>
      </c>
      <c r="Y370" s="79" t="s">
        <v>111</v>
      </c>
      <c r="Z370" s="67" t="s">
        <v>2690</v>
      </c>
      <c r="AA370" s="79" t="s">
        <v>207</v>
      </c>
      <c r="AB370" s="79" t="s">
        <v>2608</v>
      </c>
      <c r="AC370" s="79">
        <v>8.5721324997E10</v>
      </c>
      <c r="AD370" s="69"/>
      <c r="AE370" s="59"/>
      <c r="AF370" s="64" t="s">
        <v>566</v>
      </c>
      <c r="AG370" s="60"/>
      <c r="AH370" s="60"/>
      <c r="AI370" s="60"/>
      <c r="AJ370" s="60"/>
      <c r="AK370" s="60"/>
      <c r="AL370" s="60"/>
      <c r="AM370" s="60"/>
      <c r="AN370" s="60"/>
      <c r="AO370" s="60"/>
      <c r="AP370" s="60"/>
      <c r="AQ370" s="60"/>
      <c r="AR370" s="61"/>
    </row>
    <row r="371">
      <c r="A371" s="71" t="s">
        <v>2735</v>
      </c>
      <c r="B371" s="57"/>
      <c r="C371" s="57"/>
      <c r="D371" s="58"/>
      <c r="E371" s="58"/>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94"/>
      <c r="AF371" s="94"/>
      <c r="AG371" s="60"/>
      <c r="AH371" s="60"/>
      <c r="AI371" s="60"/>
      <c r="AJ371" s="60"/>
      <c r="AK371" s="60"/>
      <c r="AL371" s="60"/>
      <c r="AM371" s="60"/>
      <c r="AN371" s="60"/>
      <c r="AO371" s="60"/>
      <c r="AP371" s="60"/>
      <c r="AQ371" s="60"/>
      <c r="AR371" s="61"/>
    </row>
    <row r="372">
      <c r="A372" s="227">
        <v>1.0</v>
      </c>
      <c r="B372" s="228" t="s">
        <v>2411</v>
      </c>
      <c r="C372" s="228" t="s">
        <v>2412</v>
      </c>
      <c r="D372" s="229" t="s">
        <v>2413</v>
      </c>
      <c r="E372" s="230" t="s">
        <v>2736</v>
      </c>
      <c r="F372" s="229" t="s">
        <v>344</v>
      </c>
      <c r="G372" s="229" t="s">
        <v>66</v>
      </c>
      <c r="H372" s="229" t="s">
        <v>2415</v>
      </c>
      <c r="I372" s="228" t="s">
        <v>2416</v>
      </c>
      <c r="J372" s="229" t="s">
        <v>158</v>
      </c>
      <c r="K372" s="229" t="s">
        <v>70</v>
      </c>
      <c r="L372" s="229" t="s">
        <v>101</v>
      </c>
      <c r="M372" s="231" t="s">
        <v>2737</v>
      </c>
      <c r="N372" s="229" t="s">
        <v>93</v>
      </c>
      <c r="O372" s="229" t="s">
        <v>113</v>
      </c>
      <c r="P372" s="229" t="s">
        <v>153</v>
      </c>
      <c r="Q372" s="229" t="s">
        <v>2418</v>
      </c>
      <c r="R372" s="229" t="s">
        <v>146</v>
      </c>
      <c r="S372" s="229" t="s">
        <v>77</v>
      </c>
      <c r="T372" s="229">
        <v>2023.0</v>
      </c>
      <c r="U372" s="229" t="s">
        <v>78</v>
      </c>
      <c r="V372" s="229" t="s">
        <v>98</v>
      </c>
      <c r="W372" s="229" t="s">
        <v>2419</v>
      </c>
      <c r="X372" s="229" t="s">
        <v>148</v>
      </c>
      <c r="Y372" s="229" t="s">
        <v>139</v>
      </c>
      <c r="Z372" s="229" t="s">
        <v>2420</v>
      </c>
      <c r="AA372" s="229" t="s">
        <v>162</v>
      </c>
      <c r="AB372" s="229" t="s">
        <v>2738</v>
      </c>
      <c r="AC372" s="229">
        <v>8.1910001329E10</v>
      </c>
      <c r="AD372" s="229" t="s">
        <v>2739</v>
      </c>
      <c r="AE372" s="229">
        <v>8.0</v>
      </c>
      <c r="AF372" s="229" t="s">
        <v>1268</v>
      </c>
      <c r="AG372" s="60"/>
      <c r="AH372" s="61"/>
      <c r="AI372" s="61"/>
      <c r="AJ372" s="61"/>
      <c r="AK372" s="61"/>
      <c r="AL372" s="61"/>
      <c r="AM372" s="61"/>
      <c r="AN372" s="61"/>
      <c r="AO372" s="61"/>
      <c r="AP372" s="61"/>
      <c r="AQ372" s="61"/>
      <c r="AR372" s="61"/>
    </row>
    <row r="373">
      <c r="A373" s="227">
        <v>2.0</v>
      </c>
      <c r="B373" s="228" t="s">
        <v>2423</v>
      </c>
      <c r="C373" s="232" t="s">
        <v>2424</v>
      </c>
      <c r="D373" s="229" t="s">
        <v>2425</v>
      </c>
      <c r="E373" s="230" t="s">
        <v>2740</v>
      </c>
      <c r="F373" s="229" t="s">
        <v>222</v>
      </c>
      <c r="G373" s="229" t="s">
        <v>138</v>
      </c>
      <c r="H373" s="229" t="s">
        <v>2427</v>
      </c>
      <c r="I373" s="229" t="s">
        <v>2427</v>
      </c>
      <c r="J373" s="229" t="s">
        <v>151</v>
      </c>
      <c r="K373" s="229" t="s">
        <v>70</v>
      </c>
      <c r="L373" s="229" t="s">
        <v>152</v>
      </c>
      <c r="M373" s="231" t="s">
        <v>2428</v>
      </c>
      <c r="N373" s="229" t="s">
        <v>73</v>
      </c>
      <c r="O373" s="229" t="s">
        <v>73</v>
      </c>
      <c r="P373" s="229" t="s">
        <v>95</v>
      </c>
      <c r="Q373" s="233" t="s">
        <v>2741</v>
      </c>
      <c r="R373" s="229" t="s">
        <v>76</v>
      </c>
      <c r="S373" s="229" t="s">
        <v>97</v>
      </c>
      <c r="T373" s="229">
        <v>2016.0</v>
      </c>
      <c r="U373" s="229" t="s">
        <v>78</v>
      </c>
      <c r="V373" s="229" t="s">
        <v>98</v>
      </c>
      <c r="W373" s="229" t="s">
        <v>2430</v>
      </c>
      <c r="X373" s="229" t="s">
        <v>155</v>
      </c>
      <c r="Y373" s="229" t="s">
        <v>139</v>
      </c>
      <c r="Z373" s="229" t="s">
        <v>2431</v>
      </c>
      <c r="AA373" s="229" t="s">
        <v>174</v>
      </c>
      <c r="AB373" s="229" t="s">
        <v>2742</v>
      </c>
      <c r="AC373" s="229">
        <v>8.1287746069E10</v>
      </c>
      <c r="AD373" s="229" t="s">
        <v>2743</v>
      </c>
      <c r="AE373" s="229">
        <v>41.0</v>
      </c>
      <c r="AF373" s="229" t="s">
        <v>71</v>
      </c>
      <c r="AG373" s="60"/>
      <c r="AH373" s="61"/>
      <c r="AI373" s="61"/>
      <c r="AJ373" s="61"/>
      <c r="AK373" s="61"/>
      <c r="AL373" s="61"/>
      <c r="AM373" s="61"/>
      <c r="AN373" s="61"/>
      <c r="AO373" s="61"/>
      <c r="AP373" s="61"/>
      <c r="AQ373" s="61"/>
      <c r="AR373" s="61"/>
    </row>
    <row r="374">
      <c r="A374" s="227">
        <v>3.0</v>
      </c>
      <c r="B374" s="228" t="s">
        <v>2434</v>
      </c>
      <c r="C374" s="228" t="s">
        <v>2435</v>
      </c>
      <c r="D374" s="59"/>
      <c r="E374" s="228" t="s">
        <v>563</v>
      </c>
      <c r="F374" s="229" t="s">
        <v>421</v>
      </c>
      <c r="G374" s="229" t="s">
        <v>138</v>
      </c>
      <c r="H374" s="229" t="s">
        <v>2436</v>
      </c>
      <c r="I374" s="229" t="s">
        <v>2436</v>
      </c>
      <c r="J374" s="229" t="s">
        <v>151</v>
      </c>
      <c r="K374" s="229" t="s">
        <v>110</v>
      </c>
      <c r="L374" s="229" t="s">
        <v>152</v>
      </c>
      <c r="M374" s="231" t="s">
        <v>2437</v>
      </c>
      <c r="N374" s="229" t="s">
        <v>144</v>
      </c>
      <c r="O374" s="229" t="s">
        <v>144</v>
      </c>
      <c r="P374" s="229" t="s">
        <v>95</v>
      </c>
      <c r="Q374" s="233" t="s">
        <v>2744</v>
      </c>
      <c r="R374" s="229" t="s">
        <v>76</v>
      </c>
      <c r="S374" s="229" t="s">
        <v>97</v>
      </c>
      <c r="T374" s="229">
        <v>2024.0</v>
      </c>
      <c r="U374" s="229" t="s">
        <v>78</v>
      </c>
      <c r="V374" s="229" t="s">
        <v>79</v>
      </c>
      <c r="W374" s="229" t="s">
        <v>80</v>
      </c>
      <c r="X374" s="229" t="s">
        <v>80</v>
      </c>
      <c r="Y374" s="229" t="s">
        <v>80</v>
      </c>
      <c r="Z374" s="229" t="s">
        <v>2431</v>
      </c>
      <c r="AA374" s="229" t="s">
        <v>162</v>
      </c>
      <c r="AB374" s="229" t="s">
        <v>2745</v>
      </c>
      <c r="AC374" s="229">
        <v>8.122470644E9</v>
      </c>
      <c r="AD374" s="229" t="s">
        <v>2746</v>
      </c>
      <c r="AE374" s="59"/>
      <c r="AF374" s="229" t="s">
        <v>152</v>
      </c>
      <c r="AG374" s="60"/>
      <c r="AH374" s="61"/>
      <c r="AI374" s="61"/>
      <c r="AJ374" s="61"/>
      <c r="AK374" s="61"/>
      <c r="AL374" s="61"/>
      <c r="AM374" s="61"/>
      <c r="AN374" s="61"/>
      <c r="AO374" s="61"/>
      <c r="AP374" s="61"/>
      <c r="AQ374" s="61"/>
      <c r="AR374" s="61"/>
    </row>
    <row r="375">
      <c r="A375" s="227">
        <v>4.0</v>
      </c>
      <c r="B375" s="232" t="s">
        <v>2439</v>
      </c>
      <c r="C375" s="228" t="s">
        <v>2440</v>
      </c>
      <c r="D375" s="229" t="s">
        <v>2441</v>
      </c>
      <c r="E375" s="59"/>
      <c r="F375" s="69"/>
      <c r="G375" s="229" t="s">
        <v>123</v>
      </c>
      <c r="H375" s="229" t="s">
        <v>2442</v>
      </c>
      <c r="I375" s="228" t="s">
        <v>2443</v>
      </c>
      <c r="J375" s="229" t="s">
        <v>151</v>
      </c>
      <c r="K375" s="229" t="s">
        <v>70</v>
      </c>
      <c r="L375" s="229" t="s">
        <v>111</v>
      </c>
      <c r="M375" s="231" t="s">
        <v>2444</v>
      </c>
      <c r="N375" s="229" t="s">
        <v>26</v>
      </c>
      <c r="O375" s="229" t="s">
        <v>113</v>
      </c>
      <c r="P375" s="229" t="s">
        <v>95</v>
      </c>
      <c r="Q375" s="233" t="s">
        <v>2747</v>
      </c>
      <c r="R375" s="229" t="s">
        <v>76</v>
      </c>
      <c r="S375" s="229" t="s">
        <v>77</v>
      </c>
      <c r="T375" s="234">
        <v>2023.0</v>
      </c>
      <c r="U375" s="229" t="s">
        <v>78</v>
      </c>
      <c r="V375" s="229" t="s">
        <v>79</v>
      </c>
      <c r="W375" s="229" t="s">
        <v>80</v>
      </c>
      <c r="X375" s="229" t="s">
        <v>80</v>
      </c>
      <c r="Y375" s="229" t="s">
        <v>80</v>
      </c>
      <c r="Z375" s="229" t="s">
        <v>2446</v>
      </c>
      <c r="AA375" s="229" t="s">
        <v>207</v>
      </c>
      <c r="AB375" s="229" t="s">
        <v>2748</v>
      </c>
      <c r="AC375" s="229" t="s">
        <v>2749</v>
      </c>
      <c r="AD375" s="229" t="s">
        <v>2750</v>
      </c>
      <c r="AE375" s="59"/>
      <c r="AF375" s="229" t="s">
        <v>71</v>
      </c>
      <c r="AG375" s="60"/>
      <c r="AH375" s="61"/>
      <c r="AI375" s="61"/>
      <c r="AJ375" s="61"/>
      <c r="AK375" s="61"/>
      <c r="AL375" s="61"/>
      <c r="AM375" s="61"/>
      <c r="AN375" s="61"/>
      <c r="AO375" s="61"/>
      <c r="AP375" s="61"/>
      <c r="AQ375" s="61"/>
      <c r="AR375" s="61"/>
    </row>
    <row r="376">
      <c r="A376" s="227">
        <v>5.0</v>
      </c>
      <c r="B376" s="228" t="s">
        <v>2449</v>
      </c>
      <c r="C376" s="228" t="s">
        <v>2450</v>
      </c>
      <c r="D376" s="229" t="s">
        <v>2451</v>
      </c>
      <c r="E376" s="59"/>
      <c r="F376" s="229" t="s">
        <v>444</v>
      </c>
      <c r="G376" s="229" t="s">
        <v>131</v>
      </c>
      <c r="H376" s="229" t="s">
        <v>2452</v>
      </c>
      <c r="I376" s="228" t="s">
        <v>2453</v>
      </c>
      <c r="J376" s="229" t="s">
        <v>69</v>
      </c>
      <c r="K376" s="229" t="s">
        <v>70</v>
      </c>
      <c r="L376" s="229" t="s">
        <v>71</v>
      </c>
      <c r="M376" s="231" t="s">
        <v>2454</v>
      </c>
      <c r="N376" s="229" t="s">
        <v>93</v>
      </c>
      <c r="O376" s="229" t="s">
        <v>94</v>
      </c>
      <c r="P376" s="229" t="s">
        <v>95</v>
      </c>
      <c r="Q376" s="233" t="s">
        <v>2751</v>
      </c>
      <c r="R376" s="229" t="s">
        <v>76</v>
      </c>
      <c r="S376" s="229" t="s">
        <v>97</v>
      </c>
      <c r="T376" s="229">
        <v>2023.0</v>
      </c>
      <c r="U376" s="229" t="s">
        <v>78</v>
      </c>
      <c r="V376" s="229" t="s">
        <v>79</v>
      </c>
      <c r="W376" s="229" t="s">
        <v>80</v>
      </c>
      <c r="X376" s="229" t="s">
        <v>80</v>
      </c>
      <c r="Y376" s="229" t="s">
        <v>80</v>
      </c>
      <c r="Z376" s="229" t="s">
        <v>2456</v>
      </c>
      <c r="AA376" s="229" t="s">
        <v>207</v>
      </c>
      <c r="AB376" s="229" t="s">
        <v>2752</v>
      </c>
      <c r="AC376" s="229">
        <v>8.5716358699E10</v>
      </c>
      <c r="AD376" s="229" t="s">
        <v>2753</v>
      </c>
      <c r="AE376" s="59"/>
      <c r="AF376" s="229" t="s">
        <v>152</v>
      </c>
      <c r="AG376" s="60"/>
      <c r="AH376" s="61"/>
      <c r="AI376" s="61"/>
      <c r="AJ376" s="61"/>
      <c r="AK376" s="61"/>
      <c r="AL376" s="61"/>
      <c r="AM376" s="61"/>
      <c r="AN376" s="61"/>
      <c r="AO376" s="61"/>
      <c r="AP376" s="61"/>
      <c r="AQ376" s="61"/>
      <c r="AR376" s="61"/>
    </row>
    <row r="377">
      <c r="A377" s="227">
        <v>6.0</v>
      </c>
      <c r="B377" s="228" t="s">
        <v>2459</v>
      </c>
      <c r="C377" s="228" t="s">
        <v>2460</v>
      </c>
      <c r="D377" s="229" t="s">
        <v>2461</v>
      </c>
      <c r="E377" s="59"/>
      <c r="F377" s="229" t="s">
        <v>448</v>
      </c>
      <c r="G377" s="229" t="s">
        <v>123</v>
      </c>
      <c r="H377" s="229" t="s">
        <v>2462</v>
      </c>
      <c r="I377" s="228" t="s">
        <v>2463</v>
      </c>
      <c r="J377" s="229" t="s">
        <v>158</v>
      </c>
      <c r="K377" s="229" t="s">
        <v>110</v>
      </c>
      <c r="L377" s="229" t="s">
        <v>71</v>
      </c>
      <c r="M377" s="231" t="s">
        <v>2754</v>
      </c>
      <c r="N377" s="229" t="s">
        <v>26</v>
      </c>
      <c r="O377" s="229" t="s">
        <v>113</v>
      </c>
      <c r="P377" s="229" t="s">
        <v>95</v>
      </c>
      <c r="Q377" s="233" t="s">
        <v>2755</v>
      </c>
      <c r="R377" s="229" t="s">
        <v>76</v>
      </c>
      <c r="S377" s="229" t="s">
        <v>97</v>
      </c>
      <c r="T377" s="229">
        <v>2024.0</v>
      </c>
      <c r="U377" s="229" t="s">
        <v>78</v>
      </c>
      <c r="V377" s="229" t="s">
        <v>79</v>
      </c>
      <c r="W377" s="229" t="s">
        <v>80</v>
      </c>
      <c r="X377" s="229" t="s">
        <v>80</v>
      </c>
      <c r="Y377" s="229" t="s">
        <v>80</v>
      </c>
      <c r="Z377" s="229" t="s">
        <v>2466</v>
      </c>
      <c r="AA377" s="229" t="s">
        <v>209</v>
      </c>
      <c r="AB377" s="229" t="s">
        <v>2756</v>
      </c>
      <c r="AC377" s="229">
        <v>8.2130300369E10</v>
      </c>
      <c r="AD377" s="229" t="s">
        <v>2757</v>
      </c>
      <c r="AE377" s="59"/>
      <c r="AF377" s="229" t="s">
        <v>71</v>
      </c>
      <c r="AG377" s="60"/>
      <c r="AH377" s="61"/>
      <c r="AI377" s="61"/>
      <c r="AJ377" s="61"/>
      <c r="AK377" s="61"/>
      <c r="AL377" s="61"/>
      <c r="AM377" s="61"/>
      <c r="AN377" s="61"/>
      <c r="AO377" s="61"/>
      <c r="AP377" s="61"/>
      <c r="AQ377" s="61"/>
      <c r="AR377" s="61"/>
    </row>
    <row r="378">
      <c r="A378" s="227">
        <v>7.0</v>
      </c>
      <c r="B378" s="228" t="s">
        <v>2469</v>
      </c>
      <c r="C378" s="228" t="s">
        <v>2470</v>
      </c>
      <c r="D378" s="229" t="s">
        <v>2471</v>
      </c>
      <c r="E378" s="59"/>
      <c r="F378" s="229" t="s">
        <v>446</v>
      </c>
      <c r="G378" s="229" t="s">
        <v>123</v>
      </c>
      <c r="H378" s="229" t="s">
        <v>2472</v>
      </c>
      <c r="I378" s="228" t="s">
        <v>2473</v>
      </c>
      <c r="J378" s="229" t="s">
        <v>151</v>
      </c>
      <c r="K378" s="229" t="s">
        <v>70</v>
      </c>
      <c r="L378" s="229" t="s">
        <v>71</v>
      </c>
      <c r="M378" s="231" t="s">
        <v>607</v>
      </c>
      <c r="N378" s="229" t="s">
        <v>73</v>
      </c>
      <c r="O378" s="229" t="s">
        <v>73</v>
      </c>
      <c r="P378" s="229" t="s">
        <v>95</v>
      </c>
      <c r="Q378" s="233" t="s">
        <v>2758</v>
      </c>
      <c r="R378" s="229" t="s">
        <v>76</v>
      </c>
      <c r="S378" s="229" t="s">
        <v>97</v>
      </c>
      <c r="T378" s="229">
        <v>2021.0</v>
      </c>
      <c r="U378" s="229" t="s">
        <v>78</v>
      </c>
      <c r="V378" s="229" t="s">
        <v>98</v>
      </c>
      <c r="W378" s="229" t="s">
        <v>2475</v>
      </c>
      <c r="X378" s="229" t="s">
        <v>148</v>
      </c>
      <c r="Y378" s="69"/>
      <c r="Z378" s="229" t="s">
        <v>2476</v>
      </c>
      <c r="AA378" s="229" t="s">
        <v>207</v>
      </c>
      <c r="AB378" s="69"/>
      <c r="AC378" s="69"/>
      <c r="AD378" s="69"/>
      <c r="AE378" s="59"/>
      <c r="AF378" s="229" t="s">
        <v>152</v>
      </c>
      <c r="AG378" s="60"/>
      <c r="AH378" s="61"/>
      <c r="AI378" s="61"/>
      <c r="AJ378" s="61"/>
      <c r="AK378" s="61"/>
      <c r="AL378" s="61"/>
      <c r="AM378" s="61"/>
      <c r="AN378" s="61"/>
      <c r="AO378" s="61"/>
      <c r="AP378" s="61"/>
      <c r="AQ378" s="61"/>
      <c r="AR378" s="61"/>
    </row>
    <row r="379">
      <c r="A379" s="227">
        <v>8.0</v>
      </c>
      <c r="B379" s="228" t="s">
        <v>2481</v>
      </c>
      <c r="C379" s="228" t="s">
        <v>2482</v>
      </c>
      <c r="D379" s="229" t="s">
        <v>2483</v>
      </c>
      <c r="E379" s="59"/>
      <c r="F379" s="229" t="s">
        <v>446</v>
      </c>
      <c r="G379" s="229" t="s">
        <v>138</v>
      </c>
      <c r="H379" s="229" t="s">
        <v>2484</v>
      </c>
      <c r="I379" s="228" t="s">
        <v>2485</v>
      </c>
      <c r="J379" s="229" t="s">
        <v>91</v>
      </c>
      <c r="K379" s="229" t="s">
        <v>70</v>
      </c>
      <c r="L379" s="229" t="s">
        <v>71</v>
      </c>
      <c r="M379" s="231" t="s">
        <v>2486</v>
      </c>
      <c r="N379" s="229" t="s">
        <v>73</v>
      </c>
      <c r="O379" s="229" t="s">
        <v>73</v>
      </c>
      <c r="P379" s="229" t="s">
        <v>95</v>
      </c>
      <c r="Q379" s="233" t="s">
        <v>2759</v>
      </c>
      <c r="R379" s="229" t="s">
        <v>76</v>
      </c>
      <c r="S379" s="229" t="s">
        <v>97</v>
      </c>
      <c r="T379" s="229">
        <v>2010.0</v>
      </c>
      <c r="U379" s="229" t="s">
        <v>78</v>
      </c>
      <c r="V379" s="229" t="s">
        <v>98</v>
      </c>
      <c r="W379" s="229" t="s">
        <v>2488</v>
      </c>
      <c r="X379" s="229" t="s">
        <v>155</v>
      </c>
      <c r="Y379" s="229" t="s">
        <v>139</v>
      </c>
      <c r="Z379" s="229" t="s">
        <v>2489</v>
      </c>
      <c r="AA379" s="229" t="s">
        <v>140</v>
      </c>
      <c r="AB379" s="69"/>
      <c r="AC379" s="69"/>
      <c r="AD379" s="69"/>
      <c r="AE379" s="59"/>
      <c r="AF379" s="229" t="s">
        <v>71</v>
      </c>
      <c r="AG379" s="60"/>
      <c r="AH379" s="61"/>
      <c r="AI379" s="61"/>
      <c r="AJ379" s="61"/>
      <c r="AK379" s="61"/>
      <c r="AL379" s="61"/>
      <c r="AM379" s="61"/>
      <c r="AN379" s="61"/>
      <c r="AO379" s="61"/>
      <c r="AP379" s="61"/>
      <c r="AQ379" s="61"/>
      <c r="AR379" s="61"/>
    </row>
    <row r="380">
      <c r="A380" s="227">
        <v>9.0</v>
      </c>
      <c r="B380" s="228" t="s">
        <v>2492</v>
      </c>
      <c r="C380" s="228" t="s">
        <v>2493</v>
      </c>
      <c r="D380" s="229" t="s">
        <v>2494</v>
      </c>
      <c r="E380" s="59"/>
      <c r="F380" s="229" t="s">
        <v>470</v>
      </c>
      <c r="G380" s="229" t="s">
        <v>123</v>
      </c>
      <c r="H380" s="229" t="s">
        <v>2495</v>
      </c>
      <c r="I380" s="228" t="s">
        <v>2496</v>
      </c>
      <c r="J380" s="229" t="s">
        <v>69</v>
      </c>
      <c r="K380" s="229" t="s">
        <v>110</v>
      </c>
      <c r="L380" s="229" t="s">
        <v>101</v>
      </c>
      <c r="M380" s="231" t="s">
        <v>558</v>
      </c>
      <c r="N380" s="229" t="s">
        <v>26</v>
      </c>
      <c r="O380" s="229" t="s">
        <v>113</v>
      </c>
      <c r="P380" s="229" t="s">
        <v>95</v>
      </c>
      <c r="Q380" s="233" t="s">
        <v>2760</v>
      </c>
      <c r="R380" s="229" t="s">
        <v>76</v>
      </c>
      <c r="S380" s="229" t="s">
        <v>97</v>
      </c>
      <c r="T380" s="229">
        <v>2023.0</v>
      </c>
      <c r="U380" s="229" t="s">
        <v>78</v>
      </c>
      <c r="V380" s="229" t="s">
        <v>79</v>
      </c>
      <c r="W380" s="229" t="s">
        <v>80</v>
      </c>
      <c r="X380" s="229" t="s">
        <v>80</v>
      </c>
      <c r="Y380" s="229" t="s">
        <v>80</v>
      </c>
      <c r="Z380" s="229" t="s">
        <v>2456</v>
      </c>
      <c r="AA380" s="229" t="s">
        <v>156</v>
      </c>
      <c r="AB380" s="69"/>
      <c r="AC380" s="69"/>
      <c r="AD380" s="69"/>
      <c r="AE380" s="59"/>
      <c r="AF380" s="229" t="s">
        <v>566</v>
      </c>
      <c r="AG380" s="60"/>
      <c r="AH380" s="61"/>
      <c r="AI380" s="61"/>
      <c r="AJ380" s="61"/>
      <c r="AK380" s="61"/>
      <c r="AL380" s="61"/>
      <c r="AM380" s="61"/>
      <c r="AN380" s="61"/>
      <c r="AO380" s="61"/>
      <c r="AP380" s="61"/>
      <c r="AQ380" s="61"/>
      <c r="AR380" s="61"/>
    </row>
    <row r="381">
      <c r="A381" s="227">
        <v>10.0</v>
      </c>
      <c r="B381" s="228" t="s">
        <v>2500</v>
      </c>
      <c r="C381" s="228" t="s">
        <v>2501</v>
      </c>
      <c r="D381" s="229" t="s">
        <v>2502</v>
      </c>
      <c r="E381" s="228" t="s">
        <v>2503</v>
      </c>
      <c r="F381" s="229" t="s">
        <v>444</v>
      </c>
      <c r="G381" s="229" t="s">
        <v>123</v>
      </c>
      <c r="H381" s="229" t="s">
        <v>2504</v>
      </c>
      <c r="I381" s="228" t="s">
        <v>2505</v>
      </c>
      <c r="J381" s="229" t="s">
        <v>91</v>
      </c>
      <c r="K381" s="229" t="s">
        <v>110</v>
      </c>
      <c r="L381" s="229" t="s">
        <v>71</v>
      </c>
      <c r="M381" s="231" t="s">
        <v>593</v>
      </c>
      <c r="N381" s="229" t="s">
        <v>26</v>
      </c>
      <c r="O381" s="229" t="s">
        <v>113</v>
      </c>
      <c r="P381" s="229" t="s">
        <v>95</v>
      </c>
      <c r="Q381" s="233" t="s">
        <v>2761</v>
      </c>
      <c r="R381" s="229" t="s">
        <v>76</v>
      </c>
      <c r="S381" s="229" t="s">
        <v>77</v>
      </c>
      <c r="T381" s="229">
        <v>2018.0</v>
      </c>
      <c r="U381" s="229" t="s">
        <v>78</v>
      </c>
      <c r="V381" s="229" t="s">
        <v>98</v>
      </c>
      <c r="W381" s="229" t="s">
        <v>80</v>
      </c>
      <c r="X381" s="229" t="s">
        <v>80</v>
      </c>
      <c r="Y381" s="229" t="s">
        <v>152</v>
      </c>
      <c r="Z381" s="229" t="s">
        <v>2456</v>
      </c>
      <c r="AA381" s="229" t="s">
        <v>209</v>
      </c>
      <c r="AB381" s="229" t="s">
        <v>2762</v>
      </c>
      <c r="AC381" s="229">
        <v>8.1321703044E10</v>
      </c>
      <c r="AD381" s="229" t="s">
        <v>2763</v>
      </c>
      <c r="AE381" s="59"/>
      <c r="AF381" s="229" t="s">
        <v>71</v>
      </c>
      <c r="AG381" s="60"/>
      <c r="AH381" s="61"/>
      <c r="AI381" s="61"/>
      <c r="AJ381" s="61"/>
      <c r="AK381" s="61"/>
      <c r="AL381" s="61"/>
      <c r="AM381" s="61"/>
      <c r="AN381" s="61"/>
      <c r="AO381" s="61"/>
      <c r="AP381" s="61"/>
      <c r="AQ381" s="61"/>
      <c r="AR381" s="61"/>
    </row>
    <row r="382">
      <c r="A382" s="227">
        <v>11.0</v>
      </c>
      <c r="B382" s="228" t="s">
        <v>2510</v>
      </c>
      <c r="C382" s="228" t="s">
        <v>2511</v>
      </c>
      <c r="D382" s="229" t="s">
        <v>2512</v>
      </c>
      <c r="E382" s="59"/>
      <c r="F382" s="229" t="s">
        <v>107</v>
      </c>
      <c r="G382" s="229" t="s">
        <v>123</v>
      </c>
      <c r="H382" s="229" t="s">
        <v>502</v>
      </c>
      <c r="I382" s="229" t="s">
        <v>502</v>
      </c>
      <c r="J382" s="229" t="s">
        <v>91</v>
      </c>
      <c r="K382" s="229" t="s">
        <v>110</v>
      </c>
      <c r="L382" s="229" t="s">
        <v>71</v>
      </c>
      <c r="M382" s="231" t="s">
        <v>503</v>
      </c>
      <c r="N382" s="229" t="s">
        <v>82</v>
      </c>
      <c r="O382" s="229" t="s">
        <v>113</v>
      </c>
      <c r="P382" s="229" t="s">
        <v>95</v>
      </c>
      <c r="Q382" s="233" t="s">
        <v>2764</v>
      </c>
      <c r="R382" s="229" t="s">
        <v>76</v>
      </c>
      <c r="S382" s="229" t="s">
        <v>97</v>
      </c>
      <c r="T382" s="229">
        <v>2021.0</v>
      </c>
      <c r="U382" s="229" t="s">
        <v>78</v>
      </c>
      <c r="V382" s="229" t="s">
        <v>98</v>
      </c>
      <c r="W382" s="229" t="s">
        <v>2514</v>
      </c>
      <c r="X382" s="229" t="s">
        <v>148</v>
      </c>
      <c r="Y382" s="229" t="s">
        <v>139</v>
      </c>
      <c r="Z382" s="229" t="s">
        <v>2489</v>
      </c>
      <c r="AA382" s="229" t="s">
        <v>82</v>
      </c>
      <c r="AB382" s="69"/>
      <c r="AC382" s="69"/>
      <c r="AD382" s="69"/>
      <c r="AE382" s="59"/>
      <c r="AF382" s="229" t="s">
        <v>1268</v>
      </c>
      <c r="AG382" s="60"/>
      <c r="AH382" s="61"/>
      <c r="AI382" s="61"/>
      <c r="AJ382" s="61"/>
      <c r="AK382" s="61"/>
      <c r="AL382" s="61"/>
      <c r="AM382" s="61"/>
      <c r="AN382" s="61"/>
      <c r="AO382" s="61"/>
      <c r="AP382" s="61"/>
      <c r="AQ382" s="61"/>
      <c r="AR382" s="61"/>
    </row>
    <row r="383">
      <c r="A383" s="227">
        <v>12.0</v>
      </c>
      <c r="B383" s="228" t="s">
        <v>2522</v>
      </c>
      <c r="C383" s="235" t="s">
        <v>2523</v>
      </c>
      <c r="D383" s="229" t="s">
        <v>2524</v>
      </c>
      <c r="E383" s="228" t="s">
        <v>2525</v>
      </c>
      <c r="F383" s="229" t="s">
        <v>344</v>
      </c>
      <c r="G383" s="229" t="s">
        <v>66</v>
      </c>
      <c r="H383" s="229" t="s">
        <v>2526</v>
      </c>
      <c r="I383" s="228" t="s">
        <v>2527</v>
      </c>
      <c r="J383" s="229" t="s">
        <v>151</v>
      </c>
      <c r="K383" s="229" t="s">
        <v>70</v>
      </c>
      <c r="L383" s="229" t="s">
        <v>71</v>
      </c>
      <c r="M383" s="231" t="s">
        <v>2528</v>
      </c>
      <c r="N383" s="229" t="s">
        <v>73</v>
      </c>
      <c r="O383" s="229" t="s">
        <v>73</v>
      </c>
      <c r="P383" s="229" t="s">
        <v>95</v>
      </c>
      <c r="Q383" s="233" t="s">
        <v>2765</v>
      </c>
      <c r="R383" s="229" t="s">
        <v>76</v>
      </c>
      <c r="S383" s="229" t="s">
        <v>97</v>
      </c>
      <c r="T383" s="229">
        <v>2016.0</v>
      </c>
      <c r="U383" s="229" t="s">
        <v>78</v>
      </c>
      <c r="V383" s="229" t="s">
        <v>79</v>
      </c>
      <c r="W383" s="229" t="s">
        <v>2520</v>
      </c>
      <c r="X383" s="229" t="s">
        <v>80</v>
      </c>
      <c r="Y383" s="229" t="s">
        <v>80</v>
      </c>
      <c r="Z383" s="229" t="s">
        <v>2530</v>
      </c>
      <c r="AA383" s="229" t="s">
        <v>162</v>
      </c>
      <c r="AB383" s="69"/>
      <c r="AC383" s="69"/>
      <c r="AD383" s="69"/>
      <c r="AE383" s="59"/>
      <c r="AF383" s="229" t="s">
        <v>71</v>
      </c>
      <c r="AG383" s="60"/>
      <c r="AH383" s="61"/>
      <c r="AI383" s="61"/>
      <c r="AJ383" s="61"/>
      <c r="AK383" s="61"/>
      <c r="AL383" s="61"/>
      <c r="AM383" s="61"/>
      <c r="AN383" s="61"/>
      <c r="AO383" s="61"/>
      <c r="AP383" s="61"/>
      <c r="AQ383" s="61"/>
      <c r="AR383" s="61"/>
    </row>
    <row r="384">
      <c r="A384" s="227">
        <v>13.0</v>
      </c>
      <c r="B384" s="228" t="s">
        <v>2531</v>
      </c>
      <c r="C384" s="228" t="s">
        <v>2532</v>
      </c>
      <c r="D384" s="229" t="s">
        <v>2533</v>
      </c>
      <c r="E384" s="59"/>
      <c r="F384" s="229" t="s">
        <v>453</v>
      </c>
      <c r="G384" s="229" t="s">
        <v>131</v>
      </c>
      <c r="H384" s="229" t="s">
        <v>2534</v>
      </c>
      <c r="I384" s="228" t="s">
        <v>2505</v>
      </c>
      <c r="J384" s="229" t="s">
        <v>151</v>
      </c>
      <c r="K384" s="229" t="s">
        <v>70</v>
      </c>
      <c r="L384" s="229" t="s">
        <v>71</v>
      </c>
      <c r="M384" s="231" t="s">
        <v>586</v>
      </c>
      <c r="N384" s="229" t="s">
        <v>73</v>
      </c>
      <c r="O384" s="229" t="s">
        <v>73</v>
      </c>
      <c r="P384" s="229" t="s">
        <v>95</v>
      </c>
      <c r="Q384" s="233" t="s">
        <v>2766</v>
      </c>
      <c r="R384" s="229" t="s">
        <v>76</v>
      </c>
      <c r="S384" s="229" t="s">
        <v>77</v>
      </c>
      <c r="T384" s="229">
        <v>2025.0</v>
      </c>
      <c r="U384" s="229" t="s">
        <v>78</v>
      </c>
      <c r="V384" s="229" t="s">
        <v>98</v>
      </c>
      <c r="W384" s="229" t="s">
        <v>2536</v>
      </c>
      <c r="X384" s="229" t="s">
        <v>148</v>
      </c>
      <c r="Y384" s="229" t="s">
        <v>152</v>
      </c>
      <c r="Z384" s="229" t="s">
        <v>2456</v>
      </c>
      <c r="AA384" s="229" t="s">
        <v>207</v>
      </c>
      <c r="AB384" s="229" t="s">
        <v>2767</v>
      </c>
      <c r="AC384" s="229" t="s">
        <v>2768</v>
      </c>
      <c r="AD384" s="229" t="s">
        <v>2769</v>
      </c>
      <c r="AE384" s="59"/>
      <c r="AF384" s="229" t="s">
        <v>152</v>
      </c>
      <c r="AG384" s="60"/>
      <c r="AH384" s="61"/>
      <c r="AI384" s="61"/>
      <c r="AJ384" s="61"/>
      <c r="AK384" s="61"/>
      <c r="AL384" s="61"/>
      <c r="AM384" s="61"/>
      <c r="AN384" s="61"/>
      <c r="AO384" s="61"/>
      <c r="AP384" s="61"/>
      <c r="AQ384" s="61"/>
      <c r="AR384" s="61"/>
    </row>
    <row r="385">
      <c r="A385" s="227">
        <v>14.0</v>
      </c>
      <c r="B385" s="228" t="s">
        <v>2540</v>
      </c>
      <c r="C385" s="228" t="s">
        <v>2541</v>
      </c>
      <c r="D385" s="229" t="s">
        <v>2542</v>
      </c>
      <c r="E385" s="59"/>
      <c r="F385" s="229" t="s">
        <v>453</v>
      </c>
      <c r="G385" s="229" t="s">
        <v>123</v>
      </c>
      <c r="H385" s="229" t="s">
        <v>2543</v>
      </c>
      <c r="I385" s="228" t="s">
        <v>2505</v>
      </c>
      <c r="J385" s="229" t="s">
        <v>151</v>
      </c>
      <c r="K385" s="229" t="s">
        <v>110</v>
      </c>
      <c r="L385" s="229" t="s">
        <v>152</v>
      </c>
      <c r="M385" s="231" t="s">
        <v>579</v>
      </c>
      <c r="N385" s="229" t="s">
        <v>82</v>
      </c>
      <c r="O385" s="229" t="s">
        <v>113</v>
      </c>
      <c r="P385" s="229" t="s">
        <v>95</v>
      </c>
      <c r="Q385" s="233" t="s">
        <v>2770</v>
      </c>
      <c r="R385" s="229" t="s">
        <v>76</v>
      </c>
      <c r="S385" s="229" t="s">
        <v>97</v>
      </c>
      <c r="T385" s="229">
        <v>2022.0</v>
      </c>
      <c r="U385" s="229" t="s">
        <v>78</v>
      </c>
      <c r="V385" s="229" t="s">
        <v>98</v>
      </c>
      <c r="W385" s="69"/>
      <c r="X385" s="229" t="s">
        <v>148</v>
      </c>
      <c r="Y385" s="229" t="s">
        <v>152</v>
      </c>
      <c r="Z385" s="229" t="s">
        <v>2456</v>
      </c>
      <c r="AA385" s="229" t="s">
        <v>207</v>
      </c>
      <c r="AB385" s="229" t="s">
        <v>2771</v>
      </c>
      <c r="AC385" s="229">
        <v>8.2111311546E10</v>
      </c>
      <c r="AD385" s="229" t="s">
        <v>2769</v>
      </c>
      <c r="AE385" s="59"/>
      <c r="AF385" s="229" t="s">
        <v>152</v>
      </c>
      <c r="AG385" s="60"/>
      <c r="AH385" s="61"/>
      <c r="AI385" s="61"/>
      <c r="AJ385" s="61"/>
      <c r="AK385" s="61"/>
      <c r="AL385" s="61"/>
      <c r="AM385" s="61"/>
      <c r="AN385" s="61"/>
      <c r="AO385" s="61"/>
      <c r="AP385" s="61"/>
      <c r="AQ385" s="61"/>
      <c r="AR385" s="61"/>
    </row>
    <row r="386">
      <c r="A386" s="227">
        <v>15.0</v>
      </c>
      <c r="B386" s="228" t="s">
        <v>2548</v>
      </c>
      <c r="C386" s="228" t="s">
        <v>2549</v>
      </c>
      <c r="D386" s="229" t="s">
        <v>2550</v>
      </c>
      <c r="E386" s="59"/>
      <c r="F386" s="229" t="s">
        <v>453</v>
      </c>
      <c r="G386" s="229" t="s">
        <v>123</v>
      </c>
      <c r="H386" s="229" t="s">
        <v>2551</v>
      </c>
      <c r="I386" s="228" t="s">
        <v>2552</v>
      </c>
      <c r="J386" s="229" t="s">
        <v>151</v>
      </c>
      <c r="K386" s="229" t="s">
        <v>110</v>
      </c>
      <c r="L386" s="229" t="s">
        <v>152</v>
      </c>
      <c r="M386" s="231" t="s">
        <v>2553</v>
      </c>
      <c r="N386" s="229" t="s">
        <v>73</v>
      </c>
      <c r="O386" s="229" t="s">
        <v>73</v>
      </c>
      <c r="P386" s="229" t="s">
        <v>95</v>
      </c>
      <c r="Q386" s="233" t="s">
        <v>2772</v>
      </c>
      <c r="R386" s="229" t="s">
        <v>76</v>
      </c>
      <c r="S386" s="229" t="s">
        <v>77</v>
      </c>
      <c r="T386" s="69"/>
      <c r="U386" s="229" t="s">
        <v>78</v>
      </c>
      <c r="V386" s="229" t="s">
        <v>98</v>
      </c>
      <c r="W386" s="229" t="s">
        <v>2555</v>
      </c>
      <c r="X386" s="229" t="s">
        <v>80</v>
      </c>
      <c r="Y386" s="229" t="s">
        <v>80</v>
      </c>
      <c r="Z386" s="229" t="s">
        <v>2456</v>
      </c>
      <c r="AA386" s="229" t="s">
        <v>207</v>
      </c>
      <c r="AB386" s="229" t="s">
        <v>2762</v>
      </c>
      <c r="AC386" s="229">
        <v>8.1321703044E10</v>
      </c>
      <c r="AD386" s="229" t="s">
        <v>2763</v>
      </c>
      <c r="AE386" s="59"/>
      <c r="AF386" s="229" t="s">
        <v>152</v>
      </c>
      <c r="AG386" s="60"/>
      <c r="AH386" s="61"/>
      <c r="AI386" s="61"/>
      <c r="AJ386" s="61"/>
      <c r="AK386" s="61"/>
      <c r="AL386" s="61"/>
      <c r="AM386" s="61"/>
      <c r="AN386" s="61"/>
      <c r="AO386" s="61"/>
      <c r="AP386" s="61"/>
      <c r="AQ386" s="61"/>
      <c r="AR386" s="61"/>
    </row>
    <row r="387">
      <c r="A387" s="227">
        <v>16.0</v>
      </c>
      <c r="B387" s="228" t="s">
        <v>2559</v>
      </c>
      <c r="C387" s="228" t="s">
        <v>2560</v>
      </c>
      <c r="D387" s="229" t="s">
        <v>2561</v>
      </c>
      <c r="E387" s="230" t="s">
        <v>2773</v>
      </c>
      <c r="F387" s="229" t="s">
        <v>344</v>
      </c>
      <c r="G387" s="229" t="s">
        <v>66</v>
      </c>
      <c r="H387" s="229" t="s">
        <v>2563</v>
      </c>
      <c r="I387" s="228" t="s">
        <v>2564</v>
      </c>
      <c r="J387" s="229" t="s">
        <v>151</v>
      </c>
      <c r="K387" s="229" t="s">
        <v>70</v>
      </c>
      <c r="L387" s="229" t="s">
        <v>101</v>
      </c>
      <c r="M387" s="231" t="s">
        <v>1096</v>
      </c>
      <c r="N387" s="229" t="s">
        <v>73</v>
      </c>
      <c r="O387" s="229" t="s">
        <v>73</v>
      </c>
      <c r="P387" s="229" t="s">
        <v>74</v>
      </c>
      <c r="Q387" s="233" t="s">
        <v>2774</v>
      </c>
      <c r="R387" s="229" t="s">
        <v>76</v>
      </c>
      <c r="S387" s="229" t="s">
        <v>97</v>
      </c>
      <c r="T387" s="229">
        <v>2018.0</v>
      </c>
      <c r="U387" s="229" t="s">
        <v>78</v>
      </c>
      <c r="V387" s="229" t="s">
        <v>98</v>
      </c>
      <c r="W387" s="229" t="s">
        <v>2566</v>
      </c>
      <c r="X387" s="229" t="s">
        <v>100</v>
      </c>
      <c r="Y387" s="229" t="s">
        <v>139</v>
      </c>
      <c r="Z387" s="229" t="s">
        <v>2567</v>
      </c>
      <c r="AA387" s="229" t="s">
        <v>162</v>
      </c>
      <c r="AB387" s="69"/>
      <c r="AC387" s="69"/>
      <c r="AD387" s="69"/>
      <c r="AE387" s="59"/>
      <c r="AF387" s="229" t="s">
        <v>1268</v>
      </c>
      <c r="AG387" s="60"/>
      <c r="AH387" s="61"/>
      <c r="AI387" s="61"/>
      <c r="AJ387" s="61"/>
      <c r="AK387" s="61"/>
      <c r="AL387" s="61"/>
      <c r="AM387" s="61"/>
      <c r="AN387" s="61"/>
      <c r="AO387" s="61"/>
      <c r="AP387" s="61"/>
      <c r="AQ387" s="61"/>
      <c r="AR387" s="61"/>
    </row>
    <row r="388">
      <c r="A388" s="227">
        <v>17.0</v>
      </c>
      <c r="B388" s="228" t="s">
        <v>2570</v>
      </c>
      <c r="C388" s="228" t="s">
        <v>2571</v>
      </c>
      <c r="D388" s="229" t="s">
        <v>2572</v>
      </c>
      <c r="E388" s="59"/>
      <c r="F388" s="229" t="s">
        <v>469</v>
      </c>
      <c r="G388" s="229" t="s">
        <v>131</v>
      </c>
      <c r="H388" s="229" t="s">
        <v>2573</v>
      </c>
      <c r="I388" s="228" t="s">
        <v>2574</v>
      </c>
      <c r="J388" s="229" t="s">
        <v>151</v>
      </c>
      <c r="K388" s="229" t="s">
        <v>70</v>
      </c>
      <c r="L388" s="229" t="s">
        <v>152</v>
      </c>
      <c r="M388" s="231" t="s">
        <v>2575</v>
      </c>
      <c r="N388" s="229" t="s">
        <v>26</v>
      </c>
      <c r="O388" s="229" t="s">
        <v>113</v>
      </c>
      <c r="P388" s="229" t="s">
        <v>95</v>
      </c>
      <c r="Q388" s="233" t="s">
        <v>2775</v>
      </c>
      <c r="R388" s="229" t="s">
        <v>76</v>
      </c>
      <c r="S388" s="229" t="s">
        <v>97</v>
      </c>
      <c r="T388" s="229">
        <v>2018.0</v>
      </c>
      <c r="U388" s="229" t="s">
        <v>78</v>
      </c>
      <c r="V388" s="229" t="s">
        <v>98</v>
      </c>
      <c r="W388" s="229" t="s">
        <v>2577</v>
      </c>
      <c r="X388" s="229" t="s">
        <v>155</v>
      </c>
      <c r="Y388" s="229" t="s">
        <v>101</v>
      </c>
      <c r="Z388" s="229" t="s">
        <v>2521</v>
      </c>
      <c r="AA388" s="229" t="s">
        <v>211</v>
      </c>
      <c r="AB388" s="69"/>
      <c r="AC388" s="69"/>
      <c r="AD388" s="69"/>
      <c r="AE388" s="59"/>
      <c r="AF388" s="229" t="s">
        <v>1268</v>
      </c>
      <c r="AG388" s="60"/>
      <c r="AH388" s="61"/>
      <c r="AI388" s="61"/>
      <c r="AJ388" s="61"/>
      <c r="AK388" s="61"/>
      <c r="AL388" s="61"/>
      <c r="AM388" s="61"/>
      <c r="AN388" s="61"/>
      <c r="AO388" s="61"/>
      <c r="AP388" s="61"/>
      <c r="AQ388" s="61"/>
      <c r="AR388" s="61"/>
    </row>
    <row r="389">
      <c r="A389" s="227">
        <v>18.0</v>
      </c>
      <c r="B389" s="228" t="s">
        <v>2580</v>
      </c>
      <c r="C389" s="228" t="s">
        <v>2581</v>
      </c>
      <c r="D389" s="229" t="s">
        <v>2572</v>
      </c>
      <c r="E389" s="59"/>
      <c r="F389" s="229" t="s">
        <v>469</v>
      </c>
      <c r="G389" s="229" t="s">
        <v>131</v>
      </c>
      <c r="H389" s="229" t="s">
        <v>2582</v>
      </c>
      <c r="I389" s="228" t="s">
        <v>2582</v>
      </c>
      <c r="J389" s="229" t="s">
        <v>151</v>
      </c>
      <c r="K389" s="229" t="s">
        <v>70</v>
      </c>
      <c r="L389" s="229" t="s">
        <v>71</v>
      </c>
      <c r="M389" s="231" t="s">
        <v>2350</v>
      </c>
      <c r="N389" s="229" t="s">
        <v>26</v>
      </c>
      <c r="O389" s="229" t="s">
        <v>113</v>
      </c>
      <c r="P389" s="229" t="s">
        <v>145</v>
      </c>
      <c r="Q389" s="236" t="s">
        <v>2350</v>
      </c>
      <c r="R389" s="229" t="s">
        <v>76</v>
      </c>
      <c r="S389" s="229" t="s">
        <v>97</v>
      </c>
      <c r="T389" s="69"/>
      <c r="U389" s="229" t="s">
        <v>78</v>
      </c>
      <c r="V389" s="229" t="s">
        <v>98</v>
      </c>
      <c r="W389" s="229" t="s">
        <v>2583</v>
      </c>
      <c r="X389" s="229" t="s">
        <v>148</v>
      </c>
      <c r="Y389" s="229" t="s">
        <v>71</v>
      </c>
      <c r="Z389" s="229" t="s">
        <v>2521</v>
      </c>
      <c r="AA389" s="229" t="s">
        <v>82</v>
      </c>
      <c r="AB389" s="69"/>
      <c r="AC389" s="69"/>
      <c r="AD389" s="69"/>
      <c r="AE389" s="59"/>
      <c r="AF389" s="229" t="s">
        <v>1268</v>
      </c>
      <c r="AG389" s="60"/>
      <c r="AH389" s="61"/>
      <c r="AI389" s="61"/>
      <c r="AJ389" s="61"/>
      <c r="AK389" s="61"/>
      <c r="AL389" s="61"/>
      <c r="AM389" s="61"/>
      <c r="AN389" s="61"/>
      <c r="AO389" s="61"/>
      <c r="AP389" s="61"/>
      <c r="AQ389" s="61"/>
      <c r="AR389" s="61"/>
    </row>
    <row r="390">
      <c r="A390" s="227">
        <v>19.0</v>
      </c>
      <c r="B390" s="228" t="s">
        <v>2585</v>
      </c>
      <c r="C390" s="228" t="s">
        <v>2586</v>
      </c>
      <c r="D390" s="59"/>
      <c r="E390" s="59"/>
      <c r="F390" s="229" t="s">
        <v>468</v>
      </c>
      <c r="G390" s="229" t="s">
        <v>131</v>
      </c>
      <c r="H390" s="229" t="s">
        <v>2587</v>
      </c>
      <c r="I390" s="228" t="s">
        <v>2587</v>
      </c>
      <c r="J390" s="229" t="s">
        <v>151</v>
      </c>
      <c r="K390" s="229" t="s">
        <v>110</v>
      </c>
      <c r="L390" s="229" t="s">
        <v>71</v>
      </c>
      <c r="M390" s="231" t="s">
        <v>2776</v>
      </c>
      <c r="N390" s="229" t="s">
        <v>26</v>
      </c>
      <c r="O390" s="229" t="s">
        <v>113</v>
      </c>
      <c r="P390" s="229" t="s">
        <v>74</v>
      </c>
      <c r="Q390" s="233" t="s">
        <v>2777</v>
      </c>
      <c r="R390" s="229" t="s">
        <v>76</v>
      </c>
      <c r="S390" s="229" t="s">
        <v>97</v>
      </c>
      <c r="T390" s="69"/>
      <c r="U390" s="229" t="s">
        <v>78</v>
      </c>
      <c r="V390" s="229" t="s">
        <v>79</v>
      </c>
      <c r="W390" s="229" t="s">
        <v>943</v>
      </c>
      <c r="X390" s="229" t="s">
        <v>80</v>
      </c>
      <c r="Y390" s="229" t="s">
        <v>80</v>
      </c>
      <c r="Z390" s="229" t="s">
        <v>2590</v>
      </c>
      <c r="AA390" s="229" t="s">
        <v>82</v>
      </c>
      <c r="AB390" s="69"/>
      <c r="AC390" s="69"/>
      <c r="AD390" s="69"/>
      <c r="AE390" s="59"/>
      <c r="AF390" s="229" t="s">
        <v>1268</v>
      </c>
      <c r="AG390" s="60"/>
      <c r="AH390" s="61"/>
      <c r="AI390" s="61"/>
      <c r="AJ390" s="61"/>
      <c r="AK390" s="61"/>
      <c r="AL390" s="61"/>
      <c r="AM390" s="61"/>
      <c r="AN390" s="61"/>
      <c r="AO390" s="61"/>
      <c r="AP390" s="61"/>
      <c r="AQ390" s="61"/>
      <c r="AR390" s="61"/>
    </row>
    <row r="391">
      <c r="A391" s="227">
        <v>20.0</v>
      </c>
      <c r="B391" s="228" t="s">
        <v>2592</v>
      </c>
      <c r="C391" s="228" t="s">
        <v>2592</v>
      </c>
      <c r="D391" s="229" t="s">
        <v>2572</v>
      </c>
      <c r="E391" s="59"/>
      <c r="F391" s="229" t="s">
        <v>469</v>
      </c>
      <c r="G391" s="229" t="s">
        <v>131</v>
      </c>
      <c r="H391" s="229" t="s">
        <v>2593</v>
      </c>
      <c r="I391" s="228" t="s">
        <v>2593</v>
      </c>
      <c r="J391" s="229" t="s">
        <v>151</v>
      </c>
      <c r="K391" s="229" t="s">
        <v>110</v>
      </c>
      <c r="L391" s="229" t="s">
        <v>71</v>
      </c>
      <c r="M391" s="231" t="s">
        <v>2186</v>
      </c>
      <c r="N391" s="229" t="s">
        <v>82</v>
      </c>
      <c r="O391" s="229" t="s">
        <v>113</v>
      </c>
      <c r="P391" s="229" t="s">
        <v>74</v>
      </c>
      <c r="Q391" s="233" t="s">
        <v>2778</v>
      </c>
      <c r="R391" s="229" t="s">
        <v>76</v>
      </c>
      <c r="S391" s="229" t="s">
        <v>97</v>
      </c>
      <c r="T391" s="69"/>
      <c r="U391" s="229" t="s">
        <v>78</v>
      </c>
      <c r="V391" s="229" t="s">
        <v>98</v>
      </c>
      <c r="W391" s="229" t="s">
        <v>2595</v>
      </c>
      <c r="X391" s="229" t="s">
        <v>148</v>
      </c>
      <c r="Y391" s="229" t="s">
        <v>139</v>
      </c>
      <c r="Z391" s="229" t="s">
        <v>2590</v>
      </c>
      <c r="AA391" s="229" t="s">
        <v>211</v>
      </c>
      <c r="AB391" s="69"/>
      <c r="AC391" s="69"/>
      <c r="AD391" s="69"/>
      <c r="AE391" s="59"/>
      <c r="AF391" s="229" t="s">
        <v>71</v>
      </c>
      <c r="AG391" s="60"/>
      <c r="AH391" s="61"/>
      <c r="AI391" s="61"/>
      <c r="AJ391" s="61"/>
      <c r="AK391" s="61"/>
      <c r="AL391" s="61"/>
      <c r="AM391" s="61"/>
      <c r="AN391" s="61"/>
      <c r="AO391" s="61"/>
      <c r="AP391" s="61"/>
      <c r="AQ391" s="61"/>
      <c r="AR391" s="61"/>
    </row>
    <row r="392">
      <c r="A392" s="227">
        <v>21.0</v>
      </c>
      <c r="B392" s="228" t="s">
        <v>2596</v>
      </c>
      <c r="C392" s="228" t="s">
        <v>2597</v>
      </c>
      <c r="D392" s="229" t="s">
        <v>2598</v>
      </c>
      <c r="E392" s="59"/>
      <c r="F392" s="229" t="s">
        <v>341</v>
      </c>
      <c r="G392" s="229" t="s">
        <v>131</v>
      </c>
      <c r="H392" s="229" t="s">
        <v>2597</v>
      </c>
      <c r="I392" s="229" t="s">
        <v>2597</v>
      </c>
      <c r="J392" s="229" t="s">
        <v>151</v>
      </c>
      <c r="K392" s="229" t="s">
        <v>70</v>
      </c>
      <c r="L392" s="229" t="s">
        <v>71</v>
      </c>
      <c r="M392" s="231" t="s">
        <v>1114</v>
      </c>
      <c r="N392" s="229" t="s">
        <v>73</v>
      </c>
      <c r="O392" s="229" t="s">
        <v>73</v>
      </c>
      <c r="P392" s="229" t="s">
        <v>74</v>
      </c>
      <c r="Q392" s="233" t="s">
        <v>2779</v>
      </c>
      <c r="R392" s="229" t="s">
        <v>76</v>
      </c>
      <c r="S392" s="229" t="s">
        <v>97</v>
      </c>
      <c r="T392" s="69"/>
      <c r="U392" s="229" t="s">
        <v>78</v>
      </c>
      <c r="V392" s="229" t="s">
        <v>98</v>
      </c>
      <c r="W392" s="69"/>
      <c r="X392" s="229" t="s">
        <v>148</v>
      </c>
      <c r="Y392" s="229" t="s">
        <v>139</v>
      </c>
      <c r="Z392" s="229" t="s">
        <v>2590</v>
      </c>
      <c r="AA392" s="229" t="s">
        <v>162</v>
      </c>
      <c r="AB392" s="69"/>
      <c r="AC392" s="69"/>
      <c r="AD392" s="69"/>
      <c r="AE392" s="59"/>
      <c r="AF392" s="229" t="s">
        <v>1268</v>
      </c>
      <c r="AG392" s="60"/>
      <c r="AH392" s="61"/>
      <c r="AI392" s="61"/>
      <c r="AJ392" s="61"/>
      <c r="AK392" s="61"/>
      <c r="AL392" s="61"/>
      <c r="AM392" s="61"/>
      <c r="AN392" s="61"/>
      <c r="AO392" s="61"/>
      <c r="AP392" s="61"/>
      <c r="AQ392" s="61"/>
      <c r="AR392" s="61"/>
    </row>
    <row r="393">
      <c r="A393" s="227">
        <v>22.0</v>
      </c>
      <c r="B393" s="228" t="s">
        <v>2600</v>
      </c>
      <c r="C393" s="232" t="s">
        <v>2601</v>
      </c>
      <c r="D393" s="229" t="s">
        <v>2602</v>
      </c>
      <c r="E393" s="230" t="s">
        <v>2780</v>
      </c>
      <c r="F393" s="229" t="s">
        <v>344</v>
      </c>
      <c r="G393" s="229" t="s">
        <v>123</v>
      </c>
      <c r="H393" s="229" t="s">
        <v>2603</v>
      </c>
      <c r="I393" s="228" t="s">
        <v>2604</v>
      </c>
      <c r="J393" s="229" t="s">
        <v>151</v>
      </c>
      <c r="K393" s="229" t="s">
        <v>110</v>
      </c>
      <c r="L393" s="229" t="s">
        <v>71</v>
      </c>
      <c r="M393" s="237" t="s">
        <v>2605</v>
      </c>
      <c r="N393" s="229" t="s">
        <v>73</v>
      </c>
      <c r="O393" s="229" t="s">
        <v>73</v>
      </c>
      <c r="P393" s="228" t="s">
        <v>95</v>
      </c>
      <c r="Q393" s="230" t="s">
        <v>2781</v>
      </c>
      <c r="R393" s="229" t="s">
        <v>76</v>
      </c>
      <c r="S393" s="229" t="s">
        <v>97</v>
      </c>
      <c r="T393" s="69"/>
      <c r="U393" s="229" t="s">
        <v>78</v>
      </c>
      <c r="V393" s="229" t="s">
        <v>98</v>
      </c>
      <c r="W393" s="229" t="s">
        <v>970</v>
      </c>
      <c r="X393" s="229" t="s">
        <v>80</v>
      </c>
      <c r="Y393" s="229" t="s">
        <v>139</v>
      </c>
      <c r="Z393" s="229" t="s">
        <v>2607</v>
      </c>
      <c r="AA393" s="229" t="s">
        <v>162</v>
      </c>
      <c r="AB393" s="69"/>
      <c r="AC393" s="69"/>
      <c r="AD393" s="69"/>
      <c r="AE393" s="229">
        <v>2024.0</v>
      </c>
      <c r="AF393" s="229" t="s">
        <v>1268</v>
      </c>
      <c r="AG393" s="60"/>
      <c r="AH393" s="61"/>
      <c r="AI393" s="61"/>
      <c r="AJ393" s="61"/>
      <c r="AK393" s="61"/>
      <c r="AL393" s="61"/>
      <c r="AM393" s="61"/>
      <c r="AN393" s="61"/>
      <c r="AO393" s="61"/>
      <c r="AP393" s="61"/>
      <c r="AQ393" s="61"/>
      <c r="AR393" s="61"/>
    </row>
    <row r="394">
      <c r="A394" s="227">
        <v>23.0</v>
      </c>
      <c r="B394" s="228" t="s">
        <v>2609</v>
      </c>
      <c r="C394" s="238" t="s">
        <v>2610</v>
      </c>
      <c r="D394" s="229" t="s">
        <v>2611</v>
      </c>
      <c r="E394" s="59"/>
      <c r="F394" s="229" t="s">
        <v>470</v>
      </c>
      <c r="G394" s="229" t="s">
        <v>123</v>
      </c>
      <c r="H394" s="229" t="s">
        <v>2612</v>
      </c>
      <c r="I394" s="239" t="s">
        <v>2613</v>
      </c>
      <c r="J394" s="229" t="s">
        <v>91</v>
      </c>
      <c r="K394" s="229" t="s">
        <v>110</v>
      </c>
      <c r="L394" s="229" t="s">
        <v>111</v>
      </c>
      <c r="M394" s="231" t="s">
        <v>2614</v>
      </c>
      <c r="N394" s="229" t="s">
        <v>26</v>
      </c>
      <c r="O394" s="229" t="s">
        <v>113</v>
      </c>
      <c r="P394" s="229" t="s">
        <v>95</v>
      </c>
      <c r="Q394" s="233" t="s">
        <v>2782</v>
      </c>
      <c r="R394" s="229" t="s">
        <v>76</v>
      </c>
      <c r="S394" s="229" t="s">
        <v>97</v>
      </c>
      <c r="T394" s="69"/>
      <c r="U394" s="229" t="s">
        <v>78</v>
      </c>
      <c r="V394" s="229" t="s">
        <v>98</v>
      </c>
      <c r="W394" s="229" t="s">
        <v>649</v>
      </c>
      <c r="X394" s="69"/>
      <c r="Y394" s="69"/>
      <c r="Z394" s="229" t="s">
        <v>2489</v>
      </c>
      <c r="AA394" s="229" t="s">
        <v>140</v>
      </c>
      <c r="AB394" s="69"/>
      <c r="AC394" s="69"/>
      <c r="AD394" s="69"/>
      <c r="AE394" s="59"/>
      <c r="AF394" s="229" t="s">
        <v>111</v>
      </c>
      <c r="AG394" s="60"/>
      <c r="AH394" s="61"/>
      <c r="AI394" s="61"/>
      <c r="AJ394" s="61"/>
      <c r="AK394" s="61"/>
      <c r="AL394" s="61"/>
      <c r="AM394" s="61"/>
      <c r="AN394" s="61"/>
      <c r="AO394" s="61"/>
      <c r="AP394" s="61"/>
      <c r="AQ394" s="61"/>
      <c r="AR394" s="61"/>
    </row>
    <row r="395">
      <c r="A395" s="227">
        <v>24.0</v>
      </c>
      <c r="B395" s="228" t="s">
        <v>2618</v>
      </c>
      <c r="C395" s="228" t="s">
        <v>2619</v>
      </c>
      <c r="D395" s="229" t="s">
        <v>2620</v>
      </c>
      <c r="E395" s="59"/>
      <c r="F395" s="229" t="s">
        <v>452</v>
      </c>
      <c r="G395" s="229" t="s">
        <v>123</v>
      </c>
      <c r="H395" s="229" t="s">
        <v>2621</v>
      </c>
      <c r="I395" s="229" t="s">
        <v>2622</v>
      </c>
      <c r="J395" s="229" t="s">
        <v>91</v>
      </c>
      <c r="K395" s="229" t="s">
        <v>110</v>
      </c>
      <c r="L395" s="229" t="s">
        <v>152</v>
      </c>
      <c r="M395" s="231" t="s">
        <v>2623</v>
      </c>
      <c r="N395" s="229" t="s">
        <v>26</v>
      </c>
      <c r="O395" s="229" t="s">
        <v>113</v>
      </c>
      <c r="P395" s="229" t="s">
        <v>95</v>
      </c>
      <c r="Q395" s="233" t="s">
        <v>2783</v>
      </c>
      <c r="R395" s="229" t="s">
        <v>76</v>
      </c>
      <c r="S395" s="229" t="s">
        <v>97</v>
      </c>
      <c r="T395" s="69"/>
      <c r="U395" s="229" t="s">
        <v>78</v>
      </c>
      <c r="V395" s="229" t="s">
        <v>98</v>
      </c>
      <c r="W395" s="229" t="s">
        <v>2625</v>
      </c>
      <c r="X395" s="69"/>
      <c r="Y395" s="69"/>
      <c r="Z395" s="229" t="s">
        <v>2489</v>
      </c>
      <c r="AA395" s="229" t="s">
        <v>205</v>
      </c>
      <c r="AB395" s="69"/>
      <c r="AC395" s="69"/>
      <c r="AD395" s="69"/>
      <c r="AE395" s="59"/>
      <c r="AF395" s="229" t="s">
        <v>152</v>
      </c>
      <c r="AG395" s="60"/>
      <c r="AH395" s="61"/>
      <c r="AI395" s="61"/>
      <c r="AJ395" s="61"/>
      <c r="AK395" s="61"/>
      <c r="AL395" s="61"/>
      <c r="AM395" s="61"/>
      <c r="AN395" s="61"/>
      <c r="AO395" s="61"/>
      <c r="AP395" s="61"/>
      <c r="AQ395" s="61"/>
      <c r="AR395" s="61"/>
    </row>
    <row r="396">
      <c r="A396" s="227">
        <v>25.0</v>
      </c>
      <c r="B396" s="228" t="s">
        <v>2626</v>
      </c>
      <c r="C396" s="228" t="s">
        <v>2627</v>
      </c>
      <c r="D396" s="229" t="s">
        <v>2628</v>
      </c>
      <c r="E396" s="59"/>
      <c r="F396" s="229" t="s">
        <v>165</v>
      </c>
      <c r="G396" s="229" t="s">
        <v>66</v>
      </c>
      <c r="H396" s="229" t="s">
        <v>2629</v>
      </c>
      <c r="I396" s="228" t="s">
        <v>2630</v>
      </c>
      <c r="J396" s="229" t="s">
        <v>91</v>
      </c>
      <c r="K396" s="229" t="s">
        <v>70</v>
      </c>
      <c r="L396" s="229" t="s">
        <v>152</v>
      </c>
      <c r="M396" s="231" t="s">
        <v>2784</v>
      </c>
      <c r="N396" s="229" t="s">
        <v>26</v>
      </c>
      <c r="O396" s="229" t="s">
        <v>113</v>
      </c>
      <c r="P396" s="229" t="s">
        <v>95</v>
      </c>
      <c r="Q396" s="233" t="s">
        <v>2785</v>
      </c>
      <c r="R396" s="229" t="s">
        <v>76</v>
      </c>
      <c r="S396" s="229" t="s">
        <v>97</v>
      </c>
      <c r="T396" s="69"/>
      <c r="U396" s="229" t="s">
        <v>78</v>
      </c>
      <c r="V396" s="229" t="s">
        <v>79</v>
      </c>
      <c r="W396" s="229" t="s">
        <v>80</v>
      </c>
      <c r="X396" s="229" t="s">
        <v>80</v>
      </c>
      <c r="Y396" s="229" t="s">
        <v>80</v>
      </c>
      <c r="Z396" s="229" t="s">
        <v>2489</v>
      </c>
      <c r="AA396" s="229" t="s">
        <v>140</v>
      </c>
      <c r="AB396" s="69"/>
      <c r="AC396" s="69"/>
      <c r="AD396" s="69"/>
      <c r="AE396" s="59"/>
      <c r="AF396" s="229" t="s">
        <v>1268</v>
      </c>
      <c r="AG396" s="60"/>
      <c r="AH396" s="61"/>
      <c r="AI396" s="61"/>
      <c r="AJ396" s="61"/>
      <c r="AK396" s="61"/>
      <c r="AL396" s="61"/>
      <c r="AM396" s="61"/>
      <c r="AN396" s="61"/>
      <c r="AO396" s="61"/>
      <c r="AP396" s="61"/>
      <c r="AQ396" s="61"/>
      <c r="AR396" s="61"/>
    </row>
    <row r="397">
      <c r="A397" s="227">
        <v>26.0</v>
      </c>
      <c r="B397" s="228" t="s">
        <v>2634</v>
      </c>
      <c r="C397" s="228" t="s">
        <v>2635</v>
      </c>
      <c r="D397" s="229" t="s">
        <v>2628</v>
      </c>
      <c r="E397" s="59"/>
      <c r="F397" s="229" t="s">
        <v>165</v>
      </c>
      <c r="G397" s="229" t="s">
        <v>123</v>
      </c>
      <c r="H397" s="229" t="s">
        <v>2636</v>
      </c>
      <c r="I397" s="229" t="s">
        <v>2637</v>
      </c>
      <c r="J397" s="229" t="s">
        <v>91</v>
      </c>
      <c r="K397" s="229" t="s">
        <v>110</v>
      </c>
      <c r="L397" s="229" t="s">
        <v>101</v>
      </c>
      <c r="M397" s="231" t="s">
        <v>2638</v>
      </c>
      <c r="N397" s="229" t="s">
        <v>73</v>
      </c>
      <c r="O397" s="229" t="s">
        <v>73</v>
      </c>
      <c r="P397" s="229" t="s">
        <v>95</v>
      </c>
      <c r="Q397" s="233" t="s">
        <v>2786</v>
      </c>
      <c r="R397" s="229" t="s">
        <v>76</v>
      </c>
      <c r="S397" s="229" t="s">
        <v>97</v>
      </c>
      <c r="T397" s="69"/>
      <c r="U397" s="229" t="s">
        <v>78</v>
      </c>
      <c r="V397" s="229" t="s">
        <v>79</v>
      </c>
      <c r="W397" s="229" t="s">
        <v>80</v>
      </c>
      <c r="X397" s="229" t="s">
        <v>80</v>
      </c>
      <c r="Y397" s="229" t="s">
        <v>80</v>
      </c>
      <c r="Z397" s="229" t="s">
        <v>2489</v>
      </c>
      <c r="AA397" s="229" t="s">
        <v>162</v>
      </c>
      <c r="AB397" s="69"/>
      <c r="AC397" s="69"/>
      <c r="AD397" s="69"/>
      <c r="AE397" s="59"/>
      <c r="AF397" s="229" t="s">
        <v>566</v>
      </c>
      <c r="AG397" s="60"/>
      <c r="AH397" s="61"/>
      <c r="AI397" s="61"/>
      <c r="AJ397" s="61"/>
      <c r="AK397" s="61"/>
      <c r="AL397" s="61"/>
      <c r="AM397" s="61"/>
      <c r="AN397" s="61"/>
      <c r="AO397" s="61"/>
      <c r="AP397" s="61"/>
      <c r="AQ397" s="61"/>
      <c r="AR397" s="61"/>
    </row>
    <row r="398">
      <c r="A398" s="227">
        <v>27.0</v>
      </c>
      <c r="B398" s="228" t="s">
        <v>61</v>
      </c>
      <c r="C398" s="228" t="s">
        <v>2640</v>
      </c>
      <c r="D398" s="229" t="s">
        <v>2641</v>
      </c>
      <c r="E398" s="59"/>
      <c r="F398" s="229" t="s">
        <v>165</v>
      </c>
      <c r="G398" s="229" t="s">
        <v>66</v>
      </c>
      <c r="H398" s="229" t="s">
        <v>2642</v>
      </c>
      <c r="I398" s="228" t="s">
        <v>2643</v>
      </c>
      <c r="J398" s="229" t="s">
        <v>151</v>
      </c>
      <c r="K398" s="229" t="s">
        <v>70</v>
      </c>
      <c r="L398" s="229" t="s">
        <v>101</v>
      </c>
      <c r="M398" s="231" t="s">
        <v>72</v>
      </c>
      <c r="N398" s="229" t="s">
        <v>73</v>
      </c>
      <c r="O398" s="229" t="s">
        <v>73</v>
      </c>
      <c r="P398" s="229" t="s">
        <v>95</v>
      </c>
      <c r="Q398" s="233" t="s">
        <v>2787</v>
      </c>
      <c r="R398" s="229" t="s">
        <v>76</v>
      </c>
      <c r="S398" s="229" t="s">
        <v>97</v>
      </c>
      <c r="T398" s="69"/>
      <c r="U398" s="229" t="s">
        <v>78</v>
      </c>
      <c r="V398" s="229" t="s">
        <v>79</v>
      </c>
      <c r="W398" s="229" t="s">
        <v>80</v>
      </c>
      <c r="X398" s="229" t="s">
        <v>80</v>
      </c>
      <c r="Y398" s="229" t="s">
        <v>80</v>
      </c>
      <c r="Z398" s="229" t="s">
        <v>2489</v>
      </c>
      <c r="AA398" s="229" t="s">
        <v>82</v>
      </c>
      <c r="AB398" s="69"/>
      <c r="AC398" s="69"/>
      <c r="AD398" s="69"/>
      <c r="AE398" s="59"/>
      <c r="AF398" s="229" t="s">
        <v>566</v>
      </c>
      <c r="AG398" s="60"/>
      <c r="AH398" s="61"/>
      <c r="AI398" s="61"/>
      <c r="AJ398" s="61"/>
      <c r="AK398" s="61"/>
      <c r="AL398" s="61"/>
      <c r="AM398" s="61"/>
      <c r="AN398" s="61"/>
      <c r="AO398" s="61"/>
      <c r="AP398" s="61"/>
      <c r="AQ398" s="61"/>
      <c r="AR398" s="61"/>
    </row>
    <row r="399">
      <c r="A399" s="227">
        <v>28.0</v>
      </c>
      <c r="B399" s="228" t="s">
        <v>2645</v>
      </c>
      <c r="C399" s="228" t="s">
        <v>2646</v>
      </c>
      <c r="D399" s="229" t="s">
        <v>2647</v>
      </c>
      <c r="E399" s="59"/>
      <c r="F399" s="229" t="s">
        <v>165</v>
      </c>
      <c r="G399" s="229" t="s">
        <v>66</v>
      </c>
      <c r="H399" s="229" t="s">
        <v>2648</v>
      </c>
      <c r="I399" s="228" t="s">
        <v>2649</v>
      </c>
      <c r="J399" s="229" t="s">
        <v>91</v>
      </c>
      <c r="K399" s="229" t="s">
        <v>110</v>
      </c>
      <c r="L399" s="229" t="s">
        <v>101</v>
      </c>
      <c r="M399" s="231" t="s">
        <v>527</v>
      </c>
      <c r="N399" s="229" t="s">
        <v>82</v>
      </c>
      <c r="O399" s="229" t="s">
        <v>113</v>
      </c>
      <c r="P399" s="229" t="s">
        <v>95</v>
      </c>
      <c r="Q399" s="233" t="s">
        <v>2788</v>
      </c>
      <c r="R399" s="229" t="s">
        <v>76</v>
      </c>
      <c r="S399" s="229" t="s">
        <v>97</v>
      </c>
      <c r="T399" s="69"/>
      <c r="U399" s="229" t="s">
        <v>78</v>
      </c>
      <c r="V399" s="229" t="s">
        <v>79</v>
      </c>
      <c r="W399" s="229" t="s">
        <v>80</v>
      </c>
      <c r="X399" s="229" t="s">
        <v>80</v>
      </c>
      <c r="Y399" s="229" t="s">
        <v>80</v>
      </c>
      <c r="Z399" s="229" t="s">
        <v>2489</v>
      </c>
      <c r="AA399" s="229" t="s">
        <v>82</v>
      </c>
      <c r="AB399" s="69"/>
      <c r="AC399" s="69"/>
      <c r="AD399" s="69"/>
      <c r="AE399" s="59"/>
      <c r="AF399" s="229" t="s">
        <v>566</v>
      </c>
      <c r="AG399" s="60"/>
      <c r="AH399" s="61"/>
      <c r="AI399" s="61"/>
      <c r="AJ399" s="61"/>
      <c r="AK399" s="61"/>
      <c r="AL399" s="61"/>
      <c r="AM399" s="61"/>
      <c r="AN399" s="61"/>
      <c r="AO399" s="61"/>
      <c r="AP399" s="61"/>
      <c r="AQ399" s="61"/>
      <c r="AR399" s="61"/>
    </row>
    <row r="400">
      <c r="A400" s="227">
        <v>29.0</v>
      </c>
      <c r="B400" s="228" t="s">
        <v>2657</v>
      </c>
      <c r="C400" s="228" t="s">
        <v>2658</v>
      </c>
      <c r="D400" s="228" t="s">
        <v>2659</v>
      </c>
      <c r="E400" s="59"/>
      <c r="F400" s="229" t="s">
        <v>344</v>
      </c>
      <c r="G400" s="229" t="s">
        <v>123</v>
      </c>
      <c r="H400" s="228" t="s">
        <v>2660</v>
      </c>
      <c r="I400" s="228" t="s">
        <v>2661</v>
      </c>
      <c r="J400" s="229" t="s">
        <v>151</v>
      </c>
      <c r="K400" s="229" t="s">
        <v>110</v>
      </c>
      <c r="L400" s="229" t="s">
        <v>152</v>
      </c>
      <c r="M400" s="231" t="s">
        <v>2662</v>
      </c>
      <c r="N400" s="229" t="s">
        <v>73</v>
      </c>
      <c r="O400" s="229" t="s">
        <v>73</v>
      </c>
      <c r="P400" s="229" t="s">
        <v>95</v>
      </c>
      <c r="Q400" s="233" t="s">
        <v>2789</v>
      </c>
      <c r="R400" s="229" t="s">
        <v>76</v>
      </c>
      <c r="S400" s="229" t="s">
        <v>97</v>
      </c>
      <c r="T400" s="69"/>
      <c r="U400" s="229" t="s">
        <v>78</v>
      </c>
      <c r="V400" s="69"/>
      <c r="W400" s="69"/>
      <c r="X400" s="69"/>
      <c r="Y400" s="69"/>
      <c r="Z400" s="229" t="s">
        <v>2664</v>
      </c>
      <c r="AA400" s="229" t="s">
        <v>162</v>
      </c>
      <c r="AB400" s="69"/>
      <c r="AC400" s="69"/>
      <c r="AD400" s="69"/>
      <c r="AE400" s="59"/>
      <c r="AF400" s="229" t="s">
        <v>152</v>
      </c>
      <c r="AG400" s="60"/>
      <c r="AH400" s="61"/>
      <c r="AI400" s="61"/>
      <c r="AJ400" s="61"/>
      <c r="AK400" s="61"/>
      <c r="AL400" s="61"/>
      <c r="AM400" s="61"/>
      <c r="AN400" s="61"/>
      <c r="AO400" s="61"/>
      <c r="AP400" s="61"/>
      <c r="AQ400" s="61"/>
      <c r="AR400" s="61"/>
    </row>
    <row r="401">
      <c r="A401" s="227">
        <v>30.0</v>
      </c>
      <c r="B401" s="228" t="s">
        <v>2667</v>
      </c>
      <c r="C401" s="228" t="s">
        <v>2668</v>
      </c>
      <c r="D401" s="228" t="s">
        <v>2669</v>
      </c>
      <c r="E401" s="59"/>
      <c r="F401" s="229" t="s">
        <v>344</v>
      </c>
      <c r="G401" s="229" t="s">
        <v>123</v>
      </c>
      <c r="H401" s="228" t="s">
        <v>2670</v>
      </c>
      <c r="I401" s="228" t="s">
        <v>2671</v>
      </c>
      <c r="J401" s="229" t="s">
        <v>151</v>
      </c>
      <c r="K401" s="229" t="s">
        <v>70</v>
      </c>
      <c r="L401" s="229" t="s">
        <v>101</v>
      </c>
      <c r="M401" s="231" t="s">
        <v>2672</v>
      </c>
      <c r="N401" s="229" t="s">
        <v>73</v>
      </c>
      <c r="O401" s="229" t="s">
        <v>73</v>
      </c>
      <c r="P401" s="229" t="s">
        <v>95</v>
      </c>
      <c r="Q401" s="233" t="s">
        <v>2790</v>
      </c>
      <c r="R401" s="229" t="s">
        <v>76</v>
      </c>
      <c r="S401" s="229" t="s">
        <v>97</v>
      </c>
      <c r="T401" s="69"/>
      <c r="U401" s="229" t="s">
        <v>78</v>
      </c>
      <c r="V401" s="229" t="s">
        <v>98</v>
      </c>
      <c r="W401" s="229" t="s">
        <v>2674</v>
      </c>
      <c r="X401" s="229" t="s">
        <v>155</v>
      </c>
      <c r="Y401" s="229" t="s">
        <v>139</v>
      </c>
      <c r="Z401" s="229" t="s">
        <v>2675</v>
      </c>
      <c r="AA401" s="229" t="s">
        <v>162</v>
      </c>
      <c r="AB401" s="69"/>
      <c r="AC401" s="69"/>
      <c r="AD401" s="69"/>
      <c r="AE401" s="59"/>
      <c r="AF401" s="229" t="s">
        <v>566</v>
      </c>
      <c r="AG401" s="60"/>
      <c r="AH401" s="61"/>
      <c r="AI401" s="61"/>
      <c r="AJ401" s="61"/>
      <c r="AK401" s="61"/>
      <c r="AL401" s="61"/>
      <c r="AM401" s="61"/>
      <c r="AN401" s="61"/>
      <c r="AO401" s="61"/>
      <c r="AP401" s="61"/>
      <c r="AQ401" s="61"/>
      <c r="AR401" s="61"/>
    </row>
    <row r="402">
      <c r="A402" s="227">
        <v>31.0</v>
      </c>
      <c r="B402" s="228" t="s">
        <v>2678</v>
      </c>
      <c r="C402" s="240" t="s">
        <v>2679</v>
      </c>
      <c r="D402" s="235" t="s">
        <v>2680</v>
      </c>
      <c r="E402" s="59"/>
      <c r="F402" s="228" t="s">
        <v>344</v>
      </c>
      <c r="G402" s="229" t="s">
        <v>123</v>
      </c>
      <c r="H402" s="229" t="s">
        <v>2681</v>
      </c>
      <c r="I402" s="229" t="s">
        <v>2681</v>
      </c>
      <c r="J402" s="229" t="s">
        <v>69</v>
      </c>
      <c r="K402" s="229" t="s">
        <v>110</v>
      </c>
      <c r="L402" s="229" t="s">
        <v>71</v>
      </c>
      <c r="M402" s="231" t="s">
        <v>2682</v>
      </c>
      <c r="N402" s="229" t="s">
        <v>73</v>
      </c>
      <c r="O402" s="229" t="s">
        <v>73</v>
      </c>
      <c r="P402" s="229" t="s">
        <v>95</v>
      </c>
      <c r="Q402" s="233" t="s">
        <v>2791</v>
      </c>
      <c r="R402" s="229" t="s">
        <v>76</v>
      </c>
      <c r="S402" s="229" t="s">
        <v>97</v>
      </c>
      <c r="T402" s="229">
        <v>2018.0</v>
      </c>
      <c r="U402" s="229" t="s">
        <v>78</v>
      </c>
      <c r="V402" s="228" t="s">
        <v>79</v>
      </c>
      <c r="W402" s="229" t="s">
        <v>2684</v>
      </c>
      <c r="X402" s="228" t="s">
        <v>80</v>
      </c>
      <c r="Y402" s="229" t="s">
        <v>80</v>
      </c>
      <c r="Z402" s="229" t="s">
        <v>2675</v>
      </c>
      <c r="AA402" s="229" t="s">
        <v>162</v>
      </c>
      <c r="AB402" s="69"/>
      <c r="AC402" s="69"/>
      <c r="AD402" s="69"/>
      <c r="AE402" s="59"/>
      <c r="AF402" s="229" t="s">
        <v>566</v>
      </c>
      <c r="AG402" s="60"/>
      <c r="AH402" s="61"/>
      <c r="AI402" s="61"/>
      <c r="AJ402" s="61"/>
      <c r="AK402" s="61"/>
      <c r="AL402" s="61"/>
      <c r="AM402" s="61"/>
      <c r="AN402" s="61"/>
      <c r="AO402" s="61"/>
      <c r="AP402" s="61"/>
      <c r="AQ402" s="61"/>
      <c r="AR402" s="61"/>
    </row>
    <row r="403">
      <c r="A403" s="227">
        <v>33.0</v>
      </c>
      <c r="B403" s="228" t="s">
        <v>2685</v>
      </c>
      <c r="C403" s="238" t="s">
        <v>2686</v>
      </c>
      <c r="D403" s="235" t="s">
        <v>2687</v>
      </c>
      <c r="E403" s="59"/>
      <c r="F403" s="69"/>
      <c r="G403" s="228" t="s">
        <v>123</v>
      </c>
      <c r="H403" s="238" t="s">
        <v>2688</v>
      </c>
      <c r="I403" s="228" t="s">
        <v>2688</v>
      </c>
      <c r="J403" s="229" t="s">
        <v>69</v>
      </c>
      <c r="K403" s="229" t="s">
        <v>110</v>
      </c>
      <c r="L403" s="229" t="s">
        <v>111</v>
      </c>
      <c r="M403" s="231" t="s">
        <v>2176</v>
      </c>
      <c r="N403" s="69"/>
      <c r="O403" s="229" t="s">
        <v>113</v>
      </c>
      <c r="P403" s="229" t="s">
        <v>95</v>
      </c>
      <c r="Q403" s="233" t="s">
        <v>2792</v>
      </c>
      <c r="R403" s="229" t="s">
        <v>76</v>
      </c>
      <c r="S403" s="229" t="s">
        <v>77</v>
      </c>
      <c r="T403" s="69"/>
      <c r="U403" s="229" t="s">
        <v>78</v>
      </c>
      <c r="V403" s="228" t="s">
        <v>79</v>
      </c>
      <c r="W403" s="228" t="s">
        <v>2520</v>
      </c>
      <c r="X403" s="228" t="s">
        <v>80</v>
      </c>
      <c r="Y403" s="229" t="s">
        <v>111</v>
      </c>
      <c r="Z403" s="228" t="s">
        <v>2690</v>
      </c>
      <c r="AA403" s="229" t="s">
        <v>207</v>
      </c>
      <c r="AB403" s="69"/>
      <c r="AC403" s="69"/>
      <c r="AD403" s="69"/>
      <c r="AE403" s="59"/>
      <c r="AF403" s="229" t="s">
        <v>566</v>
      </c>
      <c r="AG403" s="60"/>
      <c r="AH403" s="61"/>
      <c r="AI403" s="61"/>
      <c r="AJ403" s="61"/>
      <c r="AK403" s="61"/>
      <c r="AL403" s="61"/>
      <c r="AM403" s="61"/>
      <c r="AN403" s="61"/>
      <c r="AO403" s="61"/>
      <c r="AP403" s="61"/>
      <c r="AQ403" s="61"/>
      <c r="AR403" s="61"/>
    </row>
    <row r="404">
      <c r="A404" s="241">
        <v>34.0</v>
      </c>
      <c r="B404" s="228" t="s">
        <v>2793</v>
      </c>
      <c r="C404" s="228" t="s">
        <v>2794</v>
      </c>
      <c r="D404" s="228" t="s">
        <v>2795</v>
      </c>
      <c r="E404" s="59"/>
      <c r="F404" s="69"/>
      <c r="G404" s="229" t="s">
        <v>123</v>
      </c>
      <c r="H404" s="229" t="s">
        <v>2796</v>
      </c>
      <c r="I404" s="228" t="s">
        <v>2797</v>
      </c>
      <c r="J404" s="229" t="s">
        <v>151</v>
      </c>
      <c r="K404" s="229" t="s">
        <v>110</v>
      </c>
      <c r="L404" s="229" t="s">
        <v>111</v>
      </c>
      <c r="M404" s="237" t="s">
        <v>2798</v>
      </c>
      <c r="N404" s="229" t="s">
        <v>26</v>
      </c>
      <c r="O404" s="229" t="s">
        <v>113</v>
      </c>
      <c r="P404" s="229" t="s">
        <v>145</v>
      </c>
      <c r="Q404" s="230" t="s">
        <v>2799</v>
      </c>
      <c r="R404" s="229" t="s">
        <v>76</v>
      </c>
      <c r="S404" s="229" t="s">
        <v>97</v>
      </c>
      <c r="T404" s="69"/>
      <c r="U404" s="229" t="s">
        <v>78</v>
      </c>
      <c r="V404" s="229" t="s">
        <v>79</v>
      </c>
      <c r="W404" s="229" t="s">
        <v>2520</v>
      </c>
      <c r="X404" s="229" t="s">
        <v>80</v>
      </c>
      <c r="Y404" s="69"/>
      <c r="Z404" s="229" t="s">
        <v>2800</v>
      </c>
      <c r="AA404" s="69"/>
      <c r="AB404" s="228" t="s">
        <v>2801</v>
      </c>
      <c r="AC404" s="228">
        <v>8.7824441163E10</v>
      </c>
      <c r="AD404" s="228" t="s">
        <v>2802</v>
      </c>
      <c r="AE404" s="59"/>
      <c r="AF404" s="229" t="s">
        <v>111</v>
      </c>
      <c r="AG404" s="60"/>
      <c r="AH404" s="61"/>
      <c r="AI404" s="61"/>
      <c r="AJ404" s="61"/>
      <c r="AK404" s="61"/>
      <c r="AL404" s="61"/>
      <c r="AM404" s="61"/>
      <c r="AN404" s="61"/>
      <c r="AO404" s="61"/>
      <c r="AP404" s="61"/>
      <c r="AQ404" s="61"/>
      <c r="AR404" s="61"/>
    </row>
    <row r="405">
      <c r="A405" s="241">
        <v>35.0</v>
      </c>
      <c r="B405" s="228" t="s">
        <v>2803</v>
      </c>
      <c r="C405" s="228" t="s">
        <v>2804</v>
      </c>
      <c r="D405" s="59"/>
      <c r="E405" s="59"/>
      <c r="F405" s="69"/>
      <c r="G405" s="229" t="s">
        <v>66</v>
      </c>
      <c r="H405" s="229" t="s">
        <v>2805</v>
      </c>
      <c r="I405" s="228" t="s">
        <v>2806</v>
      </c>
      <c r="J405" s="229" t="s">
        <v>91</v>
      </c>
      <c r="K405" s="229" t="s">
        <v>110</v>
      </c>
      <c r="L405" s="229" t="s">
        <v>152</v>
      </c>
      <c r="M405" s="237" t="s">
        <v>2807</v>
      </c>
      <c r="N405" s="229" t="s">
        <v>26</v>
      </c>
      <c r="O405" s="229" t="s">
        <v>113</v>
      </c>
      <c r="P405" s="229" t="s">
        <v>153</v>
      </c>
      <c r="Q405" s="69"/>
      <c r="R405" s="229" t="s">
        <v>146</v>
      </c>
      <c r="S405" s="229" t="s">
        <v>97</v>
      </c>
      <c r="T405" s="69"/>
      <c r="U405" s="229" t="s">
        <v>78</v>
      </c>
      <c r="V405" s="229" t="s">
        <v>79</v>
      </c>
      <c r="W405" s="229" t="s">
        <v>2520</v>
      </c>
      <c r="X405" s="229" t="s">
        <v>80</v>
      </c>
      <c r="Y405" s="69"/>
      <c r="Z405" s="229" t="s">
        <v>2808</v>
      </c>
      <c r="AA405" s="69"/>
      <c r="AB405" s="69"/>
      <c r="AC405" s="69"/>
      <c r="AD405" s="69"/>
      <c r="AE405" s="59"/>
      <c r="AF405" s="229" t="s">
        <v>152</v>
      </c>
      <c r="AG405" s="60"/>
      <c r="AH405" s="61"/>
      <c r="AI405" s="61"/>
      <c r="AJ405" s="61"/>
      <c r="AK405" s="61"/>
      <c r="AL405" s="61"/>
      <c r="AM405" s="61"/>
      <c r="AN405" s="61"/>
      <c r="AO405" s="61"/>
      <c r="AP405" s="61"/>
      <c r="AQ405" s="61"/>
      <c r="AR405" s="61"/>
    </row>
    <row r="406">
      <c r="A406" s="241">
        <v>36.0</v>
      </c>
      <c r="B406" s="228" t="s">
        <v>2809</v>
      </c>
      <c r="C406" s="228" t="s">
        <v>2810</v>
      </c>
      <c r="D406" s="59"/>
      <c r="E406" s="59"/>
      <c r="F406" s="69"/>
      <c r="G406" s="229" t="s">
        <v>66</v>
      </c>
      <c r="H406" s="229" t="s">
        <v>2811</v>
      </c>
      <c r="I406" s="228" t="s">
        <v>2812</v>
      </c>
      <c r="J406" s="229" t="s">
        <v>91</v>
      </c>
      <c r="K406" s="229" t="s">
        <v>70</v>
      </c>
      <c r="L406" s="229" t="s">
        <v>71</v>
      </c>
      <c r="M406" s="237" t="s">
        <v>2813</v>
      </c>
      <c r="N406" s="229" t="s">
        <v>26</v>
      </c>
      <c r="O406" s="229" t="s">
        <v>113</v>
      </c>
      <c r="P406" s="229" t="s">
        <v>153</v>
      </c>
      <c r="Q406" s="69"/>
      <c r="R406" s="229" t="s">
        <v>146</v>
      </c>
      <c r="S406" s="229" t="s">
        <v>97</v>
      </c>
      <c r="T406" s="69"/>
      <c r="U406" s="229" t="s">
        <v>78</v>
      </c>
      <c r="V406" s="229" t="s">
        <v>79</v>
      </c>
      <c r="W406" s="229" t="s">
        <v>2520</v>
      </c>
      <c r="X406" s="229" t="s">
        <v>80</v>
      </c>
      <c r="Y406" s="69"/>
      <c r="Z406" s="229" t="s">
        <v>2814</v>
      </c>
      <c r="AA406" s="69"/>
      <c r="AB406" s="69"/>
      <c r="AC406" s="69"/>
      <c r="AD406" s="69"/>
      <c r="AE406" s="59"/>
      <c r="AF406" s="229" t="s">
        <v>71</v>
      </c>
      <c r="AG406" s="60"/>
      <c r="AH406" s="61"/>
      <c r="AI406" s="61"/>
      <c r="AJ406" s="61"/>
      <c r="AK406" s="61"/>
      <c r="AL406" s="61"/>
      <c r="AM406" s="61"/>
      <c r="AN406" s="61"/>
      <c r="AO406" s="61"/>
      <c r="AP406" s="61"/>
      <c r="AQ406" s="61"/>
      <c r="AR406" s="61"/>
    </row>
    <row r="407">
      <c r="A407" s="241">
        <v>37.0</v>
      </c>
      <c r="B407" s="228" t="s">
        <v>2815</v>
      </c>
      <c r="C407" s="69"/>
      <c r="D407" s="59"/>
      <c r="E407" s="59"/>
      <c r="F407" s="69"/>
      <c r="G407" s="69"/>
      <c r="H407" s="69"/>
      <c r="I407" s="200"/>
      <c r="J407" s="229" t="s">
        <v>151</v>
      </c>
      <c r="K407" s="229" t="s">
        <v>110</v>
      </c>
      <c r="L407" s="229" t="s">
        <v>101</v>
      </c>
      <c r="M407" s="237" t="s">
        <v>2816</v>
      </c>
      <c r="N407" s="229" t="s">
        <v>26</v>
      </c>
      <c r="O407" s="229" t="s">
        <v>113</v>
      </c>
      <c r="P407" s="229" t="s">
        <v>153</v>
      </c>
      <c r="Q407" s="69"/>
      <c r="R407" s="229" t="s">
        <v>146</v>
      </c>
      <c r="S407" s="229" t="s">
        <v>97</v>
      </c>
      <c r="T407" s="69"/>
      <c r="U407" s="229" t="s">
        <v>78</v>
      </c>
      <c r="V407" s="229" t="s">
        <v>79</v>
      </c>
      <c r="W407" s="229" t="s">
        <v>2520</v>
      </c>
      <c r="X407" s="229" t="s">
        <v>80</v>
      </c>
      <c r="Y407" s="69"/>
      <c r="Z407" s="229" t="s">
        <v>2817</v>
      </c>
      <c r="AA407" s="69"/>
      <c r="AB407" s="69"/>
      <c r="AC407" s="69"/>
      <c r="AD407" s="69"/>
      <c r="AE407" s="59"/>
      <c r="AF407" s="229" t="s">
        <v>71</v>
      </c>
      <c r="AG407" s="60"/>
      <c r="AH407" s="61"/>
      <c r="AI407" s="61"/>
      <c r="AJ407" s="61"/>
      <c r="AK407" s="61"/>
      <c r="AL407" s="61"/>
      <c r="AM407" s="61"/>
      <c r="AN407" s="61"/>
      <c r="AO407" s="61"/>
      <c r="AP407" s="61"/>
      <c r="AQ407" s="61"/>
      <c r="AR407" s="61"/>
    </row>
    <row r="408">
      <c r="A408" s="241">
        <v>38.0</v>
      </c>
      <c r="B408" s="228" t="s">
        <v>2818</v>
      </c>
      <c r="C408" s="69"/>
      <c r="D408" s="59"/>
      <c r="E408" s="59"/>
      <c r="F408" s="69"/>
      <c r="G408" s="229" t="s">
        <v>123</v>
      </c>
      <c r="H408" s="229" t="s">
        <v>2819</v>
      </c>
      <c r="I408" s="242" t="s">
        <v>2820</v>
      </c>
      <c r="J408" s="229" t="s">
        <v>151</v>
      </c>
      <c r="K408" s="229" t="s">
        <v>110</v>
      </c>
      <c r="L408" s="229" t="s">
        <v>101</v>
      </c>
      <c r="M408" s="93" t="s">
        <v>607</v>
      </c>
      <c r="N408" s="229" t="s">
        <v>73</v>
      </c>
      <c r="O408" s="229" t="s">
        <v>73</v>
      </c>
      <c r="P408" s="229" t="s">
        <v>95</v>
      </c>
      <c r="Q408" s="230" t="s">
        <v>2821</v>
      </c>
      <c r="R408" s="229" t="s">
        <v>76</v>
      </c>
      <c r="S408" s="229" t="s">
        <v>97</v>
      </c>
      <c r="T408" s="69"/>
      <c r="U408" s="229" t="s">
        <v>78</v>
      </c>
      <c r="V408" s="229" t="s">
        <v>98</v>
      </c>
      <c r="W408" s="69"/>
      <c r="X408" s="69"/>
      <c r="Y408" s="69"/>
      <c r="Z408" s="229" t="s">
        <v>2822</v>
      </c>
      <c r="AA408" s="69"/>
      <c r="AB408" s="229" t="s">
        <v>2752</v>
      </c>
      <c r="AC408" s="229">
        <v>8.5716358699E10</v>
      </c>
      <c r="AD408" s="229" t="s">
        <v>2753</v>
      </c>
      <c r="AE408" s="59"/>
      <c r="AF408" s="229" t="s">
        <v>566</v>
      </c>
      <c r="AG408" s="60"/>
      <c r="AH408" s="61"/>
      <c r="AI408" s="61"/>
      <c r="AJ408" s="61"/>
      <c r="AK408" s="61"/>
      <c r="AL408" s="61"/>
      <c r="AM408" s="61"/>
      <c r="AN408" s="61"/>
      <c r="AO408" s="61"/>
      <c r="AP408" s="61"/>
      <c r="AQ408" s="61"/>
      <c r="AR408" s="61"/>
    </row>
    <row r="409">
      <c r="A409" s="241">
        <v>39.0</v>
      </c>
      <c r="B409" s="228" t="s">
        <v>2823</v>
      </c>
      <c r="C409" s="228" t="s">
        <v>2824</v>
      </c>
      <c r="D409" s="228" t="s">
        <v>2825</v>
      </c>
      <c r="E409" s="59"/>
      <c r="F409" s="229" t="s">
        <v>469</v>
      </c>
      <c r="G409" s="229" t="s">
        <v>131</v>
      </c>
      <c r="H409" s="228" t="s">
        <v>2826</v>
      </c>
      <c r="I409" s="228" t="s">
        <v>2827</v>
      </c>
      <c r="J409" s="229" t="s">
        <v>151</v>
      </c>
      <c r="K409" s="229" t="s">
        <v>70</v>
      </c>
      <c r="L409" s="229" t="s">
        <v>71</v>
      </c>
      <c r="M409" s="237" t="s">
        <v>657</v>
      </c>
      <c r="N409" s="229" t="s">
        <v>82</v>
      </c>
      <c r="O409" s="229" t="s">
        <v>113</v>
      </c>
      <c r="P409" s="229" t="s">
        <v>74</v>
      </c>
      <c r="Q409" s="230" t="s">
        <v>2828</v>
      </c>
      <c r="R409" s="229" t="s">
        <v>76</v>
      </c>
      <c r="S409" s="229" t="s">
        <v>97</v>
      </c>
      <c r="T409" s="243">
        <v>2020.0</v>
      </c>
      <c r="U409" s="229" t="s">
        <v>78</v>
      </c>
      <c r="V409" s="229" t="s">
        <v>79</v>
      </c>
      <c r="W409" s="229" t="s">
        <v>2829</v>
      </c>
      <c r="X409" s="229" t="s">
        <v>148</v>
      </c>
      <c r="Y409" s="229" t="s">
        <v>139</v>
      </c>
      <c r="Z409" s="229" t="s">
        <v>2830</v>
      </c>
      <c r="AA409" s="229" t="s">
        <v>211</v>
      </c>
      <c r="AB409" s="230" t="s">
        <v>2831</v>
      </c>
      <c r="AC409" s="228">
        <v>8.2127317127E10</v>
      </c>
      <c r="AD409" s="228" t="s">
        <v>2832</v>
      </c>
      <c r="AE409" s="59"/>
      <c r="AF409" s="229" t="s">
        <v>1268</v>
      </c>
      <c r="AG409" s="60"/>
      <c r="AH409" s="61"/>
      <c r="AI409" s="61"/>
      <c r="AJ409" s="61"/>
      <c r="AK409" s="61"/>
      <c r="AL409" s="61"/>
      <c r="AM409" s="61"/>
      <c r="AN409" s="61"/>
      <c r="AO409" s="61"/>
      <c r="AP409" s="61"/>
      <c r="AQ409" s="61"/>
      <c r="AR409" s="61"/>
    </row>
    <row r="410">
      <c r="A410" s="244"/>
      <c r="B410" s="245" t="s">
        <v>2833</v>
      </c>
      <c r="C410" s="245" t="s">
        <v>2834</v>
      </c>
      <c r="D410" s="245" t="s">
        <v>2835</v>
      </c>
      <c r="E410" s="246"/>
      <c r="F410" s="247" t="s">
        <v>469</v>
      </c>
      <c r="G410" s="247" t="s">
        <v>131</v>
      </c>
      <c r="H410" s="245" t="s">
        <v>2836</v>
      </c>
      <c r="I410" s="245" t="s">
        <v>2837</v>
      </c>
      <c r="J410" s="247" t="s">
        <v>151</v>
      </c>
      <c r="K410" s="247" t="s">
        <v>70</v>
      </c>
      <c r="L410" s="247" t="s">
        <v>71</v>
      </c>
      <c r="M410" s="248" t="s">
        <v>2197</v>
      </c>
      <c r="N410" s="247" t="s">
        <v>82</v>
      </c>
      <c r="O410" s="247" t="s">
        <v>113</v>
      </c>
      <c r="P410" s="247" t="s">
        <v>74</v>
      </c>
      <c r="Q410" s="249" t="s">
        <v>2838</v>
      </c>
      <c r="R410" s="247" t="s">
        <v>76</v>
      </c>
      <c r="S410" s="247" t="s">
        <v>97</v>
      </c>
      <c r="T410" s="250">
        <v>2020.0</v>
      </c>
      <c r="U410" s="247" t="s">
        <v>78</v>
      </c>
      <c r="V410" s="247" t="s">
        <v>79</v>
      </c>
      <c r="W410" s="251"/>
      <c r="X410" s="247" t="s">
        <v>148</v>
      </c>
      <c r="Y410" s="247" t="s">
        <v>139</v>
      </c>
      <c r="Z410" s="247" t="s">
        <v>2830</v>
      </c>
      <c r="AA410" s="247" t="s">
        <v>211</v>
      </c>
      <c r="AB410" s="252" t="s">
        <v>2839</v>
      </c>
      <c r="AC410" s="250">
        <v>8.2127317127E10</v>
      </c>
      <c r="AD410" s="253" t="s">
        <v>2832</v>
      </c>
      <c r="AE410" s="254"/>
      <c r="AF410" s="247" t="s">
        <v>1268</v>
      </c>
      <c r="AG410" s="255"/>
      <c r="AH410" s="61"/>
      <c r="AI410" s="61"/>
      <c r="AJ410" s="61"/>
      <c r="AK410" s="61"/>
      <c r="AL410" s="61"/>
      <c r="AM410" s="61"/>
      <c r="AN410" s="61"/>
      <c r="AO410" s="61"/>
      <c r="AP410" s="61"/>
      <c r="AQ410" s="61"/>
      <c r="AR410" s="61"/>
    </row>
    <row r="411">
      <c r="A411" s="241">
        <v>41.0</v>
      </c>
      <c r="B411" s="228" t="s">
        <v>2840</v>
      </c>
      <c r="C411" s="228" t="s">
        <v>2841</v>
      </c>
      <c r="D411" s="228" t="s">
        <v>2842</v>
      </c>
      <c r="E411" s="59"/>
      <c r="F411" s="256" t="s">
        <v>469</v>
      </c>
      <c r="G411" s="256" t="s">
        <v>131</v>
      </c>
      <c r="H411" s="228" t="s">
        <v>2843</v>
      </c>
      <c r="I411" s="228" t="s">
        <v>2844</v>
      </c>
      <c r="J411" s="256" t="s">
        <v>151</v>
      </c>
      <c r="K411" s="256" t="s">
        <v>70</v>
      </c>
      <c r="L411" s="256" t="s">
        <v>71</v>
      </c>
      <c r="M411" s="237" t="s">
        <v>1114</v>
      </c>
      <c r="N411" s="229" t="s">
        <v>73</v>
      </c>
      <c r="O411" s="229" t="s">
        <v>73</v>
      </c>
      <c r="P411" s="229" t="s">
        <v>95</v>
      </c>
      <c r="Q411" s="230" t="s">
        <v>2845</v>
      </c>
      <c r="R411" s="256" t="s">
        <v>76</v>
      </c>
      <c r="S411" s="256" t="s">
        <v>97</v>
      </c>
      <c r="T411" s="257">
        <v>2020.0</v>
      </c>
      <c r="U411" s="229" t="s">
        <v>78</v>
      </c>
      <c r="V411" s="256" t="s">
        <v>98</v>
      </c>
      <c r="W411" s="258" t="s">
        <v>2846</v>
      </c>
      <c r="X411" s="256" t="s">
        <v>148</v>
      </c>
      <c r="Y411" s="256" t="s">
        <v>139</v>
      </c>
      <c r="Z411" s="256" t="s">
        <v>2830</v>
      </c>
      <c r="AA411" s="256" t="s">
        <v>211</v>
      </c>
      <c r="AB411" s="259" t="s">
        <v>2847</v>
      </c>
      <c r="AC411" s="257">
        <v>8.2127317127E10</v>
      </c>
      <c r="AD411" s="260" t="s">
        <v>2832</v>
      </c>
      <c r="AE411" s="261"/>
      <c r="AF411" s="256" t="s">
        <v>1268</v>
      </c>
      <c r="AG411" s="60"/>
      <c r="AH411" s="61"/>
      <c r="AI411" s="61"/>
      <c r="AJ411" s="61"/>
      <c r="AK411" s="61"/>
      <c r="AL411" s="61"/>
      <c r="AM411" s="61"/>
      <c r="AN411" s="61"/>
      <c r="AO411" s="61"/>
      <c r="AP411" s="61"/>
      <c r="AQ411" s="61"/>
      <c r="AR411" s="61"/>
    </row>
    <row r="412">
      <c r="A412" s="241">
        <v>42.0</v>
      </c>
      <c r="B412" s="228" t="s">
        <v>2848</v>
      </c>
      <c r="C412" s="76" t="s">
        <v>2849</v>
      </c>
      <c r="D412" s="228" t="s">
        <v>2850</v>
      </c>
      <c r="E412" s="59"/>
      <c r="F412" s="229" t="s">
        <v>387</v>
      </c>
      <c r="G412" s="229" t="s">
        <v>131</v>
      </c>
      <c r="H412" s="228" t="s">
        <v>2851</v>
      </c>
      <c r="I412" s="228" t="s">
        <v>2852</v>
      </c>
      <c r="J412" s="229" t="s">
        <v>151</v>
      </c>
      <c r="K412" s="229" t="s">
        <v>70</v>
      </c>
      <c r="L412" s="229" t="s">
        <v>71</v>
      </c>
      <c r="M412" s="93" t="s">
        <v>2853</v>
      </c>
      <c r="N412" s="229" t="s">
        <v>73</v>
      </c>
      <c r="O412" s="229" t="s">
        <v>73</v>
      </c>
      <c r="P412" s="229" t="s">
        <v>74</v>
      </c>
      <c r="Q412" s="230" t="s">
        <v>2854</v>
      </c>
      <c r="R412" s="229" t="s">
        <v>76</v>
      </c>
      <c r="S412" s="256" t="s">
        <v>97</v>
      </c>
      <c r="T412" s="257">
        <v>2020.0</v>
      </c>
      <c r="U412" s="229" t="s">
        <v>78</v>
      </c>
      <c r="V412" s="256" t="s">
        <v>98</v>
      </c>
      <c r="W412" s="258" t="s">
        <v>2855</v>
      </c>
      <c r="X412" s="256" t="s">
        <v>148</v>
      </c>
      <c r="Y412" s="256" t="s">
        <v>139</v>
      </c>
      <c r="Z412" s="256" t="s">
        <v>2830</v>
      </c>
      <c r="AA412" s="228" t="s">
        <v>2555</v>
      </c>
      <c r="AB412" s="259" t="s">
        <v>2856</v>
      </c>
      <c r="AC412" s="257">
        <v>8.2127317127E10</v>
      </c>
      <c r="AD412" s="260" t="s">
        <v>2832</v>
      </c>
      <c r="AE412" s="261"/>
      <c r="AF412" s="256" t="s">
        <v>1268</v>
      </c>
      <c r="AG412" s="60"/>
      <c r="AH412" s="61"/>
      <c r="AI412" s="61"/>
      <c r="AJ412" s="61"/>
      <c r="AK412" s="61"/>
      <c r="AL412" s="61"/>
      <c r="AM412" s="61"/>
      <c r="AN412" s="61"/>
      <c r="AO412" s="61"/>
      <c r="AP412" s="61"/>
      <c r="AQ412" s="61"/>
      <c r="AR412" s="61"/>
    </row>
    <row r="413">
      <c r="A413" s="71" t="s">
        <v>2857</v>
      </c>
      <c r="B413" s="57"/>
      <c r="C413" s="57"/>
      <c r="D413" s="58"/>
      <c r="E413" s="58"/>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94"/>
      <c r="AF413" s="94"/>
      <c r="AG413" s="60"/>
      <c r="AH413" s="60"/>
      <c r="AI413" s="60"/>
      <c r="AJ413" s="60"/>
      <c r="AK413" s="60"/>
      <c r="AL413" s="60"/>
      <c r="AM413" s="60"/>
      <c r="AN413" s="60"/>
      <c r="AO413" s="60"/>
      <c r="AP413" s="60"/>
      <c r="AQ413" s="60"/>
      <c r="AR413" s="61"/>
    </row>
    <row r="414">
      <c r="A414" s="95">
        <v>1.0</v>
      </c>
      <c r="B414" s="96" t="s">
        <v>2411</v>
      </c>
      <c r="C414" s="76" t="s">
        <v>2412</v>
      </c>
      <c r="D414" s="96" t="s">
        <v>2413</v>
      </c>
      <c r="E414" s="96" t="s">
        <v>88</v>
      </c>
      <c r="F414" s="79" t="s">
        <v>344</v>
      </c>
      <c r="G414" s="79" t="s">
        <v>66</v>
      </c>
      <c r="H414" s="79" t="s">
        <v>2415</v>
      </c>
      <c r="I414" s="96" t="s">
        <v>2416</v>
      </c>
      <c r="J414" s="79" t="s">
        <v>158</v>
      </c>
      <c r="K414" s="79" t="s">
        <v>70</v>
      </c>
      <c r="L414" s="79" t="s">
        <v>101</v>
      </c>
      <c r="M414" s="93" t="s">
        <v>2858</v>
      </c>
      <c r="N414" s="79" t="s">
        <v>93</v>
      </c>
      <c r="O414" s="79" t="s">
        <v>113</v>
      </c>
      <c r="P414" s="79" t="s">
        <v>153</v>
      </c>
      <c r="Q414" s="79" t="s">
        <v>2418</v>
      </c>
      <c r="R414" s="79" t="s">
        <v>76</v>
      </c>
      <c r="S414" s="79" t="s">
        <v>77</v>
      </c>
      <c r="T414" s="79">
        <v>2023.0</v>
      </c>
      <c r="U414" s="79" t="s">
        <v>78</v>
      </c>
      <c r="V414" s="79" t="s">
        <v>98</v>
      </c>
      <c r="W414" s="79" t="s">
        <v>2419</v>
      </c>
      <c r="X414" s="79" t="s">
        <v>148</v>
      </c>
      <c r="Y414" s="79" t="s">
        <v>139</v>
      </c>
      <c r="Z414" s="79" t="s">
        <v>2859</v>
      </c>
      <c r="AA414" s="79" t="s">
        <v>162</v>
      </c>
      <c r="AB414" s="96" t="s">
        <v>2860</v>
      </c>
      <c r="AC414" s="98">
        <v>8.5179729699E10</v>
      </c>
      <c r="AD414" s="69"/>
      <c r="AE414" s="59"/>
      <c r="AF414" s="68" t="s">
        <v>71</v>
      </c>
      <c r="AG414" s="60"/>
      <c r="AH414" s="61"/>
      <c r="AI414" s="61"/>
      <c r="AJ414" s="61"/>
      <c r="AK414" s="61"/>
      <c r="AL414" s="61"/>
      <c r="AM414" s="61"/>
      <c r="AN414" s="61"/>
      <c r="AO414" s="61"/>
      <c r="AP414" s="61"/>
      <c r="AQ414" s="61"/>
      <c r="AR414" s="61"/>
    </row>
    <row r="415">
      <c r="A415" s="95">
        <v>2.0</v>
      </c>
      <c r="B415" s="96" t="s">
        <v>2861</v>
      </c>
      <c r="C415" s="96" t="s">
        <v>2862</v>
      </c>
      <c r="D415" s="96" t="s">
        <v>2863</v>
      </c>
      <c r="E415" s="70" t="s">
        <v>2864</v>
      </c>
      <c r="F415" s="79" t="s">
        <v>268</v>
      </c>
      <c r="G415" s="79" t="s">
        <v>131</v>
      </c>
      <c r="H415" s="79" t="s">
        <v>2865</v>
      </c>
      <c r="I415" s="96" t="s">
        <v>2866</v>
      </c>
      <c r="J415" s="79" t="s">
        <v>158</v>
      </c>
      <c r="K415" s="79" t="s">
        <v>70</v>
      </c>
      <c r="L415" s="79" t="s">
        <v>101</v>
      </c>
      <c r="M415" s="93" t="s">
        <v>2867</v>
      </c>
      <c r="N415" s="79" t="s">
        <v>93</v>
      </c>
      <c r="O415" s="79" t="s">
        <v>113</v>
      </c>
      <c r="P415" s="79" t="s">
        <v>153</v>
      </c>
      <c r="Q415" s="79" t="s">
        <v>2418</v>
      </c>
      <c r="R415" s="79" t="s">
        <v>76</v>
      </c>
      <c r="S415" s="79" t="s">
        <v>77</v>
      </c>
      <c r="T415" s="98">
        <v>2024.0</v>
      </c>
      <c r="U415" s="79" t="s">
        <v>78</v>
      </c>
      <c r="V415" s="79" t="s">
        <v>79</v>
      </c>
      <c r="W415" s="79" t="s">
        <v>80</v>
      </c>
      <c r="X415" s="79" t="s">
        <v>148</v>
      </c>
      <c r="Y415" s="79" t="s">
        <v>139</v>
      </c>
      <c r="Z415" s="79" t="s">
        <v>2868</v>
      </c>
      <c r="AA415" s="79" t="s">
        <v>162</v>
      </c>
      <c r="AB415" s="96" t="s">
        <v>2869</v>
      </c>
      <c r="AC415" s="96">
        <v>8.1261858201E10</v>
      </c>
      <c r="AD415" s="69"/>
      <c r="AE415" s="59"/>
      <c r="AF415" s="68" t="s">
        <v>566</v>
      </c>
      <c r="AG415" s="60"/>
      <c r="AH415" s="61"/>
      <c r="AI415" s="61"/>
      <c r="AJ415" s="61"/>
      <c r="AK415" s="61"/>
      <c r="AL415" s="61"/>
      <c r="AM415" s="61"/>
      <c r="AN415" s="61"/>
      <c r="AO415" s="61"/>
      <c r="AP415" s="61"/>
      <c r="AQ415" s="61"/>
      <c r="AR415" s="61"/>
    </row>
    <row r="416">
      <c r="A416" s="95">
        <v>3.0</v>
      </c>
      <c r="B416" s="176" t="s">
        <v>2439</v>
      </c>
      <c r="C416" s="79" t="s">
        <v>2440</v>
      </c>
      <c r="D416" s="79" t="s">
        <v>2441</v>
      </c>
      <c r="E416" s="59"/>
      <c r="F416" s="67" t="s">
        <v>268</v>
      </c>
      <c r="G416" s="79" t="s">
        <v>123</v>
      </c>
      <c r="H416" s="79" t="s">
        <v>2442</v>
      </c>
      <c r="I416" s="96" t="s">
        <v>2443</v>
      </c>
      <c r="J416" s="79" t="s">
        <v>151</v>
      </c>
      <c r="K416" s="79" t="s">
        <v>70</v>
      </c>
      <c r="L416" s="79" t="s">
        <v>111</v>
      </c>
      <c r="M416" s="130" t="s">
        <v>2444</v>
      </c>
      <c r="N416" s="79" t="s">
        <v>26</v>
      </c>
      <c r="O416" s="79" t="s">
        <v>113</v>
      </c>
      <c r="P416" s="79" t="s">
        <v>95</v>
      </c>
      <c r="Q416" s="131" t="s">
        <v>2870</v>
      </c>
      <c r="R416" s="79" t="s">
        <v>76</v>
      </c>
      <c r="S416" s="79" t="s">
        <v>77</v>
      </c>
      <c r="T416" s="176">
        <v>2023.0</v>
      </c>
      <c r="U416" s="79" t="s">
        <v>78</v>
      </c>
      <c r="V416" s="79" t="s">
        <v>79</v>
      </c>
      <c r="W416" s="79" t="s">
        <v>80</v>
      </c>
      <c r="X416" s="79" t="s">
        <v>80</v>
      </c>
      <c r="Y416" s="79" t="s">
        <v>80</v>
      </c>
      <c r="Z416" s="79" t="s">
        <v>2446</v>
      </c>
      <c r="AA416" s="79" t="s">
        <v>207</v>
      </c>
      <c r="AB416" s="67" t="s">
        <v>2871</v>
      </c>
      <c r="AC416" s="77">
        <v>8.157232319E10</v>
      </c>
      <c r="AD416" s="69"/>
      <c r="AE416" s="59"/>
      <c r="AF416" s="79" t="s">
        <v>71</v>
      </c>
      <c r="AG416" s="60"/>
      <c r="AH416" s="61"/>
      <c r="AI416" s="61"/>
      <c r="AJ416" s="61"/>
      <c r="AK416" s="61"/>
      <c r="AL416" s="61"/>
      <c r="AM416" s="61"/>
      <c r="AN416" s="61"/>
      <c r="AO416" s="61"/>
      <c r="AP416" s="61"/>
      <c r="AQ416" s="61"/>
      <c r="AR416" s="61"/>
    </row>
    <row r="417">
      <c r="A417" s="95">
        <v>4.0</v>
      </c>
      <c r="B417" s="79" t="s">
        <v>2449</v>
      </c>
      <c r="C417" s="79" t="s">
        <v>2450</v>
      </c>
      <c r="D417" s="79" t="s">
        <v>2451</v>
      </c>
      <c r="E417" s="59"/>
      <c r="F417" s="79" t="s">
        <v>444</v>
      </c>
      <c r="G417" s="79" t="s">
        <v>131</v>
      </c>
      <c r="H417" s="79" t="s">
        <v>2452</v>
      </c>
      <c r="I417" s="96" t="s">
        <v>2453</v>
      </c>
      <c r="J417" s="79" t="s">
        <v>69</v>
      </c>
      <c r="K417" s="79" t="s">
        <v>70</v>
      </c>
      <c r="L417" s="79" t="s">
        <v>71</v>
      </c>
      <c r="M417" s="130" t="s">
        <v>2454</v>
      </c>
      <c r="N417" s="79" t="s">
        <v>93</v>
      </c>
      <c r="O417" s="79" t="s">
        <v>94</v>
      </c>
      <c r="P417" s="79" t="s">
        <v>95</v>
      </c>
      <c r="Q417" s="131" t="s">
        <v>2872</v>
      </c>
      <c r="R417" s="79" t="s">
        <v>76</v>
      </c>
      <c r="S417" s="79" t="s">
        <v>97</v>
      </c>
      <c r="T417" s="79">
        <v>2023.0</v>
      </c>
      <c r="U417" s="79" t="s">
        <v>78</v>
      </c>
      <c r="V417" s="79" t="s">
        <v>79</v>
      </c>
      <c r="W417" s="79" t="s">
        <v>80</v>
      </c>
      <c r="X417" s="79" t="s">
        <v>80</v>
      </c>
      <c r="Y417" s="79" t="s">
        <v>80</v>
      </c>
      <c r="Z417" s="79" t="s">
        <v>2456</v>
      </c>
      <c r="AA417" s="79" t="s">
        <v>207</v>
      </c>
      <c r="AB417" s="67" t="s">
        <v>2873</v>
      </c>
      <c r="AC417" s="77">
        <v>8.1322232824E10</v>
      </c>
      <c r="AD417" s="69"/>
      <c r="AE417" s="59"/>
      <c r="AF417" s="79" t="s">
        <v>152</v>
      </c>
      <c r="AG417" s="60"/>
      <c r="AH417" s="61"/>
      <c r="AI417" s="61"/>
      <c r="AJ417" s="61"/>
      <c r="AK417" s="61"/>
      <c r="AL417" s="61"/>
      <c r="AM417" s="61"/>
      <c r="AN417" s="61"/>
      <c r="AO417" s="61"/>
      <c r="AP417" s="61"/>
      <c r="AQ417" s="61"/>
      <c r="AR417" s="61"/>
    </row>
    <row r="418">
      <c r="A418" s="95">
        <v>5.0</v>
      </c>
      <c r="B418" s="79" t="s">
        <v>2459</v>
      </c>
      <c r="C418" s="79" t="s">
        <v>2460</v>
      </c>
      <c r="D418" s="79" t="s">
        <v>2461</v>
      </c>
      <c r="E418" s="59"/>
      <c r="F418" s="79" t="s">
        <v>448</v>
      </c>
      <c r="G418" s="79" t="s">
        <v>123</v>
      </c>
      <c r="H418" s="79" t="s">
        <v>2462</v>
      </c>
      <c r="I418" s="96" t="s">
        <v>2463</v>
      </c>
      <c r="J418" s="79" t="s">
        <v>158</v>
      </c>
      <c r="K418" s="79" t="s">
        <v>110</v>
      </c>
      <c r="L418" s="79" t="s">
        <v>71</v>
      </c>
      <c r="M418" s="130" t="s">
        <v>2754</v>
      </c>
      <c r="N418" s="79" t="s">
        <v>26</v>
      </c>
      <c r="O418" s="79" t="s">
        <v>113</v>
      </c>
      <c r="P418" s="79" t="s">
        <v>95</v>
      </c>
      <c r="Q418" s="131" t="s">
        <v>2874</v>
      </c>
      <c r="R418" s="79" t="s">
        <v>76</v>
      </c>
      <c r="S418" s="79" t="s">
        <v>97</v>
      </c>
      <c r="T418" s="79">
        <v>2024.0</v>
      </c>
      <c r="U418" s="79" t="s">
        <v>78</v>
      </c>
      <c r="V418" s="79" t="s">
        <v>79</v>
      </c>
      <c r="W418" s="79" t="s">
        <v>80</v>
      </c>
      <c r="X418" s="79" t="s">
        <v>80</v>
      </c>
      <c r="Y418" s="79" t="s">
        <v>80</v>
      </c>
      <c r="Z418" s="79" t="s">
        <v>2466</v>
      </c>
      <c r="AA418" s="79" t="s">
        <v>209</v>
      </c>
      <c r="AB418" s="67" t="s">
        <v>2875</v>
      </c>
      <c r="AC418" s="77">
        <v>8.2121919057E10</v>
      </c>
      <c r="AD418" s="69"/>
      <c r="AE418" s="59"/>
      <c r="AF418" s="79" t="s">
        <v>71</v>
      </c>
      <c r="AG418" s="60"/>
      <c r="AH418" s="61"/>
      <c r="AI418" s="61"/>
      <c r="AJ418" s="61"/>
      <c r="AK418" s="61"/>
      <c r="AL418" s="61"/>
      <c r="AM418" s="61"/>
      <c r="AN418" s="61"/>
      <c r="AO418" s="61"/>
      <c r="AP418" s="61"/>
      <c r="AQ418" s="61"/>
      <c r="AR418" s="61"/>
    </row>
    <row r="419">
      <c r="A419" s="95">
        <v>6.0</v>
      </c>
      <c r="B419" s="79" t="s">
        <v>2469</v>
      </c>
      <c r="C419" s="79" t="s">
        <v>2470</v>
      </c>
      <c r="D419" s="79" t="s">
        <v>2471</v>
      </c>
      <c r="E419" s="59"/>
      <c r="F419" s="79" t="s">
        <v>446</v>
      </c>
      <c r="G419" s="79" t="s">
        <v>123</v>
      </c>
      <c r="H419" s="79" t="s">
        <v>2472</v>
      </c>
      <c r="I419" s="96" t="s">
        <v>2473</v>
      </c>
      <c r="J419" s="79" t="s">
        <v>151</v>
      </c>
      <c r="K419" s="79" t="s">
        <v>70</v>
      </c>
      <c r="L419" s="79" t="s">
        <v>71</v>
      </c>
      <c r="M419" s="130" t="s">
        <v>607</v>
      </c>
      <c r="N419" s="79" t="s">
        <v>73</v>
      </c>
      <c r="O419" s="79" t="s">
        <v>73</v>
      </c>
      <c r="P419" s="79" t="s">
        <v>95</v>
      </c>
      <c r="Q419" s="131" t="s">
        <v>2876</v>
      </c>
      <c r="R419" s="79" t="s">
        <v>76</v>
      </c>
      <c r="S419" s="79" t="s">
        <v>97</v>
      </c>
      <c r="T419" s="79">
        <v>2021.0</v>
      </c>
      <c r="U419" s="79" t="s">
        <v>78</v>
      </c>
      <c r="V419" s="79" t="s">
        <v>98</v>
      </c>
      <c r="W419" s="79" t="s">
        <v>2475</v>
      </c>
      <c r="X419" s="79" t="s">
        <v>148</v>
      </c>
      <c r="Y419" s="69"/>
      <c r="Z419" s="79" t="s">
        <v>2476</v>
      </c>
      <c r="AA419" s="79" t="s">
        <v>207</v>
      </c>
      <c r="AB419" s="67" t="s">
        <v>2877</v>
      </c>
      <c r="AC419" s="77">
        <v>8.1261858201E10</v>
      </c>
      <c r="AD419" s="69"/>
      <c r="AE419" s="59"/>
      <c r="AF419" s="79" t="s">
        <v>152</v>
      </c>
      <c r="AG419" s="60"/>
      <c r="AH419" s="61"/>
      <c r="AI419" s="61"/>
      <c r="AJ419" s="61"/>
      <c r="AK419" s="61"/>
      <c r="AL419" s="61"/>
      <c r="AM419" s="61"/>
      <c r="AN419" s="61"/>
      <c r="AO419" s="61"/>
      <c r="AP419" s="61"/>
      <c r="AQ419" s="61"/>
      <c r="AR419" s="61"/>
    </row>
    <row r="420">
      <c r="A420" s="95">
        <v>7.0</v>
      </c>
      <c r="B420" s="79" t="s">
        <v>2481</v>
      </c>
      <c r="C420" s="79" t="s">
        <v>2482</v>
      </c>
      <c r="D420" s="79" t="s">
        <v>2483</v>
      </c>
      <c r="E420" s="59"/>
      <c r="F420" s="79" t="s">
        <v>446</v>
      </c>
      <c r="G420" s="79" t="s">
        <v>138</v>
      </c>
      <c r="H420" s="79" t="s">
        <v>2484</v>
      </c>
      <c r="I420" s="96" t="s">
        <v>2485</v>
      </c>
      <c r="J420" s="79" t="s">
        <v>91</v>
      </c>
      <c r="K420" s="79" t="s">
        <v>70</v>
      </c>
      <c r="L420" s="79" t="s">
        <v>71</v>
      </c>
      <c r="M420" s="130" t="s">
        <v>2486</v>
      </c>
      <c r="N420" s="79" t="s">
        <v>73</v>
      </c>
      <c r="O420" s="79" t="s">
        <v>73</v>
      </c>
      <c r="P420" s="79" t="s">
        <v>95</v>
      </c>
      <c r="Q420" s="131" t="s">
        <v>2878</v>
      </c>
      <c r="R420" s="79" t="s">
        <v>76</v>
      </c>
      <c r="S420" s="79" t="s">
        <v>97</v>
      </c>
      <c r="T420" s="79">
        <v>2010.0</v>
      </c>
      <c r="U420" s="79" t="s">
        <v>78</v>
      </c>
      <c r="V420" s="79" t="s">
        <v>98</v>
      </c>
      <c r="W420" s="79" t="s">
        <v>2488</v>
      </c>
      <c r="X420" s="79" t="s">
        <v>155</v>
      </c>
      <c r="Y420" s="79" t="s">
        <v>139</v>
      </c>
      <c r="Z420" s="79" t="s">
        <v>2489</v>
      </c>
      <c r="AA420" s="79" t="s">
        <v>140</v>
      </c>
      <c r="AB420" s="67" t="s">
        <v>2877</v>
      </c>
      <c r="AC420" s="77">
        <v>8.1261858201E10</v>
      </c>
      <c r="AD420" s="69"/>
      <c r="AE420" s="59"/>
      <c r="AF420" s="79" t="s">
        <v>566</v>
      </c>
      <c r="AG420" s="60"/>
      <c r="AH420" s="61"/>
      <c r="AI420" s="61"/>
      <c r="AJ420" s="61"/>
      <c r="AK420" s="61"/>
      <c r="AL420" s="61"/>
      <c r="AM420" s="61"/>
      <c r="AN420" s="61"/>
      <c r="AO420" s="61"/>
      <c r="AP420" s="61"/>
      <c r="AQ420" s="61"/>
      <c r="AR420" s="61"/>
    </row>
    <row r="421">
      <c r="A421" s="95">
        <v>8.0</v>
      </c>
      <c r="B421" s="79" t="s">
        <v>2492</v>
      </c>
      <c r="C421" s="79" t="s">
        <v>2493</v>
      </c>
      <c r="D421" s="79" t="s">
        <v>2494</v>
      </c>
      <c r="E421" s="59"/>
      <c r="F421" s="79" t="s">
        <v>470</v>
      </c>
      <c r="G421" s="79" t="s">
        <v>123</v>
      </c>
      <c r="H421" s="79" t="s">
        <v>2495</v>
      </c>
      <c r="I421" s="96" t="s">
        <v>2496</v>
      </c>
      <c r="J421" s="79" t="s">
        <v>69</v>
      </c>
      <c r="K421" s="79" t="s">
        <v>110</v>
      </c>
      <c r="L421" s="79" t="s">
        <v>101</v>
      </c>
      <c r="M421" s="130" t="s">
        <v>558</v>
      </c>
      <c r="N421" s="79" t="s">
        <v>26</v>
      </c>
      <c r="O421" s="79" t="s">
        <v>113</v>
      </c>
      <c r="P421" s="79" t="s">
        <v>95</v>
      </c>
      <c r="Q421" s="131" t="s">
        <v>2879</v>
      </c>
      <c r="R421" s="79" t="s">
        <v>76</v>
      </c>
      <c r="S421" s="79" t="s">
        <v>97</v>
      </c>
      <c r="T421" s="79">
        <v>2023.0</v>
      </c>
      <c r="U421" s="79" t="s">
        <v>78</v>
      </c>
      <c r="V421" s="79" t="s">
        <v>79</v>
      </c>
      <c r="W421" s="79" t="s">
        <v>80</v>
      </c>
      <c r="X421" s="79" t="s">
        <v>80</v>
      </c>
      <c r="Y421" s="79" t="s">
        <v>80</v>
      </c>
      <c r="Z421" s="79" t="s">
        <v>2456</v>
      </c>
      <c r="AA421" s="79" t="s">
        <v>156</v>
      </c>
      <c r="AB421" s="67" t="s">
        <v>2880</v>
      </c>
      <c r="AC421" s="77">
        <v>8.1322123575E10</v>
      </c>
      <c r="AD421" s="69"/>
      <c r="AE421" s="59"/>
      <c r="AF421" s="79" t="s">
        <v>566</v>
      </c>
      <c r="AG421" s="60"/>
      <c r="AH421" s="61"/>
      <c r="AI421" s="61"/>
      <c r="AJ421" s="61"/>
      <c r="AK421" s="61"/>
      <c r="AL421" s="61"/>
      <c r="AM421" s="61"/>
      <c r="AN421" s="61"/>
      <c r="AO421" s="61"/>
      <c r="AP421" s="61"/>
      <c r="AQ421" s="61"/>
      <c r="AR421" s="61"/>
    </row>
    <row r="422">
      <c r="A422" s="95">
        <v>9.0</v>
      </c>
      <c r="B422" s="79" t="s">
        <v>2500</v>
      </c>
      <c r="C422" s="79" t="s">
        <v>2501</v>
      </c>
      <c r="D422" s="79" t="s">
        <v>2502</v>
      </c>
      <c r="E422" s="79" t="s">
        <v>2503</v>
      </c>
      <c r="F422" s="79" t="s">
        <v>444</v>
      </c>
      <c r="G422" s="79" t="s">
        <v>123</v>
      </c>
      <c r="H422" s="79" t="s">
        <v>2504</v>
      </c>
      <c r="I422" s="96" t="s">
        <v>2505</v>
      </c>
      <c r="J422" s="79" t="s">
        <v>91</v>
      </c>
      <c r="K422" s="79" t="s">
        <v>110</v>
      </c>
      <c r="L422" s="79" t="s">
        <v>71</v>
      </c>
      <c r="M422" s="130" t="s">
        <v>593</v>
      </c>
      <c r="N422" s="79" t="s">
        <v>26</v>
      </c>
      <c r="O422" s="79" t="s">
        <v>113</v>
      </c>
      <c r="P422" s="79" t="s">
        <v>95</v>
      </c>
      <c r="Q422" s="131" t="s">
        <v>2881</v>
      </c>
      <c r="R422" s="79" t="s">
        <v>76</v>
      </c>
      <c r="S422" s="79" t="s">
        <v>77</v>
      </c>
      <c r="T422" s="79">
        <v>2018.0</v>
      </c>
      <c r="U422" s="79" t="s">
        <v>78</v>
      </c>
      <c r="V422" s="79" t="s">
        <v>98</v>
      </c>
      <c r="W422" s="79" t="s">
        <v>80</v>
      </c>
      <c r="X422" s="79" t="s">
        <v>80</v>
      </c>
      <c r="Y422" s="79" t="s">
        <v>152</v>
      </c>
      <c r="Z422" s="79" t="s">
        <v>2456</v>
      </c>
      <c r="AA422" s="79" t="s">
        <v>209</v>
      </c>
      <c r="AB422" s="67" t="s">
        <v>2882</v>
      </c>
      <c r="AC422" s="77">
        <v>8.9662485426E10</v>
      </c>
      <c r="AD422" s="69"/>
      <c r="AE422" s="59"/>
      <c r="AF422" s="79" t="s">
        <v>152</v>
      </c>
      <c r="AG422" s="60"/>
      <c r="AH422" s="61"/>
      <c r="AI422" s="61"/>
      <c r="AJ422" s="61"/>
      <c r="AK422" s="61"/>
      <c r="AL422" s="61"/>
      <c r="AM422" s="61"/>
      <c r="AN422" s="61"/>
      <c r="AO422" s="61"/>
      <c r="AP422" s="61"/>
      <c r="AQ422" s="61"/>
      <c r="AR422" s="61"/>
    </row>
    <row r="423">
      <c r="A423" s="95">
        <v>10.0</v>
      </c>
      <c r="B423" s="79" t="s">
        <v>2510</v>
      </c>
      <c r="C423" s="79" t="s">
        <v>2511</v>
      </c>
      <c r="D423" s="79" t="s">
        <v>2512</v>
      </c>
      <c r="E423" s="59"/>
      <c r="F423" s="79" t="s">
        <v>107</v>
      </c>
      <c r="G423" s="79" t="s">
        <v>123</v>
      </c>
      <c r="H423" s="79" t="s">
        <v>502</v>
      </c>
      <c r="I423" s="79" t="s">
        <v>502</v>
      </c>
      <c r="J423" s="79" t="s">
        <v>91</v>
      </c>
      <c r="K423" s="79" t="s">
        <v>110</v>
      </c>
      <c r="L423" s="79" t="s">
        <v>71</v>
      </c>
      <c r="M423" s="130" t="s">
        <v>503</v>
      </c>
      <c r="N423" s="79" t="s">
        <v>82</v>
      </c>
      <c r="O423" s="79" t="s">
        <v>113</v>
      </c>
      <c r="P423" s="79" t="s">
        <v>95</v>
      </c>
      <c r="Q423" s="131" t="s">
        <v>2883</v>
      </c>
      <c r="R423" s="79" t="s">
        <v>76</v>
      </c>
      <c r="S423" s="79" t="s">
        <v>97</v>
      </c>
      <c r="T423" s="79">
        <v>2021.0</v>
      </c>
      <c r="U423" s="79" t="s">
        <v>78</v>
      </c>
      <c r="V423" s="79" t="s">
        <v>98</v>
      </c>
      <c r="W423" s="79" t="s">
        <v>2514</v>
      </c>
      <c r="X423" s="79" t="s">
        <v>148</v>
      </c>
      <c r="Y423" s="79" t="s">
        <v>139</v>
      </c>
      <c r="Z423" s="79" t="s">
        <v>2489</v>
      </c>
      <c r="AA423" s="79" t="s">
        <v>82</v>
      </c>
      <c r="AB423" s="67" t="s">
        <v>2877</v>
      </c>
      <c r="AC423" s="77">
        <v>8.1261858201E10</v>
      </c>
      <c r="AD423" s="69"/>
      <c r="AE423" s="59"/>
      <c r="AF423" s="79" t="s">
        <v>566</v>
      </c>
      <c r="AG423" s="60"/>
      <c r="AH423" s="61"/>
      <c r="AI423" s="61"/>
      <c r="AJ423" s="61"/>
      <c r="AK423" s="61"/>
      <c r="AL423" s="61"/>
      <c r="AM423" s="61"/>
      <c r="AN423" s="61"/>
      <c r="AO423" s="61"/>
      <c r="AP423" s="61"/>
      <c r="AQ423" s="61"/>
      <c r="AR423" s="61"/>
    </row>
    <row r="424">
      <c r="A424" s="95">
        <v>11.0</v>
      </c>
      <c r="B424" s="79" t="s">
        <v>2522</v>
      </c>
      <c r="C424" s="219" t="s">
        <v>2523</v>
      </c>
      <c r="D424" s="79" t="s">
        <v>2524</v>
      </c>
      <c r="E424" s="79" t="s">
        <v>2525</v>
      </c>
      <c r="F424" s="79" t="s">
        <v>344</v>
      </c>
      <c r="G424" s="79" t="s">
        <v>66</v>
      </c>
      <c r="H424" s="79" t="s">
        <v>2526</v>
      </c>
      <c r="I424" s="96" t="s">
        <v>2527</v>
      </c>
      <c r="J424" s="79" t="s">
        <v>151</v>
      </c>
      <c r="K424" s="79" t="s">
        <v>70</v>
      </c>
      <c r="L424" s="79" t="s">
        <v>71</v>
      </c>
      <c r="M424" s="130" t="s">
        <v>2528</v>
      </c>
      <c r="N424" s="79" t="s">
        <v>73</v>
      </c>
      <c r="O424" s="79" t="s">
        <v>73</v>
      </c>
      <c r="P424" s="79" t="s">
        <v>95</v>
      </c>
      <c r="Q424" s="131" t="s">
        <v>2884</v>
      </c>
      <c r="R424" s="79" t="s">
        <v>76</v>
      </c>
      <c r="S424" s="79" t="s">
        <v>97</v>
      </c>
      <c r="T424" s="79">
        <v>2016.0</v>
      </c>
      <c r="U424" s="79" t="s">
        <v>78</v>
      </c>
      <c r="V424" s="79" t="s">
        <v>79</v>
      </c>
      <c r="W424" s="79" t="s">
        <v>2520</v>
      </c>
      <c r="X424" s="79" t="s">
        <v>80</v>
      </c>
      <c r="Y424" s="79" t="s">
        <v>80</v>
      </c>
      <c r="Z424" s="79" t="s">
        <v>2530</v>
      </c>
      <c r="AA424" s="79" t="s">
        <v>162</v>
      </c>
      <c r="AB424" s="67" t="s">
        <v>2885</v>
      </c>
      <c r="AC424" s="77">
        <v>8.212013821E10</v>
      </c>
      <c r="AD424" s="69"/>
      <c r="AE424" s="59"/>
      <c r="AF424" s="79" t="s">
        <v>566</v>
      </c>
      <c r="AG424" s="60"/>
      <c r="AH424" s="61"/>
      <c r="AI424" s="61"/>
      <c r="AJ424" s="61"/>
      <c r="AK424" s="61"/>
      <c r="AL424" s="61"/>
      <c r="AM424" s="61"/>
      <c r="AN424" s="61"/>
      <c r="AO424" s="61"/>
      <c r="AP424" s="61"/>
      <c r="AQ424" s="61"/>
      <c r="AR424" s="61"/>
    </row>
    <row r="425">
      <c r="A425" s="95">
        <v>12.0</v>
      </c>
      <c r="B425" s="79" t="s">
        <v>2531</v>
      </c>
      <c r="C425" s="79" t="s">
        <v>2532</v>
      </c>
      <c r="D425" s="79" t="s">
        <v>2533</v>
      </c>
      <c r="E425" s="59"/>
      <c r="F425" s="79" t="s">
        <v>453</v>
      </c>
      <c r="G425" s="79" t="s">
        <v>131</v>
      </c>
      <c r="H425" s="79" t="s">
        <v>2534</v>
      </c>
      <c r="I425" s="96" t="s">
        <v>2505</v>
      </c>
      <c r="J425" s="79" t="s">
        <v>151</v>
      </c>
      <c r="K425" s="79" t="s">
        <v>70</v>
      </c>
      <c r="L425" s="79" t="s">
        <v>71</v>
      </c>
      <c r="M425" s="130" t="s">
        <v>586</v>
      </c>
      <c r="N425" s="79" t="s">
        <v>73</v>
      </c>
      <c r="O425" s="79" t="s">
        <v>73</v>
      </c>
      <c r="P425" s="79" t="s">
        <v>95</v>
      </c>
      <c r="Q425" s="131" t="s">
        <v>2886</v>
      </c>
      <c r="R425" s="79" t="s">
        <v>76</v>
      </c>
      <c r="S425" s="79" t="s">
        <v>77</v>
      </c>
      <c r="T425" s="79">
        <v>2025.0</v>
      </c>
      <c r="U425" s="79" t="s">
        <v>78</v>
      </c>
      <c r="V425" s="79" t="s">
        <v>98</v>
      </c>
      <c r="W425" s="79" t="s">
        <v>2536</v>
      </c>
      <c r="X425" s="79" t="s">
        <v>148</v>
      </c>
      <c r="Y425" s="79" t="s">
        <v>152</v>
      </c>
      <c r="Z425" s="79" t="s">
        <v>2456</v>
      </c>
      <c r="AA425" s="79" t="s">
        <v>207</v>
      </c>
      <c r="AB425" s="67" t="s">
        <v>2882</v>
      </c>
      <c r="AC425" s="77">
        <v>8.9662485426E10</v>
      </c>
      <c r="AD425" s="69"/>
      <c r="AE425" s="59"/>
      <c r="AF425" s="79" t="s">
        <v>111</v>
      </c>
      <c r="AG425" s="60"/>
      <c r="AH425" s="61"/>
      <c r="AI425" s="61"/>
      <c r="AJ425" s="61"/>
      <c r="AK425" s="61"/>
      <c r="AL425" s="61"/>
      <c r="AM425" s="61"/>
      <c r="AN425" s="61"/>
      <c r="AO425" s="61"/>
      <c r="AP425" s="61"/>
      <c r="AQ425" s="61"/>
      <c r="AR425" s="61"/>
    </row>
    <row r="426">
      <c r="A426" s="95">
        <v>13.0</v>
      </c>
      <c r="B426" s="79" t="s">
        <v>2540</v>
      </c>
      <c r="C426" s="79" t="s">
        <v>2541</v>
      </c>
      <c r="D426" s="79" t="s">
        <v>2542</v>
      </c>
      <c r="E426" s="59"/>
      <c r="F426" s="79" t="s">
        <v>453</v>
      </c>
      <c r="G426" s="79" t="s">
        <v>123</v>
      </c>
      <c r="H426" s="79" t="s">
        <v>2543</v>
      </c>
      <c r="I426" s="96" t="s">
        <v>2505</v>
      </c>
      <c r="J426" s="79" t="s">
        <v>151</v>
      </c>
      <c r="K426" s="79" t="s">
        <v>110</v>
      </c>
      <c r="L426" s="79" t="s">
        <v>152</v>
      </c>
      <c r="M426" s="130" t="s">
        <v>579</v>
      </c>
      <c r="N426" s="79" t="s">
        <v>82</v>
      </c>
      <c r="O426" s="79" t="s">
        <v>113</v>
      </c>
      <c r="P426" s="79" t="s">
        <v>95</v>
      </c>
      <c r="Q426" s="131" t="s">
        <v>2887</v>
      </c>
      <c r="R426" s="79" t="s">
        <v>76</v>
      </c>
      <c r="S426" s="79" t="s">
        <v>97</v>
      </c>
      <c r="T426" s="79">
        <v>2022.0</v>
      </c>
      <c r="U426" s="79" t="s">
        <v>78</v>
      </c>
      <c r="V426" s="79" t="s">
        <v>98</v>
      </c>
      <c r="W426" s="69"/>
      <c r="X426" s="79" t="s">
        <v>148</v>
      </c>
      <c r="Y426" s="79" t="s">
        <v>152</v>
      </c>
      <c r="Z426" s="79" t="s">
        <v>2456</v>
      </c>
      <c r="AA426" s="79" t="s">
        <v>207</v>
      </c>
      <c r="AB426" s="67" t="s">
        <v>2882</v>
      </c>
      <c r="AC426" s="77">
        <v>8.9662485426E10</v>
      </c>
      <c r="AD426" s="69"/>
      <c r="AE426" s="59"/>
      <c r="AF426" s="79" t="s">
        <v>152</v>
      </c>
      <c r="AG426" s="60"/>
      <c r="AH426" s="61"/>
      <c r="AI426" s="61"/>
      <c r="AJ426" s="61"/>
      <c r="AK426" s="61"/>
      <c r="AL426" s="61"/>
      <c r="AM426" s="61"/>
      <c r="AN426" s="61"/>
      <c r="AO426" s="61"/>
      <c r="AP426" s="61"/>
      <c r="AQ426" s="61"/>
      <c r="AR426" s="61"/>
    </row>
    <row r="427">
      <c r="A427" s="95">
        <v>14.0</v>
      </c>
      <c r="B427" s="79" t="s">
        <v>2559</v>
      </c>
      <c r="C427" s="79" t="s">
        <v>2560</v>
      </c>
      <c r="D427" s="79" t="s">
        <v>2561</v>
      </c>
      <c r="E427" s="131" t="s">
        <v>2888</v>
      </c>
      <c r="F427" s="79" t="s">
        <v>344</v>
      </c>
      <c r="G427" s="79" t="s">
        <v>66</v>
      </c>
      <c r="H427" s="79" t="s">
        <v>2563</v>
      </c>
      <c r="I427" s="96" t="s">
        <v>2564</v>
      </c>
      <c r="J427" s="79" t="s">
        <v>151</v>
      </c>
      <c r="K427" s="79" t="s">
        <v>70</v>
      </c>
      <c r="L427" s="79" t="s">
        <v>101</v>
      </c>
      <c r="M427" s="130" t="s">
        <v>1096</v>
      </c>
      <c r="N427" s="79" t="s">
        <v>73</v>
      </c>
      <c r="O427" s="79" t="s">
        <v>73</v>
      </c>
      <c r="P427" s="79" t="s">
        <v>74</v>
      </c>
      <c r="Q427" s="131" t="s">
        <v>2889</v>
      </c>
      <c r="R427" s="79" t="s">
        <v>76</v>
      </c>
      <c r="S427" s="79" t="s">
        <v>97</v>
      </c>
      <c r="T427" s="79">
        <v>2018.0</v>
      </c>
      <c r="U427" s="79" t="s">
        <v>78</v>
      </c>
      <c r="V427" s="79" t="s">
        <v>98</v>
      </c>
      <c r="W427" s="79" t="s">
        <v>2566</v>
      </c>
      <c r="X427" s="79" t="s">
        <v>100</v>
      </c>
      <c r="Y427" s="79" t="s">
        <v>139</v>
      </c>
      <c r="Z427" s="79" t="s">
        <v>2567</v>
      </c>
      <c r="AA427" s="79" t="s">
        <v>162</v>
      </c>
      <c r="AB427" s="67" t="s">
        <v>2890</v>
      </c>
      <c r="AC427" s="77">
        <v>8.1222725249E10</v>
      </c>
      <c r="AD427" s="69"/>
      <c r="AE427" s="59"/>
      <c r="AF427" s="79" t="s">
        <v>566</v>
      </c>
      <c r="AG427" s="60"/>
      <c r="AH427" s="61"/>
      <c r="AI427" s="61"/>
      <c r="AJ427" s="61"/>
      <c r="AK427" s="61"/>
      <c r="AL427" s="61"/>
      <c r="AM427" s="61"/>
      <c r="AN427" s="61"/>
      <c r="AO427" s="61"/>
      <c r="AP427" s="61"/>
      <c r="AQ427" s="61"/>
      <c r="AR427" s="61"/>
    </row>
    <row r="428">
      <c r="A428" s="95">
        <v>15.0</v>
      </c>
      <c r="B428" s="79" t="s">
        <v>2570</v>
      </c>
      <c r="C428" s="79" t="s">
        <v>2571</v>
      </c>
      <c r="D428" s="79" t="s">
        <v>2572</v>
      </c>
      <c r="E428" s="59"/>
      <c r="F428" s="79" t="s">
        <v>469</v>
      </c>
      <c r="G428" s="79" t="s">
        <v>131</v>
      </c>
      <c r="H428" s="79" t="s">
        <v>2573</v>
      </c>
      <c r="I428" s="96" t="s">
        <v>2574</v>
      </c>
      <c r="J428" s="79" t="s">
        <v>151</v>
      </c>
      <c r="K428" s="79" t="s">
        <v>70</v>
      </c>
      <c r="L428" s="79" t="s">
        <v>152</v>
      </c>
      <c r="M428" s="130" t="s">
        <v>2575</v>
      </c>
      <c r="N428" s="79" t="s">
        <v>26</v>
      </c>
      <c r="O428" s="79" t="s">
        <v>113</v>
      </c>
      <c r="P428" s="79" t="s">
        <v>95</v>
      </c>
      <c r="Q428" s="131" t="s">
        <v>2891</v>
      </c>
      <c r="R428" s="79" t="s">
        <v>76</v>
      </c>
      <c r="S428" s="79" t="s">
        <v>97</v>
      </c>
      <c r="T428" s="79">
        <v>2018.0</v>
      </c>
      <c r="U428" s="79" t="s">
        <v>78</v>
      </c>
      <c r="V428" s="79" t="s">
        <v>98</v>
      </c>
      <c r="W428" s="79" t="s">
        <v>2577</v>
      </c>
      <c r="X428" s="79" t="s">
        <v>155</v>
      </c>
      <c r="Y428" s="79" t="s">
        <v>101</v>
      </c>
      <c r="Z428" s="79" t="s">
        <v>2521</v>
      </c>
      <c r="AA428" s="79" t="s">
        <v>211</v>
      </c>
      <c r="AB428" s="67" t="s">
        <v>2880</v>
      </c>
      <c r="AC428" s="77">
        <v>8.1322123575E10</v>
      </c>
      <c r="AD428" s="69"/>
      <c r="AE428" s="59"/>
      <c r="AF428" s="79" t="s">
        <v>71</v>
      </c>
      <c r="AG428" s="60"/>
      <c r="AH428" s="61"/>
      <c r="AI428" s="61"/>
      <c r="AJ428" s="61"/>
      <c r="AK428" s="61"/>
      <c r="AL428" s="61"/>
      <c r="AM428" s="61"/>
      <c r="AN428" s="61"/>
      <c r="AO428" s="61"/>
      <c r="AP428" s="61"/>
      <c r="AQ428" s="61"/>
      <c r="AR428" s="61"/>
    </row>
    <row r="429">
      <c r="A429" s="95">
        <v>16.0</v>
      </c>
      <c r="B429" s="79" t="s">
        <v>2580</v>
      </c>
      <c r="C429" s="79" t="s">
        <v>2581</v>
      </c>
      <c r="D429" s="79" t="s">
        <v>2572</v>
      </c>
      <c r="E429" s="59"/>
      <c r="F429" s="79" t="s">
        <v>469</v>
      </c>
      <c r="G429" s="79" t="s">
        <v>131</v>
      </c>
      <c r="H429" s="79" t="s">
        <v>2582</v>
      </c>
      <c r="I429" s="96" t="s">
        <v>2582</v>
      </c>
      <c r="J429" s="79" t="s">
        <v>151</v>
      </c>
      <c r="K429" s="79" t="s">
        <v>70</v>
      </c>
      <c r="L429" s="79" t="s">
        <v>71</v>
      </c>
      <c r="M429" s="130" t="s">
        <v>2350</v>
      </c>
      <c r="N429" s="79" t="s">
        <v>26</v>
      </c>
      <c r="O429" s="79" t="s">
        <v>113</v>
      </c>
      <c r="P429" s="79" t="s">
        <v>145</v>
      </c>
      <c r="Q429" s="220" t="s">
        <v>2350</v>
      </c>
      <c r="R429" s="79" t="s">
        <v>76</v>
      </c>
      <c r="S429" s="79" t="s">
        <v>97</v>
      </c>
      <c r="T429" s="69"/>
      <c r="U429" s="79" t="s">
        <v>78</v>
      </c>
      <c r="V429" s="79" t="s">
        <v>98</v>
      </c>
      <c r="W429" s="79" t="s">
        <v>2583</v>
      </c>
      <c r="X429" s="79" t="s">
        <v>148</v>
      </c>
      <c r="Y429" s="79" t="s">
        <v>71</v>
      </c>
      <c r="Z429" s="79" t="s">
        <v>2521</v>
      </c>
      <c r="AA429" s="79" t="s">
        <v>82</v>
      </c>
      <c r="AB429" s="67" t="s">
        <v>2880</v>
      </c>
      <c r="AC429" s="77">
        <v>8.1322123575E10</v>
      </c>
      <c r="AD429" s="69"/>
      <c r="AE429" s="59"/>
      <c r="AF429" s="79" t="s">
        <v>71</v>
      </c>
      <c r="AG429" s="60"/>
      <c r="AH429" s="61"/>
      <c r="AI429" s="61"/>
      <c r="AJ429" s="61"/>
      <c r="AK429" s="61"/>
      <c r="AL429" s="61"/>
      <c r="AM429" s="61"/>
      <c r="AN429" s="61"/>
      <c r="AO429" s="61"/>
      <c r="AP429" s="61"/>
      <c r="AQ429" s="61"/>
      <c r="AR429" s="61"/>
    </row>
    <row r="430">
      <c r="A430" s="95">
        <v>17.0</v>
      </c>
      <c r="B430" s="79" t="s">
        <v>2585</v>
      </c>
      <c r="C430" s="79" t="s">
        <v>2586</v>
      </c>
      <c r="D430" s="59"/>
      <c r="E430" s="59"/>
      <c r="F430" s="79" t="s">
        <v>468</v>
      </c>
      <c r="G430" s="79" t="s">
        <v>131</v>
      </c>
      <c r="H430" s="79" t="s">
        <v>2587</v>
      </c>
      <c r="I430" s="96" t="s">
        <v>2587</v>
      </c>
      <c r="J430" s="79" t="s">
        <v>151</v>
      </c>
      <c r="K430" s="79" t="s">
        <v>110</v>
      </c>
      <c r="L430" s="79" t="s">
        <v>71</v>
      </c>
      <c r="M430" s="130" t="s">
        <v>2715</v>
      </c>
      <c r="N430" s="79" t="s">
        <v>26</v>
      </c>
      <c r="O430" s="79" t="s">
        <v>113</v>
      </c>
      <c r="P430" s="79" t="s">
        <v>74</v>
      </c>
      <c r="Q430" s="131" t="s">
        <v>2892</v>
      </c>
      <c r="R430" s="79" t="s">
        <v>76</v>
      </c>
      <c r="S430" s="79" t="s">
        <v>97</v>
      </c>
      <c r="T430" s="69"/>
      <c r="U430" s="79" t="s">
        <v>78</v>
      </c>
      <c r="V430" s="79" t="s">
        <v>79</v>
      </c>
      <c r="W430" s="79" t="s">
        <v>943</v>
      </c>
      <c r="X430" s="79" t="s">
        <v>80</v>
      </c>
      <c r="Y430" s="79" t="s">
        <v>80</v>
      </c>
      <c r="Z430" s="79" t="s">
        <v>2590</v>
      </c>
      <c r="AA430" s="79" t="s">
        <v>82</v>
      </c>
      <c r="AB430" s="67" t="s">
        <v>2880</v>
      </c>
      <c r="AC430" s="77">
        <v>8.1322123575E10</v>
      </c>
      <c r="AD430" s="69"/>
      <c r="AE430" s="59"/>
      <c r="AF430" s="79" t="s">
        <v>71</v>
      </c>
      <c r="AG430" s="60"/>
      <c r="AH430" s="61"/>
      <c r="AI430" s="61"/>
      <c r="AJ430" s="61"/>
      <c r="AK430" s="61"/>
      <c r="AL430" s="61"/>
      <c r="AM430" s="61"/>
      <c r="AN430" s="61"/>
      <c r="AO430" s="61"/>
      <c r="AP430" s="61"/>
      <c r="AQ430" s="61"/>
      <c r="AR430" s="61"/>
    </row>
    <row r="431">
      <c r="A431" s="95">
        <v>18.0</v>
      </c>
      <c r="B431" s="79" t="s">
        <v>2592</v>
      </c>
      <c r="C431" s="79" t="s">
        <v>2592</v>
      </c>
      <c r="D431" s="79" t="s">
        <v>2572</v>
      </c>
      <c r="E431" s="59"/>
      <c r="F431" s="79" t="s">
        <v>469</v>
      </c>
      <c r="G431" s="79" t="s">
        <v>131</v>
      </c>
      <c r="H431" s="79" t="s">
        <v>2593</v>
      </c>
      <c r="I431" s="96" t="s">
        <v>2593</v>
      </c>
      <c r="J431" s="79" t="s">
        <v>151</v>
      </c>
      <c r="K431" s="79" t="s">
        <v>110</v>
      </c>
      <c r="L431" s="79" t="s">
        <v>71</v>
      </c>
      <c r="M431" s="130" t="s">
        <v>2717</v>
      </c>
      <c r="N431" s="79" t="s">
        <v>82</v>
      </c>
      <c r="O431" s="79" t="s">
        <v>113</v>
      </c>
      <c r="P431" s="79" t="s">
        <v>74</v>
      </c>
      <c r="Q431" s="131" t="s">
        <v>2893</v>
      </c>
      <c r="R431" s="79" t="s">
        <v>76</v>
      </c>
      <c r="S431" s="79" t="s">
        <v>97</v>
      </c>
      <c r="T431" s="69"/>
      <c r="U431" s="79" t="s">
        <v>78</v>
      </c>
      <c r="V431" s="79" t="s">
        <v>98</v>
      </c>
      <c r="W431" s="79" t="s">
        <v>2595</v>
      </c>
      <c r="X431" s="79" t="s">
        <v>148</v>
      </c>
      <c r="Y431" s="79" t="s">
        <v>139</v>
      </c>
      <c r="Z431" s="79" t="s">
        <v>2590</v>
      </c>
      <c r="AA431" s="79" t="s">
        <v>211</v>
      </c>
      <c r="AB431" s="67" t="s">
        <v>2880</v>
      </c>
      <c r="AC431" s="77">
        <v>8.1322123575E10</v>
      </c>
      <c r="AD431" s="69"/>
      <c r="AE431" s="59"/>
      <c r="AF431" s="79" t="s">
        <v>71</v>
      </c>
      <c r="AG431" s="60"/>
      <c r="AH431" s="61"/>
      <c r="AI431" s="61"/>
      <c r="AJ431" s="61"/>
      <c r="AK431" s="61"/>
      <c r="AL431" s="61"/>
      <c r="AM431" s="61"/>
      <c r="AN431" s="61"/>
      <c r="AO431" s="61"/>
      <c r="AP431" s="61"/>
      <c r="AQ431" s="61"/>
      <c r="AR431" s="61"/>
    </row>
    <row r="432">
      <c r="A432" s="95">
        <v>19.0</v>
      </c>
      <c r="B432" s="79" t="s">
        <v>2596</v>
      </c>
      <c r="C432" s="79" t="s">
        <v>2597</v>
      </c>
      <c r="D432" s="79" t="s">
        <v>2598</v>
      </c>
      <c r="E432" s="59"/>
      <c r="F432" s="79" t="s">
        <v>341</v>
      </c>
      <c r="G432" s="79" t="s">
        <v>131</v>
      </c>
      <c r="H432" s="79" t="s">
        <v>2597</v>
      </c>
      <c r="I432" s="79" t="s">
        <v>2597</v>
      </c>
      <c r="J432" s="79" t="s">
        <v>151</v>
      </c>
      <c r="K432" s="79" t="s">
        <v>70</v>
      </c>
      <c r="L432" s="79" t="s">
        <v>71</v>
      </c>
      <c r="M432" s="130" t="s">
        <v>1114</v>
      </c>
      <c r="N432" s="79" t="s">
        <v>73</v>
      </c>
      <c r="O432" s="79" t="s">
        <v>73</v>
      </c>
      <c r="P432" s="79" t="s">
        <v>74</v>
      </c>
      <c r="Q432" s="131" t="s">
        <v>2894</v>
      </c>
      <c r="R432" s="79" t="s">
        <v>76</v>
      </c>
      <c r="S432" s="79" t="s">
        <v>97</v>
      </c>
      <c r="T432" s="69"/>
      <c r="U432" s="79" t="s">
        <v>78</v>
      </c>
      <c r="V432" s="79" t="s">
        <v>98</v>
      </c>
      <c r="W432" s="69"/>
      <c r="X432" s="79" t="s">
        <v>148</v>
      </c>
      <c r="Y432" s="79" t="s">
        <v>139</v>
      </c>
      <c r="Z432" s="79" t="s">
        <v>2590</v>
      </c>
      <c r="AA432" s="79" t="s">
        <v>162</v>
      </c>
      <c r="AB432" s="67" t="s">
        <v>2885</v>
      </c>
      <c r="AC432" s="77">
        <v>8.212013821E10</v>
      </c>
      <c r="AD432" s="69"/>
      <c r="AE432" s="59"/>
      <c r="AF432" s="79" t="s">
        <v>1268</v>
      </c>
      <c r="AG432" s="60"/>
      <c r="AH432" s="61"/>
      <c r="AI432" s="61"/>
      <c r="AJ432" s="61"/>
      <c r="AK432" s="61"/>
      <c r="AL432" s="61"/>
      <c r="AM432" s="61"/>
      <c r="AN432" s="61"/>
      <c r="AO432" s="61"/>
      <c r="AP432" s="61"/>
      <c r="AQ432" s="61"/>
      <c r="AR432" s="61"/>
    </row>
    <row r="433">
      <c r="A433" s="95">
        <v>20.0</v>
      </c>
      <c r="B433" s="79" t="s">
        <v>2600</v>
      </c>
      <c r="C433" s="176" t="s">
        <v>2601</v>
      </c>
      <c r="D433" s="79" t="s">
        <v>2602</v>
      </c>
      <c r="E433" s="131" t="s">
        <v>2895</v>
      </c>
      <c r="F433" s="79" t="s">
        <v>344</v>
      </c>
      <c r="G433" s="79" t="s">
        <v>123</v>
      </c>
      <c r="H433" s="79" t="s">
        <v>2603</v>
      </c>
      <c r="I433" s="96" t="s">
        <v>2604</v>
      </c>
      <c r="J433" s="79" t="s">
        <v>151</v>
      </c>
      <c r="K433" s="79" t="s">
        <v>110</v>
      </c>
      <c r="L433" s="79" t="s">
        <v>71</v>
      </c>
      <c r="M433" s="97" t="s">
        <v>2605</v>
      </c>
      <c r="N433" s="79" t="s">
        <v>73</v>
      </c>
      <c r="O433" s="79" t="s">
        <v>73</v>
      </c>
      <c r="P433" s="67" t="s">
        <v>95</v>
      </c>
      <c r="Q433" s="75" t="s">
        <v>2896</v>
      </c>
      <c r="R433" s="79" t="s">
        <v>76</v>
      </c>
      <c r="S433" s="79" t="s">
        <v>97</v>
      </c>
      <c r="T433" s="69"/>
      <c r="U433" s="79" t="s">
        <v>78</v>
      </c>
      <c r="V433" s="79" t="s">
        <v>98</v>
      </c>
      <c r="W433" s="79" t="s">
        <v>970</v>
      </c>
      <c r="X433" s="79" t="s">
        <v>80</v>
      </c>
      <c r="Y433" s="79" t="s">
        <v>139</v>
      </c>
      <c r="Z433" s="79" t="s">
        <v>2607</v>
      </c>
      <c r="AA433" s="79" t="s">
        <v>162</v>
      </c>
      <c r="AB433" s="67" t="s">
        <v>2885</v>
      </c>
      <c r="AC433" s="77">
        <v>8.212013821E10</v>
      </c>
      <c r="AD433" s="69"/>
      <c r="AE433" s="59"/>
      <c r="AF433" s="79" t="s">
        <v>1268</v>
      </c>
      <c r="AG433" s="60"/>
      <c r="AH433" s="61"/>
      <c r="AI433" s="61"/>
      <c r="AJ433" s="61"/>
      <c r="AK433" s="61"/>
      <c r="AL433" s="61"/>
      <c r="AM433" s="61"/>
      <c r="AN433" s="61"/>
      <c r="AO433" s="61"/>
      <c r="AP433" s="61"/>
      <c r="AQ433" s="61"/>
      <c r="AR433" s="61"/>
    </row>
    <row r="434">
      <c r="A434" s="95">
        <v>21.0</v>
      </c>
      <c r="B434" s="79" t="s">
        <v>2609</v>
      </c>
      <c r="C434" s="221" t="s">
        <v>2610</v>
      </c>
      <c r="D434" s="79" t="s">
        <v>2611</v>
      </c>
      <c r="E434" s="59"/>
      <c r="F434" s="79" t="s">
        <v>470</v>
      </c>
      <c r="G434" s="79" t="s">
        <v>123</v>
      </c>
      <c r="H434" s="79" t="s">
        <v>2612</v>
      </c>
      <c r="I434" s="222" t="s">
        <v>2613</v>
      </c>
      <c r="J434" s="79" t="s">
        <v>91</v>
      </c>
      <c r="K434" s="79" t="s">
        <v>110</v>
      </c>
      <c r="L434" s="79" t="s">
        <v>111</v>
      </c>
      <c r="M434" s="130" t="s">
        <v>2614</v>
      </c>
      <c r="N434" s="79" t="s">
        <v>26</v>
      </c>
      <c r="O434" s="79" t="s">
        <v>113</v>
      </c>
      <c r="P434" s="79" t="s">
        <v>95</v>
      </c>
      <c r="Q434" s="131" t="s">
        <v>2897</v>
      </c>
      <c r="R434" s="79" t="s">
        <v>76</v>
      </c>
      <c r="S434" s="79" t="s">
        <v>97</v>
      </c>
      <c r="T434" s="69"/>
      <c r="U434" s="79" t="s">
        <v>78</v>
      </c>
      <c r="V434" s="79" t="s">
        <v>98</v>
      </c>
      <c r="W434" s="79" t="s">
        <v>649</v>
      </c>
      <c r="X434" s="69"/>
      <c r="Y434" s="69"/>
      <c r="Z434" s="79" t="s">
        <v>2489</v>
      </c>
      <c r="AA434" s="79" t="s">
        <v>140</v>
      </c>
      <c r="AB434" s="67" t="s">
        <v>2877</v>
      </c>
      <c r="AC434" s="77">
        <v>8.1261858201E10</v>
      </c>
      <c r="AD434" s="69"/>
      <c r="AE434" s="59"/>
      <c r="AF434" s="79" t="s">
        <v>111</v>
      </c>
      <c r="AG434" s="60"/>
      <c r="AH434" s="61"/>
      <c r="AI434" s="61"/>
      <c r="AJ434" s="61"/>
      <c r="AK434" s="61"/>
      <c r="AL434" s="61"/>
      <c r="AM434" s="61"/>
      <c r="AN434" s="61"/>
      <c r="AO434" s="61"/>
      <c r="AP434" s="61"/>
      <c r="AQ434" s="61"/>
      <c r="AR434" s="61"/>
    </row>
    <row r="435">
      <c r="A435" s="95">
        <v>22.0</v>
      </c>
      <c r="B435" s="79" t="s">
        <v>2618</v>
      </c>
      <c r="C435" s="79" t="s">
        <v>2619</v>
      </c>
      <c r="D435" s="79" t="s">
        <v>2620</v>
      </c>
      <c r="E435" s="59"/>
      <c r="F435" s="79" t="s">
        <v>452</v>
      </c>
      <c r="G435" s="79" t="s">
        <v>123</v>
      </c>
      <c r="H435" s="79" t="s">
        <v>2621</v>
      </c>
      <c r="I435" s="79" t="s">
        <v>2622</v>
      </c>
      <c r="J435" s="79" t="s">
        <v>91</v>
      </c>
      <c r="K435" s="79" t="s">
        <v>110</v>
      </c>
      <c r="L435" s="79" t="s">
        <v>152</v>
      </c>
      <c r="M435" s="130" t="s">
        <v>2623</v>
      </c>
      <c r="N435" s="79" t="s">
        <v>26</v>
      </c>
      <c r="O435" s="79" t="s">
        <v>113</v>
      </c>
      <c r="P435" s="79" t="s">
        <v>95</v>
      </c>
      <c r="Q435" s="131" t="s">
        <v>2898</v>
      </c>
      <c r="R435" s="79" t="s">
        <v>76</v>
      </c>
      <c r="S435" s="79" t="s">
        <v>97</v>
      </c>
      <c r="T435" s="69"/>
      <c r="U435" s="79" t="s">
        <v>78</v>
      </c>
      <c r="V435" s="79" t="s">
        <v>98</v>
      </c>
      <c r="W435" s="79" t="s">
        <v>2625</v>
      </c>
      <c r="X435" s="69"/>
      <c r="Y435" s="69"/>
      <c r="Z435" s="79" t="s">
        <v>2489</v>
      </c>
      <c r="AA435" s="79" t="s">
        <v>205</v>
      </c>
      <c r="AB435" s="67" t="s">
        <v>2877</v>
      </c>
      <c r="AC435" s="77">
        <v>8.1261858201E10</v>
      </c>
      <c r="AD435" s="69"/>
      <c r="AE435" s="59"/>
      <c r="AF435" s="79" t="s">
        <v>152</v>
      </c>
      <c r="AG435" s="60"/>
      <c r="AH435" s="61"/>
      <c r="AI435" s="61"/>
      <c r="AJ435" s="61"/>
      <c r="AK435" s="61"/>
      <c r="AL435" s="61"/>
      <c r="AM435" s="61"/>
      <c r="AN435" s="61"/>
      <c r="AO435" s="61"/>
      <c r="AP435" s="61"/>
      <c r="AQ435" s="61"/>
      <c r="AR435" s="61"/>
    </row>
    <row r="436">
      <c r="A436" s="95">
        <v>23.0</v>
      </c>
      <c r="B436" s="79" t="s">
        <v>2626</v>
      </c>
      <c r="C436" s="96" t="s">
        <v>2627</v>
      </c>
      <c r="D436" s="79" t="s">
        <v>2628</v>
      </c>
      <c r="E436" s="59"/>
      <c r="F436" s="79" t="s">
        <v>165</v>
      </c>
      <c r="G436" s="79" t="s">
        <v>66</v>
      </c>
      <c r="H436" s="79" t="s">
        <v>2629</v>
      </c>
      <c r="I436" s="96" t="s">
        <v>2630</v>
      </c>
      <c r="J436" s="79" t="s">
        <v>91</v>
      </c>
      <c r="K436" s="79" t="s">
        <v>70</v>
      </c>
      <c r="L436" s="79" t="s">
        <v>152</v>
      </c>
      <c r="M436" s="130" t="s">
        <v>696</v>
      </c>
      <c r="N436" s="79" t="s">
        <v>26</v>
      </c>
      <c r="O436" s="79" t="s">
        <v>113</v>
      </c>
      <c r="P436" s="79" t="s">
        <v>95</v>
      </c>
      <c r="Q436" s="131" t="s">
        <v>2899</v>
      </c>
      <c r="R436" s="79" t="s">
        <v>76</v>
      </c>
      <c r="S436" s="79" t="s">
        <v>97</v>
      </c>
      <c r="T436" s="69"/>
      <c r="U436" s="79" t="s">
        <v>78</v>
      </c>
      <c r="V436" s="79" t="s">
        <v>79</v>
      </c>
      <c r="W436" s="79" t="s">
        <v>80</v>
      </c>
      <c r="X436" s="79" t="s">
        <v>80</v>
      </c>
      <c r="Y436" s="79" t="s">
        <v>80</v>
      </c>
      <c r="Z436" s="79" t="s">
        <v>2489</v>
      </c>
      <c r="AA436" s="79" t="s">
        <v>140</v>
      </c>
      <c r="AB436" s="67" t="s">
        <v>2900</v>
      </c>
      <c r="AC436" s="262">
        <v>8.95352E16</v>
      </c>
      <c r="AD436" s="69"/>
      <c r="AE436" s="59"/>
      <c r="AF436" s="79" t="s">
        <v>152</v>
      </c>
      <c r="AG436" s="60"/>
      <c r="AH436" s="61"/>
      <c r="AI436" s="61"/>
      <c r="AJ436" s="61"/>
      <c r="AK436" s="61"/>
      <c r="AL436" s="61"/>
      <c r="AM436" s="61"/>
      <c r="AN436" s="61"/>
      <c r="AO436" s="61"/>
      <c r="AP436" s="61"/>
      <c r="AQ436" s="61"/>
      <c r="AR436" s="61"/>
    </row>
    <row r="437">
      <c r="A437" s="95">
        <v>24.0</v>
      </c>
      <c r="B437" s="79" t="s">
        <v>2634</v>
      </c>
      <c r="C437" s="96" t="s">
        <v>2635</v>
      </c>
      <c r="D437" s="79" t="s">
        <v>2628</v>
      </c>
      <c r="E437" s="59"/>
      <c r="F437" s="79" t="s">
        <v>165</v>
      </c>
      <c r="G437" s="79" t="s">
        <v>123</v>
      </c>
      <c r="H437" s="79" t="s">
        <v>2636</v>
      </c>
      <c r="I437" s="79" t="s">
        <v>2637</v>
      </c>
      <c r="J437" s="79" t="s">
        <v>91</v>
      </c>
      <c r="K437" s="79" t="s">
        <v>110</v>
      </c>
      <c r="L437" s="79" t="s">
        <v>101</v>
      </c>
      <c r="M437" s="130" t="s">
        <v>2638</v>
      </c>
      <c r="N437" s="79" t="s">
        <v>73</v>
      </c>
      <c r="O437" s="79" t="s">
        <v>73</v>
      </c>
      <c r="P437" s="79" t="s">
        <v>95</v>
      </c>
      <c r="Q437" s="131" t="s">
        <v>2901</v>
      </c>
      <c r="R437" s="79" t="s">
        <v>76</v>
      </c>
      <c r="S437" s="79" t="s">
        <v>97</v>
      </c>
      <c r="T437" s="69"/>
      <c r="U437" s="79" t="s">
        <v>78</v>
      </c>
      <c r="V437" s="79" t="s">
        <v>79</v>
      </c>
      <c r="W437" s="79" t="s">
        <v>80</v>
      </c>
      <c r="X437" s="79" t="s">
        <v>80</v>
      </c>
      <c r="Y437" s="79" t="s">
        <v>80</v>
      </c>
      <c r="Z437" s="79" t="s">
        <v>2489</v>
      </c>
      <c r="AA437" s="79" t="s">
        <v>162</v>
      </c>
      <c r="AB437" s="67" t="s">
        <v>2885</v>
      </c>
      <c r="AC437" s="77">
        <v>8.212013821E10</v>
      </c>
      <c r="AD437" s="69"/>
      <c r="AE437" s="59"/>
      <c r="AF437" s="79" t="s">
        <v>566</v>
      </c>
      <c r="AG437" s="60"/>
      <c r="AH437" s="61"/>
      <c r="AI437" s="61"/>
      <c r="AJ437" s="61"/>
      <c r="AK437" s="61"/>
      <c r="AL437" s="61"/>
      <c r="AM437" s="61"/>
      <c r="AN437" s="61"/>
      <c r="AO437" s="61"/>
      <c r="AP437" s="61"/>
      <c r="AQ437" s="61"/>
      <c r="AR437" s="61"/>
    </row>
    <row r="438">
      <c r="A438" s="95">
        <v>25.0</v>
      </c>
      <c r="B438" s="79" t="s">
        <v>61</v>
      </c>
      <c r="C438" s="96" t="s">
        <v>2640</v>
      </c>
      <c r="D438" s="79" t="s">
        <v>2641</v>
      </c>
      <c r="E438" s="59"/>
      <c r="F438" s="79" t="s">
        <v>165</v>
      </c>
      <c r="G438" s="79" t="s">
        <v>66</v>
      </c>
      <c r="H438" s="79" t="s">
        <v>2642</v>
      </c>
      <c r="I438" s="96" t="s">
        <v>2643</v>
      </c>
      <c r="J438" s="79" t="s">
        <v>151</v>
      </c>
      <c r="K438" s="79" t="s">
        <v>70</v>
      </c>
      <c r="L438" s="79" t="s">
        <v>101</v>
      </c>
      <c r="M438" s="130" t="s">
        <v>2902</v>
      </c>
      <c r="N438" s="79" t="s">
        <v>73</v>
      </c>
      <c r="O438" s="79" t="s">
        <v>73</v>
      </c>
      <c r="P438" s="79" t="s">
        <v>95</v>
      </c>
      <c r="Q438" s="131" t="s">
        <v>2903</v>
      </c>
      <c r="R438" s="79" t="s">
        <v>76</v>
      </c>
      <c r="S438" s="79" t="s">
        <v>97</v>
      </c>
      <c r="T438" s="69"/>
      <c r="U438" s="79" t="s">
        <v>78</v>
      </c>
      <c r="V438" s="79" t="s">
        <v>79</v>
      </c>
      <c r="W438" s="79" t="s">
        <v>80</v>
      </c>
      <c r="X438" s="79" t="s">
        <v>80</v>
      </c>
      <c r="Y438" s="79" t="s">
        <v>80</v>
      </c>
      <c r="Z438" s="79" t="s">
        <v>2489</v>
      </c>
      <c r="AA438" s="79" t="s">
        <v>82</v>
      </c>
      <c r="AB438" s="67" t="s">
        <v>2880</v>
      </c>
      <c r="AC438" s="77">
        <v>8.1322123575E10</v>
      </c>
      <c r="AD438" s="69"/>
      <c r="AE438" s="59"/>
      <c r="AF438" s="79" t="s">
        <v>566</v>
      </c>
      <c r="AG438" s="60"/>
      <c r="AH438" s="61"/>
      <c r="AI438" s="61"/>
      <c r="AJ438" s="61"/>
      <c r="AK438" s="61"/>
      <c r="AL438" s="61"/>
      <c r="AM438" s="61"/>
      <c r="AN438" s="61"/>
      <c r="AO438" s="61"/>
      <c r="AP438" s="61"/>
      <c r="AQ438" s="61"/>
      <c r="AR438" s="61"/>
    </row>
    <row r="439">
      <c r="A439" s="95">
        <v>26.0</v>
      </c>
      <c r="B439" s="79" t="s">
        <v>2645</v>
      </c>
      <c r="C439" s="96" t="s">
        <v>2646</v>
      </c>
      <c r="D439" s="79" t="s">
        <v>2647</v>
      </c>
      <c r="E439" s="59"/>
      <c r="F439" s="79" t="s">
        <v>165</v>
      </c>
      <c r="G439" s="79" t="s">
        <v>66</v>
      </c>
      <c r="H439" s="79" t="s">
        <v>2648</v>
      </c>
      <c r="I439" s="96" t="s">
        <v>2649</v>
      </c>
      <c r="J439" s="79" t="s">
        <v>91</v>
      </c>
      <c r="K439" s="79" t="s">
        <v>110</v>
      </c>
      <c r="L439" s="79" t="s">
        <v>101</v>
      </c>
      <c r="M439" s="130" t="s">
        <v>527</v>
      </c>
      <c r="N439" s="79" t="s">
        <v>82</v>
      </c>
      <c r="O439" s="79" t="s">
        <v>113</v>
      </c>
      <c r="P439" s="79" t="s">
        <v>95</v>
      </c>
      <c r="Q439" s="131" t="s">
        <v>2904</v>
      </c>
      <c r="R439" s="79" t="s">
        <v>76</v>
      </c>
      <c r="S439" s="79" t="s">
        <v>97</v>
      </c>
      <c r="T439" s="69"/>
      <c r="U439" s="79" t="s">
        <v>78</v>
      </c>
      <c r="V439" s="79" t="s">
        <v>79</v>
      </c>
      <c r="W439" s="79" t="s">
        <v>80</v>
      </c>
      <c r="X439" s="79" t="s">
        <v>80</v>
      </c>
      <c r="Y439" s="79" t="s">
        <v>80</v>
      </c>
      <c r="Z439" s="79" t="s">
        <v>2489</v>
      </c>
      <c r="AA439" s="79" t="s">
        <v>82</v>
      </c>
      <c r="AB439" s="67" t="s">
        <v>2880</v>
      </c>
      <c r="AC439" s="77">
        <v>8.1322123575E10</v>
      </c>
      <c r="AD439" s="69"/>
      <c r="AE439" s="59"/>
      <c r="AF439" s="79" t="s">
        <v>566</v>
      </c>
      <c r="AG439" s="60"/>
      <c r="AH439" s="61"/>
      <c r="AI439" s="61"/>
      <c r="AJ439" s="61"/>
      <c r="AK439" s="61"/>
      <c r="AL439" s="61"/>
      <c r="AM439" s="61"/>
      <c r="AN439" s="61"/>
      <c r="AO439" s="61"/>
      <c r="AP439" s="61"/>
      <c r="AQ439" s="61"/>
      <c r="AR439" s="61"/>
    </row>
    <row r="440">
      <c r="A440" s="95">
        <v>27.0</v>
      </c>
      <c r="B440" s="79" t="s">
        <v>2657</v>
      </c>
      <c r="C440" s="96" t="s">
        <v>2658</v>
      </c>
      <c r="D440" s="96" t="s">
        <v>2659</v>
      </c>
      <c r="E440" s="59"/>
      <c r="F440" s="79" t="s">
        <v>344</v>
      </c>
      <c r="G440" s="79" t="s">
        <v>123</v>
      </c>
      <c r="H440" s="96" t="s">
        <v>2660</v>
      </c>
      <c r="I440" s="96" t="s">
        <v>2661</v>
      </c>
      <c r="J440" s="79" t="s">
        <v>151</v>
      </c>
      <c r="K440" s="79" t="s">
        <v>110</v>
      </c>
      <c r="L440" s="79" t="s">
        <v>152</v>
      </c>
      <c r="M440" s="130" t="s">
        <v>2662</v>
      </c>
      <c r="N440" s="79" t="s">
        <v>73</v>
      </c>
      <c r="O440" s="79" t="s">
        <v>73</v>
      </c>
      <c r="P440" s="79" t="s">
        <v>95</v>
      </c>
      <c r="Q440" s="223" t="s">
        <v>2905</v>
      </c>
      <c r="R440" s="79" t="s">
        <v>76</v>
      </c>
      <c r="S440" s="79" t="s">
        <v>97</v>
      </c>
      <c r="T440" s="77">
        <v>2022.0</v>
      </c>
      <c r="U440" s="79" t="s">
        <v>78</v>
      </c>
      <c r="V440" s="67" t="s">
        <v>79</v>
      </c>
      <c r="W440" s="67" t="s">
        <v>80</v>
      </c>
      <c r="X440" s="67" t="s">
        <v>80</v>
      </c>
      <c r="Y440" s="67" t="s">
        <v>152</v>
      </c>
      <c r="Z440" s="79" t="s">
        <v>2664</v>
      </c>
      <c r="AA440" s="79" t="s">
        <v>162</v>
      </c>
      <c r="AB440" s="67" t="s">
        <v>2885</v>
      </c>
      <c r="AC440" s="77">
        <v>8.212013821E10</v>
      </c>
      <c r="AD440" s="69"/>
      <c r="AE440" s="59"/>
      <c r="AF440" s="79" t="s">
        <v>152</v>
      </c>
      <c r="AG440" s="60"/>
      <c r="AH440" s="61"/>
      <c r="AI440" s="61"/>
      <c r="AJ440" s="61"/>
      <c r="AK440" s="61"/>
      <c r="AL440" s="61"/>
      <c r="AM440" s="61"/>
      <c r="AN440" s="61"/>
      <c r="AO440" s="61"/>
      <c r="AP440" s="61"/>
      <c r="AQ440" s="61"/>
      <c r="AR440" s="61"/>
    </row>
    <row r="441">
      <c r="A441" s="95">
        <v>28.0</v>
      </c>
      <c r="B441" s="79" t="s">
        <v>2667</v>
      </c>
      <c r="C441" s="67" t="s">
        <v>2668</v>
      </c>
      <c r="D441" s="96" t="s">
        <v>2669</v>
      </c>
      <c r="E441" s="59"/>
      <c r="F441" s="79" t="s">
        <v>344</v>
      </c>
      <c r="G441" s="79" t="s">
        <v>123</v>
      </c>
      <c r="H441" s="96" t="s">
        <v>2670</v>
      </c>
      <c r="I441" s="96" t="s">
        <v>2671</v>
      </c>
      <c r="J441" s="79" t="s">
        <v>151</v>
      </c>
      <c r="K441" s="79" t="s">
        <v>70</v>
      </c>
      <c r="L441" s="79" t="s">
        <v>101</v>
      </c>
      <c r="M441" s="130" t="s">
        <v>2672</v>
      </c>
      <c r="N441" s="79" t="s">
        <v>73</v>
      </c>
      <c r="O441" s="79" t="s">
        <v>73</v>
      </c>
      <c r="P441" s="79" t="s">
        <v>95</v>
      </c>
      <c r="Q441" s="223" t="s">
        <v>2906</v>
      </c>
      <c r="R441" s="79" t="s">
        <v>76</v>
      </c>
      <c r="S441" s="79" t="s">
        <v>97</v>
      </c>
      <c r="T441" s="69"/>
      <c r="U441" s="79" t="s">
        <v>78</v>
      </c>
      <c r="V441" s="79" t="s">
        <v>98</v>
      </c>
      <c r="W441" s="79" t="s">
        <v>2674</v>
      </c>
      <c r="X441" s="79" t="s">
        <v>155</v>
      </c>
      <c r="Y441" s="79" t="s">
        <v>139</v>
      </c>
      <c r="Z441" s="79" t="s">
        <v>2675</v>
      </c>
      <c r="AA441" s="79" t="s">
        <v>162</v>
      </c>
      <c r="AB441" s="67" t="s">
        <v>2907</v>
      </c>
      <c r="AC441" s="77">
        <v>8.5314988975E10</v>
      </c>
      <c r="AD441" s="69"/>
      <c r="AE441" s="59"/>
      <c r="AF441" s="79" t="s">
        <v>566</v>
      </c>
      <c r="AG441" s="60"/>
      <c r="AH441" s="61"/>
      <c r="AI441" s="61"/>
      <c r="AJ441" s="61"/>
      <c r="AK441" s="61"/>
      <c r="AL441" s="61"/>
      <c r="AM441" s="61"/>
      <c r="AN441" s="61"/>
      <c r="AO441" s="61"/>
      <c r="AP441" s="61"/>
      <c r="AQ441" s="61"/>
      <c r="AR441" s="61"/>
    </row>
    <row r="442">
      <c r="A442" s="95">
        <v>29.0</v>
      </c>
      <c r="B442" s="96" t="s">
        <v>2678</v>
      </c>
      <c r="C442" s="201" t="s">
        <v>2679</v>
      </c>
      <c r="D442" s="225" t="s">
        <v>2680</v>
      </c>
      <c r="E442" s="59"/>
      <c r="F442" s="67" t="s">
        <v>344</v>
      </c>
      <c r="G442" s="79" t="s">
        <v>123</v>
      </c>
      <c r="H442" s="79" t="s">
        <v>2681</v>
      </c>
      <c r="I442" s="79" t="s">
        <v>2681</v>
      </c>
      <c r="J442" s="79" t="s">
        <v>69</v>
      </c>
      <c r="K442" s="79" t="s">
        <v>110</v>
      </c>
      <c r="L442" s="79" t="s">
        <v>71</v>
      </c>
      <c r="M442" s="130" t="s">
        <v>2682</v>
      </c>
      <c r="N442" s="79" t="s">
        <v>73</v>
      </c>
      <c r="O442" s="79" t="s">
        <v>73</v>
      </c>
      <c r="P442" s="79" t="s">
        <v>95</v>
      </c>
      <c r="Q442" s="131" t="s">
        <v>2908</v>
      </c>
      <c r="R442" s="79" t="s">
        <v>76</v>
      </c>
      <c r="S442" s="79" t="s">
        <v>97</v>
      </c>
      <c r="T442" s="79">
        <v>2018.0</v>
      </c>
      <c r="U442" s="79" t="s">
        <v>78</v>
      </c>
      <c r="V442" s="67" t="s">
        <v>79</v>
      </c>
      <c r="W442" s="79" t="s">
        <v>2684</v>
      </c>
      <c r="X442" s="67" t="s">
        <v>80</v>
      </c>
      <c r="Y442" s="79" t="s">
        <v>80</v>
      </c>
      <c r="Z442" s="68" t="s">
        <v>2675</v>
      </c>
      <c r="AA442" s="79" t="s">
        <v>162</v>
      </c>
      <c r="AB442" s="67" t="s">
        <v>2871</v>
      </c>
      <c r="AC442" s="77">
        <v>8.157232319E10</v>
      </c>
      <c r="AD442" s="69"/>
      <c r="AE442" s="59"/>
      <c r="AF442" s="68" t="s">
        <v>566</v>
      </c>
      <c r="AG442" s="60"/>
      <c r="AH442" s="61"/>
      <c r="AI442" s="61"/>
      <c r="AJ442" s="61"/>
      <c r="AK442" s="61"/>
      <c r="AL442" s="61"/>
      <c r="AM442" s="61"/>
      <c r="AN442" s="61"/>
      <c r="AO442" s="61"/>
      <c r="AP442" s="61"/>
      <c r="AQ442" s="61"/>
      <c r="AR442" s="61"/>
    </row>
    <row r="443">
      <c r="A443" s="71" t="s">
        <v>2909</v>
      </c>
      <c r="B443" s="57"/>
      <c r="C443" s="57"/>
      <c r="D443" s="58"/>
      <c r="E443" s="58"/>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94"/>
      <c r="AF443" s="94"/>
      <c r="AG443" s="60"/>
      <c r="AH443" s="60"/>
      <c r="AI443" s="60"/>
      <c r="AJ443" s="60"/>
      <c r="AK443" s="60"/>
      <c r="AL443" s="60"/>
      <c r="AM443" s="60"/>
      <c r="AN443" s="60"/>
      <c r="AO443" s="60"/>
      <c r="AP443" s="60"/>
      <c r="AQ443" s="60"/>
      <c r="AR443" s="61"/>
    </row>
    <row r="444">
      <c r="A444" s="95">
        <v>1.0</v>
      </c>
      <c r="B444" s="96" t="s">
        <v>2411</v>
      </c>
      <c r="C444" s="76" t="s">
        <v>2412</v>
      </c>
      <c r="D444" s="96" t="s">
        <v>2413</v>
      </c>
      <c r="E444" s="96" t="s">
        <v>88</v>
      </c>
      <c r="F444" s="79" t="s">
        <v>344</v>
      </c>
      <c r="G444" s="79" t="s">
        <v>66</v>
      </c>
      <c r="H444" s="79" t="s">
        <v>2415</v>
      </c>
      <c r="I444" s="96" t="s">
        <v>2416</v>
      </c>
      <c r="J444" s="79" t="s">
        <v>158</v>
      </c>
      <c r="K444" s="79" t="s">
        <v>70</v>
      </c>
      <c r="L444" s="79" t="s">
        <v>101</v>
      </c>
      <c r="M444" s="97" t="s">
        <v>2910</v>
      </c>
      <c r="N444" s="79" t="s">
        <v>93</v>
      </c>
      <c r="O444" s="79" t="s">
        <v>113</v>
      </c>
      <c r="P444" s="79" t="s">
        <v>153</v>
      </c>
      <c r="Q444" s="131" t="s">
        <v>2911</v>
      </c>
      <c r="R444" s="79" t="s">
        <v>76</v>
      </c>
      <c r="S444" s="79" t="s">
        <v>77</v>
      </c>
      <c r="T444" s="79">
        <v>2023.0</v>
      </c>
      <c r="U444" s="79" t="s">
        <v>78</v>
      </c>
      <c r="V444" s="79" t="s">
        <v>98</v>
      </c>
      <c r="W444" s="79" t="s">
        <v>2419</v>
      </c>
      <c r="X444" s="79" t="s">
        <v>148</v>
      </c>
      <c r="Y444" s="79" t="s">
        <v>139</v>
      </c>
      <c r="Z444" s="79" t="s">
        <v>2859</v>
      </c>
      <c r="AA444" s="79" t="s">
        <v>162</v>
      </c>
      <c r="AB444" s="96" t="s">
        <v>2912</v>
      </c>
      <c r="AC444" s="98">
        <v>8.5659119423E10</v>
      </c>
      <c r="AD444" s="69"/>
      <c r="AE444" s="59"/>
      <c r="AF444" s="68" t="s">
        <v>71</v>
      </c>
      <c r="AG444" s="60"/>
      <c r="AH444" s="61"/>
      <c r="AI444" s="61"/>
      <c r="AJ444" s="61"/>
      <c r="AK444" s="61"/>
      <c r="AL444" s="61"/>
      <c r="AM444" s="61"/>
      <c r="AN444" s="61"/>
      <c r="AO444" s="61"/>
      <c r="AP444" s="61"/>
      <c r="AQ444" s="61"/>
      <c r="AR444" s="61"/>
    </row>
    <row r="445">
      <c r="A445" s="95">
        <v>2.0</v>
      </c>
      <c r="B445" s="79" t="s">
        <v>2449</v>
      </c>
      <c r="C445" s="79" t="s">
        <v>2450</v>
      </c>
      <c r="D445" s="79" t="s">
        <v>2451</v>
      </c>
      <c r="E445" s="59"/>
      <c r="F445" s="79" t="s">
        <v>444</v>
      </c>
      <c r="G445" s="79" t="s">
        <v>131</v>
      </c>
      <c r="H445" s="79" t="s">
        <v>2452</v>
      </c>
      <c r="I445" s="96" t="s">
        <v>2453</v>
      </c>
      <c r="J445" s="79" t="s">
        <v>69</v>
      </c>
      <c r="K445" s="79" t="s">
        <v>70</v>
      </c>
      <c r="L445" s="79" t="s">
        <v>71</v>
      </c>
      <c r="M445" s="130" t="s">
        <v>2454</v>
      </c>
      <c r="N445" s="79" t="s">
        <v>93</v>
      </c>
      <c r="O445" s="79" t="s">
        <v>94</v>
      </c>
      <c r="P445" s="79" t="s">
        <v>95</v>
      </c>
      <c r="Q445" s="131" t="s">
        <v>2913</v>
      </c>
      <c r="R445" s="79" t="s">
        <v>76</v>
      </c>
      <c r="S445" s="79" t="s">
        <v>97</v>
      </c>
      <c r="T445" s="79">
        <v>2023.0</v>
      </c>
      <c r="U445" s="79" t="s">
        <v>78</v>
      </c>
      <c r="V445" s="79" t="s">
        <v>79</v>
      </c>
      <c r="W445" s="79" t="s">
        <v>80</v>
      </c>
      <c r="X445" s="79" t="s">
        <v>80</v>
      </c>
      <c r="Y445" s="79" t="s">
        <v>80</v>
      </c>
      <c r="Z445" s="79" t="s">
        <v>2456</v>
      </c>
      <c r="AA445" s="79" t="s">
        <v>207</v>
      </c>
      <c r="AB445" s="67" t="s">
        <v>2914</v>
      </c>
      <c r="AC445" s="77">
        <v>8.2130662787E10</v>
      </c>
      <c r="AD445" s="69"/>
      <c r="AE445" s="59"/>
      <c r="AF445" s="79" t="s">
        <v>152</v>
      </c>
      <c r="AG445" s="60"/>
      <c r="AH445" s="61"/>
      <c r="AI445" s="61"/>
      <c r="AJ445" s="61"/>
      <c r="AK445" s="61"/>
      <c r="AL445" s="61"/>
      <c r="AM445" s="61"/>
      <c r="AN445" s="61"/>
      <c r="AO445" s="61"/>
      <c r="AP445" s="61"/>
      <c r="AQ445" s="61"/>
      <c r="AR445" s="61"/>
    </row>
    <row r="446">
      <c r="A446" s="95">
        <v>3.0</v>
      </c>
      <c r="B446" s="79" t="s">
        <v>2459</v>
      </c>
      <c r="C446" s="79" t="s">
        <v>2460</v>
      </c>
      <c r="D446" s="79" t="s">
        <v>2461</v>
      </c>
      <c r="E446" s="59"/>
      <c r="F446" s="79" t="s">
        <v>448</v>
      </c>
      <c r="G446" s="79" t="s">
        <v>123</v>
      </c>
      <c r="H446" s="79" t="s">
        <v>2462</v>
      </c>
      <c r="I446" s="96" t="s">
        <v>2463</v>
      </c>
      <c r="J446" s="79" t="s">
        <v>158</v>
      </c>
      <c r="K446" s="79" t="s">
        <v>110</v>
      </c>
      <c r="L446" s="79" t="s">
        <v>71</v>
      </c>
      <c r="M446" s="130" t="s">
        <v>2754</v>
      </c>
      <c r="N446" s="79" t="s">
        <v>26</v>
      </c>
      <c r="O446" s="79" t="s">
        <v>113</v>
      </c>
      <c r="P446" s="79" t="s">
        <v>95</v>
      </c>
      <c r="Q446" s="131" t="s">
        <v>2915</v>
      </c>
      <c r="R446" s="79" t="s">
        <v>76</v>
      </c>
      <c r="S446" s="79" t="s">
        <v>97</v>
      </c>
      <c r="T446" s="79">
        <v>2024.0</v>
      </c>
      <c r="U446" s="79" t="s">
        <v>78</v>
      </c>
      <c r="V446" s="79" t="s">
        <v>79</v>
      </c>
      <c r="W446" s="79" t="s">
        <v>80</v>
      </c>
      <c r="X446" s="79" t="s">
        <v>80</v>
      </c>
      <c r="Y446" s="79" t="s">
        <v>80</v>
      </c>
      <c r="Z446" s="79" t="s">
        <v>2466</v>
      </c>
      <c r="AA446" s="79" t="s">
        <v>209</v>
      </c>
      <c r="AB446" s="67" t="s">
        <v>2916</v>
      </c>
      <c r="AC446" s="77">
        <v>8.1320529503E10</v>
      </c>
      <c r="AD446" s="69"/>
      <c r="AE446" s="59"/>
      <c r="AF446" s="79" t="s">
        <v>71</v>
      </c>
      <c r="AG446" s="60"/>
      <c r="AH446" s="61"/>
      <c r="AI446" s="61"/>
      <c r="AJ446" s="61"/>
      <c r="AK446" s="61"/>
      <c r="AL446" s="61"/>
      <c r="AM446" s="61"/>
      <c r="AN446" s="61"/>
      <c r="AO446" s="61"/>
      <c r="AP446" s="61"/>
      <c r="AQ446" s="61"/>
      <c r="AR446" s="61"/>
    </row>
    <row r="447">
      <c r="A447" s="95">
        <v>4.0</v>
      </c>
      <c r="B447" s="79" t="s">
        <v>2469</v>
      </c>
      <c r="C447" s="79" t="s">
        <v>2470</v>
      </c>
      <c r="D447" s="79" t="s">
        <v>2471</v>
      </c>
      <c r="E447" s="59"/>
      <c r="F447" s="79" t="s">
        <v>446</v>
      </c>
      <c r="G447" s="79" t="s">
        <v>123</v>
      </c>
      <c r="H447" s="79" t="s">
        <v>2472</v>
      </c>
      <c r="I447" s="96" t="s">
        <v>2473</v>
      </c>
      <c r="J447" s="79" t="s">
        <v>151</v>
      </c>
      <c r="K447" s="79" t="s">
        <v>70</v>
      </c>
      <c r="L447" s="79" t="s">
        <v>71</v>
      </c>
      <c r="M447" s="130" t="s">
        <v>607</v>
      </c>
      <c r="N447" s="79" t="s">
        <v>73</v>
      </c>
      <c r="O447" s="79" t="s">
        <v>73</v>
      </c>
      <c r="P447" s="79" t="s">
        <v>95</v>
      </c>
      <c r="Q447" s="131" t="s">
        <v>2917</v>
      </c>
      <c r="R447" s="79" t="s">
        <v>76</v>
      </c>
      <c r="S447" s="79" t="s">
        <v>97</v>
      </c>
      <c r="T447" s="79">
        <v>2021.0</v>
      </c>
      <c r="U447" s="79" t="s">
        <v>78</v>
      </c>
      <c r="V447" s="79" t="s">
        <v>98</v>
      </c>
      <c r="W447" s="79" t="s">
        <v>2475</v>
      </c>
      <c r="X447" s="79" t="s">
        <v>148</v>
      </c>
      <c r="Y447" s="69"/>
      <c r="Z447" s="79" t="s">
        <v>2476</v>
      </c>
      <c r="AA447" s="79" t="s">
        <v>207</v>
      </c>
      <c r="AB447" s="67" t="s">
        <v>2918</v>
      </c>
      <c r="AC447" s="77">
        <v>8.1646936429E10</v>
      </c>
      <c r="AD447" s="69"/>
      <c r="AE447" s="59"/>
      <c r="AF447" s="79" t="s">
        <v>152</v>
      </c>
      <c r="AG447" s="60"/>
      <c r="AH447" s="61"/>
      <c r="AI447" s="61"/>
      <c r="AJ447" s="61"/>
      <c r="AK447" s="61"/>
      <c r="AL447" s="61"/>
      <c r="AM447" s="61"/>
      <c r="AN447" s="61"/>
      <c r="AO447" s="61"/>
      <c r="AP447" s="61"/>
      <c r="AQ447" s="61"/>
      <c r="AR447" s="61"/>
    </row>
    <row r="448">
      <c r="A448" s="95">
        <v>5.0</v>
      </c>
      <c r="B448" s="79" t="s">
        <v>2481</v>
      </c>
      <c r="C448" s="79" t="s">
        <v>2482</v>
      </c>
      <c r="D448" s="79" t="s">
        <v>2483</v>
      </c>
      <c r="E448" s="59"/>
      <c r="F448" s="79" t="s">
        <v>446</v>
      </c>
      <c r="G448" s="79" t="s">
        <v>138</v>
      </c>
      <c r="H448" s="79" t="s">
        <v>2484</v>
      </c>
      <c r="I448" s="96" t="s">
        <v>2485</v>
      </c>
      <c r="J448" s="79" t="s">
        <v>91</v>
      </c>
      <c r="K448" s="79" t="s">
        <v>70</v>
      </c>
      <c r="L448" s="79" t="s">
        <v>71</v>
      </c>
      <c r="M448" s="130" t="s">
        <v>2486</v>
      </c>
      <c r="N448" s="79" t="s">
        <v>73</v>
      </c>
      <c r="O448" s="79" t="s">
        <v>73</v>
      </c>
      <c r="P448" s="79" t="s">
        <v>95</v>
      </c>
      <c r="Q448" s="131" t="s">
        <v>2919</v>
      </c>
      <c r="R448" s="79" t="s">
        <v>76</v>
      </c>
      <c r="S448" s="79" t="s">
        <v>97</v>
      </c>
      <c r="T448" s="79">
        <v>2010.0</v>
      </c>
      <c r="U448" s="79" t="s">
        <v>78</v>
      </c>
      <c r="V448" s="79" t="s">
        <v>98</v>
      </c>
      <c r="W448" s="79" t="s">
        <v>2488</v>
      </c>
      <c r="X448" s="79" t="s">
        <v>155</v>
      </c>
      <c r="Y448" s="79" t="s">
        <v>139</v>
      </c>
      <c r="Z448" s="79" t="s">
        <v>2489</v>
      </c>
      <c r="AA448" s="79" t="s">
        <v>140</v>
      </c>
      <c r="AB448" s="67" t="s">
        <v>2920</v>
      </c>
      <c r="AC448" s="77">
        <v>8.2120508449E10</v>
      </c>
      <c r="AD448" s="69"/>
      <c r="AE448" s="59"/>
      <c r="AF448" s="79" t="s">
        <v>566</v>
      </c>
      <c r="AG448" s="60"/>
      <c r="AH448" s="61"/>
      <c r="AI448" s="61"/>
      <c r="AJ448" s="61"/>
      <c r="AK448" s="61"/>
      <c r="AL448" s="61"/>
      <c r="AM448" s="61"/>
      <c r="AN448" s="61"/>
      <c r="AO448" s="61"/>
      <c r="AP448" s="61"/>
      <c r="AQ448" s="61"/>
      <c r="AR448" s="61"/>
    </row>
    <row r="449">
      <c r="A449" s="95">
        <v>6.0</v>
      </c>
      <c r="B449" s="79" t="s">
        <v>2492</v>
      </c>
      <c r="C449" s="79" t="s">
        <v>2493</v>
      </c>
      <c r="D449" s="79" t="s">
        <v>2494</v>
      </c>
      <c r="E449" s="59"/>
      <c r="F449" s="79" t="s">
        <v>470</v>
      </c>
      <c r="G449" s="79" t="s">
        <v>123</v>
      </c>
      <c r="H449" s="79" t="s">
        <v>2495</v>
      </c>
      <c r="I449" s="96" t="s">
        <v>2496</v>
      </c>
      <c r="J449" s="79" t="s">
        <v>69</v>
      </c>
      <c r="K449" s="79" t="s">
        <v>110</v>
      </c>
      <c r="L449" s="79" t="s">
        <v>101</v>
      </c>
      <c r="M449" s="130" t="s">
        <v>558</v>
      </c>
      <c r="N449" s="79" t="s">
        <v>26</v>
      </c>
      <c r="O449" s="79" t="s">
        <v>113</v>
      </c>
      <c r="P449" s="79" t="s">
        <v>95</v>
      </c>
      <c r="Q449" s="131" t="s">
        <v>2921</v>
      </c>
      <c r="R449" s="79" t="s">
        <v>76</v>
      </c>
      <c r="S449" s="79" t="s">
        <v>97</v>
      </c>
      <c r="T449" s="79">
        <v>2023.0</v>
      </c>
      <c r="U449" s="79" t="s">
        <v>78</v>
      </c>
      <c r="V449" s="79" t="s">
        <v>79</v>
      </c>
      <c r="W449" s="79" t="s">
        <v>80</v>
      </c>
      <c r="X449" s="79" t="s">
        <v>80</v>
      </c>
      <c r="Y449" s="79" t="s">
        <v>80</v>
      </c>
      <c r="Z449" s="79" t="s">
        <v>2456</v>
      </c>
      <c r="AA449" s="79" t="s">
        <v>156</v>
      </c>
      <c r="AB449" s="69"/>
      <c r="AC449" s="69"/>
      <c r="AD449" s="69"/>
      <c r="AE449" s="59"/>
      <c r="AF449" s="79" t="s">
        <v>566</v>
      </c>
      <c r="AG449" s="60"/>
      <c r="AH449" s="61"/>
      <c r="AI449" s="61"/>
      <c r="AJ449" s="61"/>
      <c r="AK449" s="61"/>
      <c r="AL449" s="61"/>
      <c r="AM449" s="61"/>
      <c r="AN449" s="61"/>
      <c r="AO449" s="61"/>
      <c r="AP449" s="61"/>
      <c r="AQ449" s="61"/>
      <c r="AR449" s="61"/>
    </row>
    <row r="450">
      <c r="A450" s="95">
        <v>7.0</v>
      </c>
      <c r="B450" s="79" t="s">
        <v>2500</v>
      </c>
      <c r="C450" s="79" t="s">
        <v>2501</v>
      </c>
      <c r="D450" s="79" t="s">
        <v>2502</v>
      </c>
      <c r="E450" s="79" t="s">
        <v>2503</v>
      </c>
      <c r="F450" s="79" t="s">
        <v>444</v>
      </c>
      <c r="G450" s="79" t="s">
        <v>123</v>
      </c>
      <c r="H450" s="79" t="s">
        <v>2504</v>
      </c>
      <c r="I450" s="96" t="s">
        <v>2505</v>
      </c>
      <c r="J450" s="79" t="s">
        <v>91</v>
      </c>
      <c r="K450" s="79" t="s">
        <v>110</v>
      </c>
      <c r="L450" s="79" t="s">
        <v>71</v>
      </c>
      <c r="M450" s="130" t="s">
        <v>593</v>
      </c>
      <c r="N450" s="79" t="s">
        <v>26</v>
      </c>
      <c r="O450" s="79" t="s">
        <v>113</v>
      </c>
      <c r="P450" s="79" t="s">
        <v>95</v>
      </c>
      <c r="Q450" s="131" t="s">
        <v>2922</v>
      </c>
      <c r="R450" s="79" t="s">
        <v>76</v>
      </c>
      <c r="S450" s="79" t="s">
        <v>77</v>
      </c>
      <c r="T450" s="79">
        <v>2018.0</v>
      </c>
      <c r="U450" s="79" t="s">
        <v>78</v>
      </c>
      <c r="V450" s="79" t="s">
        <v>98</v>
      </c>
      <c r="W450" s="79" t="s">
        <v>80</v>
      </c>
      <c r="X450" s="79" t="s">
        <v>80</v>
      </c>
      <c r="Y450" s="79" t="s">
        <v>152</v>
      </c>
      <c r="Z450" s="79" t="s">
        <v>2456</v>
      </c>
      <c r="AA450" s="79" t="s">
        <v>209</v>
      </c>
      <c r="AB450" s="69"/>
      <c r="AC450" s="69"/>
      <c r="AD450" s="69"/>
      <c r="AE450" s="59"/>
      <c r="AF450" s="79" t="s">
        <v>152</v>
      </c>
      <c r="AG450" s="60"/>
      <c r="AH450" s="61"/>
      <c r="AI450" s="61"/>
      <c r="AJ450" s="61"/>
      <c r="AK450" s="61"/>
      <c r="AL450" s="61"/>
      <c r="AM450" s="61"/>
      <c r="AN450" s="61"/>
      <c r="AO450" s="61"/>
      <c r="AP450" s="61"/>
      <c r="AQ450" s="61"/>
      <c r="AR450" s="61"/>
    </row>
    <row r="451">
      <c r="A451" s="95">
        <v>8.0</v>
      </c>
      <c r="B451" s="79" t="s">
        <v>2510</v>
      </c>
      <c r="C451" s="79" t="s">
        <v>2511</v>
      </c>
      <c r="D451" s="79" t="s">
        <v>2512</v>
      </c>
      <c r="E451" s="59"/>
      <c r="F451" s="79" t="s">
        <v>107</v>
      </c>
      <c r="G451" s="79" t="s">
        <v>123</v>
      </c>
      <c r="H451" s="79" t="s">
        <v>502</v>
      </c>
      <c r="I451" s="79" t="s">
        <v>502</v>
      </c>
      <c r="J451" s="79" t="s">
        <v>91</v>
      </c>
      <c r="K451" s="79" t="s">
        <v>110</v>
      </c>
      <c r="L451" s="79" t="s">
        <v>71</v>
      </c>
      <c r="M451" s="130" t="s">
        <v>503</v>
      </c>
      <c r="N451" s="79" t="s">
        <v>82</v>
      </c>
      <c r="O451" s="79" t="s">
        <v>113</v>
      </c>
      <c r="P451" s="79" t="s">
        <v>95</v>
      </c>
      <c r="Q451" s="131" t="s">
        <v>2923</v>
      </c>
      <c r="R451" s="79" t="s">
        <v>76</v>
      </c>
      <c r="S451" s="79" t="s">
        <v>97</v>
      </c>
      <c r="T451" s="79">
        <v>2021.0</v>
      </c>
      <c r="U451" s="79" t="s">
        <v>78</v>
      </c>
      <c r="V451" s="79" t="s">
        <v>98</v>
      </c>
      <c r="W451" s="79" t="s">
        <v>2514</v>
      </c>
      <c r="X451" s="79" t="s">
        <v>148</v>
      </c>
      <c r="Y451" s="79" t="s">
        <v>139</v>
      </c>
      <c r="Z451" s="79" t="s">
        <v>2489</v>
      </c>
      <c r="AA451" s="79" t="s">
        <v>82</v>
      </c>
      <c r="AB451" s="67" t="s">
        <v>2924</v>
      </c>
      <c r="AC451" s="77">
        <v>8.1293339797E10</v>
      </c>
      <c r="AD451" s="69"/>
      <c r="AE451" s="59"/>
      <c r="AF451" s="79" t="s">
        <v>566</v>
      </c>
      <c r="AG451" s="60"/>
      <c r="AH451" s="61"/>
      <c r="AI451" s="61"/>
      <c r="AJ451" s="61"/>
      <c r="AK451" s="61"/>
      <c r="AL451" s="61"/>
      <c r="AM451" s="61"/>
      <c r="AN451" s="61"/>
      <c r="AO451" s="61"/>
      <c r="AP451" s="61"/>
      <c r="AQ451" s="61"/>
      <c r="AR451" s="61"/>
    </row>
    <row r="452">
      <c r="A452" s="95">
        <v>9.0</v>
      </c>
      <c r="B452" s="79" t="s">
        <v>2522</v>
      </c>
      <c r="C452" s="219" t="s">
        <v>2523</v>
      </c>
      <c r="D452" s="79" t="s">
        <v>2524</v>
      </c>
      <c r="E452" s="79" t="s">
        <v>2525</v>
      </c>
      <c r="F452" s="79" t="s">
        <v>344</v>
      </c>
      <c r="G452" s="79" t="s">
        <v>66</v>
      </c>
      <c r="H452" s="79" t="s">
        <v>2526</v>
      </c>
      <c r="I452" s="96" t="s">
        <v>2527</v>
      </c>
      <c r="J452" s="79" t="s">
        <v>151</v>
      </c>
      <c r="K452" s="79" t="s">
        <v>70</v>
      </c>
      <c r="L452" s="79" t="s">
        <v>71</v>
      </c>
      <c r="M452" s="130" t="s">
        <v>2528</v>
      </c>
      <c r="N452" s="79" t="s">
        <v>73</v>
      </c>
      <c r="O452" s="79" t="s">
        <v>73</v>
      </c>
      <c r="P452" s="79" t="s">
        <v>95</v>
      </c>
      <c r="Q452" s="131" t="s">
        <v>2925</v>
      </c>
      <c r="R452" s="79" t="s">
        <v>76</v>
      </c>
      <c r="S452" s="79" t="s">
        <v>97</v>
      </c>
      <c r="T452" s="79">
        <v>2016.0</v>
      </c>
      <c r="U452" s="79" t="s">
        <v>78</v>
      </c>
      <c r="V452" s="79" t="s">
        <v>79</v>
      </c>
      <c r="W452" s="79" t="s">
        <v>2520</v>
      </c>
      <c r="X452" s="79" t="s">
        <v>80</v>
      </c>
      <c r="Y452" s="79" t="s">
        <v>80</v>
      </c>
      <c r="Z452" s="79" t="s">
        <v>2530</v>
      </c>
      <c r="AA452" s="79" t="s">
        <v>162</v>
      </c>
      <c r="AB452" s="67" t="s">
        <v>2926</v>
      </c>
      <c r="AC452" s="77">
        <v>8.582267415E9</v>
      </c>
      <c r="AD452" s="69"/>
      <c r="AE452" s="59"/>
      <c r="AF452" s="79" t="s">
        <v>566</v>
      </c>
      <c r="AG452" s="60"/>
      <c r="AH452" s="61"/>
      <c r="AI452" s="61"/>
      <c r="AJ452" s="61"/>
      <c r="AK452" s="61"/>
      <c r="AL452" s="61"/>
      <c r="AM452" s="61"/>
      <c r="AN452" s="61"/>
      <c r="AO452" s="61"/>
      <c r="AP452" s="61"/>
      <c r="AQ452" s="61"/>
      <c r="AR452" s="61"/>
    </row>
    <row r="453">
      <c r="A453" s="95">
        <v>10.0</v>
      </c>
      <c r="B453" s="79" t="s">
        <v>2531</v>
      </c>
      <c r="C453" s="79" t="s">
        <v>2532</v>
      </c>
      <c r="D453" s="79" t="s">
        <v>2533</v>
      </c>
      <c r="E453" s="59"/>
      <c r="F453" s="79" t="s">
        <v>453</v>
      </c>
      <c r="G453" s="79" t="s">
        <v>131</v>
      </c>
      <c r="H453" s="79" t="s">
        <v>2534</v>
      </c>
      <c r="I453" s="96" t="s">
        <v>2505</v>
      </c>
      <c r="J453" s="79" t="s">
        <v>151</v>
      </c>
      <c r="K453" s="79" t="s">
        <v>70</v>
      </c>
      <c r="L453" s="79" t="s">
        <v>71</v>
      </c>
      <c r="M453" s="130" t="s">
        <v>586</v>
      </c>
      <c r="N453" s="79" t="s">
        <v>73</v>
      </c>
      <c r="O453" s="79" t="s">
        <v>73</v>
      </c>
      <c r="P453" s="79" t="s">
        <v>95</v>
      </c>
      <c r="Q453" s="131" t="s">
        <v>2927</v>
      </c>
      <c r="R453" s="79" t="s">
        <v>76</v>
      </c>
      <c r="S453" s="79" t="s">
        <v>77</v>
      </c>
      <c r="T453" s="79">
        <v>2025.0</v>
      </c>
      <c r="U453" s="79" t="s">
        <v>78</v>
      </c>
      <c r="V453" s="79" t="s">
        <v>98</v>
      </c>
      <c r="W453" s="79" t="s">
        <v>2536</v>
      </c>
      <c r="X453" s="79" t="s">
        <v>148</v>
      </c>
      <c r="Y453" s="79" t="s">
        <v>152</v>
      </c>
      <c r="Z453" s="79" t="s">
        <v>2456</v>
      </c>
      <c r="AA453" s="79" t="s">
        <v>207</v>
      </c>
      <c r="AB453" s="69"/>
      <c r="AC453" s="69"/>
      <c r="AD453" s="69"/>
      <c r="AE453" s="59"/>
      <c r="AF453" s="79" t="s">
        <v>111</v>
      </c>
      <c r="AG453" s="60"/>
      <c r="AH453" s="61"/>
      <c r="AI453" s="61"/>
      <c r="AJ453" s="61"/>
      <c r="AK453" s="61"/>
      <c r="AL453" s="61"/>
      <c r="AM453" s="61"/>
      <c r="AN453" s="61"/>
      <c r="AO453" s="61"/>
      <c r="AP453" s="61"/>
      <c r="AQ453" s="61"/>
      <c r="AR453" s="61"/>
    </row>
    <row r="454">
      <c r="A454" s="95">
        <v>11.0</v>
      </c>
      <c r="B454" s="79" t="s">
        <v>2540</v>
      </c>
      <c r="C454" s="79" t="s">
        <v>2541</v>
      </c>
      <c r="D454" s="79" t="s">
        <v>2542</v>
      </c>
      <c r="E454" s="59"/>
      <c r="F454" s="79" t="s">
        <v>453</v>
      </c>
      <c r="G454" s="79" t="s">
        <v>123</v>
      </c>
      <c r="H454" s="79" t="s">
        <v>2543</v>
      </c>
      <c r="I454" s="96" t="s">
        <v>2505</v>
      </c>
      <c r="J454" s="79" t="s">
        <v>151</v>
      </c>
      <c r="K454" s="79" t="s">
        <v>110</v>
      </c>
      <c r="L454" s="79" t="s">
        <v>152</v>
      </c>
      <c r="M454" s="130" t="s">
        <v>579</v>
      </c>
      <c r="N454" s="79" t="s">
        <v>82</v>
      </c>
      <c r="O454" s="79" t="s">
        <v>113</v>
      </c>
      <c r="P454" s="79" t="s">
        <v>95</v>
      </c>
      <c r="Q454" s="131" t="s">
        <v>2928</v>
      </c>
      <c r="R454" s="79" t="s">
        <v>76</v>
      </c>
      <c r="S454" s="79" t="s">
        <v>97</v>
      </c>
      <c r="T454" s="79">
        <v>2022.0</v>
      </c>
      <c r="U454" s="79" t="s">
        <v>78</v>
      </c>
      <c r="V454" s="79" t="s">
        <v>98</v>
      </c>
      <c r="W454" s="69"/>
      <c r="X454" s="79" t="s">
        <v>148</v>
      </c>
      <c r="Y454" s="79" t="s">
        <v>152</v>
      </c>
      <c r="Z454" s="79" t="s">
        <v>2456</v>
      </c>
      <c r="AA454" s="79" t="s">
        <v>207</v>
      </c>
      <c r="AB454" s="69"/>
      <c r="AC454" s="69"/>
      <c r="AD454" s="69"/>
      <c r="AE454" s="59"/>
      <c r="AF454" s="79" t="s">
        <v>152</v>
      </c>
      <c r="AG454" s="60"/>
      <c r="AH454" s="61"/>
      <c r="AI454" s="61"/>
      <c r="AJ454" s="61"/>
      <c r="AK454" s="61"/>
      <c r="AL454" s="61"/>
      <c r="AM454" s="61"/>
      <c r="AN454" s="61"/>
      <c r="AO454" s="61"/>
      <c r="AP454" s="61"/>
      <c r="AQ454" s="61"/>
      <c r="AR454" s="61"/>
    </row>
    <row r="455">
      <c r="A455" s="95">
        <v>12.0</v>
      </c>
      <c r="B455" s="79" t="s">
        <v>2559</v>
      </c>
      <c r="C455" s="79" t="s">
        <v>2560</v>
      </c>
      <c r="D455" s="79" t="s">
        <v>2561</v>
      </c>
      <c r="E455" s="131" t="s">
        <v>2929</v>
      </c>
      <c r="F455" s="79" t="s">
        <v>344</v>
      </c>
      <c r="G455" s="79" t="s">
        <v>66</v>
      </c>
      <c r="H455" s="79" t="s">
        <v>2563</v>
      </c>
      <c r="I455" s="96" t="s">
        <v>2564</v>
      </c>
      <c r="J455" s="79" t="s">
        <v>151</v>
      </c>
      <c r="K455" s="79" t="s">
        <v>70</v>
      </c>
      <c r="L455" s="79" t="s">
        <v>101</v>
      </c>
      <c r="M455" s="130" t="s">
        <v>1096</v>
      </c>
      <c r="N455" s="79" t="s">
        <v>73</v>
      </c>
      <c r="O455" s="79" t="s">
        <v>73</v>
      </c>
      <c r="P455" s="79" t="s">
        <v>74</v>
      </c>
      <c r="Q455" s="131" t="s">
        <v>2930</v>
      </c>
      <c r="R455" s="79" t="s">
        <v>76</v>
      </c>
      <c r="S455" s="79" t="s">
        <v>97</v>
      </c>
      <c r="T455" s="79">
        <v>2018.0</v>
      </c>
      <c r="U455" s="79" t="s">
        <v>154</v>
      </c>
      <c r="V455" s="79" t="s">
        <v>98</v>
      </c>
      <c r="W455" s="79" t="s">
        <v>2566</v>
      </c>
      <c r="X455" s="79" t="s">
        <v>100</v>
      </c>
      <c r="Y455" s="79" t="s">
        <v>139</v>
      </c>
      <c r="Z455" s="79" t="s">
        <v>2567</v>
      </c>
      <c r="AA455" s="79" t="s">
        <v>162</v>
      </c>
      <c r="AB455" s="67" t="s">
        <v>2931</v>
      </c>
      <c r="AC455" s="77">
        <v>8.232020355E10</v>
      </c>
      <c r="AD455" s="69"/>
      <c r="AE455" s="59"/>
      <c r="AF455" s="79" t="s">
        <v>566</v>
      </c>
      <c r="AG455" s="60"/>
      <c r="AH455" s="61"/>
      <c r="AI455" s="61"/>
      <c r="AJ455" s="61"/>
      <c r="AK455" s="61"/>
      <c r="AL455" s="61"/>
      <c r="AM455" s="61"/>
      <c r="AN455" s="61"/>
      <c r="AO455" s="61"/>
      <c r="AP455" s="61"/>
      <c r="AQ455" s="61"/>
      <c r="AR455" s="61"/>
    </row>
    <row r="456">
      <c r="A456" s="95">
        <v>13.0</v>
      </c>
      <c r="B456" s="79" t="s">
        <v>2570</v>
      </c>
      <c r="C456" s="79" t="s">
        <v>2571</v>
      </c>
      <c r="D456" s="79" t="s">
        <v>2572</v>
      </c>
      <c r="E456" s="59"/>
      <c r="F456" s="79" t="s">
        <v>469</v>
      </c>
      <c r="G456" s="79" t="s">
        <v>131</v>
      </c>
      <c r="H456" s="79" t="s">
        <v>2573</v>
      </c>
      <c r="I456" s="96" t="s">
        <v>2574</v>
      </c>
      <c r="J456" s="79" t="s">
        <v>151</v>
      </c>
      <c r="K456" s="79" t="s">
        <v>70</v>
      </c>
      <c r="L456" s="79" t="s">
        <v>152</v>
      </c>
      <c r="M456" s="130" t="s">
        <v>2575</v>
      </c>
      <c r="N456" s="79" t="s">
        <v>26</v>
      </c>
      <c r="O456" s="79" t="s">
        <v>113</v>
      </c>
      <c r="P456" s="79" t="s">
        <v>95</v>
      </c>
      <c r="Q456" s="131" t="s">
        <v>2932</v>
      </c>
      <c r="R456" s="79" t="s">
        <v>76</v>
      </c>
      <c r="S456" s="79" t="s">
        <v>97</v>
      </c>
      <c r="T456" s="79">
        <v>2018.0</v>
      </c>
      <c r="U456" s="79" t="s">
        <v>78</v>
      </c>
      <c r="V456" s="79" t="s">
        <v>98</v>
      </c>
      <c r="W456" s="79" t="s">
        <v>2577</v>
      </c>
      <c r="X456" s="79" t="s">
        <v>155</v>
      </c>
      <c r="Y456" s="79" t="s">
        <v>101</v>
      </c>
      <c r="Z456" s="79" t="s">
        <v>2521</v>
      </c>
      <c r="AA456" s="79" t="s">
        <v>211</v>
      </c>
      <c r="AB456" s="67" t="s">
        <v>2914</v>
      </c>
      <c r="AC456" s="77">
        <v>8.2130662787E10</v>
      </c>
      <c r="AD456" s="69"/>
      <c r="AE456" s="59"/>
      <c r="AF456" s="79" t="s">
        <v>71</v>
      </c>
      <c r="AG456" s="60"/>
      <c r="AH456" s="61"/>
      <c r="AI456" s="61"/>
      <c r="AJ456" s="61"/>
      <c r="AK456" s="61"/>
      <c r="AL456" s="61"/>
      <c r="AM456" s="61"/>
      <c r="AN456" s="61"/>
      <c r="AO456" s="61"/>
      <c r="AP456" s="61"/>
      <c r="AQ456" s="61"/>
      <c r="AR456" s="61"/>
    </row>
    <row r="457">
      <c r="A457" s="95">
        <v>14.0</v>
      </c>
      <c r="B457" s="79" t="s">
        <v>2580</v>
      </c>
      <c r="C457" s="79" t="s">
        <v>2581</v>
      </c>
      <c r="D457" s="79" t="s">
        <v>2572</v>
      </c>
      <c r="E457" s="59"/>
      <c r="F457" s="79" t="s">
        <v>469</v>
      </c>
      <c r="G457" s="79" t="s">
        <v>131</v>
      </c>
      <c r="H457" s="79" t="s">
        <v>2582</v>
      </c>
      <c r="I457" s="96" t="s">
        <v>2582</v>
      </c>
      <c r="J457" s="79" t="s">
        <v>151</v>
      </c>
      <c r="K457" s="79" t="s">
        <v>70</v>
      </c>
      <c r="L457" s="79" t="s">
        <v>71</v>
      </c>
      <c r="M457" s="130" t="s">
        <v>2350</v>
      </c>
      <c r="N457" s="79" t="s">
        <v>26</v>
      </c>
      <c r="O457" s="79" t="s">
        <v>113</v>
      </c>
      <c r="P457" s="79" t="s">
        <v>145</v>
      </c>
      <c r="Q457" s="220" t="s">
        <v>2350</v>
      </c>
      <c r="R457" s="79" t="s">
        <v>76</v>
      </c>
      <c r="S457" s="79" t="s">
        <v>97</v>
      </c>
      <c r="T457" s="69"/>
      <c r="U457" s="79" t="s">
        <v>78</v>
      </c>
      <c r="V457" s="79" t="s">
        <v>98</v>
      </c>
      <c r="W457" s="79" t="s">
        <v>2583</v>
      </c>
      <c r="X457" s="79" t="s">
        <v>148</v>
      </c>
      <c r="Y457" s="79" t="s">
        <v>71</v>
      </c>
      <c r="Z457" s="79" t="s">
        <v>2521</v>
      </c>
      <c r="AA457" s="79" t="s">
        <v>82</v>
      </c>
      <c r="AB457" s="67" t="s">
        <v>2914</v>
      </c>
      <c r="AC457" s="77">
        <v>8.2130662787E10</v>
      </c>
      <c r="AD457" s="69"/>
      <c r="AE457" s="59"/>
      <c r="AF457" s="79" t="s">
        <v>71</v>
      </c>
      <c r="AG457" s="60"/>
      <c r="AH457" s="61"/>
      <c r="AI457" s="61"/>
      <c r="AJ457" s="61"/>
      <c r="AK457" s="61"/>
      <c r="AL457" s="61"/>
      <c r="AM457" s="61"/>
      <c r="AN457" s="61"/>
      <c r="AO457" s="61"/>
      <c r="AP457" s="61"/>
      <c r="AQ457" s="61"/>
      <c r="AR457" s="61"/>
    </row>
    <row r="458">
      <c r="A458" s="95">
        <v>15.0</v>
      </c>
      <c r="B458" s="79" t="s">
        <v>2585</v>
      </c>
      <c r="C458" s="79" t="s">
        <v>2586</v>
      </c>
      <c r="D458" s="59"/>
      <c r="E458" s="59"/>
      <c r="F458" s="79" t="s">
        <v>468</v>
      </c>
      <c r="G458" s="79" t="s">
        <v>131</v>
      </c>
      <c r="H458" s="79" t="s">
        <v>2587</v>
      </c>
      <c r="I458" s="96" t="s">
        <v>2587</v>
      </c>
      <c r="J458" s="79" t="s">
        <v>151</v>
      </c>
      <c r="K458" s="79" t="s">
        <v>110</v>
      </c>
      <c r="L458" s="79" t="s">
        <v>71</v>
      </c>
      <c r="M458" s="130" t="s">
        <v>2715</v>
      </c>
      <c r="N458" s="79" t="s">
        <v>26</v>
      </c>
      <c r="O458" s="79" t="s">
        <v>113</v>
      </c>
      <c r="P458" s="79" t="s">
        <v>74</v>
      </c>
      <c r="Q458" s="131" t="s">
        <v>2933</v>
      </c>
      <c r="R458" s="79" t="s">
        <v>76</v>
      </c>
      <c r="S458" s="79" t="s">
        <v>97</v>
      </c>
      <c r="T458" s="69"/>
      <c r="U458" s="79" t="s">
        <v>78</v>
      </c>
      <c r="V458" s="79" t="s">
        <v>79</v>
      </c>
      <c r="W458" s="79" t="s">
        <v>943</v>
      </c>
      <c r="X458" s="79" t="s">
        <v>80</v>
      </c>
      <c r="Y458" s="79" t="s">
        <v>80</v>
      </c>
      <c r="Z458" s="79" t="s">
        <v>2590</v>
      </c>
      <c r="AA458" s="79" t="s">
        <v>82</v>
      </c>
      <c r="AB458" s="67" t="s">
        <v>2916</v>
      </c>
      <c r="AC458" s="77">
        <v>8.1320529503E10</v>
      </c>
      <c r="AD458" s="69"/>
      <c r="AE458" s="59"/>
      <c r="AF458" s="79" t="s">
        <v>71</v>
      </c>
      <c r="AG458" s="60"/>
      <c r="AH458" s="61"/>
      <c r="AI458" s="61"/>
      <c r="AJ458" s="61"/>
      <c r="AK458" s="61"/>
      <c r="AL458" s="61"/>
      <c r="AM458" s="61"/>
      <c r="AN458" s="61"/>
      <c r="AO458" s="61"/>
      <c r="AP458" s="61"/>
      <c r="AQ458" s="61"/>
      <c r="AR458" s="61"/>
    </row>
    <row r="459">
      <c r="A459" s="95">
        <v>16.0</v>
      </c>
      <c r="B459" s="79" t="s">
        <v>2592</v>
      </c>
      <c r="C459" s="79" t="s">
        <v>2592</v>
      </c>
      <c r="D459" s="79" t="s">
        <v>2572</v>
      </c>
      <c r="E459" s="59"/>
      <c r="F459" s="79" t="s">
        <v>469</v>
      </c>
      <c r="G459" s="79" t="s">
        <v>131</v>
      </c>
      <c r="H459" s="79" t="s">
        <v>2593</v>
      </c>
      <c r="I459" s="96" t="s">
        <v>2593</v>
      </c>
      <c r="J459" s="79" t="s">
        <v>151</v>
      </c>
      <c r="K459" s="79" t="s">
        <v>110</v>
      </c>
      <c r="L459" s="79" t="s">
        <v>71</v>
      </c>
      <c r="M459" s="130" t="s">
        <v>2717</v>
      </c>
      <c r="N459" s="79" t="s">
        <v>82</v>
      </c>
      <c r="O459" s="79" t="s">
        <v>113</v>
      </c>
      <c r="P459" s="79" t="s">
        <v>74</v>
      </c>
      <c r="Q459" s="131" t="s">
        <v>2934</v>
      </c>
      <c r="R459" s="79" t="s">
        <v>76</v>
      </c>
      <c r="S459" s="79" t="s">
        <v>97</v>
      </c>
      <c r="T459" s="69"/>
      <c r="U459" s="79" t="s">
        <v>78</v>
      </c>
      <c r="V459" s="79" t="s">
        <v>98</v>
      </c>
      <c r="W459" s="79" t="s">
        <v>2595</v>
      </c>
      <c r="X459" s="79" t="s">
        <v>148</v>
      </c>
      <c r="Y459" s="79" t="s">
        <v>139</v>
      </c>
      <c r="Z459" s="79" t="s">
        <v>2590</v>
      </c>
      <c r="AA459" s="79" t="s">
        <v>211</v>
      </c>
      <c r="AB459" s="67" t="s">
        <v>2914</v>
      </c>
      <c r="AC459" s="77">
        <v>8.2130662787E10</v>
      </c>
      <c r="AD459" s="69"/>
      <c r="AE459" s="59"/>
      <c r="AF459" s="79" t="s">
        <v>71</v>
      </c>
      <c r="AG459" s="60"/>
      <c r="AH459" s="61"/>
      <c r="AI459" s="61"/>
      <c r="AJ459" s="61"/>
      <c r="AK459" s="61"/>
      <c r="AL459" s="61"/>
      <c r="AM459" s="61"/>
      <c r="AN459" s="61"/>
      <c r="AO459" s="61"/>
      <c r="AP459" s="61"/>
      <c r="AQ459" s="61"/>
      <c r="AR459" s="61"/>
    </row>
    <row r="460">
      <c r="A460" s="95">
        <v>17.0</v>
      </c>
      <c r="B460" s="79" t="s">
        <v>2596</v>
      </c>
      <c r="C460" s="79" t="s">
        <v>2935</v>
      </c>
      <c r="D460" s="79" t="s">
        <v>2598</v>
      </c>
      <c r="E460" s="59"/>
      <c r="F460" s="79" t="s">
        <v>341</v>
      </c>
      <c r="G460" s="79" t="s">
        <v>131</v>
      </c>
      <c r="H460" s="79" t="s">
        <v>2597</v>
      </c>
      <c r="I460" s="79" t="s">
        <v>2597</v>
      </c>
      <c r="J460" s="79" t="s">
        <v>151</v>
      </c>
      <c r="K460" s="79" t="s">
        <v>70</v>
      </c>
      <c r="L460" s="79" t="s">
        <v>71</v>
      </c>
      <c r="M460" s="130" t="s">
        <v>1114</v>
      </c>
      <c r="N460" s="79" t="s">
        <v>73</v>
      </c>
      <c r="O460" s="79" t="s">
        <v>73</v>
      </c>
      <c r="P460" s="79" t="s">
        <v>74</v>
      </c>
      <c r="Q460" s="131" t="s">
        <v>2936</v>
      </c>
      <c r="R460" s="79" t="s">
        <v>76</v>
      </c>
      <c r="S460" s="79" t="s">
        <v>97</v>
      </c>
      <c r="T460" s="69"/>
      <c r="U460" s="79" t="s">
        <v>78</v>
      </c>
      <c r="V460" s="79" t="s">
        <v>98</v>
      </c>
      <c r="W460" s="69"/>
      <c r="X460" s="79" t="s">
        <v>148</v>
      </c>
      <c r="Y460" s="79" t="s">
        <v>139</v>
      </c>
      <c r="Z460" s="79" t="s">
        <v>2590</v>
      </c>
      <c r="AA460" s="79" t="s">
        <v>162</v>
      </c>
      <c r="AB460" s="67" t="s">
        <v>2937</v>
      </c>
      <c r="AC460" s="77">
        <v>8.1355155336E10</v>
      </c>
      <c r="AD460" s="69"/>
      <c r="AE460" s="59"/>
      <c r="AF460" s="79" t="s">
        <v>71</v>
      </c>
      <c r="AG460" s="60"/>
      <c r="AH460" s="61"/>
      <c r="AI460" s="61"/>
      <c r="AJ460" s="61"/>
      <c r="AK460" s="61"/>
      <c r="AL460" s="61"/>
      <c r="AM460" s="61"/>
      <c r="AN460" s="61"/>
      <c r="AO460" s="61"/>
      <c r="AP460" s="61"/>
      <c r="AQ460" s="61"/>
      <c r="AR460" s="61"/>
    </row>
    <row r="461">
      <c r="A461" s="95">
        <v>18.0</v>
      </c>
      <c r="B461" s="79" t="s">
        <v>2600</v>
      </c>
      <c r="C461" s="176" t="s">
        <v>2601</v>
      </c>
      <c r="D461" s="79" t="s">
        <v>2602</v>
      </c>
      <c r="E461" s="131" t="s">
        <v>2938</v>
      </c>
      <c r="F461" s="79" t="s">
        <v>344</v>
      </c>
      <c r="G461" s="79" t="s">
        <v>123</v>
      </c>
      <c r="H461" s="79" t="s">
        <v>2603</v>
      </c>
      <c r="I461" s="96" t="s">
        <v>2604</v>
      </c>
      <c r="J461" s="79" t="s">
        <v>151</v>
      </c>
      <c r="K461" s="79" t="s">
        <v>110</v>
      </c>
      <c r="L461" s="79" t="s">
        <v>71</v>
      </c>
      <c r="M461" s="97" t="s">
        <v>2605</v>
      </c>
      <c r="N461" s="79" t="s">
        <v>73</v>
      </c>
      <c r="O461" s="79" t="s">
        <v>73</v>
      </c>
      <c r="P461" s="67" t="s">
        <v>95</v>
      </c>
      <c r="Q461" s="75" t="s">
        <v>2939</v>
      </c>
      <c r="R461" s="79" t="s">
        <v>76</v>
      </c>
      <c r="S461" s="79" t="s">
        <v>97</v>
      </c>
      <c r="T461" s="69"/>
      <c r="U461" s="79" t="s">
        <v>78</v>
      </c>
      <c r="V461" s="79" t="s">
        <v>98</v>
      </c>
      <c r="W461" s="79" t="s">
        <v>970</v>
      </c>
      <c r="X461" s="79" t="s">
        <v>80</v>
      </c>
      <c r="Y461" s="79" t="s">
        <v>139</v>
      </c>
      <c r="Z461" s="79" t="s">
        <v>2607</v>
      </c>
      <c r="AA461" s="79" t="s">
        <v>162</v>
      </c>
      <c r="AB461" s="67" t="s">
        <v>2924</v>
      </c>
      <c r="AC461" s="77">
        <v>8.1293339797E10</v>
      </c>
      <c r="AD461" s="69"/>
      <c r="AE461" s="59"/>
      <c r="AF461" s="79" t="s">
        <v>71</v>
      </c>
      <c r="AG461" s="60"/>
      <c r="AH461" s="61"/>
      <c r="AI461" s="61"/>
      <c r="AJ461" s="61"/>
      <c r="AK461" s="61"/>
      <c r="AL461" s="61"/>
      <c r="AM461" s="61"/>
      <c r="AN461" s="61"/>
      <c r="AO461" s="61"/>
      <c r="AP461" s="61"/>
      <c r="AQ461" s="61"/>
      <c r="AR461" s="61"/>
    </row>
    <row r="462">
      <c r="A462" s="95">
        <v>19.0</v>
      </c>
      <c r="B462" s="79" t="s">
        <v>2609</v>
      </c>
      <c r="C462" s="221" t="s">
        <v>2610</v>
      </c>
      <c r="D462" s="79" t="s">
        <v>2611</v>
      </c>
      <c r="E462" s="59"/>
      <c r="F462" s="79" t="s">
        <v>470</v>
      </c>
      <c r="G462" s="79" t="s">
        <v>123</v>
      </c>
      <c r="H462" s="79" t="s">
        <v>2612</v>
      </c>
      <c r="I462" s="222" t="s">
        <v>2613</v>
      </c>
      <c r="J462" s="79" t="s">
        <v>91</v>
      </c>
      <c r="K462" s="79" t="s">
        <v>110</v>
      </c>
      <c r="L462" s="79" t="s">
        <v>111</v>
      </c>
      <c r="M462" s="130" t="s">
        <v>2614</v>
      </c>
      <c r="N462" s="79" t="s">
        <v>26</v>
      </c>
      <c r="O462" s="79" t="s">
        <v>113</v>
      </c>
      <c r="P462" s="79" t="s">
        <v>95</v>
      </c>
      <c r="Q462" s="131" t="s">
        <v>2940</v>
      </c>
      <c r="R462" s="79" t="s">
        <v>76</v>
      </c>
      <c r="S462" s="79" t="s">
        <v>97</v>
      </c>
      <c r="T462" s="69"/>
      <c r="U462" s="79" t="s">
        <v>78</v>
      </c>
      <c r="V462" s="79" t="s">
        <v>98</v>
      </c>
      <c r="W462" s="79" t="s">
        <v>649</v>
      </c>
      <c r="X462" s="69"/>
      <c r="Y462" s="69"/>
      <c r="Z462" s="79" t="s">
        <v>2489</v>
      </c>
      <c r="AA462" s="79" t="s">
        <v>140</v>
      </c>
      <c r="AB462" s="67" t="s">
        <v>2914</v>
      </c>
      <c r="AC462" s="77">
        <v>8.2130662787E10</v>
      </c>
      <c r="AD462" s="69"/>
      <c r="AE462" s="59"/>
      <c r="AF462" s="79" t="s">
        <v>111</v>
      </c>
      <c r="AG462" s="60"/>
      <c r="AH462" s="61"/>
      <c r="AI462" s="61"/>
      <c r="AJ462" s="61"/>
      <c r="AK462" s="61"/>
      <c r="AL462" s="61"/>
      <c r="AM462" s="61"/>
      <c r="AN462" s="61"/>
      <c r="AO462" s="61"/>
      <c r="AP462" s="61"/>
      <c r="AQ462" s="61"/>
      <c r="AR462" s="61"/>
    </row>
    <row r="463">
      <c r="A463" s="95">
        <v>20.0</v>
      </c>
      <c r="B463" s="79" t="s">
        <v>2618</v>
      </c>
      <c r="C463" s="79" t="s">
        <v>2619</v>
      </c>
      <c r="D463" s="79" t="s">
        <v>2620</v>
      </c>
      <c r="E463" s="59"/>
      <c r="F463" s="79" t="s">
        <v>452</v>
      </c>
      <c r="G463" s="79" t="s">
        <v>123</v>
      </c>
      <c r="H463" s="79" t="s">
        <v>2621</v>
      </c>
      <c r="I463" s="79" t="s">
        <v>2622</v>
      </c>
      <c r="J463" s="79" t="s">
        <v>91</v>
      </c>
      <c r="K463" s="79" t="s">
        <v>110</v>
      </c>
      <c r="L463" s="79" t="s">
        <v>152</v>
      </c>
      <c r="M463" s="130" t="s">
        <v>2623</v>
      </c>
      <c r="N463" s="79" t="s">
        <v>26</v>
      </c>
      <c r="O463" s="79" t="s">
        <v>113</v>
      </c>
      <c r="P463" s="79" t="s">
        <v>95</v>
      </c>
      <c r="Q463" s="131" t="s">
        <v>2941</v>
      </c>
      <c r="R463" s="79" t="s">
        <v>76</v>
      </c>
      <c r="S463" s="79" t="s">
        <v>97</v>
      </c>
      <c r="T463" s="69"/>
      <c r="U463" s="79" t="s">
        <v>78</v>
      </c>
      <c r="V463" s="79" t="s">
        <v>98</v>
      </c>
      <c r="W463" s="79" t="s">
        <v>2625</v>
      </c>
      <c r="X463" s="69"/>
      <c r="Y463" s="69"/>
      <c r="Z463" s="79" t="s">
        <v>2489</v>
      </c>
      <c r="AA463" s="79" t="s">
        <v>205</v>
      </c>
      <c r="AB463" s="67" t="s">
        <v>2914</v>
      </c>
      <c r="AC463" s="77">
        <v>8.2130662787E10</v>
      </c>
      <c r="AD463" s="69"/>
      <c r="AE463" s="59"/>
      <c r="AF463" s="79" t="s">
        <v>152</v>
      </c>
      <c r="AG463" s="60"/>
      <c r="AH463" s="61"/>
      <c r="AI463" s="61"/>
      <c r="AJ463" s="61"/>
      <c r="AK463" s="61"/>
      <c r="AL463" s="61"/>
      <c r="AM463" s="61"/>
      <c r="AN463" s="61"/>
      <c r="AO463" s="61"/>
      <c r="AP463" s="61"/>
      <c r="AQ463" s="61"/>
      <c r="AR463" s="61"/>
    </row>
    <row r="464">
      <c r="A464" s="95">
        <v>21.0</v>
      </c>
      <c r="B464" s="79" t="s">
        <v>2626</v>
      </c>
      <c r="C464" s="96" t="s">
        <v>2627</v>
      </c>
      <c r="D464" s="79" t="s">
        <v>2628</v>
      </c>
      <c r="E464" s="59"/>
      <c r="F464" s="79" t="s">
        <v>165</v>
      </c>
      <c r="G464" s="79" t="s">
        <v>66</v>
      </c>
      <c r="H464" s="79" t="s">
        <v>2629</v>
      </c>
      <c r="I464" s="96" t="s">
        <v>2630</v>
      </c>
      <c r="J464" s="79" t="s">
        <v>91</v>
      </c>
      <c r="K464" s="79" t="s">
        <v>70</v>
      </c>
      <c r="L464" s="79" t="s">
        <v>152</v>
      </c>
      <c r="M464" s="130" t="s">
        <v>2942</v>
      </c>
      <c r="N464" s="79" t="s">
        <v>26</v>
      </c>
      <c r="O464" s="79" t="s">
        <v>113</v>
      </c>
      <c r="P464" s="79" t="s">
        <v>95</v>
      </c>
      <c r="Q464" s="131" t="s">
        <v>2943</v>
      </c>
      <c r="R464" s="79" t="s">
        <v>76</v>
      </c>
      <c r="S464" s="79" t="s">
        <v>97</v>
      </c>
      <c r="T464" s="69"/>
      <c r="U464" s="79" t="s">
        <v>78</v>
      </c>
      <c r="V464" s="79" t="s">
        <v>79</v>
      </c>
      <c r="W464" s="79" t="s">
        <v>80</v>
      </c>
      <c r="X464" s="79" t="s">
        <v>80</v>
      </c>
      <c r="Y464" s="79" t="s">
        <v>80</v>
      </c>
      <c r="Z464" s="79" t="s">
        <v>2489</v>
      </c>
      <c r="AA464" s="79" t="s">
        <v>140</v>
      </c>
      <c r="AB464" s="96" t="s">
        <v>2912</v>
      </c>
      <c r="AC464" s="98">
        <v>8.5659119423E10</v>
      </c>
      <c r="AD464" s="69"/>
      <c r="AE464" s="59"/>
      <c r="AF464" s="79" t="s">
        <v>152</v>
      </c>
      <c r="AG464" s="60"/>
      <c r="AH464" s="61"/>
      <c r="AI464" s="61"/>
      <c r="AJ464" s="61"/>
      <c r="AK464" s="61"/>
      <c r="AL464" s="61"/>
      <c r="AM464" s="61"/>
      <c r="AN464" s="61"/>
      <c r="AO464" s="61"/>
      <c r="AP464" s="61"/>
      <c r="AQ464" s="61"/>
      <c r="AR464" s="61"/>
    </row>
    <row r="465">
      <c r="A465" s="95">
        <v>22.0</v>
      </c>
      <c r="B465" s="79" t="s">
        <v>61</v>
      </c>
      <c r="C465" s="96" t="s">
        <v>2640</v>
      </c>
      <c r="D465" s="79" t="s">
        <v>2641</v>
      </c>
      <c r="E465" s="59"/>
      <c r="F465" s="79" t="s">
        <v>165</v>
      </c>
      <c r="G465" s="79" t="s">
        <v>66</v>
      </c>
      <c r="H465" s="79" t="s">
        <v>2642</v>
      </c>
      <c r="I465" s="96" t="s">
        <v>2643</v>
      </c>
      <c r="J465" s="79" t="s">
        <v>151</v>
      </c>
      <c r="K465" s="79" t="s">
        <v>70</v>
      </c>
      <c r="L465" s="79" t="s">
        <v>101</v>
      </c>
      <c r="M465" s="130" t="s">
        <v>2902</v>
      </c>
      <c r="N465" s="79" t="s">
        <v>73</v>
      </c>
      <c r="O465" s="79" t="s">
        <v>73</v>
      </c>
      <c r="P465" s="79" t="s">
        <v>95</v>
      </c>
      <c r="Q465" s="131" t="s">
        <v>2944</v>
      </c>
      <c r="R465" s="79" t="s">
        <v>76</v>
      </c>
      <c r="S465" s="79" t="s">
        <v>97</v>
      </c>
      <c r="T465" s="69"/>
      <c r="U465" s="79" t="s">
        <v>78</v>
      </c>
      <c r="V465" s="79" t="s">
        <v>79</v>
      </c>
      <c r="W465" s="79" t="s">
        <v>80</v>
      </c>
      <c r="X465" s="79" t="s">
        <v>80</v>
      </c>
      <c r="Y465" s="79" t="s">
        <v>80</v>
      </c>
      <c r="Z465" s="79" t="s">
        <v>2489</v>
      </c>
      <c r="AA465" s="79" t="s">
        <v>82</v>
      </c>
      <c r="AB465" s="69"/>
      <c r="AC465" s="69"/>
      <c r="AD465" s="69"/>
      <c r="AE465" s="59"/>
      <c r="AF465" s="79" t="s">
        <v>566</v>
      </c>
      <c r="AG465" s="60"/>
      <c r="AH465" s="61"/>
      <c r="AI465" s="61"/>
      <c r="AJ465" s="61"/>
      <c r="AK465" s="61"/>
      <c r="AL465" s="61"/>
      <c r="AM465" s="61"/>
      <c r="AN465" s="61"/>
      <c r="AO465" s="61"/>
      <c r="AP465" s="61"/>
      <c r="AQ465" s="61"/>
      <c r="AR465" s="61"/>
    </row>
    <row r="466">
      <c r="A466" s="95">
        <v>23.0</v>
      </c>
      <c r="B466" s="79" t="s">
        <v>2645</v>
      </c>
      <c r="C466" s="96" t="s">
        <v>2646</v>
      </c>
      <c r="D466" s="79" t="s">
        <v>2647</v>
      </c>
      <c r="E466" s="59"/>
      <c r="F466" s="79" t="s">
        <v>165</v>
      </c>
      <c r="G466" s="79" t="s">
        <v>66</v>
      </c>
      <c r="H466" s="79" t="s">
        <v>2648</v>
      </c>
      <c r="I466" s="96" t="s">
        <v>2649</v>
      </c>
      <c r="J466" s="79" t="s">
        <v>91</v>
      </c>
      <c r="K466" s="79" t="s">
        <v>110</v>
      </c>
      <c r="L466" s="79" t="s">
        <v>101</v>
      </c>
      <c r="M466" s="130" t="s">
        <v>527</v>
      </c>
      <c r="N466" s="79" t="s">
        <v>82</v>
      </c>
      <c r="O466" s="79" t="s">
        <v>113</v>
      </c>
      <c r="P466" s="79" t="s">
        <v>95</v>
      </c>
      <c r="Q466" s="131" t="s">
        <v>2945</v>
      </c>
      <c r="R466" s="79" t="s">
        <v>76</v>
      </c>
      <c r="S466" s="79" t="s">
        <v>97</v>
      </c>
      <c r="T466" s="69"/>
      <c r="U466" s="79" t="s">
        <v>78</v>
      </c>
      <c r="V466" s="79" t="s">
        <v>79</v>
      </c>
      <c r="W466" s="79" t="s">
        <v>80</v>
      </c>
      <c r="X466" s="79" t="s">
        <v>80</v>
      </c>
      <c r="Y466" s="79" t="s">
        <v>80</v>
      </c>
      <c r="Z466" s="79" t="s">
        <v>2489</v>
      </c>
      <c r="AA466" s="79" t="s">
        <v>82</v>
      </c>
      <c r="AB466" s="69"/>
      <c r="AC466" s="69"/>
      <c r="AD466" s="69"/>
      <c r="AE466" s="59"/>
      <c r="AF466" s="79" t="s">
        <v>566</v>
      </c>
      <c r="AG466" s="60"/>
      <c r="AH466" s="61"/>
      <c r="AI466" s="61"/>
      <c r="AJ466" s="61"/>
      <c r="AK466" s="61"/>
      <c r="AL466" s="61"/>
      <c r="AM466" s="61"/>
      <c r="AN466" s="61"/>
      <c r="AO466" s="61"/>
      <c r="AP466" s="61"/>
      <c r="AQ466" s="61"/>
      <c r="AR466" s="61"/>
    </row>
    <row r="467">
      <c r="A467" s="95">
        <v>24.0</v>
      </c>
      <c r="B467" s="79" t="s">
        <v>2657</v>
      </c>
      <c r="C467" s="96" t="s">
        <v>2658</v>
      </c>
      <c r="D467" s="96" t="s">
        <v>2659</v>
      </c>
      <c r="E467" s="59"/>
      <c r="F467" s="79" t="s">
        <v>344</v>
      </c>
      <c r="G467" s="79" t="s">
        <v>123</v>
      </c>
      <c r="H467" s="96" t="s">
        <v>2660</v>
      </c>
      <c r="I467" s="96" t="s">
        <v>2661</v>
      </c>
      <c r="J467" s="79" t="s">
        <v>151</v>
      </c>
      <c r="K467" s="79" t="s">
        <v>110</v>
      </c>
      <c r="L467" s="79" t="s">
        <v>152</v>
      </c>
      <c r="M467" s="130" t="s">
        <v>2662</v>
      </c>
      <c r="N467" s="79" t="s">
        <v>73</v>
      </c>
      <c r="O467" s="79" t="s">
        <v>73</v>
      </c>
      <c r="P467" s="79" t="s">
        <v>95</v>
      </c>
      <c r="Q467" s="223" t="s">
        <v>2946</v>
      </c>
      <c r="R467" s="79" t="s">
        <v>76</v>
      </c>
      <c r="S467" s="79" t="s">
        <v>97</v>
      </c>
      <c r="T467" s="77">
        <v>2022.0</v>
      </c>
      <c r="U467" s="79" t="s">
        <v>78</v>
      </c>
      <c r="V467" s="67" t="s">
        <v>79</v>
      </c>
      <c r="W467" s="67" t="s">
        <v>80</v>
      </c>
      <c r="X467" s="67" t="s">
        <v>80</v>
      </c>
      <c r="Y467" s="67" t="s">
        <v>152</v>
      </c>
      <c r="Z467" s="79" t="s">
        <v>2664</v>
      </c>
      <c r="AA467" s="79" t="s">
        <v>162</v>
      </c>
      <c r="AB467" s="96" t="s">
        <v>2912</v>
      </c>
      <c r="AC467" s="98">
        <v>8.5659119423E10</v>
      </c>
      <c r="AD467" s="69"/>
      <c r="AE467" s="59"/>
      <c r="AF467" s="79" t="s">
        <v>152</v>
      </c>
      <c r="AG467" s="60"/>
      <c r="AH467" s="61"/>
      <c r="AI467" s="61"/>
      <c r="AJ467" s="61"/>
      <c r="AK467" s="61"/>
      <c r="AL467" s="61"/>
      <c r="AM467" s="61"/>
      <c r="AN467" s="61"/>
      <c r="AO467" s="61"/>
      <c r="AP467" s="61"/>
      <c r="AQ467" s="61"/>
      <c r="AR467" s="61"/>
    </row>
    <row r="468">
      <c r="A468" s="95">
        <v>25.0</v>
      </c>
      <c r="B468" s="79" t="s">
        <v>2667</v>
      </c>
      <c r="C468" s="67" t="s">
        <v>2668</v>
      </c>
      <c r="D468" s="96" t="s">
        <v>2669</v>
      </c>
      <c r="E468" s="59"/>
      <c r="F468" s="79" t="s">
        <v>344</v>
      </c>
      <c r="G468" s="79" t="s">
        <v>123</v>
      </c>
      <c r="H468" s="96" t="s">
        <v>2670</v>
      </c>
      <c r="I468" s="96" t="s">
        <v>2671</v>
      </c>
      <c r="J468" s="79" t="s">
        <v>151</v>
      </c>
      <c r="K468" s="79" t="s">
        <v>70</v>
      </c>
      <c r="L468" s="79" t="s">
        <v>101</v>
      </c>
      <c r="M468" s="130" t="s">
        <v>2672</v>
      </c>
      <c r="N468" s="79" t="s">
        <v>73</v>
      </c>
      <c r="O468" s="79" t="s">
        <v>73</v>
      </c>
      <c r="P468" s="79" t="s">
        <v>95</v>
      </c>
      <c r="Q468" s="223" t="s">
        <v>2947</v>
      </c>
      <c r="R468" s="79" t="s">
        <v>76</v>
      </c>
      <c r="S468" s="79" t="s">
        <v>97</v>
      </c>
      <c r="T468" s="69"/>
      <c r="U468" s="79" t="s">
        <v>78</v>
      </c>
      <c r="V468" s="79" t="s">
        <v>98</v>
      </c>
      <c r="W468" s="79" t="s">
        <v>2674</v>
      </c>
      <c r="X468" s="79" t="s">
        <v>155</v>
      </c>
      <c r="Y468" s="79" t="s">
        <v>139</v>
      </c>
      <c r="Z468" s="79" t="s">
        <v>2675</v>
      </c>
      <c r="AA468" s="79" t="s">
        <v>162</v>
      </c>
      <c r="AB468" s="96" t="s">
        <v>2912</v>
      </c>
      <c r="AC468" s="98">
        <v>8.5659119423E10</v>
      </c>
      <c r="AD468" s="69"/>
      <c r="AE468" s="59"/>
      <c r="AF468" s="79" t="s">
        <v>566</v>
      </c>
      <c r="AG468" s="60"/>
      <c r="AH468" s="61"/>
      <c r="AI468" s="61"/>
      <c r="AJ468" s="61"/>
      <c r="AK468" s="61"/>
      <c r="AL468" s="61"/>
      <c r="AM468" s="61"/>
      <c r="AN468" s="61"/>
      <c r="AO468" s="61"/>
      <c r="AP468" s="61"/>
      <c r="AQ468" s="61"/>
      <c r="AR468" s="61"/>
    </row>
    <row r="469">
      <c r="A469" s="95">
        <v>26.0</v>
      </c>
      <c r="B469" s="96" t="s">
        <v>2678</v>
      </c>
      <c r="C469" s="201" t="s">
        <v>2679</v>
      </c>
      <c r="D469" s="225" t="s">
        <v>2680</v>
      </c>
      <c r="E469" s="59"/>
      <c r="F469" s="67" t="s">
        <v>344</v>
      </c>
      <c r="G469" s="79" t="s">
        <v>123</v>
      </c>
      <c r="H469" s="79" t="s">
        <v>2681</v>
      </c>
      <c r="I469" s="79" t="s">
        <v>2681</v>
      </c>
      <c r="J469" s="79" t="s">
        <v>69</v>
      </c>
      <c r="K469" s="79" t="s">
        <v>110</v>
      </c>
      <c r="L469" s="79" t="s">
        <v>71</v>
      </c>
      <c r="M469" s="130" t="s">
        <v>2682</v>
      </c>
      <c r="N469" s="79" t="s">
        <v>73</v>
      </c>
      <c r="O469" s="79" t="s">
        <v>73</v>
      </c>
      <c r="P469" s="79" t="s">
        <v>95</v>
      </c>
      <c r="Q469" s="131" t="s">
        <v>2948</v>
      </c>
      <c r="R469" s="79" t="s">
        <v>76</v>
      </c>
      <c r="S469" s="79" t="s">
        <v>97</v>
      </c>
      <c r="T469" s="79">
        <v>2018.0</v>
      </c>
      <c r="U469" s="79" t="s">
        <v>78</v>
      </c>
      <c r="V469" s="67" t="s">
        <v>79</v>
      </c>
      <c r="W469" s="79" t="s">
        <v>2684</v>
      </c>
      <c r="X469" s="67" t="s">
        <v>80</v>
      </c>
      <c r="Y469" s="79" t="s">
        <v>80</v>
      </c>
      <c r="Z469" s="68" t="s">
        <v>2675</v>
      </c>
      <c r="AA469" s="79" t="s">
        <v>162</v>
      </c>
      <c r="AB469" s="96" t="s">
        <v>2912</v>
      </c>
      <c r="AC469" s="98">
        <v>8.5659119423E10</v>
      </c>
      <c r="AD469" s="69"/>
      <c r="AE469" s="59"/>
      <c r="AF469" s="68" t="s">
        <v>566</v>
      </c>
      <c r="AG469" s="60"/>
      <c r="AH469" s="61"/>
      <c r="AI469" s="61"/>
      <c r="AJ469" s="61"/>
      <c r="AK469" s="61"/>
      <c r="AL469" s="61"/>
      <c r="AM469" s="61"/>
      <c r="AN469" s="61"/>
      <c r="AO469" s="61"/>
      <c r="AP469" s="61"/>
      <c r="AQ469" s="61"/>
      <c r="AR469" s="61"/>
    </row>
    <row r="470">
      <c r="A470" s="71" t="s">
        <v>2949</v>
      </c>
      <c r="B470" s="57"/>
      <c r="C470" s="57"/>
      <c r="D470" s="58"/>
      <c r="E470" s="58"/>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94"/>
      <c r="AF470" s="94"/>
      <c r="AG470" s="60"/>
      <c r="AH470" s="60"/>
      <c r="AI470" s="60"/>
      <c r="AJ470" s="60"/>
      <c r="AK470" s="60"/>
      <c r="AL470" s="60"/>
      <c r="AM470" s="60"/>
      <c r="AN470" s="60"/>
      <c r="AO470" s="60"/>
      <c r="AP470" s="60"/>
      <c r="AQ470" s="60"/>
      <c r="AR470" s="61"/>
    </row>
    <row r="471">
      <c r="A471" s="95">
        <v>1.0</v>
      </c>
      <c r="B471" s="96" t="s">
        <v>2815</v>
      </c>
      <c r="C471" s="69"/>
      <c r="D471" s="59"/>
      <c r="E471" s="59"/>
      <c r="F471" s="69"/>
      <c r="G471" s="69"/>
      <c r="H471" s="69"/>
      <c r="I471" s="69"/>
      <c r="J471" s="69"/>
      <c r="K471" s="69"/>
      <c r="L471" s="69"/>
      <c r="M471" s="130" t="s">
        <v>2950</v>
      </c>
      <c r="N471" s="79" t="s">
        <v>26</v>
      </c>
      <c r="O471" s="79" t="s">
        <v>113</v>
      </c>
      <c r="P471" s="79" t="s">
        <v>95</v>
      </c>
      <c r="Q471" s="131" t="s">
        <v>2951</v>
      </c>
      <c r="R471" s="79" t="s">
        <v>76</v>
      </c>
      <c r="S471" s="79" t="s">
        <v>77</v>
      </c>
      <c r="T471" s="79" t="s">
        <v>563</v>
      </c>
      <c r="U471" s="79" t="s">
        <v>78</v>
      </c>
      <c r="V471" s="79" t="s">
        <v>98</v>
      </c>
      <c r="W471" s="79" t="s">
        <v>98</v>
      </c>
      <c r="X471" s="79" t="s">
        <v>100</v>
      </c>
      <c r="Y471" s="79" t="s">
        <v>71</v>
      </c>
      <c r="Z471" s="79" t="s">
        <v>563</v>
      </c>
      <c r="AA471" s="79" t="s">
        <v>211</v>
      </c>
      <c r="AB471" s="69"/>
      <c r="AC471" s="69"/>
      <c r="AD471" s="69"/>
      <c r="AE471" s="59"/>
      <c r="AF471" s="68" t="s">
        <v>1268</v>
      </c>
      <c r="AG471" s="60"/>
      <c r="AH471" s="61"/>
      <c r="AI471" s="61"/>
      <c r="AJ471" s="61"/>
      <c r="AK471" s="61"/>
      <c r="AL471" s="61"/>
      <c r="AM471" s="61"/>
      <c r="AN471" s="61"/>
      <c r="AO471" s="61"/>
      <c r="AP471" s="61"/>
      <c r="AQ471" s="61"/>
      <c r="AR471" s="61"/>
    </row>
    <row r="472">
      <c r="A472" s="95">
        <v>2.0</v>
      </c>
      <c r="B472" s="96" t="s">
        <v>2952</v>
      </c>
      <c r="C472" s="67" t="s">
        <v>2953</v>
      </c>
      <c r="D472" s="76" t="s">
        <v>2954</v>
      </c>
      <c r="E472" s="59"/>
      <c r="F472" s="79" t="s">
        <v>344</v>
      </c>
      <c r="G472" s="79" t="s">
        <v>131</v>
      </c>
      <c r="H472" s="79" t="s">
        <v>2955</v>
      </c>
      <c r="I472" s="79" t="s">
        <v>2956</v>
      </c>
      <c r="J472" s="79" t="s">
        <v>69</v>
      </c>
      <c r="K472" s="79" t="s">
        <v>70</v>
      </c>
      <c r="L472" s="79" t="s">
        <v>152</v>
      </c>
      <c r="M472" s="130" t="s">
        <v>2350</v>
      </c>
      <c r="N472" s="79" t="s">
        <v>73</v>
      </c>
      <c r="O472" s="79" t="s">
        <v>73</v>
      </c>
      <c r="P472" s="79" t="s">
        <v>74</v>
      </c>
      <c r="Q472" s="131" t="s">
        <v>2957</v>
      </c>
      <c r="R472" s="79" t="s">
        <v>76</v>
      </c>
      <c r="S472" s="79" t="s">
        <v>97</v>
      </c>
      <c r="T472" s="79">
        <v>2020.0</v>
      </c>
      <c r="U472" s="79" t="s">
        <v>78</v>
      </c>
      <c r="V472" s="79" t="s">
        <v>98</v>
      </c>
      <c r="W472" s="76" t="s">
        <v>2958</v>
      </c>
      <c r="X472" s="79" t="s">
        <v>155</v>
      </c>
      <c r="Y472" s="79" t="s">
        <v>152</v>
      </c>
      <c r="Z472" s="69"/>
      <c r="AA472" s="79" t="s">
        <v>211</v>
      </c>
      <c r="AB472" s="79" t="s">
        <v>2959</v>
      </c>
      <c r="AC472" s="263" t="s">
        <v>2960</v>
      </c>
      <c r="AD472" s="79" t="s">
        <v>2961</v>
      </c>
      <c r="AE472" s="59"/>
      <c r="AF472" s="68" t="s">
        <v>152</v>
      </c>
      <c r="AG472" s="216"/>
      <c r="AH472" s="61"/>
      <c r="AI472" s="61"/>
      <c r="AJ472" s="61"/>
      <c r="AK472" s="61"/>
      <c r="AL472" s="61"/>
      <c r="AM472" s="61"/>
      <c r="AN472" s="61"/>
      <c r="AO472" s="61"/>
      <c r="AP472" s="61"/>
      <c r="AQ472" s="61"/>
      <c r="AR472" s="61"/>
    </row>
    <row r="473">
      <c r="A473" s="95">
        <v>3.0</v>
      </c>
      <c r="B473" s="96" t="s">
        <v>2962</v>
      </c>
      <c r="C473" s="96" t="s">
        <v>2963</v>
      </c>
      <c r="D473" s="96" t="s">
        <v>2964</v>
      </c>
      <c r="E473" s="79" t="s">
        <v>2232</v>
      </c>
      <c r="F473" s="79" t="s">
        <v>65</v>
      </c>
      <c r="G473" s="79" t="s">
        <v>131</v>
      </c>
      <c r="H473" s="79" t="s">
        <v>2965</v>
      </c>
      <c r="I473" s="79" t="s">
        <v>2966</v>
      </c>
      <c r="J473" s="79" t="s">
        <v>158</v>
      </c>
      <c r="K473" s="79" t="s">
        <v>110</v>
      </c>
      <c r="L473" s="79" t="s">
        <v>152</v>
      </c>
      <c r="M473" s="93" t="s">
        <v>2967</v>
      </c>
      <c r="N473" s="79" t="s">
        <v>73</v>
      </c>
      <c r="O473" s="79" t="s">
        <v>73</v>
      </c>
      <c r="P473" s="79" t="s">
        <v>95</v>
      </c>
      <c r="Q473" s="79" t="s">
        <v>2967</v>
      </c>
      <c r="R473" s="79" t="s">
        <v>146</v>
      </c>
      <c r="S473" s="79" t="s">
        <v>97</v>
      </c>
      <c r="T473" s="69"/>
      <c r="U473" s="79" t="s">
        <v>78</v>
      </c>
      <c r="V473" s="79" t="s">
        <v>79</v>
      </c>
      <c r="W473" s="69"/>
      <c r="X473" s="79" t="s">
        <v>80</v>
      </c>
      <c r="Y473" s="79" t="s">
        <v>80</v>
      </c>
      <c r="Z473" s="69"/>
      <c r="AA473" s="79" t="s">
        <v>162</v>
      </c>
      <c r="AB473" s="79" t="s">
        <v>2968</v>
      </c>
      <c r="AC473" s="79">
        <v>8.1221914556E10</v>
      </c>
      <c r="AD473" s="79" t="s">
        <v>2969</v>
      </c>
      <c r="AE473" s="68">
        <v>53.0</v>
      </c>
      <c r="AF473" s="68" t="s">
        <v>152</v>
      </c>
      <c r="AG473" s="60"/>
      <c r="AH473" s="61"/>
      <c r="AI473" s="61"/>
      <c r="AJ473" s="61"/>
      <c r="AK473" s="61"/>
      <c r="AL473" s="61"/>
      <c r="AM473" s="61"/>
      <c r="AN473" s="61"/>
      <c r="AO473" s="61"/>
      <c r="AP473" s="61"/>
      <c r="AQ473" s="61"/>
      <c r="AR473" s="61"/>
    </row>
    <row r="474">
      <c r="A474" s="264">
        <v>4.0</v>
      </c>
      <c r="B474" s="96" t="s">
        <v>2970</v>
      </c>
      <c r="C474" s="96" t="s">
        <v>2971</v>
      </c>
      <c r="D474" s="265" t="s">
        <v>2972</v>
      </c>
      <c r="E474" s="79" t="s">
        <v>1327</v>
      </c>
      <c r="F474" s="79" t="s">
        <v>65</v>
      </c>
      <c r="G474" s="79" t="s">
        <v>66</v>
      </c>
      <c r="H474" s="79" t="s">
        <v>2973</v>
      </c>
      <c r="I474" s="79" t="s">
        <v>2974</v>
      </c>
      <c r="J474" s="79" t="s">
        <v>91</v>
      </c>
      <c r="K474" s="79" t="s">
        <v>110</v>
      </c>
      <c r="L474" s="79" t="s">
        <v>71</v>
      </c>
      <c r="M474" s="130" t="s">
        <v>2975</v>
      </c>
      <c r="N474" s="79" t="s">
        <v>73</v>
      </c>
      <c r="O474" s="79" t="s">
        <v>73</v>
      </c>
      <c r="P474" s="79" t="s">
        <v>95</v>
      </c>
      <c r="Q474" s="266" t="s">
        <v>2976</v>
      </c>
      <c r="R474" s="79" t="s">
        <v>76</v>
      </c>
      <c r="S474" s="79" t="s">
        <v>97</v>
      </c>
      <c r="T474" s="79">
        <v>2024.0</v>
      </c>
      <c r="U474" s="79" t="s">
        <v>78</v>
      </c>
      <c r="V474" s="79" t="s">
        <v>79</v>
      </c>
      <c r="W474" s="79" t="s">
        <v>2520</v>
      </c>
      <c r="X474" s="79" t="s">
        <v>80</v>
      </c>
      <c r="Y474" s="79" t="s">
        <v>71</v>
      </c>
      <c r="Z474" s="79" t="s">
        <v>2977</v>
      </c>
      <c r="AA474" s="79" t="s">
        <v>162</v>
      </c>
      <c r="AB474" s="79" t="s">
        <v>2978</v>
      </c>
      <c r="AC474" s="79">
        <v>8.7775207258E10</v>
      </c>
      <c r="AD474" s="79" t="s">
        <v>2961</v>
      </c>
      <c r="AE474" s="68">
        <v>8.0</v>
      </c>
      <c r="AF474" s="68" t="s">
        <v>71</v>
      </c>
      <c r="AG474" s="60"/>
      <c r="AH474" s="61"/>
      <c r="AI474" s="61"/>
      <c r="AJ474" s="61"/>
      <c r="AK474" s="61"/>
      <c r="AL474" s="61"/>
      <c r="AM474" s="61"/>
      <c r="AN474" s="61"/>
      <c r="AO474" s="61"/>
      <c r="AP474" s="61"/>
      <c r="AQ474" s="61"/>
      <c r="AR474" s="61"/>
    </row>
    <row r="475">
      <c r="A475" s="95">
        <v>5.0</v>
      </c>
      <c r="B475" s="96" t="s">
        <v>2979</v>
      </c>
      <c r="C475" s="96" t="s">
        <v>2980</v>
      </c>
      <c r="D475" s="96" t="s">
        <v>2981</v>
      </c>
      <c r="E475" s="79" t="s">
        <v>1327</v>
      </c>
      <c r="F475" s="79" t="s">
        <v>65</v>
      </c>
      <c r="G475" s="79" t="s">
        <v>66</v>
      </c>
      <c r="H475" s="79" t="s">
        <v>2982</v>
      </c>
      <c r="I475" s="79" t="s">
        <v>2982</v>
      </c>
      <c r="J475" s="79" t="s">
        <v>91</v>
      </c>
      <c r="K475" s="79" t="s">
        <v>110</v>
      </c>
      <c r="L475" s="79" t="s">
        <v>152</v>
      </c>
      <c r="M475" s="130" t="s">
        <v>2983</v>
      </c>
      <c r="N475" s="79" t="s">
        <v>73</v>
      </c>
      <c r="O475" s="79" t="s">
        <v>73</v>
      </c>
      <c r="P475" s="79" t="s">
        <v>95</v>
      </c>
      <c r="Q475" s="79" t="s">
        <v>2979</v>
      </c>
      <c r="R475" s="79" t="s">
        <v>76</v>
      </c>
      <c r="S475" s="79" t="s">
        <v>97</v>
      </c>
      <c r="T475" s="79">
        <v>2024.0</v>
      </c>
      <c r="U475" s="79" t="s">
        <v>78</v>
      </c>
      <c r="V475" s="79" t="s">
        <v>98</v>
      </c>
      <c r="W475" s="79" t="s">
        <v>98</v>
      </c>
      <c r="X475" s="79" t="s">
        <v>100</v>
      </c>
      <c r="Y475" s="79" t="s">
        <v>80</v>
      </c>
      <c r="Z475" s="79" t="s">
        <v>2984</v>
      </c>
      <c r="AA475" s="79" t="s">
        <v>162</v>
      </c>
      <c r="AB475" s="79" t="s">
        <v>2985</v>
      </c>
      <c r="AC475" s="79" t="s">
        <v>2986</v>
      </c>
      <c r="AD475" s="79" t="s">
        <v>2961</v>
      </c>
      <c r="AE475" s="68">
        <v>8.0</v>
      </c>
      <c r="AF475" s="68" t="s">
        <v>152</v>
      </c>
      <c r="AG475" s="60"/>
      <c r="AH475" s="61"/>
      <c r="AI475" s="61"/>
      <c r="AJ475" s="61"/>
      <c r="AK475" s="61"/>
      <c r="AL475" s="61"/>
      <c r="AM475" s="61"/>
      <c r="AN475" s="61"/>
      <c r="AO475" s="61"/>
      <c r="AP475" s="61"/>
      <c r="AQ475" s="61"/>
      <c r="AR475" s="61"/>
    </row>
    <row r="476">
      <c r="A476" s="95">
        <v>6.0</v>
      </c>
      <c r="B476" s="96" t="s">
        <v>2987</v>
      </c>
      <c r="C476" s="96" t="s">
        <v>2988</v>
      </c>
      <c r="D476" s="96" t="s">
        <v>2989</v>
      </c>
      <c r="E476" s="131" t="s">
        <v>2990</v>
      </c>
      <c r="F476" s="79" t="s">
        <v>344</v>
      </c>
      <c r="G476" s="79" t="s">
        <v>123</v>
      </c>
      <c r="H476" s="79" t="s">
        <v>2991</v>
      </c>
      <c r="I476" s="79" t="s">
        <v>2992</v>
      </c>
      <c r="J476" s="79" t="s">
        <v>151</v>
      </c>
      <c r="K476" s="79" t="s">
        <v>70</v>
      </c>
      <c r="L476" s="79" t="s">
        <v>152</v>
      </c>
      <c r="M476" s="130" t="s">
        <v>2993</v>
      </c>
      <c r="N476" s="79" t="s">
        <v>73</v>
      </c>
      <c r="O476" s="79" t="s">
        <v>73</v>
      </c>
      <c r="P476" s="79" t="s">
        <v>95</v>
      </c>
      <c r="Q476" s="267" t="s">
        <v>2994</v>
      </c>
      <c r="R476" s="79" t="s">
        <v>76</v>
      </c>
      <c r="S476" s="79" t="s">
        <v>97</v>
      </c>
      <c r="T476" s="79">
        <v>2024.0</v>
      </c>
      <c r="U476" s="79" t="s">
        <v>78</v>
      </c>
      <c r="V476" s="79" t="s">
        <v>98</v>
      </c>
      <c r="W476" s="79" t="s">
        <v>2995</v>
      </c>
      <c r="X476" s="79" t="s">
        <v>100</v>
      </c>
      <c r="Y476" s="79" t="s">
        <v>152</v>
      </c>
      <c r="Z476" s="79" t="s">
        <v>2977</v>
      </c>
      <c r="AA476" s="79" t="s">
        <v>162</v>
      </c>
      <c r="AB476" s="79" t="s">
        <v>2996</v>
      </c>
      <c r="AC476" s="79" t="s">
        <v>2997</v>
      </c>
      <c r="AD476" s="79" t="s">
        <v>2961</v>
      </c>
      <c r="AE476" s="68">
        <v>8.0</v>
      </c>
      <c r="AF476" s="68" t="s">
        <v>71</v>
      </c>
      <c r="AG476" s="60"/>
      <c r="AH476" s="61"/>
      <c r="AI476" s="61"/>
      <c r="AJ476" s="61"/>
      <c r="AK476" s="61"/>
      <c r="AL476" s="61"/>
      <c r="AM476" s="61"/>
      <c r="AN476" s="61"/>
      <c r="AO476" s="61"/>
      <c r="AP476" s="61"/>
      <c r="AQ476" s="61"/>
      <c r="AR476" s="61"/>
    </row>
    <row r="477">
      <c r="A477" s="95">
        <v>7.0</v>
      </c>
      <c r="B477" s="96" t="s">
        <v>2998</v>
      </c>
      <c r="C477" s="96" t="s">
        <v>2999</v>
      </c>
      <c r="D477" s="96" t="s">
        <v>3000</v>
      </c>
      <c r="E477" s="59"/>
      <c r="F477" s="79" t="s">
        <v>344</v>
      </c>
      <c r="G477" s="79" t="s">
        <v>123</v>
      </c>
      <c r="H477" s="79" t="s">
        <v>3001</v>
      </c>
      <c r="I477" s="79" t="s">
        <v>3002</v>
      </c>
      <c r="J477" s="79" t="s">
        <v>151</v>
      </c>
      <c r="K477" s="79" t="s">
        <v>70</v>
      </c>
      <c r="L477" s="79" t="s">
        <v>111</v>
      </c>
      <c r="M477" s="93" t="s">
        <v>3003</v>
      </c>
      <c r="N477" s="79" t="s">
        <v>144</v>
      </c>
      <c r="O477" s="79" t="s">
        <v>144</v>
      </c>
      <c r="P477" s="79" t="s">
        <v>95</v>
      </c>
      <c r="Q477" s="131" t="s">
        <v>3004</v>
      </c>
      <c r="R477" s="79" t="s">
        <v>76</v>
      </c>
      <c r="S477" s="79" t="s">
        <v>77</v>
      </c>
      <c r="T477" s="69"/>
      <c r="U477" s="79" t="s">
        <v>78</v>
      </c>
      <c r="V477" s="79" t="s">
        <v>79</v>
      </c>
      <c r="W477" s="69"/>
      <c r="X477" s="79" t="s">
        <v>80</v>
      </c>
      <c r="Y477" s="79" t="s">
        <v>111</v>
      </c>
      <c r="Z477" s="79" t="s">
        <v>3005</v>
      </c>
      <c r="AA477" s="69"/>
      <c r="AB477" s="79" t="s">
        <v>3006</v>
      </c>
      <c r="AC477" s="79">
        <v>8.1222672616E10</v>
      </c>
      <c r="AD477" s="79" t="s">
        <v>3007</v>
      </c>
      <c r="AE477" s="68">
        <v>8.0</v>
      </c>
      <c r="AF477" s="68" t="s">
        <v>566</v>
      </c>
      <c r="AG477" s="60"/>
      <c r="AH477" s="61"/>
      <c r="AI477" s="61"/>
      <c r="AJ477" s="61"/>
      <c r="AK477" s="61"/>
      <c r="AL477" s="61"/>
      <c r="AM477" s="61"/>
      <c r="AN477" s="61"/>
      <c r="AO477" s="61"/>
      <c r="AP477" s="61"/>
      <c r="AQ477" s="61"/>
      <c r="AR477" s="61"/>
    </row>
    <row r="478">
      <c r="A478" s="95">
        <v>8.0</v>
      </c>
      <c r="B478" s="96" t="s">
        <v>3008</v>
      </c>
      <c r="C478" s="96" t="s">
        <v>3009</v>
      </c>
      <c r="D478" s="96" t="s">
        <v>3010</v>
      </c>
      <c r="E478" s="267" t="s">
        <v>3011</v>
      </c>
      <c r="F478" s="79" t="s">
        <v>107</v>
      </c>
      <c r="G478" s="79" t="s">
        <v>123</v>
      </c>
      <c r="H478" s="79" t="s">
        <v>3012</v>
      </c>
      <c r="I478" s="79" t="s">
        <v>3013</v>
      </c>
      <c r="J478" s="79" t="s">
        <v>151</v>
      </c>
      <c r="K478" s="79" t="s">
        <v>70</v>
      </c>
      <c r="L478" s="79" t="s">
        <v>152</v>
      </c>
      <c r="M478" s="130" t="s">
        <v>2172</v>
      </c>
      <c r="N478" s="79" t="s">
        <v>82</v>
      </c>
      <c r="O478" s="79" t="s">
        <v>113</v>
      </c>
      <c r="P478" s="79" t="s">
        <v>95</v>
      </c>
      <c r="Q478" s="267" t="s">
        <v>3014</v>
      </c>
      <c r="R478" s="79" t="s">
        <v>76</v>
      </c>
      <c r="S478" s="79" t="s">
        <v>97</v>
      </c>
      <c r="T478" s="79">
        <v>2025.0</v>
      </c>
      <c r="U478" s="79" t="s">
        <v>78</v>
      </c>
      <c r="V478" s="79" t="s">
        <v>79</v>
      </c>
      <c r="W478" s="79" t="s">
        <v>2520</v>
      </c>
      <c r="X478" s="79" t="s">
        <v>148</v>
      </c>
      <c r="Y478" s="79" t="s">
        <v>152</v>
      </c>
      <c r="Z478" s="79" t="s">
        <v>3015</v>
      </c>
      <c r="AA478" s="79" t="s">
        <v>82</v>
      </c>
      <c r="AB478" s="79" t="s">
        <v>3016</v>
      </c>
      <c r="AC478" s="79">
        <v>8.9656568645E10</v>
      </c>
      <c r="AD478" s="79" t="s">
        <v>2961</v>
      </c>
      <c r="AE478" s="68" t="s">
        <v>563</v>
      </c>
      <c r="AF478" s="68" t="s">
        <v>152</v>
      </c>
      <c r="AG478" s="60"/>
      <c r="AH478" s="61"/>
      <c r="AI478" s="61"/>
      <c r="AJ478" s="61"/>
      <c r="AK478" s="61"/>
      <c r="AL478" s="61"/>
      <c r="AM478" s="61"/>
      <c r="AN478" s="61"/>
      <c r="AO478" s="61"/>
      <c r="AP478" s="61"/>
      <c r="AQ478" s="61"/>
      <c r="AR478" s="61"/>
    </row>
    <row r="479">
      <c r="A479" s="95">
        <v>9.0</v>
      </c>
      <c r="B479" s="96" t="s">
        <v>3017</v>
      </c>
      <c r="C479" s="96" t="s">
        <v>3018</v>
      </c>
      <c r="D479" s="268" t="s">
        <v>3019</v>
      </c>
      <c r="E479" s="59"/>
      <c r="F479" s="79" t="s">
        <v>165</v>
      </c>
      <c r="G479" s="79" t="s">
        <v>131</v>
      </c>
      <c r="H479" s="79" t="s">
        <v>3020</v>
      </c>
      <c r="I479" s="79" t="s">
        <v>3021</v>
      </c>
      <c r="J479" s="79" t="s">
        <v>151</v>
      </c>
      <c r="K479" s="79" t="s">
        <v>110</v>
      </c>
      <c r="L479" s="79" t="s">
        <v>111</v>
      </c>
      <c r="M479" s="130" t="s">
        <v>1114</v>
      </c>
      <c r="N479" s="79" t="s">
        <v>73</v>
      </c>
      <c r="O479" s="79" t="s">
        <v>73</v>
      </c>
      <c r="P479" s="79" t="s">
        <v>95</v>
      </c>
      <c r="Q479" s="131" t="s">
        <v>3022</v>
      </c>
      <c r="R479" s="79" t="s">
        <v>76</v>
      </c>
      <c r="S479" s="79" t="s">
        <v>97</v>
      </c>
      <c r="T479" s="79">
        <v>2024.0</v>
      </c>
      <c r="U479" s="79" t="s">
        <v>78</v>
      </c>
      <c r="V479" s="79" t="s">
        <v>98</v>
      </c>
      <c r="W479" s="79" t="s">
        <v>3023</v>
      </c>
      <c r="X479" s="79" t="s">
        <v>100</v>
      </c>
      <c r="Y479" s="79" t="s">
        <v>139</v>
      </c>
      <c r="Z479" s="79" t="s">
        <v>3024</v>
      </c>
      <c r="AA479" s="79" t="s">
        <v>162</v>
      </c>
      <c r="AB479" s="79" t="s">
        <v>3025</v>
      </c>
      <c r="AC479" s="79">
        <v>8.1802257167E10</v>
      </c>
      <c r="AD479" s="79" t="s">
        <v>3026</v>
      </c>
      <c r="AE479" s="68">
        <v>8.0</v>
      </c>
      <c r="AF479" s="68" t="s">
        <v>71</v>
      </c>
      <c r="AG479" s="60"/>
      <c r="AH479" s="61"/>
      <c r="AI479" s="61"/>
      <c r="AJ479" s="61"/>
      <c r="AK479" s="61"/>
      <c r="AL479" s="61"/>
      <c r="AM479" s="61"/>
      <c r="AN479" s="61"/>
      <c r="AO479" s="61"/>
      <c r="AP479" s="61"/>
      <c r="AQ479" s="61"/>
      <c r="AR479" s="61"/>
    </row>
    <row r="480">
      <c r="A480" s="95">
        <v>10.0</v>
      </c>
      <c r="B480" s="96" t="s">
        <v>3027</v>
      </c>
      <c r="C480" s="96" t="s">
        <v>3028</v>
      </c>
      <c r="D480" s="269" t="s">
        <v>3029</v>
      </c>
      <c r="E480" s="131" t="s">
        <v>3030</v>
      </c>
      <c r="F480" s="79" t="s">
        <v>65</v>
      </c>
      <c r="G480" s="79" t="s">
        <v>123</v>
      </c>
      <c r="H480" s="79" t="s">
        <v>3031</v>
      </c>
      <c r="I480" s="79" t="s">
        <v>3032</v>
      </c>
      <c r="J480" s="79" t="s">
        <v>91</v>
      </c>
      <c r="K480" s="79" t="s">
        <v>110</v>
      </c>
      <c r="L480" s="79" t="s">
        <v>143</v>
      </c>
      <c r="M480" s="130" t="s">
        <v>3033</v>
      </c>
      <c r="N480" s="79" t="s">
        <v>73</v>
      </c>
      <c r="O480" s="79" t="s">
        <v>73</v>
      </c>
      <c r="P480" s="79" t="s">
        <v>95</v>
      </c>
      <c r="Q480" s="270" t="s">
        <v>3034</v>
      </c>
      <c r="R480" s="79" t="s">
        <v>76</v>
      </c>
      <c r="S480" s="79" t="s">
        <v>97</v>
      </c>
      <c r="T480" s="79">
        <v>2024.0</v>
      </c>
      <c r="U480" s="79" t="s">
        <v>78</v>
      </c>
      <c r="V480" s="79" t="s">
        <v>98</v>
      </c>
      <c r="W480" s="79" t="s">
        <v>3035</v>
      </c>
      <c r="X480" s="79" t="s">
        <v>100</v>
      </c>
      <c r="Y480" s="79" t="s">
        <v>139</v>
      </c>
      <c r="Z480" s="79" t="s">
        <v>3036</v>
      </c>
      <c r="AA480" s="79" t="s">
        <v>82</v>
      </c>
      <c r="AB480" s="79" t="s">
        <v>3037</v>
      </c>
      <c r="AC480" s="79" t="s">
        <v>3038</v>
      </c>
      <c r="AD480" s="79" t="s">
        <v>563</v>
      </c>
      <c r="AE480" s="68" t="s">
        <v>563</v>
      </c>
      <c r="AF480" s="68" t="s">
        <v>1268</v>
      </c>
      <c r="AG480" s="60"/>
      <c r="AH480" s="61"/>
      <c r="AI480" s="61"/>
      <c r="AJ480" s="61"/>
      <c r="AK480" s="61"/>
      <c r="AL480" s="61"/>
      <c r="AM480" s="61"/>
      <c r="AN480" s="61"/>
      <c r="AO480" s="61"/>
      <c r="AP480" s="61"/>
      <c r="AQ480" s="61"/>
      <c r="AR480" s="61"/>
    </row>
    <row r="481">
      <c r="A481" s="95">
        <v>11.0</v>
      </c>
      <c r="B481" s="96" t="s">
        <v>2682</v>
      </c>
      <c r="C481" s="198" t="s">
        <v>3039</v>
      </c>
      <c r="D481" s="225" t="s">
        <v>2680</v>
      </c>
      <c r="E481" s="59"/>
      <c r="F481" s="79" t="s">
        <v>344</v>
      </c>
      <c r="G481" s="79" t="s">
        <v>123</v>
      </c>
      <c r="H481" s="79" t="s">
        <v>2681</v>
      </c>
      <c r="I481" s="69"/>
      <c r="J481" s="79" t="s">
        <v>69</v>
      </c>
      <c r="K481" s="79" t="s">
        <v>110</v>
      </c>
      <c r="L481" s="79" t="s">
        <v>71</v>
      </c>
      <c r="M481" s="130" t="s">
        <v>2682</v>
      </c>
      <c r="N481" s="79" t="s">
        <v>73</v>
      </c>
      <c r="O481" s="79" t="s">
        <v>73</v>
      </c>
      <c r="P481" s="79" t="s">
        <v>95</v>
      </c>
      <c r="Q481" s="131" t="s">
        <v>3040</v>
      </c>
      <c r="R481" s="79" t="s">
        <v>76</v>
      </c>
      <c r="S481" s="79" t="s">
        <v>97</v>
      </c>
      <c r="T481" s="79">
        <v>2024.0</v>
      </c>
      <c r="U481" s="79" t="s">
        <v>78</v>
      </c>
      <c r="V481" s="69"/>
      <c r="W481" s="79" t="s">
        <v>2605</v>
      </c>
      <c r="X481" s="69"/>
      <c r="Y481" s="79" t="s">
        <v>71</v>
      </c>
      <c r="Z481" s="69"/>
      <c r="AA481" s="79" t="s">
        <v>162</v>
      </c>
      <c r="AB481" s="79" t="s">
        <v>2608</v>
      </c>
      <c r="AC481" s="79">
        <v>8.5721324997E10</v>
      </c>
      <c r="AD481" s="79" t="s">
        <v>3041</v>
      </c>
      <c r="AE481" s="59"/>
      <c r="AF481" s="68" t="s">
        <v>71</v>
      </c>
      <c r="AG481" s="60"/>
      <c r="AH481" s="61"/>
      <c r="AI481" s="61"/>
      <c r="AJ481" s="61"/>
      <c r="AK481" s="61"/>
      <c r="AL481" s="61"/>
      <c r="AM481" s="61"/>
      <c r="AN481" s="61"/>
      <c r="AO481" s="61"/>
      <c r="AP481" s="61"/>
      <c r="AQ481" s="61"/>
      <c r="AR481" s="61"/>
    </row>
    <row r="482">
      <c r="A482" s="95">
        <v>12.0</v>
      </c>
      <c r="B482" s="96" t="s">
        <v>1659</v>
      </c>
      <c r="C482" s="96" t="s">
        <v>3042</v>
      </c>
      <c r="D482" s="271" t="s">
        <v>3043</v>
      </c>
      <c r="E482" s="59"/>
      <c r="F482" s="69"/>
      <c r="G482" s="79" t="s">
        <v>123</v>
      </c>
      <c r="H482" s="79" t="s">
        <v>2287</v>
      </c>
      <c r="I482" s="69"/>
      <c r="J482" s="79" t="s">
        <v>69</v>
      </c>
      <c r="K482" s="79" t="s">
        <v>110</v>
      </c>
      <c r="L482" s="79" t="s">
        <v>71</v>
      </c>
      <c r="M482" s="130" t="s">
        <v>1658</v>
      </c>
      <c r="N482" s="79" t="s">
        <v>26</v>
      </c>
      <c r="O482" s="79" t="s">
        <v>113</v>
      </c>
      <c r="P482" s="79" t="s">
        <v>153</v>
      </c>
      <c r="Q482" s="69"/>
      <c r="R482" s="79" t="s">
        <v>76</v>
      </c>
      <c r="S482" s="79" t="s">
        <v>77</v>
      </c>
      <c r="T482" s="79">
        <v>2024.0</v>
      </c>
      <c r="U482" s="79" t="s">
        <v>78</v>
      </c>
      <c r="V482" s="79" t="s">
        <v>98</v>
      </c>
      <c r="W482" s="69"/>
      <c r="X482" s="79" t="s">
        <v>100</v>
      </c>
      <c r="Y482" s="79" t="s">
        <v>71</v>
      </c>
      <c r="Z482" s="69"/>
      <c r="AA482" s="79" t="s">
        <v>207</v>
      </c>
      <c r="AB482" s="79" t="s">
        <v>2608</v>
      </c>
      <c r="AC482" s="79">
        <v>8.5721324997E10</v>
      </c>
      <c r="AD482" s="79" t="s">
        <v>3041</v>
      </c>
      <c r="AE482" s="59"/>
      <c r="AF482" s="68" t="s">
        <v>71</v>
      </c>
      <c r="AG482" s="60"/>
      <c r="AH482" s="61"/>
      <c r="AI482" s="61"/>
      <c r="AJ482" s="61"/>
      <c r="AK482" s="61"/>
      <c r="AL482" s="61"/>
      <c r="AM482" s="61"/>
      <c r="AN482" s="61"/>
      <c r="AO482" s="61"/>
      <c r="AP482" s="61"/>
      <c r="AQ482" s="61"/>
      <c r="AR482" s="61"/>
    </row>
    <row r="483">
      <c r="A483" s="95">
        <v>13.0</v>
      </c>
      <c r="B483" s="96" t="s">
        <v>2444</v>
      </c>
      <c r="C483" s="96" t="s">
        <v>3044</v>
      </c>
      <c r="D483" s="225" t="s">
        <v>3045</v>
      </c>
      <c r="E483" s="59"/>
      <c r="F483" s="79" t="s">
        <v>456</v>
      </c>
      <c r="G483" s="79" t="s">
        <v>123</v>
      </c>
      <c r="H483" s="226" t="s">
        <v>3046</v>
      </c>
      <c r="I483" s="69"/>
      <c r="J483" s="79" t="s">
        <v>69</v>
      </c>
      <c r="K483" s="79" t="s">
        <v>70</v>
      </c>
      <c r="L483" s="79" t="s">
        <v>152</v>
      </c>
      <c r="M483" s="130" t="s">
        <v>2444</v>
      </c>
      <c r="N483" s="79" t="s">
        <v>26</v>
      </c>
      <c r="O483" s="79" t="s">
        <v>113</v>
      </c>
      <c r="P483" s="79" t="s">
        <v>95</v>
      </c>
      <c r="Q483" s="131" t="s">
        <v>3047</v>
      </c>
      <c r="R483" s="79" t="s">
        <v>76</v>
      </c>
      <c r="S483" s="79" t="s">
        <v>77</v>
      </c>
      <c r="T483" s="69"/>
      <c r="U483" s="79" t="s">
        <v>78</v>
      </c>
      <c r="V483" s="79" t="s">
        <v>79</v>
      </c>
      <c r="W483" s="69"/>
      <c r="X483" s="79" t="s">
        <v>148</v>
      </c>
      <c r="Y483" s="79" t="s">
        <v>139</v>
      </c>
      <c r="Z483" s="69"/>
      <c r="AA483" s="79" t="s">
        <v>207</v>
      </c>
      <c r="AB483" s="79" t="s">
        <v>2608</v>
      </c>
      <c r="AC483" s="79">
        <v>8.5721324997E10</v>
      </c>
      <c r="AD483" s="79" t="s">
        <v>3041</v>
      </c>
      <c r="AE483" s="59"/>
      <c r="AF483" s="68" t="s">
        <v>71</v>
      </c>
      <c r="AG483" s="60"/>
      <c r="AH483" s="61"/>
      <c r="AI483" s="61"/>
      <c r="AJ483" s="61"/>
      <c r="AK483" s="61"/>
      <c r="AL483" s="61"/>
      <c r="AM483" s="61"/>
      <c r="AN483" s="61"/>
      <c r="AO483" s="61"/>
      <c r="AP483" s="61"/>
      <c r="AQ483" s="61"/>
      <c r="AR483" s="61"/>
    </row>
    <row r="484">
      <c r="A484" s="95">
        <v>14.0</v>
      </c>
      <c r="B484" s="96" t="s">
        <v>2176</v>
      </c>
      <c r="C484" s="226" t="s">
        <v>2686</v>
      </c>
      <c r="D484" s="225" t="s">
        <v>2687</v>
      </c>
      <c r="E484" s="59"/>
      <c r="F484" s="79" t="s">
        <v>456</v>
      </c>
      <c r="G484" s="79" t="s">
        <v>123</v>
      </c>
      <c r="H484" s="226" t="s">
        <v>2688</v>
      </c>
      <c r="I484" s="69"/>
      <c r="J484" s="79" t="s">
        <v>69</v>
      </c>
      <c r="K484" s="79" t="s">
        <v>110</v>
      </c>
      <c r="L484" s="79" t="s">
        <v>111</v>
      </c>
      <c r="M484" s="130" t="s">
        <v>2176</v>
      </c>
      <c r="N484" s="79" t="s">
        <v>26</v>
      </c>
      <c r="O484" s="79" t="s">
        <v>113</v>
      </c>
      <c r="P484" s="79" t="s">
        <v>95</v>
      </c>
      <c r="Q484" s="131" t="s">
        <v>3048</v>
      </c>
      <c r="R484" s="79" t="s">
        <v>76</v>
      </c>
      <c r="S484" s="79" t="s">
        <v>77</v>
      </c>
      <c r="T484" s="69"/>
      <c r="U484" s="79" t="s">
        <v>78</v>
      </c>
      <c r="V484" s="79" t="s">
        <v>79</v>
      </c>
      <c r="W484" s="69"/>
      <c r="X484" s="79" t="s">
        <v>148</v>
      </c>
      <c r="Y484" s="79" t="s">
        <v>111</v>
      </c>
      <c r="Z484" s="69"/>
      <c r="AA484" s="79" t="s">
        <v>207</v>
      </c>
      <c r="AB484" s="79" t="s">
        <v>2608</v>
      </c>
      <c r="AC484" s="79">
        <v>8.5721324997E10</v>
      </c>
      <c r="AD484" s="79" t="s">
        <v>3041</v>
      </c>
      <c r="AE484" s="59"/>
      <c r="AF484" s="64" t="s">
        <v>111</v>
      </c>
      <c r="AG484" s="60"/>
      <c r="AH484" s="61"/>
      <c r="AI484" s="61"/>
      <c r="AJ484" s="61"/>
      <c r="AK484" s="61"/>
      <c r="AL484" s="61"/>
      <c r="AM484" s="61"/>
      <c r="AN484" s="61"/>
      <c r="AO484" s="61"/>
      <c r="AP484" s="61"/>
      <c r="AQ484" s="61"/>
      <c r="AR484" s="61"/>
    </row>
    <row r="485">
      <c r="A485" s="95">
        <v>16.0</v>
      </c>
      <c r="B485" s="96" t="s">
        <v>503</v>
      </c>
      <c r="C485" s="201" t="s">
        <v>3049</v>
      </c>
      <c r="D485" s="268" t="s">
        <v>3050</v>
      </c>
      <c r="E485" s="59"/>
      <c r="F485" s="79" t="s">
        <v>107</v>
      </c>
      <c r="G485" s="79" t="s">
        <v>123</v>
      </c>
      <c r="H485" s="69"/>
      <c r="I485" s="69"/>
      <c r="J485" s="79" t="s">
        <v>69</v>
      </c>
      <c r="K485" s="79" t="s">
        <v>70</v>
      </c>
      <c r="L485" s="79" t="s">
        <v>111</v>
      </c>
      <c r="M485" s="130" t="s">
        <v>503</v>
      </c>
      <c r="N485" s="79" t="s">
        <v>82</v>
      </c>
      <c r="O485" s="79" t="s">
        <v>113</v>
      </c>
      <c r="P485" s="79" t="s">
        <v>95</v>
      </c>
      <c r="Q485" s="131" t="s">
        <v>3051</v>
      </c>
      <c r="R485" s="79" t="s">
        <v>76</v>
      </c>
      <c r="S485" s="79" t="s">
        <v>97</v>
      </c>
      <c r="T485" s="69"/>
      <c r="U485" s="79" t="s">
        <v>78</v>
      </c>
      <c r="V485" s="79" t="s">
        <v>98</v>
      </c>
      <c r="W485" s="69"/>
      <c r="X485" s="69"/>
      <c r="Y485" s="69"/>
      <c r="Z485" s="69"/>
      <c r="AA485" s="69"/>
      <c r="AB485" s="79" t="s">
        <v>3052</v>
      </c>
      <c r="AC485" s="79">
        <v>8.7743579775E10</v>
      </c>
      <c r="AD485" s="69"/>
      <c r="AE485" s="59"/>
      <c r="AF485" s="68" t="s">
        <v>111</v>
      </c>
      <c r="AG485" s="60"/>
      <c r="AH485" s="61"/>
      <c r="AI485" s="61"/>
      <c r="AJ485" s="61"/>
      <c r="AK485" s="61"/>
      <c r="AL485" s="61"/>
      <c r="AM485" s="61"/>
      <c r="AN485" s="61"/>
      <c r="AO485" s="61"/>
      <c r="AP485" s="61"/>
      <c r="AQ485" s="61"/>
      <c r="AR485" s="61"/>
    </row>
    <row r="486">
      <c r="A486" s="95">
        <v>17.0</v>
      </c>
      <c r="B486" s="96" t="s">
        <v>2528</v>
      </c>
      <c r="C486" s="272" t="s">
        <v>3053</v>
      </c>
      <c r="D486" s="273" t="s">
        <v>3054</v>
      </c>
      <c r="E486" s="59"/>
      <c r="F486" s="79" t="s">
        <v>344</v>
      </c>
      <c r="G486" s="79" t="s">
        <v>123</v>
      </c>
      <c r="H486" s="79" t="s">
        <v>3055</v>
      </c>
      <c r="I486" s="79" t="s">
        <v>3056</v>
      </c>
      <c r="J486" s="79" t="s">
        <v>69</v>
      </c>
      <c r="K486" s="79" t="s">
        <v>70</v>
      </c>
      <c r="L486" s="79" t="s">
        <v>152</v>
      </c>
      <c r="M486" s="130" t="s">
        <v>2528</v>
      </c>
      <c r="N486" s="79" t="s">
        <v>73</v>
      </c>
      <c r="O486" s="79" t="s">
        <v>73</v>
      </c>
      <c r="P486" s="79" t="s">
        <v>95</v>
      </c>
      <c r="Q486" s="266" t="s">
        <v>3057</v>
      </c>
      <c r="R486" s="79" t="s">
        <v>76</v>
      </c>
      <c r="S486" s="79" t="s">
        <v>97</v>
      </c>
      <c r="T486" s="69"/>
      <c r="U486" s="79" t="s">
        <v>78</v>
      </c>
      <c r="V486" s="79" t="s">
        <v>79</v>
      </c>
      <c r="W486" s="79" t="s">
        <v>2520</v>
      </c>
      <c r="X486" s="79" t="s">
        <v>80</v>
      </c>
      <c r="Y486" s="69"/>
      <c r="Z486" s="69"/>
      <c r="AA486" s="69"/>
      <c r="AB486" s="79" t="s">
        <v>3058</v>
      </c>
      <c r="AC486" s="79">
        <v>8.1324443528E10</v>
      </c>
      <c r="AD486" s="79" t="s">
        <v>3059</v>
      </c>
      <c r="AE486" s="59"/>
      <c r="AF486" s="68" t="s">
        <v>71</v>
      </c>
      <c r="AG486" s="60"/>
      <c r="AH486" s="61"/>
      <c r="AI486" s="61"/>
      <c r="AJ486" s="61"/>
      <c r="AK486" s="61"/>
      <c r="AL486" s="61"/>
      <c r="AM486" s="61"/>
      <c r="AN486" s="61"/>
      <c r="AO486" s="61"/>
      <c r="AP486" s="61"/>
      <c r="AQ486" s="61"/>
      <c r="AR486" s="61"/>
    </row>
    <row r="487">
      <c r="A487" s="95">
        <v>19.0</v>
      </c>
      <c r="B487" s="96" t="s">
        <v>3060</v>
      </c>
      <c r="C487" s="96" t="s">
        <v>3061</v>
      </c>
      <c r="D487" s="96" t="s">
        <v>3062</v>
      </c>
      <c r="E487" s="59"/>
      <c r="F487" s="79" t="s">
        <v>344</v>
      </c>
      <c r="G487" s="79" t="s">
        <v>123</v>
      </c>
      <c r="H487" s="222" t="s">
        <v>3063</v>
      </c>
      <c r="I487" s="274" t="s">
        <v>3064</v>
      </c>
      <c r="J487" s="79" t="s">
        <v>69</v>
      </c>
      <c r="K487" s="79" t="s">
        <v>110</v>
      </c>
      <c r="L487" s="79" t="s">
        <v>111</v>
      </c>
      <c r="M487" s="79" t="s">
        <v>3060</v>
      </c>
      <c r="N487" s="79" t="s">
        <v>73</v>
      </c>
      <c r="O487" s="79" t="s">
        <v>73</v>
      </c>
      <c r="P487" s="79" t="s">
        <v>95</v>
      </c>
      <c r="Q487" s="270" t="s">
        <v>3065</v>
      </c>
      <c r="R487" s="79" t="s">
        <v>76</v>
      </c>
      <c r="S487" s="79" t="s">
        <v>97</v>
      </c>
      <c r="T487" s="69"/>
      <c r="U487" s="79" t="s">
        <v>78</v>
      </c>
      <c r="V487" s="79" t="s">
        <v>79</v>
      </c>
      <c r="W487" s="79" t="s">
        <v>2520</v>
      </c>
      <c r="X487" s="79" t="s">
        <v>80</v>
      </c>
      <c r="Y487" s="79" t="s">
        <v>80</v>
      </c>
      <c r="Z487" s="69"/>
      <c r="AA487" s="69"/>
      <c r="AB487" s="79" t="s">
        <v>3066</v>
      </c>
      <c r="AC487" s="79">
        <v>8.7743579775E10</v>
      </c>
      <c r="AD487" s="69"/>
      <c r="AE487" s="59"/>
      <c r="AF487" s="68" t="s">
        <v>111</v>
      </c>
      <c r="AG487" s="60"/>
      <c r="AH487" s="61"/>
      <c r="AI487" s="61"/>
      <c r="AJ487" s="61"/>
      <c r="AK487" s="61"/>
      <c r="AL487" s="61"/>
      <c r="AM487" s="61"/>
      <c r="AN487" s="61"/>
      <c r="AO487" s="61"/>
      <c r="AP487" s="61"/>
      <c r="AQ487" s="61"/>
      <c r="AR487" s="61"/>
    </row>
    <row r="488">
      <c r="A488" s="95">
        <v>20.0</v>
      </c>
      <c r="B488" s="96" t="s">
        <v>2784</v>
      </c>
      <c r="C488" s="96" t="s">
        <v>3067</v>
      </c>
      <c r="D488" s="96" t="s">
        <v>3068</v>
      </c>
      <c r="E488" s="59"/>
      <c r="F488" s="79" t="s">
        <v>344</v>
      </c>
      <c r="G488" s="79" t="s">
        <v>123</v>
      </c>
      <c r="H488" s="79" t="s">
        <v>3069</v>
      </c>
      <c r="I488" s="79" t="s">
        <v>3070</v>
      </c>
      <c r="J488" s="79" t="s">
        <v>91</v>
      </c>
      <c r="K488" s="79" t="s">
        <v>70</v>
      </c>
      <c r="L488" s="79" t="s">
        <v>152</v>
      </c>
      <c r="M488" s="79" t="s">
        <v>696</v>
      </c>
      <c r="N488" s="79" t="s">
        <v>26</v>
      </c>
      <c r="O488" s="79" t="s">
        <v>113</v>
      </c>
      <c r="P488" s="79" t="s">
        <v>74</v>
      </c>
      <c r="Q488" s="131" t="s">
        <v>3071</v>
      </c>
      <c r="R488" s="79" t="s">
        <v>76</v>
      </c>
      <c r="S488" s="79" t="s">
        <v>97</v>
      </c>
      <c r="T488" s="79">
        <v>2025.0</v>
      </c>
      <c r="U488" s="79" t="s">
        <v>78</v>
      </c>
      <c r="V488" s="79" t="s">
        <v>98</v>
      </c>
      <c r="W488" s="79" t="s">
        <v>98</v>
      </c>
      <c r="X488" s="79" t="s">
        <v>148</v>
      </c>
      <c r="Y488" s="79" t="s">
        <v>71</v>
      </c>
      <c r="Z488" s="79" t="s">
        <v>3072</v>
      </c>
      <c r="AA488" s="79" t="s">
        <v>140</v>
      </c>
      <c r="AB488" s="79" t="s">
        <v>3073</v>
      </c>
      <c r="AC488" s="79">
        <v>8.1322030083E10</v>
      </c>
      <c r="AD488" s="79" t="s">
        <v>2961</v>
      </c>
      <c r="AE488" s="59"/>
      <c r="AF488" s="68" t="s">
        <v>71</v>
      </c>
      <c r="AG488" s="60"/>
      <c r="AH488" s="61"/>
      <c r="AI488" s="61"/>
      <c r="AJ488" s="61"/>
      <c r="AK488" s="61"/>
      <c r="AL488" s="61"/>
      <c r="AM488" s="61"/>
      <c r="AN488" s="61"/>
      <c r="AO488" s="61"/>
      <c r="AP488" s="61"/>
      <c r="AQ488" s="61"/>
      <c r="AR488" s="61"/>
    </row>
    <row r="489">
      <c r="A489" s="95">
        <v>22.0</v>
      </c>
      <c r="B489" s="96" t="s">
        <v>1083</v>
      </c>
      <c r="C489" s="147" t="s">
        <v>3074</v>
      </c>
      <c r="D489" s="96" t="s">
        <v>3075</v>
      </c>
      <c r="E489" s="206"/>
      <c r="F489" s="79" t="s">
        <v>344</v>
      </c>
      <c r="G489" s="69"/>
      <c r="H489" s="79" t="s">
        <v>3076</v>
      </c>
      <c r="I489" s="79" t="s">
        <v>3077</v>
      </c>
      <c r="J489" s="79" t="s">
        <v>151</v>
      </c>
      <c r="K489" s="79" t="s">
        <v>110</v>
      </c>
      <c r="L489" s="79" t="s">
        <v>152</v>
      </c>
      <c r="M489" s="67" t="s">
        <v>1083</v>
      </c>
      <c r="N489" s="79" t="s">
        <v>73</v>
      </c>
      <c r="O489" s="79" t="s">
        <v>73</v>
      </c>
      <c r="P489" s="79" t="s">
        <v>95</v>
      </c>
      <c r="Q489" s="275" t="s">
        <v>3078</v>
      </c>
      <c r="R489" s="79" t="s">
        <v>76</v>
      </c>
      <c r="S489" s="79" t="s">
        <v>77</v>
      </c>
      <c r="T489" s="79">
        <v>2025.0</v>
      </c>
      <c r="U489" s="79" t="s">
        <v>78</v>
      </c>
      <c r="V489" s="79" t="s">
        <v>79</v>
      </c>
      <c r="W489" s="79" t="s">
        <v>2520</v>
      </c>
      <c r="X489" s="79" t="s">
        <v>80</v>
      </c>
      <c r="Y489" s="79" t="s">
        <v>80</v>
      </c>
      <c r="Z489" s="79" t="s">
        <v>162</v>
      </c>
      <c r="AA489" s="79" t="s">
        <v>162</v>
      </c>
      <c r="AB489" s="79" t="s">
        <v>3079</v>
      </c>
      <c r="AC489" s="79">
        <v>8.2117621571E10</v>
      </c>
      <c r="AD489" s="79" t="s">
        <v>3080</v>
      </c>
      <c r="AE489" s="68">
        <v>8.0</v>
      </c>
      <c r="AF489" s="68" t="s">
        <v>152</v>
      </c>
      <c r="AG489" s="60"/>
      <c r="AH489" s="61"/>
      <c r="AI489" s="61"/>
      <c r="AJ489" s="61"/>
      <c r="AK489" s="61"/>
      <c r="AL489" s="61"/>
      <c r="AM489" s="61"/>
      <c r="AN489" s="61"/>
      <c r="AO489" s="61"/>
      <c r="AP489" s="61"/>
      <c r="AQ489" s="61"/>
      <c r="AR489" s="61"/>
    </row>
    <row r="490">
      <c r="A490" s="95">
        <v>23.0</v>
      </c>
      <c r="B490" s="96" t="s">
        <v>3081</v>
      </c>
      <c r="C490" s="96" t="s">
        <v>3082</v>
      </c>
      <c r="D490" s="96" t="s">
        <v>3083</v>
      </c>
      <c r="E490" s="59"/>
      <c r="F490" s="79" t="s">
        <v>165</v>
      </c>
      <c r="G490" s="79" t="s">
        <v>138</v>
      </c>
      <c r="H490" s="79" t="s">
        <v>3084</v>
      </c>
      <c r="I490" s="79" t="s">
        <v>3085</v>
      </c>
      <c r="J490" s="79" t="s">
        <v>151</v>
      </c>
      <c r="K490" s="79" t="s">
        <v>70</v>
      </c>
      <c r="L490" s="79" t="s">
        <v>101</v>
      </c>
      <c r="M490" s="67" t="s">
        <v>3086</v>
      </c>
      <c r="N490" s="79" t="s">
        <v>73</v>
      </c>
      <c r="O490" s="79" t="s">
        <v>73</v>
      </c>
      <c r="P490" s="79" t="s">
        <v>95</v>
      </c>
      <c r="Q490" s="276" t="s">
        <v>3087</v>
      </c>
      <c r="R490" s="79" t="s">
        <v>76</v>
      </c>
      <c r="S490" s="79" t="s">
        <v>77</v>
      </c>
      <c r="T490" s="79">
        <v>2025.0</v>
      </c>
      <c r="U490" s="79" t="s">
        <v>78</v>
      </c>
      <c r="V490" s="79" t="s">
        <v>98</v>
      </c>
      <c r="W490" s="79" t="s">
        <v>1585</v>
      </c>
      <c r="X490" s="79" t="s">
        <v>100</v>
      </c>
      <c r="Y490" s="79" t="s">
        <v>139</v>
      </c>
      <c r="Z490" s="79" t="s">
        <v>1585</v>
      </c>
      <c r="AA490" s="79" t="s">
        <v>183</v>
      </c>
      <c r="AB490" s="79" t="s">
        <v>3088</v>
      </c>
      <c r="AC490" s="79">
        <v>8.1220186484E10</v>
      </c>
      <c r="AD490" s="79" t="s">
        <v>3089</v>
      </c>
      <c r="AE490" s="59"/>
      <c r="AF490" s="68" t="s">
        <v>566</v>
      </c>
      <c r="AG490" s="60"/>
      <c r="AH490" s="61"/>
      <c r="AI490" s="61"/>
      <c r="AJ490" s="61"/>
      <c r="AK490" s="61"/>
      <c r="AL490" s="61"/>
      <c r="AM490" s="61"/>
      <c r="AN490" s="61"/>
      <c r="AO490" s="61"/>
      <c r="AP490" s="61"/>
      <c r="AQ490" s="61"/>
      <c r="AR490" s="61"/>
    </row>
    <row r="491">
      <c r="A491" s="95">
        <v>24.0</v>
      </c>
      <c r="B491" s="96" t="s">
        <v>3090</v>
      </c>
      <c r="C491" s="96" t="s">
        <v>3091</v>
      </c>
      <c r="D491" s="96" t="s">
        <v>3092</v>
      </c>
      <c r="E491" s="59"/>
      <c r="F491" s="69"/>
      <c r="G491" s="79" t="s">
        <v>66</v>
      </c>
      <c r="H491" s="79" t="s">
        <v>3093</v>
      </c>
      <c r="I491" s="79" t="s">
        <v>3094</v>
      </c>
      <c r="J491" s="79" t="s">
        <v>69</v>
      </c>
      <c r="K491" s="79" t="s">
        <v>70</v>
      </c>
      <c r="L491" s="79" t="s">
        <v>111</v>
      </c>
      <c r="M491" s="67" t="s">
        <v>1096</v>
      </c>
      <c r="N491" s="79" t="s">
        <v>73</v>
      </c>
      <c r="O491" s="79" t="s">
        <v>73</v>
      </c>
      <c r="P491" s="79" t="s">
        <v>95</v>
      </c>
      <c r="Q491" s="131" t="s">
        <v>3095</v>
      </c>
      <c r="R491" s="79" t="s">
        <v>76</v>
      </c>
      <c r="S491" s="79" t="s">
        <v>97</v>
      </c>
      <c r="T491" s="79">
        <v>2025.0</v>
      </c>
      <c r="U491" s="79" t="s">
        <v>78</v>
      </c>
      <c r="V491" s="79" t="s">
        <v>79</v>
      </c>
      <c r="W491" s="69"/>
      <c r="X491" s="79" t="s">
        <v>80</v>
      </c>
      <c r="Y491" s="79" t="s">
        <v>139</v>
      </c>
      <c r="Z491" s="69"/>
      <c r="AA491" s="79" t="s">
        <v>162</v>
      </c>
      <c r="AB491" s="79" t="s">
        <v>3096</v>
      </c>
      <c r="AC491" s="79">
        <v>8.2214004268E10</v>
      </c>
      <c r="AD491" s="79" t="s">
        <v>3097</v>
      </c>
      <c r="AE491" s="59"/>
      <c r="AF491" s="68" t="s">
        <v>71</v>
      </c>
      <c r="AG491" s="60"/>
      <c r="AH491" s="61"/>
      <c r="AI491" s="61"/>
      <c r="AJ491" s="61"/>
      <c r="AK491" s="61"/>
      <c r="AL491" s="61"/>
      <c r="AM491" s="61"/>
      <c r="AN491" s="61"/>
      <c r="AO491" s="61"/>
      <c r="AP491" s="61"/>
      <c r="AQ491" s="61"/>
      <c r="AR491" s="61"/>
    </row>
    <row r="492">
      <c r="A492" s="95">
        <v>25.0</v>
      </c>
      <c r="B492" s="96" t="s">
        <v>607</v>
      </c>
      <c r="C492" s="96" t="s">
        <v>3098</v>
      </c>
      <c r="D492" s="274" t="s">
        <v>3099</v>
      </c>
      <c r="E492" s="59"/>
      <c r="F492" s="79" t="s">
        <v>327</v>
      </c>
      <c r="G492" s="79" t="s">
        <v>123</v>
      </c>
      <c r="H492" s="79" t="s">
        <v>3100</v>
      </c>
      <c r="I492" s="69"/>
      <c r="J492" s="79" t="s">
        <v>158</v>
      </c>
      <c r="K492" s="79" t="s">
        <v>110</v>
      </c>
      <c r="L492" s="79" t="s">
        <v>152</v>
      </c>
      <c r="M492" s="67" t="s">
        <v>607</v>
      </c>
      <c r="N492" s="79" t="s">
        <v>73</v>
      </c>
      <c r="O492" s="79" t="s">
        <v>73</v>
      </c>
      <c r="P492" s="79" t="s">
        <v>74</v>
      </c>
      <c r="Q492" s="131" t="s">
        <v>3101</v>
      </c>
      <c r="R492" s="79" t="s">
        <v>76</v>
      </c>
      <c r="S492" s="79" t="s">
        <v>97</v>
      </c>
      <c r="T492" s="69"/>
      <c r="U492" s="79" t="s">
        <v>78</v>
      </c>
      <c r="V492" s="79" t="s">
        <v>98</v>
      </c>
      <c r="W492" s="69"/>
      <c r="X492" s="69"/>
      <c r="Y492" s="79" t="s">
        <v>71</v>
      </c>
      <c r="Z492" s="79" t="s">
        <v>3102</v>
      </c>
      <c r="AA492" s="79" t="s">
        <v>162</v>
      </c>
      <c r="AB492" s="79" t="s">
        <v>3103</v>
      </c>
      <c r="AC492" s="263" t="s">
        <v>2960</v>
      </c>
      <c r="AD492" s="69"/>
      <c r="AE492" s="59"/>
      <c r="AF492" s="68" t="s">
        <v>71</v>
      </c>
      <c r="AG492" s="60"/>
      <c r="AH492" s="61"/>
      <c r="AI492" s="61"/>
      <c r="AJ492" s="61"/>
      <c r="AK492" s="61"/>
      <c r="AL492" s="61"/>
      <c r="AM492" s="61"/>
      <c r="AN492" s="61"/>
      <c r="AO492" s="61"/>
      <c r="AP492" s="61"/>
      <c r="AQ492" s="61"/>
      <c r="AR492" s="61"/>
    </row>
    <row r="493">
      <c r="A493" s="95">
        <v>26.0</v>
      </c>
      <c r="B493" s="96" t="s">
        <v>3104</v>
      </c>
      <c r="C493" s="277" t="s">
        <v>3105</v>
      </c>
      <c r="D493" s="278" t="s">
        <v>3106</v>
      </c>
      <c r="E493" s="59"/>
      <c r="F493" s="79" t="s">
        <v>344</v>
      </c>
      <c r="G493" s="79" t="s">
        <v>66</v>
      </c>
      <c r="H493" s="96" t="s">
        <v>3107</v>
      </c>
      <c r="I493" s="196" t="s">
        <v>3108</v>
      </c>
      <c r="J493" s="79" t="s">
        <v>151</v>
      </c>
      <c r="K493" s="79" t="s">
        <v>70</v>
      </c>
      <c r="L493" s="79" t="s">
        <v>101</v>
      </c>
      <c r="M493" s="67" t="s">
        <v>3109</v>
      </c>
      <c r="N493" s="79" t="s">
        <v>73</v>
      </c>
      <c r="O493" s="79" t="s">
        <v>73</v>
      </c>
      <c r="P493" s="79" t="s">
        <v>95</v>
      </c>
      <c r="Q493" s="279" t="s">
        <v>3110</v>
      </c>
      <c r="R493" s="79" t="s">
        <v>76</v>
      </c>
      <c r="S493" s="69"/>
      <c r="T493" s="79">
        <v>2025.0</v>
      </c>
      <c r="U493" s="79" t="s">
        <v>78</v>
      </c>
      <c r="V493" s="79" t="s">
        <v>79</v>
      </c>
      <c r="W493" s="69"/>
      <c r="X493" s="79" t="s">
        <v>80</v>
      </c>
      <c r="Y493" s="79" t="s">
        <v>101</v>
      </c>
      <c r="Z493" s="69"/>
      <c r="AA493" s="79" t="s">
        <v>162</v>
      </c>
      <c r="AB493" s="79" t="s">
        <v>3111</v>
      </c>
      <c r="AC493" s="79">
        <v>8.2117621571E10</v>
      </c>
      <c r="AD493" s="79" t="s">
        <v>2961</v>
      </c>
      <c r="AE493" s="68">
        <v>8.0</v>
      </c>
      <c r="AF493" s="68" t="s">
        <v>566</v>
      </c>
      <c r="AG493" s="60"/>
      <c r="AH493" s="61"/>
      <c r="AI493" s="61"/>
      <c r="AJ493" s="61"/>
      <c r="AK493" s="61"/>
      <c r="AL493" s="61"/>
      <c r="AM493" s="61"/>
      <c r="AN493" s="61"/>
      <c r="AO493" s="61"/>
      <c r="AP493" s="61"/>
      <c r="AQ493" s="61"/>
      <c r="AR493" s="61"/>
    </row>
    <row r="494">
      <c r="A494" s="95">
        <v>27.0</v>
      </c>
      <c r="B494" s="96" t="s">
        <v>3112</v>
      </c>
      <c r="C494" s="96" t="s">
        <v>3113</v>
      </c>
      <c r="D494" s="96" t="s">
        <v>3114</v>
      </c>
      <c r="E494" s="59"/>
      <c r="F494" s="79" t="s">
        <v>421</v>
      </c>
      <c r="G494" s="79" t="s">
        <v>123</v>
      </c>
      <c r="H494" s="79" t="s">
        <v>3115</v>
      </c>
      <c r="I494" s="79" t="s">
        <v>3116</v>
      </c>
      <c r="J494" s="69"/>
      <c r="K494" s="79" t="s">
        <v>110</v>
      </c>
      <c r="L494" s="79" t="s">
        <v>152</v>
      </c>
      <c r="M494" s="67" t="s">
        <v>2437</v>
      </c>
      <c r="N494" s="69"/>
      <c r="O494" s="69"/>
      <c r="P494" s="69"/>
      <c r="Q494" s="131" t="s">
        <v>3117</v>
      </c>
      <c r="R494" s="79" t="s">
        <v>76</v>
      </c>
      <c r="S494" s="69"/>
      <c r="T494" s="69"/>
      <c r="U494" s="69"/>
      <c r="V494" s="69"/>
      <c r="W494" s="69"/>
      <c r="X494" s="69"/>
      <c r="Y494" s="79" t="s">
        <v>152</v>
      </c>
      <c r="Z494" s="69"/>
      <c r="AA494" s="79" t="s">
        <v>162</v>
      </c>
      <c r="AB494" s="79" t="s">
        <v>3118</v>
      </c>
      <c r="AC494" s="79">
        <v>8.5794029979E10</v>
      </c>
      <c r="AD494" s="79" t="s">
        <v>3119</v>
      </c>
      <c r="AE494" s="59"/>
      <c r="AF494" s="68" t="s">
        <v>152</v>
      </c>
      <c r="AG494" s="60"/>
      <c r="AH494" s="61"/>
      <c r="AI494" s="61"/>
      <c r="AJ494" s="61"/>
      <c r="AK494" s="61"/>
      <c r="AL494" s="61"/>
      <c r="AM494" s="61"/>
      <c r="AN494" s="61"/>
      <c r="AO494" s="61"/>
      <c r="AP494" s="61"/>
      <c r="AQ494" s="61"/>
      <c r="AR494" s="61"/>
    </row>
    <row r="495">
      <c r="A495" s="95">
        <v>28.0</v>
      </c>
      <c r="B495" s="96" t="s">
        <v>1088</v>
      </c>
      <c r="C495" s="67" t="s">
        <v>3120</v>
      </c>
      <c r="D495" s="76" t="s">
        <v>3121</v>
      </c>
      <c r="E495" s="59"/>
      <c r="F495" s="79" t="s">
        <v>344</v>
      </c>
      <c r="G495" s="79" t="s">
        <v>123</v>
      </c>
      <c r="H495" s="196" t="s">
        <v>3122</v>
      </c>
      <c r="I495" s="196" t="s">
        <v>3123</v>
      </c>
      <c r="J495" s="79" t="s">
        <v>151</v>
      </c>
      <c r="K495" s="79" t="s">
        <v>110</v>
      </c>
      <c r="L495" s="79" t="s">
        <v>152</v>
      </c>
      <c r="M495" s="67" t="s">
        <v>1088</v>
      </c>
      <c r="N495" s="79" t="s">
        <v>73</v>
      </c>
      <c r="O495" s="79" t="s">
        <v>73</v>
      </c>
      <c r="P495" s="79" t="s">
        <v>74</v>
      </c>
      <c r="Q495" s="280" t="s">
        <v>3124</v>
      </c>
      <c r="R495" s="79" t="s">
        <v>76</v>
      </c>
      <c r="S495" s="79" t="s">
        <v>97</v>
      </c>
      <c r="T495" s="79">
        <v>2025.0</v>
      </c>
      <c r="U495" s="79" t="s">
        <v>147</v>
      </c>
      <c r="V495" s="79" t="s">
        <v>79</v>
      </c>
      <c r="W495" s="69"/>
      <c r="X495" s="79" t="s">
        <v>80</v>
      </c>
      <c r="Y495" s="79" t="s">
        <v>80</v>
      </c>
      <c r="Z495" s="69"/>
      <c r="AA495" s="79" t="s">
        <v>162</v>
      </c>
      <c r="AB495" s="131" t="s">
        <v>3125</v>
      </c>
      <c r="AC495" s="79">
        <v>8.2117621571E10</v>
      </c>
      <c r="AD495" s="79" t="s">
        <v>2961</v>
      </c>
      <c r="AE495" s="68">
        <v>8.0</v>
      </c>
      <c r="AF495" s="68" t="s">
        <v>152</v>
      </c>
      <c r="AG495" s="60"/>
      <c r="AH495" s="61"/>
      <c r="AI495" s="61"/>
      <c r="AJ495" s="61"/>
      <c r="AK495" s="61"/>
      <c r="AL495" s="61"/>
      <c r="AM495" s="61"/>
      <c r="AN495" s="61"/>
      <c r="AO495" s="61"/>
      <c r="AP495" s="61"/>
      <c r="AQ495" s="61"/>
      <c r="AR495" s="61"/>
    </row>
    <row r="496">
      <c r="A496" s="95">
        <v>29.0</v>
      </c>
      <c r="B496" s="96" t="s">
        <v>1124</v>
      </c>
      <c r="C496" s="147" t="s">
        <v>3126</v>
      </c>
      <c r="D496" s="146" t="s">
        <v>3127</v>
      </c>
      <c r="E496" s="59"/>
      <c r="F496" s="79" t="s">
        <v>344</v>
      </c>
      <c r="G496" s="79" t="s">
        <v>66</v>
      </c>
      <c r="H496" s="196" t="s">
        <v>3128</v>
      </c>
      <c r="I496" s="76" t="s">
        <v>3129</v>
      </c>
      <c r="J496" s="79" t="s">
        <v>151</v>
      </c>
      <c r="K496" s="79" t="s">
        <v>70</v>
      </c>
      <c r="L496" s="79" t="s">
        <v>152</v>
      </c>
      <c r="M496" s="67" t="s">
        <v>1124</v>
      </c>
      <c r="N496" s="79" t="s">
        <v>73</v>
      </c>
      <c r="O496" s="79" t="s">
        <v>73</v>
      </c>
      <c r="P496" s="79" t="s">
        <v>95</v>
      </c>
      <c r="Q496" s="274" t="s">
        <v>3130</v>
      </c>
      <c r="R496" s="79" t="s">
        <v>76</v>
      </c>
      <c r="S496" s="79" t="s">
        <v>77</v>
      </c>
      <c r="T496" s="79">
        <v>2025.0</v>
      </c>
      <c r="U496" s="79" t="s">
        <v>78</v>
      </c>
      <c r="V496" s="79" t="s">
        <v>79</v>
      </c>
      <c r="W496" s="69"/>
      <c r="X496" s="79" t="s">
        <v>80</v>
      </c>
      <c r="Y496" s="79" t="s">
        <v>152</v>
      </c>
      <c r="Z496" s="69"/>
      <c r="AA496" s="79" t="s">
        <v>162</v>
      </c>
      <c r="AB496" s="79" t="s">
        <v>3131</v>
      </c>
      <c r="AC496" s="79">
        <v>8.2117621571E10</v>
      </c>
      <c r="AD496" s="79" t="s">
        <v>2961</v>
      </c>
      <c r="AE496" s="68">
        <v>8.0</v>
      </c>
      <c r="AF496" s="68" t="s">
        <v>152</v>
      </c>
      <c r="AG496" s="60"/>
      <c r="AH496" s="61"/>
      <c r="AI496" s="61"/>
      <c r="AJ496" s="61"/>
      <c r="AK496" s="61"/>
      <c r="AL496" s="61"/>
      <c r="AM496" s="61"/>
      <c r="AN496" s="61"/>
      <c r="AO496" s="61"/>
      <c r="AP496" s="61"/>
      <c r="AQ496" s="61"/>
      <c r="AR496" s="61"/>
    </row>
    <row r="497">
      <c r="A497" s="95">
        <v>30.0</v>
      </c>
      <c r="B497" s="96" t="s">
        <v>3132</v>
      </c>
      <c r="C497" s="96" t="s">
        <v>3133</v>
      </c>
      <c r="D497" s="96" t="s">
        <v>3134</v>
      </c>
      <c r="E497" s="59"/>
      <c r="F497" s="79" t="s">
        <v>344</v>
      </c>
      <c r="G497" s="79" t="s">
        <v>123</v>
      </c>
      <c r="H497" s="79" t="s">
        <v>3135</v>
      </c>
      <c r="I497" s="79" t="s">
        <v>3136</v>
      </c>
      <c r="J497" s="79" t="s">
        <v>151</v>
      </c>
      <c r="K497" s="79" t="s">
        <v>110</v>
      </c>
      <c r="L497" s="79" t="s">
        <v>152</v>
      </c>
      <c r="M497" s="79" t="s">
        <v>3137</v>
      </c>
      <c r="N497" s="79" t="s">
        <v>73</v>
      </c>
      <c r="O497" s="79" t="s">
        <v>73</v>
      </c>
      <c r="P497" s="79" t="s">
        <v>145</v>
      </c>
      <c r="Q497" s="131" t="s">
        <v>3138</v>
      </c>
      <c r="R497" s="79" t="s">
        <v>76</v>
      </c>
      <c r="S497" s="79" t="s">
        <v>77</v>
      </c>
      <c r="T497" s="79">
        <v>2024.0</v>
      </c>
      <c r="U497" s="79" t="s">
        <v>78</v>
      </c>
      <c r="V497" s="79" t="s">
        <v>98</v>
      </c>
      <c r="W497" s="69"/>
      <c r="X497" s="69"/>
      <c r="Y497" s="69"/>
      <c r="Z497" s="69"/>
      <c r="AA497" s="79" t="s">
        <v>162</v>
      </c>
      <c r="AB497" s="79" t="s">
        <v>3139</v>
      </c>
      <c r="AC497" s="79">
        <v>8.2214119655E10</v>
      </c>
      <c r="AD497" s="79" t="s">
        <v>3140</v>
      </c>
      <c r="AE497" s="59"/>
      <c r="AF497" s="68" t="s">
        <v>152</v>
      </c>
      <c r="AG497" s="60"/>
      <c r="AH497" s="61"/>
      <c r="AI497" s="61"/>
      <c r="AJ497" s="61"/>
      <c r="AK497" s="61"/>
      <c r="AL497" s="61"/>
      <c r="AM497" s="61"/>
      <c r="AN497" s="61"/>
      <c r="AO497" s="61"/>
      <c r="AP497" s="61"/>
      <c r="AQ497" s="61"/>
      <c r="AR497" s="61"/>
    </row>
    <row r="498">
      <c r="A498" s="95">
        <v>31.0</v>
      </c>
      <c r="B498" s="96" t="s">
        <v>3090</v>
      </c>
      <c r="C498" s="96" t="s">
        <v>3141</v>
      </c>
      <c r="D498" s="96" t="s">
        <v>3092</v>
      </c>
      <c r="E498" s="59"/>
      <c r="F498" s="79" t="s">
        <v>344</v>
      </c>
      <c r="G498" s="79" t="s">
        <v>123</v>
      </c>
      <c r="H498" s="79" t="s">
        <v>3142</v>
      </c>
      <c r="I498" s="79" t="s">
        <v>3143</v>
      </c>
      <c r="J498" s="79" t="s">
        <v>69</v>
      </c>
      <c r="K498" s="79" t="s">
        <v>70</v>
      </c>
      <c r="L498" s="79" t="s">
        <v>111</v>
      </c>
      <c r="M498" s="79" t="s">
        <v>1096</v>
      </c>
      <c r="N498" s="79" t="s">
        <v>73</v>
      </c>
      <c r="O498" s="79" t="s">
        <v>73</v>
      </c>
      <c r="P498" s="79" t="s">
        <v>95</v>
      </c>
      <c r="Q498" s="69"/>
      <c r="R498" s="79" t="s">
        <v>76</v>
      </c>
      <c r="S498" s="79" t="s">
        <v>77</v>
      </c>
      <c r="T498" s="69"/>
      <c r="U498" s="79" t="s">
        <v>78</v>
      </c>
      <c r="V498" s="79" t="s">
        <v>98</v>
      </c>
      <c r="W498" s="69"/>
      <c r="X498" s="69"/>
      <c r="Y498" s="69"/>
      <c r="Z498" s="69"/>
      <c r="AA498" s="79" t="s">
        <v>162</v>
      </c>
      <c r="AB498" s="79" t="s">
        <v>3139</v>
      </c>
      <c r="AC498" s="79">
        <v>8.2214119655E10</v>
      </c>
      <c r="AD498" s="79" t="s">
        <v>3140</v>
      </c>
      <c r="AE498" s="59"/>
      <c r="AF498" s="68" t="s">
        <v>152</v>
      </c>
      <c r="AG498" s="60"/>
      <c r="AH498" s="61"/>
      <c r="AI498" s="61"/>
      <c r="AJ498" s="61"/>
      <c r="AK498" s="61"/>
      <c r="AL498" s="61"/>
      <c r="AM498" s="61"/>
      <c r="AN498" s="61"/>
      <c r="AO498" s="61"/>
      <c r="AP498" s="61"/>
      <c r="AQ498" s="61"/>
      <c r="AR498" s="61"/>
    </row>
    <row r="499">
      <c r="A499" s="71" t="s">
        <v>3144</v>
      </c>
      <c r="B499" s="57"/>
      <c r="C499" s="57"/>
      <c r="D499" s="58"/>
      <c r="E499" s="58"/>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94"/>
      <c r="AF499" s="94"/>
      <c r="AG499" s="60"/>
      <c r="AH499" s="60"/>
      <c r="AI499" s="60"/>
      <c r="AJ499" s="60"/>
      <c r="AK499" s="60"/>
      <c r="AL499" s="60"/>
      <c r="AM499" s="60"/>
      <c r="AN499" s="60"/>
      <c r="AO499" s="60"/>
      <c r="AP499" s="60"/>
      <c r="AQ499" s="60"/>
      <c r="AR499" s="61"/>
    </row>
    <row r="500">
      <c r="A500" s="95">
        <v>1.0</v>
      </c>
      <c r="B500" s="96" t="s">
        <v>2411</v>
      </c>
      <c r="C500" s="76" t="s">
        <v>2412</v>
      </c>
      <c r="D500" s="96" t="s">
        <v>2413</v>
      </c>
      <c r="E500" s="96" t="s">
        <v>88</v>
      </c>
      <c r="F500" s="79" t="s">
        <v>344</v>
      </c>
      <c r="G500" s="79" t="s">
        <v>66</v>
      </c>
      <c r="H500" s="79" t="s">
        <v>2415</v>
      </c>
      <c r="I500" s="96" t="s">
        <v>2416</v>
      </c>
      <c r="J500" s="79" t="s">
        <v>158</v>
      </c>
      <c r="K500" s="79" t="s">
        <v>70</v>
      </c>
      <c r="L500" s="79" t="s">
        <v>101</v>
      </c>
      <c r="M500" s="96" t="s">
        <v>3145</v>
      </c>
      <c r="N500" s="79" t="s">
        <v>93</v>
      </c>
      <c r="O500" s="79" t="s">
        <v>113</v>
      </c>
      <c r="P500" s="79" t="s">
        <v>153</v>
      </c>
      <c r="Q500" s="69"/>
      <c r="R500" s="79" t="s">
        <v>76</v>
      </c>
      <c r="S500" s="79" t="s">
        <v>77</v>
      </c>
      <c r="T500" s="79">
        <v>2023.0</v>
      </c>
      <c r="U500" s="79" t="s">
        <v>78</v>
      </c>
      <c r="V500" s="79" t="s">
        <v>98</v>
      </c>
      <c r="W500" s="79" t="s">
        <v>2419</v>
      </c>
      <c r="X500" s="79" t="s">
        <v>148</v>
      </c>
      <c r="Y500" s="79" t="s">
        <v>139</v>
      </c>
      <c r="Z500" s="79" t="s">
        <v>2859</v>
      </c>
      <c r="AA500" s="79" t="s">
        <v>162</v>
      </c>
      <c r="AB500" s="69"/>
      <c r="AC500" s="69"/>
      <c r="AD500" s="69"/>
      <c r="AE500" s="59"/>
      <c r="AF500" s="68" t="s">
        <v>71</v>
      </c>
      <c r="AG500" s="60"/>
      <c r="AH500" s="61"/>
      <c r="AI500" s="61"/>
      <c r="AJ500" s="61"/>
      <c r="AK500" s="61"/>
      <c r="AL500" s="61"/>
      <c r="AM500" s="61"/>
      <c r="AN500" s="61"/>
      <c r="AO500" s="61"/>
      <c r="AP500" s="61"/>
      <c r="AQ500" s="61"/>
      <c r="AR500" s="61"/>
    </row>
    <row r="501">
      <c r="A501" s="95">
        <v>2.0</v>
      </c>
      <c r="B501" s="79" t="s">
        <v>2449</v>
      </c>
      <c r="C501" s="79" t="s">
        <v>2450</v>
      </c>
      <c r="D501" s="79" t="s">
        <v>2451</v>
      </c>
      <c r="E501" s="59"/>
      <c r="F501" s="79" t="s">
        <v>444</v>
      </c>
      <c r="G501" s="79" t="s">
        <v>131</v>
      </c>
      <c r="H501" s="79" t="s">
        <v>2452</v>
      </c>
      <c r="I501" s="96" t="s">
        <v>2453</v>
      </c>
      <c r="J501" s="79" t="s">
        <v>69</v>
      </c>
      <c r="K501" s="79" t="s">
        <v>70</v>
      </c>
      <c r="L501" s="79" t="s">
        <v>71</v>
      </c>
      <c r="M501" s="96" t="s">
        <v>2454</v>
      </c>
      <c r="N501" s="79" t="s">
        <v>93</v>
      </c>
      <c r="O501" s="79" t="s">
        <v>94</v>
      </c>
      <c r="P501" s="79" t="s">
        <v>95</v>
      </c>
      <c r="Q501" s="131" t="s">
        <v>3146</v>
      </c>
      <c r="R501" s="79" t="s">
        <v>76</v>
      </c>
      <c r="S501" s="79" t="s">
        <v>97</v>
      </c>
      <c r="T501" s="79">
        <v>2023.0</v>
      </c>
      <c r="U501" s="79" t="s">
        <v>78</v>
      </c>
      <c r="V501" s="79" t="s">
        <v>79</v>
      </c>
      <c r="W501" s="79" t="s">
        <v>80</v>
      </c>
      <c r="X501" s="79" t="s">
        <v>80</v>
      </c>
      <c r="Y501" s="79" t="s">
        <v>80</v>
      </c>
      <c r="Z501" s="79" t="s">
        <v>2456</v>
      </c>
      <c r="AA501" s="79" t="s">
        <v>207</v>
      </c>
      <c r="AB501" s="69"/>
      <c r="AC501" s="69"/>
      <c r="AD501" s="69"/>
      <c r="AE501" s="59"/>
      <c r="AF501" s="79" t="s">
        <v>152</v>
      </c>
      <c r="AG501" s="60"/>
      <c r="AH501" s="61"/>
      <c r="AI501" s="61"/>
      <c r="AJ501" s="61"/>
      <c r="AK501" s="61"/>
      <c r="AL501" s="61"/>
      <c r="AM501" s="61"/>
      <c r="AN501" s="61"/>
      <c r="AO501" s="61"/>
      <c r="AP501" s="61"/>
      <c r="AQ501" s="61"/>
      <c r="AR501" s="61"/>
    </row>
    <row r="502">
      <c r="A502" s="95">
        <v>3.0</v>
      </c>
      <c r="B502" s="79" t="s">
        <v>2459</v>
      </c>
      <c r="C502" s="79" t="s">
        <v>2460</v>
      </c>
      <c r="D502" s="79" t="s">
        <v>2461</v>
      </c>
      <c r="E502" s="59"/>
      <c r="F502" s="79" t="s">
        <v>448</v>
      </c>
      <c r="G502" s="79" t="s">
        <v>123</v>
      </c>
      <c r="H502" s="79" t="s">
        <v>2462</v>
      </c>
      <c r="I502" s="96" t="s">
        <v>2463</v>
      </c>
      <c r="J502" s="79" t="s">
        <v>158</v>
      </c>
      <c r="K502" s="79" t="s">
        <v>110</v>
      </c>
      <c r="L502" s="79" t="s">
        <v>71</v>
      </c>
      <c r="M502" s="79" t="s">
        <v>2754</v>
      </c>
      <c r="N502" s="79" t="s">
        <v>26</v>
      </c>
      <c r="O502" s="79" t="s">
        <v>113</v>
      </c>
      <c r="P502" s="79" t="s">
        <v>95</v>
      </c>
      <c r="Q502" s="131" t="s">
        <v>3147</v>
      </c>
      <c r="R502" s="79" t="s">
        <v>76</v>
      </c>
      <c r="S502" s="79" t="s">
        <v>97</v>
      </c>
      <c r="T502" s="79">
        <v>2024.0</v>
      </c>
      <c r="U502" s="79" t="s">
        <v>78</v>
      </c>
      <c r="V502" s="79" t="s">
        <v>79</v>
      </c>
      <c r="W502" s="79" t="s">
        <v>80</v>
      </c>
      <c r="X502" s="79" t="s">
        <v>80</v>
      </c>
      <c r="Y502" s="79" t="s">
        <v>80</v>
      </c>
      <c r="Z502" s="79" t="s">
        <v>2466</v>
      </c>
      <c r="AA502" s="79" t="s">
        <v>209</v>
      </c>
      <c r="AB502" s="69"/>
      <c r="AC502" s="69"/>
      <c r="AD502" s="69"/>
      <c r="AE502" s="59"/>
      <c r="AF502" s="79" t="s">
        <v>71</v>
      </c>
      <c r="AG502" s="60"/>
      <c r="AH502" s="61"/>
      <c r="AI502" s="61"/>
      <c r="AJ502" s="61"/>
      <c r="AK502" s="61"/>
      <c r="AL502" s="61"/>
      <c r="AM502" s="61"/>
      <c r="AN502" s="61"/>
      <c r="AO502" s="61"/>
      <c r="AP502" s="61"/>
      <c r="AQ502" s="61"/>
      <c r="AR502" s="61"/>
    </row>
    <row r="503">
      <c r="A503" s="95">
        <v>4.0</v>
      </c>
      <c r="B503" s="79" t="s">
        <v>2469</v>
      </c>
      <c r="C503" s="79" t="s">
        <v>2470</v>
      </c>
      <c r="D503" s="79" t="s">
        <v>2471</v>
      </c>
      <c r="E503" s="59"/>
      <c r="F503" s="79" t="s">
        <v>446</v>
      </c>
      <c r="G503" s="79" t="s">
        <v>123</v>
      </c>
      <c r="H503" s="79" t="s">
        <v>2472</v>
      </c>
      <c r="I503" s="96" t="s">
        <v>2473</v>
      </c>
      <c r="J503" s="79" t="s">
        <v>151</v>
      </c>
      <c r="K503" s="79" t="s">
        <v>70</v>
      </c>
      <c r="L503" s="79" t="s">
        <v>71</v>
      </c>
      <c r="M503" s="79" t="s">
        <v>607</v>
      </c>
      <c r="N503" s="79" t="s">
        <v>73</v>
      </c>
      <c r="O503" s="79" t="s">
        <v>73</v>
      </c>
      <c r="P503" s="79" t="s">
        <v>95</v>
      </c>
      <c r="Q503" s="131" t="s">
        <v>3148</v>
      </c>
      <c r="R503" s="79" t="s">
        <v>76</v>
      </c>
      <c r="S503" s="79" t="s">
        <v>97</v>
      </c>
      <c r="T503" s="79">
        <v>2021.0</v>
      </c>
      <c r="U503" s="79" t="s">
        <v>78</v>
      </c>
      <c r="V503" s="79" t="s">
        <v>98</v>
      </c>
      <c r="W503" s="79" t="s">
        <v>2475</v>
      </c>
      <c r="X503" s="79" t="s">
        <v>148</v>
      </c>
      <c r="Y503" s="69"/>
      <c r="Z503" s="79" t="s">
        <v>2476</v>
      </c>
      <c r="AA503" s="79" t="s">
        <v>207</v>
      </c>
      <c r="AB503" s="69"/>
      <c r="AC503" s="69"/>
      <c r="AD503" s="69"/>
      <c r="AE503" s="59"/>
      <c r="AF503" s="79" t="s">
        <v>152</v>
      </c>
      <c r="AG503" s="60"/>
      <c r="AH503" s="61"/>
      <c r="AI503" s="61"/>
      <c r="AJ503" s="61"/>
      <c r="AK503" s="61"/>
      <c r="AL503" s="61"/>
      <c r="AM503" s="61"/>
      <c r="AN503" s="61"/>
      <c r="AO503" s="61"/>
      <c r="AP503" s="61"/>
      <c r="AQ503" s="61"/>
      <c r="AR503" s="61"/>
    </row>
    <row r="504">
      <c r="A504" s="95">
        <v>5.0</v>
      </c>
      <c r="B504" s="79" t="s">
        <v>2481</v>
      </c>
      <c r="C504" s="79" t="s">
        <v>2482</v>
      </c>
      <c r="D504" s="79" t="s">
        <v>2483</v>
      </c>
      <c r="E504" s="59"/>
      <c r="F504" s="79" t="s">
        <v>446</v>
      </c>
      <c r="G504" s="79" t="s">
        <v>138</v>
      </c>
      <c r="H504" s="79" t="s">
        <v>2484</v>
      </c>
      <c r="I504" s="96" t="s">
        <v>2485</v>
      </c>
      <c r="J504" s="79" t="s">
        <v>91</v>
      </c>
      <c r="K504" s="79" t="s">
        <v>70</v>
      </c>
      <c r="L504" s="79" t="s">
        <v>71</v>
      </c>
      <c r="M504" s="79" t="s">
        <v>2486</v>
      </c>
      <c r="N504" s="79" t="s">
        <v>73</v>
      </c>
      <c r="O504" s="79" t="s">
        <v>73</v>
      </c>
      <c r="P504" s="79" t="s">
        <v>95</v>
      </c>
      <c r="Q504" s="131" t="s">
        <v>3149</v>
      </c>
      <c r="R504" s="79" t="s">
        <v>76</v>
      </c>
      <c r="S504" s="79" t="s">
        <v>97</v>
      </c>
      <c r="T504" s="79">
        <v>2010.0</v>
      </c>
      <c r="U504" s="79" t="s">
        <v>78</v>
      </c>
      <c r="V504" s="79" t="s">
        <v>98</v>
      </c>
      <c r="W504" s="79" t="s">
        <v>2488</v>
      </c>
      <c r="X504" s="79" t="s">
        <v>155</v>
      </c>
      <c r="Y504" s="79" t="s">
        <v>139</v>
      </c>
      <c r="Z504" s="79" t="s">
        <v>2489</v>
      </c>
      <c r="AA504" s="79" t="s">
        <v>140</v>
      </c>
      <c r="AB504" s="69"/>
      <c r="AC504" s="69"/>
      <c r="AD504" s="69"/>
      <c r="AE504" s="59"/>
      <c r="AF504" s="79" t="s">
        <v>566</v>
      </c>
      <c r="AG504" s="60"/>
      <c r="AH504" s="61"/>
      <c r="AI504" s="61"/>
      <c r="AJ504" s="61"/>
      <c r="AK504" s="61"/>
      <c r="AL504" s="61"/>
      <c r="AM504" s="61"/>
      <c r="AN504" s="61"/>
      <c r="AO504" s="61"/>
      <c r="AP504" s="61"/>
      <c r="AQ504" s="61"/>
      <c r="AR504" s="61"/>
    </row>
    <row r="505">
      <c r="A505" s="95">
        <v>6.0</v>
      </c>
      <c r="B505" s="79" t="s">
        <v>2492</v>
      </c>
      <c r="C505" s="79" t="s">
        <v>2493</v>
      </c>
      <c r="D505" s="79" t="s">
        <v>2494</v>
      </c>
      <c r="E505" s="59"/>
      <c r="F505" s="79" t="s">
        <v>470</v>
      </c>
      <c r="G505" s="79" t="s">
        <v>123</v>
      </c>
      <c r="H505" s="79" t="s">
        <v>2495</v>
      </c>
      <c r="I505" s="96" t="s">
        <v>2496</v>
      </c>
      <c r="J505" s="79" t="s">
        <v>69</v>
      </c>
      <c r="K505" s="79" t="s">
        <v>110</v>
      </c>
      <c r="L505" s="79" t="s">
        <v>101</v>
      </c>
      <c r="M505" s="79" t="s">
        <v>558</v>
      </c>
      <c r="N505" s="79" t="s">
        <v>26</v>
      </c>
      <c r="O505" s="79" t="s">
        <v>113</v>
      </c>
      <c r="P505" s="79" t="s">
        <v>95</v>
      </c>
      <c r="Q505" s="131" t="s">
        <v>3150</v>
      </c>
      <c r="R505" s="79" t="s">
        <v>76</v>
      </c>
      <c r="S505" s="79" t="s">
        <v>97</v>
      </c>
      <c r="T505" s="79">
        <v>2023.0</v>
      </c>
      <c r="U505" s="79" t="s">
        <v>78</v>
      </c>
      <c r="V505" s="79" t="s">
        <v>79</v>
      </c>
      <c r="W505" s="79" t="s">
        <v>80</v>
      </c>
      <c r="X505" s="79" t="s">
        <v>80</v>
      </c>
      <c r="Y505" s="79" t="s">
        <v>80</v>
      </c>
      <c r="Z505" s="79" t="s">
        <v>2456</v>
      </c>
      <c r="AA505" s="79" t="s">
        <v>156</v>
      </c>
      <c r="AB505" s="69"/>
      <c r="AC505" s="69"/>
      <c r="AD505" s="69"/>
      <c r="AE505" s="59"/>
      <c r="AF505" s="79" t="s">
        <v>566</v>
      </c>
      <c r="AG505" s="60"/>
      <c r="AH505" s="61"/>
      <c r="AI505" s="61"/>
      <c r="AJ505" s="61"/>
      <c r="AK505" s="61"/>
      <c r="AL505" s="61"/>
      <c r="AM505" s="61"/>
      <c r="AN505" s="61"/>
      <c r="AO505" s="61"/>
      <c r="AP505" s="61"/>
      <c r="AQ505" s="61"/>
      <c r="AR505" s="61"/>
    </row>
    <row r="506">
      <c r="A506" s="95">
        <v>7.0</v>
      </c>
      <c r="B506" s="79" t="s">
        <v>2500</v>
      </c>
      <c r="C506" s="79" t="s">
        <v>2501</v>
      </c>
      <c r="D506" s="79" t="s">
        <v>2502</v>
      </c>
      <c r="E506" s="79" t="s">
        <v>2503</v>
      </c>
      <c r="F506" s="79" t="s">
        <v>444</v>
      </c>
      <c r="G506" s="79" t="s">
        <v>123</v>
      </c>
      <c r="H506" s="79" t="s">
        <v>2504</v>
      </c>
      <c r="I506" s="96" t="s">
        <v>2505</v>
      </c>
      <c r="J506" s="79" t="s">
        <v>91</v>
      </c>
      <c r="K506" s="79" t="s">
        <v>110</v>
      </c>
      <c r="L506" s="79" t="s">
        <v>71</v>
      </c>
      <c r="M506" s="79" t="s">
        <v>593</v>
      </c>
      <c r="N506" s="79" t="s">
        <v>26</v>
      </c>
      <c r="O506" s="79" t="s">
        <v>113</v>
      </c>
      <c r="P506" s="79" t="s">
        <v>95</v>
      </c>
      <c r="Q506" s="131" t="s">
        <v>3151</v>
      </c>
      <c r="R506" s="79" t="s">
        <v>76</v>
      </c>
      <c r="S506" s="79" t="s">
        <v>77</v>
      </c>
      <c r="T506" s="79">
        <v>2018.0</v>
      </c>
      <c r="U506" s="79" t="s">
        <v>78</v>
      </c>
      <c r="V506" s="79" t="s">
        <v>98</v>
      </c>
      <c r="W506" s="79" t="s">
        <v>80</v>
      </c>
      <c r="X506" s="79" t="s">
        <v>80</v>
      </c>
      <c r="Y506" s="79" t="s">
        <v>152</v>
      </c>
      <c r="Z506" s="79" t="s">
        <v>2456</v>
      </c>
      <c r="AA506" s="79" t="s">
        <v>209</v>
      </c>
      <c r="AB506" s="69"/>
      <c r="AC506" s="69"/>
      <c r="AD506" s="69"/>
      <c r="AE506" s="59"/>
      <c r="AF506" s="79" t="s">
        <v>152</v>
      </c>
      <c r="AG506" s="60"/>
      <c r="AH506" s="61"/>
      <c r="AI506" s="61"/>
      <c r="AJ506" s="61"/>
      <c r="AK506" s="61"/>
      <c r="AL506" s="61"/>
      <c r="AM506" s="61"/>
      <c r="AN506" s="61"/>
      <c r="AO506" s="61"/>
      <c r="AP506" s="61"/>
      <c r="AQ506" s="61"/>
      <c r="AR506" s="61"/>
    </row>
    <row r="507">
      <c r="A507" s="95">
        <v>8.0</v>
      </c>
      <c r="B507" s="79" t="s">
        <v>2510</v>
      </c>
      <c r="C507" s="79" t="s">
        <v>2511</v>
      </c>
      <c r="D507" s="79" t="s">
        <v>2512</v>
      </c>
      <c r="E507" s="59"/>
      <c r="F507" s="79" t="s">
        <v>107</v>
      </c>
      <c r="G507" s="79" t="s">
        <v>123</v>
      </c>
      <c r="H507" s="79" t="s">
        <v>502</v>
      </c>
      <c r="I507" s="79" t="s">
        <v>502</v>
      </c>
      <c r="J507" s="79" t="s">
        <v>91</v>
      </c>
      <c r="K507" s="79" t="s">
        <v>110</v>
      </c>
      <c r="L507" s="79" t="s">
        <v>71</v>
      </c>
      <c r="M507" s="79" t="s">
        <v>503</v>
      </c>
      <c r="N507" s="79" t="s">
        <v>82</v>
      </c>
      <c r="O507" s="79" t="s">
        <v>113</v>
      </c>
      <c r="P507" s="79" t="s">
        <v>95</v>
      </c>
      <c r="Q507" s="131" t="s">
        <v>3152</v>
      </c>
      <c r="R507" s="79" t="s">
        <v>76</v>
      </c>
      <c r="S507" s="79" t="s">
        <v>97</v>
      </c>
      <c r="T507" s="79">
        <v>2021.0</v>
      </c>
      <c r="U507" s="79" t="s">
        <v>78</v>
      </c>
      <c r="V507" s="79" t="s">
        <v>98</v>
      </c>
      <c r="W507" s="79" t="s">
        <v>2514</v>
      </c>
      <c r="X507" s="79" t="s">
        <v>148</v>
      </c>
      <c r="Y507" s="79" t="s">
        <v>139</v>
      </c>
      <c r="Z507" s="79" t="s">
        <v>2489</v>
      </c>
      <c r="AA507" s="79" t="s">
        <v>82</v>
      </c>
      <c r="AB507" s="69"/>
      <c r="AC507" s="69"/>
      <c r="AD507" s="69"/>
      <c r="AE507" s="59"/>
      <c r="AF507" s="79" t="s">
        <v>566</v>
      </c>
      <c r="AG507" s="60"/>
      <c r="AH507" s="61"/>
      <c r="AI507" s="61"/>
      <c r="AJ507" s="61"/>
      <c r="AK507" s="61"/>
      <c r="AL507" s="61"/>
      <c r="AM507" s="61"/>
      <c r="AN507" s="61"/>
      <c r="AO507" s="61"/>
      <c r="AP507" s="61"/>
      <c r="AQ507" s="61"/>
      <c r="AR507" s="61"/>
    </row>
    <row r="508">
      <c r="A508" s="95">
        <v>9.0</v>
      </c>
      <c r="B508" s="79" t="s">
        <v>2522</v>
      </c>
      <c r="C508" s="219" t="s">
        <v>2523</v>
      </c>
      <c r="D508" s="79" t="s">
        <v>2524</v>
      </c>
      <c r="E508" s="79" t="s">
        <v>2525</v>
      </c>
      <c r="F508" s="79" t="s">
        <v>344</v>
      </c>
      <c r="G508" s="79" t="s">
        <v>66</v>
      </c>
      <c r="H508" s="79" t="s">
        <v>2526</v>
      </c>
      <c r="I508" s="96" t="s">
        <v>2527</v>
      </c>
      <c r="J508" s="79" t="s">
        <v>151</v>
      </c>
      <c r="K508" s="79" t="s">
        <v>70</v>
      </c>
      <c r="L508" s="79" t="s">
        <v>71</v>
      </c>
      <c r="M508" s="79" t="s">
        <v>2528</v>
      </c>
      <c r="N508" s="79" t="s">
        <v>73</v>
      </c>
      <c r="O508" s="79" t="s">
        <v>73</v>
      </c>
      <c r="P508" s="79" t="s">
        <v>95</v>
      </c>
      <c r="Q508" s="131" t="s">
        <v>3153</v>
      </c>
      <c r="R508" s="79" t="s">
        <v>76</v>
      </c>
      <c r="S508" s="79" t="s">
        <v>97</v>
      </c>
      <c r="T508" s="79">
        <v>2016.0</v>
      </c>
      <c r="U508" s="79" t="s">
        <v>78</v>
      </c>
      <c r="V508" s="79" t="s">
        <v>79</v>
      </c>
      <c r="W508" s="79" t="s">
        <v>2520</v>
      </c>
      <c r="X508" s="79" t="s">
        <v>80</v>
      </c>
      <c r="Y508" s="79" t="s">
        <v>80</v>
      </c>
      <c r="Z508" s="79" t="s">
        <v>2530</v>
      </c>
      <c r="AA508" s="79" t="s">
        <v>162</v>
      </c>
      <c r="AB508" s="69"/>
      <c r="AC508" s="69"/>
      <c r="AD508" s="69"/>
      <c r="AE508" s="59"/>
      <c r="AF508" s="79" t="s">
        <v>566</v>
      </c>
      <c r="AG508" s="60"/>
      <c r="AH508" s="61"/>
      <c r="AI508" s="61"/>
      <c r="AJ508" s="61"/>
      <c r="AK508" s="61"/>
      <c r="AL508" s="61"/>
      <c r="AM508" s="61"/>
      <c r="AN508" s="61"/>
      <c r="AO508" s="61"/>
      <c r="AP508" s="61"/>
      <c r="AQ508" s="61"/>
      <c r="AR508" s="61"/>
    </row>
    <row r="509">
      <c r="A509" s="95">
        <v>10.0</v>
      </c>
      <c r="B509" s="79" t="s">
        <v>2531</v>
      </c>
      <c r="C509" s="79" t="s">
        <v>2532</v>
      </c>
      <c r="D509" s="79" t="s">
        <v>2533</v>
      </c>
      <c r="E509" s="59"/>
      <c r="F509" s="79" t="s">
        <v>453</v>
      </c>
      <c r="G509" s="79" t="s">
        <v>131</v>
      </c>
      <c r="H509" s="79" t="s">
        <v>2534</v>
      </c>
      <c r="I509" s="96" t="s">
        <v>2505</v>
      </c>
      <c r="J509" s="79" t="s">
        <v>151</v>
      </c>
      <c r="K509" s="79" t="s">
        <v>70</v>
      </c>
      <c r="L509" s="79" t="s">
        <v>71</v>
      </c>
      <c r="M509" s="79" t="s">
        <v>586</v>
      </c>
      <c r="N509" s="79" t="s">
        <v>73</v>
      </c>
      <c r="O509" s="79" t="s">
        <v>73</v>
      </c>
      <c r="P509" s="79" t="s">
        <v>95</v>
      </c>
      <c r="Q509" s="131" t="s">
        <v>3154</v>
      </c>
      <c r="R509" s="79" t="s">
        <v>76</v>
      </c>
      <c r="S509" s="79" t="s">
        <v>77</v>
      </c>
      <c r="T509" s="79">
        <v>2025.0</v>
      </c>
      <c r="U509" s="79" t="s">
        <v>78</v>
      </c>
      <c r="V509" s="79" t="s">
        <v>98</v>
      </c>
      <c r="W509" s="79" t="s">
        <v>2536</v>
      </c>
      <c r="X509" s="79" t="s">
        <v>148</v>
      </c>
      <c r="Y509" s="79" t="s">
        <v>152</v>
      </c>
      <c r="Z509" s="79" t="s">
        <v>2456</v>
      </c>
      <c r="AA509" s="79" t="s">
        <v>207</v>
      </c>
      <c r="AB509" s="69"/>
      <c r="AC509" s="69"/>
      <c r="AD509" s="69"/>
      <c r="AE509" s="59"/>
      <c r="AF509" s="79" t="s">
        <v>111</v>
      </c>
      <c r="AG509" s="60"/>
      <c r="AH509" s="61"/>
      <c r="AI509" s="61"/>
      <c r="AJ509" s="61"/>
      <c r="AK509" s="61"/>
      <c r="AL509" s="61"/>
      <c r="AM509" s="61"/>
      <c r="AN509" s="61"/>
      <c r="AO509" s="61"/>
      <c r="AP509" s="61"/>
      <c r="AQ509" s="61"/>
      <c r="AR509" s="61"/>
    </row>
    <row r="510">
      <c r="A510" s="95">
        <v>11.0</v>
      </c>
      <c r="B510" s="79" t="s">
        <v>2540</v>
      </c>
      <c r="C510" s="79" t="s">
        <v>2541</v>
      </c>
      <c r="D510" s="79" t="s">
        <v>2542</v>
      </c>
      <c r="E510" s="59"/>
      <c r="F510" s="79" t="s">
        <v>453</v>
      </c>
      <c r="G510" s="79" t="s">
        <v>123</v>
      </c>
      <c r="H510" s="79" t="s">
        <v>2543</v>
      </c>
      <c r="I510" s="96" t="s">
        <v>2505</v>
      </c>
      <c r="J510" s="79" t="s">
        <v>151</v>
      </c>
      <c r="K510" s="79" t="s">
        <v>110</v>
      </c>
      <c r="L510" s="79" t="s">
        <v>152</v>
      </c>
      <c r="M510" s="79" t="s">
        <v>579</v>
      </c>
      <c r="N510" s="79" t="s">
        <v>82</v>
      </c>
      <c r="O510" s="79" t="s">
        <v>113</v>
      </c>
      <c r="P510" s="79" t="s">
        <v>95</v>
      </c>
      <c r="Q510" s="131" t="s">
        <v>3155</v>
      </c>
      <c r="R510" s="79" t="s">
        <v>76</v>
      </c>
      <c r="S510" s="79" t="s">
        <v>97</v>
      </c>
      <c r="T510" s="79">
        <v>2022.0</v>
      </c>
      <c r="U510" s="79" t="s">
        <v>78</v>
      </c>
      <c r="V510" s="79" t="s">
        <v>98</v>
      </c>
      <c r="W510" s="69"/>
      <c r="X510" s="79" t="s">
        <v>148</v>
      </c>
      <c r="Y510" s="79" t="s">
        <v>152</v>
      </c>
      <c r="Z510" s="79" t="s">
        <v>2456</v>
      </c>
      <c r="AA510" s="79" t="s">
        <v>207</v>
      </c>
      <c r="AB510" s="69"/>
      <c r="AC510" s="69"/>
      <c r="AD510" s="69"/>
      <c r="AE510" s="59"/>
      <c r="AF510" s="79" t="s">
        <v>152</v>
      </c>
      <c r="AG510" s="60"/>
      <c r="AH510" s="61"/>
      <c r="AI510" s="61"/>
      <c r="AJ510" s="61"/>
      <c r="AK510" s="61"/>
      <c r="AL510" s="61"/>
      <c r="AM510" s="61"/>
      <c r="AN510" s="61"/>
      <c r="AO510" s="61"/>
      <c r="AP510" s="61"/>
      <c r="AQ510" s="61"/>
      <c r="AR510" s="61"/>
    </row>
    <row r="511">
      <c r="A511" s="95">
        <v>12.0</v>
      </c>
      <c r="B511" s="79" t="s">
        <v>2559</v>
      </c>
      <c r="C511" s="79" t="s">
        <v>2560</v>
      </c>
      <c r="D511" s="79" t="s">
        <v>2561</v>
      </c>
      <c r="E511" s="59"/>
      <c r="F511" s="79" t="s">
        <v>344</v>
      </c>
      <c r="G511" s="79" t="s">
        <v>66</v>
      </c>
      <c r="H511" s="79" t="s">
        <v>2563</v>
      </c>
      <c r="I511" s="96" t="s">
        <v>2564</v>
      </c>
      <c r="J511" s="79" t="s">
        <v>151</v>
      </c>
      <c r="K511" s="79" t="s">
        <v>70</v>
      </c>
      <c r="L511" s="79" t="s">
        <v>101</v>
      </c>
      <c r="M511" s="79" t="s">
        <v>1096</v>
      </c>
      <c r="N511" s="79" t="s">
        <v>73</v>
      </c>
      <c r="O511" s="79" t="s">
        <v>73</v>
      </c>
      <c r="P511" s="79" t="s">
        <v>74</v>
      </c>
      <c r="Q511" s="131" t="s">
        <v>3156</v>
      </c>
      <c r="R511" s="79" t="s">
        <v>76</v>
      </c>
      <c r="S511" s="79" t="s">
        <v>97</v>
      </c>
      <c r="T511" s="79">
        <v>2018.0</v>
      </c>
      <c r="U511" s="79" t="s">
        <v>154</v>
      </c>
      <c r="V511" s="79" t="s">
        <v>98</v>
      </c>
      <c r="W511" s="79" t="s">
        <v>2566</v>
      </c>
      <c r="X511" s="79" t="s">
        <v>100</v>
      </c>
      <c r="Y511" s="79" t="s">
        <v>139</v>
      </c>
      <c r="Z511" s="79" t="s">
        <v>2567</v>
      </c>
      <c r="AA511" s="79" t="s">
        <v>162</v>
      </c>
      <c r="AB511" s="69"/>
      <c r="AC511" s="69"/>
      <c r="AD511" s="69"/>
      <c r="AE511" s="59"/>
      <c r="AF511" s="79" t="s">
        <v>566</v>
      </c>
      <c r="AG511" s="60"/>
      <c r="AH511" s="61"/>
      <c r="AI511" s="61"/>
      <c r="AJ511" s="61"/>
      <c r="AK511" s="61"/>
      <c r="AL511" s="61"/>
      <c r="AM511" s="61"/>
      <c r="AN511" s="61"/>
      <c r="AO511" s="61"/>
      <c r="AP511" s="61"/>
      <c r="AQ511" s="61"/>
      <c r="AR511" s="61"/>
    </row>
    <row r="512">
      <c r="A512" s="95">
        <v>13.0</v>
      </c>
      <c r="B512" s="79" t="s">
        <v>2570</v>
      </c>
      <c r="C512" s="79" t="s">
        <v>2571</v>
      </c>
      <c r="D512" s="79" t="s">
        <v>2572</v>
      </c>
      <c r="E512" s="59"/>
      <c r="F512" s="79" t="s">
        <v>469</v>
      </c>
      <c r="G512" s="79" t="s">
        <v>131</v>
      </c>
      <c r="H512" s="79" t="s">
        <v>2573</v>
      </c>
      <c r="I512" s="96" t="s">
        <v>2574</v>
      </c>
      <c r="J512" s="79" t="s">
        <v>151</v>
      </c>
      <c r="K512" s="79" t="s">
        <v>70</v>
      </c>
      <c r="L512" s="79" t="s">
        <v>152</v>
      </c>
      <c r="M512" s="79" t="s">
        <v>2575</v>
      </c>
      <c r="N512" s="79" t="s">
        <v>26</v>
      </c>
      <c r="O512" s="79" t="s">
        <v>113</v>
      </c>
      <c r="P512" s="79" t="s">
        <v>95</v>
      </c>
      <c r="Q512" s="131" t="s">
        <v>3157</v>
      </c>
      <c r="R512" s="79" t="s">
        <v>76</v>
      </c>
      <c r="S512" s="79" t="s">
        <v>97</v>
      </c>
      <c r="T512" s="79">
        <v>2018.0</v>
      </c>
      <c r="U512" s="79" t="s">
        <v>78</v>
      </c>
      <c r="V512" s="79" t="s">
        <v>98</v>
      </c>
      <c r="W512" s="79" t="s">
        <v>2577</v>
      </c>
      <c r="X512" s="79" t="s">
        <v>155</v>
      </c>
      <c r="Y512" s="79" t="s">
        <v>101</v>
      </c>
      <c r="Z512" s="79" t="s">
        <v>2521</v>
      </c>
      <c r="AA512" s="79" t="s">
        <v>211</v>
      </c>
      <c r="AB512" s="69"/>
      <c r="AC512" s="69"/>
      <c r="AD512" s="69"/>
      <c r="AE512" s="59"/>
      <c r="AF512" s="79" t="s">
        <v>71</v>
      </c>
      <c r="AG512" s="60"/>
      <c r="AH512" s="61"/>
      <c r="AI512" s="61"/>
      <c r="AJ512" s="61"/>
      <c r="AK512" s="61"/>
      <c r="AL512" s="61"/>
      <c r="AM512" s="61"/>
      <c r="AN512" s="61"/>
      <c r="AO512" s="61"/>
      <c r="AP512" s="61"/>
      <c r="AQ512" s="61"/>
      <c r="AR512" s="61"/>
    </row>
    <row r="513">
      <c r="A513" s="95">
        <v>14.0</v>
      </c>
      <c r="B513" s="79" t="s">
        <v>2580</v>
      </c>
      <c r="C513" s="79" t="s">
        <v>2581</v>
      </c>
      <c r="D513" s="79" t="s">
        <v>2572</v>
      </c>
      <c r="E513" s="59"/>
      <c r="F513" s="79" t="s">
        <v>469</v>
      </c>
      <c r="G513" s="79" t="s">
        <v>131</v>
      </c>
      <c r="H513" s="79" t="s">
        <v>2582</v>
      </c>
      <c r="I513" s="96" t="s">
        <v>2582</v>
      </c>
      <c r="J513" s="79" t="s">
        <v>151</v>
      </c>
      <c r="K513" s="79" t="s">
        <v>70</v>
      </c>
      <c r="L513" s="79" t="s">
        <v>71</v>
      </c>
      <c r="M513" s="79" t="s">
        <v>2350</v>
      </c>
      <c r="N513" s="79" t="s">
        <v>26</v>
      </c>
      <c r="O513" s="79" t="s">
        <v>113</v>
      </c>
      <c r="P513" s="79" t="s">
        <v>145</v>
      </c>
      <c r="Q513" s="220" t="s">
        <v>2350</v>
      </c>
      <c r="R513" s="79" t="s">
        <v>76</v>
      </c>
      <c r="S513" s="79" t="s">
        <v>97</v>
      </c>
      <c r="T513" s="69"/>
      <c r="U513" s="79" t="s">
        <v>78</v>
      </c>
      <c r="V513" s="79" t="s">
        <v>98</v>
      </c>
      <c r="W513" s="79" t="s">
        <v>2583</v>
      </c>
      <c r="X513" s="79" t="s">
        <v>148</v>
      </c>
      <c r="Y513" s="79" t="s">
        <v>71</v>
      </c>
      <c r="Z513" s="79" t="s">
        <v>2521</v>
      </c>
      <c r="AA513" s="79" t="s">
        <v>82</v>
      </c>
      <c r="AB513" s="69"/>
      <c r="AC513" s="69"/>
      <c r="AD513" s="69"/>
      <c r="AE513" s="59"/>
      <c r="AF513" s="79" t="s">
        <v>71</v>
      </c>
      <c r="AG513" s="60"/>
      <c r="AH513" s="61"/>
      <c r="AI513" s="61"/>
      <c r="AJ513" s="61"/>
      <c r="AK513" s="61"/>
      <c r="AL513" s="61"/>
      <c r="AM513" s="61"/>
      <c r="AN513" s="61"/>
      <c r="AO513" s="61"/>
      <c r="AP513" s="61"/>
      <c r="AQ513" s="61"/>
      <c r="AR513" s="61"/>
    </row>
    <row r="514">
      <c r="A514" s="95">
        <v>15.0</v>
      </c>
      <c r="B514" s="79" t="s">
        <v>2585</v>
      </c>
      <c r="C514" s="79" t="s">
        <v>2586</v>
      </c>
      <c r="D514" s="59"/>
      <c r="E514" s="59"/>
      <c r="F514" s="79" t="s">
        <v>468</v>
      </c>
      <c r="G514" s="79" t="s">
        <v>131</v>
      </c>
      <c r="H514" s="79" t="s">
        <v>2587</v>
      </c>
      <c r="I514" s="96" t="s">
        <v>2587</v>
      </c>
      <c r="J514" s="79" t="s">
        <v>151</v>
      </c>
      <c r="K514" s="79" t="s">
        <v>110</v>
      </c>
      <c r="L514" s="79" t="s">
        <v>71</v>
      </c>
      <c r="M514" s="79" t="s">
        <v>2715</v>
      </c>
      <c r="N514" s="79" t="s">
        <v>26</v>
      </c>
      <c r="O514" s="79" t="s">
        <v>113</v>
      </c>
      <c r="P514" s="79" t="s">
        <v>74</v>
      </c>
      <c r="Q514" s="131" t="s">
        <v>3158</v>
      </c>
      <c r="R514" s="79" t="s">
        <v>76</v>
      </c>
      <c r="S514" s="79" t="s">
        <v>97</v>
      </c>
      <c r="T514" s="69"/>
      <c r="U514" s="79" t="s">
        <v>78</v>
      </c>
      <c r="V514" s="79" t="s">
        <v>79</v>
      </c>
      <c r="W514" s="79" t="s">
        <v>943</v>
      </c>
      <c r="X514" s="79" t="s">
        <v>80</v>
      </c>
      <c r="Y514" s="79" t="s">
        <v>80</v>
      </c>
      <c r="Z514" s="79" t="s">
        <v>2590</v>
      </c>
      <c r="AA514" s="79" t="s">
        <v>82</v>
      </c>
      <c r="AB514" s="69"/>
      <c r="AC514" s="69"/>
      <c r="AD514" s="69"/>
      <c r="AE514" s="59"/>
      <c r="AF514" s="79" t="s">
        <v>71</v>
      </c>
      <c r="AG514" s="60"/>
      <c r="AH514" s="61"/>
      <c r="AI514" s="61"/>
      <c r="AJ514" s="61"/>
      <c r="AK514" s="61"/>
      <c r="AL514" s="61"/>
      <c r="AM514" s="61"/>
      <c r="AN514" s="61"/>
      <c r="AO514" s="61"/>
      <c r="AP514" s="61"/>
      <c r="AQ514" s="61"/>
      <c r="AR514" s="61"/>
    </row>
    <row r="515">
      <c r="A515" s="95">
        <v>16.0</v>
      </c>
      <c r="B515" s="79" t="s">
        <v>2592</v>
      </c>
      <c r="C515" s="79" t="s">
        <v>2592</v>
      </c>
      <c r="D515" s="79" t="s">
        <v>2572</v>
      </c>
      <c r="E515" s="59"/>
      <c r="F515" s="79" t="s">
        <v>469</v>
      </c>
      <c r="G515" s="79" t="s">
        <v>131</v>
      </c>
      <c r="H515" s="79" t="s">
        <v>2593</v>
      </c>
      <c r="I515" s="96" t="s">
        <v>2593</v>
      </c>
      <c r="J515" s="79" t="s">
        <v>151</v>
      </c>
      <c r="K515" s="79" t="s">
        <v>110</v>
      </c>
      <c r="L515" s="79" t="s">
        <v>71</v>
      </c>
      <c r="M515" s="79" t="s">
        <v>2186</v>
      </c>
      <c r="N515" s="79" t="s">
        <v>82</v>
      </c>
      <c r="O515" s="79" t="s">
        <v>113</v>
      </c>
      <c r="P515" s="79" t="s">
        <v>74</v>
      </c>
      <c r="Q515" s="131" t="s">
        <v>3159</v>
      </c>
      <c r="R515" s="79" t="s">
        <v>76</v>
      </c>
      <c r="S515" s="79" t="s">
        <v>97</v>
      </c>
      <c r="T515" s="69"/>
      <c r="U515" s="79" t="s">
        <v>78</v>
      </c>
      <c r="V515" s="79" t="s">
        <v>98</v>
      </c>
      <c r="W515" s="79" t="s">
        <v>2595</v>
      </c>
      <c r="X515" s="79" t="s">
        <v>148</v>
      </c>
      <c r="Y515" s="79" t="s">
        <v>139</v>
      </c>
      <c r="Z515" s="79" t="s">
        <v>2590</v>
      </c>
      <c r="AA515" s="79" t="s">
        <v>211</v>
      </c>
      <c r="AB515" s="69"/>
      <c r="AC515" s="69"/>
      <c r="AD515" s="69"/>
      <c r="AE515" s="59"/>
      <c r="AF515" s="79" t="s">
        <v>71</v>
      </c>
      <c r="AG515" s="60"/>
      <c r="AH515" s="61"/>
      <c r="AI515" s="61"/>
      <c r="AJ515" s="61"/>
      <c r="AK515" s="61"/>
      <c r="AL515" s="61"/>
      <c r="AM515" s="61"/>
      <c r="AN515" s="61"/>
      <c r="AO515" s="61"/>
      <c r="AP515" s="61"/>
      <c r="AQ515" s="61"/>
      <c r="AR515" s="61"/>
    </row>
    <row r="516">
      <c r="A516" s="95">
        <v>17.0</v>
      </c>
      <c r="B516" s="79" t="s">
        <v>2596</v>
      </c>
      <c r="C516" s="79" t="s">
        <v>2935</v>
      </c>
      <c r="D516" s="79" t="s">
        <v>2598</v>
      </c>
      <c r="E516" s="59"/>
      <c r="F516" s="79" t="s">
        <v>341</v>
      </c>
      <c r="G516" s="79" t="s">
        <v>131</v>
      </c>
      <c r="H516" s="79" t="s">
        <v>2597</v>
      </c>
      <c r="I516" s="79" t="s">
        <v>2597</v>
      </c>
      <c r="J516" s="79" t="s">
        <v>151</v>
      </c>
      <c r="K516" s="79" t="s">
        <v>70</v>
      </c>
      <c r="L516" s="79" t="s">
        <v>71</v>
      </c>
      <c r="M516" s="79" t="s">
        <v>1114</v>
      </c>
      <c r="N516" s="79" t="s">
        <v>73</v>
      </c>
      <c r="O516" s="79" t="s">
        <v>73</v>
      </c>
      <c r="P516" s="79" t="s">
        <v>74</v>
      </c>
      <c r="Q516" s="131" t="s">
        <v>3160</v>
      </c>
      <c r="R516" s="79" t="s">
        <v>76</v>
      </c>
      <c r="S516" s="79" t="s">
        <v>97</v>
      </c>
      <c r="T516" s="69"/>
      <c r="U516" s="79" t="s">
        <v>78</v>
      </c>
      <c r="V516" s="79" t="s">
        <v>98</v>
      </c>
      <c r="W516" s="69"/>
      <c r="X516" s="79" t="s">
        <v>148</v>
      </c>
      <c r="Y516" s="79" t="s">
        <v>139</v>
      </c>
      <c r="Z516" s="79" t="s">
        <v>2590</v>
      </c>
      <c r="AA516" s="79" t="s">
        <v>162</v>
      </c>
      <c r="AB516" s="69"/>
      <c r="AC516" s="69"/>
      <c r="AD516" s="69"/>
      <c r="AE516" s="59"/>
      <c r="AF516" s="79" t="s">
        <v>71</v>
      </c>
      <c r="AG516" s="60"/>
      <c r="AH516" s="61"/>
      <c r="AI516" s="61"/>
      <c r="AJ516" s="61"/>
      <c r="AK516" s="61"/>
      <c r="AL516" s="61"/>
      <c r="AM516" s="61"/>
      <c r="AN516" s="61"/>
      <c r="AO516" s="61"/>
      <c r="AP516" s="61"/>
      <c r="AQ516" s="61"/>
      <c r="AR516" s="61"/>
    </row>
    <row r="517">
      <c r="A517" s="95">
        <v>18.0</v>
      </c>
      <c r="B517" s="79" t="s">
        <v>2600</v>
      </c>
      <c r="C517" s="176" t="s">
        <v>2601</v>
      </c>
      <c r="D517" s="79" t="s">
        <v>2602</v>
      </c>
      <c r="E517" s="131" t="s">
        <v>3161</v>
      </c>
      <c r="F517" s="79" t="s">
        <v>344</v>
      </c>
      <c r="G517" s="79" t="s">
        <v>123</v>
      </c>
      <c r="H517" s="79" t="s">
        <v>2603</v>
      </c>
      <c r="I517" s="96" t="s">
        <v>2604</v>
      </c>
      <c r="J517" s="79" t="s">
        <v>151</v>
      </c>
      <c r="K517" s="79" t="s">
        <v>110</v>
      </c>
      <c r="L517" s="79" t="s">
        <v>71</v>
      </c>
      <c r="M517" s="96" t="s">
        <v>2605</v>
      </c>
      <c r="N517" s="79" t="s">
        <v>73</v>
      </c>
      <c r="O517" s="79" t="s">
        <v>73</v>
      </c>
      <c r="P517" s="67" t="s">
        <v>95</v>
      </c>
      <c r="Q517" s="75" t="s">
        <v>3162</v>
      </c>
      <c r="R517" s="79" t="s">
        <v>76</v>
      </c>
      <c r="S517" s="79" t="s">
        <v>97</v>
      </c>
      <c r="T517" s="69"/>
      <c r="U517" s="79" t="s">
        <v>78</v>
      </c>
      <c r="V517" s="79" t="s">
        <v>98</v>
      </c>
      <c r="W517" s="79" t="s">
        <v>970</v>
      </c>
      <c r="X517" s="79" t="s">
        <v>80</v>
      </c>
      <c r="Y517" s="79" t="s">
        <v>139</v>
      </c>
      <c r="Z517" s="79" t="s">
        <v>2607</v>
      </c>
      <c r="AA517" s="79" t="s">
        <v>162</v>
      </c>
      <c r="AB517" s="69"/>
      <c r="AC517" s="69"/>
      <c r="AD517" s="69"/>
      <c r="AE517" s="59"/>
      <c r="AF517" s="79" t="s">
        <v>71</v>
      </c>
      <c r="AG517" s="60"/>
      <c r="AH517" s="61"/>
      <c r="AI517" s="61"/>
      <c r="AJ517" s="61"/>
      <c r="AK517" s="61"/>
      <c r="AL517" s="61"/>
      <c r="AM517" s="61"/>
      <c r="AN517" s="61"/>
      <c r="AO517" s="61"/>
      <c r="AP517" s="61"/>
      <c r="AQ517" s="61"/>
      <c r="AR517" s="61"/>
    </row>
    <row r="518">
      <c r="A518" s="95">
        <v>19.0</v>
      </c>
      <c r="B518" s="79" t="s">
        <v>2609</v>
      </c>
      <c r="C518" s="221" t="s">
        <v>2610</v>
      </c>
      <c r="D518" s="79" t="s">
        <v>2611</v>
      </c>
      <c r="E518" s="59"/>
      <c r="F518" s="79" t="s">
        <v>470</v>
      </c>
      <c r="G518" s="79" t="s">
        <v>123</v>
      </c>
      <c r="H518" s="79" t="s">
        <v>2612</v>
      </c>
      <c r="I518" s="222" t="s">
        <v>2613</v>
      </c>
      <c r="J518" s="79" t="s">
        <v>91</v>
      </c>
      <c r="K518" s="79" t="s">
        <v>110</v>
      </c>
      <c r="L518" s="79" t="s">
        <v>111</v>
      </c>
      <c r="M518" s="79" t="s">
        <v>2614</v>
      </c>
      <c r="N518" s="79" t="s">
        <v>26</v>
      </c>
      <c r="O518" s="79" t="s">
        <v>113</v>
      </c>
      <c r="P518" s="79" t="s">
        <v>95</v>
      </c>
      <c r="Q518" s="131" t="s">
        <v>3163</v>
      </c>
      <c r="R518" s="79" t="s">
        <v>76</v>
      </c>
      <c r="S518" s="79" t="s">
        <v>97</v>
      </c>
      <c r="T518" s="69"/>
      <c r="U518" s="79" t="s">
        <v>78</v>
      </c>
      <c r="V518" s="79" t="s">
        <v>98</v>
      </c>
      <c r="W518" s="79" t="s">
        <v>649</v>
      </c>
      <c r="X518" s="69"/>
      <c r="Y518" s="69"/>
      <c r="Z518" s="79" t="s">
        <v>2489</v>
      </c>
      <c r="AA518" s="79" t="s">
        <v>140</v>
      </c>
      <c r="AB518" s="69"/>
      <c r="AC518" s="69"/>
      <c r="AD518" s="69"/>
      <c r="AE518" s="59"/>
      <c r="AF518" s="79" t="s">
        <v>111</v>
      </c>
      <c r="AG518" s="60"/>
      <c r="AH518" s="61"/>
      <c r="AI518" s="61"/>
      <c r="AJ518" s="61"/>
      <c r="AK518" s="61"/>
      <c r="AL518" s="61"/>
      <c r="AM518" s="61"/>
      <c r="AN518" s="61"/>
      <c r="AO518" s="61"/>
      <c r="AP518" s="61"/>
      <c r="AQ518" s="61"/>
      <c r="AR518" s="61"/>
    </row>
    <row r="519">
      <c r="A519" s="95">
        <v>20.0</v>
      </c>
      <c r="B519" s="79" t="s">
        <v>2618</v>
      </c>
      <c r="C519" s="79" t="s">
        <v>2619</v>
      </c>
      <c r="D519" s="79" t="s">
        <v>2620</v>
      </c>
      <c r="E519" s="59"/>
      <c r="F519" s="79" t="s">
        <v>452</v>
      </c>
      <c r="G519" s="79" t="s">
        <v>123</v>
      </c>
      <c r="H519" s="79" t="s">
        <v>2621</v>
      </c>
      <c r="I519" s="79" t="s">
        <v>2622</v>
      </c>
      <c r="J519" s="79" t="s">
        <v>91</v>
      </c>
      <c r="K519" s="79" t="s">
        <v>110</v>
      </c>
      <c r="L519" s="79" t="s">
        <v>152</v>
      </c>
      <c r="M519" s="79" t="s">
        <v>2623</v>
      </c>
      <c r="N519" s="79" t="s">
        <v>26</v>
      </c>
      <c r="O519" s="79" t="s">
        <v>113</v>
      </c>
      <c r="P519" s="79" t="s">
        <v>95</v>
      </c>
      <c r="Q519" s="131" t="s">
        <v>3164</v>
      </c>
      <c r="R519" s="79" t="s">
        <v>76</v>
      </c>
      <c r="S519" s="79" t="s">
        <v>97</v>
      </c>
      <c r="T519" s="69"/>
      <c r="U519" s="79" t="s">
        <v>78</v>
      </c>
      <c r="V519" s="79" t="s">
        <v>98</v>
      </c>
      <c r="W519" s="79" t="s">
        <v>2625</v>
      </c>
      <c r="X519" s="69"/>
      <c r="Y519" s="69"/>
      <c r="Z519" s="79" t="s">
        <v>2489</v>
      </c>
      <c r="AA519" s="79" t="s">
        <v>205</v>
      </c>
      <c r="AB519" s="69"/>
      <c r="AC519" s="69"/>
      <c r="AD519" s="69"/>
      <c r="AE519" s="59"/>
      <c r="AF519" s="79" t="s">
        <v>152</v>
      </c>
      <c r="AG519" s="60"/>
      <c r="AH519" s="61"/>
      <c r="AI519" s="61"/>
      <c r="AJ519" s="61"/>
      <c r="AK519" s="61"/>
      <c r="AL519" s="61"/>
      <c r="AM519" s="61"/>
      <c r="AN519" s="61"/>
      <c r="AO519" s="61"/>
      <c r="AP519" s="61"/>
      <c r="AQ519" s="61"/>
      <c r="AR519" s="61"/>
    </row>
    <row r="520">
      <c r="A520" s="95">
        <v>21.0</v>
      </c>
      <c r="B520" s="79" t="s">
        <v>2626</v>
      </c>
      <c r="C520" s="96" t="s">
        <v>2627</v>
      </c>
      <c r="D520" s="79" t="s">
        <v>2628</v>
      </c>
      <c r="E520" s="59"/>
      <c r="F520" s="79" t="s">
        <v>165</v>
      </c>
      <c r="G520" s="79" t="s">
        <v>66</v>
      </c>
      <c r="H520" s="79" t="s">
        <v>2629</v>
      </c>
      <c r="I520" s="96" t="s">
        <v>2630</v>
      </c>
      <c r="J520" s="79" t="s">
        <v>91</v>
      </c>
      <c r="K520" s="79" t="s">
        <v>70</v>
      </c>
      <c r="L520" s="79" t="s">
        <v>152</v>
      </c>
      <c r="M520" s="79" t="s">
        <v>696</v>
      </c>
      <c r="N520" s="79" t="s">
        <v>26</v>
      </c>
      <c r="O520" s="79" t="s">
        <v>113</v>
      </c>
      <c r="P520" s="79" t="s">
        <v>95</v>
      </c>
      <c r="Q520" s="131" t="s">
        <v>3165</v>
      </c>
      <c r="R520" s="79" t="s">
        <v>76</v>
      </c>
      <c r="S520" s="79" t="s">
        <v>97</v>
      </c>
      <c r="T520" s="69"/>
      <c r="U520" s="79" t="s">
        <v>78</v>
      </c>
      <c r="V520" s="79" t="s">
        <v>79</v>
      </c>
      <c r="W520" s="79" t="s">
        <v>80</v>
      </c>
      <c r="X520" s="79" t="s">
        <v>80</v>
      </c>
      <c r="Y520" s="79" t="s">
        <v>80</v>
      </c>
      <c r="Z520" s="79" t="s">
        <v>2489</v>
      </c>
      <c r="AA520" s="79" t="s">
        <v>140</v>
      </c>
      <c r="AB520" s="69"/>
      <c r="AC520" s="69"/>
      <c r="AD520" s="69"/>
      <c r="AE520" s="59"/>
      <c r="AF520" s="79" t="s">
        <v>152</v>
      </c>
      <c r="AG520" s="60"/>
      <c r="AH520" s="61"/>
      <c r="AI520" s="61"/>
      <c r="AJ520" s="61"/>
      <c r="AK520" s="61"/>
      <c r="AL520" s="61"/>
      <c r="AM520" s="61"/>
      <c r="AN520" s="61"/>
      <c r="AO520" s="61"/>
      <c r="AP520" s="61"/>
      <c r="AQ520" s="61"/>
      <c r="AR520" s="61"/>
    </row>
    <row r="521">
      <c r="A521" s="95">
        <v>22.0</v>
      </c>
      <c r="B521" s="79" t="s">
        <v>61</v>
      </c>
      <c r="C521" s="96" t="s">
        <v>2640</v>
      </c>
      <c r="D521" s="79" t="s">
        <v>2641</v>
      </c>
      <c r="E521" s="59"/>
      <c r="F521" s="79" t="s">
        <v>165</v>
      </c>
      <c r="G521" s="79" t="s">
        <v>66</v>
      </c>
      <c r="H521" s="79" t="s">
        <v>2642</v>
      </c>
      <c r="I521" s="96" t="s">
        <v>2643</v>
      </c>
      <c r="J521" s="79" t="s">
        <v>151</v>
      </c>
      <c r="K521" s="79" t="s">
        <v>70</v>
      </c>
      <c r="L521" s="79" t="s">
        <v>101</v>
      </c>
      <c r="M521" s="79" t="s">
        <v>2902</v>
      </c>
      <c r="N521" s="79" t="s">
        <v>73</v>
      </c>
      <c r="O521" s="79" t="s">
        <v>73</v>
      </c>
      <c r="P521" s="79" t="s">
        <v>95</v>
      </c>
      <c r="Q521" s="131" t="s">
        <v>3166</v>
      </c>
      <c r="R521" s="79" t="s">
        <v>76</v>
      </c>
      <c r="S521" s="79" t="s">
        <v>97</v>
      </c>
      <c r="T521" s="69"/>
      <c r="U521" s="79" t="s">
        <v>78</v>
      </c>
      <c r="V521" s="79" t="s">
        <v>79</v>
      </c>
      <c r="W521" s="79" t="s">
        <v>80</v>
      </c>
      <c r="X521" s="79" t="s">
        <v>80</v>
      </c>
      <c r="Y521" s="79" t="s">
        <v>80</v>
      </c>
      <c r="Z521" s="79" t="s">
        <v>2489</v>
      </c>
      <c r="AA521" s="79" t="s">
        <v>82</v>
      </c>
      <c r="AB521" s="69"/>
      <c r="AC521" s="69"/>
      <c r="AD521" s="69"/>
      <c r="AE521" s="59"/>
      <c r="AF521" s="79" t="s">
        <v>566</v>
      </c>
      <c r="AG521" s="60"/>
      <c r="AH521" s="61"/>
      <c r="AI521" s="61"/>
      <c r="AJ521" s="61"/>
      <c r="AK521" s="61"/>
      <c r="AL521" s="61"/>
      <c r="AM521" s="61"/>
      <c r="AN521" s="61"/>
      <c r="AO521" s="61"/>
      <c r="AP521" s="61"/>
      <c r="AQ521" s="61"/>
      <c r="AR521" s="61"/>
    </row>
    <row r="522">
      <c r="A522" s="95">
        <v>23.0</v>
      </c>
      <c r="B522" s="79" t="s">
        <v>2645</v>
      </c>
      <c r="C522" s="96" t="s">
        <v>2646</v>
      </c>
      <c r="D522" s="79" t="s">
        <v>2647</v>
      </c>
      <c r="E522" s="59"/>
      <c r="F522" s="79" t="s">
        <v>165</v>
      </c>
      <c r="G522" s="79" t="s">
        <v>66</v>
      </c>
      <c r="H522" s="79" t="s">
        <v>2648</v>
      </c>
      <c r="I522" s="96" t="s">
        <v>2649</v>
      </c>
      <c r="J522" s="79" t="s">
        <v>91</v>
      </c>
      <c r="K522" s="79" t="s">
        <v>110</v>
      </c>
      <c r="L522" s="79" t="s">
        <v>101</v>
      </c>
      <c r="M522" s="79" t="s">
        <v>527</v>
      </c>
      <c r="N522" s="79" t="s">
        <v>82</v>
      </c>
      <c r="O522" s="79" t="s">
        <v>113</v>
      </c>
      <c r="P522" s="79" t="s">
        <v>95</v>
      </c>
      <c r="Q522" s="131" t="s">
        <v>3167</v>
      </c>
      <c r="R522" s="79" t="s">
        <v>76</v>
      </c>
      <c r="S522" s="79" t="s">
        <v>97</v>
      </c>
      <c r="T522" s="69"/>
      <c r="U522" s="79" t="s">
        <v>78</v>
      </c>
      <c r="V522" s="79" t="s">
        <v>79</v>
      </c>
      <c r="W522" s="79" t="s">
        <v>80</v>
      </c>
      <c r="X522" s="79" t="s">
        <v>80</v>
      </c>
      <c r="Y522" s="79" t="s">
        <v>80</v>
      </c>
      <c r="Z522" s="79" t="s">
        <v>2489</v>
      </c>
      <c r="AA522" s="79" t="s">
        <v>82</v>
      </c>
      <c r="AB522" s="69"/>
      <c r="AC522" s="69"/>
      <c r="AD522" s="69"/>
      <c r="AE522" s="59"/>
      <c r="AF522" s="79" t="s">
        <v>566</v>
      </c>
      <c r="AG522" s="60"/>
      <c r="AH522" s="61"/>
      <c r="AI522" s="61"/>
      <c r="AJ522" s="61"/>
      <c r="AK522" s="61"/>
      <c r="AL522" s="61"/>
      <c r="AM522" s="61"/>
      <c r="AN522" s="61"/>
      <c r="AO522" s="61"/>
      <c r="AP522" s="61"/>
      <c r="AQ522" s="61"/>
      <c r="AR522" s="61"/>
    </row>
    <row r="523">
      <c r="A523" s="95">
        <v>24.0</v>
      </c>
      <c r="B523" s="79" t="s">
        <v>2657</v>
      </c>
      <c r="C523" s="96" t="s">
        <v>2658</v>
      </c>
      <c r="D523" s="96" t="s">
        <v>2659</v>
      </c>
      <c r="E523" s="59"/>
      <c r="F523" s="79" t="s">
        <v>344</v>
      </c>
      <c r="G523" s="79" t="s">
        <v>123</v>
      </c>
      <c r="H523" s="96" t="s">
        <v>2660</v>
      </c>
      <c r="I523" s="96" t="s">
        <v>2661</v>
      </c>
      <c r="J523" s="79" t="s">
        <v>151</v>
      </c>
      <c r="K523" s="79" t="s">
        <v>110</v>
      </c>
      <c r="L523" s="79" t="s">
        <v>152</v>
      </c>
      <c r="M523" s="79" t="s">
        <v>2662</v>
      </c>
      <c r="N523" s="79" t="s">
        <v>73</v>
      </c>
      <c r="O523" s="79" t="s">
        <v>73</v>
      </c>
      <c r="P523" s="79" t="s">
        <v>95</v>
      </c>
      <c r="Q523" s="223" t="s">
        <v>3168</v>
      </c>
      <c r="R523" s="79" t="s">
        <v>76</v>
      </c>
      <c r="S523" s="79" t="s">
        <v>97</v>
      </c>
      <c r="T523" s="77">
        <v>2022.0</v>
      </c>
      <c r="U523" s="79" t="s">
        <v>78</v>
      </c>
      <c r="V523" s="67" t="s">
        <v>79</v>
      </c>
      <c r="W523" s="67" t="s">
        <v>80</v>
      </c>
      <c r="X523" s="67" t="s">
        <v>80</v>
      </c>
      <c r="Y523" s="67" t="s">
        <v>152</v>
      </c>
      <c r="Z523" s="79" t="s">
        <v>2664</v>
      </c>
      <c r="AA523" s="79" t="s">
        <v>162</v>
      </c>
      <c r="AB523" s="69"/>
      <c r="AC523" s="69"/>
      <c r="AD523" s="69"/>
      <c r="AE523" s="59"/>
      <c r="AF523" s="79" t="s">
        <v>152</v>
      </c>
      <c r="AG523" s="60"/>
      <c r="AH523" s="61"/>
      <c r="AI523" s="61"/>
      <c r="AJ523" s="61"/>
      <c r="AK523" s="61"/>
      <c r="AL523" s="61"/>
      <c r="AM523" s="61"/>
      <c r="AN523" s="61"/>
      <c r="AO523" s="61"/>
      <c r="AP523" s="61"/>
      <c r="AQ523" s="61"/>
      <c r="AR523" s="61"/>
    </row>
    <row r="524">
      <c r="A524" s="95">
        <v>25.0</v>
      </c>
      <c r="B524" s="79" t="s">
        <v>2667</v>
      </c>
      <c r="C524" s="67" t="s">
        <v>2668</v>
      </c>
      <c r="D524" s="96" t="s">
        <v>2669</v>
      </c>
      <c r="E524" s="59"/>
      <c r="F524" s="79" t="s">
        <v>344</v>
      </c>
      <c r="G524" s="79" t="s">
        <v>123</v>
      </c>
      <c r="H524" s="96" t="s">
        <v>2670</v>
      </c>
      <c r="I524" s="96" t="s">
        <v>2671</v>
      </c>
      <c r="J524" s="79" t="s">
        <v>151</v>
      </c>
      <c r="K524" s="79" t="s">
        <v>70</v>
      </c>
      <c r="L524" s="79" t="s">
        <v>101</v>
      </c>
      <c r="M524" s="79" t="s">
        <v>2672</v>
      </c>
      <c r="N524" s="79" t="s">
        <v>73</v>
      </c>
      <c r="O524" s="79" t="s">
        <v>73</v>
      </c>
      <c r="P524" s="79" t="s">
        <v>95</v>
      </c>
      <c r="Q524" s="223" t="s">
        <v>3169</v>
      </c>
      <c r="R524" s="79" t="s">
        <v>76</v>
      </c>
      <c r="S524" s="79" t="s">
        <v>97</v>
      </c>
      <c r="T524" s="69"/>
      <c r="U524" s="79" t="s">
        <v>78</v>
      </c>
      <c r="V524" s="79" t="s">
        <v>98</v>
      </c>
      <c r="W524" s="79" t="s">
        <v>2674</v>
      </c>
      <c r="X524" s="79" t="s">
        <v>155</v>
      </c>
      <c r="Y524" s="79" t="s">
        <v>139</v>
      </c>
      <c r="Z524" s="79" t="s">
        <v>2675</v>
      </c>
      <c r="AA524" s="79" t="s">
        <v>162</v>
      </c>
      <c r="AB524" s="69"/>
      <c r="AC524" s="69"/>
      <c r="AD524" s="69"/>
      <c r="AE524" s="59"/>
      <c r="AF524" s="79" t="s">
        <v>566</v>
      </c>
      <c r="AG524" s="60"/>
      <c r="AH524" s="61"/>
      <c r="AI524" s="61"/>
      <c r="AJ524" s="61"/>
      <c r="AK524" s="61"/>
      <c r="AL524" s="61"/>
      <c r="AM524" s="61"/>
      <c r="AN524" s="61"/>
      <c r="AO524" s="61"/>
      <c r="AP524" s="61"/>
      <c r="AQ524" s="61"/>
      <c r="AR524" s="61"/>
    </row>
    <row r="525">
      <c r="A525" s="95">
        <v>26.0</v>
      </c>
      <c r="B525" s="96" t="s">
        <v>2678</v>
      </c>
      <c r="C525" s="201" t="s">
        <v>2679</v>
      </c>
      <c r="D525" s="225" t="s">
        <v>2680</v>
      </c>
      <c r="E525" s="59"/>
      <c r="F525" s="67" t="s">
        <v>344</v>
      </c>
      <c r="G525" s="79" t="s">
        <v>123</v>
      </c>
      <c r="H525" s="79" t="s">
        <v>2681</v>
      </c>
      <c r="I525" s="79" t="s">
        <v>2681</v>
      </c>
      <c r="J525" s="79" t="s">
        <v>69</v>
      </c>
      <c r="K525" s="79" t="s">
        <v>110</v>
      </c>
      <c r="L525" s="79" t="s">
        <v>71</v>
      </c>
      <c r="M525" s="79" t="s">
        <v>2682</v>
      </c>
      <c r="N525" s="79" t="s">
        <v>73</v>
      </c>
      <c r="O525" s="79" t="s">
        <v>73</v>
      </c>
      <c r="P525" s="79" t="s">
        <v>95</v>
      </c>
      <c r="Q525" s="131" t="s">
        <v>3170</v>
      </c>
      <c r="R525" s="79" t="s">
        <v>76</v>
      </c>
      <c r="S525" s="79" t="s">
        <v>97</v>
      </c>
      <c r="T525" s="79">
        <v>2018.0</v>
      </c>
      <c r="U525" s="79" t="s">
        <v>78</v>
      </c>
      <c r="V525" s="67" t="s">
        <v>79</v>
      </c>
      <c r="W525" s="79" t="s">
        <v>2684</v>
      </c>
      <c r="X525" s="67" t="s">
        <v>80</v>
      </c>
      <c r="Y525" s="79" t="s">
        <v>80</v>
      </c>
      <c r="Z525" s="68" t="s">
        <v>2675</v>
      </c>
      <c r="AA525" s="79" t="s">
        <v>162</v>
      </c>
      <c r="AB525" s="69"/>
      <c r="AC525" s="69"/>
      <c r="AD525" s="69"/>
      <c r="AE525" s="59"/>
      <c r="AF525" s="68" t="s">
        <v>566</v>
      </c>
      <c r="AG525" s="60"/>
      <c r="AH525" s="61"/>
      <c r="AI525" s="61"/>
      <c r="AJ525" s="61"/>
      <c r="AK525" s="61"/>
      <c r="AL525" s="61"/>
      <c r="AM525" s="61"/>
      <c r="AN525" s="61"/>
      <c r="AO525" s="61"/>
      <c r="AP525" s="61"/>
      <c r="AQ525" s="61"/>
      <c r="AR525" s="61"/>
    </row>
    <row r="526">
      <c r="A526" s="71" t="s">
        <v>3171</v>
      </c>
      <c r="B526" s="57"/>
      <c r="C526" s="57"/>
      <c r="D526" s="58"/>
      <c r="E526" s="58"/>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94"/>
      <c r="AF526" s="94"/>
      <c r="AG526" s="60"/>
      <c r="AH526" s="60"/>
      <c r="AI526" s="60"/>
      <c r="AJ526" s="60"/>
      <c r="AK526" s="60"/>
      <c r="AL526" s="60"/>
      <c r="AM526" s="60"/>
      <c r="AN526" s="60"/>
      <c r="AO526" s="60"/>
      <c r="AP526" s="60"/>
      <c r="AQ526" s="60"/>
      <c r="AR526" s="61"/>
    </row>
    <row r="527">
      <c r="A527" s="95">
        <v>1.0</v>
      </c>
      <c r="B527" s="96" t="s">
        <v>2815</v>
      </c>
      <c r="C527" s="69"/>
      <c r="D527" s="59"/>
      <c r="E527" s="59"/>
      <c r="F527" s="69"/>
      <c r="G527" s="69"/>
      <c r="H527" s="69"/>
      <c r="I527" s="69"/>
      <c r="J527" s="69"/>
      <c r="K527" s="69"/>
      <c r="L527" s="69"/>
      <c r="M527" s="79" t="s">
        <v>3172</v>
      </c>
      <c r="N527" s="79" t="s">
        <v>26</v>
      </c>
      <c r="O527" s="79" t="s">
        <v>113</v>
      </c>
      <c r="P527" s="79" t="s">
        <v>95</v>
      </c>
      <c r="Q527" s="131" t="s">
        <v>3173</v>
      </c>
      <c r="R527" s="79" t="s">
        <v>76</v>
      </c>
      <c r="S527" s="79" t="s">
        <v>77</v>
      </c>
      <c r="T527" s="79" t="s">
        <v>563</v>
      </c>
      <c r="U527" s="79" t="s">
        <v>78</v>
      </c>
      <c r="V527" s="79" t="s">
        <v>98</v>
      </c>
      <c r="W527" s="79" t="s">
        <v>98</v>
      </c>
      <c r="X527" s="79" t="s">
        <v>100</v>
      </c>
      <c r="Y527" s="79" t="s">
        <v>71</v>
      </c>
      <c r="Z527" s="79" t="s">
        <v>563</v>
      </c>
      <c r="AA527" s="79" t="s">
        <v>211</v>
      </c>
      <c r="AB527" s="69"/>
      <c r="AC527" s="69"/>
      <c r="AD527" s="69"/>
      <c r="AE527" s="59"/>
      <c r="AF527" s="68" t="s">
        <v>1268</v>
      </c>
      <c r="AG527" s="60"/>
      <c r="AH527" s="61"/>
      <c r="AI527" s="61"/>
      <c r="AJ527" s="61"/>
      <c r="AK527" s="61"/>
      <c r="AL527" s="61"/>
      <c r="AM527" s="61"/>
      <c r="AN527" s="61"/>
      <c r="AO527" s="61"/>
      <c r="AP527" s="61"/>
      <c r="AQ527" s="61"/>
      <c r="AR527" s="61"/>
    </row>
    <row r="528">
      <c r="A528" s="95">
        <v>2.0</v>
      </c>
      <c r="B528" s="96" t="s">
        <v>2952</v>
      </c>
      <c r="C528" s="67" t="s">
        <v>2953</v>
      </c>
      <c r="D528" s="67" t="s">
        <v>2954</v>
      </c>
      <c r="E528" s="59"/>
      <c r="F528" s="79" t="s">
        <v>65</v>
      </c>
      <c r="G528" s="79" t="s">
        <v>131</v>
      </c>
      <c r="H528" s="79" t="s">
        <v>3174</v>
      </c>
      <c r="I528" s="79" t="s">
        <v>3175</v>
      </c>
      <c r="J528" s="79" t="s">
        <v>158</v>
      </c>
      <c r="K528" s="79" t="s">
        <v>70</v>
      </c>
      <c r="L528" s="79" t="s">
        <v>152</v>
      </c>
      <c r="M528" s="67" t="s">
        <v>3176</v>
      </c>
      <c r="N528" s="79" t="s">
        <v>82</v>
      </c>
      <c r="O528" s="79" t="s">
        <v>113</v>
      </c>
      <c r="P528" s="79" t="s">
        <v>74</v>
      </c>
      <c r="Q528" s="131" t="s">
        <v>3177</v>
      </c>
      <c r="R528" s="79" t="s">
        <v>76</v>
      </c>
      <c r="S528" s="79" t="s">
        <v>97</v>
      </c>
      <c r="T528" s="69"/>
      <c r="U528" s="79" t="s">
        <v>78</v>
      </c>
      <c r="V528" s="79" t="s">
        <v>79</v>
      </c>
      <c r="W528" s="69"/>
      <c r="X528" s="79" t="s">
        <v>80</v>
      </c>
      <c r="Y528" s="79" t="s">
        <v>80</v>
      </c>
      <c r="Z528" s="69"/>
      <c r="AA528" s="79" t="s">
        <v>82</v>
      </c>
      <c r="AB528" s="69"/>
      <c r="AC528" s="69"/>
      <c r="AD528" s="69"/>
      <c r="AE528" s="59"/>
      <c r="AF528" s="68" t="s">
        <v>152</v>
      </c>
      <c r="AG528" s="60"/>
      <c r="AH528" s="61"/>
      <c r="AI528" s="61"/>
      <c r="AJ528" s="61"/>
      <c r="AK528" s="61"/>
      <c r="AL528" s="61"/>
      <c r="AM528" s="61"/>
      <c r="AN528" s="61"/>
      <c r="AO528" s="61"/>
      <c r="AP528" s="61"/>
      <c r="AQ528" s="61"/>
      <c r="AR528" s="61"/>
    </row>
    <row r="529">
      <c r="A529" s="95">
        <v>3.0</v>
      </c>
      <c r="B529" s="96" t="s">
        <v>2962</v>
      </c>
      <c r="C529" s="96" t="s">
        <v>2963</v>
      </c>
      <c r="D529" s="96" t="s">
        <v>2964</v>
      </c>
      <c r="E529" s="79" t="s">
        <v>2232</v>
      </c>
      <c r="F529" s="79" t="s">
        <v>65</v>
      </c>
      <c r="G529" s="67" t="s">
        <v>66</v>
      </c>
      <c r="H529" s="67" t="s">
        <v>3178</v>
      </c>
      <c r="I529" s="67" t="s">
        <v>3179</v>
      </c>
      <c r="J529" s="67" t="s">
        <v>91</v>
      </c>
      <c r="K529" s="67" t="s">
        <v>70</v>
      </c>
      <c r="L529" s="67" t="s">
        <v>71</v>
      </c>
      <c r="M529" s="67" t="s">
        <v>2662</v>
      </c>
      <c r="N529" s="67" t="s">
        <v>73</v>
      </c>
      <c r="O529" s="67" t="s">
        <v>73</v>
      </c>
      <c r="P529" s="67" t="s">
        <v>95</v>
      </c>
      <c r="Q529" s="131" t="s">
        <v>3180</v>
      </c>
      <c r="R529" s="67" t="s">
        <v>76</v>
      </c>
      <c r="S529" s="67" t="s">
        <v>97</v>
      </c>
      <c r="T529" s="77">
        <v>2022.0</v>
      </c>
      <c r="U529" s="67" t="s">
        <v>78</v>
      </c>
      <c r="V529" s="67" t="s">
        <v>79</v>
      </c>
      <c r="W529" s="67" t="s">
        <v>3181</v>
      </c>
      <c r="X529" s="67" t="s">
        <v>100</v>
      </c>
      <c r="Y529" s="67" t="s">
        <v>152</v>
      </c>
      <c r="Z529" s="67" t="s">
        <v>2664</v>
      </c>
      <c r="AA529" s="67" t="s">
        <v>168</v>
      </c>
      <c r="AB529" s="67" t="s">
        <v>3182</v>
      </c>
      <c r="AC529" s="67">
        <v>8.1278877439E11</v>
      </c>
      <c r="AD529" s="79" t="s">
        <v>3183</v>
      </c>
      <c r="AE529" s="59"/>
      <c r="AF529" s="68" t="s">
        <v>152</v>
      </c>
      <c r="AG529" s="60"/>
      <c r="AH529" s="61"/>
      <c r="AI529" s="61"/>
      <c r="AJ529" s="61"/>
      <c r="AK529" s="61"/>
      <c r="AL529" s="61"/>
      <c r="AM529" s="61"/>
      <c r="AN529" s="61"/>
      <c r="AO529" s="61"/>
      <c r="AP529" s="61"/>
      <c r="AQ529" s="61"/>
      <c r="AR529" s="61"/>
    </row>
    <row r="530">
      <c r="A530" s="95">
        <v>4.0</v>
      </c>
      <c r="B530" s="96" t="s">
        <v>2987</v>
      </c>
      <c r="C530" s="96" t="s">
        <v>2988</v>
      </c>
      <c r="D530" s="96" t="s">
        <v>2989</v>
      </c>
      <c r="E530" s="59"/>
      <c r="F530" s="79" t="s">
        <v>344</v>
      </c>
      <c r="G530" s="79" t="s">
        <v>123</v>
      </c>
      <c r="H530" s="79" t="s">
        <v>2991</v>
      </c>
      <c r="I530" s="79" t="s">
        <v>2992</v>
      </c>
      <c r="J530" s="79" t="s">
        <v>151</v>
      </c>
      <c r="K530" s="79" t="s">
        <v>70</v>
      </c>
      <c r="L530" s="79" t="s">
        <v>152</v>
      </c>
      <c r="M530" s="79" t="s">
        <v>2993</v>
      </c>
      <c r="N530" s="79" t="s">
        <v>73</v>
      </c>
      <c r="O530" s="79" t="s">
        <v>73</v>
      </c>
      <c r="P530" s="79" t="s">
        <v>95</v>
      </c>
      <c r="Q530" s="267" t="s">
        <v>3184</v>
      </c>
      <c r="R530" s="79" t="s">
        <v>76</v>
      </c>
      <c r="S530" s="79" t="s">
        <v>97</v>
      </c>
      <c r="T530" s="79">
        <v>2024.0</v>
      </c>
      <c r="U530" s="79" t="s">
        <v>78</v>
      </c>
      <c r="V530" s="79" t="s">
        <v>98</v>
      </c>
      <c r="W530" s="79" t="s">
        <v>3185</v>
      </c>
      <c r="X530" s="79" t="s">
        <v>100</v>
      </c>
      <c r="Y530" s="79" t="s">
        <v>152</v>
      </c>
      <c r="Z530" s="79" t="s">
        <v>3024</v>
      </c>
      <c r="AA530" s="79" t="s">
        <v>162</v>
      </c>
      <c r="AB530" s="79" t="s">
        <v>3186</v>
      </c>
      <c r="AC530" s="79">
        <v>8.3896272862E10</v>
      </c>
      <c r="AD530" s="79" t="s">
        <v>3183</v>
      </c>
      <c r="AE530" s="59"/>
      <c r="AF530" s="68" t="s">
        <v>71</v>
      </c>
      <c r="AG530" s="60"/>
      <c r="AH530" s="61"/>
      <c r="AI530" s="61"/>
      <c r="AJ530" s="61"/>
      <c r="AK530" s="61"/>
      <c r="AL530" s="61"/>
      <c r="AM530" s="61"/>
      <c r="AN530" s="61"/>
      <c r="AO530" s="61"/>
      <c r="AP530" s="61"/>
      <c r="AQ530" s="61"/>
      <c r="AR530" s="61"/>
    </row>
    <row r="531">
      <c r="A531" s="95">
        <v>5.0</v>
      </c>
      <c r="B531" s="96" t="s">
        <v>3017</v>
      </c>
      <c r="C531" s="96" t="s">
        <v>3018</v>
      </c>
      <c r="D531" s="268" t="s">
        <v>3019</v>
      </c>
      <c r="E531" s="59"/>
      <c r="F531" s="79" t="s">
        <v>165</v>
      </c>
      <c r="G531" s="79" t="s">
        <v>131</v>
      </c>
      <c r="H531" s="79" t="s">
        <v>3020</v>
      </c>
      <c r="I531" s="79" t="s">
        <v>3021</v>
      </c>
      <c r="J531" s="79" t="s">
        <v>151</v>
      </c>
      <c r="K531" s="79" t="s">
        <v>110</v>
      </c>
      <c r="L531" s="79" t="s">
        <v>111</v>
      </c>
      <c r="M531" s="79" t="s">
        <v>1114</v>
      </c>
      <c r="N531" s="79" t="s">
        <v>73</v>
      </c>
      <c r="O531" s="79" t="s">
        <v>73</v>
      </c>
      <c r="P531" s="79" t="s">
        <v>95</v>
      </c>
      <c r="Q531" s="131" t="s">
        <v>3187</v>
      </c>
      <c r="R531" s="79" t="s">
        <v>76</v>
      </c>
      <c r="S531" s="79" t="s">
        <v>97</v>
      </c>
      <c r="T531" s="79">
        <v>2024.0</v>
      </c>
      <c r="U531" s="79" t="s">
        <v>78</v>
      </c>
      <c r="V531" s="79" t="s">
        <v>98</v>
      </c>
      <c r="W531" s="79" t="s">
        <v>3023</v>
      </c>
      <c r="X531" s="79" t="s">
        <v>100</v>
      </c>
      <c r="Y531" s="79" t="s">
        <v>139</v>
      </c>
      <c r="Z531" s="79" t="s">
        <v>3024</v>
      </c>
      <c r="AA531" s="79" t="s">
        <v>162</v>
      </c>
      <c r="AB531" s="79" t="s">
        <v>3188</v>
      </c>
      <c r="AC531" s="79">
        <v>8.9676909187E10</v>
      </c>
      <c r="AD531" s="79" t="s">
        <v>3183</v>
      </c>
      <c r="AE531" s="68">
        <v>8.0</v>
      </c>
      <c r="AF531" s="68" t="s">
        <v>71</v>
      </c>
      <c r="AG531" s="60"/>
      <c r="AH531" s="61"/>
      <c r="AI531" s="61"/>
      <c r="AJ531" s="61"/>
      <c r="AK531" s="61"/>
      <c r="AL531" s="61"/>
      <c r="AM531" s="61"/>
      <c r="AN531" s="61"/>
      <c r="AO531" s="61"/>
      <c r="AP531" s="61"/>
      <c r="AQ531" s="61"/>
      <c r="AR531" s="61"/>
    </row>
    <row r="532">
      <c r="A532" s="95">
        <v>6.0</v>
      </c>
      <c r="B532" s="96" t="s">
        <v>3027</v>
      </c>
      <c r="C532" s="96" t="s">
        <v>3028</v>
      </c>
      <c r="D532" s="273" t="s">
        <v>3189</v>
      </c>
      <c r="E532" s="131" t="s">
        <v>3190</v>
      </c>
      <c r="F532" s="79" t="s">
        <v>65</v>
      </c>
      <c r="G532" s="79" t="s">
        <v>123</v>
      </c>
      <c r="H532" s="79" t="s">
        <v>3031</v>
      </c>
      <c r="I532" s="79" t="s">
        <v>3032</v>
      </c>
      <c r="J532" s="79" t="s">
        <v>91</v>
      </c>
      <c r="K532" s="79" t="s">
        <v>110</v>
      </c>
      <c r="L532" s="79" t="s">
        <v>143</v>
      </c>
      <c r="M532" s="79" t="s">
        <v>3191</v>
      </c>
      <c r="N532" s="79" t="s">
        <v>73</v>
      </c>
      <c r="O532" s="79" t="s">
        <v>73</v>
      </c>
      <c r="P532" s="79" t="s">
        <v>95</v>
      </c>
      <c r="Q532" s="75" t="s">
        <v>3192</v>
      </c>
      <c r="R532" s="79" t="s">
        <v>76</v>
      </c>
      <c r="S532" s="79" t="s">
        <v>97</v>
      </c>
      <c r="T532" s="79">
        <v>2024.0</v>
      </c>
      <c r="U532" s="79" t="s">
        <v>78</v>
      </c>
      <c r="V532" s="79" t="s">
        <v>98</v>
      </c>
      <c r="W532" s="79" t="s">
        <v>3035</v>
      </c>
      <c r="X532" s="79" t="s">
        <v>100</v>
      </c>
      <c r="Y532" s="79" t="s">
        <v>139</v>
      </c>
      <c r="Z532" s="79" t="s">
        <v>3036</v>
      </c>
      <c r="AA532" s="79" t="s">
        <v>82</v>
      </c>
      <c r="AB532" s="79" t="s">
        <v>3193</v>
      </c>
      <c r="AC532" s="79">
        <v>8.2324066724E10</v>
      </c>
      <c r="AD532" s="79" t="s">
        <v>3183</v>
      </c>
      <c r="AE532" s="68" t="s">
        <v>563</v>
      </c>
      <c r="AF532" s="68" t="s">
        <v>1268</v>
      </c>
      <c r="AG532" s="60"/>
      <c r="AH532" s="61"/>
      <c r="AI532" s="61"/>
      <c r="AJ532" s="61"/>
      <c r="AK532" s="61"/>
      <c r="AL532" s="61"/>
      <c r="AM532" s="61"/>
      <c r="AN532" s="61"/>
      <c r="AO532" s="61"/>
      <c r="AP532" s="61"/>
      <c r="AQ532" s="61"/>
      <c r="AR532" s="61"/>
    </row>
    <row r="533">
      <c r="A533" s="95">
        <v>7.0</v>
      </c>
      <c r="B533" s="96" t="s">
        <v>2682</v>
      </c>
      <c r="C533" s="70" t="s">
        <v>3194</v>
      </c>
      <c r="D533" s="225" t="s">
        <v>2680</v>
      </c>
      <c r="E533" s="59"/>
      <c r="F533" s="79" t="s">
        <v>344</v>
      </c>
      <c r="G533" s="79" t="s">
        <v>123</v>
      </c>
      <c r="H533" s="79" t="s">
        <v>2681</v>
      </c>
      <c r="I533" s="69"/>
      <c r="J533" s="79" t="s">
        <v>69</v>
      </c>
      <c r="K533" s="79" t="s">
        <v>110</v>
      </c>
      <c r="L533" s="79" t="s">
        <v>71</v>
      </c>
      <c r="M533" s="79" t="s">
        <v>2682</v>
      </c>
      <c r="N533" s="79" t="s">
        <v>73</v>
      </c>
      <c r="O533" s="79" t="s">
        <v>73</v>
      </c>
      <c r="P533" s="79" t="s">
        <v>95</v>
      </c>
      <c r="Q533" s="131" t="s">
        <v>3195</v>
      </c>
      <c r="R533" s="79" t="s">
        <v>76</v>
      </c>
      <c r="S533" s="79" t="s">
        <v>97</v>
      </c>
      <c r="T533" s="79">
        <v>2024.0</v>
      </c>
      <c r="U533" s="79" t="s">
        <v>78</v>
      </c>
      <c r="V533" s="69"/>
      <c r="W533" s="79" t="s">
        <v>2605</v>
      </c>
      <c r="X533" s="69"/>
      <c r="Y533" s="79" t="s">
        <v>71</v>
      </c>
      <c r="Z533" s="67" t="s">
        <v>3196</v>
      </c>
      <c r="AA533" s="79" t="s">
        <v>162</v>
      </c>
      <c r="AB533" s="79" t="s">
        <v>3197</v>
      </c>
      <c r="AC533" s="79">
        <v>8.1314199105E10</v>
      </c>
      <c r="AD533" s="79" t="s">
        <v>3183</v>
      </c>
      <c r="AE533" s="59"/>
      <c r="AF533" s="68" t="s">
        <v>71</v>
      </c>
      <c r="AG533" s="60"/>
      <c r="AH533" s="61"/>
      <c r="AI533" s="61"/>
      <c r="AJ533" s="61"/>
      <c r="AK533" s="61"/>
      <c r="AL533" s="61"/>
      <c r="AM533" s="61"/>
      <c r="AN533" s="61"/>
      <c r="AO533" s="61"/>
      <c r="AP533" s="61"/>
      <c r="AQ533" s="61"/>
      <c r="AR533" s="61"/>
    </row>
    <row r="534">
      <c r="A534" s="95">
        <v>8.0</v>
      </c>
      <c r="B534" s="96" t="s">
        <v>1659</v>
      </c>
      <c r="C534" s="96" t="s">
        <v>3042</v>
      </c>
      <c r="D534" s="281" t="s">
        <v>3198</v>
      </c>
      <c r="E534" s="59"/>
      <c r="F534" s="79" t="s">
        <v>343</v>
      </c>
      <c r="G534" s="79" t="s">
        <v>123</v>
      </c>
      <c r="H534" s="79" t="s">
        <v>2287</v>
      </c>
      <c r="I534" s="69"/>
      <c r="J534" s="79" t="s">
        <v>69</v>
      </c>
      <c r="K534" s="79" t="s">
        <v>110</v>
      </c>
      <c r="L534" s="79" t="s">
        <v>71</v>
      </c>
      <c r="M534" s="79" t="s">
        <v>1658</v>
      </c>
      <c r="N534" s="79" t="s">
        <v>26</v>
      </c>
      <c r="O534" s="79" t="s">
        <v>113</v>
      </c>
      <c r="P534" s="79" t="s">
        <v>153</v>
      </c>
      <c r="Q534" s="69"/>
      <c r="R534" s="79" t="s">
        <v>76</v>
      </c>
      <c r="S534" s="79" t="s">
        <v>77</v>
      </c>
      <c r="T534" s="79">
        <v>2024.0</v>
      </c>
      <c r="U534" s="79" t="s">
        <v>78</v>
      </c>
      <c r="V534" s="79" t="s">
        <v>98</v>
      </c>
      <c r="W534" s="69"/>
      <c r="X534" s="79" t="s">
        <v>100</v>
      </c>
      <c r="Y534" s="79" t="s">
        <v>71</v>
      </c>
      <c r="Z534" s="67" t="s">
        <v>3196</v>
      </c>
      <c r="AA534" s="79" t="s">
        <v>207</v>
      </c>
      <c r="AB534" s="79" t="s">
        <v>3197</v>
      </c>
      <c r="AC534" s="79">
        <v>8.1314199105E10</v>
      </c>
      <c r="AD534" s="79" t="s">
        <v>3183</v>
      </c>
      <c r="AE534" s="59"/>
      <c r="AF534" s="68" t="s">
        <v>71</v>
      </c>
      <c r="AG534" s="60"/>
      <c r="AH534" s="61"/>
      <c r="AI534" s="61"/>
      <c r="AJ534" s="61"/>
      <c r="AK534" s="61"/>
      <c r="AL534" s="61"/>
      <c r="AM534" s="61"/>
      <c r="AN534" s="61"/>
      <c r="AO534" s="61"/>
      <c r="AP534" s="61"/>
      <c r="AQ534" s="61"/>
      <c r="AR534" s="61"/>
    </row>
    <row r="535">
      <c r="A535" s="95">
        <v>9.0</v>
      </c>
      <c r="B535" s="96" t="s">
        <v>2444</v>
      </c>
      <c r="C535" s="96" t="s">
        <v>3044</v>
      </c>
      <c r="D535" s="225" t="s">
        <v>3045</v>
      </c>
      <c r="E535" s="59"/>
      <c r="F535" s="79" t="s">
        <v>456</v>
      </c>
      <c r="G535" s="79" t="s">
        <v>123</v>
      </c>
      <c r="H535" s="225" t="s">
        <v>3046</v>
      </c>
      <c r="I535" s="69"/>
      <c r="J535" s="79" t="s">
        <v>69</v>
      </c>
      <c r="K535" s="79" t="s">
        <v>70</v>
      </c>
      <c r="L535" s="79" t="s">
        <v>152</v>
      </c>
      <c r="M535" s="79" t="s">
        <v>2444</v>
      </c>
      <c r="N535" s="79" t="s">
        <v>26</v>
      </c>
      <c r="O535" s="79" t="s">
        <v>113</v>
      </c>
      <c r="P535" s="79" t="s">
        <v>95</v>
      </c>
      <c r="Q535" s="131" t="s">
        <v>3199</v>
      </c>
      <c r="R535" s="79" t="s">
        <v>76</v>
      </c>
      <c r="S535" s="79" t="s">
        <v>77</v>
      </c>
      <c r="T535" s="77">
        <v>2022.0</v>
      </c>
      <c r="U535" s="79" t="s">
        <v>78</v>
      </c>
      <c r="V535" s="79" t="s">
        <v>79</v>
      </c>
      <c r="W535" s="67" t="s">
        <v>3200</v>
      </c>
      <c r="X535" s="79" t="s">
        <v>148</v>
      </c>
      <c r="Y535" s="79" t="s">
        <v>139</v>
      </c>
      <c r="Z535" s="69"/>
      <c r="AA535" s="79" t="s">
        <v>207</v>
      </c>
      <c r="AB535" s="79" t="s">
        <v>3193</v>
      </c>
      <c r="AC535" s="79">
        <v>8.2324066724E10</v>
      </c>
      <c r="AD535" s="79" t="s">
        <v>3183</v>
      </c>
      <c r="AE535" s="59"/>
      <c r="AF535" s="68" t="s">
        <v>71</v>
      </c>
      <c r="AG535" s="60"/>
      <c r="AH535" s="61"/>
      <c r="AI535" s="61"/>
      <c r="AJ535" s="61"/>
      <c r="AK535" s="61"/>
      <c r="AL535" s="61"/>
      <c r="AM535" s="61"/>
      <c r="AN535" s="61"/>
      <c r="AO535" s="61"/>
      <c r="AP535" s="61"/>
      <c r="AQ535" s="61"/>
      <c r="AR535" s="61"/>
    </row>
    <row r="536">
      <c r="A536" s="95">
        <v>10.0</v>
      </c>
      <c r="B536" s="96" t="s">
        <v>2176</v>
      </c>
      <c r="C536" s="225" t="s">
        <v>2686</v>
      </c>
      <c r="D536" s="225" t="s">
        <v>2687</v>
      </c>
      <c r="E536" s="59"/>
      <c r="F536" s="79" t="s">
        <v>456</v>
      </c>
      <c r="G536" s="79" t="s">
        <v>123</v>
      </c>
      <c r="H536" s="225" t="s">
        <v>2688</v>
      </c>
      <c r="I536" s="69"/>
      <c r="J536" s="79" t="s">
        <v>69</v>
      </c>
      <c r="K536" s="79" t="s">
        <v>110</v>
      </c>
      <c r="L536" s="79" t="s">
        <v>111</v>
      </c>
      <c r="M536" s="79" t="s">
        <v>2176</v>
      </c>
      <c r="N536" s="79" t="s">
        <v>26</v>
      </c>
      <c r="O536" s="79" t="s">
        <v>113</v>
      </c>
      <c r="P536" s="79" t="s">
        <v>95</v>
      </c>
      <c r="Q536" s="131" t="s">
        <v>3201</v>
      </c>
      <c r="R536" s="79" t="s">
        <v>76</v>
      </c>
      <c r="S536" s="79" t="s">
        <v>77</v>
      </c>
      <c r="T536" s="69"/>
      <c r="U536" s="79" t="s">
        <v>78</v>
      </c>
      <c r="V536" s="79" t="s">
        <v>79</v>
      </c>
      <c r="W536" s="69"/>
      <c r="X536" s="79" t="s">
        <v>148</v>
      </c>
      <c r="Y536" s="79" t="s">
        <v>111</v>
      </c>
      <c r="Z536" s="69"/>
      <c r="AA536" s="79" t="s">
        <v>207</v>
      </c>
      <c r="AB536" s="131" t="s">
        <v>3202</v>
      </c>
      <c r="AC536" s="79">
        <v>8.1280836809E10</v>
      </c>
      <c r="AD536" s="79" t="s">
        <v>3183</v>
      </c>
      <c r="AE536" s="59"/>
      <c r="AF536" s="64" t="s">
        <v>111</v>
      </c>
      <c r="AG536" s="60"/>
      <c r="AH536" s="61"/>
      <c r="AI536" s="61"/>
      <c r="AJ536" s="61"/>
      <c r="AK536" s="61"/>
      <c r="AL536" s="61"/>
      <c r="AM536" s="61"/>
      <c r="AN536" s="61"/>
      <c r="AO536" s="61"/>
      <c r="AP536" s="61"/>
      <c r="AQ536" s="61"/>
      <c r="AR536" s="61"/>
    </row>
    <row r="537">
      <c r="A537" s="95">
        <v>11.0</v>
      </c>
      <c r="B537" s="96" t="s">
        <v>2784</v>
      </c>
      <c r="C537" s="96" t="s">
        <v>3067</v>
      </c>
      <c r="D537" s="96" t="s">
        <v>3068</v>
      </c>
      <c r="E537" s="59"/>
      <c r="F537" s="79" t="s">
        <v>344</v>
      </c>
      <c r="G537" s="79" t="s">
        <v>123</v>
      </c>
      <c r="H537" s="79" t="s">
        <v>3069</v>
      </c>
      <c r="I537" s="79" t="s">
        <v>3070</v>
      </c>
      <c r="J537" s="79" t="s">
        <v>91</v>
      </c>
      <c r="K537" s="79" t="s">
        <v>70</v>
      </c>
      <c r="L537" s="79" t="s">
        <v>152</v>
      </c>
      <c r="M537" s="79" t="s">
        <v>696</v>
      </c>
      <c r="N537" s="79" t="s">
        <v>26</v>
      </c>
      <c r="O537" s="79" t="s">
        <v>113</v>
      </c>
      <c r="P537" s="79" t="s">
        <v>74</v>
      </c>
      <c r="Q537" s="131" t="s">
        <v>3203</v>
      </c>
      <c r="R537" s="79" t="s">
        <v>76</v>
      </c>
      <c r="S537" s="79" t="s">
        <v>97</v>
      </c>
      <c r="T537" s="79">
        <v>2025.0</v>
      </c>
      <c r="U537" s="79" t="s">
        <v>78</v>
      </c>
      <c r="V537" s="79" t="s">
        <v>98</v>
      </c>
      <c r="W537" s="79" t="s">
        <v>98</v>
      </c>
      <c r="X537" s="79" t="s">
        <v>148</v>
      </c>
      <c r="Y537" s="79" t="s">
        <v>71</v>
      </c>
      <c r="Z537" s="79" t="s">
        <v>3072</v>
      </c>
      <c r="AA537" s="79" t="s">
        <v>140</v>
      </c>
      <c r="AB537" s="131" t="s">
        <v>3204</v>
      </c>
      <c r="AC537" s="79">
        <v>8.7723985277E10</v>
      </c>
      <c r="AD537" s="79" t="s">
        <v>3183</v>
      </c>
      <c r="AE537" s="59"/>
      <c r="AF537" s="68" t="s">
        <v>71</v>
      </c>
      <c r="AG537" s="60"/>
      <c r="AH537" s="61"/>
      <c r="AI537" s="61"/>
      <c r="AJ537" s="61"/>
      <c r="AK537" s="61"/>
      <c r="AL537" s="61"/>
      <c r="AM537" s="61"/>
      <c r="AN537" s="61"/>
      <c r="AO537" s="61"/>
      <c r="AP537" s="61"/>
      <c r="AQ537" s="61"/>
      <c r="AR537" s="61"/>
    </row>
    <row r="538">
      <c r="A538" s="95">
        <v>12.0</v>
      </c>
      <c r="B538" s="96" t="s">
        <v>3205</v>
      </c>
      <c r="C538" s="67" t="s">
        <v>3206</v>
      </c>
      <c r="D538" s="67" t="s">
        <v>3207</v>
      </c>
      <c r="E538" s="59"/>
      <c r="F538" s="67" t="s">
        <v>446</v>
      </c>
      <c r="G538" s="69"/>
      <c r="H538" s="67" t="s">
        <v>3208</v>
      </c>
      <c r="I538" s="67" t="s">
        <v>3209</v>
      </c>
      <c r="J538" s="67" t="s">
        <v>158</v>
      </c>
      <c r="K538" s="67" t="s">
        <v>110</v>
      </c>
      <c r="L538" s="67" t="s">
        <v>71</v>
      </c>
      <c r="M538" s="67" t="s">
        <v>3210</v>
      </c>
      <c r="N538" s="67" t="s">
        <v>26</v>
      </c>
      <c r="O538" s="67" t="s">
        <v>113</v>
      </c>
      <c r="P538" s="67" t="s">
        <v>95</v>
      </c>
      <c r="Q538" s="75" t="s">
        <v>3211</v>
      </c>
      <c r="R538" s="67" t="s">
        <v>76</v>
      </c>
      <c r="S538" s="67" t="s">
        <v>77</v>
      </c>
      <c r="T538" s="69"/>
      <c r="U538" s="67" t="s">
        <v>78</v>
      </c>
      <c r="V538" s="67" t="s">
        <v>98</v>
      </c>
      <c r="W538" s="67" t="s">
        <v>98</v>
      </c>
      <c r="X538" s="67" t="s">
        <v>148</v>
      </c>
      <c r="Y538" s="67" t="s">
        <v>71</v>
      </c>
      <c r="Z538" s="69"/>
      <c r="AA538" s="69"/>
      <c r="AB538" s="75" t="s">
        <v>3212</v>
      </c>
      <c r="AC538" s="67">
        <v>8.1313420367E10</v>
      </c>
      <c r="AD538" s="79" t="s">
        <v>3183</v>
      </c>
      <c r="AE538" s="59"/>
      <c r="AF538" s="68" t="s">
        <v>71</v>
      </c>
      <c r="AG538" s="60"/>
      <c r="AH538" s="61"/>
      <c r="AI538" s="61"/>
      <c r="AJ538" s="61"/>
      <c r="AK538" s="61"/>
      <c r="AL538" s="61"/>
      <c r="AM538" s="61"/>
      <c r="AN538" s="61"/>
      <c r="AO538" s="61"/>
      <c r="AP538" s="61"/>
      <c r="AQ538" s="61"/>
      <c r="AR538" s="61"/>
    </row>
    <row r="539">
      <c r="A539" s="95">
        <v>13.0</v>
      </c>
      <c r="B539" s="96" t="s">
        <v>3213</v>
      </c>
      <c r="C539" s="96" t="s">
        <v>3098</v>
      </c>
      <c r="D539" s="268" t="s">
        <v>3099</v>
      </c>
      <c r="E539" s="59"/>
      <c r="F539" s="79" t="s">
        <v>446</v>
      </c>
      <c r="G539" s="79" t="s">
        <v>123</v>
      </c>
      <c r="H539" s="79" t="s">
        <v>3100</v>
      </c>
      <c r="I539" s="69"/>
      <c r="J539" s="79" t="s">
        <v>158</v>
      </c>
      <c r="K539" s="79" t="s">
        <v>110</v>
      </c>
      <c r="L539" s="79" t="s">
        <v>152</v>
      </c>
      <c r="M539" s="67" t="s">
        <v>3214</v>
      </c>
      <c r="N539" s="79" t="s">
        <v>73</v>
      </c>
      <c r="O539" s="79" t="s">
        <v>73</v>
      </c>
      <c r="P539" s="79" t="s">
        <v>74</v>
      </c>
      <c r="Q539" s="131" t="s">
        <v>3215</v>
      </c>
      <c r="R539" s="79" t="s">
        <v>76</v>
      </c>
      <c r="S539" s="79" t="s">
        <v>97</v>
      </c>
      <c r="T539" s="69"/>
      <c r="U539" s="79" t="s">
        <v>78</v>
      </c>
      <c r="V539" s="79" t="s">
        <v>98</v>
      </c>
      <c r="W539" s="69"/>
      <c r="X539" s="69"/>
      <c r="Y539" s="79" t="s">
        <v>152</v>
      </c>
      <c r="Z539" s="79" t="s">
        <v>3102</v>
      </c>
      <c r="AA539" s="79" t="s">
        <v>162</v>
      </c>
      <c r="AB539" s="131" t="s">
        <v>3216</v>
      </c>
      <c r="AC539" s="79">
        <v>8.1280836809E10</v>
      </c>
      <c r="AD539" s="79" t="s">
        <v>3183</v>
      </c>
      <c r="AE539" s="59"/>
      <c r="AF539" s="68" t="s">
        <v>71</v>
      </c>
      <c r="AG539" s="60"/>
      <c r="AH539" s="61"/>
      <c r="AI539" s="61"/>
      <c r="AJ539" s="61"/>
      <c r="AK539" s="61"/>
      <c r="AL539" s="61"/>
      <c r="AM539" s="61"/>
      <c r="AN539" s="61"/>
      <c r="AO539" s="61"/>
      <c r="AP539" s="61"/>
      <c r="AQ539" s="61"/>
      <c r="AR539" s="61"/>
    </row>
    <row r="540">
      <c r="A540" s="95">
        <v>15.0</v>
      </c>
      <c r="B540" s="79" t="s">
        <v>2609</v>
      </c>
      <c r="C540" s="219" t="s">
        <v>2610</v>
      </c>
      <c r="D540" s="79" t="s">
        <v>2611</v>
      </c>
      <c r="E540" s="59"/>
      <c r="F540" s="79" t="s">
        <v>470</v>
      </c>
      <c r="G540" s="79" t="s">
        <v>123</v>
      </c>
      <c r="H540" s="79" t="s">
        <v>2612</v>
      </c>
      <c r="I540" s="282" t="s">
        <v>2613</v>
      </c>
      <c r="J540" s="79" t="s">
        <v>91</v>
      </c>
      <c r="K540" s="79" t="s">
        <v>110</v>
      </c>
      <c r="L540" s="79" t="s">
        <v>111</v>
      </c>
      <c r="M540" s="79" t="s">
        <v>2614</v>
      </c>
      <c r="N540" s="79" t="s">
        <v>26</v>
      </c>
      <c r="O540" s="79" t="s">
        <v>113</v>
      </c>
      <c r="P540" s="79" t="s">
        <v>95</v>
      </c>
      <c r="Q540" s="131" t="s">
        <v>3217</v>
      </c>
      <c r="R540" s="79" t="s">
        <v>76</v>
      </c>
      <c r="S540" s="79" t="s">
        <v>97</v>
      </c>
      <c r="T540" s="69"/>
      <c r="U540" s="79" t="s">
        <v>78</v>
      </c>
      <c r="V540" s="79" t="s">
        <v>98</v>
      </c>
      <c r="W540" s="79" t="s">
        <v>649</v>
      </c>
      <c r="X540" s="69"/>
      <c r="Y540" s="69"/>
      <c r="Z540" s="79" t="s">
        <v>2489</v>
      </c>
      <c r="AA540" s="79" t="s">
        <v>140</v>
      </c>
      <c r="AB540" s="131" t="s">
        <v>3218</v>
      </c>
      <c r="AC540" s="79">
        <v>8.1280836809E10</v>
      </c>
      <c r="AD540" s="79" t="s">
        <v>3183</v>
      </c>
      <c r="AE540" s="59"/>
      <c r="AF540" s="64" t="s">
        <v>71</v>
      </c>
      <c r="AG540" s="60"/>
      <c r="AH540" s="61"/>
      <c r="AI540" s="61"/>
      <c r="AJ540" s="61"/>
      <c r="AK540" s="61"/>
      <c r="AL540" s="61"/>
      <c r="AM540" s="61"/>
      <c r="AN540" s="61"/>
      <c r="AO540" s="61"/>
      <c r="AP540" s="61"/>
      <c r="AQ540" s="61"/>
      <c r="AR540" s="61"/>
    </row>
  </sheetData>
  <autoFilter ref="$A$4:$AR$540"/>
  <mergeCells count="6">
    <mergeCell ref="AG58:AR58"/>
    <mergeCell ref="AG75:AI75"/>
    <mergeCell ref="AG141:AH141"/>
    <mergeCell ref="AG143:AH143"/>
    <mergeCell ref="AG203:AH203"/>
    <mergeCell ref="AG249:AH249"/>
  </mergeCells>
  <dataValidations>
    <dataValidation type="list" allowBlank="1" showErrorMessage="1" sqref="O4:O540">
      <formula1>Ref!$O$2:$O$5</formula1>
    </dataValidation>
    <dataValidation type="list" allowBlank="1" showErrorMessage="1" sqref="R4:R540">
      <formula1>Ref!$R$2:$R$3</formula1>
    </dataValidation>
    <dataValidation type="list" allowBlank="1" showErrorMessage="1" sqref="F4:F540">
      <formula1>Ref!$F$2:$F$307</formula1>
    </dataValidation>
    <dataValidation type="list" allowBlank="1" showErrorMessage="1" sqref="N4:N540">
      <formula1>Ref!$N$2:$N$6</formula1>
    </dataValidation>
    <dataValidation type="list" allowBlank="1" showErrorMessage="1" sqref="AA4:AA540">
      <formula1>Ref!$AA$2:$AA$33</formula1>
    </dataValidation>
    <dataValidation type="list" allowBlank="1" showErrorMessage="1" sqref="X4:X540">
      <formula1>Ref!$X$2:$X$6</formula1>
    </dataValidation>
    <dataValidation type="list" allowBlank="1" showErrorMessage="1" sqref="Y4:Y540">
      <formula1>Ref!$Y$2:$Y$8</formula1>
    </dataValidation>
    <dataValidation type="list" allowBlank="1" showErrorMessage="1" sqref="G4:G540">
      <formula1>Ref!$G$2:$G$5</formula1>
    </dataValidation>
    <dataValidation type="list" allowBlank="1" showErrorMessage="1" sqref="K4:K540">
      <formula1>Ref!$K$2:$K$3</formula1>
    </dataValidation>
    <dataValidation type="list" allowBlank="1" showErrorMessage="1" sqref="AF4">
      <formula1>"Setiap Saat,Harian,Bulanan,Tahunan,Insidentil"</formula1>
    </dataValidation>
    <dataValidation type="list" allowBlank="1" showErrorMessage="1" sqref="S4:S540">
      <formula1>Ref!$S$2:$S$3</formula1>
    </dataValidation>
    <dataValidation type="list" allowBlank="1" showErrorMessage="1" sqref="V4:V540">
      <formula1>Ref!$V$2:$V$3</formula1>
    </dataValidation>
    <dataValidation type="list" allowBlank="1" showErrorMessage="1" sqref="P4:P540">
      <formula1>Ref!$P$2:$P$5</formula1>
    </dataValidation>
    <dataValidation type="list" allowBlank="1" sqref="M8 M13 M17">
      <formula1>#REF!</formula1>
    </dataValidation>
    <dataValidation type="list" allowBlank="1" showErrorMessage="1" sqref="J4:J540">
      <formula1>Ref!$J$2:$J$5</formula1>
    </dataValidation>
    <dataValidation type="list" allowBlank="1" showErrorMessage="1" sqref="U4:U540">
      <formula1>Ref!$U$2:$U$4</formula1>
    </dataValidation>
    <dataValidation type="list" allowBlank="1" showErrorMessage="1" sqref="L4:L540">
      <formula1>Ref!$L$2:$L$6</formula1>
    </dataValidation>
  </dataValidations>
  <hyperlinks>
    <hyperlink r:id="rId1" ref="Q4"/>
    <hyperlink r:id="rId2" ref="AB4"/>
    <hyperlink r:id="rId3" ref="Q7"/>
    <hyperlink r:id="rId4" ref="Q8"/>
    <hyperlink r:id="rId5" ref="Q14"/>
    <hyperlink r:id="rId6" ref="Q17"/>
    <hyperlink r:id="rId7" ref="Q21"/>
    <hyperlink r:id="rId8" ref="Q23"/>
    <hyperlink r:id="rId9" ref="Q24"/>
    <hyperlink r:id="rId10" ref="Q25"/>
    <hyperlink r:id="rId11" ref="Q26"/>
    <hyperlink r:id="rId12" ref="Q27"/>
    <hyperlink r:id="rId13" ref="Q28"/>
    <hyperlink r:id="rId14" ref="Q30"/>
    <hyperlink r:id="rId15" ref="Q31"/>
    <hyperlink r:id="rId16" ref="Q32"/>
    <hyperlink r:id="rId17" ref="Q33"/>
    <hyperlink r:id="rId18" ref="Q34"/>
    <hyperlink r:id="rId19" ref="Q35"/>
    <hyperlink r:id="rId20" ref="Q37"/>
    <hyperlink r:id="rId21" ref="Q38"/>
    <hyperlink r:id="rId22" ref="Q41"/>
    <hyperlink r:id="rId23" ref="AB41"/>
    <hyperlink r:id="rId24" ref="Q42"/>
    <hyperlink r:id="rId25" ref="AB42"/>
    <hyperlink r:id="rId26" ref="Q43"/>
    <hyperlink r:id="rId27" ref="Q44"/>
    <hyperlink r:id="rId28" ref="AB44"/>
    <hyperlink r:id="rId29" ref="Q46"/>
    <hyperlink r:id="rId30" ref="Q49"/>
    <hyperlink r:id="rId31" ref="AB49"/>
    <hyperlink r:id="rId32" ref="Q50"/>
    <hyperlink r:id="rId33" ref="AB50"/>
    <hyperlink r:id="rId34" ref="Q51"/>
    <hyperlink r:id="rId35" ref="AB51"/>
    <hyperlink r:id="rId36" ref="Q53"/>
    <hyperlink r:id="rId37" ref="Q55"/>
    <hyperlink r:id="rId38" ref="Q56"/>
    <hyperlink r:id="rId39" ref="Q58"/>
    <hyperlink r:id="rId40" ref="Q60"/>
    <hyperlink r:id="rId41" ref="Q61"/>
    <hyperlink r:id="rId42" location="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 ref="Q62"/>
    <hyperlink r:id="rId43" ref="Q63"/>
    <hyperlink r:id="rId44" ref="Q64"/>
    <hyperlink r:id="rId45" ref="Q65"/>
    <hyperlink r:id="rId46" ref="Q66"/>
    <hyperlink r:id="rId47" ref="Q67"/>
    <hyperlink r:id="rId48" ref="Q68"/>
    <hyperlink r:id="rId49" ref="E70"/>
    <hyperlink r:id="rId50" ref="Q70"/>
    <hyperlink r:id="rId51" ref="Q71"/>
    <hyperlink r:id="rId52" ref="E73"/>
    <hyperlink r:id="rId53" ref="Q73"/>
    <hyperlink r:id="rId54" ref="Q75"/>
    <hyperlink r:id="rId55" ref="AB75"/>
    <hyperlink r:id="rId56" location="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 ref="Q76"/>
    <hyperlink r:id="rId57" ref="AB76"/>
    <hyperlink r:id="rId58" ref="E78"/>
    <hyperlink r:id="rId59" ref="Q79"/>
    <hyperlink r:id="rId60" ref="Q80"/>
    <hyperlink r:id="rId61" ref="E83"/>
    <hyperlink r:id="rId62" ref="Q83"/>
    <hyperlink r:id="rId63" ref="E84"/>
    <hyperlink r:id="rId64" ref="M84"/>
    <hyperlink r:id="rId65" ref="Q84"/>
    <hyperlink r:id="rId66" ref="Q86"/>
    <hyperlink r:id="rId67" ref="Q87"/>
    <hyperlink r:id="rId68" ref="Q91"/>
    <hyperlink r:id="rId69" ref="Q92"/>
    <hyperlink r:id="rId70" ref="Q93"/>
    <hyperlink r:id="rId71" ref="Q94"/>
    <hyperlink r:id="rId72" ref="Q96"/>
    <hyperlink r:id="rId73" ref="Q97"/>
    <hyperlink r:id="rId74" ref="Q98"/>
    <hyperlink r:id="rId75" ref="Q100"/>
    <hyperlink r:id="rId76" ref="Q101"/>
    <hyperlink r:id="rId77" ref="Q102"/>
    <hyperlink r:id="rId78" ref="Q103"/>
    <hyperlink r:id="rId79" ref="Q106"/>
    <hyperlink r:id="rId80" ref="Q107"/>
    <hyperlink r:id="rId81" ref="Q108"/>
    <hyperlink r:id="rId82" ref="Q111"/>
    <hyperlink r:id="rId83" ref="Q116"/>
    <hyperlink r:id="rId84" ref="Q118"/>
    <hyperlink r:id="rId85" ref="E119"/>
    <hyperlink r:id="rId86" ref="Q119"/>
    <hyperlink r:id="rId87" ref="E120"/>
    <hyperlink r:id="rId88" ref="Q120"/>
    <hyperlink r:id="rId89" ref="Q121"/>
    <hyperlink r:id="rId90" ref="E122"/>
    <hyperlink r:id="rId91" ref="Q122"/>
    <hyperlink r:id="rId92" ref="E123"/>
    <hyperlink r:id="rId93" ref="Q123"/>
    <hyperlink r:id="rId94" ref="Q124"/>
    <hyperlink r:id="rId95" ref="E125"/>
    <hyperlink r:id="rId96" ref="E130"/>
    <hyperlink r:id="rId97" ref="Q130"/>
    <hyperlink r:id="rId98" ref="E132"/>
    <hyperlink r:id="rId99" ref="Q132"/>
    <hyperlink r:id="rId100" ref="E133"/>
    <hyperlink r:id="rId101" ref="E134"/>
    <hyperlink r:id="rId102" ref="E135"/>
    <hyperlink r:id="rId103" ref="E136"/>
    <hyperlink r:id="rId104" ref="E137"/>
    <hyperlink r:id="rId105" ref="AB137"/>
    <hyperlink r:id="rId106" ref="E138"/>
    <hyperlink r:id="rId107" ref="E140"/>
    <hyperlink r:id="rId108" ref="Q140"/>
    <hyperlink r:id="rId109" ref="W140"/>
    <hyperlink r:id="rId110" ref="Q141"/>
    <hyperlink r:id="rId111" ref="W141"/>
    <hyperlink r:id="rId112" ref="Q142"/>
    <hyperlink r:id="rId113" ref="E143"/>
    <hyperlink r:id="rId114" ref="Q143"/>
    <hyperlink r:id="rId115" ref="E145"/>
    <hyperlink r:id="rId116" ref="Q145"/>
    <hyperlink r:id="rId117" ref="E146"/>
    <hyperlink r:id="rId118" ref="Q146"/>
    <hyperlink r:id="rId119" ref="Q147"/>
    <hyperlink r:id="rId120" ref="E148"/>
    <hyperlink r:id="rId121" ref="Q148"/>
    <hyperlink r:id="rId122" ref="E149"/>
    <hyperlink r:id="rId123" ref="Q149"/>
    <hyperlink r:id="rId124" ref="Q150"/>
    <hyperlink r:id="rId125" ref="Q152"/>
    <hyperlink r:id="rId126" ref="Q153"/>
    <hyperlink r:id="rId127" ref="Q154"/>
    <hyperlink r:id="rId128" ref="Q155"/>
    <hyperlink r:id="rId129" ref="Q156"/>
    <hyperlink r:id="rId130" ref="Q157"/>
    <hyperlink r:id="rId131" ref="Q158"/>
    <hyperlink r:id="rId132" ref="E160"/>
    <hyperlink r:id="rId133" ref="Q160"/>
    <hyperlink r:id="rId134" ref="Q161"/>
    <hyperlink r:id="rId135" ref="E162"/>
    <hyperlink r:id="rId136" ref="Q162"/>
    <hyperlink r:id="rId137" location="/" ref="Q164"/>
    <hyperlink r:id="rId138" location="/home/login" ref="Q165"/>
    <hyperlink r:id="rId139" ref="Q166"/>
    <hyperlink r:id="rId140" ref="Q167"/>
    <hyperlink r:id="rId141" ref="E168"/>
    <hyperlink r:id="rId142" ref="Q168"/>
    <hyperlink r:id="rId143" ref="E169"/>
    <hyperlink r:id="rId144" ref="Q169"/>
    <hyperlink r:id="rId145" ref="E170"/>
    <hyperlink r:id="rId146" ref="Q170"/>
    <hyperlink r:id="rId147" ref="Q171"/>
    <hyperlink r:id="rId148" ref="F173"/>
    <hyperlink r:id="rId149" ref="R174"/>
    <hyperlink r:id="rId150" ref="Q176"/>
    <hyperlink r:id="rId151" ref="Q177"/>
    <hyperlink r:id="rId152" ref="Q178"/>
    <hyperlink r:id="rId153" ref="Q179"/>
    <hyperlink r:id="rId154" ref="Q180"/>
    <hyperlink r:id="rId155" ref="Q181"/>
    <hyperlink r:id="rId156" ref="Q183"/>
    <hyperlink r:id="rId157" ref="Q184"/>
    <hyperlink r:id="rId158" ref="Q186"/>
    <hyperlink r:id="rId159" ref="Q187"/>
    <hyperlink r:id="rId160" ref="Q188"/>
    <hyperlink r:id="rId161" ref="E189"/>
    <hyperlink r:id="rId162" ref="E191"/>
    <hyperlink r:id="rId163" ref="Q191"/>
    <hyperlink r:id="rId164" ref="E192"/>
    <hyperlink r:id="rId165" ref="Q192"/>
    <hyperlink r:id="rId166" ref="E193"/>
    <hyperlink r:id="rId167" ref="Q193"/>
    <hyperlink r:id="rId168" ref="AB193"/>
    <hyperlink r:id="rId169" ref="E194"/>
    <hyperlink r:id="rId170" ref="Q194"/>
    <hyperlink r:id="rId171" ref="Q195"/>
    <hyperlink r:id="rId172" ref="E196"/>
    <hyperlink r:id="rId173" ref="M196"/>
    <hyperlink r:id="rId174" ref="Q196"/>
    <hyperlink r:id="rId175" ref="E197"/>
    <hyperlink r:id="rId176" ref="Q198"/>
    <hyperlink r:id="rId177" ref="Q199"/>
    <hyperlink r:id="rId178" ref="E200"/>
    <hyperlink r:id="rId179" ref="E201"/>
    <hyperlink r:id="rId180" ref="Q201"/>
    <hyperlink r:id="rId181" ref="E203"/>
    <hyperlink r:id="rId182" ref="Q203"/>
    <hyperlink r:id="rId183" ref="E204"/>
    <hyperlink r:id="rId184" ref="Q204"/>
    <hyperlink r:id="rId185" ref="E205"/>
    <hyperlink r:id="rId186" ref="Q205"/>
    <hyperlink r:id="rId187" ref="Q206"/>
    <hyperlink r:id="rId188" ref="E207"/>
    <hyperlink r:id="rId189" ref="Q207"/>
    <hyperlink r:id="rId190" ref="E208"/>
    <hyperlink r:id="rId191" ref="Q208"/>
    <hyperlink r:id="rId192" ref="E209"/>
    <hyperlink r:id="rId193" ref="Q209"/>
    <hyperlink r:id="rId194" ref="E211"/>
    <hyperlink r:id="rId195" ref="Q211"/>
    <hyperlink r:id="rId196" ref="E212"/>
    <hyperlink r:id="rId197" ref="Q212"/>
    <hyperlink r:id="rId198" ref="E213"/>
    <hyperlink r:id="rId199" ref="Q213"/>
    <hyperlink r:id="rId200" ref="Q215"/>
    <hyperlink r:id="rId201" ref="Q217"/>
    <hyperlink r:id="rId202" ref="AB217"/>
    <hyperlink r:id="rId203" ref="Q218"/>
    <hyperlink r:id="rId204" ref="Q219"/>
    <hyperlink r:id="rId205" ref="Q220"/>
    <hyperlink r:id="rId206" ref="AB220"/>
    <hyperlink r:id="rId207" ref="E222"/>
    <hyperlink r:id="rId208" ref="Q222"/>
    <hyperlink r:id="rId209" ref="AB222"/>
    <hyperlink r:id="rId210" ref="E223"/>
    <hyperlink r:id="rId211" ref="Q223"/>
    <hyperlink r:id="rId212" ref="Q224"/>
    <hyperlink r:id="rId213" ref="Q225"/>
    <hyperlink r:id="rId214" ref="Q226"/>
    <hyperlink r:id="rId215" ref="E228"/>
    <hyperlink r:id="rId216" ref="Q228"/>
    <hyperlink r:id="rId217" ref="E229"/>
    <hyperlink r:id="rId218" ref="Q229"/>
    <hyperlink r:id="rId219" ref="E230"/>
    <hyperlink r:id="rId220" ref="Q230"/>
    <hyperlink r:id="rId221" ref="E231"/>
    <hyperlink r:id="rId222" ref="Q231"/>
    <hyperlink r:id="rId223" ref="E232"/>
    <hyperlink r:id="rId224" ref="E233"/>
    <hyperlink r:id="rId225" ref="E234"/>
    <hyperlink r:id="rId226" ref="E235"/>
    <hyperlink r:id="rId227" ref="Q237"/>
    <hyperlink r:id="rId228" ref="E238"/>
    <hyperlink r:id="rId229" ref="E241"/>
    <hyperlink r:id="rId230" ref="Q241"/>
    <hyperlink r:id="rId231" ref="E244"/>
    <hyperlink r:id="rId232" ref="Q244"/>
    <hyperlink r:id="rId233" ref="E245"/>
    <hyperlink r:id="rId234" ref="E246"/>
    <hyperlink r:id="rId235" ref="Q246"/>
    <hyperlink r:id="rId236" ref="E247"/>
    <hyperlink r:id="rId237" ref="Q247"/>
    <hyperlink r:id="rId238" ref="E248"/>
    <hyperlink r:id="rId239" ref="Q248"/>
    <hyperlink r:id="rId240" ref="Q250"/>
    <hyperlink r:id="rId241" ref="Q251"/>
    <hyperlink r:id="rId242" ref="Q252"/>
    <hyperlink r:id="rId243" ref="Q253"/>
    <hyperlink r:id="rId244" ref="Q254"/>
    <hyperlink r:id="rId245" ref="Q255"/>
    <hyperlink r:id="rId246" ref="Q256"/>
    <hyperlink r:id="rId247" ref="Q257"/>
    <hyperlink r:id="rId248" ref="AD257"/>
    <hyperlink r:id="rId249" ref="E258"/>
    <hyperlink r:id="rId250" ref="Q258"/>
    <hyperlink r:id="rId251" ref="AD258"/>
    <hyperlink r:id="rId252" ref="Q259"/>
    <hyperlink r:id="rId253" ref="Q261"/>
    <hyperlink r:id="rId254" ref="E262"/>
    <hyperlink r:id="rId255" ref="Q262"/>
    <hyperlink r:id="rId256" ref="Q263"/>
    <hyperlink r:id="rId257" ref="Q264"/>
    <hyperlink r:id="rId258" ref="E265"/>
    <hyperlink r:id="rId259" location="pembukuan" ref="Q265"/>
    <hyperlink r:id="rId260" ref="E266"/>
    <hyperlink r:id="rId261" ref="Q266"/>
    <hyperlink r:id="rId262" ref="E267"/>
    <hyperlink r:id="rId263" ref="Q267"/>
    <hyperlink r:id="rId264" ref="Q268"/>
    <hyperlink r:id="rId265" ref="Q269"/>
    <hyperlink r:id="rId266" ref="E272"/>
    <hyperlink r:id="rId267" ref="Q272"/>
    <hyperlink r:id="rId268" ref="E273"/>
    <hyperlink r:id="rId269" ref="Q273"/>
    <hyperlink r:id="rId270" ref="E274"/>
    <hyperlink r:id="rId271" ref="E275"/>
    <hyperlink r:id="rId272" ref="Q275"/>
    <hyperlink r:id="rId273" ref="E276"/>
    <hyperlink r:id="rId274" ref="Q276"/>
    <hyperlink r:id="rId275" ref="E277"/>
    <hyperlink r:id="rId276" ref="Q277"/>
    <hyperlink r:id="rId277" ref="Q278"/>
    <hyperlink r:id="rId278" ref="Q279"/>
    <hyperlink r:id="rId279" ref="Q280"/>
    <hyperlink r:id="rId280" ref="Q281"/>
    <hyperlink r:id="rId281" ref="Q282"/>
    <hyperlink r:id="rId282" ref="Q283"/>
    <hyperlink r:id="rId283" ref="Q284"/>
    <hyperlink r:id="rId284" ref="Q286"/>
    <hyperlink r:id="rId285" location="/pages/login" ref="Q287"/>
    <hyperlink r:id="rId286" ref="Q289"/>
    <hyperlink r:id="rId287" ref="Q290"/>
    <hyperlink r:id="rId288" ref="E292"/>
    <hyperlink r:id="rId289" ref="Q292"/>
    <hyperlink r:id="rId290" ref="AD292"/>
    <hyperlink r:id="rId291" ref="E293"/>
    <hyperlink r:id="rId292" ref="Q293"/>
    <hyperlink r:id="rId293" ref="AD293"/>
    <hyperlink r:id="rId294" ref="E295"/>
    <hyperlink r:id="rId295" ref="E296"/>
    <hyperlink r:id="rId296" ref="Q296"/>
    <hyperlink r:id="rId297" ref="E298"/>
    <hyperlink r:id="rId298" ref="Q298"/>
    <hyperlink r:id="rId299" ref="E299"/>
    <hyperlink r:id="rId300" ref="Q299"/>
    <hyperlink r:id="rId301" ref="E300"/>
    <hyperlink r:id="rId302" ref="Q300"/>
    <hyperlink r:id="rId303" ref="E302"/>
    <hyperlink r:id="rId304" ref="E303"/>
    <hyperlink r:id="rId305" ref="Q303"/>
    <hyperlink r:id="rId306" ref="Q304"/>
    <hyperlink r:id="rId307" ref="Q305"/>
    <hyperlink r:id="rId308" ref="Q306"/>
    <hyperlink r:id="rId309" ref="Q307"/>
    <hyperlink r:id="rId310" ref="AB307"/>
    <hyperlink r:id="rId311" ref="Q308"/>
    <hyperlink r:id="rId312" ref="AB308"/>
    <hyperlink r:id="rId313" ref="Q309"/>
    <hyperlink r:id="rId314" ref="Q310"/>
    <hyperlink r:id="rId315" ref="Q311"/>
    <hyperlink r:id="rId316" ref="Q312"/>
    <hyperlink r:id="rId317" ref="Q314"/>
    <hyperlink r:id="rId318" ref="Q315"/>
    <hyperlink r:id="rId319" ref="Q316"/>
    <hyperlink r:id="rId320" ref="Q317"/>
    <hyperlink r:id="rId321" ref="E318"/>
    <hyperlink r:id="rId322" ref="Q318"/>
    <hyperlink r:id="rId323" ref="Q319"/>
    <hyperlink r:id="rId324" ref="Q321"/>
    <hyperlink r:id="rId325" ref="Q322"/>
    <hyperlink r:id="rId326" ref="Q323"/>
    <hyperlink r:id="rId327" ref="Q324"/>
    <hyperlink r:id="rId328" ref="Q325"/>
    <hyperlink r:id="rId329" ref="Q326"/>
    <hyperlink r:id="rId330" ref="Q327"/>
    <hyperlink r:id="rId331" ref="Q328"/>
    <hyperlink r:id="rId332" ref="Q329"/>
    <hyperlink r:id="rId333" ref="Q330"/>
    <hyperlink r:id="rId334" ref="Q331"/>
    <hyperlink r:id="rId335" ref="Q332"/>
    <hyperlink r:id="rId336" ref="AB332"/>
    <hyperlink r:id="rId337" ref="Q333"/>
    <hyperlink r:id="rId338" ref="AB333"/>
    <hyperlink r:id="rId339" ref="AD333"/>
    <hyperlink r:id="rId340" ref="Q334"/>
    <hyperlink r:id="rId341" ref="Q335"/>
    <hyperlink r:id="rId342" ref="E337"/>
    <hyperlink r:id="rId343" ref="E338"/>
    <hyperlink r:id="rId344" ref="Q338"/>
    <hyperlink r:id="rId345" ref="Q339"/>
    <hyperlink r:id="rId346" ref="Q340"/>
    <hyperlink r:id="rId347" ref="Q341"/>
    <hyperlink r:id="rId348" ref="Q342"/>
    <hyperlink r:id="rId349" ref="AB342"/>
    <hyperlink r:id="rId350" ref="Q343"/>
    <hyperlink r:id="rId351" ref="AB343"/>
    <hyperlink r:id="rId352" ref="Q344"/>
    <hyperlink r:id="rId353" ref="Q345"/>
    <hyperlink r:id="rId354" ref="Q346"/>
    <hyperlink r:id="rId355" ref="Q347"/>
    <hyperlink r:id="rId356" ref="Q349"/>
    <hyperlink r:id="rId357" ref="Q350"/>
    <hyperlink r:id="rId358" ref="Q351"/>
    <hyperlink r:id="rId359" ref="Q352"/>
    <hyperlink r:id="rId360" ref="E353"/>
    <hyperlink r:id="rId361" ref="Q353"/>
    <hyperlink r:id="rId362" ref="Q354"/>
    <hyperlink r:id="rId363" ref="Q356"/>
    <hyperlink r:id="rId364" ref="Q357"/>
    <hyperlink r:id="rId365" ref="Q358"/>
    <hyperlink r:id="rId366" ref="Q359"/>
    <hyperlink r:id="rId367" ref="Q360"/>
    <hyperlink r:id="rId368" ref="Q361"/>
    <hyperlink r:id="rId369" ref="Q362"/>
    <hyperlink r:id="rId370" ref="Q363"/>
    <hyperlink r:id="rId371" ref="Q364"/>
    <hyperlink r:id="rId372" ref="Q365"/>
    <hyperlink r:id="rId373" ref="Q366"/>
    <hyperlink r:id="rId374" ref="Q367"/>
    <hyperlink r:id="rId375" ref="AB367"/>
    <hyperlink r:id="rId376" ref="Q368"/>
    <hyperlink r:id="rId377" ref="AB368"/>
    <hyperlink r:id="rId378" ref="AD368"/>
    <hyperlink r:id="rId379" ref="Q369"/>
    <hyperlink r:id="rId380" ref="Q370"/>
    <hyperlink r:id="rId381" ref="E372"/>
    <hyperlink r:id="rId382" ref="E373"/>
    <hyperlink r:id="rId383" ref="Q373"/>
    <hyperlink r:id="rId384" ref="Q374"/>
    <hyperlink r:id="rId385" ref="Q375"/>
    <hyperlink r:id="rId386" ref="Q376"/>
    <hyperlink r:id="rId387" ref="Q377"/>
    <hyperlink r:id="rId388" ref="Q378"/>
    <hyperlink r:id="rId389" ref="Q379"/>
    <hyperlink r:id="rId390" ref="Q380"/>
    <hyperlink r:id="rId391" ref="Q381"/>
    <hyperlink r:id="rId392" ref="Q382"/>
    <hyperlink r:id="rId393" ref="Q383"/>
    <hyperlink r:id="rId394" ref="Q384"/>
    <hyperlink r:id="rId395" ref="Q385"/>
    <hyperlink r:id="rId396" ref="Q386"/>
    <hyperlink r:id="rId397" ref="E387"/>
    <hyperlink r:id="rId398" ref="Q387"/>
    <hyperlink r:id="rId399" ref="Q388"/>
    <hyperlink r:id="rId400" ref="Q390"/>
    <hyperlink r:id="rId401" ref="Q391"/>
    <hyperlink r:id="rId402" ref="Q392"/>
    <hyperlink r:id="rId403" ref="E393"/>
    <hyperlink r:id="rId404" ref="Q393"/>
    <hyperlink r:id="rId405" ref="Q394"/>
    <hyperlink r:id="rId406" ref="Q395"/>
    <hyperlink r:id="rId407" ref="Q396"/>
    <hyperlink r:id="rId408" ref="Q397"/>
    <hyperlink r:id="rId409" ref="Q398"/>
    <hyperlink r:id="rId410" ref="Q399"/>
    <hyperlink r:id="rId411" ref="Q400"/>
    <hyperlink r:id="rId412" ref="Q401"/>
    <hyperlink r:id="rId413" ref="Q402"/>
    <hyperlink r:id="rId414" ref="Q403"/>
    <hyperlink r:id="rId415" ref="Q404"/>
    <hyperlink r:id="rId416" ref="Q408"/>
    <hyperlink r:id="rId417" ref="Q409"/>
    <hyperlink r:id="rId418" ref="AB409"/>
    <hyperlink r:id="rId419" ref="Q410"/>
    <hyperlink r:id="rId420" ref="AB410"/>
    <hyperlink r:id="rId421" ref="Q411"/>
    <hyperlink r:id="rId422" ref="W411"/>
    <hyperlink r:id="rId423" ref="AB411"/>
    <hyperlink r:id="rId424" ref="Q412"/>
    <hyperlink r:id="rId425" ref="W412"/>
    <hyperlink r:id="rId426" ref="AB412"/>
    <hyperlink r:id="rId427" ref="E415"/>
    <hyperlink r:id="rId428" ref="Q416"/>
    <hyperlink r:id="rId429" ref="Q417"/>
    <hyperlink r:id="rId430" ref="Q418"/>
    <hyperlink r:id="rId431" ref="Q419"/>
    <hyperlink r:id="rId432" ref="Q420"/>
    <hyperlink r:id="rId433" ref="Q421"/>
    <hyperlink r:id="rId434" ref="Q422"/>
    <hyperlink r:id="rId435" ref="Q423"/>
    <hyperlink r:id="rId436" ref="Q424"/>
    <hyperlink r:id="rId437" ref="Q425"/>
    <hyperlink r:id="rId438" ref="Q426"/>
    <hyperlink r:id="rId439" ref="E427"/>
    <hyperlink r:id="rId440" ref="Q427"/>
    <hyperlink r:id="rId441" ref="Q428"/>
    <hyperlink r:id="rId442" ref="Q430"/>
    <hyperlink r:id="rId443" ref="Q431"/>
    <hyperlink r:id="rId444" ref="Q432"/>
    <hyperlink r:id="rId445" ref="E433"/>
    <hyperlink r:id="rId446" ref="Q433"/>
    <hyperlink r:id="rId447" ref="Q434"/>
    <hyperlink r:id="rId448" ref="Q435"/>
    <hyperlink r:id="rId449" ref="Q436"/>
    <hyperlink r:id="rId450" ref="Q437"/>
    <hyperlink r:id="rId451" ref="Q438"/>
    <hyperlink r:id="rId452" ref="Q439"/>
    <hyperlink r:id="rId453" ref="Q440"/>
    <hyperlink r:id="rId454" ref="Q441"/>
    <hyperlink r:id="rId455" ref="Q442"/>
    <hyperlink r:id="rId456" ref="Q444"/>
    <hyperlink r:id="rId457" ref="Q445"/>
    <hyperlink r:id="rId458" ref="Q446"/>
    <hyperlink r:id="rId459" ref="Q447"/>
    <hyperlink r:id="rId460" ref="Q448"/>
    <hyperlink r:id="rId461" ref="Q449"/>
    <hyperlink r:id="rId462" ref="Q450"/>
    <hyperlink r:id="rId463" ref="Q451"/>
    <hyperlink r:id="rId464" ref="Q452"/>
    <hyperlink r:id="rId465" ref="Q453"/>
    <hyperlink r:id="rId466" ref="Q454"/>
    <hyperlink r:id="rId467" ref="E455"/>
    <hyperlink r:id="rId468" ref="Q455"/>
    <hyperlink r:id="rId469" ref="Q456"/>
    <hyperlink r:id="rId470" ref="Q458"/>
    <hyperlink r:id="rId471" ref="Q459"/>
    <hyperlink r:id="rId472" ref="Q460"/>
    <hyperlink r:id="rId473" ref="E461"/>
    <hyperlink r:id="rId474" ref="Q461"/>
    <hyperlink r:id="rId475" ref="Q462"/>
    <hyperlink r:id="rId476" ref="Q463"/>
    <hyperlink r:id="rId477" ref="Q464"/>
    <hyperlink r:id="rId478" ref="Q465"/>
    <hyperlink r:id="rId479" ref="Q466"/>
    <hyperlink r:id="rId480" ref="Q467"/>
    <hyperlink r:id="rId481" ref="Q468"/>
    <hyperlink r:id="rId482" ref="Q469"/>
    <hyperlink r:id="rId483" ref="Q471"/>
    <hyperlink r:id="rId484" ref="Q472"/>
    <hyperlink r:id="rId485" ref="Q474"/>
    <hyperlink r:id="rId486" ref="E476"/>
    <hyperlink r:id="rId487" ref="Q476"/>
    <hyperlink r:id="rId488" ref="Q477"/>
    <hyperlink r:id="rId489" ref="E478"/>
    <hyperlink r:id="rId490" ref="Q478"/>
    <hyperlink r:id="rId491" ref="Q479"/>
    <hyperlink r:id="rId492" ref="D480"/>
    <hyperlink r:id="rId493" ref="E480"/>
    <hyperlink r:id="rId494" ref="Q480"/>
    <hyperlink r:id="rId495" ref="C481"/>
    <hyperlink r:id="rId496" ref="Q481"/>
    <hyperlink r:id="rId497" ref="D482"/>
    <hyperlink r:id="rId498" location="/" ref="Q483"/>
    <hyperlink r:id="rId499" ref="Q484"/>
    <hyperlink r:id="rId500" ref="Q485"/>
    <hyperlink r:id="rId501" ref="D486"/>
    <hyperlink r:id="rId502" ref="Q486"/>
    <hyperlink r:id="rId503" ref="Q487"/>
    <hyperlink r:id="rId504" ref="Q488"/>
    <hyperlink r:id="rId505" ref="Q489"/>
    <hyperlink r:id="rId506" ref="Q490"/>
    <hyperlink r:id="rId507" ref="Q491"/>
    <hyperlink r:id="rId508" ref="Q492"/>
    <hyperlink r:id="rId509" ref="Q493"/>
    <hyperlink r:id="rId510" ref="Q494"/>
    <hyperlink r:id="rId511" ref="AB495"/>
    <hyperlink r:id="rId512" ref="Q497"/>
    <hyperlink r:id="rId513" ref="Q501"/>
    <hyperlink r:id="rId514" ref="Q502"/>
    <hyperlink r:id="rId515" ref="Q503"/>
    <hyperlink r:id="rId516" ref="Q504"/>
    <hyperlink r:id="rId517" ref="Q505"/>
    <hyperlink r:id="rId518" ref="Q506"/>
    <hyperlink r:id="rId519" ref="Q507"/>
    <hyperlink r:id="rId520" ref="Q508"/>
    <hyperlink r:id="rId521" ref="Q509"/>
    <hyperlink r:id="rId522" ref="Q510"/>
    <hyperlink r:id="rId523" ref="Q511"/>
    <hyperlink r:id="rId524" ref="Q512"/>
    <hyperlink r:id="rId525" ref="Q514"/>
    <hyperlink r:id="rId526" ref="Q515"/>
    <hyperlink r:id="rId527" ref="Q516"/>
    <hyperlink r:id="rId528" ref="E517"/>
    <hyperlink r:id="rId529" ref="Q517"/>
    <hyperlink r:id="rId530" ref="Q518"/>
    <hyperlink r:id="rId531" ref="Q519"/>
    <hyperlink r:id="rId532" ref="Q520"/>
    <hyperlink r:id="rId533" ref="Q521"/>
    <hyperlink r:id="rId534" ref="Q522"/>
    <hyperlink r:id="rId535" ref="Q523"/>
    <hyperlink r:id="rId536" ref="Q524"/>
    <hyperlink r:id="rId537" ref="Q525"/>
    <hyperlink r:id="rId538" ref="Q527"/>
    <hyperlink r:id="rId539" ref="Q528"/>
    <hyperlink r:id="rId540" ref="Q529"/>
    <hyperlink r:id="rId541" ref="Q530"/>
    <hyperlink r:id="rId542" ref="Q531"/>
    <hyperlink r:id="rId543" ref="D532"/>
    <hyperlink r:id="rId544" ref="E532"/>
    <hyperlink r:id="rId545" ref="Q532"/>
    <hyperlink r:id="rId546" ref="C533"/>
    <hyperlink r:id="rId547" ref="Q533"/>
    <hyperlink r:id="rId548" ref="D534"/>
    <hyperlink r:id="rId549" location="/" ref="Q535"/>
    <hyperlink r:id="rId550" ref="Q536"/>
    <hyperlink r:id="rId551" ref="AB536"/>
    <hyperlink r:id="rId552" ref="Q537"/>
    <hyperlink r:id="rId553" ref="AB537"/>
    <hyperlink r:id="rId554" ref="Q538"/>
    <hyperlink r:id="rId555" ref="AB538"/>
    <hyperlink r:id="rId556" ref="Q539"/>
    <hyperlink r:id="rId557" ref="AB539"/>
    <hyperlink r:id="rId558" ref="Q540"/>
    <hyperlink r:id="rId559" ref="AB540"/>
  </hyperlinks>
  <printOptions gridLines="1" horizontalCentered="1"/>
  <pageMargins bottom="0.75" footer="0.0" header="0.0" left="0.7" right="0.7" top="0.75"/>
  <pageSetup fitToHeight="0" paperSize="9" cellComments="atEnd" orientation="landscape" pageOrder="overThenDown"/>
  <drawing r:id="rId56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0.13"/>
    <col customWidth="1" min="2" max="2" width="21.38"/>
    <col customWidth="1" min="3" max="3" width="59.63"/>
    <col customWidth="1" min="4" max="4" width="35.5"/>
    <col customWidth="1" min="5" max="5" width="17.0"/>
    <col customWidth="1" min="6" max="6" width="34.13"/>
    <col customWidth="1" min="7" max="7" width="16.75"/>
    <col customWidth="1" min="9" max="9" width="12.13"/>
    <col customWidth="1" min="10" max="10" width="13.13"/>
    <col customWidth="1" min="11" max="11" width="15.0"/>
    <col customWidth="1" min="12" max="12" width="14.25"/>
    <col customWidth="1" min="13" max="13" width="20.13"/>
    <col customWidth="1" min="14" max="14" width="18.13"/>
    <col customWidth="1" min="15" max="15" width="18.38"/>
    <col customWidth="1" min="16" max="16" width="17.0"/>
    <col customWidth="1" min="17" max="17" width="22.5"/>
    <col customWidth="1" min="18" max="18" width="18.63"/>
    <col customWidth="1" min="19" max="19" width="17.75"/>
    <col customWidth="1" min="20" max="20" width="16.88"/>
    <col customWidth="1" min="23" max="23" width="15.38"/>
    <col customWidth="1" min="24" max="24" width="16.75"/>
    <col customWidth="1" min="25" max="25" width="15.88"/>
    <col customWidth="1" min="26" max="26" width="15.5"/>
    <col customWidth="1" min="27" max="27" width="18.13"/>
    <col customWidth="1" min="29" max="29" width="14.88"/>
    <col customWidth="1" min="30" max="30" width="15.5"/>
  </cols>
  <sheetData>
    <row r="1">
      <c r="A1" s="1" t="s">
        <v>0</v>
      </c>
      <c r="B1" s="2" t="s">
        <v>1</v>
      </c>
      <c r="C1" s="2" t="s">
        <v>2</v>
      </c>
      <c r="D1" s="2" t="s">
        <v>3</v>
      </c>
      <c r="E1" s="2" t="s">
        <v>4</v>
      </c>
      <c r="F1" s="2" t="s">
        <v>5</v>
      </c>
      <c r="G1" s="2" t="s">
        <v>6</v>
      </c>
      <c r="H1" s="3" t="s">
        <v>7</v>
      </c>
      <c r="I1" s="3" t="s">
        <v>8</v>
      </c>
      <c r="J1" s="3" t="s">
        <v>9</v>
      </c>
      <c r="K1" s="3" t="s">
        <v>10</v>
      </c>
      <c r="L1" s="3" t="s">
        <v>11</v>
      </c>
      <c r="M1" s="4" t="s">
        <v>12</v>
      </c>
      <c r="N1" s="4" t="s">
        <v>13</v>
      </c>
      <c r="O1" s="4" t="s">
        <v>14</v>
      </c>
      <c r="P1" s="4" t="s">
        <v>15</v>
      </c>
      <c r="Q1" s="4" t="s">
        <v>16</v>
      </c>
      <c r="R1" s="4" t="s">
        <v>17</v>
      </c>
      <c r="S1" s="4" t="s">
        <v>18</v>
      </c>
      <c r="T1" s="4" t="s">
        <v>19</v>
      </c>
      <c r="U1" s="4" t="s">
        <v>20</v>
      </c>
      <c r="V1" s="4" t="s">
        <v>21</v>
      </c>
      <c r="W1" s="4" t="s">
        <v>22</v>
      </c>
      <c r="X1" s="4" t="s">
        <v>23</v>
      </c>
      <c r="Y1" s="4" t="s">
        <v>24</v>
      </c>
      <c r="Z1" s="5" t="s">
        <v>25</v>
      </c>
      <c r="AA1" s="5" t="s">
        <v>26</v>
      </c>
      <c r="AB1" s="5" t="s">
        <v>27</v>
      </c>
      <c r="AC1" s="5" t="s">
        <v>28</v>
      </c>
      <c r="AD1" s="5" t="s">
        <v>29</v>
      </c>
      <c r="AE1" s="30" t="s">
        <v>484</v>
      </c>
      <c r="AF1" s="30" t="s">
        <v>485</v>
      </c>
      <c r="AG1" s="31" t="s">
        <v>486</v>
      </c>
      <c r="AH1" s="7"/>
      <c r="AI1" s="7"/>
      <c r="AJ1" s="7"/>
      <c r="AK1" s="7"/>
      <c r="AL1" s="7"/>
      <c r="AM1" s="7"/>
      <c r="AN1" s="7"/>
      <c r="AO1" s="7"/>
      <c r="AP1" s="7"/>
      <c r="AQ1" s="7"/>
      <c r="AR1" s="7"/>
    </row>
    <row r="2" hidden="1">
      <c r="A2" s="8">
        <v>1.0</v>
      </c>
      <c r="B2" s="9">
        <v>2.0</v>
      </c>
      <c r="C2" s="9">
        <v>3.0</v>
      </c>
      <c r="D2" s="9">
        <v>4.0</v>
      </c>
      <c r="E2" s="9">
        <v>5.0</v>
      </c>
      <c r="F2" s="9">
        <v>6.0</v>
      </c>
      <c r="G2" s="9">
        <v>7.0</v>
      </c>
      <c r="H2" s="11">
        <v>8.0</v>
      </c>
      <c r="I2" s="11">
        <v>9.0</v>
      </c>
      <c r="J2" s="11">
        <v>10.0</v>
      </c>
      <c r="K2" s="11">
        <v>11.0</v>
      </c>
      <c r="L2" s="11">
        <v>12.0</v>
      </c>
      <c r="M2" s="14">
        <v>13.0</v>
      </c>
      <c r="N2" s="14">
        <v>14.0</v>
      </c>
      <c r="O2" s="14">
        <v>15.0</v>
      </c>
      <c r="P2" s="14">
        <v>16.0</v>
      </c>
      <c r="Q2" s="14">
        <v>17.0</v>
      </c>
      <c r="R2" s="14">
        <v>18.0</v>
      </c>
      <c r="S2" s="14">
        <v>19.0</v>
      </c>
      <c r="T2" s="14">
        <v>20.0</v>
      </c>
      <c r="U2" s="14">
        <v>21.0</v>
      </c>
      <c r="V2" s="14">
        <v>22.0</v>
      </c>
      <c r="W2" s="14">
        <v>23.0</v>
      </c>
      <c r="X2" s="14">
        <v>24.0</v>
      </c>
      <c r="Y2" s="14">
        <v>25.0</v>
      </c>
      <c r="Z2" s="15">
        <v>26.0</v>
      </c>
      <c r="AA2" s="15">
        <v>27.0</v>
      </c>
      <c r="AB2" s="15">
        <v>28.0</v>
      </c>
      <c r="AC2" s="15">
        <v>29.0</v>
      </c>
      <c r="AD2" s="15">
        <v>30.0</v>
      </c>
      <c r="AE2" s="32">
        <v>31.0</v>
      </c>
      <c r="AF2" s="32">
        <v>32.0</v>
      </c>
      <c r="AG2" s="33">
        <v>33.0</v>
      </c>
      <c r="AH2" s="18"/>
      <c r="AI2" s="18"/>
      <c r="AJ2" s="18"/>
      <c r="AK2" s="18"/>
      <c r="AL2" s="18"/>
      <c r="AM2" s="18"/>
      <c r="AN2" s="18"/>
      <c r="AO2" s="18"/>
      <c r="AP2" s="18"/>
      <c r="AQ2" s="18"/>
      <c r="AR2" s="18"/>
    </row>
    <row r="3" hidden="1">
      <c r="A3" s="8">
        <v>1.0</v>
      </c>
      <c r="B3" s="21" t="s">
        <v>494</v>
      </c>
      <c r="C3" s="21" t="s">
        <v>495</v>
      </c>
      <c r="D3" s="41"/>
      <c r="E3" s="41"/>
      <c r="F3" s="19" t="s">
        <v>459</v>
      </c>
      <c r="G3" s="19" t="s">
        <v>66</v>
      </c>
      <c r="H3" s="42" t="s">
        <v>496</v>
      </c>
      <c r="I3" s="43" t="s">
        <v>496</v>
      </c>
      <c r="J3" s="19" t="s">
        <v>91</v>
      </c>
      <c r="K3" s="19"/>
      <c r="L3" s="19" t="s">
        <v>111</v>
      </c>
      <c r="M3" s="44" t="s">
        <v>497</v>
      </c>
      <c r="N3" s="19"/>
      <c r="O3" s="19"/>
      <c r="P3" s="19" t="s">
        <v>145</v>
      </c>
      <c r="Q3" s="22" t="s">
        <v>498</v>
      </c>
      <c r="R3" s="19"/>
      <c r="S3" s="19"/>
      <c r="T3" s="21"/>
      <c r="U3" s="19"/>
      <c r="V3" s="19"/>
      <c r="W3" s="19"/>
      <c r="X3" s="19"/>
      <c r="Y3" s="19"/>
      <c r="Z3" s="45" t="s">
        <v>499</v>
      </c>
      <c r="AA3" s="19" t="s">
        <v>82</v>
      </c>
      <c r="AB3" s="21"/>
      <c r="AC3" s="21"/>
      <c r="AD3" s="21"/>
      <c r="AE3" s="39"/>
      <c r="AF3" s="39"/>
      <c r="AG3" s="24"/>
      <c r="AH3" s="24"/>
      <c r="AI3" s="24"/>
      <c r="AJ3" s="24"/>
      <c r="AK3" s="24"/>
      <c r="AL3" s="24"/>
      <c r="AM3" s="24"/>
      <c r="AN3" s="24"/>
      <c r="AO3" s="24"/>
      <c r="AP3" s="24"/>
      <c r="AQ3" s="24"/>
      <c r="AR3" s="24"/>
    </row>
    <row r="4" hidden="1">
      <c r="A4" s="8">
        <v>2.0</v>
      </c>
      <c r="B4" s="21" t="s">
        <v>519</v>
      </c>
      <c r="C4" s="21" t="s">
        <v>520</v>
      </c>
      <c r="D4" s="41"/>
      <c r="E4" s="41"/>
      <c r="F4" s="19" t="s">
        <v>339</v>
      </c>
      <c r="G4" s="19" t="s">
        <v>123</v>
      </c>
      <c r="H4" s="50" t="s">
        <v>521</v>
      </c>
      <c r="I4" s="21" t="s">
        <v>521</v>
      </c>
      <c r="J4" s="19" t="s">
        <v>151</v>
      </c>
      <c r="K4" s="19"/>
      <c r="L4" s="19" t="s">
        <v>111</v>
      </c>
      <c r="M4" s="51" t="s">
        <v>522</v>
      </c>
      <c r="N4" s="19"/>
      <c r="O4" s="19" t="s">
        <v>73</v>
      </c>
      <c r="P4" s="19" t="s">
        <v>95</v>
      </c>
      <c r="Q4" s="52" t="s">
        <v>523</v>
      </c>
      <c r="R4" s="19"/>
      <c r="S4" s="19"/>
      <c r="T4" s="21"/>
      <c r="U4" s="19"/>
      <c r="V4" s="19"/>
      <c r="W4" s="19"/>
      <c r="X4" s="19"/>
      <c r="Y4" s="19"/>
      <c r="Z4" s="19"/>
      <c r="AA4" s="19" t="s">
        <v>82</v>
      </c>
      <c r="AB4" s="21"/>
      <c r="AC4" s="21"/>
      <c r="AD4" s="21"/>
      <c r="AE4" s="39"/>
      <c r="AF4" s="39"/>
      <c r="AG4" s="24"/>
      <c r="AH4" s="24"/>
      <c r="AI4" s="24"/>
      <c r="AJ4" s="24"/>
      <c r="AK4" s="24"/>
      <c r="AL4" s="24"/>
      <c r="AM4" s="24"/>
      <c r="AN4" s="24"/>
      <c r="AO4" s="24"/>
      <c r="AP4" s="24"/>
      <c r="AQ4" s="24"/>
      <c r="AR4" s="24"/>
    </row>
    <row r="5" hidden="1">
      <c r="A5" s="8">
        <v>3.0</v>
      </c>
      <c r="B5" s="21" t="s">
        <v>535</v>
      </c>
      <c r="C5" s="21" t="s">
        <v>536</v>
      </c>
      <c r="D5" s="41"/>
      <c r="E5" s="41"/>
      <c r="F5" s="19" t="s">
        <v>122</v>
      </c>
      <c r="G5" s="19" t="s">
        <v>123</v>
      </c>
      <c r="H5" s="54" t="s">
        <v>537</v>
      </c>
      <c r="I5" s="21" t="s">
        <v>537</v>
      </c>
      <c r="J5" s="19" t="s">
        <v>91</v>
      </c>
      <c r="K5" s="19"/>
      <c r="L5" s="19" t="s">
        <v>111</v>
      </c>
      <c r="M5" s="283" t="s">
        <v>538</v>
      </c>
      <c r="N5" s="19" t="s">
        <v>82</v>
      </c>
      <c r="O5" s="19" t="s">
        <v>113</v>
      </c>
      <c r="P5" s="19" t="s">
        <v>95</v>
      </c>
      <c r="Q5" s="22" t="s">
        <v>539</v>
      </c>
      <c r="R5" s="19"/>
      <c r="S5" s="19"/>
      <c r="T5" s="21"/>
      <c r="U5" s="19"/>
      <c r="V5" s="19"/>
      <c r="W5" s="19"/>
      <c r="X5" s="19"/>
      <c r="Y5" s="19"/>
      <c r="Z5" s="19"/>
      <c r="AA5" s="19" t="s">
        <v>82</v>
      </c>
      <c r="AB5" s="21"/>
      <c r="AC5" s="21"/>
      <c r="AD5" s="21"/>
      <c r="AE5" s="39"/>
      <c r="AF5" s="39"/>
      <c r="AG5" s="24"/>
      <c r="AH5" s="24"/>
      <c r="AI5" s="24"/>
      <c r="AJ5" s="24"/>
      <c r="AK5" s="24"/>
      <c r="AL5" s="24"/>
      <c r="AM5" s="24"/>
      <c r="AN5" s="24"/>
      <c r="AO5" s="24"/>
      <c r="AP5" s="24"/>
      <c r="AQ5" s="24"/>
      <c r="AR5" s="24"/>
    </row>
    <row r="6" hidden="1">
      <c r="A6" s="8">
        <v>4.0</v>
      </c>
      <c r="B6" s="21" t="s">
        <v>547</v>
      </c>
      <c r="C6" s="21" t="s">
        <v>548</v>
      </c>
      <c r="D6" s="41"/>
      <c r="E6" s="41"/>
      <c r="F6" s="19" t="s">
        <v>65</v>
      </c>
      <c r="G6" s="19" t="s">
        <v>66</v>
      </c>
      <c r="H6" s="48" t="s">
        <v>549</v>
      </c>
      <c r="I6" s="21" t="s">
        <v>549</v>
      </c>
      <c r="J6" s="19" t="s">
        <v>91</v>
      </c>
      <c r="K6" s="19"/>
      <c r="L6" s="19" t="s">
        <v>111</v>
      </c>
      <c r="M6" s="53" t="s">
        <v>550</v>
      </c>
      <c r="N6" s="19"/>
      <c r="O6" s="19"/>
      <c r="P6" s="19" t="s">
        <v>95</v>
      </c>
      <c r="Q6" s="22" t="s">
        <v>551</v>
      </c>
      <c r="R6" s="19"/>
      <c r="S6" s="19"/>
      <c r="T6" s="21"/>
      <c r="U6" s="19"/>
      <c r="V6" s="19"/>
      <c r="W6" s="19"/>
      <c r="X6" s="19"/>
      <c r="Y6" s="19"/>
      <c r="Z6" s="19"/>
      <c r="AA6" s="19" t="s">
        <v>82</v>
      </c>
      <c r="AB6" s="21"/>
      <c r="AC6" s="21"/>
      <c r="AD6" s="21"/>
      <c r="AE6" s="39"/>
      <c r="AF6" s="39"/>
      <c r="AG6" s="24"/>
      <c r="AH6" s="24"/>
      <c r="AI6" s="24"/>
      <c r="AJ6" s="24"/>
      <c r="AK6" s="24"/>
      <c r="AL6" s="24"/>
      <c r="AM6" s="24"/>
      <c r="AN6" s="24"/>
      <c r="AO6" s="24"/>
      <c r="AP6" s="24"/>
      <c r="AQ6" s="24"/>
      <c r="AR6" s="24"/>
    </row>
    <row r="7" hidden="1">
      <c r="A7" s="62">
        <v>5.0</v>
      </c>
      <c r="B7" s="63" t="s">
        <v>553</v>
      </c>
      <c r="C7" s="63" t="s">
        <v>554</v>
      </c>
      <c r="D7" s="63" t="s">
        <v>555</v>
      </c>
      <c r="E7" s="59"/>
      <c r="F7" s="64" t="s">
        <v>65</v>
      </c>
      <c r="G7" s="64" t="s">
        <v>123</v>
      </c>
      <c r="H7" s="64" t="s">
        <v>556</v>
      </c>
      <c r="I7" s="64" t="s">
        <v>557</v>
      </c>
      <c r="J7" s="64" t="s">
        <v>151</v>
      </c>
      <c r="K7" s="64" t="s">
        <v>110</v>
      </c>
      <c r="L7" s="64" t="s">
        <v>111</v>
      </c>
      <c r="M7" s="64" t="s">
        <v>558</v>
      </c>
      <c r="N7" s="64" t="s">
        <v>93</v>
      </c>
      <c r="O7" s="64" t="s">
        <v>113</v>
      </c>
      <c r="P7" s="64" t="s">
        <v>95</v>
      </c>
      <c r="Q7" s="66" t="s">
        <v>3219</v>
      </c>
      <c r="R7" s="64" t="s">
        <v>76</v>
      </c>
      <c r="S7" s="64" t="s">
        <v>77</v>
      </c>
      <c r="T7" s="64">
        <v>2022.0</v>
      </c>
      <c r="U7" s="64" t="s">
        <v>78</v>
      </c>
      <c r="V7" s="64" t="s">
        <v>79</v>
      </c>
      <c r="W7" s="64" t="s">
        <v>80</v>
      </c>
      <c r="X7" s="64" t="s">
        <v>80</v>
      </c>
      <c r="Y7" s="64" t="s">
        <v>80</v>
      </c>
      <c r="Z7" s="64" t="s">
        <v>560</v>
      </c>
      <c r="AA7" s="65" t="s">
        <v>140</v>
      </c>
      <c r="AB7" s="63" t="s">
        <v>561</v>
      </c>
      <c r="AC7" s="63">
        <v>8.95327038135E11</v>
      </c>
      <c r="AD7" s="63" t="s">
        <v>562</v>
      </c>
      <c r="AE7" s="67" t="s">
        <v>563</v>
      </c>
      <c r="AF7" s="68" t="s">
        <v>111</v>
      </c>
      <c r="AG7" s="60"/>
      <c r="AH7" s="284"/>
      <c r="AI7" s="60"/>
      <c r="AJ7" s="60"/>
      <c r="AK7" s="60"/>
      <c r="AL7" s="60"/>
      <c r="AM7" s="60"/>
      <c r="AN7" s="60"/>
      <c r="AO7" s="60"/>
      <c r="AP7" s="60"/>
      <c r="AQ7" s="60"/>
      <c r="AR7" s="61"/>
    </row>
    <row r="8" hidden="1">
      <c r="A8" s="62">
        <v>6.0</v>
      </c>
      <c r="B8" s="63" t="s">
        <v>61</v>
      </c>
      <c r="C8" s="63" t="s">
        <v>62</v>
      </c>
      <c r="D8" s="63" t="s">
        <v>63</v>
      </c>
      <c r="E8" s="59"/>
      <c r="F8" s="64" t="s">
        <v>65</v>
      </c>
      <c r="G8" s="64" t="s">
        <v>66</v>
      </c>
      <c r="H8" s="64" t="s">
        <v>67</v>
      </c>
      <c r="I8" s="64" t="s">
        <v>68</v>
      </c>
      <c r="J8" s="64" t="s">
        <v>151</v>
      </c>
      <c r="K8" s="64" t="s">
        <v>70</v>
      </c>
      <c r="L8" s="64" t="s">
        <v>71</v>
      </c>
      <c r="M8" s="64" t="s">
        <v>72</v>
      </c>
      <c r="N8" s="64" t="s">
        <v>73</v>
      </c>
      <c r="O8" s="64" t="s">
        <v>73</v>
      </c>
      <c r="P8" s="64" t="s">
        <v>95</v>
      </c>
      <c r="Q8" s="66" t="s">
        <v>3220</v>
      </c>
      <c r="R8" s="64" t="s">
        <v>76</v>
      </c>
      <c r="S8" s="64" t="s">
        <v>97</v>
      </c>
      <c r="T8" s="64">
        <v>2018.0</v>
      </c>
      <c r="U8" s="64" t="s">
        <v>78</v>
      </c>
      <c r="V8" s="64" t="s">
        <v>79</v>
      </c>
      <c r="W8" s="64" t="s">
        <v>80</v>
      </c>
      <c r="X8" s="64" t="s">
        <v>80</v>
      </c>
      <c r="Y8" s="64" t="s">
        <v>80</v>
      </c>
      <c r="Z8" s="64" t="s">
        <v>81</v>
      </c>
      <c r="AA8" s="64" t="s">
        <v>82</v>
      </c>
      <c r="AB8" s="63" t="s">
        <v>565</v>
      </c>
      <c r="AC8" s="63">
        <v>8.98800527E9</v>
      </c>
      <c r="AD8" s="63" t="s">
        <v>562</v>
      </c>
      <c r="AE8" s="67" t="s">
        <v>563</v>
      </c>
      <c r="AF8" s="68" t="s">
        <v>566</v>
      </c>
      <c r="AG8" s="60"/>
      <c r="AH8" s="60"/>
      <c r="AI8" s="60"/>
      <c r="AJ8" s="60"/>
      <c r="AK8" s="60"/>
      <c r="AL8" s="60"/>
      <c r="AM8" s="60"/>
      <c r="AN8" s="60"/>
      <c r="AO8" s="60"/>
      <c r="AP8" s="60"/>
      <c r="AQ8" s="60"/>
      <c r="AR8" s="61"/>
    </row>
    <row r="9" hidden="1">
      <c r="A9" s="62">
        <v>7.0</v>
      </c>
      <c r="B9" s="63" t="s">
        <v>567</v>
      </c>
      <c r="C9" s="63" t="s">
        <v>568</v>
      </c>
      <c r="D9" s="63" t="s">
        <v>569</v>
      </c>
      <c r="E9" s="59"/>
      <c r="F9" s="64" t="s">
        <v>107</v>
      </c>
      <c r="G9" s="64" t="s">
        <v>123</v>
      </c>
      <c r="H9" s="64" t="s">
        <v>570</v>
      </c>
      <c r="I9" s="64" t="s">
        <v>570</v>
      </c>
      <c r="J9" s="64" t="s">
        <v>151</v>
      </c>
      <c r="K9" s="64" t="s">
        <v>110</v>
      </c>
      <c r="L9" s="64" t="s">
        <v>111</v>
      </c>
      <c r="M9" s="64" t="s">
        <v>503</v>
      </c>
      <c r="N9" s="64" t="s">
        <v>82</v>
      </c>
      <c r="O9" s="64" t="s">
        <v>113</v>
      </c>
      <c r="P9" s="64" t="s">
        <v>95</v>
      </c>
      <c r="Q9" s="66" t="s">
        <v>3221</v>
      </c>
      <c r="R9" s="64" t="s">
        <v>76</v>
      </c>
      <c r="S9" s="64" t="s">
        <v>97</v>
      </c>
      <c r="T9" s="64">
        <v>2022.0</v>
      </c>
      <c r="U9" s="64" t="s">
        <v>78</v>
      </c>
      <c r="V9" s="64" t="s">
        <v>98</v>
      </c>
      <c r="W9" s="64" t="s">
        <v>572</v>
      </c>
      <c r="X9" s="64" t="s">
        <v>155</v>
      </c>
      <c r="Y9" s="64" t="s">
        <v>139</v>
      </c>
      <c r="Z9" s="64" t="s">
        <v>116</v>
      </c>
      <c r="AA9" s="64" t="s">
        <v>82</v>
      </c>
      <c r="AB9" s="63" t="s">
        <v>573</v>
      </c>
      <c r="AC9" s="63">
        <v>8.190408571E10</v>
      </c>
      <c r="AD9" s="63" t="s">
        <v>562</v>
      </c>
      <c r="AE9" s="59"/>
      <c r="AF9" s="59"/>
      <c r="AG9" s="60"/>
      <c r="AH9" s="284"/>
      <c r="AI9" s="60"/>
      <c r="AJ9" s="60"/>
      <c r="AK9" s="60"/>
      <c r="AL9" s="60"/>
      <c r="AM9" s="60"/>
      <c r="AN9" s="60"/>
      <c r="AO9" s="60"/>
      <c r="AP9" s="60"/>
      <c r="AQ9" s="60"/>
      <c r="AR9" s="61"/>
    </row>
    <row r="10" hidden="1">
      <c r="A10" s="62">
        <v>8.0</v>
      </c>
      <c r="B10" s="63" t="s">
        <v>574</v>
      </c>
      <c r="C10" s="63" t="s">
        <v>575</v>
      </c>
      <c r="D10" s="63" t="s">
        <v>576</v>
      </c>
      <c r="E10" s="59"/>
      <c r="F10" s="64" t="s">
        <v>453</v>
      </c>
      <c r="G10" s="64" t="s">
        <v>123</v>
      </c>
      <c r="H10" s="64" t="s">
        <v>577</v>
      </c>
      <c r="I10" s="64" t="s">
        <v>578</v>
      </c>
      <c r="J10" s="64" t="s">
        <v>69</v>
      </c>
      <c r="K10" s="64" t="s">
        <v>70</v>
      </c>
      <c r="L10" s="64" t="s">
        <v>71</v>
      </c>
      <c r="M10" s="64" t="s">
        <v>579</v>
      </c>
      <c r="N10" s="67" t="s">
        <v>93</v>
      </c>
      <c r="O10" s="67" t="s">
        <v>113</v>
      </c>
      <c r="P10" s="67" t="s">
        <v>95</v>
      </c>
      <c r="Q10" s="66" t="s">
        <v>3222</v>
      </c>
      <c r="R10" s="64" t="s">
        <v>76</v>
      </c>
      <c r="S10" s="64" t="s">
        <v>97</v>
      </c>
      <c r="T10" s="64">
        <v>2020.0</v>
      </c>
      <c r="U10" s="64" t="s">
        <v>78</v>
      </c>
      <c r="V10" s="64" t="s">
        <v>79</v>
      </c>
      <c r="W10" s="64" t="s">
        <v>80</v>
      </c>
      <c r="X10" s="64" t="s">
        <v>80</v>
      </c>
      <c r="Y10" s="64" t="s">
        <v>80</v>
      </c>
      <c r="Z10" s="64" t="s">
        <v>560</v>
      </c>
      <c r="AA10" s="65" t="s">
        <v>207</v>
      </c>
      <c r="AB10" s="63" t="s">
        <v>561</v>
      </c>
      <c r="AC10" s="63">
        <v>8.95327038135E11</v>
      </c>
      <c r="AD10" s="63" t="s">
        <v>562</v>
      </c>
      <c r="AE10" s="67" t="s">
        <v>563</v>
      </c>
      <c r="AF10" s="68" t="s">
        <v>152</v>
      </c>
      <c r="AG10" s="60"/>
      <c r="AH10" s="284"/>
      <c r="AI10" s="60"/>
      <c r="AJ10" s="60"/>
      <c r="AK10" s="60"/>
      <c r="AL10" s="60"/>
      <c r="AM10" s="60"/>
      <c r="AN10" s="60"/>
      <c r="AO10" s="60"/>
      <c r="AP10" s="60"/>
      <c r="AQ10" s="60"/>
      <c r="AR10" s="61"/>
    </row>
    <row r="11" hidden="1">
      <c r="A11" s="62">
        <v>9.0</v>
      </c>
      <c r="B11" s="63" t="s">
        <v>581</v>
      </c>
      <c r="C11" s="63" t="s">
        <v>582</v>
      </c>
      <c r="D11" s="63" t="s">
        <v>583</v>
      </c>
      <c r="E11" s="59"/>
      <c r="F11" s="64" t="s">
        <v>453</v>
      </c>
      <c r="G11" s="64" t="s">
        <v>123</v>
      </c>
      <c r="H11" s="64" t="s">
        <v>584</v>
      </c>
      <c r="I11" s="64" t="s">
        <v>585</v>
      </c>
      <c r="J11" s="64" t="s">
        <v>151</v>
      </c>
      <c r="K11" s="64" t="s">
        <v>70</v>
      </c>
      <c r="L11" s="64" t="s">
        <v>71</v>
      </c>
      <c r="M11" s="64" t="s">
        <v>586</v>
      </c>
      <c r="N11" s="67" t="s">
        <v>73</v>
      </c>
      <c r="O11" s="67" t="s">
        <v>73</v>
      </c>
      <c r="P11" s="64" t="s">
        <v>95</v>
      </c>
      <c r="Q11" s="66" t="s">
        <v>3223</v>
      </c>
      <c r="R11" s="64" t="s">
        <v>76</v>
      </c>
      <c r="S11" s="64" t="s">
        <v>97</v>
      </c>
      <c r="T11" s="64">
        <v>2025.0</v>
      </c>
      <c r="U11" s="64" t="s">
        <v>78</v>
      </c>
      <c r="V11" s="64" t="s">
        <v>79</v>
      </c>
      <c r="W11" s="64" t="s">
        <v>80</v>
      </c>
      <c r="X11" s="64" t="s">
        <v>80</v>
      </c>
      <c r="Y11" s="64" t="s">
        <v>80</v>
      </c>
      <c r="Z11" s="64" t="s">
        <v>560</v>
      </c>
      <c r="AA11" s="64" t="s">
        <v>207</v>
      </c>
      <c r="AB11" s="63" t="s">
        <v>561</v>
      </c>
      <c r="AC11" s="63">
        <v>8.95327038135E11</v>
      </c>
      <c r="AD11" s="63" t="s">
        <v>562</v>
      </c>
      <c r="AE11" s="67" t="s">
        <v>563</v>
      </c>
      <c r="AF11" s="68" t="s">
        <v>71</v>
      </c>
      <c r="AG11" s="60"/>
      <c r="AH11" s="60"/>
      <c r="AI11" s="60"/>
      <c r="AJ11" s="60"/>
      <c r="AK11" s="60"/>
      <c r="AL11" s="60"/>
      <c r="AM11" s="60"/>
      <c r="AN11" s="60"/>
      <c r="AO11" s="60"/>
      <c r="AP11" s="60"/>
      <c r="AQ11" s="60"/>
      <c r="AR11" s="61"/>
    </row>
    <row r="12" hidden="1">
      <c r="A12" s="62">
        <v>10.0</v>
      </c>
      <c r="B12" s="63" t="s">
        <v>588</v>
      </c>
      <c r="C12" s="63" t="s">
        <v>589</v>
      </c>
      <c r="D12" s="63" t="s">
        <v>590</v>
      </c>
      <c r="E12" s="59"/>
      <c r="F12" s="64" t="s">
        <v>453</v>
      </c>
      <c r="G12" s="64" t="s">
        <v>123</v>
      </c>
      <c r="H12" s="64" t="s">
        <v>591</v>
      </c>
      <c r="I12" s="64" t="s">
        <v>592</v>
      </c>
      <c r="J12" s="64" t="s">
        <v>151</v>
      </c>
      <c r="K12" s="64" t="s">
        <v>110</v>
      </c>
      <c r="L12" s="64" t="s">
        <v>71</v>
      </c>
      <c r="M12" s="64" t="s">
        <v>593</v>
      </c>
      <c r="N12" s="67" t="s">
        <v>93</v>
      </c>
      <c r="O12" s="67" t="s">
        <v>113</v>
      </c>
      <c r="P12" s="67" t="s">
        <v>74</v>
      </c>
      <c r="Q12" s="66" t="s">
        <v>3224</v>
      </c>
      <c r="R12" s="64" t="s">
        <v>76</v>
      </c>
      <c r="S12" s="64" t="s">
        <v>97</v>
      </c>
      <c r="T12" s="64">
        <v>2019.0</v>
      </c>
      <c r="U12" s="64" t="s">
        <v>78</v>
      </c>
      <c r="V12" s="64" t="s">
        <v>79</v>
      </c>
      <c r="W12" s="64" t="s">
        <v>80</v>
      </c>
      <c r="X12" s="64" t="s">
        <v>80</v>
      </c>
      <c r="Y12" s="64" t="s">
        <v>80</v>
      </c>
      <c r="Z12" s="64" t="s">
        <v>560</v>
      </c>
      <c r="AA12" s="64" t="s">
        <v>595</v>
      </c>
      <c r="AB12" s="63" t="s">
        <v>561</v>
      </c>
      <c r="AC12" s="63">
        <v>8.95327038135E11</v>
      </c>
      <c r="AD12" s="63" t="s">
        <v>562</v>
      </c>
      <c r="AE12" s="67" t="s">
        <v>563</v>
      </c>
      <c r="AF12" s="68" t="s">
        <v>71</v>
      </c>
      <c r="AG12" s="60"/>
      <c r="AH12" s="284"/>
      <c r="AI12" s="60"/>
      <c r="AJ12" s="60"/>
      <c r="AK12" s="60"/>
      <c r="AL12" s="60"/>
      <c r="AM12" s="60"/>
      <c r="AN12" s="60"/>
      <c r="AO12" s="60"/>
      <c r="AP12" s="60"/>
      <c r="AQ12" s="60"/>
      <c r="AR12" s="61"/>
    </row>
    <row r="13" hidden="1">
      <c r="A13" s="62">
        <v>11.0</v>
      </c>
      <c r="B13" s="63" t="s">
        <v>596</v>
      </c>
      <c r="C13" s="63" t="s">
        <v>597</v>
      </c>
      <c r="D13" s="63" t="s">
        <v>598</v>
      </c>
      <c r="E13" s="59"/>
      <c r="F13" s="64" t="s">
        <v>453</v>
      </c>
      <c r="G13" s="64" t="s">
        <v>123</v>
      </c>
      <c r="H13" s="64" t="s">
        <v>599</v>
      </c>
      <c r="I13" s="64" t="s">
        <v>600</v>
      </c>
      <c r="J13" s="64" t="s">
        <v>151</v>
      </c>
      <c r="K13" s="64" t="s">
        <v>110</v>
      </c>
      <c r="L13" s="64" t="s">
        <v>101</v>
      </c>
      <c r="M13" s="64" t="s">
        <v>601</v>
      </c>
      <c r="N13" s="64" t="s">
        <v>93</v>
      </c>
      <c r="O13" s="64" t="s">
        <v>94</v>
      </c>
      <c r="P13" s="64" t="s">
        <v>153</v>
      </c>
      <c r="Q13" s="67" t="s">
        <v>602</v>
      </c>
      <c r="R13" s="64" t="s">
        <v>76</v>
      </c>
      <c r="S13" s="64" t="s">
        <v>77</v>
      </c>
      <c r="T13" s="64">
        <v>2019.0</v>
      </c>
      <c r="U13" s="64" t="s">
        <v>78</v>
      </c>
      <c r="V13" s="64" t="s">
        <v>79</v>
      </c>
      <c r="W13" s="64" t="s">
        <v>80</v>
      </c>
      <c r="X13" s="64" t="s">
        <v>80</v>
      </c>
      <c r="Y13" s="64" t="s">
        <v>80</v>
      </c>
      <c r="Z13" s="64" t="s">
        <v>560</v>
      </c>
      <c r="AA13" s="64" t="s">
        <v>140</v>
      </c>
      <c r="AB13" s="63" t="s">
        <v>561</v>
      </c>
      <c r="AC13" s="63">
        <v>8.95327038135E11</v>
      </c>
      <c r="AD13" s="63" t="s">
        <v>562</v>
      </c>
      <c r="AE13" s="67" t="s">
        <v>563</v>
      </c>
      <c r="AF13" s="68" t="s">
        <v>71</v>
      </c>
      <c r="AG13" s="60"/>
      <c r="AH13" s="60"/>
      <c r="AI13" s="60"/>
      <c r="AJ13" s="60"/>
      <c r="AK13" s="60"/>
      <c r="AL13" s="60"/>
      <c r="AM13" s="60"/>
      <c r="AN13" s="60"/>
      <c r="AO13" s="60"/>
      <c r="AP13" s="60"/>
      <c r="AQ13" s="60"/>
      <c r="AR13" s="61"/>
    </row>
    <row r="14" hidden="1">
      <c r="A14" s="62">
        <v>12.0</v>
      </c>
      <c r="B14" s="63" t="s">
        <v>603</v>
      </c>
      <c r="C14" s="63" t="s">
        <v>604</v>
      </c>
      <c r="D14" s="63" t="s">
        <v>605</v>
      </c>
      <c r="E14" s="59"/>
      <c r="F14" s="64" t="s">
        <v>453</v>
      </c>
      <c r="G14" s="64" t="s">
        <v>123</v>
      </c>
      <c r="H14" s="64" t="s">
        <v>606</v>
      </c>
      <c r="I14" s="64" t="s">
        <v>606</v>
      </c>
      <c r="J14" s="64" t="s">
        <v>69</v>
      </c>
      <c r="K14" s="64" t="s">
        <v>70</v>
      </c>
      <c r="L14" s="64" t="s">
        <v>101</v>
      </c>
      <c r="M14" s="64" t="s">
        <v>607</v>
      </c>
      <c r="N14" s="64" t="s">
        <v>73</v>
      </c>
      <c r="O14" s="64" t="s">
        <v>73</v>
      </c>
      <c r="P14" s="64" t="s">
        <v>95</v>
      </c>
      <c r="Q14" s="285" t="s">
        <v>3225</v>
      </c>
      <c r="R14" s="64" t="s">
        <v>76</v>
      </c>
      <c r="S14" s="64" t="s">
        <v>77</v>
      </c>
      <c r="T14" s="64">
        <v>2021.0</v>
      </c>
      <c r="U14" s="64" t="s">
        <v>78</v>
      </c>
      <c r="V14" s="64" t="s">
        <v>79</v>
      </c>
      <c r="W14" s="64" t="s">
        <v>80</v>
      </c>
      <c r="X14" s="64" t="s">
        <v>80</v>
      </c>
      <c r="Y14" s="64" t="s">
        <v>80</v>
      </c>
      <c r="Z14" s="64" t="s">
        <v>560</v>
      </c>
      <c r="AA14" s="64" t="s">
        <v>140</v>
      </c>
      <c r="AB14" s="63" t="s">
        <v>561</v>
      </c>
      <c r="AC14" s="63">
        <v>8.95327038135E11</v>
      </c>
      <c r="AD14" s="63" t="s">
        <v>562</v>
      </c>
      <c r="AE14" s="67" t="s">
        <v>563</v>
      </c>
      <c r="AF14" s="68" t="s">
        <v>71</v>
      </c>
      <c r="AG14" s="60"/>
      <c r="AH14" s="60"/>
      <c r="AI14" s="60"/>
      <c r="AJ14" s="60"/>
      <c r="AK14" s="60"/>
      <c r="AL14" s="60"/>
      <c r="AM14" s="60"/>
      <c r="AN14" s="60"/>
      <c r="AO14" s="60"/>
      <c r="AP14" s="60"/>
      <c r="AQ14" s="60"/>
      <c r="AR14" s="61"/>
    </row>
    <row r="15" hidden="1">
      <c r="A15" s="62">
        <v>13.0</v>
      </c>
      <c r="B15" s="63" t="s">
        <v>609</v>
      </c>
      <c r="C15" s="63" t="s">
        <v>610</v>
      </c>
      <c r="D15" s="63" t="s">
        <v>611</v>
      </c>
      <c r="E15" s="59"/>
      <c r="F15" s="64" t="s">
        <v>467</v>
      </c>
      <c r="G15" s="64" t="s">
        <v>123</v>
      </c>
      <c r="H15" s="64" t="s">
        <v>612</v>
      </c>
      <c r="I15" s="64" t="s">
        <v>613</v>
      </c>
      <c r="J15" s="64" t="s">
        <v>151</v>
      </c>
      <c r="K15" s="64" t="s">
        <v>110</v>
      </c>
      <c r="L15" s="64" t="s">
        <v>71</v>
      </c>
      <c r="M15" s="64" t="s">
        <v>614</v>
      </c>
      <c r="N15" s="64" t="s">
        <v>82</v>
      </c>
      <c r="O15" s="64" t="s">
        <v>113</v>
      </c>
      <c r="P15" s="64" t="s">
        <v>74</v>
      </c>
      <c r="Q15" s="66" t="s">
        <v>3226</v>
      </c>
      <c r="R15" s="64" t="s">
        <v>76</v>
      </c>
      <c r="S15" s="64" t="s">
        <v>97</v>
      </c>
      <c r="T15" s="64">
        <v>2025.0</v>
      </c>
      <c r="U15" s="64" t="s">
        <v>78</v>
      </c>
      <c r="V15" s="64" t="s">
        <v>98</v>
      </c>
      <c r="W15" s="64" t="s">
        <v>616</v>
      </c>
      <c r="X15" s="64" t="s">
        <v>148</v>
      </c>
      <c r="Y15" s="64" t="s">
        <v>139</v>
      </c>
      <c r="Z15" s="64" t="s">
        <v>617</v>
      </c>
      <c r="AA15" s="65" t="s">
        <v>140</v>
      </c>
      <c r="AB15" s="63" t="s">
        <v>565</v>
      </c>
      <c r="AC15" s="63">
        <v>8.98800527E9</v>
      </c>
      <c r="AD15" s="63" t="s">
        <v>562</v>
      </c>
      <c r="AE15" s="67" t="s">
        <v>563</v>
      </c>
      <c r="AF15" s="68" t="s">
        <v>71</v>
      </c>
      <c r="AG15" s="60"/>
      <c r="AH15" s="284"/>
      <c r="AI15" s="60"/>
      <c r="AJ15" s="60"/>
      <c r="AK15" s="60"/>
      <c r="AL15" s="60"/>
      <c r="AM15" s="60"/>
      <c r="AN15" s="60"/>
      <c r="AO15" s="60"/>
      <c r="AP15" s="60"/>
      <c r="AQ15" s="60"/>
      <c r="AR15" s="61"/>
    </row>
    <row r="16" hidden="1">
      <c r="A16" s="62">
        <v>14.0</v>
      </c>
      <c r="B16" s="63" t="s">
        <v>618</v>
      </c>
      <c r="C16" s="63" t="s">
        <v>619</v>
      </c>
      <c r="D16" s="63" t="s">
        <v>620</v>
      </c>
      <c r="E16" s="59"/>
      <c r="F16" s="64" t="s">
        <v>463</v>
      </c>
      <c r="G16" s="64" t="s">
        <v>123</v>
      </c>
      <c r="H16" s="64" t="s">
        <v>621</v>
      </c>
      <c r="I16" s="64" t="s">
        <v>622</v>
      </c>
      <c r="J16" s="64" t="s">
        <v>151</v>
      </c>
      <c r="K16" s="64" t="s">
        <v>110</v>
      </c>
      <c r="L16" s="64" t="s">
        <v>111</v>
      </c>
      <c r="M16" s="64" t="s">
        <v>3227</v>
      </c>
      <c r="N16" s="64" t="s">
        <v>26</v>
      </c>
      <c r="O16" s="64" t="s">
        <v>113</v>
      </c>
      <c r="P16" s="64" t="s">
        <v>95</v>
      </c>
      <c r="Q16" s="66" t="s">
        <v>3228</v>
      </c>
      <c r="R16" s="64" t="s">
        <v>76</v>
      </c>
      <c r="S16" s="64" t="s">
        <v>97</v>
      </c>
      <c r="T16" s="69"/>
      <c r="U16" s="64" t="s">
        <v>78</v>
      </c>
      <c r="V16" s="64" t="s">
        <v>79</v>
      </c>
      <c r="W16" s="64" t="s">
        <v>80</v>
      </c>
      <c r="X16" s="64" t="s">
        <v>80</v>
      </c>
      <c r="Y16" s="64" t="s">
        <v>80</v>
      </c>
      <c r="Z16" s="64" t="s">
        <v>560</v>
      </c>
      <c r="AA16" s="64" t="s">
        <v>207</v>
      </c>
      <c r="AB16" s="63" t="s">
        <v>625</v>
      </c>
      <c r="AC16" s="63">
        <v>8.1321814674E10</v>
      </c>
      <c r="AD16" s="63" t="s">
        <v>626</v>
      </c>
      <c r="AE16" s="67" t="s">
        <v>563</v>
      </c>
      <c r="AF16" s="68" t="s">
        <v>111</v>
      </c>
      <c r="AG16" s="60"/>
      <c r="AH16" s="60"/>
      <c r="AI16" s="60"/>
      <c r="AJ16" s="60"/>
      <c r="AK16" s="60"/>
      <c r="AL16" s="60"/>
      <c r="AM16" s="60"/>
      <c r="AN16" s="60"/>
      <c r="AO16" s="60"/>
      <c r="AP16" s="60"/>
      <c r="AQ16" s="60"/>
      <c r="AR16" s="61"/>
    </row>
    <row r="17" hidden="1">
      <c r="A17" s="62">
        <v>15.0</v>
      </c>
      <c r="B17" s="63" t="s">
        <v>627</v>
      </c>
      <c r="C17" s="63" t="s">
        <v>628</v>
      </c>
      <c r="D17" s="63" t="s">
        <v>629</v>
      </c>
      <c r="E17" s="59"/>
      <c r="F17" s="64" t="s">
        <v>107</v>
      </c>
      <c r="G17" s="64" t="s">
        <v>123</v>
      </c>
      <c r="H17" s="64" t="s">
        <v>630</v>
      </c>
      <c r="I17" s="64" t="s">
        <v>630</v>
      </c>
      <c r="J17" s="64" t="s">
        <v>91</v>
      </c>
      <c r="K17" s="64" t="s">
        <v>110</v>
      </c>
      <c r="L17" s="64" t="s">
        <v>101</v>
      </c>
      <c r="M17" s="64" t="s">
        <v>631</v>
      </c>
      <c r="N17" s="64" t="s">
        <v>73</v>
      </c>
      <c r="O17" s="64" t="s">
        <v>73</v>
      </c>
      <c r="P17" s="64" t="s">
        <v>95</v>
      </c>
      <c r="Q17" s="66" t="s">
        <v>3229</v>
      </c>
      <c r="R17" s="64" t="s">
        <v>76</v>
      </c>
      <c r="S17" s="64" t="s">
        <v>97</v>
      </c>
      <c r="T17" s="64">
        <v>2019.0</v>
      </c>
      <c r="U17" s="64" t="s">
        <v>78</v>
      </c>
      <c r="V17" s="64" t="s">
        <v>98</v>
      </c>
      <c r="W17" s="64" t="s">
        <v>633</v>
      </c>
      <c r="X17" s="64" t="s">
        <v>148</v>
      </c>
      <c r="Y17" s="64" t="s">
        <v>139</v>
      </c>
      <c r="Z17" s="64" t="s">
        <v>560</v>
      </c>
      <c r="AA17" s="64" t="s">
        <v>140</v>
      </c>
      <c r="AB17" s="63" t="s">
        <v>573</v>
      </c>
      <c r="AC17" s="63">
        <v>8.190408571E10</v>
      </c>
      <c r="AD17" s="63" t="s">
        <v>562</v>
      </c>
      <c r="AE17" s="67" t="s">
        <v>563</v>
      </c>
      <c r="AF17" s="68" t="s">
        <v>111</v>
      </c>
      <c r="AG17" s="60"/>
      <c r="AH17" s="60"/>
      <c r="AI17" s="60"/>
      <c r="AJ17" s="60"/>
      <c r="AK17" s="60"/>
      <c r="AL17" s="60"/>
      <c r="AM17" s="60"/>
      <c r="AN17" s="60"/>
      <c r="AO17" s="60"/>
      <c r="AP17" s="60"/>
      <c r="AQ17" s="60"/>
      <c r="AR17" s="61"/>
    </row>
    <row r="18" hidden="1">
      <c r="A18" s="62">
        <v>16.0</v>
      </c>
      <c r="B18" s="63" t="s">
        <v>634</v>
      </c>
      <c r="C18" s="63" t="s">
        <v>635</v>
      </c>
      <c r="D18" s="63" t="s">
        <v>636</v>
      </c>
      <c r="E18" s="59"/>
      <c r="F18" s="64" t="s">
        <v>65</v>
      </c>
      <c r="G18" s="64" t="s">
        <v>123</v>
      </c>
      <c r="H18" s="64" t="s">
        <v>637</v>
      </c>
      <c r="I18" s="64" t="s">
        <v>638</v>
      </c>
      <c r="J18" s="64" t="s">
        <v>151</v>
      </c>
      <c r="K18" s="64" t="s">
        <v>110</v>
      </c>
      <c r="L18" s="64" t="s">
        <v>111</v>
      </c>
      <c r="M18" s="64" t="s">
        <v>639</v>
      </c>
      <c r="N18" s="64" t="s">
        <v>93</v>
      </c>
      <c r="O18" s="64" t="s">
        <v>113</v>
      </c>
      <c r="P18" s="64" t="s">
        <v>95</v>
      </c>
      <c r="Q18" s="70" t="s">
        <v>3230</v>
      </c>
      <c r="R18" s="64" t="s">
        <v>76</v>
      </c>
      <c r="S18" s="64" t="s">
        <v>77</v>
      </c>
      <c r="T18" s="64">
        <v>2022.0</v>
      </c>
      <c r="U18" s="64" t="s">
        <v>78</v>
      </c>
      <c r="V18" s="64" t="s">
        <v>79</v>
      </c>
      <c r="W18" s="64" t="s">
        <v>80</v>
      </c>
      <c r="X18" s="64" t="s">
        <v>80</v>
      </c>
      <c r="Y18" s="64" t="s">
        <v>80</v>
      </c>
      <c r="Z18" s="64" t="s">
        <v>560</v>
      </c>
      <c r="AA18" s="64" t="s">
        <v>641</v>
      </c>
      <c r="AB18" s="63" t="s">
        <v>642</v>
      </c>
      <c r="AC18" s="63">
        <v>8.127392553E9</v>
      </c>
      <c r="AD18" s="63" t="s">
        <v>562</v>
      </c>
      <c r="AE18" s="67" t="s">
        <v>643</v>
      </c>
      <c r="AF18" s="68" t="s">
        <v>111</v>
      </c>
      <c r="AG18" s="60"/>
      <c r="AH18" s="60"/>
      <c r="AI18" s="60"/>
      <c r="AJ18" s="60"/>
      <c r="AK18" s="60"/>
      <c r="AL18" s="60"/>
      <c r="AM18" s="60"/>
      <c r="AN18" s="60"/>
      <c r="AO18" s="60"/>
      <c r="AP18" s="60"/>
      <c r="AQ18" s="60"/>
      <c r="AR18" s="61"/>
    </row>
    <row r="19" hidden="1">
      <c r="A19" s="62">
        <v>17.0</v>
      </c>
      <c r="B19" s="63" t="s">
        <v>644</v>
      </c>
      <c r="C19" s="63" t="s">
        <v>645</v>
      </c>
      <c r="D19" s="63" t="s">
        <v>646</v>
      </c>
      <c r="E19" s="59"/>
      <c r="F19" s="64" t="s">
        <v>470</v>
      </c>
      <c r="G19" s="64" t="s">
        <v>123</v>
      </c>
      <c r="H19" s="64" t="s">
        <v>647</v>
      </c>
      <c r="I19" s="64" t="s">
        <v>648</v>
      </c>
      <c r="J19" s="64" t="s">
        <v>151</v>
      </c>
      <c r="K19" s="64" t="s">
        <v>110</v>
      </c>
      <c r="L19" s="64" t="s">
        <v>101</v>
      </c>
      <c r="M19" s="64" t="s">
        <v>649</v>
      </c>
      <c r="N19" s="64" t="s">
        <v>26</v>
      </c>
      <c r="O19" s="64" t="s">
        <v>113</v>
      </c>
      <c r="P19" s="64" t="s">
        <v>95</v>
      </c>
      <c r="Q19" s="66" t="s">
        <v>3231</v>
      </c>
      <c r="R19" s="64" t="s">
        <v>76</v>
      </c>
      <c r="S19" s="64" t="s">
        <v>97</v>
      </c>
      <c r="T19" s="64">
        <v>2021.0</v>
      </c>
      <c r="U19" s="64" t="s">
        <v>78</v>
      </c>
      <c r="V19" s="67" t="s">
        <v>79</v>
      </c>
      <c r="W19" s="64" t="s">
        <v>607</v>
      </c>
      <c r="X19" s="64" t="s">
        <v>100</v>
      </c>
      <c r="Y19" s="64" t="s">
        <v>139</v>
      </c>
      <c r="Z19" s="64" t="s">
        <v>560</v>
      </c>
      <c r="AA19" s="64" t="s">
        <v>651</v>
      </c>
      <c r="AB19" s="63" t="s">
        <v>625</v>
      </c>
      <c r="AC19" s="63">
        <v>8.1321814674E10</v>
      </c>
      <c r="AD19" s="63" t="s">
        <v>626</v>
      </c>
      <c r="AE19" s="67" t="s">
        <v>563</v>
      </c>
      <c r="AF19" s="68" t="s">
        <v>111</v>
      </c>
      <c r="AG19" s="60"/>
      <c r="AH19" s="60"/>
      <c r="AI19" s="60"/>
      <c r="AJ19" s="60"/>
      <c r="AK19" s="60"/>
      <c r="AL19" s="60"/>
      <c r="AM19" s="60"/>
      <c r="AN19" s="60"/>
      <c r="AO19" s="60"/>
      <c r="AP19" s="60"/>
      <c r="AQ19" s="60"/>
      <c r="AR19" s="61"/>
    </row>
    <row r="20" hidden="1">
      <c r="A20" s="62">
        <v>18.0</v>
      </c>
      <c r="B20" s="63" t="s">
        <v>653</v>
      </c>
      <c r="C20" s="67" t="s">
        <v>654</v>
      </c>
      <c r="D20" s="67" t="s">
        <v>655</v>
      </c>
      <c r="E20" s="59"/>
      <c r="F20" s="67" t="s">
        <v>469</v>
      </c>
      <c r="G20" s="67" t="s">
        <v>131</v>
      </c>
      <c r="H20" s="67" t="s">
        <v>656</v>
      </c>
      <c r="I20" s="67" t="s">
        <v>656</v>
      </c>
      <c r="J20" s="67" t="s">
        <v>151</v>
      </c>
      <c r="K20" s="67" t="s">
        <v>70</v>
      </c>
      <c r="L20" s="67" t="s">
        <v>71</v>
      </c>
      <c r="M20" s="68" t="s">
        <v>657</v>
      </c>
      <c r="N20" s="67" t="s">
        <v>82</v>
      </c>
      <c r="O20" s="67" t="s">
        <v>113</v>
      </c>
      <c r="P20" s="67" t="s">
        <v>95</v>
      </c>
      <c r="Q20" s="75" t="s">
        <v>3232</v>
      </c>
      <c r="R20" s="67" t="s">
        <v>76</v>
      </c>
      <c r="S20" s="67" t="s">
        <v>97</v>
      </c>
      <c r="T20" s="69"/>
      <c r="U20" s="67" t="s">
        <v>78</v>
      </c>
      <c r="V20" s="67" t="s">
        <v>98</v>
      </c>
      <c r="W20" s="67" t="s">
        <v>659</v>
      </c>
      <c r="X20" s="67" t="s">
        <v>155</v>
      </c>
      <c r="Y20" s="67" t="s">
        <v>139</v>
      </c>
      <c r="Z20" s="67" t="s">
        <v>660</v>
      </c>
      <c r="AA20" s="67" t="s">
        <v>211</v>
      </c>
      <c r="AB20" s="67" t="s">
        <v>661</v>
      </c>
      <c r="AC20" s="69"/>
      <c r="AD20" s="67" t="s">
        <v>662</v>
      </c>
      <c r="AE20" s="68">
        <v>28.0</v>
      </c>
      <c r="AF20" s="68" t="s">
        <v>71</v>
      </c>
      <c r="AG20" s="60"/>
      <c r="AH20" s="60"/>
      <c r="AI20" s="60"/>
      <c r="AJ20" s="60"/>
      <c r="AK20" s="60"/>
      <c r="AL20" s="60"/>
      <c r="AM20" s="60"/>
      <c r="AN20" s="60"/>
      <c r="AO20" s="60"/>
      <c r="AP20" s="60"/>
      <c r="AQ20" s="60"/>
      <c r="AR20" s="61"/>
    </row>
    <row r="21">
      <c r="A21" s="62">
        <v>19.0</v>
      </c>
      <c r="B21" s="63" t="s">
        <v>669</v>
      </c>
      <c r="C21" s="67" t="s">
        <v>670</v>
      </c>
      <c r="D21" s="67" t="s">
        <v>611</v>
      </c>
      <c r="E21" s="59"/>
      <c r="F21" s="67" t="s">
        <v>65</v>
      </c>
      <c r="G21" s="67" t="s">
        <v>123</v>
      </c>
      <c r="H21" s="67" t="s">
        <v>671</v>
      </c>
      <c r="I21" s="76" t="s">
        <v>672</v>
      </c>
      <c r="J21" s="67" t="s">
        <v>151</v>
      </c>
      <c r="K21" s="67" t="s">
        <v>110</v>
      </c>
      <c r="L21" s="67" t="s">
        <v>101</v>
      </c>
      <c r="M21" s="68" t="s">
        <v>673</v>
      </c>
      <c r="N21" s="67" t="s">
        <v>26</v>
      </c>
      <c r="O21" s="67" t="s">
        <v>113</v>
      </c>
      <c r="P21" s="67" t="s">
        <v>153</v>
      </c>
      <c r="Q21" s="67" t="s">
        <v>563</v>
      </c>
      <c r="R21" s="67" t="s">
        <v>146</v>
      </c>
      <c r="S21" s="67" t="s">
        <v>97</v>
      </c>
      <c r="T21" s="69"/>
      <c r="U21" s="67" t="s">
        <v>78</v>
      </c>
      <c r="V21" s="67" t="s">
        <v>79</v>
      </c>
      <c r="W21" s="64" t="s">
        <v>80</v>
      </c>
      <c r="X21" s="67" t="s">
        <v>80</v>
      </c>
      <c r="Y21" s="67" t="s">
        <v>80</v>
      </c>
      <c r="Z21" s="67" t="s">
        <v>660</v>
      </c>
      <c r="AA21" s="67" t="s">
        <v>140</v>
      </c>
      <c r="AB21" s="67" t="s">
        <v>661</v>
      </c>
      <c r="AC21" s="69"/>
      <c r="AD21" s="67" t="s">
        <v>662</v>
      </c>
      <c r="AE21" s="68">
        <v>28.0</v>
      </c>
      <c r="AF21" s="68" t="s">
        <v>71</v>
      </c>
      <c r="AG21" s="60"/>
      <c r="AH21" s="60"/>
      <c r="AI21" s="60"/>
      <c r="AJ21" s="60"/>
      <c r="AK21" s="60"/>
      <c r="AL21" s="60"/>
      <c r="AM21" s="60"/>
      <c r="AN21" s="60"/>
      <c r="AO21" s="60"/>
      <c r="AP21" s="60"/>
      <c r="AQ21" s="60"/>
      <c r="AR21" s="61"/>
    </row>
    <row r="22" hidden="1">
      <c r="A22" s="62">
        <v>20.0</v>
      </c>
      <c r="B22" s="63" t="s">
        <v>675</v>
      </c>
      <c r="C22" s="63" t="s">
        <v>676</v>
      </c>
      <c r="D22" s="63" t="s">
        <v>677</v>
      </c>
      <c r="E22" s="59"/>
      <c r="F22" s="64" t="s">
        <v>470</v>
      </c>
      <c r="G22" s="64" t="s">
        <v>123</v>
      </c>
      <c r="H22" s="64" t="s">
        <v>678</v>
      </c>
      <c r="I22" s="64" t="s">
        <v>678</v>
      </c>
      <c r="J22" s="64" t="s">
        <v>151</v>
      </c>
      <c r="K22" s="64" t="s">
        <v>110</v>
      </c>
      <c r="L22" s="64" t="s">
        <v>111</v>
      </c>
      <c r="M22" s="64" t="s">
        <v>679</v>
      </c>
      <c r="N22" s="64" t="s">
        <v>26</v>
      </c>
      <c r="O22" s="64" t="s">
        <v>113</v>
      </c>
      <c r="P22" s="64" t="s">
        <v>74</v>
      </c>
      <c r="Q22" s="66" t="s">
        <v>3233</v>
      </c>
      <c r="R22" s="64" t="s">
        <v>76</v>
      </c>
      <c r="S22" s="64" t="s">
        <v>97</v>
      </c>
      <c r="T22" s="64">
        <v>2023.0</v>
      </c>
      <c r="U22" s="64" t="s">
        <v>78</v>
      </c>
      <c r="V22" s="64" t="s">
        <v>79</v>
      </c>
      <c r="W22" s="64" t="s">
        <v>80</v>
      </c>
      <c r="X22" s="64" t="s">
        <v>80</v>
      </c>
      <c r="Y22" s="64" t="s">
        <v>80</v>
      </c>
      <c r="Z22" s="64" t="s">
        <v>681</v>
      </c>
      <c r="AA22" s="64" t="s">
        <v>140</v>
      </c>
      <c r="AB22" s="66" t="s">
        <v>3234</v>
      </c>
      <c r="AC22" s="63">
        <v>8.5218888714E10</v>
      </c>
      <c r="AD22" s="63" t="s">
        <v>562</v>
      </c>
      <c r="AE22" s="59"/>
      <c r="AF22" s="59"/>
      <c r="AG22" s="60"/>
      <c r="AH22" s="60"/>
      <c r="AI22" s="60"/>
      <c r="AJ22" s="60"/>
      <c r="AK22" s="60"/>
      <c r="AL22" s="60"/>
      <c r="AM22" s="60"/>
      <c r="AN22" s="60"/>
      <c r="AO22" s="60"/>
      <c r="AP22" s="60"/>
      <c r="AQ22" s="60"/>
      <c r="AR22" s="61"/>
    </row>
    <row r="23" hidden="1">
      <c r="A23" s="62">
        <v>21.0</v>
      </c>
      <c r="B23" s="63" t="s">
        <v>683</v>
      </c>
      <c r="C23" s="63" t="s">
        <v>684</v>
      </c>
      <c r="D23" s="63" t="s">
        <v>685</v>
      </c>
      <c r="E23" s="59"/>
      <c r="F23" s="64" t="s">
        <v>167</v>
      </c>
      <c r="G23" s="64" t="s">
        <v>123</v>
      </c>
      <c r="H23" s="64" t="s">
        <v>686</v>
      </c>
      <c r="I23" s="64" t="s">
        <v>687</v>
      </c>
      <c r="J23" s="64" t="s">
        <v>151</v>
      </c>
      <c r="K23" s="64" t="s">
        <v>110</v>
      </c>
      <c r="L23" s="64" t="s">
        <v>111</v>
      </c>
      <c r="M23" s="64" t="s">
        <v>688</v>
      </c>
      <c r="N23" s="64" t="s">
        <v>144</v>
      </c>
      <c r="O23" s="64" t="s">
        <v>144</v>
      </c>
      <c r="P23" s="64" t="s">
        <v>74</v>
      </c>
      <c r="Q23" s="66" t="s">
        <v>3235</v>
      </c>
      <c r="R23" s="64" t="s">
        <v>76</v>
      </c>
      <c r="S23" s="64" t="s">
        <v>97</v>
      </c>
      <c r="T23" s="64">
        <v>2023.0</v>
      </c>
      <c r="U23" s="64" t="s">
        <v>78</v>
      </c>
      <c r="V23" s="64" t="s">
        <v>79</v>
      </c>
      <c r="W23" s="64" t="s">
        <v>80</v>
      </c>
      <c r="X23" s="64" t="s">
        <v>80</v>
      </c>
      <c r="Y23" s="64" t="s">
        <v>80</v>
      </c>
      <c r="Z23" s="64" t="s">
        <v>681</v>
      </c>
      <c r="AA23" s="64" t="s">
        <v>140</v>
      </c>
      <c r="AB23" s="66" t="s">
        <v>3236</v>
      </c>
      <c r="AC23" s="63">
        <v>8.5218888714E10</v>
      </c>
      <c r="AD23" s="63" t="s">
        <v>562</v>
      </c>
      <c r="AE23" s="59"/>
      <c r="AF23" s="59"/>
      <c r="AG23" s="60"/>
      <c r="AH23" s="60"/>
      <c r="AI23" s="60"/>
      <c r="AJ23" s="60"/>
      <c r="AK23" s="60"/>
      <c r="AL23" s="60"/>
      <c r="AM23" s="60"/>
      <c r="AN23" s="60"/>
      <c r="AO23" s="60"/>
      <c r="AP23" s="60"/>
      <c r="AQ23" s="60"/>
      <c r="AR23" s="61"/>
    </row>
    <row r="24" hidden="1">
      <c r="A24" s="62">
        <v>22.0</v>
      </c>
      <c r="B24" s="63" t="s">
        <v>691</v>
      </c>
      <c r="C24" s="63" t="s">
        <v>692</v>
      </c>
      <c r="D24" s="63" t="s">
        <v>693</v>
      </c>
      <c r="E24" s="59"/>
      <c r="F24" s="64" t="s">
        <v>65</v>
      </c>
      <c r="G24" s="64" t="s">
        <v>66</v>
      </c>
      <c r="H24" s="64" t="s">
        <v>694</v>
      </c>
      <c r="I24" s="64" t="s">
        <v>695</v>
      </c>
      <c r="J24" s="64" t="s">
        <v>151</v>
      </c>
      <c r="K24" s="64" t="s">
        <v>70</v>
      </c>
      <c r="L24" s="64" t="s">
        <v>101</v>
      </c>
      <c r="M24" s="64" t="s">
        <v>696</v>
      </c>
      <c r="N24" s="64" t="s">
        <v>82</v>
      </c>
      <c r="O24" s="64" t="s">
        <v>113</v>
      </c>
      <c r="P24" s="64" t="s">
        <v>74</v>
      </c>
      <c r="Q24" s="66" t="s">
        <v>3237</v>
      </c>
      <c r="R24" s="64" t="s">
        <v>76</v>
      </c>
      <c r="S24" s="64" t="s">
        <v>97</v>
      </c>
      <c r="T24" s="64">
        <v>2021.0</v>
      </c>
      <c r="U24" s="64" t="s">
        <v>78</v>
      </c>
      <c r="V24" s="64" t="s">
        <v>79</v>
      </c>
      <c r="W24" s="64" t="s">
        <v>80</v>
      </c>
      <c r="X24" s="64" t="s">
        <v>80</v>
      </c>
      <c r="Y24" s="64" t="s">
        <v>80</v>
      </c>
      <c r="Z24" s="64" t="s">
        <v>681</v>
      </c>
      <c r="AA24" s="64" t="s">
        <v>140</v>
      </c>
      <c r="AB24" s="63" t="s">
        <v>698</v>
      </c>
      <c r="AC24" s="63">
        <v>8.2190093518E10</v>
      </c>
      <c r="AD24" s="63" t="s">
        <v>562</v>
      </c>
      <c r="AE24" s="59"/>
      <c r="AF24" s="59"/>
      <c r="AG24" s="60"/>
      <c r="AH24" s="60"/>
      <c r="AI24" s="60"/>
      <c r="AJ24" s="60"/>
      <c r="AK24" s="60"/>
      <c r="AL24" s="60"/>
      <c r="AM24" s="60"/>
      <c r="AN24" s="60"/>
      <c r="AO24" s="60"/>
      <c r="AP24" s="60"/>
      <c r="AQ24" s="60"/>
      <c r="AR24" s="61"/>
    </row>
    <row r="25" hidden="1">
      <c r="A25" s="62">
        <v>23.0</v>
      </c>
      <c r="B25" s="63" t="s">
        <v>699</v>
      </c>
      <c r="C25" s="63" t="s">
        <v>700</v>
      </c>
      <c r="D25" s="63" t="s">
        <v>701</v>
      </c>
      <c r="E25" s="59"/>
      <c r="F25" s="64" t="s">
        <v>470</v>
      </c>
      <c r="G25" s="64" t="s">
        <v>131</v>
      </c>
      <c r="H25" s="64" t="s">
        <v>702</v>
      </c>
      <c r="I25" s="64" t="s">
        <v>703</v>
      </c>
      <c r="J25" s="64" t="s">
        <v>151</v>
      </c>
      <c r="K25" s="64" t="s">
        <v>70</v>
      </c>
      <c r="L25" s="64" t="s">
        <v>152</v>
      </c>
      <c r="M25" s="64" t="s">
        <v>704</v>
      </c>
      <c r="N25" s="64" t="s">
        <v>93</v>
      </c>
      <c r="O25" s="64" t="s">
        <v>113</v>
      </c>
      <c r="P25" s="64" t="s">
        <v>74</v>
      </c>
      <c r="Q25" s="66" t="s">
        <v>3238</v>
      </c>
      <c r="R25" s="64" t="s">
        <v>76</v>
      </c>
      <c r="S25" s="64" t="s">
        <v>77</v>
      </c>
      <c r="T25" s="64">
        <v>2025.0</v>
      </c>
      <c r="U25" s="64" t="s">
        <v>78</v>
      </c>
      <c r="V25" s="64" t="s">
        <v>79</v>
      </c>
      <c r="W25" s="64" t="s">
        <v>706</v>
      </c>
      <c r="X25" s="64" t="s">
        <v>80</v>
      </c>
      <c r="Y25" s="64" t="s">
        <v>139</v>
      </c>
      <c r="Z25" s="64" t="s">
        <v>681</v>
      </c>
      <c r="AA25" s="64" t="s">
        <v>140</v>
      </c>
      <c r="AB25" s="66" t="s">
        <v>3239</v>
      </c>
      <c r="AC25" s="63">
        <v>8.5218888714E10</v>
      </c>
      <c r="AD25" s="63" t="s">
        <v>562</v>
      </c>
      <c r="AE25" s="59"/>
      <c r="AF25" s="59"/>
      <c r="AG25" s="60"/>
      <c r="AH25" s="60"/>
      <c r="AI25" s="60"/>
      <c r="AJ25" s="60"/>
      <c r="AK25" s="60"/>
      <c r="AL25" s="60"/>
      <c r="AM25" s="60"/>
      <c r="AN25" s="60"/>
      <c r="AO25" s="60"/>
      <c r="AP25" s="60"/>
      <c r="AQ25" s="60"/>
      <c r="AR25" s="61"/>
    </row>
    <row r="26" hidden="1">
      <c r="A26" s="62">
        <v>24.0</v>
      </c>
      <c r="B26" s="63" t="s">
        <v>709</v>
      </c>
      <c r="C26" s="63" t="s">
        <v>710</v>
      </c>
      <c r="D26" s="59"/>
      <c r="E26" s="59"/>
      <c r="F26" s="64" t="s">
        <v>65</v>
      </c>
      <c r="G26" s="64" t="s">
        <v>131</v>
      </c>
      <c r="H26" s="64" t="s">
        <v>711</v>
      </c>
      <c r="I26" s="64" t="s">
        <v>712</v>
      </c>
      <c r="J26" s="64" t="s">
        <v>151</v>
      </c>
      <c r="K26" s="64" t="s">
        <v>110</v>
      </c>
      <c r="L26" s="64" t="s">
        <v>71</v>
      </c>
      <c r="M26" s="64" t="s">
        <v>713</v>
      </c>
      <c r="N26" s="64" t="s">
        <v>82</v>
      </c>
      <c r="O26" s="64" t="s">
        <v>113</v>
      </c>
      <c r="P26" s="64" t="s">
        <v>74</v>
      </c>
      <c r="Q26" s="66" t="s">
        <v>3240</v>
      </c>
      <c r="R26" s="64" t="s">
        <v>76</v>
      </c>
      <c r="S26" s="64" t="s">
        <v>97</v>
      </c>
      <c r="T26" s="77">
        <v>2023.0</v>
      </c>
      <c r="U26" s="64" t="s">
        <v>78</v>
      </c>
      <c r="V26" s="64" t="s">
        <v>79</v>
      </c>
      <c r="W26" s="64" t="s">
        <v>80</v>
      </c>
      <c r="X26" s="64" t="s">
        <v>80</v>
      </c>
      <c r="Y26" s="64" t="s">
        <v>80</v>
      </c>
      <c r="Z26" s="64" t="s">
        <v>715</v>
      </c>
      <c r="AA26" s="64" t="s">
        <v>140</v>
      </c>
      <c r="AB26" s="67" t="s">
        <v>716</v>
      </c>
      <c r="AC26" s="77">
        <v>8.5294019899E10</v>
      </c>
      <c r="AD26" s="67" t="s">
        <v>563</v>
      </c>
      <c r="AE26" s="67" t="s">
        <v>563</v>
      </c>
      <c r="AF26" s="68" t="s">
        <v>71</v>
      </c>
      <c r="AG26" s="60"/>
      <c r="AH26" s="60"/>
      <c r="AI26" s="60"/>
      <c r="AJ26" s="60"/>
      <c r="AK26" s="60"/>
      <c r="AL26" s="60"/>
      <c r="AM26" s="60"/>
      <c r="AN26" s="60"/>
      <c r="AO26" s="60"/>
      <c r="AP26" s="60"/>
      <c r="AQ26" s="60"/>
      <c r="AR26" s="61"/>
    </row>
    <row r="27" hidden="1">
      <c r="A27" s="62">
        <v>25.0</v>
      </c>
      <c r="B27" s="63" t="s">
        <v>717</v>
      </c>
      <c r="C27" s="69"/>
      <c r="D27" s="59"/>
      <c r="E27" s="59"/>
      <c r="F27" s="64" t="s">
        <v>165</v>
      </c>
      <c r="G27" s="64" t="s">
        <v>138</v>
      </c>
      <c r="H27" s="64" t="s">
        <v>718</v>
      </c>
      <c r="I27" s="64" t="s">
        <v>719</v>
      </c>
      <c r="J27" s="64" t="s">
        <v>158</v>
      </c>
      <c r="K27" s="64" t="s">
        <v>110</v>
      </c>
      <c r="L27" s="64" t="s">
        <v>71</v>
      </c>
      <c r="M27" s="64" t="s">
        <v>720</v>
      </c>
      <c r="N27" s="64" t="s">
        <v>82</v>
      </c>
      <c r="O27" s="64" t="s">
        <v>113</v>
      </c>
      <c r="P27" s="64" t="s">
        <v>95</v>
      </c>
      <c r="Q27" s="78" t="s">
        <v>721</v>
      </c>
      <c r="R27" s="64" t="s">
        <v>76</v>
      </c>
      <c r="S27" s="64" t="s">
        <v>97</v>
      </c>
      <c r="T27" s="77">
        <v>2024.0</v>
      </c>
      <c r="U27" s="64" t="s">
        <v>147</v>
      </c>
      <c r="V27" s="64" t="s">
        <v>98</v>
      </c>
      <c r="W27" s="64" t="s">
        <v>722</v>
      </c>
      <c r="X27" s="64" t="s">
        <v>100</v>
      </c>
      <c r="Y27" s="64" t="s">
        <v>139</v>
      </c>
      <c r="Z27" s="64" t="s">
        <v>715</v>
      </c>
      <c r="AA27" s="64" t="s">
        <v>140</v>
      </c>
      <c r="AB27" s="67" t="s">
        <v>723</v>
      </c>
      <c r="AC27" s="67" t="s">
        <v>724</v>
      </c>
      <c r="AD27" s="69"/>
      <c r="AE27" s="67" t="s">
        <v>725</v>
      </c>
      <c r="AF27" s="68" t="s">
        <v>71</v>
      </c>
      <c r="AG27" s="60"/>
      <c r="AH27" s="60"/>
      <c r="AI27" s="60"/>
      <c r="AJ27" s="60"/>
      <c r="AK27" s="60"/>
      <c r="AL27" s="60"/>
      <c r="AM27" s="60"/>
      <c r="AN27" s="60"/>
      <c r="AO27" s="60"/>
      <c r="AP27" s="60"/>
      <c r="AQ27" s="60"/>
      <c r="AR27" s="61"/>
    </row>
    <row r="28" hidden="1">
      <c r="A28" s="62">
        <v>26.0</v>
      </c>
      <c r="B28" s="63" t="s">
        <v>727</v>
      </c>
      <c r="C28" s="63" t="s">
        <v>728</v>
      </c>
      <c r="D28" s="63" t="s">
        <v>729</v>
      </c>
      <c r="E28" s="59"/>
      <c r="F28" s="64" t="s">
        <v>441</v>
      </c>
      <c r="G28" s="64" t="s">
        <v>123</v>
      </c>
      <c r="H28" s="64" t="s">
        <v>730</v>
      </c>
      <c r="I28" s="64" t="s">
        <v>731</v>
      </c>
      <c r="J28" s="64" t="s">
        <v>91</v>
      </c>
      <c r="K28" s="64" t="s">
        <v>110</v>
      </c>
      <c r="L28" s="64" t="s">
        <v>71</v>
      </c>
      <c r="M28" s="64" t="s">
        <v>732</v>
      </c>
      <c r="N28" s="64" t="s">
        <v>73</v>
      </c>
      <c r="O28" s="64" t="s">
        <v>73</v>
      </c>
      <c r="P28" s="64" t="s">
        <v>74</v>
      </c>
      <c r="Q28" s="66" t="s">
        <v>3241</v>
      </c>
      <c r="R28" s="64" t="s">
        <v>76</v>
      </c>
      <c r="S28" s="64" t="s">
        <v>97</v>
      </c>
      <c r="T28" s="64">
        <v>2021.0</v>
      </c>
      <c r="U28" s="64" t="s">
        <v>78</v>
      </c>
      <c r="V28" s="64" t="s">
        <v>79</v>
      </c>
      <c r="W28" s="64" t="s">
        <v>80</v>
      </c>
      <c r="X28" s="64" t="s">
        <v>80</v>
      </c>
      <c r="Y28" s="64" t="s">
        <v>80</v>
      </c>
      <c r="Z28" s="64" t="s">
        <v>734</v>
      </c>
      <c r="AA28" s="64" t="s">
        <v>140</v>
      </c>
      <c r="AB28" s="66" t="s">
        <v>3242</v>
      </c>
      <c r="AC28" s="63" t="s">
        <v>736</v>
      </c>
      <c r="AD28" s="63" t="s">
        <v>737</v>
      </c>
      <c r="AE28" s="59"/>
      <c r="AF28" s="59"/>
      <c r="AG28" s="60"/>
      <c r="AH28" s="60"/>
      <c r="AI28" s="60"/>
      <c r="AJ28" s="60"/>
      <c r="AK28" s="60"/>
      <c r="AL28" s="60"/>
      <c r="AM28" s="60"/>
      <c r="AN28" s="60"/>
      <c r="AO28" s="60"/>
      <c r="AP28" s="60"/>
      <c r="AQ28" s="60"/>
      <c r="AR28" s="61"/>
    </row>
    <row r="29" hidden="1">
      <c r="A29" s="62">
        <v>27.0</v>
      </c>
      <c r="B29" s="63" t="s">
        <v>738</v>
      </c>
      <c r="C29" s="63" t="s">
        <v>739</v>
      </c>
      <c r="D29" s="63" t="s">
        <v>740</v>
      </c>
      <c r="E29" s="59"/>
      <c r="F29" s="64" t="s">
        <v>440</v>
      </c>
      <c r="G29" s="64" t="s">
        <v>123</v>
      </c>
      <c r="H29" s="69"/>
      <c r="I29" s="64" t="s">
        <v>741</v>
      </c>
      <c r="J29" s="64" t="s">
        <v>91</v>
      </c>
      <c r="K29" s="64" t="s">
        <v>110</v>
      </c>
      <c r="L29" s="64" t="s">
        <v>111</v>
      </c>
      <c r="M29" s="64" t="s">
        <v>742</v>
      </c>
      <c r="N29" s="64" t="s">
        <v>73</v>
      </c>
      <c r="O29" s="64" t="s">
        <v>73</v>
      </c>
      <c r="P29" s="64" t="s">
        <v>74</v>
      </c>
      <c r="Q29" s="66" t="s">
        <v>3243</v>
      </c>
      <c r="R29" s="64" t="s">
        <v>76</v>
      </c>
      <c r="S29" s="64" t="s">
        <v>97</v>
      </c>
      <c r="T29" s="64">
        <v>2021.0</v>
      </c>
      <c r="U29" s="64" t="s">
        <v>78</v>
      </c>
      <c r="V29" s="64" t="s">
        <v>79</v>
      </c>
      <c r="W29" s="64" t="s">
        <v>80</v>
      </c>
      <c r="X29" s="64" t="s">
        <v>80</v>
      </c>
      <c r="Y29" s="64" t="s">
        <v>80</v>
      </c>
      <c r="Z29" s="64" t="s">
        <v>744</v>
      </c>
      <c r="AA29" s="64" t="s">
        <v>745</v>
      </c>
      <c r="AB29" s="66" t="s">
        <v>3244</v>
      </c>
      <c r="AC29" s="63" t="s">
        <v>736</v>
      </c>
      <c r="AD29" s="63" t="s">
        <v>737</v>
      </c>
      <c r="AE29" s="59"/>
      <c r="AF29" s="59"/>
      <c r="AG29" s="60"/>
      <c r="AH29" s="60"/>
      <c r="AI29" s="60"/>
      <c r="AJ29" s="60"/>
      <c r="AK29" s="60"/>
      <c r="AL29" s="60"/>
      <c r="AM29" s="60"/>
      <c r="AN29" s="60"/>
      <c r="AO29" s="60"/>
      <c r="AP29" s="60"/>
      <c r="AQ29" s="60"/>
      <c r="AR29" s="61"/>
    </row>
    <row r="30" hidden="1">
      <c r="A30" s="62">
        <v>28.0</v>
      </c>
      <c r="B30" s="63" t="s">
        <v>747</v>
      </c>
      <c r="C30" s="63" t="s">
        <v>748</v>
      </c>
      <c r="D30" s="63" t="s">
        <v>749</v>
      </c>
      <c r="E30" s="59"/>
      <c r="F30" s="64" t="s">
        <v>440</v>
      </c>
      <c r="G30" s="64" t="s">
        <v>123</v>
      </c>
      <c r="H30" s="69"/>
      <c r="I30" s="64" t="s">
        <v>750</v>
      </c>
      <c r="J30" s="64" t="s">
        <v>91</v>
      </c>
      <c r="K30" s="64" t="s">
        <v>110</v>
      </c>
      <c r="L30" s="64" t="s">
        <v>101</v>
      </c>
      <c r="M30" s="64" t="s">
        <v>751</v>
      </c>
      <c r="N30" s="64" t="s">
        <v>73</v>
      </c>
      <c r="O30" s="64" t="s">
        <v>73</v>
      </c>
      <c r="P30" s="64" t="s">
        <v>74</v>
      </c>
      <c r="Q30" s="66" t="s">
        <v>3245</v>
      </c>
      <c r="R30" s="64" t="s">
        <v>76</v>
      </c>
      <c r="S30" s="64" t="s">
        <v>97</v>
      </c>
      <c r="T30" s="64">
        <v>2021.0</v>
      </c>
      <c r="U30" s="64" t="s">
        <v>78</v>
      </c>
      <c r="V30" s="64" t="s">
        <v>79</v>
      </c>
      <c r="W30" s="64" t="s">
        <v>80</v>
      </c>
      <c r="X30" s="64" t="s">
        <v>80</v>
      </c>
      <c r="Y30" s="64" t="s">
        <v>80</v>
      </c>
      <c r="Z30" s="64" t="s">
        <v>744</v>
      </c>
      <c r="AA30" s="64" t="s">
        <v>753</v>
      </c>
      <c r="AB30" s="66" t="s">
        <v>3246</v>
      </c>
      <c r="AC30" s="63" t="s">
        <v>736</v>
      </c>
      <c r="AD30" s="63" t="s">
        <v>737</v>
      </c>
      <c r="AE30" s="59"/>
      <c r="AF30" s="59"/>
      <c r="AG30" s="60"/>
      <c r="AH30" s="60"/>
      <c r="AI30" s="60"/>
      <c r="AJ30" s="60"/>
      <c r="AK30" s="60"/>
      <c r="AL30" s="60"/>
      <c r="AM30" s="60"/>
      <c r="AN30" s="60"/>
      <c r="AO30" s="60"/>
      <c r="AP30" s="60"/>
      <c r="AQ30" s="60"/>
      <c r="AR30" s="61"/>
    </row>
    <row r="31" hidden="1">
      <c r="A31" s="62">
        <v>29.0</v>
      </c>
      <c r="B31" s="63" t="s">
        <v>756</v>
      </c>
      <c r="C31" s="64" t="s">
        <v>757</v>
      </c>
      <c r="D31" s="67" t="s">
        <v>758</v>
      </c>
      <c r="E31" s="59"/>
      <c r="F31" s="67" t="s">
        <v>127</v>
      </c>
      <c r="G31" s="67" t="s">
        <v>138</v>
      </c>
      <c r="H31" s="68" t="s">
        <v>759</v>
      </c>
      <c r="I31" s="68" t="s">
        <v>759</v>
      </c>
      <c r="J31" s="67" t="s">
        <v>151</v>
      </c>
      <c r="K31" s="67" t="s">
        <v>110</v>
      </c>
      <c r="L31" s="67" t="s">
        <v>101</v>
      </c>
      <c r="M31" s="64" t="s">
        <v>527</v>
      </c>
      <c r="N31" s="67" t="s">
        <v>82</v>
      </c>
      <c r="O31" s="67" t="s">
        <v>113</v>
      </c>
      <c r="P31" s="67" t="s">
        <v>74</v>
      </c>
      <c r="Q31" s="75" t="s">
        <v>3247</v>
      </c>
      <c r="R31" s="67" t="s">
        <v>76</v>
      </c>
      <c r="S31" s="67" t="s">
        <v>97</v>
      </c>
      <c r="T31" s="69"/>
      <c r="U31" s="67" t="s">
        <v>78</v>
      </c>
      <c r="V31" s="67" t="s">
        <v>98</v>
      </c>
      <c r="W31" s="79" t="s">
        <v>80</v>
      </c>
      <c r="X31" s="79" t="s">
        <v>80</v>
      </c>
      <c r="Y31" s="79" t="s">
        <v>80</v>
      </c>
      <c r="Z31" s="68" t="s">
        <v>761</v>
      </c>
      <c r="AA31" s="68" t="s">
        <v>82</v>
      </c>
      <c r="AB31" s="69"/>
      <c r="AC31" s="69"/>
      <c r="AD31" s="69"/>
      <c r="AE31" s="59"/>
      <c r="AF31" s="59"/>
      <c r="AG31" s="60"/>
      <c r="AH31" s="60"/>
      <c r="AI31" s="60"/>
      <c r="AJ31" s="60"/>
      <c r="AK31" s="60"/>
      <c r="AL31" s="60"/>
      <c r="AM31" s="60"/>
      <c r="AN31" s="60"/>
      <c r="AO31" s="60"/>
      <c r="AP31" s="60"/>
      <c r="AQ31" s="60"/>
      <c r="AR31" s="61"/>
    </row>
    <row r="32" hidden="1">
      <c r="A32" s="62">
        <v>30.0</v>
      </c>
      <c r="B32" s="63" t="s">
        <v>763</v>
      </c>
      <c r="C32" s="63" t="s">
        <v>764</v>
      </c>
      <c r="D32" s="63" t="s">
        <v>765</v>
      </c>
      <c r="E32" s="63" t="s">
        <v>563</v>
      </c>
      <c r="F32" s="64" t="s">
        <v>360</v>
      </c>
      <c r="G32" s="64" t="s">
        <v>123</v>
      </c>
      <c r="H32" s="64" t="s">
        <v>766</v>
      </c>
      <c r="I32" s="64" t="s">
        <v>767</v>
      </c>
      <c r="J32" s="64" t="s">
        <v>151</v>
      </c>
      <c r="K32" s="64" t="s">
        <v>110</v>
      </c>
      <c r="L32" s="64" t="s">
        <v>152</v>
      </c>
      <c r="M32" s="64" t="s">
        <v>768</v>
      </c>
      <c r="N32" s="64" t="s">
        <v>82</v>
      </c>
      <c r="O32" s="64" t="s">
        <v>113</v>
      </c>
      <c r="P32" s="64" t="s">
        <v>95</v>
      </c>
      <c r="Q32" s="66" t="s">
        <v>3248</v>
      </c>
      <c r="R32" s="64" t="s">
        <v>76</v>
      </c>
      <c r="S32" s="64" t="s">
        <v>97</v>
      </c>
      <c r="T32" s="64">
        <v>2024.0</v>
      </c>
      <c r="U32" s="64" t="s">
        <v>78</v>
      </c>
      <c r="V32" s="64" t="s">
        <v>98</v>
      </c>
      <c r="W32" s="64" t="s">
        <v>770</v>
      </c>
      <c r="X32" s="64" t="s">
        <v>155</v>
      </c>
      <c r="Y32" s="64" t="s">
        <v>139</v>
      </c>
      <c r="Z32" s="81" t="s">
        <v>771</v>
      </c>
      <c r="AA32" s="64" t="s">
        <v>140</v>
      </c>
      <c r="AB32" s="82" t="s">
        <v>772</v>
      </c>
      <c r="AC32" s="63">
        <v>8.5721347799E10</v>
      </c>
      <c r="AD32" s="63" t="s">
        <v>773</v>
      </c>
      <c r="AE32" s="59"/>
      <c r="AF32" s="59"/>
      <c r="AG32" s="60"/>
      <c r="AH32" s="60"/>
      <c r="AI32" s="60"/>
      <c r="AJ32" s="60"/>
      <c r="AK32" s="60"/>
      <c r="AL32" s="60"/>
      <c r="AM32" s="60"/>
      <c r="AN32" s="60"/>
      <c r="AO32" s="60"/>
      <c r="AP32" s="60"/>
      <c r="AQ32" s="60"/>
      <c r="AR32" s="61"/>
    </row>
    <row r="33" hidden="1">
      <c r="A33" s="62">
        <v>31.0</v>
      </c>
      <c r="B33" s="63" t="s">
        <v>774</v>
      </c>
      <c r="C33" s="83" t="s">
        <v>775</v>
      </c>
      <c r="D33" s="63" t="s">
        <v>563</v>
      </c>
      <c r="E33" s="63" t="s">
        <v>563</v>
      </c>
      <c r="F33" s="64" t="s">
        <v>361</v>
      </c>
      <c r="G33" s="64" t="s">
        <v>66</v>
      </c>
      <c r="H33" s="64" t="s">
        <v>776</v>
      </c>
      <c r="I33" s="64" t="s">
        <v>777</v>
      </c>
      <c r="J33" s="64" t="s">
        <v>91</v>
      </c>
      <c r="K33" s="64" t="s">
        <v>70</v>
      </c>
      <c r="L33" s="64" t="s">
        <v>152</v>
      </c>
      <c r="M33" s="64" t="s">
        <v>778</v>
      </c>
      <c r="N33" s="64" t="s">
        <v>82</v>
      </c>
      <c r="O33" s="64" t="s">
        <v>113</v>
      </c>
      <c r="P33" s="64" t="s">
        <v>95</v>
      </c>
      <c r="Q33" s="66" t="s">
        <v>3249</v>
      </c>
      <c r="R33" s="64" t="s">
        <v>76</v>
      </c>
      <c r="S33" s="64" t="s">
        <v>97</v>
      </c>
      <c r="T33" s="64">
        <v>2023.0</v>
      </c>
      <c r="U33" s="64" t="s">
        <v>78</v>
      </c>
      <c r="V33" s="64" t="s">
        <v>98</v>
      </c>
      <c r="W33" s="64" t="s">
        <v>563</v>
      </c>
      <c r="X33" s="64" t="s">
        <v>155</v>
      </c>
      <c r="Y33" s="64" t="s">
        <v>152</v>
      </c>
      <c r="Z33" s="64" t="s">
        <v>780</v>
      </c>
      <c r="AA33" s="64" t="s">
        <v>140</v>
      </c>
      <c r="AB33" s="83" t="s">
        <v>781</v>
      </c>
      <c r="AC33" s="63">
        <v>8.127585399E9</v>
      </c>
      <c r="AD33" s="63" t="s">
        <v>782</v>
      </c>
      <c r="AE33" s="59"/>
      <c r="AF33" s="59"/>
      <c r="AG33" s="60"/>
      <c r="AH33" s="60"/>
      <c r="AI33" s="60"/>
      <c r="AJ33" s="60"/>
      <c r="AK33" s="60"/>
      <c r="AL33" s="60"/>
      <c r="AM33" s="60"/>
      <c r="AN33" s="60"/>
      <c r="AO33" s="60"/>
      <c r="AP33" s="60"/>
      <c r="AQ33" s="60"/>
      <c r="AR33" s="61"/>
    </row>
    <row r="34" hidden="1">
      <c r="A34" s="62">
        <v>32.0</v>
      </c>
      <c r="B34" s="63" t="s">
        <v>784</v>
      </c>
      <c r="C34" s="63" t="s">
        <v>785</v>
      </c>
      <c r="D34" s="63" t="s">
        <v>786</v>
      </c>
      <c r="E34" s="63" t="s">
        <v>787</v>
      </c>
      <c r="F34" s="64" t="s">
        <v>65</v>
      </c>
      <c r="G34" s="64" t="s">
        <v>788</v>
      </c>
      <c r="H34" s="64" t="s">
        <v>789</v>
      </c>
      <c r="I34" s="64" t="s">
        <v>790</v>
      </c>
      <c r="J34" s="64" t="s">
        <v>151</v>
      </c>
      <c r="K34" s="64" t="s">
        <v>70</v>
      </c>
      <c r="L34" s="64" t="s">
        <v>101</v>
      </c>
      <c r="M34" s="64" t="s">
        <v>791</v>
      </c>
      <c r="N34" s="64" t="s">
        <v>82</v>
      </c>
      <c r="O34" s="64" t="s">
        <v>113</v>
      </c>
      <c r="P34" s="64" t="s">
        <v>74</v>
      </c>
      <c r="Q34" s="66" t="s">
        <v>3250</v>
      </c>
      <c r="R34" s="64" t="s">
        <v>76</v>
      </c>
      <c r="S34" s="64" t="s">
        <v>97</v>
      </c>
      <c r="T34" s="64">
        <v>2022.0</v>
      </c>
      <c r="U34" s="64" t="s">
        <v>78</v>
      </c>
      <c r="V34" s="64" t="s">
        <v>98</v>
      </c>
      <c r="W34" s="64" t="s">
        <v>793</v>
      </c>
      <c r="X34" s="64" t="s">
        <v>148</v>
      </c>
      <c r="Y34" s="64" t="s">
        <v>139</v>
      </c>
      <c r="Z34" s="64" t="s">
        <v>794</v>
      </c>
      <c r="AA34" s="64" t="s">
        <v>140</v>
      </c>
      <c r="AB34" s="63" t="s">
        <v>795</v>
      </c>
      <c r="AC34" s="63">
        <v>8.5322543009E10</v>
      </c>
      <c r="AD34" s="63" t="s">
        <v>796</v>
      </c>
      <c r="AE34" s="59"/>
      <c r="AF34" s="67" t="s">
        <v>797</v>
      </c>
      <c r="AG34" s="84" t="s">
        <v>798</v>
      </c>
    </row>
    <row r="35" hidden="1">
      <c r="A35" s="62">
        <v>33.0</v>
      </c>
      <c r="B35" s="63" t="s">
        <v>800</v>
      </c>
      <c r="C35" s="63" t="s">
        <v>801</v>
      </c>
      <c r="D35" s="63" t="s">
        <v>802</v>
      </c>
      <c r="E35" s="59"/>
      <c r="F35" s="64" t="s">
        <v>282</v>
      </c>
      <c r="G35" s="64" t="s">
        <v>123</v>
      </c>
      <c r="H35" s="64" t="s">
        <v>803</v>
      </c>
      <c r="I35" s="64" t="s">
        <v>804</v>
      </c>
      <c r="J35" s="64" t="s">
        <v>91</v>
      </c>
      <c r="K35" s="64" t="s">
        <v>70</v>
      </c>
      <c r="L35" s="64" t="s">
        <v>71</v>
      </c>
      <c r="M35" s="68" t="s">
        <v>805</v>
      </c>
      <c r="N35" s="64" t="s">
        <v>73</v>
      </c>
      <c r="O35" s="64" t="s">
        <v>73</v>
      </c>
      <c r="P35" s="64" t="s">
        <v>95</v>
      </c>
      <c r="Q35" s="66" t="s">
        <v>3251</v>
      </c>
      <c r="R35" s="64" t="s">
        <v>76</v>
      </c>
      <c r="S35" s="64" t="s">
        <v>97</v>
      </c>
      <c r="T35" s="64">
        <v>2017.0</v>
      </c>
      <c r="U35" s="64" t="s">
        <v>78</v>
      </c>
      <c r="V35" s="64" t="s">
        <v>79</v>
      </c>
      <c r="W35" s="64" t="s">
        <v>80</v>
      </c>
      <c r="X35" s="69"/>
      <c r="Y35" s="64" t="s">
        <v>143</v>
      </c>
      <c r="Z35" s="64" t="s">
        <v>807</v>
      </c>
      <c r="AA35" s="69"/>
      <c r="AB35" s="63" t="s">
        <v>808</v>
      </c>
      <c r="AC35" s="69"/>
      <c r="AD35" s="63" t="s">
        <v>809</v>
      </c>
      <c r="AE35" s="59"/>
      <c r="AF35" s="59"/>
      <c r="AG35" s="60"/>
      <c r="AH35" s="60"/>
      <c r="AI35" s="60"/>
      <c r="AJ35" s="60"/>
      <c r="AK35" s="60"/>
      <c r="AL35" s="60"/>
      <c r="AM35" s="60"/>
      <c r="AN35" s="60"/>
      <c r="AO35" s="60"/>
      <c r="AP35" s="60"/>
      <c r="AQ35" s="60"/>
      <c r="AR35" s="61"/>
    </row>
    <row r="36" hidden="1">
      <c r="A36" s="62">
        <v>34.0</v>
      </c>
      <c r="B36" s="82" t="s">
        <v>810</v>
      </c>
      <c r="C36" s="69"/>
      <c r="D36" s="63" t="s">
        <v>811</v>
      </c>
      <c r="E36" s="59"/>
      <c r="F36" s="64" t="s">
        <v>444</v>
      </c>
      <c r="G36" s="64" t="s">
        <v>123</v>
      </c>
      <c r="H36" s="64" t="s">
        <v>812</v>
      </c>
      <c r="I36" s="64" t="s">
        <v>813</v>
      </c>
      <c r="J36" s="64" t="s">
        <v>91</v>
      </c>
      <c r="K36" s="64" t="s">
        <v>110</v>
      </c>
      <c r="L36" s="64" t="s">
        <v>152</v>
      </c>
      <c r="M36" s="64" t="s">
        <v>814</v>
      </c>
      <c r="N36" s="64" t="s">
        <v>73</v>
      </c>
      <c r="O36" s="64" t="s">
        <v>73</v>
      </c>
      <c r="P36" s="64" t="s">
        <v>95</v>
      </c>
      <c r="Q36" s="66" t="s">
        <v>3252</v>
      </c>
      <c r="R36" s="64" t="s">
        <v>76</v>
      </c>
      <c r="S36" s="64" t="s">
        <v>97</v>
      </c>
      <c r="T36" s="64">
        <v>2021.0</v>
      </c>
      <c r="U36" s="64" t="s">
        <v>78</v>
      </c>
      <c r="V36" s="64" t="s">
        <v>79</v>
      </c>
      <c r="W36" s="64" t="s">
        <v>80</v>
      </c>
      <c r="X36" s="69"/>
      <c r="Y36" s="64" t="s">
        <v>143</v>
      </c>
      <c r="Z36" s="64" t="s">
        <v>807</v>
      </c>
      <c r="AA36" s="64" t="s">
        <v>140</v>
      </c>
      <c r="AB36" s="63" t="s">
        <v>808</v>
      </c>
      <c r="AC36" s="69"/>
      <c r="AD36" s="63" t="s">
        <v>809</v>
      </c>
      <c r="AE36" s="59"/>
      <c r="AF36" s="59"/>
      <c r="AG36" s="60"/>
      <c r="AH36" s="60"/>
      <c r="AI36" s="60"/>
      <c r="AJ36" s="60"/>
      <c r="AK36" s="60"/>
      <c r="AL36" s="60"/>
      <c r="AM36" s="60"/>
      <c r="AN36" s="60"/>
      <c r="AO36" s="60"/>
      <c r="AP36" s="60"/>
      <c r="AQ36" s="60"/>
      <c r="AR36" s="61"/>
    </row>
    <row r="37" hidden="1">
      <c r="A37" s="62">
        <v>35.0</v>
      </c>
      <c r="B37" s="63" t="s">
        <v>816</v>
      </c>
      <c r="C37" s="63" t="s">
        <v>823</v>
      </c>
      <c r="D37" s="67" t="s">
        <v>818</v>
      </c>
      <c r="E37" s="59"/>
      <c r="F37" s="64" t="s">
        <v>470</v>
      </c>
      <c r="G37" s="64" t="s">
        <v>123</v>
      </c>
      <c r="H37" s="64" t="s">
        <v>819</v>
      </c>
      <c r="I37" s="64" t="s">
        <v>819</v>
      </c>
      <c r="J37" s="64" t="s">
        <v>91</v>
      </c>
      <c r="K37" s="64" t="s">
        <v>110</v>
      </c>
      <c r="L37" s="64" t="s">
        <v>152</v>
      </c>
      <c r="M37" s="64" t="s">
        <v>824</v>
      </c>
      <c r="N37" s="64" t="s">
        <v>73</v>
      </c>
      <c r="O37" s="64" t="s">
        <v>73</v>
      </c>
      <c r="P37" s="64" t="s">
        <v>95</v>
      </c>
      <c r="Q37" s="66" t="s">
        <v>3253</v>
      </c>
      <c r="R37" s="64" t="s">
        <v>76</v>
      </c>
      <c r="S37" s="64" t="s">
        <v>97</v>
      </c>
      <c r="T37" s="69"/>
      <c r="U37" s="64" t="s">
        <v>78</v>
      </c>
      <c r="V37" s="64" t="s">
        <v>79</v>
      </c>
      <c r="W37" s="64" t="s">
        <v>80</v>
      </c>
      <c r="X37" s="69"/>
      <c r="Y37" s="64" t="s">
        <v>139</v>
      </c>
      <c r="Z37" s="64" t="s">
        <v>807</v>
      </c>
      <c r="AA37" s="64" t="s">
        <v>140</v>
      </c>
      <c r="AB37" s="63" t="s">
        <v>822</v>
      </c>
      <c r="AC37" s="69"/>
      <c r="AD37" s="69"/>
      <c r="AE37" s="59"/>
      <c r="AF37" s="59"/>
      <c r="AG37" s="60"/>
      <c r="AH37" s="60"/>
      <c r="AI37" s="60"/>
      <c r="AJ37" s="60"/>
      <c r="AK37" s="60"/>
      <c r="AL37" s="60"/>
      <c r="AM37" s="60"/>
      <c r="AN37" s="60"/>
      <c r="AO37" s="60"/>
      <c r="AP37" s="60"/>
      <c r="AQ37" s="60"/>
      <c r="AR37" s="61"/>
    </row>
    <row r="38" hidden="1">
      <c r="A38" s="62">
        <v>36.0</v>
      </c>
      <c r="B38" s="63" t="s">
        <v>831</v>
      </c>
      <c r="C38" s="63" t="s">
        <v>823</v>
      </c>
      <c r="D38" s="63" t="s">
        <v>832</v>
      </c>
      <c r="E38" s="59"/>
      <c r="F38" s="64" t="s">
        <v>470</v>
      </c>
      <c r="G38" s="64" t="s">
        <v>123</v>
      </c>
      <c r="H38" s="64" t="s">
        <v>833</v>
      </c>
      <c r="I38" s="64" t="s">
        <v>833</v>
      </c>
      <c r="J38" s="64" t="s">
        <v>91</v>
      </c>
      <c r="K38" s="64" t="s">
        <v>110</v>
      </c>
      <c r="L38" s="64" t="s">
        <v>152</v>
      </c>
      <c r="M38" s="64" t="s">
        <v>834</v>
      </c>
      <c r="N38" s="64" t="s">
        <v>73</v>
      </c>
      <c r="O38" s="64" t="s">
        <v>73</v>
      </c>
      <c r="P38" s="64" t="s">
        <v>95</v>
      </c>
      <c r="Q38" s="66" t="s">
        <v>3254</v>
      </c>
      <c r="R38" s="69"/>
      <c r="S38" s="69"/>
      <c r="T38" s="69"/>
      <c r="U38" s="69"/>
      <c r="V38" s="69"/>
      <c r="W38" s="64" t="s">
        <v>80</v>
      </c>
      <c r="X38" s="69"/>
      <c r="Y38" s="69"/>
      <c r="Z38" s="64" t="s">
        <v>807</v>
      </c>
      <c r="AA38" s="64" t="s">
        <v>140</v>
      </c>
      <c r="AB38" s="63" t="s">
        <v>836</v>
      </c>
      <c r="AC38" s="69"/>
      <c r="AD38" s="69"/>
      <c r="AE38" s="59"/>
      <c r="AF38" s="59"/>
      <c r="AG38" s="60"/>
      <c r="AH38" s="60"/>
      <c r="AI38" s="60"/>
      <c r="AJ38" s="60"/>
      <c r="AK38" s="60"/>
      <c r="AL38" s="60"/>
      <c r="AM38" s="60"/>
      <c r="AN38" s="60"/>
      <c r="AO38" s="60"/>
      <c r="AP38" s="60"/>
      <c r="AQ38" s="60"/>
      <c r="AR38" s="61"/>
    </row>
    <row r="39" hidden="1">
      <c r="A39" s="62">
        <v>37.0</v>
      </c>
      <c r="B39" s="63" t="s">
        <v>837</v>
      </c>
      <c r="C39" s="63" t="s">
        <v>823</v>
      </c>
      <c r="D39" s="59"/>
      <c r="E39" s="59"/>
      <c r="F39" s="64" t="s">
        <v>470</v>
      </c>
      <c r="G39" s="64" t="s">
        <v>123</v>
      </c>
      <c r="H39" s="69"/>
      <c r="I39" s="69"/>
      <c r="J39" s="64" t="s">
        <v>91</v>
      </c>
      <c r="K39" s="64" t="s">
        <v>110</v>
      </c>
      <c r="L39" s="64" t="s">
        <v>101</v>
      </c>
      <c r="M39" s="64" t="s">
        <v>838</v>
      </c>
      <c r="N39" s="64" t="s">
        <v>73</v>
      </c>
      <c r="O39" s="64" t="s">
        <v>73</v>
      </c>
      <c r="P39" s="64" t="s">
        <v>95</v>
      </c>
      <c r="Q39" s="66" t="s">
        <v>3255</v>
      </c>
      <c r="R39" s="64" t="s">
        <v>76</v>
      </c>
      <c r="S39" s="64" t="s">
        <v>97</v>
      </c>
      <c r="T39" s="69"/>
      <c r="U39" s="64" t="s">
        <v>78</v>
      </c>
      <c r="V39" s="69"/>
      <c r="W39" s="64" t="s">
        <v>80</v>
      </c>
      <c r="X39" s="69"/>
      <c r="Y39" s="64" t="s">
        <v>139</v>
      </c>
      <c r="Z39" s="64" t="s">
        <v>807</v>
      </c>
      <c r="AA39" s="64" t="s">
        <v>140</v>
      </c>
      <c r="AB39" s="63" t="s">
        <v>836</v>
      </c>
      <c r="AC39" s="69"/>
      <c r="AD39" s="69"/>
      <c r="AE39" s="59"/>
      <c r="AF39" s="59"/>
      <c r="AG39" s="60"/>
      <c r="AH39" s="60"/>
      <c r="AI39" s="60"/>
      <c r="AJ39" s="60"/>
      <c r="AK39" s="60"/>
      <c r="AL39" s="60"/>
      <c r="AM39" s="60"/>
      <c r="AN39" s="60"/>
      <c r="AO39" s="60"/>
      <c r="AP39" s="60"/>
      <c r="AQ39" s="60"/>
      <c r="AR39" s="61"/>
    </row>
    <row r="40" hidden="1">
      <c r="A40" s="62">
        <v>38.0</v>
      </c>
      <c r="B40" s="63" t="s">
        <v>840</v>
      </c>
      <c r="C40" s="63" t="s">
        <v>823</v>
      </c>
      <c r="D40" s="63" t="s">
        <v>841</v>
      </c>
      <c r="E40" s="59"/>
      <c r="F40" s="64" t="s">
        <v>470</v>
      </c>
      <c r="G40" s="64" t="s">
        <v>131</v>
      </c>
      <c r="H40" s="64" t="s">
        <v>842</v>
      </c>
      <c r="I40" s="64" t="s">
        <v>842</v>
      </c>
      <c r="J40" s="64" t="s">
        <v>91</v>
      </c>
      <c r="K40" s="64" t="s">
        <v>110</v>
      </c>
      <c r="L40" s="64" t="s">
        <v>101</v>
      </c>
      <c r="M40" s="64" t="s">
        <v>843</v>
      </c>
      <c r="N40" s="64" t="s">
        <v>26</v>
      </c>
      <c r="O40" s="64" t="s">
        <v>113</v>
      </c>
      <c r="P40" s="64" t="s">
        <v>95</v>
      </c>
      <c r="Q40" s="66" t="s">
        <v>3256</v>
      </c>
      <c r="R40" s="64" t="s">
        <v>76</v>
      </c>
      <c r="S40" s="64" t="s">
        <v>97</v>
      </c>
      <c r="T40" s="69"/>
      <c r="U40" s="64" t="s">
        <v>78</v>
      </c>
      <c r="V40" s="69"/>
      <c r="W40" s="64" t="s">
        <v>80</v>
      </c>
      <c r="X40" s="69"/>
      <c r="Y40" s="64" t="s">
        <v>139</v>
      </c>
      <c r="Z40" s="64" t="s">
        <v>807</v>
      </c>
      <c r="AA40" s="64" t="s">
        <v>140</v>
      </c>
      <c r="AB40" s="63" t="s">
        <v>845</v>
      </c>
      <c r="AC40" s="69"/>
      <c r="AD40" s="69"/>
      <c r="AE40" s="59"/>
      <c r="AF40" s="59"/>
      <c r="AG40" s="60"/>
      <c r="AH40" s="60"/>
      <c r="AI40" s="60"/>
      <c r="AJ40" s="60"/>
      <c r="AK40" s="60"/>
      <c r="AL40" s="60"/>
      <c r="AM40" s="60"/>
      <c r="AN40" s="60"/>
      <c r="AO40" s="60"/>
      <c r="AP40" s="60"/>
      <c r="AQ40" s="60"/>
      <c r="AR40" s="61"/>
    </row>
    <row r="41" hidden="1">
      <c r="A41" s="62">
        <v>39.0</v>
      </c>
      <c r="B41" s="63" t="s">
        <v>846</v>
      </c>
      <c r="C41" s="63" t="s">
        <v>823</v>
      </c>
      <c r="D41" s="89" t="s">
        <v>847</v>
      </c>
      <c r="E41" s="59"/>
      <c r="F41" s="64" t="s">
        <v>470</v>
      </c>
      <c r="G41" s="64" t="s">
        <v>123</v>
      </c>
      <c r="H41" s="64" t="s">
        <v>848</v>
      </c>
      <c r="I41" s="64" t="s">
        <v>848</v>
      </c>
      <c r="J41" s="64" t="s">
        <v>151</v>
      </c>
      <c r="K41" s="64" t="s">
        <v>110</v>
      </c>
      <c r="L41" s="64" t="s">
        <v>152</v>
      </c>
      <c r="M41" s="64" t="s">
        <v>849</v>
      </c>
      <c r="N41" s="64" t="s">
        <v>73</v>
      </c>
      <c r="O41" s="64" t="s">
        <v>73</v>
      </c>
      <c r="P41" s="64" t="s">
        <v>95</v>
      </c>
      <c r="Q41" s="66" t="s">
        <v>3257</v>
      </c>
      <c r="R41" s="64" t="s">
        <v>76</v>
      </c>
      <c r="S41" s="64" t="s">
        <v>97</v>
      </c>
      <c r="T41" s="69"/>
      <c r="U41" s="64" t="s">
        <v>78</v>
      </c>
      <c r="V41" s="64" t="s">
        <v>79</v>
      </c>
      <c r="W41" s="64" t="s">
        <v>80</v>
      </c>
      <c r="X41" s="69"/>
      <c r="Y41" s="64" t="s">
        <v>152</v>
      </c>
      <c r="Z41" s="64" t="s">
        <v>807</v>
      </c>
      <c r="AA41" s="64" t="s">
        <v>140</v>
      </c>
      <c r="AB41" s="63" t="s">
        <v>851</v>
      </c>
      <c r="AC41" s="69"/>
      <c r="AD41" s="69"/>
      <c r="AE41" s="59"/>
      <c r="AF41" s="59"/>
      <c r="AG41" s="60"/>
      <c r="AH41" s="60"/>
      <c r="AI41" s="60"/>
      <c r="AJ41" s="60"/>
      <c r="AK41" s="60"/>
      <c r="AL41" s="60"/>
      <c r="AM41" s="60"/>
      <c r="AN41" s="60"/>
      <c r="AO41" s="60"/>
      <c r="AP41" s="60"/>
      <c r="AQ41" s="60"/>
      <c r="AR41" s="61"/>
    </row>
    <row r="42" hidden="1">
      <c r="A42" s="62">
        <v>40.0</v>
      </c>
      <c r="B42" s="63" t="s">
        <v>853</v>
      </c>
      <c r="C42" s="63" t="s">
        <v>854</v>
      </c>
      <c r="D42" s="63" t="s">
        <v>855</v>
      </c>
      <c r="E42" s="66" t="s">
        <v>3258</v>
      </c>
      <c r="F42" s="64" t="s">
        <v>65</v>
      </c>
      <c r="G42" s="64" t="s">
        <v>123</v>
      </c>
      <c r="H42" s="64" t="s">
        <v>857</v>
      </c>
      <c r="I42" s="64" t="s">
        <v>858</v>
      </c>
      <c r="J42" s="64" t="s">
        <v>151</v>
      </c>
      <c r="K42" s="64" t="s">
        <v>110</v>
      </c>
      <c r="L42" s="64" t="s">
        <v>101</v>
      </c>
      <c r="M42" s="64" t="s">
        <v>859</v>
      </c>
      <c r="N42" s="64" t="s">
        <v>93</v>
      </c>
      <c r="O42" s="64" t="s">
        <v>113</v>
      </c>
      <c r="P42" s="64" t="s">
        <v>95</v>
      </c>
      <c r="Q42" s="66" t="s">
        <v>3259</v>
      </c>
      <c r="R42" s="64" t="s">
        <v>76</v>
      </c>
      <c r="S42" s="64" t="s">
        <v>97</v>
      </c>
      <c r="T42" s="64">
        <v>2022.0</v>
      </c>
      <c r="U42" s="64" t="s">
        <v>78</v>
      </c>
      <c r="V42" s="64" t="s">
        <v>79</v>
      </c>
      <c r="W42" s="64" t="s">
        <v>861</v>
      </c>
      <c r="X42" s="64" t="s">
        <v>80</v>
      </c>
      <c r="Y42" s="64" t="s">
        <v>139</v>
      </c>
      <c r="Z42" s="64" t="s">
        <v>862</v>
      </c>
      <c r="AA42" s="64" t="s">
        <v>140</v>
      </c>
      <c r="AB42" s="63" t="s">
        <v>863</v>
      </c>
      <c r="AC42" s="63">
        <v>8.122233244E9</v>
      </c>
      <c r="AD42" s="63" t="s">
        <v>864</v>
      </c>
      <c r="AE42" s="67" t="s">
        <v>563</v>
      </c>
      <c r="AF42" s="68" t="s">
        <v>71</v>
      </c>
      <c r="AG42" s="91" t="s">
        <v>865</v>
      </c>
      <c r="AH42" s="92"/>
      <c r="AI42" s="92"/>
      <c r="AJ42" s="92"/>
      <c r="AK42" s="92"/>
      <c r="AL42" s="92"/>
      <c r="AM42" s="92"/>
      <c r="AN42" s="92"/>
      <c r="AO42" s="92"/>
      <c r="AP42" s="92"/>
      <c r="AQ42" s="92"/>
      <c r="AR42" s="61"/>
    </row>
    <row r="43" hidden="1">
      <c r="A43" s="62">
        <v>41.0</v>
      </c>
      <c r="B43" s="67" t="s">
        <v>866</v>
      </c>
      <c r="C43" s="67" t="s">
        <v>867</v>
      </c>
      <c r="D43" s="63" t="s">
        <v>868</v>
      </c>
      <c r="E43" s="59"/>
      <c r="F43" s="67" t="s">
        <v>65</v>
      </c>
      <c r="G43" s="67" t="s">
        <v>123</v>
      </c>
      <c r="H43" s="67" t="s">
        <v>869</v>
      </c>
      <c r="I43" s="67" t="s">
        <v>870</v>
      </c>
      <c r="J43" s="67" t="s">
        <v>151</v>
      </c>
      <c r="K43" s="67" t="s">
        <v>110</v>
      </c>
      <c r="L43" s="67" t="s">
        <v>111</v>
      </c>
      <c r="M43" s="68" t="s">
        <v>871</v>
      </c>
      <c r="N43" s="67" t="s">
        <v>93</v>
      </c>
      <c r="O43" s="67" t="s">
        <v>94</v>
      </c>
      <c r="P43" s="67" t="s">
        <v>95</v>
      </c>
      <c r="Q43" s="75" t="s">
        <v>3260</v>
      </c>
      <c r="R43" s="67" t="s">
        <v>76</v>
      </c>
      <c r="S43" s="67" t="s">
        <v>97</v>
      </c>
      <c r="T43" s="68">
        <v>2020.0</v>
      </c>
      <c r="U43" s="67" t="s">
        <v>78</v>
      </c>
      <c r="V43" s="67" t="s">
        <v>79</v>
      </c>
      <c r="W43" s="79" t="s">
        <v>80</v>
      </c>
      <c r="X43" s="67" t="s">
        <v>80</v>
      </c>
      <c r="Y43" s="67" t="s">
        <v>80</v>
      </c>
      <c r="Z43" s="64" t="s">
        <v>862</v>
      </c>
      <c r="AA43" s="68" t="s">
        <v>140</v>
      </c>
      <c r="AB43" s="63" t="s">
        <v>863</v>
      </c>
      <c r="AC43" s="63">
        <v>8.122233244E9</v>
      </c>
      <c r="AD43" s="63" t="s">
        <v>864</v>
      </c>
      <c r="AE43" s="67" t="s">
        <v>563</v>
      </c>
      <c r="AF43" s="68" t="s">
        <v>111</v>
      </c>
      <c r="AG43" s="91" t="s">
        <v>26</v>
      </c>
      <c r="AH43" s="92"/>
      <c r="AI43" s="92"/>
      <c r="AJ43" s="92"/>
      <c r="AK43" s="92"/>
      <c r="AL43" s="92"/>
      <c r="AM43" s="92"/>
      <c r="AN43" s="92"/>
      <c r="AO43" s="92"/>
      <c r="AP43" s="92"/>
      <c r="AQ43" s="92"/>
      <c r="AR43" s="61"/>
    </row>
    <row r="44" hidden="1">
      <c r="A44" s="62">
        <v>42.0</v>
      </c>
      <c r="B44" s="63" t="s">
        <v>874</v>
      </c>
      <c r="C44" s="63" t="s">
        <v>875</v>
      </c>
      <c r="D44" s="63" t="s">
        <v>876</v>
      </c>
      <c r="E44" s="66" t="s">
        <v>3261</v>
      </c>
      <c r="F44" s="64" t="s">
        <v>65</v>
      </c>
      <c r="G44" s="64" t="s">
        <v>138</v>
      </c>
      <c r="H44" s="64" t="s">
        <v>878</v>
      </c>
      <c r="I44" s="64" t="s">
        <v>879</v>
      </c>
      <c r="J44" s="64" t="s">
        <v>91</v>
      </c>
      <c r="K44" s="64" t="s">
        <v>110</v>
      </c>
      <c r="L44" s="64" t="s">
        <v>101</v>
      </c>
      <c r="M44" s="64" t="s">
        <v>880</v>
      </c>
      <c r="N44" s="64" t="s">
        <v>73</v>
      </c>
      <c r="O44" s="64" t="s">
        <v>73</v>
      </c>
      <c r="P44" s="64" t="s">
        <v>95</v>
      </c>
      <c r="Q44" s="66" t="s">
        <v>3262</v>
      </c>
      <c r="R44" s="64" t="s">
        <v>76</v>
      </c>
      <c r="S44" s="64" t="s">
        <v>97</v>
      </c>
      <c r="T44" s="64">
        <v>2013.0</v>
      </c>
      <c r="U44" s="64" t="s">
        <v>78</v>
      </c>
      <c r="V44" s="64" t="s">
        <v>79</v>
      </c>
      <c r="W44" s="64" t="s">
        <v>80</v>
      </c>
      <c r="X44" s="64" t="s">
        <v>80</v>
      </c>
      <c r="Y44" s="64" t="s">
        <v>80</v>
      </c>
      <c r="Z44" s="64" t="s">
        <v>882</v>
      </c>
      <c r="AA44" s="64" t="s">
        <v>140</v>
      </c>
      <c r="AB44" s="63" t="s">
        <v>883</v>
      </c>
      <c r="AC44" s="63">
        <v>8.5220648981E10</v>
      </c>
      <c r="AD44" s="63" t="s">
        <v>884</v>
      </c>
      <c r="AE44" s="94"/>
      <c r="AF44" s="68" t="s">
        <v>111</v>
      </c>
      <c r="AG44" s="60"/>
      <c r="AH44" s="60"/>
      <c r="AI44" s="60"/>
      <c r="AJ44" s="60"/>
      <c r="AK44" s="60"/>
      <c r="AL44" s="60"/>
      <c r="AM44" s="60"/>
      <c r="AN44" s="60"/>
      <c r="AO44" s="60"/>
      <c r="AP44" s="60"/>
      <c r="AQ44" s="60"/>
      <c r="AR44" s="61"/>
    </row>
    <row r="45" hidden="1">
      <c r="A45" s="62">
        <v>43.0</v>
      </c>
      <c r="B45" s="63" t="s">
        <v>886</v>
      </c>
      <c r="C45" s="63" t="s">
        <v>887</v>
      </c>
      <c r="D45" s="67" t="s">
        <v>888</v>
      </c>
      <c r="E45" s="59"/>
      <c r="F45" s="64" t="s">
        <v>477</v>
      </c>
      <c r="G45" s="64" t="s">
        <v>123</v>
      </c>
      <c r="H45" s="64" t="s">
        <v>889</v>
      </c>
      <c r="I45" s="63" t="s">
        <v>890</v>
      </c>
      <c r="J45" s="64" t="s">
        <v>91</v>
      </c>
      <c r="K45" s="64" t="s">
        <v>110</v>
      </c>
      <c r="L45" s="64" t="s">
        <v>143</v>
      </c>
      <c r="M45" s="64" t="s">
        <v>891</v>
      </c>
      <c r="N45" s="64" t="s">
        <v>82</v>
      </c>
      <c r="O45" s="64" t="s">
        <v>113</v>
      </c>
      <c r="P45" s="64" t="s">
        <v>74</v>
      </c>
      <c r="Q45" s="66" t="s">
        <v>3263</v>
      </c>
      <c r="R45" s="64" t="s">
        <v>76</v>
      </c>
      <c r="S45" s="64" t="s">
        <v>97</v>
      </c>
      <c r="T45" s="77">
        <v>2025.0</v>
      </c>
      <c r="U45" s="64" t="s">
        <v>78</v>
      </c>
      <c r="V45" s="64" t="s">
        <v>79</v>
      </c>
      <c r="W45" s="64" t="s">
        <v>893</v>
      </c>
      <c r="X45" s="67" t="s">
        <v>155</v>
      </c>
      <c r="Y45" s="64" t="s">
        <v>139</v>
      </c>
      <c r="Z45" s="64" t="s">
        <v>894</v>
      </c>
      <c r="AA45" s="64" t="s">
        <v>895</v>
      </c>
      <c r="AB45" s="66" t="s">
        <v>3264</v>
      </c>
      <c r="AC45" s="69"/>
      <c r="AD45" s="67" t="s">
        <v>897</v>
      </c>
      <c r="AE45" s="76" t="s">
        <v>898</v>
      </c>
      <c r="AF45" s="68" t="s">
        <v>71</v>
      </c>
      <c r="AG45" s="84" t="s">
        <v>899</v>
      </c>
      <c r="AJ45" s="92"/>
      <c r="AK45" s="92"/>
      <c r="AL45" s="92"/>
      <c r="AM45" s="92"/>
      <c r="AN45" s="92"/>
      <c r="AO45" s="92"/>
      <c r="AP45" s="92"/>
      <c r="AQ45" s="92"/>
      <c r="AR45" s="61"/>
    </row>
    <row r="46" hidden="1">
      <c r="A46" s="62">
        <v>44.0</v>
      </c>
      <c r="B46" s="63" t="s">
        <v>816</v>
      </c>
      <c r="C46" s="63" t="s">
        <v>817</v>
      </c>
      <c r="D46" s="67" t="s">
        <v>900</v>
      </c>
      <c r="E46" s="59"/>
      <c r="F46" s="64" t="s">
        <v>470</v>
      </c>
      <c r="G46" s="64" t="s">
        <v>123</v>
      </c>
      <c r="H46" s="64" t="s">
        <v>819</v>
      </c>
      <c r="I46" s="64" t="s">
        <v>819</v>
      </c>
      <c r="J46" s="64" t="s">
        <v>91</v>
      </c>
      <c r="K46" s="64" t="s">
        <v>110</v>
      </c>
      <c r="L46" s="64" t="s">
        <v>152</v>
      </c>
      <c r="M46" s="64" t="s">
        <v>820</v>
      </c>
      <c r="N46" s="64" t="s">
        <v>144</v>
      </c>
      <c r="O46" s="64" t="s">
        <v>144</v>
      </c>
      <c r="P46" s="64" t="s">
        <v>95</v>
      </c>
      <c r="Q46" s="66" t="s">
        <v>3265</v>
      </c>
      <c r="R46" s="64" t="s">
        <v>76</v>
      </c>
      <c r="S46" s="64" t="s">
        <v>97</v>
      </c>
      <c r="T46" s="67" t="s">
        <v>563</v>
      </c>
      <c r="U46" s="64" t="s">
        <v>78</v>
      </c>
      <c r="V46" s="64" t="s">
        <v>79</v>
      </c>
      <c r="W46" s="64" t="s">
        <v>80</v>
      </c>
      <c r="X46" s="67" t="s">
        <v>159</v>
      </c>
      <c r="Y46" s="64" t="s">
        <v>139</v>
      </c>
      <c r="Z46" s="64" t="s">
        <v>894</v>
      </c>
      <c r="AA46" s="64" t="s">
        <v>902</v>
      </c>
      <c r="AB46" s="66" t="s">
        <v>3266</v>
      </c>
      <c r="AC46" s="69"/>
      <c r="AD46" s="67" t="s">
        <v>897</v>
      </c>
      <c r="AE46" s="59"/>
      <c r="AF46" s="59"/>
      <c r="AG46" s="60"/>
      <c r="AH46" s="60"/>
      <c r="AI46" s="60"/>
      <c r="AJ46" s="60"/>
      <c r="AK46" s="60"/>
      <c r="AL46" s="60"/>
      <c r="AM46" s="60"/>
      <c r="AN46" s="60"/>
      <c r="AO46" s="60"/>
      <c r="AP46" s="60"/>
      <c r="AQ46" s="60"/>
      <c r="AR46" s="61"/>
    </row>
    <row r="47" hidden="1">
      <c r="A47" s="62">
        <v>45.0</v>
      </c>
      <c r="B47" s="96" t="s">
        <v>905</v>
      </c>
      <c r="C47" s="96" t="s">
        <v>906</v>
      </c>
      <c r="D47" s="96" t="s">
        <v>907</v>
      </c>
      <c r="E47" s="70" t="s">
        <v>3267</v>
      </c>
      <c r="F47" s="79" t="s">
        <v>65</v>
      </c>
      <c r="G47" s="79" t="s">
        <v>66</v>
      </c>
      <c r="H47" s="79" t="s">
        <v>909</v>
      </c>
      <c r="I47" s="96" t="s">
        <v>909</v>
      </c>
      <c r="J47" s="79" t="s">
        <v>91</v>
      </c>
      <c r="K47" s="79" t="s">
        <v>70</v>
      </c>
      <c r="L47" s="79" t="s">
        <v>71</v>
      </c>
      <c r="M47" s="79" t="s">
        <v>910</v>
      </c>
      <c r="N47" s="79" t="s">
        <v>82</v>
      </c>
      <c r="O47" s="79" t="s">
        <v>113</v>
      </c>
      <c r="P47" s="79" t="s">
        <v>95</v>
      </c>
      <c r="Q47" s="69"/>
      <c r="R47" s="79" t="s">
        <v>76</v>
      </c>
      <c r="S47" s="79" t="s">
        <v>77</v>
      </c>
      <c r="T47" s="98">
        <v>2022.0</v>
      </c>
      <c r="U47" s="79" t="s">
        <v>154</v>
      </c>
      <c r="V47" s="79" t="s">
        <v>79</v>
      </c>
      <c r="W47" s="69"/>
      <c r="X47" s="69"/>
      <c r="Y47" s="79" t="s">
        <v>101</v>
      </c>
      <c r="Z47" s="79" t="s">
        <v>660</v>
      </c>
      <c r="AA47" s="79" t="s">
        <v>149</v>
      </c>
      <c r="AB47" s="96" t="s">
        <v>911</v>
      </c>
      <c r="AC47" s="96">
        <v>8.163796E8</v>
      </c>
      <c r="AD47" s="69"/>
      <c r="AE47" s="59"/>
      <c r="AF47" s="67" t="s">
        <v>71</v>
      </c>
      <c r="AG47" s="60"/>
      <c r="AH47" s="60"/>
      <c r="AI47" s="60"/>
      <c r="AJ47" s="60"/>
      <c r="AK47" s="60"/>
      <c r="AL47" s="60"/>
      <c r="AM47" s="60"/>
      <c r="AN47" s="60"/>
      <c r="AO47" s="60"/>
      <c r="AP47" s="60"/>
      <c r="AQ47" s="60"/>
      <c r="AR47" s="61"/>
    </row>
    <row r="48" hidden="1">
      <c r="A48" s="62">
        <v>46.0</v>
      </c>
      <c r="B48" s="96" t="s">
        <v>912</v>
      </c>
      <c r="C48" s="96" t="s">
        <v>913</v>
      </c>
      <c r="D48" s="96" t="s">
        <v>914</v>
      </c>
      <c r="E48" s="59"/>
      <c r="F48" s="79" t="s">
        <v>163</v>
      </c>
      <c r="G48" s="79" t="s">
        <v>66</v>
      </c>
      <c r="H48" s="79" t="s">
        <v>915</v>
      </c>
      <c r="I48" s="79" t="s">
        <v>915</v>
      </c>
      <c r="J48" s="79" t="s">
        <v>91</v>
      </c>
      <c r="K48" s="79" t="s">
        <v>110</v>
      </c>
      <c r="L48" s="79" t="s">
        <v>71</v>
      </c>
      <c r="M48" s="79" t="s">
        <v>916</v>
      </c>
      <c r="N48" s="79" t="s">
        <v>82</v>
      </c>
      <c r="O48" s="79" t="s">
        <v>113</v>
      </c>
      <c r="P48" s="79" t="s">
        <v>95</v>
      </c>
      <c r="Q48" s="70" t="s">
        <v>3268</v>
      </c>
      <c r="R48" s="79" t="s">
        <v>76</v>
      </c>
      <c r="S48" s="79" t="s">
        <v>97</v>
      </c>
      <c r="T48" s="98">
        <v>2022.0</v>
      </c>
      <c r="U48" s="79" t="s">
        <v>78</v>
      </c>
      <c r="V48" s="79" t="s">
        <v>98</v>
      </c>
      <c r="W48" s="79" t="s">
        <v>918</v>
      </c>
      <c r="X48" s="79" t="s">
        <v>100</v>
      </c>
      <c r="Y48" s="79" t="s">
        <v>71</v>
      </c>
      <c r="Z48" s="79" t="s">
        <v>919</v>
      </c>
      <c r="AA48" s="79" t="s">
        <v>149</v>
      </c>
      <c r="AB48" s="96" t="s">
        <v>920</v>
      </c>
      <c r="AC48" s="96">
        <v>8.131307723E10</v>
      </c>
      <c r="AD48" s="69"/>
      <c r="AE48" s="59"/>
      <c r="AF48" s="67" t="s">
        <v>71</v>
      </c>
      <c r="AG48" s="60"/>
      <c r="AH48" s="60"/>
      <c r="AI48" s="60"/>
      <c r="AJ48" s="60"/>
      <c r="AK48" s="60"/>
      <c r="AL48" s="60"/>
      <c r="AM48" s="60"/>
      <c r="AN48" s="60"/>
      <c r="AO48" s="60"/>
      <c r="AP48" s="60"/>
      <c r="AQ48" s="60"/>
      <c r="AR48" s="61"/>
    </row>
    <row r="49" hidden="1">
      <c r="A49" s="62">
        <v>47.0</v>
      </c>
      <c r="B49" s="100" t="s">
        <v>921</v>
      </c>
      <c r="C49" s="100" t="s">
        <v>922</v>
      </c>
      <c r="D49" s="100" t="s">
        <v>923</v>
      </c>
      <c r="E49" s="101"/>
      <c r="F49" s="102" t="s">
        <v>165</v>
      </c>
      <c r="G49" s="102" t="s">
        <v>123</v>
      </c>
      <c r="H49" s="102" t="s">
        <v>924</v>
      </c>
      <c r="I49" s="102" t="s">
        <v>924</v>
      </c>
      <c r="J49" s="102" t="s">
        <v>91</v>
      </c>
      <c r="K49" s="103"/>
      <c r="L49" s="103"/>
      <c r="M49" s="135" t="s">
        <v>3269</v>
      </c>
      <c r="N49" s="102" t="s">
        <v>82</v>
      </c>
      <c r="O49" s="102" t="s">
        <v>113</v>
      </c>
      <c r="P49" s="286" t="s">
        <v>95</v>
      </c>
      <c r="Q49" s="70" t="s">
        <v>3270</v>
      </c>
      <c r="R49" s="102" t="s">
        <v>76</v>
      </c>
      <c r="S49" s="102" t="s">
        <v>77</v>
      </c>
      <c r="T49" s="104">
        <v>2025.0</v>
      </c>
      <c r="U49" s="102" t="s">
        <v>78</v>
      </c>
      <c r="V49" s="102" t="s">
        <v>98</v>
      </c>
      <c r="W49" s="102" t="s">
        <v>926</v>
      </c>
      <c r="X49" s="102" t="s">
        <v>100</v>
      </c>
      <c r="Y49" s="102" t="s">
        <v>71</v>
      </c>
      <c r="Z49" s="79" t="s">
        <v>660</v>
      </c>
      <c r="AA49" s="102" t="s">
        <v>149</v>
      </c>
      <c r="AB49" s="96" t="s">
        <v>927</v>
      </c>
      <c r="AC49" s="96">
        <v>8.95385108021E11</v>
      </c>
      <c r="AD49" s="69"/>
      <c r="AE49" s="59"/>
      <c r="AF49" s="67" t="s">
        <v>71</v>
      </c>
      <c r="AG49" s="60"/>
      <c r="AH49" s="60"/>
      <c r="AI49" s="60"/>
      <c r="AJ49" s="60"/>
      <c r="AK49" s="60"/>
      <c r="AL49" s="60"/>
      <c r="AM49" s="60"/>
      <c r="AN49" s="60"/>
      <c r="AO49" s="60"/>
      <c r="AP49" s="60"/>
      <c r="AQ49" s="60"/>
      <c r="AR49" s="61"/>
    </row>
    <row r="50" hidden="1">
      <c r="A50" s="62">
        <v>48.0</v>
      </c>
      <c r="B50" s="96" t="s">
        <v>935</v>
      </c>
      <c r="C50" s="96" t="s">
        <v>936</v>
      </c>
      <c r="D50" s="96" t="s">
        <v>937</v>
      </c>
      <c r="E50" s="70" t="s">
        <v>3271</v>
      </c>
      <c r="F50" s="79" t="s">
        <v>470</v>
      </c>
      <c r="G50" s="79" t="s">
        <v>123</v>
      </c>
      <c r="H50" s="79" t="s">
        <v>939</v>
      </c>
      <c r="I50" s="96" t="s">
        <v>940</v>
      </c>
      <c r="J50" s="79" t="s">
        <v>151</v>
      </c>
      <c r="K50" s="79" t="s">
        <v>110</v>
      </c>
      <c r="L50" s="79" t="s">
        <v>152</v>
      </c>
      <c r="M50" s="79" t="s">
        <v>941</v>
      </c>
      <c r="N50" s="79" t="s">
        <v>82</v>
      </c>
      <c r="O50" s="79" t="s">
        <v>113</v>
      </c>
      <c r="P50" s="79" t="s">
        <v>74</v>
      </c>
      <c r="Q50" s="70" t="s">
        <v>3272</v>
      </c>
      <c r="R50" s="79" t="s">
        <v>76</v>
      </c>
      <c r="S50" s="79" t="s">
        <v>77</v>
      </c>
      <c r="T50" s="98">
        <v>2024.0</v>
      </c>
      <c r="U50" s="79" t="s">
        <v>78</v>
      </c>
      <c r="V50" s="79" t="s">
        <v>79</v>
      </c>
      <c r="W50" s="79" t="s">
        <v>943</v>
      </c>
      <c r="X50" s="79" t="s">
        <v>80</v>
      </c>
      <c r="Y50" s="79" t="s">
        <v>80</v>
      </c>
      <c r="Z50" s="79" t="s">
        <v>944</v>
      </c>
      <c r="AA50" s="79" t="s">
        <v>156</v>
      </c>
      <c r="AB50" s="96" t="s">
        <v>945</v>
      </c>
      <c r="AC50" s="98">
        <v>8.177660196E10</v>
      </c>
      <c r="AD50" s="96" t="s">
        <v>563</v>
      </c>
      <c r="AE50" s="77">
        <v>37.0</v>
      </c>
      <c r="AF50" s="68" t="s">
        <v>152</v>
      </c>
      <c r="AG50" s="60"/>
      <c r="AH50" s="60"/>
      <c r="AI50" s="60"/>
      <c r="AJ50" s="60"/>
      <c r="AK50" s="60"/>
      <c r="AL50" s="60"/>
      <c r="AM50" s="60"/>
      <c r="AN50" s="60"/>
      <c r="AO50" s="60"/>
      <c r="AP50" s="60"/>
      <c r="AQ50" s="60"/>
      <c r="AR50" s="61"/>
    </row>
    <row r="51" hidden="1">
      <c r="A51" s="62">
        <v>49.0</v>
      </c>
      <c r="B51" s="96" t="s">
        <v>946</v>
      </c>
      <c r="C51" s="96" t="s">
        <v>947</v>
      </c>
      <c r="D51" s="59"/>
      <c r="E51" s="70" t="s">
        <v>3273</v>
      </c>
      <c r="F51" s="79" t="s">
        <v>65</v>
      </c>
      <c r="G51" s="79" t="s">
        <v>123</v>
      </c>
      <c r="H51" s="79" t="s">
        <v>949</v>
      </c>
      <c r="I51" s="79" t="s">
        <v>950</v>
      </c>
      <c r="J51" s="79" t="s">
        <v>69</v>
      </c>
      <c r="K51" s="79" t="s">
        <v>110</v>
      </c>
      <c r="L51" s="79" t="s">
        <v>143</v>
      </c>
      <c r="M51" s="287" t="s">
        <v>951</v>
      </c>
      <c r="N51" s="79" t="s">
        <v>26</v>
      </c>
      <c r="O51" s="79" t="s">
        <v>94</v>
      </c>
      <c r="P51" s="79" t="s">
        <v>95</v>
      </c>
      <c r="Q51" s="70" t="s">
        <v>3274</v>
      </c>
      <c r="R51" s="79" t="s">
        <v>76</v>
      </c>
      <c r="S51" s="79" t="s">
        <v>77</v>
      </c>
      <c r="T51" s="98">
        <v>2025.0</v>
      </c>
      <c r="U51" s="79" t="s">
        <v>78</v>
      </c>
      <c r="V51" s="79" t="s">
        <v>79</v>
      </c>
      <c r="W51" s="79" t="s">
        <v>943</v>
      </c>
      <c r="X51" s="79" t="s">
        <v>80</v>
      </c>
      <c r="Y51" s="79" t="s">
        <v>80</v>
      </c>
      <c r="Z51" s="79" t="s">
        <v>953</v>
      </c>
      <c r="AA51" s="79" t="s">
        <v>156</v>
      </c>
      <c r="AB51" s="96" t="s">
        <v>954</v>
      </c>
      <c r="AC51" s="98">
        <v>8.2117986701E10</v>
      </c>
      <c r="AD51" s="96" t="s">
        <v>563</v>
      </c>
      <c r="AE51" s="67" t="s">
        <v>643</v>
      </c>
      <c r="AF51" s="68" t="s">
        <v>71</v>
      </c>
      <c r="AG51" s="60"/>
      <c r="AH51" s="60"/>
      <c r="AI51" s="60"/>
      <c r="AJ51" s="60"/>
      <c r="AK51" s="60"/>
      <c r="AL51" s="60"/>
      <c r="AM51" s="60"/>
      <c r="AN51" s="60"/>
      <c r="AO51" s="60"/>
      <c r="AP51" s="60"/>
      <c r="AQ51" s="60"/>
      <c r="AR51" s="61"/>
    </row>
    <row r="52" hidden="1">
      <c r="A52" s="62">
        <v>50.0</v>
      </c>
      <c r="B52" s="96" t="s">
        <v>955</v>
      </c>
      <c r="C52" s="96" t="s">
        <v>956</v>
      </c>
      <c r="D52" s="96" t="s">
        <v>957</v>
      </c>
      <c r="E52" s="59"/>
      <c r="F52" s="79" t="s">
        <v>470</v>
      </c>
      <c r="G52" s="79" t="s">
        <v>123</v>
      </c>
      <c r="H52" s="79" t="s">
        <v>958</v>
      </c>
      <c r="I52" s="96" t="s">
        <v>959</v>
      </c>
      <c r="J52" s="79" t="s">
        <v>69</v>
      </c>
      <c r="K52" s="79" t="s">
        <v>70</v>
      </c>
      <c r="L52" s="79" t="s">
        <v>101</v>
      </c>
      <c r="M52" s="79" t="s">
        <v>960</v>
      </c>
      <c r="N52" s="79" t="s">
        <v>93</v>
      </c>
      <c r="O52" s="79" t="s">
        <v>113</v>
      </c>
      <c r="P52" s="79" t="s">
        <v>95</v>
      </c>
      <c r="Q52" s="96" t="s">
        <v>961</v>
      </c>
      <c r="R52" s="79" t="s">
        <v>76</v>
      </c>
      <c r="S52" s="79" t="s">
        <v>77</v>
      </c>
      <c r="T52" s="96" t="s">
        <v>961</v>
      </c>
      <c r="U52" s="79" t="s">
        <v>147</v>
      </c>
      <c r="V52" s="79" t="s">
        <v>79</v>
      </c>
      <c r="W52" s="79" t="s">
        <v>943</v>
      </c>
      <c r="X52" s="79" t="s">
        <v>80</v>
      </c>
      <c r="Y52" s="79" t="s">
        <v>80</v>
      </c>
      <c r="Z52" s="79" t="s">
        <v>962</v>
      </c>
      <c r="AA52" s="79" t="s">
        <v>156</v>
      </c>
      <c r="AB52" s="96" t="s">
        <v>963</v>
      </c>
      <c r="AC52" s="98">
        <v>8.2130540674E10</v>
      </c>
      <c r="AD52" s="96" t="s">
        <v>563</v>
      </c>
      <c r="AE52" s="76" t="s">
        <v>563</v>
      </c>
      <c r="AF52" s="68" t="s">
        <v>111</v>
      </c>
      <c r="AG52" s="60"/>
      <c r="AH52" s="60"/>
      <c r="AI52" s="60"/>
      <c r="AJ52" s="60"/>
      <c r="AK52" s="60"/>
      <c r="AL52" s="60"/>
      <c r="AM52" s="60"/>
      <c r="AN52" s="60"/>
      <c r="AO52" s="60"/>
      <c r="AP52" s="60"/>
      <c r="AQ52" s="60"/>
      <c r="AR52" s="61"/>
    </row>
    <row r="53" hidden="1">
      <c r="A53" s="62">
        <v>51.0</v>
      </c>
      <c r="B53" s="96" t="s">
        <v>996</v>
      </c>
      <c r="C53" s="96" t="s">
        <v>997</v>
      </c>
      <c r="D53" s="79" t="s">
        <v>63</v>
      </c>
      <c r="E53" s="96" t="s">
        <v>998</v>
      </c>
      <c r="F53" s="79" t="s">
        <v>65</v>
      </c>
      <c r="G53" s="79" t="s">
        <v>66</v>
      </c>
      <c r="H53" s="79" t="s">
        <v>999</v>
      </c>
      <c r="I53" s="96" t="s">
        <v>1000</v>
      </c>
      <c r="J53" s="79" t="s">
        <v>69</v>
      </c>
      <c r="K53" s="79" t="s">
        <v>70</v>
      </c>
      <c r="L53" s="79" t="s">
        <v>101</v>
      </c>
      <c r="M53" s="79" t="s">
        <v>1001</v>
      </c>
      <c r="N53" s="79" t="s">
        <v>82</v>
      </c>
      <c r="O53" s="79" t="s">
        <v>113</v>
      </c>
      <c r="P53" s="79" t="s">
        <v>74</v>
      </c>
      <c r="Q53" s="70" t="s">
        <v>3275</v>
      </c>
      <c r="R53" s="79" t="s">
        <v>76</v>
      </c>
      <c r="S53" s="79" t="s">
        <v>77</v>
      </c>
      <c r="T53" s="98">
        <v>2024.0</v>
      </c>
      <c r="U53" s="79" t="s">
        <v>78</v>
      </c>
      <c r="V53" s="79" t="s">
        <v>98</v>
      </c>
      <c r="W53" s="79" t="s">
        <v>1003</v>
      </c>
      <c r="X53" s="79" t="s">
        <v>155</v>
      </c>
      <c r="Y53" s="79" t="s">
        <v>101</v>
      </c>
      <c r="Z53" s="79" t="s">
        <v>1004</v>
      </c>
      <c r="AA53" s="79" t="s">
        <v>160</v>
      </c>
      <c r="AB53" s="96" t="s">
        <v>1005</v>
      </c>
      <c r="AC53" s="96">
        <v>8.5117111582E10</v>
      </c>
      <c r="AD53" s="96" t="s">
        <v>563</v>
      </c>
      <c r="AE53" s="59"/>
      <c r="AF53" s="68" t="s">
        <v>566</v>
      </c>
      <c r="AG53" s="60"/>
      <c r="AH53" s="60"/>
      <c r="AI53" s="60"/>
      <c r="AJ53" s="60"/>
      <c r="AK53" s="60"/>
      <c r="AL53" s="60"/>
      <c r="AM53" s="60"/>
      <c r="AN53" s="60"/>
      <c r="AO53" s="60"/>
      <c r="AP53" s="60"/>
      <c r="AQ53" s="60"/>
      <c r="AR53" s="61"/>
    </row>
    <row r="54" hidden="1">
      <c r="A54" s="62">
        <v>52.0</v>
      </c>
      <c r="B54" s="96" t="s">
        <v>1006</v>
      </c>
      <c r="C54" s="96" t="s">
        <v>1007</v>
      </c>
      <c r="D54" s="79" t="s">
        <v>63</v>
      </c>
      <c r="E54" s="96" t="s">
        <v>1008</v>
      </c>
      <c r="F54" s="79" t="s">
        <v>65</v>
      </c>
      <c r="G54" s="79" t="s">
        <v>66</v>
      </c>
      <c r="H54" s="79" t="s">
        <v>1009</v>
      </c>
      <c r="I54" s="96" t="s">
        <v>1010</v>
      </c>
      <c r="J54" s="79" t="s">
        <v>69</v>
      </c>
      <c r="K54" s="79" t="s">
        <v>110</v>
      </c>
      <c r="L54" s="79" t="s">
        <v>152</v>
      </c>
      <c r="M54" s="79" t="s">
        <v>1011</v>
      </c>
      <c r="N54" s="79" t="s">
        <v>73</v>
      </c>
      <c r="O54" s="79" t="s">
        <v>73</v>
      </c>
      <c r="P54" s="79" t="s">
        <v>95</v>
      </c>
      <c r="Q54" s="70" t="s">
        <v>3276</v>
      </c>
      <c r="R54" s="79" t="s">
        <v>76</v>
      </c>
      <c r="S54" s="79" t="s">
        <v>97</v>
      </c>
      <c r="T54" s="96" t="s">
        <v>1013</v>
      </c>
      <c r="U54" s="79" t="s">
        <v>78</v>
      </c>
      <c r="V54" s="69"/>
      <c r="W54" s="79" t="s">
        <v>563</v>
      </c>
      <c r="X54" s="69"/>
      <c r="Y54" s="79" t="s">
        <v>152</v>
      </c>
      <c r="Z54" s="79" t="s">
        <v>1014</v>
      </c>
      <c r="AA54" s="79" t="s">
        <v>160</v>
      </c>
      <c r="AB54" s="96" t="s">
        <v>1015</v>
      </c>
      <c r="AC54" s="96">
        <v>8.5117111582E10</v>
      </c>
      <c r="AD54" s="96" t="s">
        <v>563</v>
      </c>
      <c r="AE54" s="59"/>
      <c r="AF54" s="68" t="s">
        <v>566</v>
      </c>
      <c r="AG54" s="60"/>
      <c r="AH54" s="60"/>
      <c r="AI54" s="60"/>
      <c r="AJ54" s="60"/>
      <c r="AK54" s="60"/>
      <c r="AL54" s="60"/>
      <c r="AM54" s="60"/>
      <c r="AN54" s="60"/>
      <c r="AO54" s="60"/>
      <c r="AP54" s="60"/>
      <c r="AQ54" s="60"/>
      <c r="AR54" s="61"/>
    </row>
    <row r="55" hidden="1">
      <c r="A55" s="62">
        <v>53.0</v>
      </c>
      <c r="B55" s="96" t="s">
        <v>1016</v>
      </c>
      <c r="C55" s="96" t="s">
        <v>1017</v>
      </c>
      <c r="D55" s="79" t="s">
        <v>63</v>
      </c>
      <c r="E55" s="59"/>
      <c r="F55" s="79" t="s">
        <v>65</v>
      </c>
      <c r="G55" s="79" t="s">
        <v>123</v>
      </c>
      <c r="H55" s="79" t="s">
        <v>1018</v>
      </c>
      <c r="I55" s="96" t="s">
        <v>1019</v>
      </c>
      <c r="J55" s="79" t="s">
        <v>69</v>
      </c>
      <c r="K55" s="79" t="s">
        <v>110</v>
      </c>
      <c r="L55" s="79" t="s">
        <v>101</v>
      </c>
      <c r="M55" s="79" t="s">
        <v>1020</v>
      </c>
      <c r="N55" s="79" t="s">
        <v>82</v>
      </c>
      <c r="O55" s="79" t="s">
        <v>113</v>
      </c>
      <c r="P55" s="79" t="s">
        <v>153</v>
      </c>
      <c r="Q55" s="70" t="s">
        <v>3277</v>
      </c>
      <c r="R55" s="79" t="s">
        <v>76</v>
      </c>
      <c r="S55" s="79" t="s">
        <v>97</v>
      </c>
      <c r="T55" s="79">
        <v>2024.0</v>
      </c>
      <c r="U55" s="79" t="s">
        <v>78</v>
      </c>
      <c r="V55" s="79" t="s">
        <v>79</v>
      </c>
      <c r="W55" s="79" t="s">
        <v>563</v>
      </c>
      <c r="X55" s="79" t="s">
        <v>80</v>
      </c>
      <c r="Y55" s="79" t="s">
        <v>80</v>
      </c>
      <c r="Z55" s="79" t="s">
        <v>1004</v>
      </c>
      <c r="AA55" s="79" t="s">
        <v>160</v>
      </c>
      <c r="AB55" s="96" t="s">
        <v>1022</v>
      </c>
      <c r="AC55" s="96">
        <v>8.5768637781E10</v>
      </c>
      <c r="AD55" s="96" t="s">
        <v>1023</v>
      </c>
      <c r="AE55" s="59"/>
      <c r="AF55" s="68" t="s">
        <v>566</v>
      </c>
      <c r="AG55" s="60"/>
      <c r="AH55" s="60"/>
      <c r="AI55" s="60"/>
      <c r="AJ55" s="60"/>
      <c r="AK55" s="60"/>
      <c r="AL55" s="60"/>
      <c r="AM55" s="60"/>
      <c r="AN55" s="60"/>
      <c r="AO55" s="60"/>
      <c r="AP55" s="60"/>
      <c r="AQ55" s="60"/>
      <c r="AR55" s="61"/>
    </row>
    <row r="56" hidden="1">
      <c r="A56" s="62">
        <v>54.0</v>
      </c>
      <c r="B56" s="96" t="s">
        <v>1024</v>
      </c>
      <c r="C56" s="96" t="s">
        <v>1025</v>
      </c>
      <c r="D56" s="96" t="s">
        <v>1026</v>
      </c>
      <c r="E56" s="59"/>
      <c r="F56" s="79" t="s">
        <v>379</v>
      </c>
      <c r="G56" s="79" t="s">
        <v>66</v>
      </c>
      <c r="H56" s="79" t="s">
        <v>1027</v>
      </c>
      <c r="I56" s="96" t="s">
        <v>1028</v>
      </c>
      <c r="J56" s="79" t="s">
        <v>69</v>
      </c>
      <c r="K56" s="79" t="s">
        <v>70</v>
      </c>
      <c r="L56" s="79" t="s">
        <v>101</v>
      </c>
      <c r="M56" s="79" t="s">
        <v>1029</v>
      </c>
      <c r="N56" s="79" t="s">
        <v>82</v>
      </c>
      <c r="O56" s="79" t="s">
        <v>113</v>
      </c>
      <c r="P56" s="79" t="s">
        <v>95</v>
      </c>
      <c r="Q56" s="70" t="s">
        <v>3278</v>
      </c>
      <c r="R56" s="79" t="s">
        <v>76</v>
      </c>
      <c r="S56" s="79" t="s">
        <v>97</v>
      </c>
      <c r="T56" s="98">
        <v>2025.0</v>
      </c>
      <c r="U56" s="79" t="s">
        <v>78</v>
      </c>
      <c r="V56" s="79" t="s">
        <v>79</v>
      </c>
      <c r="W56" s="79" t="s">
        <v>563</v>
      </c>
      <c r="X56" s="69"/>
      <c r="Y56" s="69"/>
      <c r="Z56" s="79" t="s">
        <v>1014</v>
      </c>
      <c r="AA56" s="79" t="s">
        <v>160</v>
      </c>
      <c r="AB56" s="96" t="s">
        <v>1031</v>
      </c>
      <c r="AC56" s="96">
        <v>8.7869520475E10</v>
      </c>
      <c r="AD56" s="79" t="s">
        <v>563</v>
      </c>
      <c r="AE56" s="59"/>
      <c r="AF56" s="68" t="s">
        <v>566</v>
      </c>
      <c r="AG56" s="60"/>
      <c r="AH56" s="60"/>
      <c r="AI56" s="60"/>
      <c r="AJ56" s="60"/>
      <c r="AK56" s="60"/>
      <c r="AL56" s="60"/>
      <c r="AM56" s="60"/>
      <c r="AN56" s="60"/>
      <c r="AO56" s="60"/>
      <c r="AP56" s="60"/>
      <c r="AQ56" s="60"/>
      <c r="AR56" s="61"/>
    </row>
    <row r="57" hidden="1">
      <c r="A57" s="62">
        <v>55.0</v>
      </c>
      <c r="B57" s="96" t="s">
        <v>1042</v>
      </c>
      <c r="C57" s="96" t="s">
        <v>1043</v>
      </c>
      <c r="D57" s="59"/>
      <c r="E57" s="59"/>
      <c r="F57" s="79" t="s">
        <v>344</v>
      </c>
      <c r="G57" s="79" t="s">
        <v>66</v>
      </c>
      <c r="H57" s="79" t="s">
        <v>1044</v>
      </c>
      <c r="I57" s="96" t="s">
        <v>1045</v>
      </c>
      <c r="J57" s="79" t="s">
        <v>69</v>
      </c>
      <c r="K57" s="79" t="s">
        <v>70</v>
      </c>
      <c r="L57" s="79" t="s">
        <v>71</v>
      </c>
      <c r="M57" s="79" t="s">
        <v>1046</v>
      </c>
      <c r="N57" s="79" t="s">
        <v>73</v>
      </c>
      <c r="O57" s="79" t="s">
        <v>73</v>
      </c>
      <c r="P57" s="79" t="s">
        <v>95</v>
      </c>
      <c r="Q57" s="122" t="s">
        <v>3279</v>
      </c>
      <c r="R57" s="79" t="s">
        <v>76</v>
      </c>
      <c r="S57" s="79" t="s">
        <v>97</v>
      </c>
      <c r="T57" s="98">
        <v>2026.0</v>
      </c>
      <c r="U57" s="79" t="s">
        <v>78</v>
      </c>
      <c r="V57" s="79" t="s">
        <v>79</v>
      </c>
      <c r="W57" s="69"/>
      <c r="X57" s="79" t="s">
        <v>159</v>
      </c>
      <c r="Y57" s="79" t="s">
        <v>71</v>
      </c>
      <c r="Z57" s="79" t="s">
        <v>1048</v>
      </c>
      <c r="AA57" s="79" t="s">
        <v>162</v>
      </c>
      <c r="AB57" s="96" t="s">
        <v>1049</v>
      </c>
      <c r="AC57" s="96">
        <v>8.11976661E8</v>
      </c>
      <c r="AD57" s="96" t="s">
        <v>1050</v>
      </c>
      <c r="AE57" s="59"/>
      <c r="AF57" s="59"/>
      <c r="AG57" s="60"/>
      <c r="AH57" s="60"/>
      <c r="AI57" s="60"/>
      <c r="AJ57" s="60"/>
      <c r="AK57" s="60"/>
      <c r="AL57" s="60"/>
      <c r="AM57" s="60"/>
      <c r="AN57" s="60"/>
      <c r="AO57" s="60"/>
      <c r="AP57" s="60"/>
      <c r="AQ57" s="60"/>
      <c r="AR57" s="61"/>
    </row>
    <row r="58" hidden="1">
      <c r="A58" s="62">
        <v>56.0</v>
      </c>
      <c r="B58" s="96" t="s">
        <v>1056</v>
      </c>
      <c r="C58" s="96" t="s">
        <v>1057</v>
      </c>
      <c r="D58" s="59"/>
      <c r="E58" s="59"/>
      <c r="F58" s="69"/>
      <c r="G58" s="69"/>
      <c r="H58" s="69"/>
      <c r="I58" s="96" t="s">
        <v>1058</v>
      </c>
      <c r="J58" s="69"/>
      <c r="K58" s="69"/>
      <c r="L58" s="69"/>
      <c r="M58" s="79" t="s">
        <v>1059</v>
      </c>
      <c r="N58" s="79" t="s">
        <v>93</v>
      </c>
      <c r="O58" s="69"/>
      <c r="P58" s="79" t="s">
        <v>153</v>
      </c>
      <c r="Q58" s="69"/>
      <c r="R58" s="69"/>
      <c r="S58" s="69"/>
      <c r="T58" s="69"/>
      <c r="U58" s="69"/>
      <c r="V58" s="69"/>
      <c r="W58" s="69"/>
      <c r="X58" s="69"/>
      <c r="Y58" s="69"/>
      <c r="Z58" s="69"/>
      <c r="AA58" s="69"/>
      <c r="AB58" s="69"/>
      <c r="AC58" s="69"/>
      <c r="AD58" s="69"/>
      <c r="AE58" s="59"/>
      <c r="AF58" s="59"/>
      <c r="AG58" s="60"/>
      <c r="AH58" s="60"/>
      <c r="AI58" s="60"/>
      <c r="AJ58" s="60"/>
      <c r="AK58" s="60"/>
      <c r="AL58" s="60"/>
      <c r="AM58" s="60"/>
      <c r="AN58" s="60"/>
      <c r="AO58" s="60"/>
      <c r="AP58" s="60"/>
      <c r="AQ58" s="60"/>
      <c r="AR58" s="61"/>
    </row>
    <row r="59" hidden="1">
      <c r="A59" s="62">
        <v>57.0</v>
      </c>
      <c r="B59" s="96" t="s">
        <v>1060</v>
      </c>
      <c r="C59" s="96" t="s">
        <v>1061</v>
      </c>
      <c r="D59" s="59"/>
      <c r="E59" s="59"/>
      <c r="F59" s="79" t="s">
        <v>345</v>
      </c>
      <c r="G59" s="79" t="s">
        <v>66</v>
      </c>
      <c r="H59" s="69"/>
      <c r="I59" s="96" t="s">
        <v>1062</v>
      </c>
      <c r="J59" s="79" t="s">
        <v>69</v>
      </c>
      <c r="K59" s="79" t="s">
        <v>70</v>
      </c>
      <c r="L59" s="79" t="s">
        <v>143</v>
      </c>
      <c r="M59" s="79" t="s">
        <v>1063</v>
      </c>
      <c r="N59" s="79" t="s">
        <v>73</v>
      </c>
      <c r="O59" s="79" t="s">
        <v>73</v>
      </c>
      <c r="P59" s="79" t="s">
        <v>95</v>
      </c>
      <c r="Q59" s="70" t="s">
        <v>3280</v>
      </c>
      <c r="R59" s="79" t="s">
        <v>76</v>
      </c>
      <c r="S59" s="79" t="s">
        <v>97</v>
      </c>
      <c r="T59" s="98">
        <v>2015.0</v>
      </c>
      <c r="U59" s="79" t="s">
        <v>78</v>
      </c>
      <c r="V59" s="79" t="s">
        <v>98</v>
      </c>
      <c r="W59" s="69"/>
      <c r="X59" s="79" t="s">
        <v>100</v>
      </c>
      <c r="Y59" s="79" t="s">
        <v>139</v>
      </c>
      <c r="Z59" s="79" t="s">
        <v>1065</v>
      </c>
      <c r="AA59" s="79" t="s">
        <v>162</v>
      </c>
      <c r="AB59" s="96" t="s">
        <v>1066</v>
      </c>
      <c r="AC59" s="96">
        <v>8.7822419136E10</v>
      </c>
      <c r="AD59" s="96" t="s">
        <v>1067</v>
      </c>
      <c r="AE59" s="59"/>
      <c r="AF59" s="59"/>
      <c r="AG59" s="60"/>
      <c r="AH59" s="60"/>
      <c r="AI59" s="60"/>
      <c r="AJ59" s="60"/>
      <c r="AK59" s="60"/>
      <c r="AL59" s="60"/>
      <c r="AM59" s="60"/>
      <c r="AN59" s="60"/>
      <c r="AO59" s="60"/>
      <c r="AP59" s="60"/>
      <c r="AQ59" s="60"/>
      <c r="AR59" s="61"/>
    </row>
    <row r="60" hidden="1">
      <c r="A60" s="62">
        <v>58.0</v>
      </c>
      <c r="B60" s="96" t="s">
        <v>1068</v>
      </c>
      <c r="C60" s="96" t="s">
        <v>1069</v>
      </c>
      <c r="D60" s="59"/>
      <c r="E60" s="59"/>
      <c r="F60" s="69"/>
      <c r="G60" s="69"/>
      <c r="H60" s="69"/>
      <c r="I60" s="96" t="s">
        <v>1070</v>
      </c>
      <c r="J60" s="69"/>
      <c r="K60" s="69"/>
      <c r="L60" s="69"/>
      <c r="M60" s="79" t="s">
        <v>1071</v>
      </c>
      <c r="N60" s="79" t="s">
        <v>73</v>
      </c>
      <c r="O60" s="79" t="s">
        <v>73</v>
      </c>
      <c r="P60" s="79" t="s">
        <v>95</v>
      </c>
      <c r="Q60" s="70" t="s">
        <v>3281</v>
      </c>
      <c r="R60" s="69"/>
      <c r="S60" s="69"/>
      <c r="T60" s="69"/>
      <c r="U60" s="79" t="s">
        <v>147</v>
      </c>
      <c r="V60" s="69"/>
      <c r="W60" s="69"/>
      <c r="X60" s="69"/>
      <c r="Y60" s="69"/>
      <c r="Z60" s="69"/>
      <c r="AA60" s="69"/>
      <c r="AB60" s="69"/>
      <c r="AC60" s="69"/>
      <c r="AD60" s="69"/>
      <c r="AE60" s="59"/>
      <c r="AF60" s="59"/>
      <c r="AG60" s="60"/>
      <c r="AH60" s="60"/>
      <c r="AI60" s="60"/>
      <c r="AJ60" s="60"/>
      <c r="AK60" s="60"/>
      <c r="AL60" s="60"/>
      <c r="AM60" s="60"/>
      <c r="AN60" s="60"/>
      <c r="AO60" s="60"/>
      <c r="AP60" s="60"/>
      <c r="AQ60" s="60"/>
      <c r="AR60" s="61"/>
    </row>
    <row r="61" hidden="1">
      <c r="A61" s="62">
        <v>59.0</v>
      </c>
      <c r="B61" s="96" t="s">
        <v>1073</v>
      </c>
      <c r="C61" s="96" t="s">
        <v>1074</v>
      </c>
      <c r="D61" s="96" t="s">
        <v>1075</v>
      </c>
      <c r="E61" s="59"/>
      <c r="F61" s="79" t="s">
        <v>345</v>
      </c>
      <c r="G61" s="79" t="s">
        <v>66</v>
      </c>
      <c r="H61" s="69"/>
      <c r="I61" s="96" t="s">
        <v>1076</v>
      </c>
      <c r="J61" s="79" t="s">
        <v>69</v>
      </c>
      <c r="K61" s="79" t="s">
        <v>70</v>
      </c>
      <c r="L61" s="79" t="s">
        <v>71</v>
      </c>
      <c r="M61" s="79" t="s">
        <v>1077</v>
      </c>
      <c r="N61" s="79" t="s">
        <v>73</v>
      </c>
      <c r="O61" s="79" t="s">
        <v>73</v>
      </c>
      <c r="P61" s="79" t="s">
        <v>95</v>
      </c>
      <c r="Q61" s="122" t="s">
        <v>3282</v>
      </c>
      <c r="R61" s="79" t="s">
        <v>76</v>
      </c>
      <c r="S61" s="79" t="s">
        <v>97</v>
      </c>
      <c r="T61" s="98">
        <v>2023.0</v>
      </c>
      <c r="U61" s="79" t="s">
        <v>78</v>
      </c>
      <c r="V61" s="79" t="s">
        <v>98</v>
      </c>
      <c r="W61" s="69"/>
      <c r="X61" s="79" t="s">
        <v>100</v>
      </c>
      <c r="Y61" s="79" t="s">
        <v>71</v>
      </c>
      <c r="Z61" s="79" t="s">
        <v>1065</v>
      </c>
      <c r="AA61" s="79" t="s">
        <v>162</v>
      </c>
      <c r="AB61" s="96" t="s">
        <v>1079</v>
      </c>
      <c r="AC61" s="96">
        <v>8.1313125931E10</v>
      </c>
      <c r="AD61" s="96" t="s">
        <v>1067</v>
      </c>
      <c r="AE61" s="59"/>
      <c r="AF61" s="59"/>
      <c r="AG61" s="60"/>
      <c r="AH61" s="60"/>
      <c r="AI61" s="60"/>
      <c r="AJ61" s="60"/>
      <c r="AK61" s="60"/>
      <c r="AL61" s="60"/>
      <c r="AM61" s="60"/>
      <c r="AN61" s="60"/>
      <c r="AO61" s="60"/>
      <c r="AP61" s="60"/>
      <c r="AQ61" s="60"/>
      <c r="AR61" s="61"/>
    </row>
    <row r="62" hidden="1">
      <c r="A62" s="62">
        <v>60.0</v>
      </c>
      <c r="B62" s="96" t="s">
        <v>1080</v>
      </c>
      <c r="C62" s="96" t="s">
        <v>1081</v>
      </c>
      <c r="D62" s="59"/>
      <c r="E62" s="59"/>
      <c r="F62" s="69"/>
      <c r="G62" s="69"/>
      <c r="H62" s="69"/>
      <c r="I62" s="96" t="s">
        <v>1082</v>
      </c>
      <c r="J62" s="69"/>
      <c r="K62" s="69"/>
      <c r="L62" s="69"/>
      <c r="M62" s="79" t="s">
        <v>1083</v>
      </c>
      <c r="N62" s="79" t="s">
        <v>73</v>
      </c>
      <c r="O62" s="79" t="s">
        <v>73</v>
      </c>
      <c r="P62" s="79" t="s">
        <v>95</v>
      </c>
      <c r="Q62" s="70" t="s">
        <v>3283</v>
      </c>
      <c r="R62" s="288" t="s">
        <v>76</v>
      </c>
      <c r="S62" s="69"/>
      <c r="T62" s="69"/>
      <c r="U62" s="288" t="s">
        <v>78</v>
      </c>
      <c r="V62" s="69"/>
      <c r="W62" s="69"/>
      <c r="X62" s="69"/>
      <c r="Y62" s="69"/>
      <c r="Z62" s="69"/>
      <c r="AA62" s="288" t="s">
        <v>162</v>
      </c>
      <c r="AB62" s="69"/>
      <c r="AC62" s="69"/>
      <c r="AD62" s="69"/>
      <c r="AE62" s="59"/>
      <c r="AF62" s="59"/>
      <c r="AG62" s="60"/>
      <c r="AH62" s="60"/>
      <c r="AI62" s="60"/>
      <c r="AJ62" s="60"/>
      <c r="AK62" s="60"/>
      <c r="AL62" s="60"/>
      <c r="AM62" s="60"/>
      <c r="AN62" s="60"/>
      <c r="AO62" s="60"/>
      <c r="AP62" s="60"/>
      <c r="AQ62" s="60"/>
      <c r="AR62" s="61"/>
    </row>
    <row r="63" hidden="1">
      <c r="A63" s="62">
        <v>61.0</v>
      </c>
      <c r="B63" s="96" t="s">
        <v>1089</v>
      </c>
      <c r="C63" s="96" t="s">
        <v>1090</v>
      </c>
      <c r="D63" s="59"/>
      <c r="E63" s="59"/>
      <c r="F63" s="69"/>
      <c r="G63" s="69"/>
      <c r="H63" s="69"/>
      <c r="I63" s="96" t="s">
        <v>1091</v>
      </c>
      <c r="J63" s="69"/>
      <c r="K63" s="69"/>
      <c r="L63" s="69"/>
      <c r="M63" s="79" t="s">
        <v>1092</v>
      </c>
      <c r="N63" s="69"/>
      <c r="O63" s="69"/>
      <c r="P63" s="69"/>
      <c r="Q63" s="69"/>
      <c r="R63" s="69"/>
      <c r="S63" s="69"/>
      <c r="T63" s="69"/>
      <c r="U63" s="69"/>
      <c r="V63" s="69"/>
      <c r="W63" s="69"/>
      <c r="X63" s="69"/>
      <c r="Y63" s="69"/>
      <c r="Z63" s="69"/>
      <c r="AA63" s="69"/>
      <c r="AB63" s="69"/>
      <c r="AC63" s="69"/>
      <c r="AD63" s="69"/>
      <c r="AE63" s="59"/>
      <c r="AF63" s="59"/>
      <c r="AG63" s="60"/>
      <c r="AH63" s="60"/>
      <c r="AI63" s="60"/>
      <c r="AJ63" s="60"/>
      <c r="AK63" s="60"/>
      <c r="AL63" s="60"/>
      <c r="AM63" s="60"/>
      <c r="AN63" s="60"/>
      <c r="AO63" s="60"/>
      <c r="AP63" s="60"/>
      <c r="AQ63" s="60"/>
      <c r="AR63" s="61"/>
    </row>
    <row r="64" hidden="1">
      <c r="A64" s="62">
        <v>62.0</v>
      </c>
      <c r="B64" s="96" t="s">
        <v>1093</v>
      </c>
      <c r="C64" s="96" t="s">
        <v>1094</v>
      </c>
      <c r="D64" s="59"/>
      <c r="E64" s="59"/>
      <c r="F64" s="79" t="s">
        <v>345</v>
      </c>
      <c r="G64" s="79" t="s">
        <v>66</v>
      </c>
      <c r="H64" s="69"/>
      <c r="I64" s="96" t="s">
        <v>1095</v>
      </c>
      <c r="J64" s="79" t="s">
        <v>151</v>
      </c>
      <c r="K64" s="79" t="s">
        <v>70</v>
      </c>
      <c r="L64" s="79" t="s">
        <v>71</v>
      </c>
      <c r="M64" s="79" t="s">
        <v>1096</v>
      </c>
      <c r="N64" s="79" t="s">
        <v>73</v>
      </c>
      <c r="O64" s="79" t="s">
        <v>73</v>
      </c>
      <c r="P64" s="79" t="s">
        <v>95</v>
      </c>
      <c r="Q64" s="70" t="s">
        <v>3284</v>
      </c>
      <c r="R64" s="79" t="s">
        <v>76</v>
      </c>
      <c r="S64" s="79" t="s">
        <v>97</v>
      </c>
      <c r="T64" s="69"/>
      <c r="U64" s="79" t="s">
        <v>78</v>
      </c>
      <c r="V64" s="79" t="s">
        <v>98</v>
      </c>
      <c r="W64" s="69"/>
      <c r="X64" s="79" t="s">
        <v>159</v>
      </c>
      <c r="Y64" s="79" t="s">
        <v>139</v>
      </c>
      <c r="Z64" s="79" t="s">
        <v>1065</v>
      </c>
      <c r="AA64" s="79" t="s">
        <v>162</v>
      </c>
      <c r="AB64" s="96" t="s">
        <v>1098</v>
      </c>
      <c r="AC64" s="96">
        <v>8.1322836363E10</v>
      </c>
      <c r="AD64" s="96" t="s">
        <v>1099</v>
      </c>
      <c r="AE64" s="59"/>
      <c r="AF64" s="59"/>
      <c r="AG64" s="60"/>
      <c r="AH64" s="60"/>
      <c r="AI64" s="60"/>
      <c r="AJ64" s="60"/>
      <c r="AK64" s="60"/>
      <c r="AL64" s="60"/>
      <c r="AM64" s="60"/>
      <c r="AN64" s="60"/>
      <c r="AO64" s="60"/>
      <c r="AP64" s="60"/>
      <c r="AQ64" s="60"/>
      <c r="AR64" s="61"/>
    </row>
    <row r="65" hidden="1">
      <c r="A65" s="62">
        <v>63.0</v>
      </c>
      <c r="B65" s="96" t="s">
        <v>1100</v>
      </c>
      <c r="C65" s="96" t="s">
        <v>1101</v>
      </c>
      <c r="D65" s="59"/>
      <c r="E65" s="59"/>
      <c r="F65" s="79" t="s">
        <v>345</v>
      </c>
      <c r="G65" s="79" t="s">
        <v>66</v>
      </c>
      <c r="H65" s="69"/>
      <c r="I65" s="96" t="s">
        <v>1102</v>
      </c>
      <c r="J65" s="79" t="s">
        <v>151</v>
      </c>
      <c r="K65" s="79" t="s">
        <v>70</v>
      </c>
      <c r="L65" s="79" t="s">
        <v>71</v>
      </c>
      <c r="M65" s="79" t="s">
        <v>1103</v>
      </c>
      <c r="N65" s="79" t="s">
        <v>73</v>
      </c>
      <c r="O65" s="79" t="s">
        <v>73</v>
      </c>
      <c r="P65" s="79" t="s">
        <v>95</v>
      </c>
      <c r="Q65" s="70" t="s">
        <v>3285</v>
      </c>
      <c r="R65" s="79" t="s">
        <v>76</v>
      </c>
      <c r="S65" s="79" t="s">
        <v>97</v>
      </c>
      <c r="T65" s="69"/>
      <c r="U65" s="79" t="s">
        <v>78</v>
      </c>
      <c r="V65" s="79" t="s">
        <v>98</v>
      </c>
      <c r="W65" s="69"/>
      <c r="X65" s="79" t="s">
        <v>159</v>
      </c>
      <c r="Y65" s="79" t="s">
        <v>139</v>
      </c>
      <c r="Z65" s="79" t="s">
        <v>1065</v>
      </c>
      <c r="AA65" s="79" t="s">
        <v>162</v>
      </c>
      <c r="AB65" s="96" t="s">
        <v>1105</v>
      </c>
      <c r="AC65" s="96">
        <v>8.1223266494E10</v>
      </c>
      <c r="AD65" s="96" t="s">
        <v>1099</v>
      </c>
      <c r="AE65" s="59"/>
      <c r="AF65" s="59"/>
      <c r="AG65" s="60"/>
      <c r="AH65" s="60"/>
      <c r="AI65" s="60"/>
      <c r="AJ65" s="60"/>
      <c r="AK65" s="60"/>
      <c r="AL65" s="60"/>
      <c r="AM65" s="60"/>
      <c r="AN65" s="60"/>
      <c r="AO65" s="60"/>
      <c r="AP65" s="60"/>
      <c r="AQ65" s="60"/>
      <c r="AR65" s="61"/>
    </row>
    <row r="66" hidden="1">
      <c r="A66" s="62">
        <v>64.0</v>
      </c>
      <c r="B66" s="96" t="s">
        <v>1106</v>
      </c>
      <c r="C66" s="96" t="s">
        <v>1107</v>
      </c>
      <c r="D66" s="59"/>
      <c r="E66" s="59"/>
      <c r="F66" s="79" t="s">
        <v>345</v>
      </c>
      <c r="G66" s="79" t="s">
        <v>66</v>
      </c>
      <c r="H66" s="69"/>
      <c r="I66" s="96" t="s">
        <v>1108</v>
      </c>
      <c r="J66" s="79" t="s">
        <v>151</v>
      </c>
      <c r="K66" s="79" t="s">
        <v>70</v>
      </c>
      <c r="L66" s="79" t="s">
        <v>71</v>
      </c>
      <c r="M66" s="79" t="s">
        <v>1109</v>
      </c>
      <c r="N66" s="79" t="s">
        <v>73</v>
      </c>
      <c r="O66" s="79" t="s">
        <v>73</v>
      </c>
      <c r="P66" s="79" t="s">
        <v>95</v>
      </c>
      <c r="Q66" s="70" t="s">
        <v>3286</v>
      </c>
      <c r="R66" s="79" t="s">
        <v>76</v>
      </c>
      <c r="S66" s="79" t="s">
        <v>97</v>
      </c>
      <c r="T66" s="69"/>
      <c r="U66" s="79" t="s">
        <v>78</v>
      </c>
      <c r="V66" s="79" t="s">
        <v>98</v>
      </c>
      <c r="W66" s="69"/>
      <c r="X66" s="79" t="s">
        <v>159</v>
      </c>
      <c r="Y66" s="79" t="s">
        <v>139</v>
      </c>
      <c r="Z66" s="79" t="s">
        <v>1065</v>
      </c>
      <c r="AA66" s="79" t="s">
        <v>162</v>
      </c>
      <c r="AB66" s="96" t="s">
        <v>1105</v>
      </c>
      <c r="AC66" s="96">
        <v>8.1223266494E10</v>
      </c>
      <c r="AD66" s="96" t="s">
        <v>1099</v>
      </c>
      <c r="AE66" s="59"/>
      <c r="AF66" s="59"/>
      <c r="AG66" s="60"/>
      <c r="AH66" s="60"/>
      <c r="AI66" s="60"/>
      <c r="AJ66" s="60"/>
      <c r="AK66" s="60"/>
      <c r="AL66" s="60"/>
      <c r="AM66" s="60"/>
      <c r="AN66" s="60"/>
      <c r="AO66" s="60"/>
      <c r="AP66" s="60"/>
      <c r="AQ66" s="60"/>
      <c r="AR66" s="61"/>
    </row>
    <row r="67" hidden="1">
      <c r="A67" s="62">
        <v>65.0</v>
      </c>
      <c r="B67" s="96" t="s">
        <v>1116</v>
      </c>
      <c r="C67" s="96" t="s">
        <v>1117</v>
      </c>
      <c r="D67" s="59"/>
      <c r="E67" s="59"/>
      <c r="F67" s="69"/>
      <c r="G67" s="69"/>
      <c r="H67" s="69"/>
      <c r="I67" s="96" t="s">
        <v>1118</v>
      </c>
      <c r="J67" s="69"/>
      <c r="K67" s="69"/>
      <c r="L67" s="69"/>
      <c r="M67" s="79" t="s">
        <v>1119</v>
      </c>
      <c r="N67" s="69"/>
      <c r="O67" s="69"/>
      <c r="P67" s="69"/>
      <c r="Q67" s="69"/>
      <c r="R67" s="69"/>
      <c r="S67" s="69"/>
      <c r="T67" s="69"/>
      <c r="U67" s="69"/>
      <c r="V67" s="69"/>
      <c r="W67" s="69"/>
      <c r="X67" s="69"/>
      <c r="Y67" s="69"/>
      <c r="Z67" s="69"/>
      <c r="AA67" s="69"/>
      <c r="AB67" s="96" t="s">
        <v>1120</v>
      </c>
      <c r="AC67" s="69"/>
      <c r="AD67" s="69"/>
      <c r="AE67" s="59"/>
      <c r="AF67" s="59"/>
      <c r="AG67" s="60"/>
      <c r="AH67" s="60"/>
      <c r="AI67" s="60"/>
      <c r="AJ67" s="60"/>
      <c r="AK67" s="60"/>
      <c r="AL67" s="60"/>
      <c r="AM67" s="60"/>
      <c r="AN67" s="60"/>
      <c r="AO67" s="60"/>
      <c r="AP67" s="60"/>
      <c r="AQ67" s="60"/>
      <c r="AR67" s="61"/>
    </row>
    <row r="68" hidden="1">
      <c r="A68" s="62">
        <v>66.0</v>
      </c>
      <c r="B68" s="96" t="s">
        <v>1121</v>
      </c>
      <c r="C68" s="96" t="s">
        <v>1122</v>
      </c>
      <c r="D68" s="59"/>
      <c r="E68" s="59"/>
      <c r="F68" s="79" t="s">
        <v>345</v>
      </c>
      <c r="G68" s="79" t="s">
        <v>66</v>
      </c>
      <c r="H68" s="69"/>
      <c r="I68" s="96" t="s">
        <v>1123</v>
      </c>
      <c r="J68" s="79" t="s">
        <v>151</v>
      </c>
      <c r="K68" s="79" t="s">
        <v>70</v>
      </c>
      <c r="L68" s="79" t="s">
        <v>71</v>
      </c>
      <c r="M68" s="79" t="s">
        <v>1124</v>
      </c>
      <c r="N68" s="79" t="s">
        <v>73</v>
      </c>
      <c r="O68" s="79" t="s">
        <v>73</v>
      </c>
      <c r="P68" s="79" t="s">
        <v>95</v>
      </c>
      <c r="Q68" s="70" t="s">
        <v>3287</v>
      </c>
      <c r="R68" s="79" t="s">
        <v>76</v>
      </c>
      <c r="S68" s="79" t="s">
        <v>97</v>
      </c>
      <c r="T68" s="69"/>
      <c r="U68" s="79" t="s">
        <v>78</v>
      </c>
      <c r="V68" s="79" t="s">
        <v>98</v>
      </c>
      <c r="W68" s="69"/>
      <c r="X68" s="79" t="s">
        <v>159</v>
      </c>
      <c r="Y68" s="79" t="s">
        <v>139</v>
      </c>
      <c r="Z68" s="79" t="s">
        <v>1065</v>
      </c>
      <c r="AA68" s="79" t="s">
        <v>162</v>
      </c>
      <c r="AB68" s="96" t="s">
        <v>1105</v>
      </c>
      <c r="AC68" s="96">
        <v>8.1223266494E10</v>
      </c>
      <c r="AD68" s="96" t="s">
        <v>1099</v>
      </c>
      <c r="AE68" s="59"/>
      <c r="AF68" s="59"/>
      <c r="AG68" s="60"/>
      <c r="AH68" s="60"/>
      <c r="AI68" s="60"/>
      <c r="AJ68" s="60"/>
      <c r="AK68" s="60"/>
      <c r="AL68" s="60"/>
      <c r="AM68" s="60"/>
      <c r="AN68" s="60"/>
      <c r="AO68" s="60"/>
      <c r="AP68" s="60"/>
      <c r="AQ68" s="60"/>
      <c r="AR68" s="61"/>
    </row>
    <row r="69" hidden="1">
      <c r="A69" s="62">
        <v>67.0</v>
      </c>
      <c r="B69" s="96" t="s">
        <v>1129</v>
      </c>
      <c r="C69" s="96" t="s">
        <v>1130</v>
      </c>
      <c r="D69" s="59"/>
      <c r="E69" s="59"/>
      <c r="F69" s="69"/>
      <c r="G69" s="69"/>
      <c r="H69" s="69"/>
      <c r="I69" s="96" t="s">
        <v>1131</v>
      </c>
      <c r="J69" s="69"/>
      <c r="K69" s="69"/>
      <c r="L69" s="69"/>
      <c r="M69" s="79" t="s">
        <v>1132</v>
      </c>
      <c r="N69" s="69"/>
      <c r="O69" s="69"/>
      <c r="P69" s="69"/>
      <c r="Q69" s="69"/>
      <c r="R69" s="69"/>
      <c r="S69" s="69"/>
      <c r="T69" s="69"/>
      <c r="U69" s="69"/>
      <c r="V69" s="69"/>
      <c r="W69" s="69"/>
      <c r="X69" s="69"/>
      <c r="Y69" s="69"/>
      <c r="Z69" s="69"/>
      <c r="AA69" s="69"/>
      <c r="AB69" s="69"/>
      <c r="AC69" s="69"/>
      <c r="AD69" s="69"/>
      <c r="AE69" s="59"/>
      <c r="AF69" s="59"/>
      <c r="AG69" s="60"/>
      <c r="AH69" s="60"/>
      <c r="AI69" s="60"/>
      <c r="AJ69" s="60"/>
      <c r="AK69" s="60"/>
      <c r="AL69" s="60"/>
      <c r="AM69" s="60"/>
      <c r="AN69" s="60"/>
      <c r="AO69" s="60"/>
      <c r="AP69" s="60"/>
      <c r="AQ69" s="60"/>
      <c r="AR69" s="61"/>
    </row>
    <row r="70" hidden="1">
      <c r="A70" s="62">
        <v>68.0</v>
      </c>
      <c r="B70" s="96" t="s">
        <v>1133</v>
      </c>
      <c r="C70" s="96" t="s">
        <v>1134</v>
      </c>
      <c r="D70" s="59"/>
      <c r="E70" s="59"/>
      <c r="F70" s="69"/>
      <c r="G70" s="69"/>
      <c r="H70" s="69"/>
      <c r="I70" s="96" t="s">
        <v>1135</v>
      </c>
      <c r="J70" s="69"/>
      <c r="K70" s="69"/>
      <c r="L70" s="69"/>
      <c r="M70" s="79" t="s">
        <v>1136</v>
      </c>
      <c r="N70" s="69"/>
      <c r="O70" s="69"/>
      <c r="P70" s="69"/>
      <c r="Q70" s="69"/>
      <c r="R70" s="69"/>
      <c r="S70" s="69"/>
      <c r="T70" s="69"/>
      <c r="U70" s="69"/>
      <c r="V70" s="69"/>
      <c r="W70" s="69"/>
      <c r="X70" s="69"/>
      <c r="Y70" s="69"/>
      <c r="Z70" s="69"/>
      <c r="AA70" s="69"/>
      <c r="AB70" s="69"/>
      <c r="AC70" s="69"/>
      <c r="AD70" s="69"/>
      <c r="AE70" s="59"/>
      <c r="AF70" s="59"/>
      <c r="AG70" s="60"/>
      <c r="AH70" s="60"/>
      <c r="AI70" s="60"/>
      <c r="AJ70" s="60"/>
      <c r="AK70" s="60"/>
      <c r="AL70" s="60"/>
      <c r="AM70" s="60"/>
      <c r="AN70" s="60"/>
      <c r="AO70" s="60"/>
      <c r="AP70" s="60"/>
      <c r="AQ70" s="60"/>
      <c r="AR70" s="61"/>
    </row>
    <row r="71" hidden="1">
      <c r="A71" s="62">
        <v>69.0</v>
      </c>
      <c r="B71" s="96" t="s">
        <v>1137</v>
      </c>
      <c r="C71" s="96" t="s">
        <v>1138</v>
      </c>
      <c r="D71" s="59"/>
      <c r="E71" s="59"/>
      <c r="F71" s="69"/>
      <c r="G71" s="69"/>
      <c r="H71" s="69"/>
      <c r="I71" s="96" t="s">
        <v>1139</v>
      </c>
      <c r="J71" s="69"/>
      <c r="K71" s="69"/>
      <c r="L71" s="69"/>
      <c r="M71" s="79" t="s">
        <v>1140</v>
      </c>
      <c r="N71" s="69"/>
      <c r="O71" s="69"/>
      <c r="P71" s="69"/>
      <c r="Q71" s="69"/>
      <c r="R71" s="69"/>
      <c r="S71" s="69"/>
      <c r="T71" s="69"/>
      <c r="U71" s="69"/>
      <c r="V71" s="69"/>
      <c r="W71" s="69"/>
      <c r="X71" s="69"/>
      <c r="Y71" s="69"/>
      <c r="Z71" s="69"/>
      <c r="AA71" s="69"/>
      <c r="AB71" s="69"/>
      <c r="AC71" s="69"/>
      <c r="AD71" s="69"/>
      <c r="AE71" s="59"/>
      <c r="AF71" s="59"/>
      <c r="AG71" s="60"/>
      <c r="AH71" s="60"/>
      <c r="AI71" s="60"/>
      <c r="AJ71" s="60"/>
      <c r="AK71" s="60"/>
      <c r="AL71" s="60"/>
      <c r="AM71" s="60"/>
      <c r="AN71" s="60"/>
      <c r="AO71" s="60"/>
      <c r="AP71" s="60"/>
      <c r="AQ71" s="60"/>
      <c r="AR71" s="61"/>
    </row>
    <row r="72" hidden="1">
      <c r="A72" s="62">
        <v>70.0</v>
      </c>
      <c r="B72" s="96" t="s">
        <v>1141</v>
      </c>
      <c r="C72" s="96" t="s">
        <v>1142</v>
      </c>
      <c r="D72" s="59"/>
      <c r="E72" s="59"/>
      <c r="F72" s="69"/>
      <c r="G72" s="79" t="s">
        <v>123</v>
      </c>
      <c r="H72" s="69"/>
      <c r="I72" s="69"/>
      <c r="J72" s="69"/>
      <c r="K72" s="69"/>
      <c r="L72" s="79" t="s">
        <v>71</v>
      </c>
      <c r="M72" s="79" t="s">
        <v>1143</v>
      </c>
      <c r="N72" s="79" t="s">
        <v>73</v>
      </c>
      <c r="O72" s="79" t="s">
        <v>73</v>
      </c>
      <c r="P72" s="79" t="s">
        <v>74</v>
      </c>
      <c r="Q72" s="70" t="s">
        <v>3288</v>
      </c>
      <c r="R72" s="79" t="s">
        <v>76</v>
      </c>
      <c r="S72" s="69"/>
      <c r="T72" s="69"/>
      <c r="U72" s="79" t="s">
        <v>78</v>
      </c>
      <c r="V72" s="79" t="s">
        <v>98</v>
      </c>
      <c r="W72" s="79" t="s">
        <v>1145</v>
      </c>
      <c r="X72" s="69"/>
      <c r="Y72" s="79" t="s">
        <v>139</v>
      </c>
      <c r="Z72" s="79" t="s">
        <v>1146</v>
      </c>
      <c r="AA72" s="288" t="s">
        <v>162</v>
      </c>
      <c r="AB72" s="69"/>
      <c r="AC72" s="69"/>
      <c r="AD72" s="69"/>
      <c r="AE72" s="59"/>
      <c r="AF72" s="59"/>
      <c r="AG72" s="60"/>
      <c r="AH72" s="60"/>
      <c r="AI72" s="60"/>
      <c r="AJ72" s="60"/>
      <c r="AK72" s="60"/>
      <c r="AL72" s="60"/>
      <c r="AM72" s="60"/>
      <c r="AN72" s="60"/>
      <c r="AO72" s="60"/>
      <c r="AP72" s="60"/>
      <c r="AQ72" s="60"/>
      <c r="AR72" s="61"/>
    </row>
    <row r="73" hidden="1">
      <c r="A73" s="62">
        <v>71.0</v>
      </c>
      <c r="B73" s="96" t="s">
        <v>1147</v>
      </c>
      <c r="C73" s="96" t="s">
        <v>1148</v>
      </c>
      <c r="D73" s="96" t="s">
        <v>1149</v>
      </c>
      <c r="E73" s="79" t="s">
        <v>88</v>
      </c>
      <c r="F73" s="79" t="s">
        <v>290</v>
      </c>
      <c r="G73" s="79" t="s">
        <v>66</v>
      </c>
      <c r="H73" s="96" t="s">
        <v>1150</v>
      </c>
      <c r="I73" s="96" t="s">
        <v>1151</v>
      </c>
      <c r="J73" s="79" t="s">
        <v>91</v>
      </c>
      <c r="K73" s="79" t="s">
        <v>70</v>
      </c>
      <c r="L73" s="79" t="s">
        <v>71</v>
      </c>
      <c r="M73" s="79" t="s">
        <v>1152</v>
      </c>
      <c r="N73" s="79" t="s">
        <v>93</v>
      </c>
      <c r="O73" s="79" t="s">
        <v>113</v>
      </c>
      <c r="P73" s="79" t="s">
        <v>74</v>
      </c>
      <c r="Q73" s="70" t="s">
        <v>3289</v>
      </c>
      <c r="R73" s="79" t="s">
        <v>76</v>
      </c>
      <c r="S73" s="79" t="s">
        <v>77</v>
      </c>
      <c r="T73" s="79">
        <v>2024.0</v>
      </c>
      <c r="U73" s="79" t="s">
        <v>78</v>
      </c>
      <c r="V73" s="79" t="s">
        <v>79</v>
      </c>
      <c r="W73" s="79" t="s">
        <v>80</v>
      </c>
      <c r="X73" s="79" t="s">
        <v>80</v>
      </c>
      <c r="Y73" s="79" t="s">
        <v>80</v>
      </c>
      <c r="Z73" s="79" t="s">
        <v>1154</v>
      </c>
      <c r="AA73" s="79" t="s">
        <v>164</v>
      </c>
      <c r="AB73" s="96" t="s">
        <v>1155</v>
      </c>
      <c r="AC73" s="79">
        <v>8.1290730949E10</v>
      </c>
      <c r="AD73" s="69"/>
      <c r="AE73" s="68">
        <v>39.0</v>
      </c>
      <c r="AF73" s="68" t="s">
        <v>71</v>
      </c>
      <c r="AG73" s="60"/>
      <c r="AH73" s="60"/>
      <c r="AI73" s="60"/>
      <c r="AJ73" s="60"/>
      <c r="AK73" s="60"/>
      <c r="AL73" s="60"/>
      <c r="AM73" s="60"/>
      <c r="AN73" s="60"/>
      <c r="AO73" s="60"/>
      <c r="AP73" s="60"/>
      <c r="AQ73" s="60"/>
      <c r="AR73" s="61"/>
    </row>
    <row r="74" hidden="1">
      <c r="A74" s="62">
        <v>72.0</v>
      </c>
      <c r="B74" s="96" t="s">
        <v>1156</v>
      </c>
      <c r="C74" s="96" t="s">
        <v>1157</v>
      </c>
      <c r="D74" s="96" t="s">
        <v>1158</v>
      </c>
      <c r="E74" s="131" t="s">
        <v>3290</v>
      </c>
      <c r="F74" s="79" t="s">
        <v>309</v>
      </c>
      <c r="G74" s="79" t="s">
        <v>66</v>
      </c>
      <c r="H74" s="79" t="s">
        <v>1160</v>
      </c>
      <c r="I74" s="79" t="s">
        <v>1161</v>
      </c>
      <c r="J74" s="79" t="s">
        <v>151</v>
      </c>
      <c r="K74" s="79" t="s">
        <v>70</v>
      </c>
      <c r="L74" s="79" t="s">
        <v>71</v>
      </c>
      <c r="M74" s="79" t="s">
        <v>1162</v>
      </c>
      <c r="N74" s="79" t="s">
        <v>93</v>
      </c>
      <c r="O74" s="79" t="s">
        <v>113</v>
      </c>
      <c r="P74" s="79" t="s">
        <v>74</v>
      </c>
      <c r="Q74" s="70" t="s">
        <v>3291</v>
      </c>
      <c r="R74" s="79" t="s">
        <v>76</v>
      </c>
      <c r="S74" s="79" t="s">
        <v>97</v>
      </c>
      <c r="T74" s="79">
        <v>2022.0</v>
      </c>
      <c r="U74" s="79" t="s">
        <v>78</v>
      </c>
      <c r="V74" s="79" t="s">
        <v>98</v>
      </c>
      <c r="W74" s="79" t="s">
        <v>1164</v>
      </c>
      <c r="X74" s="79" t="s">
        <v>155</v>
      </c>
      <c r="Y74" s="79" t="s">
        <v>71</v>
      </c>
      <c r="Z74" s="79" t="s">
        <v>1165</v>
      </c>
      <c r="AA74" s="79" t="s">
        <v>164</v>
      </c>
      <c r="AB74" s="96" t="s">
        <v>1166</v>
      </c>
      <c r="AC74" s="79">
        <v>8.1318911897E10</v>
      </c>
      <c r="AD74" s="96" t="s">
        <v>1167</v>
      </c>
      <c r="AE74" s="64" t="s">
        <v>1168</v>
      </c>
      <c r="AF74" s="64" t="s">
        <v>71</v>
      </c>
      <c r="AG74" s="60"/>
      <c r="AH74" s="60"/>
      <c r="AI74" s="60"/>
      <c r="AJ74" s="60"/>
      <c r="AK74" s="60"/>
      <c r="AL74" s="60"/>
      <c r="AM74" s="60"/>
      <c r="AN74" s="60"/>
      <c r="AO74" s="60"/>
      <c r="AP74" s="60"/>
      <c r="AQ74" s="60"/>
      <c r="AR74" s="61"/>
    </row>
    <row r="75" hidden="1">
      <c r="A75" s="62">
        <v>73.0</v>
      </c>
      <c r="B75" s="96" t="s">
        <v>1169</v>
      </c>
      <c r="C75" s="96" t="s">
        <v>1170</v>
      </c>
      <c r="D75" s="96" t="s">
        <v>63</v>
      </c>
      <c r="E75" s="131" t="s">
        <v>3292</v>
      </c>
      <c r="F75" s="79" t="s">
        <v>65</v>
      </c>
      <c r="G75" s="79" t="s">
        <v>66</v>
      </c>
      <c r="H75" s="79" t="s">
        <v>1172</v>
      </c>
      <c r="I75" s="79" t="s">
        <v>68</v>
      </c>
      <c r="J75" s="79" t="s">
        <v>91</v>
      </c>
      <c r="K75" s="79" t="s">
        <v>70</v>
      </c>
      <c r="L75" s="79" t="s">
        <v>71</v>
      </c>
      <c r="M75" s="79" t="s">
        <v>1173</v>
      </c>
      <c r="N75" s="79" t="s">
        <v>93</v>
      </c>
      <c r="O75" s="79" t="s">
        <v>113</v>
      </c>
      <c r="P75" s="79" t="s">
        <v>74</v>
      </c>
      <c r="Q75" s="70" t="s">
        <v>3293</v>
      </c>
      <c r="R75" s="79" t="s">
        <v>76</v>
      </c>
      <c r="S75" s="79" t="s">
        <v>77</v>
      </c>
      <c r="T75" s="79">
        <v>2022.0</v>
      </c>
      <c r="U75" s="79" t="s">
        <v>78</v>
      </c>
      <c r="V75" s="79" t="s">
        <v>79</v>
      </c>
      <c r="W75" s="79" t="s">
        <v>80</v>
      </c>
      <c r="X75" s="79" t="s">
        <v>80</v>
      </c>
      <c r="Y75" s="79" t="s">
        <v>80</v>
      </c>
      <c r="Z75" s="79" t="s">
        <v>1175</v>
      </c>
      <c r="AA75" s="79" t="s">
        <v>164</v>
      </c>
      <c r="AB75" s="96" t="s">
        <v>1176</v>
      </c>
      <c r="AC75" s="69"/>
      <c r="AD75" s="69"/>
      <c r="AE75" s="59"/>
      <c r="AF75" s="64" t="s">
        <v>71</v>
      </c>
      <c r="AG75" s="60"/>
      <c r="AH75" s="60"/>
      <c r="AI75" s="60"/>
      <c r="AJ75" s="60"/>
      <c r="AK75" s="60"/>
      <c r="AL75" s="60"/>
      <c r="AM75" s="60"/>
      <c r="AN75" s="60"/>
      <c r="AO75" s="60"/>
      <c r="AP75" s="60"/>
      <c r="AQ75" s="60"/>
      <c r="AR75" s="61"/>
    </row>
    <row r="76" hidden="1">
      <c r="A76" s="62">
        <v>74.0</v>
      </c>
      <c r="B76" s="96" t="s">
        <v>1177</v>
      </c>
      <c r="C76" s="96" t="s">
        <v>1178</v>
      </c>
      <c r="D76" s="132" t="s">
        <v>1179</v>
      </c>
      <c r="E76" s="79" t="s">
        <v>88</v>
      </c>
      <c r="F76" s="79" t="s">
        <v>290</v>
      </c>
      <c r="G76" s="79" t="s">
        <v>123</v>
      </c>
      <c r="H76" s="79" t="s">
        <v>1180</v>
      </c>
      <c r="I76" s="79" t="s">
        <v>1181</v>
      </c>
      <c r="J76" s="79" t="s">
        <v>151</v>
      </c>
      <c r="K76" s="79" t="s">
        <v>70</v>
      </c>
      <c r="L76" s="79" t="s">
        <v>152</v>
      </c>
      <c r="M76" s="79" t="s">
        <v>1182</v>
      </c>
      <c r="N76" s="79" t="s">
        <v>93</v>
      </c>
      <c r="O76" s="79" t="s">
        <v>113</v>
      </c>
      <c r="P76" s="79" t="s">
        <v>74</v>
      </c>
      <c r="Q76" s="70" t="s">
        <v>3294</v>
      </c>
      <c r="R76" s="79" t="s">
        <v>76</v>
      </c>
      <c r="S76" s="79" t="s">
        <v>97</v>
      </c>
      <c r="T76" s="79">
        <v>2024.0</v>
      </c>
      <c r="U76" s="79" t="s">
        <v>78</v>
      </c>
      <c r="V76" s="79" t="s">
        <v>79</v>
      </c>
      <c r="W76" s="79" t="s">
        <v>80</v>
      </c>
      <c r="X76" s="79" t="s">
        <v>80</v>
      </c>
      <c r="Y76" s="79" t="s">
        <v>80</v>
      </c>
      <c r="Z76" s="79" t="s">
        <v>1184</v>
      </c>
      <c r="AA76" s="79" t="s">
        <v>164</v>
      </c>
      <c r="AB76" s="96" t="s">
        <v>1185</v>
      </c>
      <c r="AC76" s="79">
        <v>8.5860661778E10</v>
      </c>
      <c r="AD76" s="96" t="s">
        <v>1186</v>
      </c>
      <c r="AE76" s="68">
        <v>47.0</v>
      </c>
      <c r="AF76" s="64" t="s">
        <v>152</v>
      </c>
      <c r="AG76" s="60"/>
      <c r="AH76" s="60"/>
      <c r="AI76" s="60"/>
      <c r="AJ76" s="60"/>
      <c r="AK76" s="60"/>
      <c r="AL76" s="60"/>
      <c r="AM76" s="60"/>
      <c r="AN76" s="60"/>
      <c r="AO76" s="60"/>
      <c r="AP76" s="60"/>
      <c r="AQ76" s="60"/>
      <c r="AR76" s="61"/>
    </row>
    <row r="77" hidden="1">
      <c r="A77" s="62">
        <v>75.0</v>
      </c>
      <c r="B77" s="96" t="s">
        <v>1187</v>
      </c>
      <c r="C77" s="96" t="s">
        <v>1188</v>
      </c>
      <c r="D77" s="96" t="s">
        <v>1189</v>
      </c>
      <c r="E77" s="70" t="s">
        <v>3295</v>
      </c>
      <c r="F77" s="79" t="s">
        <v>222</v>
      </c>
      <c r="G77" s="79" t="s">
        <v>66</v>
      </c>
      <c r="H77" s="79" t="s">
        <v>1191</v>
      </c>
      <c r="I77" s="79" t="s">
        <v>1192</v>
      </c>
      <c r="J77" s="79" t="s">
        <v>91</v>
      </c>
      <c r="K77" s="79" t="s">
        <v>70</v>
      </c>
      <c r="L77" s="79" t="s">
        <v>71</v>
      </c>
      <c r="M77" s="79" t="s">
        <v>1193</v>
      </c>
      <c r="N77" s="79" t="s">
        <v>93</v>
      </c>
      <c r="O77" s="79" t="s">
        <v>113</v>
      </c>
      <c r="P77" s="79" t="s">
        <v>74</v>
      </c>
      <c r="Q77" s="70" t="s">
        <v>3296</v>
      </c>
      <c r="R77" s="79" t="s">
        <v>76</v>
      </c>
      <c r="S77" s="79" t="s">
        <v>77</v>
      </c>
      <c r="T77" s="79">
        <v>2024.0</v>
      </c>
      <c r="U77" s="79" t="s">
        <v>154</v>
      </c>
      <c r="V77" s="79" t="s">
        <v>79</v>
      </c>
      <c r="W77" s="79" t="s">
        <v>80</v>
      </c>
      <c r="X77" s="79" t="s">
        <v>80</v>
      </c>
      <c r="Y77" s="79" t="s">
        <v>80</v>
      </c>
      <c r="Z77" s="79" t="s">
        <v>1195</v>
      </c>
      <c r="AA77" s="79" t="s">
        <v>164</v>
      </c>
      <c r="AB77" s="96" t="s">
        <v>1196</v>
      </c>
      <c r="AC77" s="79">
        <v>8.9681575101E10</v>
      </c>
      <c r="AD77" s="96" t="s">
        <v>1197</v>
      </c>
      <c r="AE77" s="68">
        <v>47.0</v>
      </c>
      <c r="AF77" s="64" t="s">
        <v>71</v>
      </c>
      <c r="AG77" s="60"/>
      <c r="AH77" s="60"/>
      <c r="AI77" s="60"/>
      <c r="AJ77" s="60"/>
      <c r="AK77" s="60"/>
      <c r="AL77" s="60"/>
      <c r="AM77" s="60"/>
      <c r="AN77" s="60"/>
      <c r="AO77" s="60"/>
      <c r="AP77" s="60"/>
      <c r="AQ77" s="60"/>
      <c r="AR77" s="61"/>
    </row>
    <row r="78" hidden="1">
      <c r="A78" s="62">
        <v>76.0</v>
      </c>
      <c r="B78" s="96" t="s">
        <v>1198</v>
      </c>
      <c r="C78" s="96" t="s">
        <v>1199</v>
      </c>
      <c r="D78" s="96" t="s">
        <v>1200</v>
      </c>
      <c r="E78" s="131" t="s">
        <v>3297</v>
      </c>
      <c r="F78" s="79" t="s">
        <v>65</v>
      </c>
      <c r="G78" s="79" t="s">
        <v>66</v>
      </c>
      <c r="H78" s="79" t="s">
        <v>1202</v>
      </c>
      <c r="I78" s="79" t="s">
        <v>1203</v>
      </c>
      <c r="J78" s="79" t="s">
        <v>151</v>
      </c>
      <c r="K78" s="79" t="s">
        <v>70</v>
      </c>
      <c r="L78" s="79" t="s">
        <v>152</v>
      </c>
      <c r="M78" s="79" t="s">
        <v>1204</v>
      </c>
      <c r="N78" s="79" t="s">
        <v>93</v>
      </c>
      <c r="O78" s="79" t="s">
        <v>113</v>
      </c>
      <c r="P78" s="79" t="s">
        <v>74</v>
      </c>
      <c r="Q78" s="70" t="s">
        <v>3298</v>
      </c>
      <c r="R78" s="79" t="s">
        <v>76</v>
      </c>
      <c r="S78" s="79" t="s">
        <v>97</v>
      </c>
      <c r="T78" s="79">
        <v>2022.0</v>
      </c>
      <c r="U78" s="79" t="s">
        <v>78</v>
      </c>
      <c r="V78" s="79" t="s">
        <v>79</v>
      </c>
      <c r="W78" s="79" t="s">
        <v>80</v>
      </c>
      <c r="X78" s="79" t="s">
        <v>80</v>
      </c>
      <c r="Y78" s="79" t="s">
        <v>80</v>
      </c>
      <c r="Z78" s="79" t="s">
        <v>1206</v>
      </c>
      <c r="AA78" s="79" t="s">
        <v>164</v>
      </c>
      <c r="AB78" s="96" t="s">
        <v>1207</v>
      </c>
      <c r="AC78" s="133">
        <v>8.9649072891E10</v>
      </c>
      <c r="AD78" s="96" t="s">
        <v>1208</v>
      </c>
      <c r="AE78" s="68">
        <v>13.0</v>
      </c>
      <c r="AF78" s="64" t="s">
        <v>152</v>
      </c>
      <c r="AG78" s="60"/>
      <c r="AH78" s="60"/>
      <c r="AI78" s="60"/>
      <c r="AJ78" s="60"/>
      <c r="AK78" s="60"/>
      <c r="AL78" s="60"/>
      <c r="AM78" s="60"/>
      <c r="AN78" s="60"/>
      <c r="AO78" s="60"/>
      <c r="AP78" s="60"/>
      <c r="AQ78" s="60"/>
      <c r="AR78" s="61"/>
    </row>
    <row r="79" hidden="1">
      <c r="A79" s="62">
        <v>77.0</v>
      </c>
      <c r="B79" s="96" t="s">
        <v>1209</v>
      </c>
      <c r="C79" s="96" t="s">
        <v>1210</v>
      </c>
      <c r="D79" s="96" t="s">
        <v>1211</v>
      </c>
      <c r="E79" s="79" t="s">
        <v>88</v>
      </c>
      <c r="F79" s="79" t="s">
        <v>420</v>
      </c>
      <c r="G79" s="79" t="s">
        <v>66</v>
      </c>
      <c r="H79" s="79" t="s">
        <v>1212</v>
      </c>
      <c r="I79" s="79" t="s">
        <v>1213</v>
      </c>
      <c r="J79" s="79" t="s">
        <v>91</v>
      </c>
      <c r="K79" s="79" t="s">
        <v>110</v>
      </c>
      <c r="L79" s="79" t="s">
        <v>143</v>
      </c>
      <c r="M79" s="79" t="s">
        <v>1214</v>
      </c>
      <c r="N79" s="79" t="s">
        <v>93</v>
      </c>
      <c r="O79" s="79" t="s">
        <v>113</v>
      </c>
      <c r="P79" s="79" t="s">
        <v>74</v>
      </c>
      <c r="Q79" s="70" t="s">
        <v>3299</v>
      </c>
      <c r="R79" s="79" t="s">
        <v>76</v>
      </c>
      <c r="S79" s="79" t="s">
        <v>97</v>
      </c>
      <c r="T79" s="79">
        <v>2024.0</v>
      </c>
      <c r="U79" s="79" t="s">
        <v>78</v>
      </c>
      <c r="V79" s="79" t="s">
        <v>79</v>
      </c>
      <c r="W79" s="79" t="s">
        <v>80</v>
      </c>
      <c r="X79" s="79" t="s">
        <v>80</v>
      </c>
      <c r="Y79" s="79" t="s">
        <v>80</v>
      </c>
      <c r="Z79" s="79" t="s">
        <v>1184</v>
      </c>
      <c r="AA79" s="79" t="s">
        <v>164</v>
      </c>
      <c r="AB79" s="96" t="s">
        <v>1216</v>
      </c>
      <c r="AC79" s="79">
        <v>8.1221971903E10</v>
      </c>
      <c r="AD79" s="96" t="s">
        <v>1217</v>
      </c>
      <c r="AE79" s="68" t="s">
        <v>1218</v>
      </c>
      <c r="AF79" s="64" t="s">
        <v>152</v>
      </c>
      <c r="AG79" s="60"/>
      <c r="AH79" s="60"/>
      <c r="AI79" s="60"/>
      <c r="AJ79" s="60"/>
      <c r="AK79" s="60"/>
      <c r="AL79" s="60"/>
      <c r="AM79" s="60"/>
      <c r="AN79" s="60"/>
      <c r="AO79" s="60"/>
      <c r="AP79" s="60"/>
      <c r="AQ79" s="60"/>
      <c r="AR79" s="61"/>
    </row>
    <row r="80" hidden="1">
      <c r="A80" s="62">
        <v>78.0</v>
      </c>
      <c r="B80" s="96" t="s">
        <v>1248</v>
      </c>
      <c r="C80" s="96" t="s">
        <v>1249</v>
      </c>
      <c r="D80" s="96" t="s">
        <v>1250</v>
      </c>
      <c r="E80" s="70" t="s">
        <v>3300</v>
      </c>
      <c r="F80" s="79" t="s">
        <v>312</v>
      </c>
      <c r="G80" s="79" t="s">
        <v>66</v>
      </c>
      <c r="H80" s="68" t="s">
        <v>89</v>
      </c>
      <c r="I80" s="96" t="s">
        <v>1252</v>
      </c>
      <c r="J80" s="79" t="s">
        <v>151</v>
      </c>
      <c r="K80" s="79" t="s">
        <v>70</v>
      </c>
      <c r="L80" s="79" t="s">
        <v>111</v>
      </c>
      <c r="M80" s="79" t="s">
        <v>1253</v>
      </c>
      <c r="N80" s="79" t="s">
        <v>82</v>
      </c>
      <c r="O80" s="79" t="s">
        <v>113</v>
      </c>
      <c r="P80" s="79" t="s">
        <v>95</v>
      </c>
      <c r="Q80" s="70" t="s">
        <v>3301</v>
      </c>
      <c r="R80" s="79" t="s">
        <v>76</v>
      </c>
      <c r="S80" s="79" t="s">
        <v>97</v>
      </c>
      <c r="T80" s="79">
        <v>2025.0</v>
      </c>
      <c r="U80" s="79" t="s">
        <v>78</v>
      </c>
      <c r="V80" s="69"/>
      <c r="W80" s="69"/>
      <c r="X80" s="69"/>
      <c r="Y80" s="69"/>
      <c r="Z80" s="79" t="s">
        <v>1255</v>
      </c>
      <c r="AA80" s="79" t="s">
        <v>166</v>
      </c>
      <c r="AB80" s="69"/>
      <c r="AC80" s="69"/>
      <c r="AD80" s="69"/>
      <c r="AE80" s="59"/>
      <c r="AF80" s="59"/>
      <c r="AG80" s="60"/>
      <c r="AH80" s="60"/>
      <c r="AI80" s="60"/>
      <c r="AJ80" s="60"/>
      <c r="AK80" s="60"/>
      <c r="AL80" s="60"/>
      <c r="AM80" s="60"/>
      <c r="AN80" s="60"/>
      <c r="AO80" s="60"/>
      <c r="AP80" s="60"/>
      <c r="AQ80" s="60"/>
      <c r="AR80" s="61"/>
    </row>
    <row r="81" hidden="1">
      <c r="A81" s="62">
        <v>79.0</v>
      </c>
      <c r="B81" s="96" t="s">
        <v>1257</v>
      </c>
      <c r="C81" s="96" t="s">
        <v>1258</v>
      </c>
      <c r="D81" s="96" t="s">
        <v>1259</v>
      </c>
      <c r="E81" s="70" t="s">
        <v>3302</v>
      </c>
      <c r="F81" s="79" t="s">
        <v>351</v>
      </c>
      <c r="G81" s="79" t="s">
        <v>66</v>
      </c>
      <c r="H81" s="79" t="s">
        <v>1261</v>
      </c>
      <c r="I81" s="96" t="s">
        <v>1262</v>
      </c>
      <c r="J81" s="79" t="s">
        <v>69</v>
      </c>
      <c r="K81" s="79" t="s">
        <v>70</v>
      </c>
      <c r="L81" s="79" t="s">
        <v>152</v>
      </c>
      <c r="M81" s="79" t="s">
        <v>1263</v>
      </c>
      <c r="N81" s="79" t="s">
        <v>26</v>
      </c>
      <c r="O81" s="79" t="s">
        <v>113</v>
      </c>
      <c r="P81" s="79" t="s">
        <v>74</v>
      </c>
      <c r="Q81" s="70" t="s">
        <v>3303</v>
      </c>
      <c r="R81" s="79" t="s">
        <v>76</v>
      </c>
      <c r="S81" s="79" t="s">
        <v>77</v>
      </c>
      <c r="T81" s="79">
        <v>2021.0</v>
      </c>
      <c r="U81" s="79" t="s">
        <v>78</v>
      </c>
      <c r="V81" s="79" t="s">
        <v>79</v>
      </c>
      <c r="W81" s="79" t="s">
        <v>80</v>
      </c>
      <c r="X81" s="79" t="s">
        <v>80</v>
      </c>
      <c r="Y81" s="79" t="s">
        <v>80</v>
      </c>
      <c r="Z81" s="79" t="s">
        <v>1265</v>
      </c>
      <c r="AA81" s="79" t="s">
        <v>168</v>
      </c>
      <c r="AB81" s="96" t="s">
        <v>1266</v>
      </c>
      <c r="AC81" s="96">
        <v>8.994413332E9</v>
      </c>
      <c r="AD81" s="96" t="s">
        <v>1267</v>
      </c>
      <c r="AE81" s="77">
        <v>10.0</v>
      </c>
      <c r="AF81" s="68" t="s">
        <v>1268</v>
      </c>
      <c r="AG81" s="60"/>
      <c r="AH81" s="60"/>
      <c r="AI81" s="60"/>
      <c r="AJ81" s="60"/>
      <c r="AK81" s="60"/>
      <c r="AL81" s="60"/>
      <c r="AM81" s="60"/>
      <c r="AN81" s="60"/>
      <c r="AO81" s="60"/>
      <c r="AP81" s="60"/>
      <c r="AQ81" s="60"/>
      <c r="AR81" s="61"/>
    </row>
    <row r="82" hidden="1">
      <c r="A82" s="62">
        <v>80.0</v>
      </c>
      <c r="B82" s="96" t="s">
        <v>1311</v>
      </c>
      <c r="C82" s="96" t="s">
        <v>1312</v>
      </c>
      <c r="D82" s="96" t="s">
        <v>1313</v>
      </c>
      <c r="E82" s="70" t="s">
        <v>3304</v>
      </c>
      <c r="F82" s="79" t="s">
        <v>65</v>
      </c>
      <c r="G82" s="79" t="s">
        <v>66</v>
      </c>
      <c r="H82" s="79" t="s">
        <v>1315</v>
      </c>
      <c r="I82" s="96" t="s">
        <v>1316</v>
      </c>
      <c r="J82" s="79" t="s">
        <v>91</v>
      </c>
      <c r="K82" s="79" t="s">
        <v>70</v>
      </c>
      <c r="L82" s="79" t="s">
        <v>71</v>
      </c>
      <c r="M82" s="79" t="s">
        <v>1317</v>
      </c>
      <c r="N82" s="79" t="s">
        <v>73</v>
      </c>
      <c r="O82" s="79" t="s">
        <v>73</v>
      </c>
      <c r="P82" s="79" t="s">
        <v>74</v>
      </c>
      <c r="Q82" s="70" t="s">
        <v>3305</v>
      </c>
      <c r="R82" s="79" t="s">
        <v>76</v>
      </c>
      <c r="S82" s="79" t="s">
        <v>77</v>
      </c>
      <c r="T82" s="79">
        <v>2023.0</v>
      </c>
      <c r="U82" s="79" t="s">
        <v>78</v>
      </c>
      <c r="V82" s="79" t="s">
        <v>79</v>
      </c>
      <c r="W82" s="131" t="s">
        <v>3306</v>
      </c>
      <c r="X82" s="79" t="s">
        <v>155</v>
      </c>
      <c r="Y82" s="79" t="s">
        <v>71</v>
      </c>
      <c r="Z82" s="79" t="s">
        <v>1320</v>
      </c>
      <c r="AA82" s="79" t="s">
        <v>170</v>
      </c>
      <c r="AB82" s="96" t="s">
        <v>1321</v>
      </c>
      <c r="AC82" s="96">
        <v>8.5759713013E10</v>
      </c>
      <c r="AD82" s="96" t="s">
        <v>1322</v>
      </c>
      <c r="AE82" s="68">
        <v>28.0</v>
      </c>
      <c r="AF82" s="68" t="s">
        <v>71</v>
      </c>
      <c r="AG82" s="84" t="s">
        <v>1323</v>
      </c>
      <c r="AH82" s="92"/>
      <c r="AI82" s="92"/>
      <c r="AJ82" s="92"/>
      <c r="AK82" s="92"/>
      <c r="AL82" s="92"/>
      <c r="AM82" s="92"/>
      <c r="AN82" s="92"/>
      <c r="AO82" s="92"/>
      <c r="AP82" s="92"/>
      <c r="AQ82" s="92"/>
      <c r="AR82" s="61"/>
    </row>
    <row r="83" hidden="1">
      <c r="A83" s="62">
        <v>81.0</v>
      </c>
      <c r="B83" s="96" t="s">
        <v>1324</v>
      </c>
      <c r="C83" s="96" t="s">
        <v>1325</v>
      </c>
      <c r="D83" s="96" t="s">
        <v>1326</v>
      </c>
      <c r="E83" s="96" t="s">
        <v>1327</v>
      </c>
      <c r="F83" s="79" t="s">
        <v>65</v>
      </c>
      <c r="G83" s="79" t="s">
        <v>1328</v>
      </c>
      <c r="H83" s="79" t="s">
        <v>1329</v>
      </c>
      <c r="I83" s="96" t="s">
        <v>1330</v>
      </c>
      <c r="J83" s="79" t="s">
        <v>91</v>
      </c>
      <c r="K83" s="79" t="s">
        <v>70</v>
      </c>
      <c r="L83" s="79" t="s">
        <v>71</v>
      </c>
      <c r="M83" s="79" t="s">
        <v>1331</v>
      </c>
      <c r="N83" s="79" t="s">
        <v>82</v>
      </c>
      <c r="O83" s="79" t="s">
        <v>113</v>
      </c>
      <c r="P83" s="79" t="s">
        <v>95</v>
      </c>
      <c r="Q83" s="70" t="s">
        <v>3307</v>
      </c>
      <c r="R83" s="79" t="s">
        <v>76</v>
      </c>
      <c r="S83" s="79" t="s">
        <v>97</v>
      </c>
      <c r="T83" s="79">
        <v>2021.0</v>
      </c>
      <c r="U83" s="79" t="s">
        <v>78</v>
      </c>
      <c r="V83" s="79" t="s">
        <v>98</v>
      </c>
      <c r="W83" s="131" t="s">
        <v>3308</v>
      </c>
      <c r="X83" s="79" t="s">
        <v>155</v>
      </c>
      <c r="Y83" s="79" t="s">
        <v>71</v>
      </c>
      <c r="Z83" s="79" t="s">
        <v>1334</v>
      </c>
      <c r="AA83" s="79" t="s">
        <v>170</v>
      </c>
      <c r="AB83" s="96" t="s">
        <v>1335</v>
      </c>
      <c r="AC83" s="96">
        <v>8.1809627007E10</v>
      </c>
      <c r="AD83" s="96" t="s">
        <v>1336</v>
      </c>
      <c r="AE83" s="68">
        <v>28.0</v>
      </c>
      <c r="AF83" s="68" t="s">
        <v>71</v>
      </c>
      <c r="AG83" s="84" t="s">
        <v>1337</v>
      </c>
      <c r="AI83" s="92"/>
      <c r="AJ83" s="92"/>
      <c r="AK83" s="92"/>
      <c r="AL83" s="92"/>
      <c r="AM83" s="92"/>
      <c r="AN83" s="92"/>
      <c r="AO83" s="92"/>
      <c r="AP83" s="92"/>
      <c r="AQ83" s="92"/>
      <c r="AR83" s="61"/>
    </row>
    <row r="84" hidden="1">
      <c r="A84" s="62">
        <v>82.0</v>
      </c>
      <c r="B84" s="96" t="s">
        <v>1338</v>
      </c>
      <c r="C84" s="96" t="s">
        <v>1339</v>
      </c>
      <c r="D84" s="96" t="s">
        <v>1340</v>
      </c>
      <c r="E84" s="96" t="s">
        <v>1327</v>
      </c>
      <c r="F84" s="79" t="s">
        <v>65</v>
      </c>
      <c r="G84" s="79" t="s">
        <v>66</v>
      </c>
      <c r="H84" s="79" t="s">
        <v>1341</v>
      </c>
      <c r="I84" s="96" t="s">
        <v>1342</v>
      </c>
      <c r="J84" s="79" t="s">
        <v>91</v>
      </c>
      <c r="K84" s="79" t="s">
        <v>70</v>
      </c>
      <c r="L84" s="79" t="s">
        <v>71</v>
      </c>
      <c r="M84" s="79" t="s">
        <v>1343</v>
      </c>
      <c r="N84" s="79" t="s">
        <v>73</v>
      </c>
      <c r="O84" s="79" t="s">
        <v>73</v>
      </c>
      <c r="P84" s="79" t="s">
        <v>95</v>
      </c>
      <c r="Q84" s="70" t="s">
        <v>3309</v>
      </c>
      <c r="R84" s="79" t="s">
        <v>76</v>
      </c>
      <c r="S84" s="79" t="s">
        <v>97</v>
      </c>
      <c r="T84" s="79">
        <v>2024.0</v>
      </c>
      <c r="U84" s="79" t="s">
        <v>78</v>
      </c>
      <c r="V84" s="79" t="s">
        <v>79</v>
      </c>
      <c r="W84" s="79" t="s">
        <v>80</v>
      </c>
      <c r="X84" s="79" t="s">
        <v>80</v>
      </c>
      <c r="Y84" s="79" t="s">
        <v>80</v>
      </c>
      <c r="Z84" s="79" t="s">
        <v>1345</v>
      </c>
      <c r="AA84" s="79" t="s">
        <v>170</v>
      </c>
      <c r="AB84" s="96" t="s">
        <v>1346</v>
      </c>
      <c r="AC84" s="96">
        <v>8.122423955E9</v>
      </c>
      <c r="AD84" s="96" t="s">
        <v>1322</v>
      </c>
      <c r="AE84" s="68">
        <v>28.0</v>
      </c>
      <c r="AF84" s="68" t="s">
        <v>71</v>
      </c>
      <c r="AG84" s="60"/>
      <c r="AH84" s="60"/>
      <c r="AI84" s="60"/>
      <c r="AJ84" s="60"/>
      <c r="AK84" s="60"/>
      <c r="AL84" s="60"/>
      <c r="AM84" s="60"/>
      <c r="AN84" s="60"/>
      <c r="AO84" s="60"/>
      <c r="AP84" s="60"/>
      <c r="AQ84" s="60"/>
      <c r="AR84" s="61"/>
    </row>
    <row r="85" hidden="1">
      <c r="A85" s="62">
        <v>83.0</v>
      </c>
      <c r="B85" s="96" t="s">
        <v>1359</v>
      </c>
      <c r="C85" s="96" t="s">
        <v>1360</v>
      </c>
      <c r="D85" s="96" t="s">
        <v>1361</v>
      </c>
      <c r="E85" s="70" t="s">
        <v>3310</v>
      </c>
      <c r="F85" s="79" t="s">
        <v>65</v>
      </c>
      <c r="G85" s="79" t="s">
        <v>66</v>
      </c>
      <c r="H85" s="79" t="s">
        <v>1363</v>
      </c>
      <c r="I85" s="96" t="s">
        <v>1364</v>
      </c>
      <c r="J85" s="79" t="s">
        <v>158</v>
      </c>
      <c r="K85" s="79" t="s">
        <v>70</v>
      </c>
      <c r="L85" s="79" t="s">
        <v>71</v>
      </c>
      <c r="M85" s="79" t="s">
        <v>1365</v>
      </c>
      <c r="N85" s="79" t="s">
        <v>82</v>
      </c>
      <c r="O85" s="79" t="s">
        <v>113</v>
      </c>
      <c r="P85" s="79" t="s">
        <v>95</v>
      </c>
      <c r="Q85" s="70" t="s">
        <v>3311</v>
      </c>
      <c r="R85" s="79" t="s">
        <v>76</v>
      </c>
      <c r="S85" s="79" t="s">
        <v>77</v>
      </c>
      <c r="T85" s="98">
        <v>2023.0</v>
      </c>
      <c r="U85" s="79" t="s">
        <v>78</v>
      </c>
      <c r="V85" s="79" t="s">
        <v>79</v>
      </c>
      <c r="W85" s="79" t="s">
        <v>80</v>
      </c>
      <c r="X85" s="79" t="s">
        <v>80</v>
      </c>
      <c r="Y85" s="79" t="s">
        <v>80</v>
      </c>
      <c r="Z85" s="79" t="s">
        <v>1367</v>
      </c>
      <c r="AA85" s="79" t="s">
        <v>172</v>
      </c>
      <c r="AB85" s="142" t="s">
        <v>1368</v>
      </c>
      <c r="AC85" s="96">
        <v>8.5722205379E10</v>
      </c>
      <c r="AD85" s="69"/>
      <c r="AE85" s="77">
        <v>11.0</v>
      </c>
      <c r="AF85" s="68" t="s">
        <v>71</v>
      </c>
      <c r="AG85" s="60"/>
      <c r="AH85" s="60"/>
      <c r="AI85" s="60"/>
      <c r="AJ85" s="60"/>
      <c r="AK85" s="60"/>
      <c r="AL85" s="60"/>
      <c r="AM85" s="60"/>
      <c r="AN85" s="60"/>
      <c r="AO85" s="60"/>
      <c r="AP85" s="60"/>
      <c r="AQ85" s="60"/>
      <c r="AR85" s="61"/>
    </row>
    <row r="86" hidden="1">
      <c r="A86" s="62">
        <v>84.0</v>
      </c>
      <c r="B86" s="96" t="s">
        <v>1369</v>
      </c>
      <c r="C86" s="96" t="s">
        <v>1370</v>
      </c>
      <c r="D86" s="96" t="s">
        <v>1371</v>
      </c>
      <c r="E86" s="70" t="s">
        <v>3312</v>
      </c>
      <c r="F86" s="79" t="s">
        <v>355</v>
      </c>
      <c r="G86" s="79" t="s">
        <v>123</v>
      </c>
      <c r="H86" s="79" t="s">
        <v>1373</v>
      </c>
      <c r="I86" s="96" t="s">
        <v>1374</v>
      </c>
      <c r="J86" s="79" t="s">
        <v>151</v>
      </c>
      <c r="K86" s="79" t="s">
        <v>110</v>
      </c>
      <c r="L86" s="79" t="s">
        <v>111</v>
      </c>
      <c r="M86" s="79" t="s">
        <v>1375</v>
      </c>
      <c r="N86" s="79" t="s">
        <v>82</v>
      </c>
      <c r="O86" s="79" t="s">
        <v>113</v>
      </c>
      <c r="P86" s="79" t="s">
        <v>95</v>
      </c>
      <c r="Q86" s="70" t="s">
        <v>3313</v>
      </c>
      <c r="R86" s="79" t="s">
        <v>76</v>
      </c>
      <c r="S86" s="79" t="s">
        <v>77</v>
      </c>
      <c r="T86" s="98">
        <v>2022.0</v>
      </c>
      <c r="U86" s="79" t="s">
        <v>78</v>
      </c>
      <c r="V86" s="79" t="s">
        <v>98</v>
      </c>
      <c r="W86" s="79" t="s">
        <v>1377</v>
      </c>
      <c r="X86" s="79" t="s">
        <v>159</v>
      </c>
      <c r="Y86" s="79" t="s">
        <v>111</v>
      </c>
      <c r="Z86" s="79" t="s">
        <v>1367</v>
      </c>
      <c r="AA86" s="79" t="s">
        <v>172</v>
      </c>
      <c r="AB86" s="96" t="s">
        <v>1378</v>
      </c>
      <c r="AC86" s="96">
        <v>8.2317985659E10</v>
      </c>
      <c r="AD86" s="96" t="s">
        <v>1379</v>
      </c>
      <c r="AE86" s="77">
        <v>11.0</v>
      </c>
      <c r="AF86" s="68" t="s">
        <v>111</v>
      </c>
      <c r="AG86" s="60"/>
      <c r="AH86" s="60"/>
      <c r="AI86" s="60"/>
      <c r="AJ86" s="60"/>
      <c r="AK86" s="60"/>
      <c r="AL86" s="60"/>
      <c r="AM86" s="60"/>
      <c r="AN86" s="60"/>
      <c r="AO86" s="60"/>
      <c r="AP86" s="60"/>
      <c r="AQ86" s="60"/>
      <c r="AR86" s="61"/>
    </row>
    <row r="87" hidden="1">
      <c r="A87" s="62">
        <v>85.0</v>
      </c>
      <c r="B87" s="96" t="s">
        <v>1380</v>
      </c>
      <c r="C87" s="96" t="s">
        <v>1381</v>
      </c>
      <c r="D87" s="96" t="s">
        <v>1382</v>
      </c>
      <c r="E87" s="59"/>
      <c r="F87" s="79" t="s">
        <v>340</v>
      </c>
      <c r="G87" s="79" t="s">
        <v>66</v>
      </c>
      <c r="H87" s="79" t="s">
        <v>1383</v>
      </c>
      <c r="I87" s="96" t="s">
        <v>1384</v>
      </c>
      <c r="J87" s="79" t="s">
        <v>69</v>
      </c>
      <c r="K87" s="79" t="s">
        <v>70</v>
      </c>
      <c r="L87" s="79" t="s">
        <v>152</v>
      </c>
      <c r="M87" s="79" t="s">
        <v>1385</v>
      </c>
      <c r="N87" s="79" t="s">
        <v>73</v>
      </c>
      <c r="O87" s="79" t="s">
        <v>73</v>
      </c>
      <c r="P87" s="79" t="s">
        <v>74</v>
      </c>
      <c r="Q87" s="70" t="s">
        <v>3314</v>
      </c>
      <c r="R87" s="79" t="s">
        <v>76</v>
      </c>
      <c r="S87" s="79" t="s">
        <v>77</v>
      </c>
      <c r="T87" s="98">
        <v>2023.0</v>
      </c>
      <c r="U87" s="79" t="s">
        <v>78</v>
      </c>
      <c r="V87" s="79" t="s">
        <v>98</v>
      </c>
      <c r="W87" s="79" t="s">
        <v>1387</v>
      </c>
      <c r="X87" s="79" t="s">
        <v>100</v>
      </c>
      <c r="Y87" s="79" t="s">
        <v>139</v>
      </c>
      <c r="Z87" s="79" t="s">
        <v>1388</v>
      </c>
      <c r="AA87" s="79" t="s">
        <v>172</v>
      </c>
      <c r="AB87" s="96" t="s">
        <v>1389</v>
      </c>
      <c r="AC87" s="96">
        <v>8.5729245486E10</v>
      </c>
      <c r="AD87" s="69"/>
      <c r="AE87" s="77">
        <v>9.0</v>
      </c>
      <c r="AF87" s="68" t="s">
        <v>111</v>
      </c>
      <c r="AG87" s="60"/>
      <c r="AH87" s="60"/>
      <c r="AI87" s="60"/>
      <c r="AJ87" s="60"/>
      <c r="AK87" s="60"/>
      <c r="AL87" s="60"/>
      <c r="AM87" s="60"/>
      <c r="AN87" s="60"/>
      <c r="AO87" s="60"/>
      <c r="AP87" s="60"/>
      <c r="AQ87" s="60"/>
      <c r="AR87" s="61"/>
    </row>
    <row r="88" hidden="1">
      <c r="A88" s="62">
        <v>86.0</v>
      </c>
      <c r="B88" s="96" t="s">
        <v>1390</v>
      </c>
      <c r="C88" s="96" t="s">
        <v>1391</v>
      </c>
      <c r="D88" s="96" t="s">
        <v>1392</v>
      </c>
      <c r="E88" s="70" t="s">
        <v>3315</v>
      </c>
      <c r="F88" s="79" t="s">
        <v>65</v>
      </c>
      <c r="G88" s="79" t="s">
        <v>66</v>
      </c>
      <c r="H88" s="79" t="s">
        <v>1394</v>
      </c>
      <c r="I88" s="96" t="s">
        <v>1394</v>
      </c>
      <c r="J88" s="79" t="s">
        <v>69</v>
      </c>
      <c r="K88" s="79" t="s">
        <v>70</v>
      </c>
      <c r="L88" s="79" t="s">
        <v>152</v>
      </c>
      <c r="M88" s="79" t="s">
        <v>1395</v>
      </c>
      <c r="N88" s="79" t="s">
        <v>82</v>
      </c>
      <c r="O88" s="79" t="s">
        <v>113</v>
      </c>
      <c r="P88" s="79" t="s">
        <v>95</v>
      </c>
      <c r="Q88" s="70" t="s">
        <v>3316</v>
      </c>
      <c r="R88" s="79" t="s">
        <v>76</v>
      </c>
      <c r="S88" s="79" t="s">
        <v>77</v>
      </c>
      <c r="T88" s="98">
        <v>2024.0</v>
      </c>
      <c r="U88" s="79" t="s">
        <v>78</v>
      </c>
      <c r="V88" s="79" t="s">
        <v>98</v>
      </c>
      <c r="W88" s="79" t="s">
        <v>1397</v>
      </c>
      <c r="X88" s="79" t="s">
        <v>80</v>
      </c>
      <c r="Y88" s="79" t="s">
        <v>111</v>
      </c>
      <c r="Z88" s="79" t="s">
        <v>1367</v>
      </c>
      <c r="AA88" s="79" t="s">
        <v>172</v>
      </c>
      <c r="AB88" s="96" t="s">
        <v>1398</v>
      </c>
      <c r="AC88" s="96">
        <v>8.82001405143E11</v>
      </c>
      <c r="AD88" s="69"/>
      <c r="AE88" s="77">
        <v>11.0</v>
      </c>
      <c r="AF88" s="68" t="s">
        <v>152</v>
      </c>
      <c r="AG88" s="60"/>
      <c r="AH88" s="60"/>
      <c r="AI88" s="60"/>
      <c r="AJ88" s="60"/>
      <c r="AK88" s="60"/>
      <c r="AL88" s="60"/>
      <c r="AM88" s="60"/>
      <c r="AN88" s="60"/>
      <c r="AO88" s="60"/>
      <c r="AP88" s="60"/>
      <c r="AQ88" s="60"/>
      <c r="AR88" s="61"/>
    </row>
    <row r="89" hidden="1">
      <c r="A89" s="62">
        <v>87.0</v>
      </c>
      <c r="B89" s="96" t="s">
        <v>1399</v>
      </c>
      <c r="C89" s="96" t="s">
        <v>1400</v>
      </c>
      <c r="D89" s="96" t="s">
        <v>1401</v>
      </c>
      <c r="E89" s="70" t="s">
        <v>3317</v>
      </c>
      <c r="F89" s="79" t="s">
        <v>359</v>
      </c>
      <c r="G89" s="79" t="s">
        <v>131</v>
      </c>
      <c r="H89" s="79" t="s">
        <v>1363</v>
      </c>
      <c r="I89" s="96" t="s">
        <v>1403</v>
      </c>
      <c r="J89" s="79" t="s">
        <v>158</v>
      </c>
      <c r="K89" s="79" t="s">
        <v>70</v>
      </c>
      <c r="L89" s="79" t="s">
        <v>101</v>
      </c>
      <c r="M89" s="79" t="s">
        <v>1404</v>
      </c>
      <c r="N89" s="79" t="s">
        <v>73</v>
      </c>
      <c r="O89" s="79" t="s">
        <v>73</v>
      </c>
      <c r="P89" s="79" t="s">
        <v>95</v>
      </c>
      <c r="Q89" s="70" t="s">
        <v>3318</v>
      </c>
      <c r="R89" s="79" t="s">
        <v>76</v>
      </c>
      <c r="S89" s="79" t="s">
        <v>77</v>
      </c>
      <c r="T89" s="98">
        <v>2019.0</v>
      </c>
      <c r="U89" s="79" t="s">
        <v>78</v>
      </c>
      <c r="V89" s="79" t="s">
        <v>79</v>
      </c>
      <c r="W89" s="79" t="s">
        <v>80</v>
      </c>
      <c r="X89" s="79" t="s">
        <v>80</v>
      </c>
      <c r="Y89" s="79" t="s">
        <v>80</v>
      </c>
      <c r="Z89" s="79" t="s">
        <v>1406</v>
      </c>
      <c r="AA89" s="79" t="s">
        <v>172</v>
      </c>
      <c r="AB89" s="96" t="s">
        <v>1407</v>
      </c>
      <c r="AC89" s="96">
        <v>8.1320344426E10</v>
      </c>
      <c r="AD89" s="96" t="s">
        <v>1408</v>
      </c>
      <c r="AE89" s="77">
        <v>11.0</v>
      </c>
      <c r="AF89" s="68" t="s">
        <v>566</v>
      </c>
      <c r="AG89" s="60"/>
      <c r="AH89" s="60"/>
      <c r="AI89" s="60"/>
      <c r="AJ89" s="60"/>
      <c r="AK89" s="60"/>
      <c r="AL89" s="60"/>
      <c r="AM89" s="60"/>
      <c r="AN89" s="60"/>
      <c r="AO89" s="60"/>
      <c r="AP89" s="60"/>
      <c r="AQ89" s="60"/>
      <c r="AR89" s="61"/>
    </row>
    <row r="90" hidden="1">
      <c r="A90" s="62">
        <v>88.0</v>
      </c>
      <c r="B90" s="96" t="s">
        <v>1409</v>
      </c>
      <c r="C90" s="96" t="s">
        <v>1410</v>
      </c>
      <c r="D90" s="96" t="s">
        <v>1411</v>
      </c>
      <c r="E90" s="59"/>
      <c r="F90" s="79" t="s">
        <v>356</v>
      </c>
      <c r="G90" s="79" t="s">
        <v>66</v>
      </c>
      <c r="H90" s="79" t="s">
        <v>1412</v>
      </c>
      <c r="I90" s="96" t="s">
        <v>1413</v>
      </c>
      <c r="J90" s="79" t="s">
        <v>151</v>
      </c>
      <c r="K90" s="79" t="s">
        <v>70</v>
      </c>
      <c r="L90" s="79" t="s">
        <v>111</v>
      </c>
      <c r="M90" s="79" t="s">
        <v>1414</v>
      </c>
      <c r="N90" s="79" t="s">
        <v>82</v>
      </c>
      <c r="O90" s="79" t="s">
        <v>113</v>
      </c>
      <c r="P90" s="79" t="s">
        <v>74</v>
      </c>
      <c r="Q90" s="70" t="s">
        <v>3319</v>
      </c>
      <c r="R90" s="79" t="s">
        <v>76</v>
      </c>
      <c r="S90" s="79" t="s">
        <v>97</v>
      </c>
      <c r="T90" s="98">
        <v>2020.0</v>
      </c>
      <c r="U90" s="79" t="s">
        <v>78</v>
      </c>
      <c r="V90" s="79" t="s">
        <v>79</v>
      </c>
      <c r="W90" s="69"/>
      <c r="X90" s="69"/>
      <c r="Y90" s="69"/>
      <c r="Z90" s="79" t="s">
        <v>1416</v>
      </c>
      <c r="AA90" s="79" t="s">
        <v>172</v>
      </c>
      <c r="AB90" s="96" t="s">
        <v>1417</v>
      </c>
      <c r="AC90" s="98">
        <v>8.993829204E9</v>
      </c>
      <c r="AD90" s="96" t="s">
        <v>1418</v>
      </c>
      <c r="AE90" s="59"/>
      <c r="AF90" s="59"/>
      <c r="AG90" s="60"/>
      <c r="AH90" s="60"/>
      <c r="AI90" s="60"/>
      <c r="AJ90" s="60"/>
      <c r="AK90" s="60"/>
      <c r="AL90" s="60"/>
      <c r="AM90" s="60"/>
      <c r="AN90" s="60"/>
      <c r="AO90" s="60"/>
      <c r="AP90" s="60"/>
      <c r="AQ90" s="60"/>
      <c r="AR90" s="61"/>
    </row>
    <row r="91" hidden="1">
      <c r="A91" s="62">
        <v>89.0</v>
      </c>
      <c r="B91" s="96" t="s">
        <v>1428</v>
      </c>
      <c r="C91" s="96" t="s">
        <v>1429</v>
      </c>
      <c r="D91" s="96" t="s">
        <v>1430</v>
      </c>
      <c r="E91" s="96" t="s">
        <v>1422</v>
      </c>
      <c r="F91" s="79" t="s">
        <v>417</v>
      </c>
      <c r="G91" s="79" t="s">
        <v>138</v>
      </c>
      <c r="H91" s="79" t="s">
        <v>1431</v>
      </c>
      <c r="I91" s="96" t="s">
        <v>1432</v>
      </c>
      <c r="J91" s="79" t="s">
        <v>151</v>
      </c>
      <c r="K91" s="79" t="s">
        <v>70</v>
      </c>
      <c r="L91" s="79" t="s">
        <v>101</v>
      </c>
      <c r="M91" s="79" t="s">
        <v>1433</v>
      </c>
      <c r="N91" s="79" t="s">
        <v>73</v>
      </c>
      <c r="O91" s="79" t="s">
        <v>73</v>
      </c>
      <c r="P91" s="79" t="s">
        <v>95</v>
      </c>
      <c r="Q91" s="70" t="s">
        <v>3320</v>
      </c>
      <c r="R91" s="79" t="s">
        <v>76</v>
      </c>
      <c r="S91" s="79" t="s">
        <v>77</v>
      </c>
      <c r="T91" s="69"/>
      <c r="U91" s="79" t="s">
        <v>78</v>
      </c>
      <c r="V91" s="79" t="s">
        <v>79</v>
      </c>
      <c r="W91" s="79" t="s">
        <v>943</v>
      </c>
      <c r="X91" s="79" t="s">
        <v>80</v>
      </c>
      <c r="Y91" s="79" t="s">
        <v>80</v>
      </c>
      <c r="Z91" s="79" t="s">
        <v>1435</v>
      </c>
      <c r="AA91" s="79" t="s">
        <v>174</v>
      </c>
      <c r="AB91" s="96" t="s">
        <v>1436</v>
      </c>
      <c r="AC91" s="96" t="s">
        <v>1437</v>
      </c>
      <c r="AD91" s="96" t="s">
        <v>1438</v>
      </c>
      <c r="AE91" s="59"/>
      <c r="AF91" s="59"/>
      <c r="AG91" s="60"/>
      <c r="AH91" s="60"/>
      <c r="AI91" s="60"/>
      <c r="AJ91" s="60"/>
      <c r="AK91" s="60"/>
      <c r="AL91" s="60"/>
      <c r="AM91" s="60"/>
      <c r="AN91" s="60"/>
      <c r="AO91" s="60"/>
      <c r="AP91" s="60"/>
      <c r="AQ91" s="60"/>
      <c r="AR91" s="61"/>
    </row>
    <row r="92" hidden="1">
      <c r="A92" s="62">
        <v>90.0</v>
      </c>
      <c r="B92" s="96" t="s">
        <v>1446</v>
      </c>
      <c r="C92" s="96" t="s">
        <v>1447</v>
      </c>
      <c r="D92" s="96" t="s">
        <v>1448</v>
      </c>
      <c r="E92" s="96" t="s">
        <v>1422</v>
      </c>
      <c r="F92" s="79" t="s">
        <v>420</v>
      </c>
      <c r="G92" s="79" t="s">
        <v>66</v>
      </c>
      <c r="H92" s="79" t="s">
        <v>1449</v>
      </c>
      <c r="I92" s="96" t="s">
        <v>1450</v>
      </c>
      <c r="J92" s="79" t="s">
        <v>91</v>
      </c>
      <c r="K92" s="79" t="s">
        <v>110</v>
      </c>
      <c r="L92" s="79" t="s">
        <v>71</v>
      </c>
      <c r="M92" s="79" t="s">
        <v>1451</v>
      </c>
      <c r="N92" s="79" t="s">
        <v>144</v>
      </c>
      <c r="O92" s="79" t="s">
        <v>144</v>
      </c>
      <c r="P92" s="79" t="s">
        <v>95</v>
      </c>
      <c r="Q92" s="70" t="s">
        <v>3321</v>
      </c>
      <c r="R92" s="79" t="s">
        <v>76</v>
      </c>
      <c r="S92" s="79" t="s">
        <v>97</v>
      </c>
      <c r="T92" s="69"/>
      <c r="U92" s="79" t="s">
        <v>78</v>
      </c>
      <c r="V92" s="79" t="s">
        <v>79</v>
      </c>
      <c r="W92" s="79" t="s">
        <v>943</v>
      </c>
      <c r="X92" s="79" t="s">
        <v>80</v>
      </c>
      <c r="Y92" s="79" t="s">
        <v>80</v>
      </c>
      <c r="Z92" s="79" t="s">
        <v>1453</v>
      </c>
      <c r="AA92" s="79" t="s">
        <v>174</v>
      </c>
      <c r="AB92" s="96" t="s">
        <v>1436</v>
      </c>
      <c r="AC92" s="96" t="s">
        <v>1437</v>
      </c>
      <c r="AD92" s="96" t="s">
        <v>1438</v>
      </c>
      <c r="AE92" s="68">
        <v>46.0</v>
      </c>
      <c r="AF92" s="68" t="s">
        <v>71</v>
      </c>
      <c r="AG92" s="60"/>
      <c r="AH92" s="60"/>
      <c r="AI92" s="60"/>
      <c r="AJ92" s="60"/>
      <c r="AK92" s="60"/>
      <c r="AL92" s="60"/>
      <c r="AM92" s="60"/>
      <c r="AN92" s="60"/>
      <c r="AO92" s="60"/>
      <c r="AP92" s="60"/>
      <c r="AQ92" s="60"/>
      <c r="AR92" s="61"/>
    </row>
    <row r="93" hidden="1">
      <c r="A93" s="62">
        <v>91.0</v>
      </c>
      <c r="B93" s="96" t="s">
        <v>1454</v>
      </c>
      <c r="C93" s="96" t="s">
        <v>1455</v>
      </c>
      <c r="D93" s="96" t="s">
        <v>1448</v>
      </c>
      <c r="E93" s="96" t="s">
        <v>1422</v>
      </c>
      <c r="F93" s="79" t="s">
        <v>420</v>
      </c>
      <c r="G93" s="79" t="s">
        <v>66</v>
      </c>
      <c r="H93" s="76" t="s">
        <v>1456</v>
      </c>
      <c r="I93" s="96" t="s">
        <v>1457</v>
      </c>
      <c r="J93" s="79" t="s">
        <v>91</v>
      </c>
      <c r="K93" s="79" t="s">
        <v>110</v>
      </c>
      <c r="L93" s="79" t="s">
        <v>111</v>
      </c>
      <c r="M93" s="79" t="s">
        <v>1458</v>
      </c>
      <c r="N93" s="79" t="s">
        <v>73</v>
      </c>
      <c r="O93" s="79" t="s">
        <v>73</v>
      </c>
      <c r="P93" s="79" t="s">
        <v>95</v>
      </c>
      <c r="Q93" s="131" t="s">
        <v>3322</v>
      </c>
      <c r="R93" s="79" t="s">
        <v>76</v>
      </c>
      <c r="S93" s="79" t="s">
        <v>97</v>
      </c>
      <c r="T93" s="69"/>
      <c r="U93" s="79" t="s">
        <v>78</v>
      </c>
      <c r="V93" s="79" t="s">
        <v>79</v>
      </c>
      <c r="W93" s="79" t="s">
        <v>943</v>
      </c>
      <c r="X93" s="79" t="s">
        <v>80</v>
      </c>
      <c r="Y93" s="79" t="s">
        <v>80</v>
      </c>
      <c r="Z93" s="79" t="s">
        <v>1453</v>
      </c>
      <c r="AA93" s="79" t="s">
        <v>174</v>
      </c>
      <c r="AB93" s="96" t="s">
        <v>1436</v>
      </c>
      <c r="AC93" s="96" t="s">
        <v>1437</v>
      </c>
      <c r="AD93" s="96" t="s">
        <v>1438</v>
      </c>
      <c r="AE93" s="68">
        <v>46.0</v>
      </c>
      <c r="AF93" s="68" t="s">
        <v>111</v>
      </c>
      <c r="AG93" s="60"/>
      <c r="AH93" s="60"/>
      <c r="AI93" s="60"/>
      <c r="AJ93" s="60"/>
      <c r="AK93" s="60"/>
      <c r="AL93" s="60"/>
      <c r="AM93" s="60"/>
      <c r="AN93" s="60"/>
      <c r="AO93" s="60"/>
      <c r="AP93" s="60"/>
      <c r="AQ93" s="60"/>
      <c r="AR93" s="61"/>
    </row>
    <row r="94" hidden="1">
      <c r="A94" s="62">
        <v>92.0</v>
      </c>
      <c r="B94" s="96" t="s">
        <v>1460</v>
      </c>
      <c r="C94" s="96" t="s">
        <v>1461</v>
      </c>
      <c r="D94" s="96" t="s">
        <v>1462</v>
      </c>
      <c r="E94" s="96" t="s">
        <v>1422</v>
      </c>
      <c r="F94" s="79" t="s">
        <v>418</v>
      </c>
      <c r="G94" s="79" t="s">
        <v>66</v>
      </c>
      <c r="H94" s="96" t="s">
        <v>1463</v>
      </c>
      <c r="I94" s="96" t="s">
        <v>1464</v>
      </c>
      <c r="J94" s="79" t="s">
        <v>91</v>
      </c>
      <c r="K94" s="79" t="s">
        <v>110</v>
      </c>
      <c r="L94" s="79" t="s">
        <v>152</v>
      </c>
      <c r="M94" s="79" t="s">
        <v>1465</v>
      </c>
      <c r="N94" s="79" t="s">
        <v>82</v>
      </c>
      <c r="O94" s="79" t="s">
        <v>113</v>
      </c>
      <c r="P94" s="79" t="s">
        <v>95</v>
      </c>
      <c r="Q94" s="70" t="s">
        <v>3323</v>
      </c>
      <c r="R94" s="79" t="s">
        <v>76</v>
      </c>
      <c r="S94" s="79" t="s">
        <v>97</v>
      </c>
      <c r="T94" s="98">
        <v>2025.0</v>
      </c>
      <c r="U94" s="79" t="s">
        <v>78</v>
      </c>
      <c r="V94" s="79" t="s">
        <v>79</v>
      </c>
      <c r="W94" s="79" t="s">
        <v>943</v>
      </c>
      <c r="X94" s="79" t="s">
        <v>80</v>
      </c>
      <c r="Y94" s="79" t="s">
        <v>80</v>
      </c>
      <c r="Z94" s="79" t="s">
        <v>1467</v>
      </c>
      <c r="AA94" s="79" t="s">
        <v>174</v>
      </c>
      <c r="AB94" s="96" t="s">
        <v>1436</v>
      </c>
      <c r="AC94" s="96" t="s">
        <v>1437</v>
      </c>
      <c r="AD94" s="96" t="s">
        <v>1438</v>
      </c>
      <c r="AE94" s="68">
        <v>41.0</v>
      </c>
      <c r="AF94" s="68" t="s">
        <v>152</v>
      </c>
      <c r="AG94" s="60"/>
      <c r="AH94" s="60"/>
      <c r="AI94" s="60"/>
      <c r="AJ94" s="60"/>
      <c r="AK94" s="60"/>
      <c r="AL94" s="60"/>
      <c r="AM94" s="60"/>
      <c r="AN94" s="60"/>
      <c r="AO94" s="60"/>
      <c r="AP94" s="60"/>
      <c r="AQ94" s="60"/>
      <c r="AR94" s="61"/>
    </row>
    <row r="95" hidden="1">
      <c r="A95" s="62">
        <v>93.0</v>
      </c>
      <c r="B95" s="96" t="s">
        <v>1468</v>
      </c>
      <c r="C95" s="96" t="s">
        <v>1469</v>
      </c>
      <c r="D95" s="96" t="s">
        <v>1470</v>
      </c>
      <c r="E95" s="96" t="s">
        <v>1422</v>
      </c>
      <c r="F95" s="79" t="s">
        <v>418</v>
      </c>
      <c r="G95" s="79" t="s">
        <v>66</v>
      </c>
      <c r="H95" s="96" t="s">
        <v>1471</v>
      </c>
      <c r="I95" s="96" t="s">
        <v>1471</v>
      </c>
      <c r="J95" s="79" t="s">
        <v>91</v>
      </c>
      <c r="K95" s="79" t="s">
        <v>110</v>
      </c>
      <c r="L95" s="79" t="s">
        <v>152</v>
      </c>
      <c r="M95" s="79" t="s">
        <v>1472</v>
      </c>
      <c r="N95" s="79" t="s">
        <v>82</v>
      </c>
      <c r="O95" s="79" t="s">
        <v>113</v>
      </c>
      <c r="P95" s="79" t="s">
        <v>95</v>
      </c>
      <c r="Q95" s="70" t="s">
        <v>3324</v>
      </c>
      <c r="R95" s="79" t="s">
        <v>76</v>
      </c>
      <c r="S95" s="79" t="s">
        <v>97</v>
      </c>
      <c r="T95" s="98">
        <v>2021.0</v>
      </c>
      <c r="U95" s="79" t="s">
        <v>78</v>
      </c>
      <c r="V95" s="79" t="s">
        <v>79</v>
      </c>
      <c r="W95" s="79" t="s">
        <v>943</v>
      </c>
      <c r="X95" s="79" t="s">
        <v>80</v>
      </c>
      <c r="Y95" s="79" t="s">
        <v>80</v>
      </c>
      <c r="Z95" s="79" t="s">
        <v>1467</v>
      </c>
      <c r="AA95" s="79" t="s">
        <v>174</v>
      </c>
      <c r="AB95" s="96" t="s">
        <v>1436</v>
      </c>
      <c r="AC95" s="96" t="s">
        <v>1437</v>
      </c>
      <c r="AD95" s="96" t="s">
        <v>1438</v>
      </c>
      <c r="AE95" s="68">
        <v>41.0</v>
      </c>
      <c r="AF95" s="68" t="s">
        <v>152</v>
      </c>
      <c r="AG95" s="60"/>
      <c r="AH95" s="60"/>
      <c r="AI95" s="60"/>
      <c r="AJ95" s="60"/>
      <c r="AK95" s="60"/>
      <c r="AL95" s="60"/>
      <c r="AM95" s="60"/>
      <c r="AN95" s="60"/>
      <c r="AO95" s="60"/>
      <c r="AP95" s="60"/>
      <c r="AQ95" s="60"/>
      <c r="AR95" s="61"/>
    </row>
    <row r="96" hidden="1">
      <c r="A96" s="62">
        <v>94.0</v>
      </c>
      <c r="B96" s="146" t="s">
        <v>1475</v>
      </c>
      <c r="C96" s="147" t="s">
        <v>1476</v>
      </c>
      <c r="D96" s="146" t="s">
        <v>1477</v>
      </c>
      <c r="E96" s="148" t="s">
        <v>3325</v>
      </c>
      <c r="F96" s="149" t="s">
        <v>65</v>
      </c>
      <c r="G96" s="149" t="s">
        <v>66</v>
      </c>
      <c r="H96" s="149" t="s">
        <v>1479</v>
      </c>
      <c r="I96" s="149" t="s">
        <v>1479</v>
      </c>
      <c r="J96" s="149" t="s">
        <v>69</v>
      </c>
      <c r="K96" s="149" t="s">
        <v>70</v>
      </c>
      <c r="L96" s="149" t="s">
        <v>101</v>
      </c>
      <c r="M96" s="149" t="s">
        <v>793</v>
      </c>
      <c r="N96" s="149" t="s">
        <v>82</v>
      </c>
      <c r="O96" s="149" t="s">
        <v>113</v>
      </c>
      <c r="P96" s="149" t="s">
        <v>74</v>
      </c>
      <c r="Q96" s="289" t="s">
        <v>3326</v>
      </c>
      <c r="R96" s="149" t="s">
        <v>76</v>
      </c>
      <c r="S96" s="149" t="s">
        <v>77</v>
      </c>
      <c r="T96" s="149">
        <v>2022.0</v>
      </c>
      <c r="U96" s="149" t="s">
        <v>78</v>
      </c>
      <c r="V96" s="149" t="s">
        <v>79</v>
      </c>
      <c r="W96" s="149" t="s">
        <v>80</v>
      </c>
      <c r="X96" s="149" t="s">
        <v>80</v>
      </c>
      <c r="Y96" s="149" t="s">
        <v>80</v>
      </c>
      <c r="Z96" s="149" t="s">
        <v>1481</v>
      </c>
      <c r="AA96" s="149" t="s">
        <v>176</v>
      </c>
      <c r="AB96" s="152" t="s">
        <v>1482</v>
      </c>
      <c r="AC96" s="147">
        <v>8.994450222E9</v>
      </c>
      <c r="AD96" s="146" t="s">
        <v>1483</v>
      </c>
      <c r="AE96" s="147" t="s">
        <v>1484</v>
      </c>
      <c r="AF96" s="153" t="s">
        <v>71</v>
      </c>
      <c r="AG96" s="154" t="s">
        <v>1485</v>
      </c>
      <c r="AH96" s="155"/>
      <c r="AI96" s="155"/>
      <c r="AJ96" s="155"/>
      <c r="AK96" s="155"/>
      <c r="AL96" s="155"/>
      <c r="AM96" s="155"/>
      <c r="AN96" s="155"/>
      <c r="AO96" s="155"/>
      <c r="AP96" s="155"/>
      <c r="AQ96" s="155"/>
      <c r="AR96" s="61"/>
    </row>
    <row r="97" hidden="1">
      <c r="A97" s="62">
        <v>95.0</v>
      </c>
      <c r="B97" s="156"/>
      <c r="C97" s="157"/>
      <c r="D97" s="158"/>
      <c r="E97" s="159"/>
      <c r="F97" s="160"/>
      <c r="G97" s="160"/>
      <c r="H97" s="160"/>
      <c r="I97" s="160"/>
      <c r="J97" s="160"/>
      <c r="K97" s="160"/>
      <c r="L97" s="160"/>
      <c r="M97" s="149" t="s">
        <v>1486</v>
      </c>
      <c r="N97" s="149" t="s">
        <v>73</v>
      </c>
      <c r="O97" s="149" t="s">
        <v>73</v>
      </c>
      <c r="P97" s="149" t="s">
        <v>74</v>
      </c>
      <c r="Q97" s="289" t="s">
        <v>3327</v>
      </c>
      <c r="R97" s="149" t="s">
        <v>76</v>
      </c>
      <c r="S97" s="149" t="s">
        <v>77</v>
      </c>
      <c r="T97" s="149">
        <v>2022.0</v>
      </c>
      <c r="U97" s="149" t="s">
        <v>78</v>
      </c>
      <c r="V97" s="149" t="s">
        <v>79</v>
      </c>
      <c r="W97" s="149" t="s">
        <v>80</v>
      </c>
      <c r="X97" s="149" t="s">
        <v>80</v>
      </c>
      <c r="Y97" s="149" t="s">
        <v>80</v>
      </c>
      <c r="Z97" s="160"/>
      <c r="AA97" s="160"/>
      <c r="AB97" s="161"/>
      <c r="AC97" s="157"/>
      <c r="AD97" s="156"/>
      <c r="AE97" s="162"/>
      <c r="AF97" s="163"/>
      <c r="AG97" s="155"/>
      <c r="AH97" s="155"/>
      <c r="AI97" s="155"/>
      <c r="AJ97" s="155"/>
      <c r="AK97" s="155"/>
      <c r="AL97" s="155"/>
      <c r="AM97" s="155"/>
      <c r="AN97" s="155"/>
      <c r="AO97" s="155"/>
      <c r="AP97" s="155"/>
      <c r="AQ97" s="155"/>
      <c r="AR97" s="61"/>
    </row>
    <row r="98" hidden="1">
      <c r="A98" s="62">
        <v>96.0</v>
      </c>
      <c r="B98" s="164" t="s">
        <v>1488</v>
      </c>
      <c r="C98" s="147" t="s">
        <v>1489</v>
      </c>
      <c r="D98" s="146" t="s">
        <v>1477</v>
      </c>
      <c r="E98" s="148" t="s">
        <v>3328</v>
      </c>
      <c r="F98" s="149" t="s">
        <v>65</v>
      </c>
      <c r="G98" s="149" t="s">
        <v>66</v>
      </c>
      <c r="H98" s="149" t="s">
        <v>1479</v>
      </c>
      <c r="I98" s="149" t="s">
        <v>1479</v>
      </c>
      <c r="J98" s="149" t="s">
        <v>69</v>
      </c>
      <c r="K98" s="149" t="s">
        <v>70</v>
      </c>
      <c r="L98" s="149" t="s">
        <v>101</v>
      </c>
      <c r="M98" s="149" t="s">
        <v>1491</v>
      </c>
      <c r="N98" s="149" t="s">
        <v>26</v>
      </c>
      <c r="O98" s="149" t="s">
        <v>113</v>
      </c>
      <c r="P98" s="149" t="s">
        <v>95</v>
      </c>
      <c r="Q98" s="151" t="s">
        <v>3329</v>
      </c>
      <c r="R98" s="149" t="s">
        <v>76</v>
      </c>
      <c r="S98" s="149" t="s">
        <v>77</v>
      </c>
      <c r="T98" s="149">
        <v>2022.0</v>
      </c>
      <c r="U98" s="149" t="s">
        <v>147</v>
      </c>
      <c r="V98" s="149" t="s">
        <v>79</v>
      </c>
      <c r="W98" s="149" t="s">
        <v>80</v>
      </c>
      <c r="X98" s="149" t="s">
        <v>80</v>
      </c>
      <c r="Y98" s="149" t="s">
        <v>80</v>
      </c>
      <c r="Z98" s="149" t="s">
        <v>1493</v>
      </c>
      <c r="AA98" s="149" t="s">
        <v>176</v>
      </c>
      <c r="AB98" s="152" t="s">
        <v>1482</v>
      </c>
      <c r="AC98" s="147">
        <v>8.994450222E9</v>
      </c>
      <c r="AD98" s="146" t="s">
        <v>1483</v>
      </c>
      <c r="AE98" s="147" t="s">
        <v>1484</v>
      </c>
      <c r="AF98" s="153" t="s">
        <v>71</v>
      </c>
      <c r="AG98" s="154" t="s">
        <v>1494</v>
      </c>
      <c r="AH98" s="155"/>
      <c r="AI98" s="155"/>
      <c r="AJ98" s="155"/>
      <c r="AK98" s="155"/>
      <c r="AL98" s="155"/>
      <c r="AM98" s="155"/>
      <c r="AN98" s="155"/>
      <c r="AO98" s="155"/>
      <c r="AP98" s="155"/>
      <c r="AQ98" s="155"/>
      <c r="AR98" s="61"/>
    </row>
    <row r="99" hidden="1">
      <c r="A99" s="62">
        <v>97.0</v>
      </c>
      <c r="B99" s="166" t="s">
        <v>1495</v>
      </c>
      <c r="C99" s="166" t="s">
        <v>1496</v>
      </c>
      <c r="D99" s="166" t="s">
        <v>1497</v>
      </c>
      <c r="E99" s="166" t="s">
        <v>1498</v>
      </c>
      <c r="F99" s="167" t="s">
        <v>65</v>
      </c>
      <c r="G99" s="167" t="s">
        <v>66</v>
      </c>
      <c r="H99" s="166" t="s">
        <v>1499</v>
      </c>
      <c r="I99" s="166" t="s">
        <v>1499</v>
      </c>
      <c r="J99" s="167" t="s">
        <v>151</v>
      </c>
      <c r="K99" s="167" t="s">
        <v>70</v>
      </c>
      <c r="L99" s="167" t="s">
        <v>152</v>
      </c>
      <c r="M99" s="167" t="s">
        <v>1500</v>
      </c>
      <c r="N99" s="167" t="s">
        <v>73</v>
      </c>
      <c r="O99" s="167" t="s">
        <v>73</v>
      </c>
      <c r="P99" s="167" t="s">
        <v>153</v>
      </c>
      <c r="Q99" s="169" t="s">
        <v>3330</v>
      </c>
      <c r="R99" s="167" t="s">
        <v>76</v>
      </c>
      <c r="S99" s="167" t="s">
        <v>77</v>
      </c>
      <c r="T99" s="170">
        <v>2015.0</v>
      </c>
      <c r="U99" s="167" t="s">
        <v>78</v>
      </c>
      <c r="V99" s="167" t="s">
        <v>98</v>
      </c>
      <c r="W99" s="167" t="s">
        <v>1502</v>
      </c>
      <c r="X99" s="167" t="s">
        <v>155</v>
      </c>
      <c r="Y99" s="167" t="s">
        <v>101</v>
      </c>
      <c r="Z99" s="167" t="s">
        <v>1503</v>
      </c>
      <c r="AA99" s="167" t="s">
        <v>178</v>
      </c>
      <c r="AB99" s="166" t="s">
        <v>1504</v>
      </c>
      <c r="AC99" s="171" t="str">
        <f>+62 852-2443-7788</f>
        <v>#ERROR!</v>
      </c>
      <c r="AD99" s="69"/>
      <c r="AE99" s="67" t="s">
        <v>1505</v>
      </c>
      <c r="AF99" s="68" t="s">
        <v>71</v>
      </c>
      <c r="AG99" s="172" t="s">
        <v>1506</v>
      </c>
      <c r="AH99" s="173"/>
      <c r="AI99" s="173"/>
      <c r="AJ99" s="173"/>
      <c r="AK99" s="173"/>
      <c r="AL99" s="173"/>
      <c r="AM99" s="173"/>
      <c r="AN99" s="173"/>
      <c r="AO99" s="173"/>
      <c r="AP99" s="173"/>
      <c r="AQ99" s="173"/>
      <c r="AR99" s="61"/>
    </row>
    <row r="100" hidden="1">
      <c r="A100" s="62">
        <v>98.0</v>
      </c>
      <c r="B100" s="166" t="s">
        <v>1495</v>
      </c>
      <c r="C100" s="166" t="s">
        <v>1496</v>
      </c>
      <c r="D100" s="166" t="s">
        <v>1507</v>
      </c>
      <c r="E100" s="166" t="s">
        <v>1498</v>
      </c>
      <c r="F100" s="167" t="s">
        <v>65</v>
      </c>
      <c r="G100" s="167" t="s">
        <v>66</v>
      </c>
      <c r="H100" s="166" t="s">
        <v>1499</v>
      </c>
      <c r="I100" s="166" t="s">
        <v>1499</v>
      </c>
      <c r="J100" s="167" t="s">
        <v>151</v>
      </c>
      <c r="K100" s="167" t="s">
        <v>70</v>
      </c>
      <c r="L100" s="167" t="s">
        <v>152</v>
      </c>
      <c r="M100" s="167" t="s">
        <v>1508</v>
      </c>
      <c r="N100" s="167" t="s">
        <v>73</v>
      </c>
      <c r="O100" s="167" t="s">
        <v>73</v>
      </c>
      <c r="P100" s="167" t="s">
        <v>95</v>
      </c>
      <c r="Q100" s="169" t="s">
        <v>3331</v>
      </c>
      <c r="R100" s="167" t="s">
        <v>76</v>
      </c>
      <c r="S100" s="167" t="s">
        <v>77</v>
      </c>
      <c r="T100" s="170">
        <v>2016.0</v>
      </c>
      <c r="U100" s="167" t="s">
        <v>78</v>
      </c>
      <c r="V100" s="167" t="s">
        <v>98</v>
      </c>
      <c r="W100" s="167" t="s">
        <v>1510</v>
      </c>
      <c r="X100" s="167" t="s">
        <v>155</v>
      </c>
      <c r="Y100" s="167" t="s">
        <v>101</v>
      </c>
      <c r="Z100" s="167" t="s">
        <v>1503</v>
      </c>
      <c r="AA100" s="167" t="s">
        <v>178</v>
      </c>
      <c r="AB100" s="166" t="s">
        <v>1511</v>
      </c>
      <c r="AC100" s="171" t="str">
        <f>+62 877-4168-8587</f>
        <v>#ERROR!</v>
      </c>
      <c r="AD100" s="166" t="s">
        <v>1512</v>
      </c>
      <c r="AE100" s="67" t="s">
        <v>1505</v>
      </c>
      <c r="AF100" s="68" t="s">
        <v>71</v>
      </c>
      <c r="AG100" s="172" t="s">
        <v>1506</v>
      </c>
      <c r="AH100" s="173"/>
      <c r="AI100" s="173"/>
      <c r="AJ100" s="173"/>
      <c r="AK100" s="173"/>
      <c r="AL100" s="173"/>
      <c r="AM100" s="173"/>
      <c r="AN100" s="173"/>
      <c r="AO100" s="173"/>
      <c r="AP100" s="173"/>
      <c r="AQ100" s="173"/>
      <c r="AR100" s="61"/>
    </row>
    <row r="101" hidden="1">
      <c r="A101" s="62">
        <v>99.0</v>
      </c>
      <c r="B101" s="166" t="s">
        <v>1513</v>
      </c>
      <c r="C101" s="166" t="s">
        <v>1514</v>
      </c>
      <c r="D101" s="166" t="s">
        <v>1515</v>
      </c>
      <c r="E101" s="166" t="s">
        <v>1498</v>
      </c>
      <c r="F101" s="167" t="s">
        <v>65</v>
      </c>
      <c r="G101" s="167" t="s">
        <v>66</v>
      </c>
      <c r="H101" s="167" t="s">
        <v>1516</v>
      </c>
      <c r="I101" s="166" t="s">
        <v>1517</v>
      </c>
      <c r="J101" s="167" t="s">
        <v>151</v>
      </c>
      <c r="K101" s="167" t="s">
        <v>110</v>
      </c>
      <c r="L101" s="167" t="s">
        <v>71</v>
      </c>
      <c r="M101" s="167" t="s">
        <v>1518</v>
      </c>
      <c r="N101" s="167" t="s">
        <v>73</v>
      </c>
      <c r="O101" s="167" t="s">
        <v>73</v>
      </c>
      <c r="P101" s="167" t="s">
        <v>95</v>
      </c>
      <c r="Q101" s="169" t="s">
        <v>3332</v>
      </c>
      <c r="R101" s="167" t="s">
        <v>76</v>
      </c>
      <c r="S101" s="167" t="s">
        <v>97</v>
      </c>
      <c r="T101" s="170">
        <v>2011.0</v>
      </c>
      <c r="U101" s="167" t="s">
        <v>78</v>
      </c>
      <c r="V101" s="167" t="s">
        <v>79</v>
      </c>
      <c r="W101" s="167" t="s">
        <v>80</v>
      </c>
      <c r="X101" s="167" t="s">
        <v>80</v>
      </c>
      <c r="Y101" s="167" t="s">
        <v>80</v>
      </c>
      <c r="Z101" s="167" t="s">
        <v>1503</v>
      </c>
      <c r="AA101" s="167" t="s">
        <v>178</v>
      </c>
      <c r="AB101" s="166" t="s">
        <v>1520</v>
      </c>
      <c r="AC101" s="171" t="str">
        <f>+62 819-1521-7805</f>
        <v>#ERROR!</v>
      </c>
      <c r="AD101" s="69"/>
      <c r="AE101" s="59"/>
      <c r="AF101" s="68" t="s">
        <v>71</v>
      </c>
      <c r="AG101" s="172" t="s">
        <v>1506</v>
      </c>
      <c r="AH101" s="173"/>
      <c r="AI101" s="173"/>
      <c r="AJ101" s="173"/>
      <c r="AK101" s="173"/>
      <c r="AL101" s="173"/>
      <c r="AM101" s="173"/>
      <c r="AN101" s="173"/>
      <c r="AO101" s="173"/>
      <c r="AP101" s="173"/>
      <c r="AQ101" s="173"/>
      <c r="AR101" s="61"/>
    </row>
    <row r="102" hidden="1">
      <c r="A102" s="62">
        <v>100.0</v>
      </c>
      <c r="B102" s="166" t="s">
        <v>1513</v>
      </c>
      <c r="C102" s="166" t="s">
        <v>1514</v>
      </c>
      <c r="D102" s="166" t="s">
        <v>1521</v>
      </c>
      <c r="E102" s="166" t="s">
        <v>1498</v>
      </c>
      <c r="F102" s="167" t="s">
        <v>65</v>
      </c>
      <c r="G102" s="167" t="s">
        <v>123</v>
      </c>
      <c r="H102" s="167" t="s">
        <v>1522</v>
      </c>
      <c r="I102" s="166" t="s">
        <v>1523</v>
      </c>
      <c r="J102" s="167" t="s">
        <v>151</v>
      </c>
      <c r="K102" s="167" t="s">
        <v>110</v>
      </c>
      <c r="L102" s="167" t="s">
        <v>111</v>
      </c>
      <c r="M102" s="167" t="s">
        <v>1524</v>
      </c>
      <c r="N102" s="167" t="s">
        <v>73</v>
      </c>
      <c r="O102" s="167" t="s">
        <v>73</v>
      </c>
      <c r="P102" s="167" t="s">
        <v>95</v>
      </c>
      <c r="Q102" s="169" t="s">
        <v>3333</v>
      </c>
      <c r="R102" s="167" t="s">
        <v>76</v>
      </c>
      <c r="S102" s="167" t="s">
        <v>97</v>
      </c>
      <c r="T102" s="170">
        <v>2016.0</v>
      </c>
      <c r="U102" s="167" t="s">
        <v>78</v>
      </c>
      <c r="V102" s="167" t="s">
        <v>79</v>
      </c>
      <c r="W102" s="167" t="s">
        <v>80</v>
      </c>
      <c r="X102" s="167" t="s">
        <v>80</v>
      </c>
      <c r="Y102" s="167" t="s">
        <v>80</v>
      </c>
      <c r="Z102" s="167" t="s">
        <v>1503</v>
      </c>
      <c r="AA102" s="167" t="s">
        <v>178</v>
      </c>
      <c r="AB102" s="166" t="s">
        <v>1526</v>
      </c>
      <c r="AC102" s="171" t="str">
        <f>+62 852-2242-7635</f>
        <v>#ERROR!</v>
      </c>
      <c r="AD102" s="69"/>
      <c r="AE102" s="59"/>
      <c r="AF102" s="68" t="s">
        <v>71</v>
      </c>
      <c r="AG102" s="172" t="s">
        <v>1506</v>
      </c>
      <c r="AH102" s="173"/>
      <c r="AI102" s="173"/>
      <c r="AJ102" s="173"/>
      <c r="AK102" s="173"/>
      <c r="AL102" s="173"/>
      <c r="AM102" s="173"/>
      <c r="AN102" s="173"/>
      <c r="AO102" s="173"/>
      <c r="AP102" s="173"/>
      <c r="AQ102" s="173"/>
      <c r="AR102" s="61"/>
    </row>
    <row r="103" hidden="1">
      <c r="A103" s="62">
        <v>101.0</v>
      </c>
      <c r="B103" s="166" t="s">
        <v>1527</v>
      </c>
      <c r="C103" s="166" t="s">
        <v>1528</v>
      </c>
      <c r="D103" s="166" t="s">
        <v>1529</v>
      </c>
      <c r="E103" s="169" t="s">
        <v>3334</v>
      </c>
      <c r="F103" s="167" t="s">
        <v>65</v>
      </c>
      <c r="G103" s="167" t="s">
        <v>123</v>
      </c>
      <c r="H103" s="167" t="s">
        <v>1531</v>
      </c>
      <c r="I103" s="166" t="s">
        <v>1532</v>
      </c>
      <c r="J103" s="167" t="s">
        <v>151</v>
      </c>
      <c r="K103" s="167" t="s">
        <v>110</v>
      </c>
      <c r="L103" s="167" t="s">
        <v>71</v>
      </c>
      <c r="M103" s="167" t="s">
        <v>1533</v>
      </c>
      <c r="N103" s="167" t="s">
        <v>73</v>
      </c>
      <c r="O103" s="167" t="s">
        <v>73</v>
      </c>
      <c r="P103" s="167" t="s">
        <v>95</v>
      </c>
      <c r="Q103" s="169" t="s">
        <v>3335</v>
      </c>
      <c r="R103" s="167" t="s">
        <v>76</v>
      </c>
      <c r="S103" s="167" t="s">
        <v>97</v>
      </c>
      <c r="T103" s="170">
        <v>2017.0</v>
      </c>
      <c r="U103" s="167" t="s">
        <v>154</v>
      </c>
      <c r="V103" s="167" t="s">
        <v>98</v>
      </c>
      <c r="W103" s="167" t="s">
        <v>607</v>
      </c>
      <c r="X103" s="167" t="s">
        <v>155</v>
      </c>
      <c r="Y103" s="167" t="s">
        <v>139</v>
      </c>
      <c r="Z103" s="167" t="s">
        <v>1503</v>
      </c>
      <c r="AA103" s="167" t="s">
        <v>178</v>
      </c>
      <c r="AB103" s="166" t="s">
        <v>1535</v>
      </c>
      <c r="AC103" s="171" t="str">
        <f>+62 813-1367-9948</f>
        <v>#ERROR!</v>
      </c>
      <c r="AD103" s="166" t="s">
        <v>1536</v>
      </c>
      <c r="AE103" s="59"/>
      <c r="AF103" s="68" t="s">
        <v>71</v>
      </c>
      <c r="AG103" s="172" t="s">
        <v>1506</v>
      </c>
      <c r="AH103" s="173"/>
      <c r="AI103" s="173"/>
      <c r="AJ103" s="173"/>
      <c r="AK103" s="173"/>
      <c r="AL103" s="173"/>
      <c r="AM103" s="173"/>
      <c r="AN103" s="173"/>
      <c r="AO103" s="173"/>
      <c r="AP103" s="173"/>
      <c r="AQ103" s="173"/>
      <c r="AR103" s="61"/>
    </row>
    <row r="104" hidden="1">
      <c r="A104" s="62">
        <v>102.0</v>
      </c>
      <c r="B104" s="166" t="s">
        <v>1537</v>
      </c>
      <c r="C104" s="166" t="s">
        <v>1538</v>
      </c>
      <c r="D104" s="166" t="s">
        <v>1539</v>
      </c>
      <c r="E104" s="169" t="s">
        <v>3336</v>
      </c>
      <c r="F104" s="167" t="s">
        <v>65</v>
      </c>
      <c r="G104" s="167" t="s">
        <v>66</v>
      </c>
      <c r="H104" s="167" t="s">
        <v>1541</v>
      </c>
      <c r="I104" s="167" t="s">
        <v>1541</v>
      </c>
      <c r="J104" s="167" t="s">
        <v>151</v>
      </c>
      <c r="K104" s="167" t="s">
        <v>70</v>
      </c>
      <c r="L104" s="167" t="s">
        <v>71</v>
      </c>
      <c r="M104" s="167" t="s">
        <v>1542</v>
      </c>
      <c r="N104" s="167" t="s">
        <v>93</v>
      </c>
      <c r="O104" s="167" t="s">
        <v>113</v>
      </c>
      <c r="P104" s="167" t="s">
        <v>145</v>
      </c>
      <c r="Q104" s="169" t="s">
        <v>3337</v>
      </c>
      <c r="R104" s="167" t="s">
        <v>76</v>
      </c>
      <c r="S104" s="167" t="s">
        <v>77</v>
      </c>
      <c r="T104" s="170">
        <v>2025.0</v>
      </c>
      <c r="U104" s="167" t="s">
        <v>154</v>
      </c>
      <c r="V104" s="167" t="s">
        <v>79</v>
      </c>
      <c r="W104" s="167" t="s">
        <v>80</v>
      </c>
      <c r="X104" s="167" t="s">
        <v>80</v>
      </c>
      <c r="Y104" s="167" t="s">
        <v>80</v>
      </c>
      <c r="Z104" s="167" t="s">
        <v>1544</v>
      </c>
      <c r="AA104" s="167" t="s">
        <v>178</v>
      </c>
      <c r="AB104" s="166" t="s">
        <v>1545</v>
      </c>
      <c r="AC104" s="171" t="str">
        <f>+62 814-6098-3680
 +62 813-2079-8875</f>
        <v>#ERROR!</v>
      </c>
      <c r="AD104" s="69"/>
      <c r="AE104" s="59"/>
      <c r="AF104" s="68" t="s">
        <v>71</v>
      </c>
      <c r="AG104" s="172" t="s">
        <v>1506</v>
      </c>
      <c r="AH104" s="173"/>
      <c r="AI104" s="173"/>
      <c r="AJ104" s="173"/>
      <c r="AK104" s="173"/>
      <c r="AL104" s="173"/>
      <c r="AM104" s="173"/>
      <c r="AN104" s="173"/>
      <c r="AO104" s="173"/>
      <c r="AP104" s="173"/>
      <c r="AQ104" s="173"/>
      <c r="AR104" s="61"/>
    </row>
    <row r="105" hidden="1">
      <c r="A105" s="62">
        <v>103.0</v>
      </c>
      <c r="B105" s="96" t="s">
        <v>1495</v>
      </c>
      <c r="C105" s="96" t="s">
        <v>1546</v>
      </c>
      <c r="D105" s="96" t="s">
        <v>1547</v>
      </c>
      <c r="E105" s="70" t="s">
        <v>3338</v>
      </c>
      <c r="F105" s="79" t="s">
        <v>65</v>
      </c>
      <c r="G105" s="79" t="s">
        <v>123</v>
      </c>
      <c r="H105" s="79" t="s">
        <v>1549</v>
      </c>
      <c r="I105" s="96" t="s">
        <v>1550</v>
      </c>
      <c r="J105" s="79" t="s">
        <v>151</v>
      </c>
      <c r="K105" s="79" t="s">
        <v>70</v>
      </c>
      <c r="L105" s="79" t="s">
        <v>71</v>
      </c>
      <c r="M105" s="79" t="s">
        <v>1551</v>
      </c>
      <c r="N105" s="79" t="s">
        <v>93</v>
      </c>
      <c r="O105" s="79" t="s">
        <v>113</v>
      </c>
      <c r="P105" s="79" t="s">
        <v>95</v>
      </c>
      <c r="Q105" s="70" t="s">
        <v>3339</v>
      </c>
      <c r="R105" s="79" t="s">
        <v>76</v>
      </c>
      <c r="S105" s="79" t="s">
        <v>77</v>
      </c>
      <c r="T105" s="98">
        <v>2025.0</v>
      </c>
      <c r="U105" s="79" t="s">
        <v>78</v>
      </c>
      <c r="V105" s="79" t="s">
        <v>98</v>
      </c>
      <c r="W105" s="79" t="s">
        <v>1553</v>
      </c>
      <c r="X105" s="79" t="s">
        <v>100</v>
      </c>
      <c r="Y105" s="79" t="s">
        <v>71</v>
      </c>
      <c r="Z105" s="79" t="s">
        <v>1554</v>
      </c>
      <c r="AA105" s="79" t="s">
        <v>178</v>
      </c>
      <c r="AB105" s="96" t="s">
        <v>1555</v>
      </c>
      <c r="AC105" s="174" t="str">
        <f>+62 858-1117-3233
 +62 852-2443-7788</f>
        <v>#ERROR!</v>
      </c>
      <c r="AD105" s="69"/>
      <c r="AE105" s="67" t="s">
        <v>1505</v>
      </c>
      <c r="AF105" s="68" t="s">
        <v>71</v>
      </c>
      <c r="AG105" s="172" t="s">
        <v>1506</v>
      </c>
      <c r="AH105" s="173"/>
      <c r="AI105" s="173"/>
      <c r="AJ105" s="173"/>
      <c r="AK105" s="173"/>
      <c r="AL105" s="173"/>
      <c r="AM105" s="173"/>
      <c r="AN105" s="173"/>
      <c r="AO105" s="173"/>
      <c r="AP105" s="173"/>
      <c r="AQ105" s="173"/>
      <c r="AR105" s="61"/>
    </row>
    <row r="106" hidden="1">
      <c r="A106" s="62">
        <v>104.0</v>
      </c>
      <c r="B106" s="96" t="s">
        <v>1562</v>
      </c>
      <c r="C106" s="96" t="s">
        <v>1563</v>
      </c>
      <c r="D106" s="176" t="s">
        <v>1564</v>
      </c>
      <c r="E106" s="96" t="s">
        <v>1565</v>
      </c>
      <c r="F106" s="70" t="s">
        <v>3340</v>
      </c>
      <c r="G106" s="79" t="s">
        <v>65</v>
      </c>
      <c r="H106" s="79" t="s">
        <v>66</v>
      </c>
      <c r="I106" s="79" t="s">
        <v>1567</v>
      </c>
      <c r="J106" s="96" t="s">
        <v>1568</v>
      </c>
      <c r="K106" s="79" t="s">
        <v>151</v>
      </c>
      <c r="L106" s="79" t="s">
        <v>70</v>
      </c>
      <c r="M106" s="79" t="s">
        <v>1569</v>
      </c>
      <c r="N106" s="177"/>
      <c r="O106" s="79" t="s">
        <v>94</v>
      </c>
      <c r="P106" s="79" t="s">
        <v>113</v>
      </c>
      <c r="Q106" s="79" t="s">
        <v>153</v>
      </c>
      <c r="R106" s="69"/>
      <c r="S106" s="79" t="s">
        <v>76</v>
      </c>
      <c r="T106" s="79" t="s">
        <v>97</v>
      </c>
      <c r="U106" s="79">
        <v>2018.0</v>
      </c>
      <c r="V106" s="79" t="s">
        <v>78</v>
      </c>
      <c r="W106" s="79" t="s">
        <v>98</v>
      </c>
      <c r="X106" s="79" t="s">
        <v>1570</v>
      </c>
      <c r="Y106" s="79" t="s">
        <v>155</v>
      </c>
      <c r="Z106" s="79" t="s">
        <v>139</v>
      </c>
      <c r="AA106" s="79" t="s">
        <v>1564</v>
      </c>
      <c r="AB106" s="79" t="s">
        <v>180</v>
      </c>
      <c r="AC106" s="96" t="s">
        <v>1571</v>
      </c>
      <c r="AD106" s="96" t="s">
        <v>1572</v>
      </c>
      <c r="AE106" s="96" t="s">
        <v>1573</v>
      </c>
      <c r="AF106" s="59"/>
      <c r="AG106" s="90"/>
      <c r="AH106" s="60"/>
      <c r="AI106" s="60"/>
      <c r="AJ106" s="60"/>
      <c r="AK106" s="60"/>
      <c r="AL106" s="60"/>
      <c r="AM106" s="60"/>
      <c r="AN106" s="60"/>
      <c r="AO106" s="60"/>
      <c r="AP106" s="60"/>
      <c r="AQ106" s="60"/>
      <c r="AR106" s="61"/>
    </row>
    <row r="107" hidden="1">
      <c r="A107" s="62">
        <v>105.0</v>
      </c>
      <c r="B107" s="96" t="s">
        <v>1581</v>
      </c>
      <c r="C107" s="96" t="s">
        <v>1582</v>
      </c>
      <c r="D107" s="96" t="s">
        <v>1583</v>
      </c>
      <c r="E107" s="96" t="s">
        <v>136</v>
      </c>
      <c r="F107" s="79" t="s">
        <v>65</v>
      </c>
      <c r="G107" s="79" t="s">
        <v>66</v>
      </c>
      <c r="H107" s="79" t="s">
        <v>1584</v>
      </c>
      <c r="I107" s="96" t="s">
        <v>1584</v>
      </c>
      <c r="J107" s="79" t="s">
        <v>151</v>
      </c>
      <c r="K107" s="79" t="s">
        <v>70</v>
      </c>
      <c r="L107" s="79" t="s">
        <v>71</v>
      </c>
      <c r="M107" s="79" t="s">
        <v>1585</v>
      </c>
      <c r="N107" s="79" t="s">
        <v>73</v>
      </c>
      <c r="O107" s="79" t="s">
        <v>73</v>
      </c>
      <c r="P107" s="79" t="s">
        <v>74</v>
      </c>
      <c r="Q107" s="70" t="s">
        <v>3341</v>
      </c>
      <c r="R107" s="79" t="s">
        <v>76</v>
      </c>
      <c r="S107" s="79" t="s">
        <v>77</v>
      </c>
      <c r="T107" s="98">
        <v>2019.0</v>
      </c>
      <c r="U107" s="79" t="s">
        <v>78</v>
      </c>
      <c r="V107" s="79" t="s">
        <v>98</v>
      </c>
      <c r="W107" s="79" t="s">
        <v>1587</v>
      </c>
      <c r="X107" s="79" t="s">
        <v>100</v>
      </c>
      <c r="Y107" s="79" t="s">
        <v>139</v>
      </c>
      <c r="Z107" s="79" t="s">
        <v>1588</v>
      </c>
      <c r="AA107" s="79" t="s">
        <v>183</v>
      </c>
      <c r="AB107" s="69"/>
      <c r="AC107" s="69"/>
      <c r="AD107" s="96" t="s">
        <v>1589</v>
      </c>
      <c r="AE107" s="179" t="s">
        <v>1590</v>
      </c>
      <c r="AF107" s="68" t="s">
        <v>71</v>
      </c>
      <c r="AG107" s="180" t="s">
        <v>1591</v>
      </c>
      <c r="AH107" s="61"/>
      <c r="AI107" s="61"/>
      <c r="AJ107" s="61"/>
      <c r="AK107" s="61"/>
      <c r="AL107" s="61"/>
      <c r="AM107" s="61"/>
      <c r="AN107" s="61"/>
      <c r="AO107" s="61"/>
      <c r="AP107" s="61"/>
      <c r="AQ107" s="61"/>
      <c r="AR107" s="61"/>
    </row>
    <row r="108" hidden="1">
      <c r="A108" s="62">
        <v>106.0</v>
      </c>
      <c r="B108" s="96" t="s">
        <v>1592</v>
      </c>
      <c r="C108" s="96" t="s">
        <v>1593</v>
      </c>
      <c r="D108" s="96" t="s">
        <v>1594</v>
      </c>
      <c r="E108" s="96" t="s">
        <v>136</v>
      </c>
      <c r="F108" s="79" t="s">
        <v>65</v>
      </c>
      <c r="G108" s="79" t="s">
        <v>66</v>
      </c>
      <c r="H108" s="79" t="s">
        <v>1584</v>
      </c>
      <c r="I108" s="96" t="s">
        <v>1595</v>
      </c>
      <c r="J108" s="79" t="s">
        <v>151</v>
      </c>
      <c r="K108" s="79" t="s">
        <v>70</v>
      </c>
      <c r="L108" s="79" t="s">
        <v>71</v>
      </c>
      <c r="M108" s="79" t="s">
        <v>1596</v>
      </c>
      <c r="N108" s="79" t="s">
        <v>26</v>
      </c>
      <c r="O108" s="79" t="s">
        <v>113</v>
      </c>
      <c r="P108" s="79" t="s">
        <v>95</v>
      </c>
      <c r="Q108" s="70" t="s">
        <v>3342</v>
      </c>
      <c r="R108" s="79" t="s">
        <v>76</v>
      </c>
      <c r="S108" s="79" t="s">
        <v>77</v>
      </c>
      <c r="T108" s="98">
        <v>2018.0</v>
      </c>
      <c r="U108" s="79" t="s">
        <v>78</v>
      </c>
      <c r="V108" s="79" t="s">
        <v>98</v>
      </c>
      <c r="W108" s="79" t="s">
        <v>1598</v>
      </c>
      <c r="X108" s="79" t="s">
        <v>100</v>
      </c>
      <c r="Y108" s="79" t="s">
        <v>139</v>
      </c>
      <c r="Z108" s="79" t="s">
        <v>1588</v>
      </c>
      <c r="AA108" s="79" t="s">
        <v>183</v>
      </c>
      <c r="AB108" s="69"/>
      <c r="AC108" s="69"/>
      <c r="AD108" s="96" t="s">
        <v>1589</v>
      </c>
      <c r="AE108" s="179" t="s">
        <v>1590</v>
      </c>
      <c r="AF108" s="68" t="s">
        <v>71</v>
      </c>
      <c r="AG108" s="180" t="s">
        <v>1591</v>
      </c>
      <c r="AH108" s="61"/>
      <c r="AI108" s="61"/>
      <c r="AJ108" s="61"/>
      <c r="AK108" s="61"/>
      <c r="AL108" s="61"/>
      <c r="AM108" s="61"/>
      <c r="AN108" s="61"/>
      <c r="AO108" s="61"/>
      <c r="AP108" s="61"/>
      <c r="AQ108" s="61"/>
      <c r="AR108" s="61"/>
    </row>
    <row r="109" hidden="1">
      <c r="A109" s="62">
        <v>107.0</v>
      </c>
      <c r="B109" s="96" t="s">
        <v>1599</v>
      </c>
      <c r="C109" s="96" t="s">
        <v>1600</v>
      </c>
      <c r="D109" s="96" t="s">
        <v>1601</v>
      </c>
      <c r="E109" s="96" t="s">
        <v>136</v>
      </c>
      <c r="F109" s="79" t="s">
        <v>65</v>
      </c>
      <c r="G109" s="79" t="s">
        <v>66</v>
      </c>
      <c r="H109" s="79" t="s">
        <v>1602</v>
      </c>
      <c r="I109" s="96" t="s">
        <v>1602</v>
      </c>
      <c r="J109" s="79" t="s">
        <v>151</v>
      </c>
      <c r="K109" s="79" t="s">
        <v>70</v>
      </c>
      <c r="L109" s="79" t="s">
        <v>71</v>
      </c>
      <c r="M109" s="79" t="s">
        <v>1603</v>
      </c>
      <c r="N109" s="79" t="s">
        <v>73</v>
      </c>
      <c r="O109" s="79" t="s">
        <v>73</v>
      </c>
      <c r="P109" s="79" t="s">
        <v>95</v>
      </c>
      <c r="Q109" s="70" t="s">
        <v>3343</v>
      </c>
      <c r="R109" s="79" t="s">
        <v>76</v>
      </c>
      <c r="S109" s="79" t="s">
        <v>77</v>
      </c>
      <c r="T109" s="98">
        <v>2021.0</v>
      </c>
      <c r="U109" s="79" t="s">
        <v>78</v>
      </c>
      <c r="V109" s="79" t="s">
        <v>79</v>
      </c>
      <c r="W109" s="79" t="s">
        <v>563</v>
      </c>
      <c r="X109" s="79" t="s">
        <v>100</v>
      </c>
      <c r="Y109" s="79" t="s">
        <v>139</v>
      </c>
      <c r="Z109" s="79" t="s">
        <v>1588</v>
      </c>
      <c r="AA109" s="79" t="s">
        <v>183</v>
      </c>
      <c r="AB109" s="69"/>
      <c r="AC109" s="69"/>
      <c r="AD109" s="96" t="s">
        <v>1589</v>
      </c>
      <c r="AE109" s="179" t="s">
        <v>1590</v>
      </c>
      <c r="AF109" s="68" t="s">
        <v>71</v>
      </c>
      <c r="AG109" s="180" t="s">
        <v>1605</v>
      </c>
      <c r="AH109" s="61"/>
      <c r="AI109" s="61"/>
      <c r="AJ109" s="61"/>
      <c r="AK109" s="61"/>
      <c r="AL109" s="61"/>
      <c r="AM109" s="61"/>
      <c r="AN109" s="61"/>
      <c r="AO109" s="61"/>
      <c r="AP109" s="61"/>
      <c r="AQ109" s="61"/>
      <c r="AR109" s="61"/>
    </row>
    <row r="110" hidden="1">
      <c r="A110" s="62">
        <v>108.0</v>
      </c>
      <c r="B110" s="96" t="s">
        <v>1606</v>
      </c>
      <c r="C110" s="96" t="s">
        <v>1607</v>
      </c>
      <c r="D110" s="96" t="s">
        <v>1608</v>
      </c>
      <c r="E110" s="96" t="s">
        <v>136</v>
      </c>
      <c r="F110" s="79" t="s">
        <v>65</v>
      </c>
      <c r="G110" s="79" t="s">
        <v>66</v>
      </c>
      <c r="H110" s="79" t="s">
        <v>1609</v>
      </c>
      <c r="I110" s="96" t="s">
        <v>1610</v>
      </c>
      <c r="J110" s="79" t="s">
        <v>151</v>
      </c>
      <c r="K110" s="79" t="s">
        <v>70</v>
      </c>
      <c r="L110" s="79" t="s">
        <v>71</v>
      </c>
      <c r="M110" s="79" t="s">
        <v>1611</v>
      </c>
      <c r="N110" s="79" t="s">
        <v>73</v>
      </c>
      <c r="O110" s="79" t="s">
        <v>73</v>
      </c>
      <c r="P110" s="79" t="s">
        <v>74</v>
      </c>
      <c r="Q110" s="70" t="s">
        <v>3344</v>
      </c>
      <c r="R110" s="79" t="s">
        <v>76</v>
      </c>
      <c r="S110" s="79" t="s">
        <v>77</v>
      </c>
      <c r="T110" s="98">
        <v>2024.0</v>
      </c>
      <c r="U110" s="79" t="s">
        <v>78</v>
      </c>
      <c r="V110" s="79" t="s">
        <v>98</v>
      </c>
      <c r="W110" s="79" t="s">
        <v>1613</v>
      </c>
      <c r="X110" s="79" t="s">
        <v>100</v>
      </c>
      <c r="Y110" s="79" t="s">
        <v>139</v>
      </c>
      <c r="Z110" s="79" t="s">
        <v>1588</v>
      </c>
      <c r="AA110" s="79" t="s">
        <v>183</v>
      </c>
      <c r="AB110" s="69"/>
      <c r="AC110" s="69"/>
      <c r="AD110" s="96" t="s">
        <v>1589</v>
      </c>
      <c r="AE110" s="59"/>
      <c r="AF110" s="68" t="s">
        <v>71</v>
      </c>
      <c r="AG110" s="180" t="s">
        <v>1614</v>
      </c>
      <c r="AH110" s="61"/>
      <c r="AI110" s="61"/>
      <c r="AJ110" s="61"/>
      <c r="AK110" s="61"/>
      <c r="AL110" s="61"/>
      <c r="AM110" s="61"/>
      <c r="AN110" s="61"/>
      <c r="AO110" s="61"/>
      <c r="AP110" s="61"/>
      <c r="AQ110" s="61"/>
      <c r="AR110" s="61"/>
    </row>
    <row r="111" hidden="1">
      <c r="A111" s="62">
        <v>109.0</v>
      </c>
      <c r="B111" s="96" t="s">
        <v>1615</v>
      </c>
      <c r="C111" s="96" t="s">
        <v>1616</v>
      </c>
      <c r="D111" s="96" t="s">
        <v>1617</v>
      </c>
      <c r="E111" s="96" t="s">
        <v>136</v>
      </c>
      <c r="F111" s="79" t="s">
        <v>65</v>
      </c>
      <c r="G111" s="79" t="s">
        <v>66</v>
      </c>
      <c r="H111" s="79" t="s">
        <v>1618</v>
      </c>
      <c r="I111" s="96" t="s">
        <v>1619</v>
      </c>
      <c r="J111" s="79" t="s">
        <v>151</v>
      </c>
      <c r="K111" s="79" t="s">
        <v>70</v>
      </c>
      <c r="L111" s="79" t="s">
        <v>71</v>
      </c>
      <c r="M111" s="79" t="s">
        <v>1620</v>
      </c>
      <c r="N111" s="79" t="s">
        <v>26</v>
      </c>
      <c r="O111" s="79" t="s">
        <v>113</v>
      </c>
      <c r="P111" s="79" t="s">
        <v>95</v>
      </c>
      <c r="Q111" s="70" t="s">
        <v>3345</v>
      </c>
      <c r="R111" s="79" t="s">
        <v>76</v>
      </c>
      <c r="S111" s="79" t="s">
        <v>97</v>
      </c>
      <c r="T111" s="98">
        <v>2024.0</v>
      </c>
      <c r="U111" s="79" t="s">
        <v>78</v>
      </c>
      <c r="V111" s="79" t="s">
        <v>79</v>
      </c>
      <c r="W111" s="69"/>
      <c r="X111" s="79" t="s">
        <v>148</v>
      </c>
      <c r="Y111" s="79" t="s">
        <v>139</v>
      </c>
      <c r="Z111" s="79" t="s">
        <v>1622</v>
      </c>
      <c r="AA111" s="79" t="s">
        <v>183</v>
      </c>
      <c r="AB111" s="69"/>
      <c r="AC111" s="69"/>
      <c r="AD111" s="96" t="s">
        <v>1589</v>
      </c>
      <c r="AE111" s="179" t="s">
        <v>1590</v>
      </c>
      <c r="AF111" s="68" t="s">
        <v>71</v>
      </c>
      <c r="AG111" s="95" t="s">
        <v>183</v>
      </c>
      <c r="AH111" s="61"/>
      <c r="AI111" s="61"/>
      <c r="AJ111" s="61"/>
      <c r="AK111" s="61"/>
      <c r="AL111" s="61"/>
      <c r="AM111" s="61"/>
      <c r="AN111" s="61"/>
      <c r="AO111" s="61"/>
      <c r="AP111" s="61"/>
      <c r="AQ111" s="61"/>
      <c r="AR111" s="61"/>
    </row>
    <row r="112" hidden="1">
      <c r="A112" s="62">
        <v>110.0</v>
      </c>
      <c r="B112" s="96" t="s">
        <v>1623</v>
      </c>
      <c r="C112" s="96" t="s">
        <v>1624</v>
      </c>
      <c r="D112" s="96" t="s">
        <v>1625</v>
      </c>
      <c r="E112" s="96" t="s">
        <v>88</v>
      </c>
      <c r="F112" s="79" t="s">
        <v>65</v>
      </c>
      <c r="G112" s="79" t="s">
        <v>66</v>
      </c>
      <c r="H112" s="79" t="s">
        <v>1626</v>
      </c>
      <c r="I112" s="96" t="s">
        <v>1627</v>
      </c>
      <c r="J112" s="79" t="s">
        <v>151</v>
      </c>
      <c r="K112" s="79" t="s">
        <v>70</v>
      </c>
      <c r="L112" s="79" t="s">
        <v>143</v>
      </c>
      <c r="M112" s="79" t="s">
        <v>1628</v>
      </c>
      <c r="N112" s="79" t="s">
        <v>26</v>
      </c>
      <c r="O112" s="79" t="s">
        <v>113</v>
      </c>
      <c r="P112" s="79" t="s">
        <v>95</v>
      </c>
      <c r="Q112" s="70" t="s">
        <v>3346</v>
      </c>
      <c r="R112" s="79" t="s">
        <v>76</v>
      </c>
      <c r="S112" s="79" t="s">
        <v>97</v>
      </c>
      <c r="T112" s="98">
        <v>2024.0</v>
      </c>
      <c r="U112" s="79" t="s">
        <v>78</v>
      </c>
      <c r="V112" s="79" t="s">
        <v>79</v>
      </c>
      <c r="W112" s="69"/>
      <c r="X112" s="79" t="s">
        <v>148</v>
      </c>
      <c r="Y112" s="79" t="s">
        <v>139</v>
      </c>
      <c r="Z112" s="79" t="s">
        <v>1622</v>
      </c>
      <c r="AA112" s="79" t="s">
        <v>183</v>
      </c>
      <c r="AB112" s="69"/>
      <c r="AC112" s="69"/>
      <c r="AD112" s="96" t="s">
        <v>1589</v>
      </c>
      <c r="AE112" s="179" t="s">
        <v>1590</v>
      </c>
      <c r="AF112" s="68" t="s">
        <v>71</v>
      </c>
      <c r="AG112" s="95" t="s">
        <v>183</v>
      </c>
      <c r="AH112" s="61"/>
      <c r="AI112" s="61"/>
      <c r="AJ112" s="61"/>
      <c r="AK112" s="61"/>
      <c r="AL112" s="61"/>
      <c r="AM112" s="61"/>
      <c r="AN112" s="61"/>
      <c r="AO112" s="61"/>
      <c r="AP112" s="61"/>
      <c r="AQ112" s="61"/>
      <c r="AR112" s="61"/>
    </row>
    <row r="113" hidden="1">
      <c r="A113" s="62">
        <v>111.0</v>
      </c>
      <c r="B113" s="96" t="s">
        <v>1631</v>
      </c>
      <c r="C113" s="96" t="s">
        <v>1632</v>
      </c>
      <c r="D113" s="96" t="s">
        <v>1633</v>
      </c>
      <c r="E113" s="96" t="s">
        <v>88</v>
      </c>
      <c r="F113" s="79" t="s">
        <v>395</v>
      </c>
      <c r="G113" s="79" t="s">
        <v>66</v>
      </c>
      <c r="H113" s="79" t="s">
        <v>1634</v>
      </c>
      <c r="I113" s="96" t="s">
        <v>1635</v>
      </c>
      <c r="J113" s="79" t="s">
        <v>151</v>
      </c>
      <c r="K113" s="79" t="s">
        <v>70</v>
      </c>
      <c r="L113" s="79" t="s">
        <v>152</v>
      </c>
      <c r="M113" s="79" t="s">
        <v>1636</v>
      </c>
      <c r="N113" s="79" t="s">
        <v>93</v>
      </c>
      <c r="O113" s="79" t="s">
        <v>94</v>
      </c>
      <c r="P113" s="79" t="s">
        <v>95</v>
      </c>
      <c r="Q113" s="70" t="s">
        <v>3347</v>
      </c>
      <c r="R113" s="79" t="s">
        <v>76</v>
      </c>
      <c r="S113" s="79" t="s">
        <v>97</v>
      </c>
      <c r="T113" s="98">
        <v>2022.0</v>
      </c>
      <c r="U113" s="79" t="s">
        <v>78</v>
      </c>
      <c r="V113" s="79" t="s">
        <v>98</v>
      </c>
      <c r="W113" s="79" t="s">
        <v>1638</v>
      </c>
      <c r="X113" s="79" t="s">
        <v>100</v>
      </c>
      <c r="Y113" s="79" t="s">
        <v>152</v>
      </c>
      <c r="Z113" s="79" t="s">
        <v>1639</v>
      </c>
      <c r="AA113" s="79" t="s">
        <v>185</v>
      </c>
      <c r="AB113" s="96" t="s">
        <v>1640</v>
      </c>
      <c r="AC113" s="79">
        <v>8.1912125222E10</v>
      </c>
      <c r="AD113" s="79" t="s">
        <v>1641</v>
      </c>
      <c r="AE113" s="68">
        <v>14.0</v>
      </c>
      <c r="AF113" s="68" t="s">
        <v>152</v>
      </c>
      <c r="AG113" s="60"/>
      <c r="AH113" s="61"/>
      <c r="AI113" s="61"/>
      <c r="AJ113" s="61"/>
      <c r="AK113" s="61"/>
      <c r="AL113" s="61"/>
      <c r="AM113" s="61"/>
      <c r="AN113" s="61"/>
      <c r="AO113" s="61"/>
      <c r="AP113" s="61"/>
      <c r="AQ113" s="61"/>
      <c r="AR113" s="61"/>
    </row>
    <row r="114" hidden="1">
      <c r="A114" s="62">
        <v>112.0</v>
      </c>
      <c r="B114" s="96" t="s">
        <v>1642</v>
      </c>
      <c r="C114" s="96" t="s">
        <v>1643</v>
      </c>
      <c r="D114" s="96" t="s">
        <v>1644</v>
      </c>
      <c r="E114" s="96" t="s">
        <v>88</v>
      </c>
      <c r="F114" s="79" t="s">
        <v>392</v>
      </c>
      <c r="G114" s="79" t="s">
        <v>66</v>
      </c>
      <c r="H114" s="79" t="s">
        <v>1645</v>
      </c>
      <c r="I114" s="96" t="s">
        <v>1646</v>
      </c>
      <c r="J114" s="79" t="s">
        <v>151</v>
      </c>
      <c r="K114" s="79" t="s">
        <v>70</v>
      </c>
      <c r="L114" s="79" t="s">
        <v>71</v>
      </c>
      <c r="M114" s="79" t="s">
        <v>1647</v>
      </c>
      <c r="N114" s="79" t="s">
        <v>93</v>
      </c>
      <c r="O114" s="79" t="s">
        <v>94</v>
      </c>
      <c r="P114" s="79" t="s">
        <v>95</v>
      </c>
      <c r="Q114" s="70" t="s">
        <v>3348</v>
      </c>
      <c r="R114" s="79" t="s">
        <v>76</v>
      </c>
      <c r="S114" s="79" t="s">
        <v>97</v>
      </c>
      <c r="T114" s="98">
        <v>2025.0</v>
      </c>
      <c r="U114" s="79" t="s">
        <v>78</v>
      </c>
      <c r="V114" s="79" t="s">
        <v>79</v>
      </c>
      <c r="W114" s="181" t="s">
        <v>1649</v>
      </c>
      <c r="X114" s="79" t="s">
        <v>80</v>
      </c>
      <c r="Y114" s="79" t="s">
        <v>80</v>
      </c>
      <c r="Z114" s="79" t="s">
        <v>1650</v>
      </c>
      <c r="AA114" s="79" t="s">
        <v>185</v>
      </c>
      <c r="AB114" s="96" t="s">
        <v>1651</v>
      </c>
      <c r="AC114" s="96">
        <v>8.1320998488E10</v>
      </c>
      <c r="AD114" s="96" t="s">
        <v>1652</v>
      </c>
      <c r="AE114" s="68">
        <v>17.0</v>
      </c>
      <c r="AF114" s="68" t="s">
        <v>71</v>
      </c>
      <c r="AG114" s="60"/>
      <c r="AH114" s="61"/>
      <c r="AI114" s="61"/>
      <c r="AJ114" s="61"/>
      <c r="AK114" s="61"/>
      <c r="AL114" s="61"/>
      <c r="AM114" s="61"/>
      <c r="AN114" s="61"/>
      <c r="AO114" s="61"/>
      <c r="AP114" s="61"/>
      <c r="AQ114" s="61"/>
      <c r="AR114" s="61"/>
    </row>
    <row r="115" hidden="1">
      <c r="A115" s="62">
        <v>113.0</v>
      </c>
      <c r="B115" s="96" t="s">
        <v>1653</v>
      </c>
      <c r="C115" s="96" t="s">
        <v>1654</v>
      </c>
      <c r="D115" s="96" t="s">
        <v>1655</v>
      </c>
      <c r="E115" s="96" t="s">
        <v>88</v>
      </c>
      <c r="F115" s="79" t="s">
        <v>456</v>
      </c>
      <c r="G115" s="79" t="s">
        <v>123</v>
      </c>
      <c r="H115" s="79" t="s">
        <v>1656</v>
      </c>
      <c r="I115" s="96" t="s">
        <v>1657</v>
      </c>
      <c r="J115" s="79" t="s">
        <v>69</v>
      </c>
      <c r="K115" s="79" t="s">
        <v>110</v>
      </c>
      <c r="L115" s="79" t="s">
        <v>101</v>
      </c>
      <c r="M115" s="79" t="s">
        <v>1658</v>
      </c>
      <c r="N115" s="79" t="s">
        <v>26</v>
      </c>
      <c r="O115" s="79" t="s">
        <v>113</v>
      </c>
      <c r="P115" s="79" t="s">
        <v>145</v>
      </c>
      <c r="Q115" s="96" t="s">
        <v>1659</v>
      </c>
      <c r="R115" s="79" t="s">
        <v>76</v>
      </c>
      <c r="S115" s="79" t="s">
        <v>97</v>
      </c>
      <c r="T115" s="98">
        <v>2016.0</v>
      </c>
      <c r="U115" s="79" t="s">
        <v>78</v>
      </c>
      <c r="V115" s="79" t="s">
        <v>98</v>
      </c>
      <c r="W115" s="79" t="s">
        <v>1660</v>
      </c>
      <c r="X115" s="79" t="s">
        <v>100</v>
      </c>
      <c r="Y115" s="79" t="s">
        <v>139</v>
      </c>
      <c r="Z115" s="79" t="s">
        <v>1661</v>
      </c>
      <c r="AA115" s="130" t="s">
        <v>185</v>
      </c>
      <c r="AB115" s="96" t="s">
        <v>1662</v>
      </c>
      <c r="AC115" s="96">
        <v>8.7806010625E10</v>
      </c>
      <c r="AD115" s="96" t="s">
        <v>1663</v>
      </c>
      <c r="AE115" s="68">
        <v>17.0</v>
      </c>
      <c r="AF115" s="68" t="s">
        <v>71</v>
      </c>
      <c r="AG115" s="60"/>
      <c r="AH115" s="61"/>
      <c r="AI115" s="61"/>
      <c r="AJ115" s="61"/>
      <c r="AK115" s="61"/>
      <c r="AL115" s="61"/>
      <c r="AM115" s="61"/>
      <c r="AN115" s="61"/>
      <c r="AO115" s="61"/>
      <c r="AP115" s="61"/>
      <c r="AQ115" s="61"/>
      <c r="AR115" s="61"/>
    </row>
    <row r="116" hidden="1">
      <c r="A116" s="62">
        <v>114.0</v>
      </c>
      <c r="B116" s="96" t="s">
        <v>1664</v>
      </c>
      <c r="C116" s="96" t="s">
        <v>1665</v>
      </c>
      <c r="D116" s="96" t="s">
        <v>1633</v>
      </c>
      <c r="E116" s="96" t="s">
        <v>1666</v>
      </c>
      <c r="F116" s="79" t="s">
        <v>394</v>
      </c>
      <c r="G116" s="79" t="s">
        <v>66</v>
      </c>
      <c r="H116" s="79" t="s">
        <v>1667</v>
      </c>
      <c r="I116" s="96" t="s">
        <v>1668</v>
      </c>
      <c r="J116" s="79" t="s">
        <v>91</v>
      </c>
      <c r="K116" s="79" t="s">
        <v>110</v>
      </c>
      <c r="L116" s="79" t="s">
        <v>71</v>
      </c>
      <c r="M116" s="79" t="s">
        <v>1669</v>
      </c>
      <c r="N116" s="79" t="s">
        <v>82</v>
      </c>
      <c r="O116" s="79" t="s">
        <v>113</v>
      </c>
      <c r="P116" s="79" t="s">
        <v>95</v>
      </c>
      <c r="Q116" s="70" t="s">
        <v>3349</v>
      </c>
      <c r="R116" s="79" t="s">
        <v>76</v>
      </c>
      <c r="S116" s="79" t="s">
        <v>97</v>
      </c>
      <c r="T116" s="98">
        <v>2022.0</v>
      </c>
      <c r="U116" s="79" t="s">
        <v>147</v>
      </c>
      <c r="V116" s="79" t="s">
        <v>79</v>
      </c>
      <c r="W116" s="79" t="s">
        <v>563</v>
      </c>
      <c r="X116" s="79" t="s">
        <v>80</v>
      </c>
      <c r="Y116" s="79" t="s">
        <v>80</v>
      </c>
      <c r="Z116" s="79" t="s">
        <v>1671</v>
      </c>
      <c r="AA116" s="79" t="s">
        <v>185</v>
      </c>
      <c r="AB116" s="96" t="s">
        <v>1672</v>
      </c>
      <c r="AC116" s="96">
        <v>8.2120532304E10</v>
      </c>
      <c r="AD116" s="96" t="s">
        <v>1673</v>
      </c>
      <c r="AE116" s="68">
        <v>17.0</v>
      </c>
      <c r="AF116" s="68" t="s">
        <v>152</v>
      </c>
      <c r="AG116" s="60"/>
      <c r="AH116" s="61"/>
      <c r="AI116" s="61"/>
      <c r="AJ116" s="61"/>
      <c r="AK116" s="61"/>
      <c r="AL116" s="61"/>
      <c r="AM116" s="61"/>
      <c r="AN116" s="61"/>
      <c r="AO116" s="61"/>
      <c r="AP116" s="61"/>
      <c r="AQ116" s="61"/>
      <c r="AR116" s="61"/>
    </row>
    <row r="117" hidden="1">
      <c r="A117" s="62">
        <v>115.0</v>
      </c>
      <c r="B117" s="96" t="s">
        <v>1690</v>
      </c>
      <c r="C117" s="96" t="s">
        <v>1691</v>
      </c>
      <c r="D117" s="96" t="s">
        <v>1676</v>
      </c>
      <c r="E117" s="70" t="s">
        <v>3350</v>
      </c>
      <c r="F117" s="79" t="s">
        <v>394</v>
      </c>
      <c r="G117" s="79" t="s">
        <v>66</v>
      </c>
      <c r="H117" s="79" t="s">
        <v>1693</v>
      </c>
      <c r="I117" s="96" t="s">
        <v>1694</v>
      </c>
      <c r="J117" s="79" t="s">
        <v>91</v>
      </c>
      <c r="K117" s="79" t="s">
        <v>70</v>
      </c>
      <c r="L117" s="79" t="s">
        <v>71</v>
      </c>
      <c r="M117" s="79" t="s">
        <v>1695</v>
      </c>
      <c r="N117" s="79" t="s">
        <v>26</v>
      </c>
      <c r="O117" s="79" t="s">
        <v>113</v>
      </c>
      <c r="P117" s="79" t="s">
        <v>74</v>
      </c>
      <c r="Q117" s="96" t="s">
        <v>1696</v>
      </c>
      <c r="R117" s="79" t="s">
        <v>76</v>
      </c>
      <c r="S117" s="79" t="s">
        <v>77</v>
      </c>
      <c r="T117" s="96" t="s">
        <v>1697</v>
      </c>
      <c r="U117" s="79" t="s">
        <v>78</v>
      </c>
      <c r="V117" s="79" t="s">
        <v>98</v>
      </c>
      <c r="W117" s="79" t="s">
        <v>659</v>
      </c>
      <c r="X117" s="79" t="s">
        <v>100</v>
      </c>
      <c r="Y117" s="79" t="s">
        <v>139</v>
      </c>
      <c r="Z117" s="79" t="s">
        <v>1671</v>
      </c>
      <c r="AA117" s="79" t="s">
        <v>185</v>
      </c>
      <c r="AB117" s="96" t="s">
        <v>1698</v>
      </c>
      <c r="AC117" s="96" t="s">
        <v>1699</v>
      </c>
      <c r="AD117" s="96" t="s">
        <v>1700</v>
      </c>
      <c r="AE117" s="68">
        <v>17.0</v>
      </c>
      <c r="AF117" s="68" t="s">
        <v>71</v>
      </c>
      <c r="AG117" s="60"/>
      <c r="AH117" s="61"/>
      <c r="AI117" s="61"/>
      <c r="AJ117" s="61"/>
      <c r="AK117" s="61"/>
      <c r="AL117" s="61"/>
      <c r="AM117" s="61"/>
      <c r="AN117" s="61"/>
      <c r="AO117" s="61"/>
      <c r="AP117" s="61"/>
      <c r="AQ117" s="61"/>
      <c r="AR117" s="61"/>
    </row>
    <row r="118" hidden="1">
      <c r="A118" s="62">
        <v>116.0</v>
      </c>
      <c r="B118" s="96" t="s">
        <v>1702</v>
      </c>
      <c r="C118" s="96" t="s">
        <v>1703</v>
      </c>
      <c r="D118" s="96" t="s">
        <v>1704</v>
      </c>
      <c r="E118" s="70" t="s">
        <v>3351</v>
      </c>
      <c r="F118" s="79" t="s">
        <v>227</v>
      </c>
      <c r="G118" s="79" t="s">
        <v>138</v>
      </c>
      <c r="H118" s="79" t="s">
        <v>1706</v>
      </c>
      <c r="I118" s="96" t="s">
        <v>1707</v>
      </c>
      <c r="J118" s="79" t="s">
        <v>91</v>
      </c>
      <c r="K118" s="79" t="s">
        <v>70</v>
      </c>
      <c r="L118" s="79" t="s">
        <v>71</v>
      </c>
      <c r="M118" s="79" t="s">
        <v>1708</v>
      </c>
      <c r="N118" s="79" t="s">
        <v>93</v>
      </c>
      <c r="O118" s="79" t="s">
        <v>94</v>
      </c>
      <c r="P118" s="79" t="s">
        <v>74</v>
      </c>
      <c r="Q118" s="70" t="s">
        <v>3352</v>
      </c>
      <c r="R118" s="79" t="s">
        <v>76</v>
      </c>
      <c r="S118" s="79" t="s">
        <v>97</v>
      </c>
      <c r="T118" s="98">
        <v>2021.0</v>
      </c>
      <c r="U118" s="79" t="s">
        <v>78</v>
      </c>
      <c r="V118" s="79" t="s">
        <v>98</v>
      </c>
      <c r="W118" s="79" t="s">
        <v>1710</v>
      </c>
      <c r="X118" s="79" t="s">
        <v>148</v>
      </c>
      <c r="Y118" s="79" t="s">
        <v>71</v>
      </c>
      <c r="Z118" s="79" t="s">
        <v>1711</v>
      </c>
      <c r="AA118" s="79" t="s">
        <v>187</v>
      </c>
      <c r="AB118" s="96" t="s">
        <v>1712</v>
      </c>
      <c r="AC118" s="96">
        <v>8.2318055276E10</v>
      </c>
      <c r="AD118" s="96" t="s">
        <v>1713</v>
      </c>
      <c r="AE118" s="59"/>
      <c r="AF118" s="59"/>
      <c r="AG118" s="60"/>
      <c r="AH118" s="61"/>
      <c r="AI118" s="61"/>
      <c r="AJ118" s="61"/>
      <c r="AK118" s="61"/>
      <c r="AL118" s="61"/>
      <c r="AM118" s="61"/>
      <c r="AN118" s="61"/>
      <c r="AO118" s="61"/>
      <c r="AP118" s="61"/>
      <c r="AQ118" s="61"/>
      <c r="AR118" s="61"/>
    </row>
    <row r="119" hidden="1">
      <c r="A119" s="62">
        <v>117.0</v>
      </c>
      <c r="B119" s="96" t="s">
        <v>1714</v>
      </c>
      <c r="C119" s="96" t="s">
        <v>1715</v>
      </c>
      <c r="D119" s="96" t="s">
        <v>1716</v>
      </c>
      <c r="E119" s="70" t="s">
        <v>3353</v>
      </c>
      <c r="F119" s="79" t="s">
        <v>188</v>
      </c>
      <c r="G119" s="79" t="s">
        <v>138</v>
      </c>
      <c r="H119" s="79" t="s">
        <v>1718</v>
      </c>
      <c r="I119" s="96" t="s">
        <v>1719</v>
      </c>
      <c r="J119" s="79" t="s">
        <v>151</v>
      </c>
      <c r="K119" s="79" t="s">
        <v>70</v>
      </c>
      <c r="L119" s="79" t="s">
        <v>71</v>
      </c>
      <c r="M119" s="79" t="s">
        <v>1720</v>
      </c>
      <c r="N119" s="79" t="s">
        <v>73</v>
      </c>
      <c r="O119" s="79" t="s">
        <v>73</v>
      </c>
      <c r="P119" s="79" t="s">
        <v>74</v>
      </c>
      <c r="Q119" s="70" t="s">
        <v>3354</v>
      </c>
      <c r="R119" s="79" t="s">
        <v>76</v>
      </c>
      <c r="S119" s="79" t="s">
        <v>97</v>
      </c>
      <c r="T119" s="98">
        <v>2012.0</v>
      </c>
      <c r="U119" s="79" t="s">
        <v>78</v>
      </c>
      <c r="V119" s="79" t="s">
        <v>98</v>
      </c>
      <c r="W119" s="79" t="s">
        <v>1722</v>
      </c>
      <c r="X119" s="79" t="s">
        <v>155</v>
      </c>
      <c r="Y119" s="79" t="s">
        <v>71</v>
      </c>
      <c r="Z119" s="79" t="s">
        <v>1711</v>
      </c>
      <c r="AA119" s="79" t="s">
        <v>187</v>
      </c>
      <c r="AB119" s="96" t="s">
        <v>1723</v>
      </c>
      <c r="AC119" s="96">
        <v>8.122495695E9</v>
      </c>
      <c r="AD119" s="96" t="s">
        <v>1724</v>
      </c>
      <c r="AE119" s="59"/>
      <c r="AF119" s="59"/>
      <c r="AG119" s="60"/>
      <c r="AH119" s="61"/>
      <c r="AI119" s="61"/>
      <c r="AJ119" s="61"/>
      <c r="AK119" s="61"/>
      <c r="AL119" s="61"/>
      <c r="AM119" s="61"/>
      <c r="AN119" s="61"/>
      <c r="AO119" s="61"/>
      <c r="AP119" s="61"/>
      <c r="AQ119" s="61"/>
      <c r="AR119" s="61"/>
    </row>
    <row r="120">
      <c r="A120" s="62">
        <v>118.0</v>
      </c>
      <c r="B120" s="96" t="s">
        <v>1725</v>
      </c>
      <c r="C120" s="96" t="s">
        <v>1726</v>
      </c>
      <c r="D120" s="96" t="s">
        <v>1727</v>
      </c>
      <c r="E120" s="70" t="s">
        <v>3355</v>
      </c>
      <c r="F120" s="79" t="s">
        <v>190</v>
      </c>
      <c r="G120" s="79" t="s">
        <v>66</v>
      </c>
      <c r="H120" s="79" t="s">
        <v>1729</v>
      </c>
      <c r="I120" s="96" t="s">
        <v>1730</v>
      </c>
      <c r="J120" s="79" t="s">
        <v>69</v>
      </c>
      <c r="K120" s="79" t="s">
        <v>70</v>
      </c>
      <c r="L120" s="79" t="s">
        <v>71</v>
      </c>
      <c r="M120" s="79" t="s">
        <v>1783</v>
      </c>
      <c r="N120" s="79" t="s">
        <v>26</v>
      </c>
      <c r="O120" s="79" t="s">
        <v>113</v>
      </c>
      <c r="P120" s="79" t="s">
        <v>74</v>
      </c>
      <c r="Q120" s="70" t="s">
        <v>3356</v>
      </c>
      <c r="R120" s="79" t="s">
        <v>76</v>
      </c>
      <c r="S120" s="79" t="s">
        <v>97</v>
      </c>
      <c r="T120" s="79">
        <v>2022.0</v>
      </c>
      <c r="U120" s="79" t="s">
        <v>78</v>
      </c>
      <c r="V120" s="79" t="s">
        <v>79</v>
      </c>
      <c r="W120" s="69"/>
      <c r="X120" s="79" t="s">
        <v>80</v>
      </c>
      <c r="Y120" s="79" t="s">
        <v>80</v>
      </c>
      <c r="Z120" s="79" t="s">
        <v>1733</v>
      </c>
      <c r="AA120" s="79" t="s">
        <v>187</v>
      </c>
      <c r="AB120" s="131" t="s">
        <v>3357</v>
      </c>
      <c r="AC120" s="79">
        <v>8.2384797299E10</v>
      </c>
      <c r="AD120" s="79" t="s">
        <v>1735</v>
      </c>
      <c r="AE120" s="59"/>
      <c r="AF120" s="59"/>
      <c r="AG120" s="60"/>
      <c r="AH120" s="61"/>
      <c r="AI120" s="61"/>
      <c r="AJ120" s="61"/>
      <c r="AK120" s="61"/>
      <c r="AL120" s="61"/>
      <c r="AM120" s="61"/>
      <c r="AN120" s="61"/>
      <c r="AO120" s="61"/>
      <c r="AP120" s="61"/>
      <c r="AQ120" s="61"/>
      <c r="AR120" s="61"/>
    </row>
    <row r="121" hidden="1">
      <c r="A121" s="62">
        <v>119.0</v>
      </c>
      <c r="B121" s="96" t="s">
        <v>1736</v>
      </c>
      <c r="C121" s="96" t="s">
        <v>1737</v>
      </c>
      <c r="D121" s="96" t="s">
        <v>1738</v>
      </c>
      <c r="E121" s="70" t="s">
        <v>3358</v>
      </c>
      <c r="F121" s="79" t="s">
        <v>173</v>
      </c>
      <c r="G121" s="79" t="s">
        <v>138</v>
      </c>
      <c r="H121" s="79" t="s">
        <v>1740</v>
      </c>
      <c r="I121" s="96" t="s">
        <v>1741</v>
      </c>
      <c r="J121" s="79" t="s">
        <v>69</v>
      </c>
      <c r="K121" s="79" t="s">
        <v>70</v>
      </c>
      <c r="L121" s="79" t="s">
        <v>71</v>
      </c>
      <c r="M121" s="79" t="s">
        <v>1742</v>
      </c>
      <c r="N121" s="79" t="s">
        <v>73</v>
      </c>
      <c r="O121" s="79" t="s">
        <v>73</v>
      </c>
      <c r="P121" s="79" t="s">
        <v>95</v>
      </c>
      <c r="Q121" s="70" t="s">
        <v>3359</v>
      </c>
      <c r="R121" s="79" t="s">
        <v>76</v>
      </c>
      <c r="S121" s="79" t="s">
        <v>77</v>
      </c>
      <c r="T121" s="98">
        <v>2018.0</v>
      </c>
      <c r="U121" s="79" t="s">
        <v>78</v>
      </c>
      <c r="V121" s="79" t="s">
        <v>79</v>
      </c>
      <c r="W121" s="79" t="s">
        <v>563</v>
      </c>
      <c r="X121" s="79" t="s">
        <v>80</v>
      </c>
      <c r="Y121" s="79" t="s">
        <v>80</v>
      </c>
      <c r="Z121" s="79" t="s">
        <v>1744</v>
      </c>
      <c r="AA121" s="79" t="s">
        <v>187</v>
      </c>
      <c r="AB121" s="96" t="s">
        <v>1745</v>
      </c>
      <c r="AC121" s="96" t="s">
        <v>1746</v>
      </c>
      <c r="AD121" s="96" t="s">
        <v>1747</v>
      </c>
      <c r="AE121" s="59"/>
      <c r="AF121" s="59"/>
      <c r="AG121" s="60"/>
      <c r="AH121" s="61"/>
      <c r="AI121" s="61"/>
      <c r="AJ121" s="61"/>
      <c r="AK121" s="61"/>
      <c r="AL121" s="61"/>
      <c r="AM121" s="61"/>
      <c r="AN121" s="61"/>
      <c r="AO121" s="61"/>
      <c r="AP121" s="61"/>
      <c r="AQ121" s="61"/>
      <c r="AR121" s="61"/>
    </row>
    <row r="122" hidden="1">
      <c r="A122" s="62">
        <v>120.0</v>
      </c>
      <c r="B122" s="96" t="s">
        <v>1752</v>
      </c>
      <c r="C122" s="96" t="s">
        <v>1753</v>
      </c>
      <c r="D122" s="96" t="s">
        <v>1754</v>
      </c>
      <c r="E122" s="70" t="s">
        <v>3360</v>
      </c>
      <c r="F122" s="79" t="s">
        <v>65</v>
      </c>
      <c r="G122" s="79" t="s">
        <v>138</v>
      </c>
      <c r="H122" s="79" t="s">
        <v>1756</v>
      </c>
      <c r="I122" s="96" t="s">
        <v>1757</v>
      </c>
      <c r="J122" s="79" t="s">
        <v>69</v>
      </c>
      <c r="K122" s="79" t="s">
        <v>70</v>
      </c>
      <c r="L122" s="79" t="s">
        <v>71</v>
      </c>
      <c r="M122" s="131" t="s">
        <v>3361</v>
      </c>
      <c r="N122" s="79" t="s">
        <v>82</v>
      </c>
      <c r="O122" s="79" t="s">
        <v>113</v>
      </c>
      <c r="P122" s="79" t="s">
        <v>74</v>
      </c>
      <c r="Q122" s="70" t="s">
        <v>3362</v>
      </c>
      <c r="R122" s="79" t="s">
        <v>76</v>
      </c>
      <c r="S122" s="79" t="s">
        <v>77</v>
      </c>
      <c r="T122" s="79">
        <v>2022.0</v>
      </c>
      <c r="U122" s="79" t="s">
        <v>78</v>
      </c>
      <c r="V122" s="79" t="s">
        <v>79</v>
      </c>
      <c r="W122" s="79" t="s">
        <v>80</v>
      </c>
      <c r="X122" s="79" t="s">
        <v>80</v>
      </c>
      <c r="Y122" s="79" t="s">
        <v>80</v>
      </c>
      <c r="Z122" s="79" t="s">
        <v>1760</v>
      </c>
      <c r="AA122" s="79" t="s">
        <v>187</v>
      </c>
      <c r="AB122" s="96" t="s">
        <v>1761</v>
      </c>
      <c r="AC122" s="96">
        <v>8.2117525952E10</v>
      </c>
      <c r="AD122" s="96" t="s">
        <v>1762</v>
      </c>
      <c r="AE122" s="79" t="s">
        <v>1763</v>
      </c>
      <c r="AF122" s="68" t="s">
        <v>71</v>
      </c>
      <c r="AG122" s="60"/>
      <c r="AH122" s="61"/>
      <c r="AI122" s="61"/>
      <c r="AJ122" s="61"/>
      <c r="AK122" s="61"/>
      <c r="AL122" s="61"/>
      <c r="AM122" s="61"/>
      <c r="AN122" s="61"/>
      <c r="AO122" s="61"/>
      <c r="AP122" s="61"/>
      <c r="AQ122" s="61"/>
      <c r="AR122" s="61"/>
    </row>
    <row r="123" hidden="1">
      <c r="A123" s="62">
        <v>121.0</v>
      </c>
      <c r="B123" s="177"/>
      <c r="C123" s="177"/>
      <c r="D123" s="94"/>
      <c r="E123" s="183"/>
      <c r="F123" s="184"/>
      <c r="G123" s="184"/>
      <c r="H123" s="184"/>
      <c r="I123" s="177"/>
      <c r="J123" s="184"/>
      <c r="K123" s="184"/>
      <c r="L123" s="184"/>
      <c r="M123" s="79" t="s">
        <v>1772</v>
      </c>
      <c r="N123" s="79" t="s">
        <v>73</v>
      </c>
      <c r="O123" s="79" t="s">
        <v>73</v>
      </c>
      <c r="P123" s="79" t="s">
        <v>95</v>
      </c>
      <c r="Q123" s="70" t="s">
        <v>3363</v>
      </c>
      <c r="R123" s="79" t="s">
        <v>76</v>
      </c>
      <c r="S123" s="79" t="s">
        <v>97</v>
      </c>
      <c r="T123" s="79" t="s">
        <v>1774</v>
      </c>
      <c r="U123" s="79" t="s">
        <v>78</v>
      </c>
      <c r="V123" s="79" t="s">
        <v>79</v>
      </c>
      <c r="W123" s="79" t="s">
        <v>80</v>
      </c>
      <c r="X123" s="79" t="s">
        <v>80</v>
      </c>
      <c r="Y123" s="79" t="s">
        <v>80</v>
      </c>
      <c r="Z123" s="184"/>
      <c r="AA123" s="184"/>
      <c r="AB123" s="184"/>
      <c r="AC123" s="184"/>
      <c r="AD123" s="184"/>
      <c r="AE123" s="59"/>
      <c r="AF123" s="59"/>
      <c r="AG123" s="60"/>
      <c r="AH123" s="61"/>
      <c r="AI123" s="61"/>
      <c r="AJ123" s="61"/>
      <c r="AK123" s="61"/>
      <c r="AL123" s="61"/>
      <c r="AM123" s="61"/>
      <c r="AN123" s="61"/>
      <c r="AO123" s="61"/>
      <c r="AP123" s="61"/>
      <c r="AQ123" s="61"/>
      <c r="AR123" s="61"/>
    </row>
    <row r="124" hidden="1">
      <c r="A124" s="62">
        <v>122.0</v>
      </c>
      <c r="B124" s="177"/>
      <c r="C124" s="177"/>
      <c r="D124" s="94"/>
      <c r="E124" s="183"/>
      <c r="F124" s="184"/>
      <c r="G124" s="184"/>
      <c r="H124" s="184"/>
      <c r="I124" s="177"/>
      <c r="J124" s="184"/>
      <c r="K124" s="184"/>
      <c r="L124" s="184"/>
      <c r="M124" s="79" t="s">
        <v>1775</v>
      </c>
      <c r="N124" s="79" t="s">
        <v>73</v>
      </c>
      <c r="O124" s="79" t="s">
        <v>73</v>
      </c>
      <c r="P124" s="79" t="s">
        <v>95</v>
      </c>
      <c r="Q124" s="70" t="s">
        <v>3364</v>
      </c>
      <c r="R124" s="79" t="s">
        <v>76</v>
      </c>
      <c r="S124" s="79" t="s">
        <v>97</v>
      </c>
      <c r="T124" s="79" t="s">
        <v>1774</v>
      </c>
      <c r="U124" s="79" t="s">
        <v>78</v>
      </c>
      <c r="V124" s="79" t="s">
        <v>79</v>
      </c>
      <c r="W124" s="79" t="s">
        <v>80</v>
      </c>
      <c r="X124" s="79" t="s">
        <v>80</v>
      </c>
      <c r="Y124" s="79" t="s">
        <v>80</v>
      </c>
      <c r="Z124" s="184"/>
      <c r="AA124" s="184"/>
      <c r="AB124" s="184"/>
      <c r="AC124" s="184"/>
      <c r="AD124" s="184"/>
      <c r="AE124" s="59"/>
      <c r="AF124" s="59"/>
      <c r="AG124" s="60"/>
      <c r="AH124" s="61"/>
      <c r="AI124" s="61"/>
      <c r="AJ124" s="61"/>
      <c r="AK124" s="61"/>
      <c r="AL124" s="61"/>
      <c r="AM124" s="61"/>
      <c r="AN124" s="61"/>
      <c r="AO124" s="61"/>
      <c r="AP124" s="61"/>
      <c r="AQ124" s="61"/>
      <c r="AR124" s="61"/>
    </row>
    <row r="125" hidden="1">
      <c r="A125" s="62">
        <v>123.0</v>
      </c>
      <c r="B125" s="96" t="s">
        <v>1777</v>
      </c>
      <c r="C125" s="96" t="s">
        <v>1778</v>
      </c>
      <c r="D125" s="76" t="s">
        <v>1779</v>
      </c>
      <c r="E125" s="70" t="s">
        <v>3365</v>
      </c>
      <c r="F125" s="79" t="s">
        <v>65</v>
      </c>
      <c r="G125" s="79" t="s">
        <v>138</v>
      </c>
      <c r="H125" s="79" t="s">
        <v>1781</v>
      </c>
      <c r="I125" s="96" t="s">
        <v>1782</v>
      </c>
      <c r="J125" s="79" t="s">
        <v>69</v>
      </c>
      <c r="K125" s="79" t="s">
        <v>70</v>
      </c>
      <c r="L125" s="79" t="s">
        <v>71</v>
      </c>
      <c r="M125" s="79" t="s">
        <v>1783</v>
      </c>
      <c r="N125" s="79" t="s">
        <v>73</v>
      </c>
      <c r="O125" s="79" t="s">
        <v>73</v>
      </c>
      <c r="P125" s="79" t="s">
        <v>95</v>
      </c>
      <c r="Q125" s="96" t="s">
        <v>1784</v>
      </c>
      <c r="R125" s="79" t="s">
        <v>76</v>
      </c>
      <c r="S125" s="79" t="s">
        <v>97</v>
      </c>
      <c r="T125" s="79" t="s">
        <v>1774</v>
      </c>
      <c r="U125" s="79" t="s">
        <v>78</v>
      </c>
      <c r="V125" s="79" t="s">
        <v>79</v>
      </c>
      <c r="W125" s="79" t="s">
        <v>80</v>
      </c>
      <c r="X125" s="79" t="s">
        <v>80</v>
      </c>
      <c r="Y125" s="79" t="s">
        <v>80</v>
      </c>
      <c r="Z125" s="79" t="s">
        <v>1785</v>
      </c>
      <c r="AA125" s="79" t="s">
        <v>187</v>
      </c>
      <c r="AB125" s="79" t="s">
        <v>1786</v>
      </c>
      <c r="AC125" s="79">
        <v>8.1320513721E10</v>
      </c>
      <c r="AD125" s="79" t="s">
        <v>1787</v>
      </c>
      <c r="AE125" s="59"/>
      <c r="AF125" s="59"/>
      <c r="AG125" s="60"/>
      <c r="AH125" s="61"/>
      <c r="AI125" s="61"/>
      <c r="AJ125" s="61"/>
      <c r="AK125" s="61"/>
      <c r="AL125" s="61"/>
      <c r="AM125" s="61"/>
      <c r="AN125" s="61"/>
      <c r="AO125" s="61"/>
      <c r="AP125" s="61"/>
      <c r="AQ125" s="61"/>
      <c r="AR125" s="61"/>
    </row>
    <row r="126">
      <c r="A126" s="62">
        <v>124.0</v>
      </c>
      <c r="B126" s="96" t="s">
        <v>1788</v>
      </c>
      <c r="C126" s="96" t="s">
        <v>1789</v>
      </c>
      <c r="D126" s="96" t="s">
        <v>1790</v>
      </c>
      <c r="E126" s="70" t="s">
        <v>3366</v>
      </c>
      <c r="F126" s="79" t="s">
        <v>65</v>
      </c>
      <c r="G126" s="79" t="s">
        <v>138</v>
      </c>
      <c r="H126" s="79" t="s">
        <v>1781</v>
      </c>
      <c r="I126" s="96" t="s">
        <v>1792</v>
      </c>
      <c r="J126" s="79" t="s">
        <v>69</v>
      </c>
      <c r="K126" s="79" t="s">
        <v>70</v>
      </c>
      <c r="L126" s="79" t="s">
        <v>71</v>
      </c>
      <c r="M126" s="290" t="s">
        <v>1783</v>
      </c>
      <c r="N126" s="79" t="s">
        <v>26</v>
      </c>
      <c r="O126" s="79" t="s">
        <v>113</v>
      </c>
      <c r="P126" s="79" t="s">
        <v>95</v>
      </c>
      <c r="Q126" s="70" t="s">
        <v>3367</v>
      </c>
      <c r="R126" s="79" t="s">
        <v>76</v>
      </c>
      <c r="S126" s="79" t="s">
        <v>97</v>
      </c>
      <c r="T126" s="98">
        <v>2020.0</v>
      </c>
      <c r="U126" s="79" t="s">
        <v>78</v>
      </c>
      <c r="V126" s="79" t="s">
        <v>79</v>
      </c>
      <c r="W126" s="79" t="s">
        <v>80</v>
      </c>
      <c r="X126" s="79" t="s">
        <v>80</v>
      </c>
      <c r="Y126" s="79" t="s">
        <v>80</v>
      </c>
      <c r="Z126" s="79" t="s">
        <v>1785</v>
      </c>
      <c r="AA126" s="79" t="s">
        <v>187</v>
      </c>
      <c r="AB126" s="96" t="s">
        <v>1786</v>
      </c>
      <c r="AC126" s="96">
        <v>8.1320513721E10</v>
      </c>
      <c r="AD126" s="96" t="s">
        <v>1794</v>
      </c>
      <c r="AE126" s="59"/>
      <c r="AF126" s="59"/>
      <c r="AG126" s="60"/>
      <c r="AH126" s="61"/>
      <c r="AI126" s="61"/>
      <c r="AJ126" s="61"/>
      <c r="AK126" s="61"/>
      <c r="AL126" s="61"/>
      <c r="AM126" s="61"/>
      <c r="AN126" s="61"/>
      <c r="AO126" s="61"/>
      <c r="AP126" s="61"/>
      <c r="AQ126" s="61"/>
      <c r="AR126" s="61"/>
    </row>
    <row r="127" hidden="1">
      <c r="A127" s="62">
        <v>125.0</v>
      </c>
      <c r="B127" s="79" t="s">
        <v>1796</v>
      </c>
      <c r="C127" s="79" t="s">
        <v>1797</v>
      </c>
      <c r="D127" s="79" t="s">
        <v>1798</v>
      </c>
      <c r="E127" s="131" t="s">
        <v>3368</v>
      </c>
      <c r="F127" s="79" t="s">
        <v>246</v>
      </c>
      <c r="G127" s="79" t="s">
        <v>66</v>
      </c>
      <c r="H127" s="79" t="s">
        <v>1800</v>
      </c>
      <c r="I127" s="79" t="s">
        <v>1801</v>
      </c>
      <c r="J127" s="79" t="s">
        <v>91</v>
      </c>
      <c r="K127" s="79" t="s">
        <v>70</v>
      </c>
      <c r="L127" s="79" t="s">
        <v>71</v>
      </c>
      <c r="M127" s="79" t="s">
        <v>1802</v>
      </c>
      <c r="N127" s="79" t="s">
        <v>82</v>
      </c>
      <c r="O127" s="79" t="s">
        <v>113</v>
      </c>
      <c r="P127" s="79" t="s">
        <v>95</v>
      </c>
      <c r="Q127" s="131" t="s">
        <v>3369</v>
      </c>
      <c r="R127" s="79" t="s">
        <v>76</v>
      </c>
      <c r="S127" s="79" t="s">
        <v>97</v>
      </c>
      <c r="T127" s="79">
        <v>2021.0</v>
      </c>
      <c r="U127" s="79" t="s">
        <v>78</v>
      </c>
      <c r="V127" s="79" t="s">
        <v>79</v>
      </c>
      <c r="W127" s="79" t="s">
        <v>80</v>
      </c>
      <c r="X127" s="79" t="s">
        <v>80</v>
      </c>
      <c r="Y127" s="79" t="s">
        <v>80</v>
      </c>
      <c r="Z127" s="79" t="s">
        <v>1804</v>
      </c>
      <c r="AA127" s="79" t="s">
        <v>189</v>
      </c>
      <c r="AB127" s="79" t="s">
        <v>1805</v>
      </c>
      <c r="AC127" s="79">
        <v>8.12245105E10</v>
      </c>
      <c r="AD127" s="69"/>
      <c r="AE127" s="59"/>
      <c r="AF127" s="68" t="s">
        <v>1268</v>
      </c>
      <c r="AG127" s="186" t="s">
        <v>1806</v>
      </c>
      <c r="AI127" s="61"/>
      <c r="AJ127" s="61"/>
      <c r="AK127" s="61"/>
      <c r="AL127" s="61"/>
      <c r="AM127" s="61"/>
      <c r="AN127" s="61"/>
      <c r="AO127" s="61"/>
      <c r="AP127" s="61"/>
      <c r="AQ127" s="61"/>
      <c r="AR127" s="61"/>
    </row>
    <row r="128" hidden="1">
      <c r="A128" s="62">
        <v>126.0</v>
      </c>
      <c r="B128" s="79" t="s">
        <v>1807</v>
      </c>
      <c r="C128" s="79" t="s">
        <v>1808</v>
      </c>
      <c r="D128" s="79" t="s">
        <v>1809</v>
      </c>
      <c r="E128" s="131" t="s">
        <v>3370</v>
      </c>
      <c r="F128" s="79" t="s">
        <v>246</v>
      </c>
      <c r="G128" s="79" t="s">
        <v>66</v>
      </c>
      <c r="H128" s="79" t="s">
        <v>1811</v>
      </c>
      <c r="I128" s="79" t="s">
        <v>1812</v>
      </c>
      <c r="J128" s="79" t="s">
        <v>69</v>
      </c>
      <c r="K128" s="79" t="s">
        <v>70</v>
      </c>
      <c r="L128" s="79" t="s">
        <v>71</v>
      </c>
      <c r="M128" s="79" t="s">
        <v>1813</v>
      </c>
      <c r="N128" s="79" t="s">
        <v>73</v>
      </c>
      <c r="O128" s="79" t="s">
        <v>73</v>
      </c>
      <c r="P128" s="79" t="s">
        <v>95</v>
      </c>
      <c r="Q128" s="131" t="s">
        <v>3371</v>
      </c>
      <c r="R128" s="79" t="s">
        <v>76</v>
      </c>
      <c r="S128" s="79" t="s">
        <v>97</v>
      </c>
      <c r="T128" s="79" t="s">
        <v>563</v>
      </c>
      <c r="U128" s="79" t="s">
        <v>78</v>
      </c>
      <c r="V128" s="79" t="s">
        <v>79</v>
      </c>
      <c r="W128" s="79" t="s">
        <v>80</v>
      </c>
      <c r="X128" s="79" t="s">
        <v>80</v>
      </c>
      <c r="Y128" s="79" t="s">
        <v>80</v>
      </c>
      <c r="Z128" s="79" t="s">
        <v>1804</v>
      </c>
      <c r="AA128" s="79" t="s">
        <v>189</v>
      </c>
      <c r="AB128" s="79" t="s">
        <v>1805</v>
      </c>
      <c r="AC128" s="79">
        <v>8.12245105E10</v>
      </c>
      <c r="AD128" s="69"/>
      <c r="AE128" s="59"/>
      <c r="AF128" s="68" t="s">
        <v>71</v>
      </c>
      <c r="AG128" s="187" t="s">
        <v>26</v>
      </c>
      <c r="AH128" s="61"/>
      <c r="AI128" s="61"/>
      <c r="AJ128" s="61"/>
      <c r="AK128" s="61"/>
      <c r="AL128" s="61"/>
      <c r="AM128" s="61"/>
      <c r="AN128" s="61"/>
      <c r="AO128" s="61"/>
      <c r="AP128" s="61"/>
      <c r="AQ128" s="61"/>
      <c r="AR128" s="61"/>
    </row>
    <row r="129" hidden="1">
      <c r="A129" s="62">
        <v>127.0</v>
      </c>
      <c r="B129" s="79" t="s">
        <v>1815</v>
      </c>
      <c r="C129" s="79" t="s">
        <v>1816</v>
      </c>
      <c r="D129" s="79" t="s">
        <v>1817</v>
      </c>
      <c r="E129" s="131" t="s">
        <v>3372</v>
      </c>
      <c r="F129" s="79" t="s">
        <v>204</v>
      </c>
      <c r="G129" s="79" t="s">
        <v>66</v>
      </c>
      <c r="H129" s="79" t="s">
        <v>1819</v>
      </c>
      <c r="I129" s="79" t="s">
        <v>1820</v>
      </c>
      <c r="J129" s="79" t="s">
        <v>91</v>
      </c>
      <c r="K129" s="79" t="s">
        <v>70</v>
      </c>
      <c r="L129" s="79" t="s">
        <v>71</v>
      </c>
      <c r="M129" s="79" t="s">
        <v>1821</v>
      </c>
      <c r="N129" s="79" t="s">
        <v>73</v>
      </c>
      <c r="O129" s="79" t="s">
        <v>73</v>
      </c>
      <c r="P129" s="79" t="s">
        <v>95</v>
      </c>
      <c r="Q129" s="131" t="s">
        <v>3373</v>
      </c>
      <c r="R129" s="79" t="s">
        <v>76</v>
      </c>
      <c r="S129" s="79" t="s">
        <v>97</v>
      </c>
      <c r="T129" s="79" t="s">
        <v>563</v>
      </c>
      <c r="U129" s="79" t="s">
        <v>78</v>
      </c>
      <c r="V129" s="79" t="s">
        <v>79</v>
      </c>
      <c r="W129" s="79" t="s">
        <v>80</v>
      </c>
      <c r="X129" s="79" t="s">
        <v>80</v>
      </c>
      <c r="Y129" s="79" t="s">
        <v>80</v>
      </c>
      <c r="Z129" s="79" t="s">
        <v>1823</v>
      </c>
      <c r="AA129" s="79" t="s">
        <v>189</v>
      </c>
      <c r="AB129" s="79" t="s">
        <v>1824</v>
      </c>
      <c r="AC129" s="79">
        <v>8.5794560785E10</v>
      </c>
      <c r="AD129" s="79" t="s">
        <v>1825</v>
      </c>
      <c r="AE129" s="59"/>
      <c r="AF129" s="59"/>
      <c r="AG129" s="90"/>
      <c r="AH129" s="61"/>
      <c r="AI129" s="61"/>
      <c r="AJ129" s="61"/>
      <c r="AK129" s="61"/>
      <c r="AL129" s="61"/>
      <c r="AM129" s="61"/>
      <c r="AN129" s="61"/>
      <c r="AO129" s="61"/>
      <c r="AP129" s="61"/>
      <c r="AQ129" s="61"/>
      <c r="AR129" s="61"/>
    </row>
    <row r="130" hidden="1">
      <c r="A130" s="62">
        <v>128.0</v>
      </c>
      <c r="B130" s="79" t="s">
        <v>1826</v>
      </c>
      <c r="C130" s="79" t="s">
        <v>1827</v>
      </c>
      <c r="D130" s="79" t="s">
        <v>1828</v>
      </c>
      <c r="E130" s="79" t="s">
        <v>88</v>
      </c>
      <c r="F130" s="79" t="s">
        <v>214</v>
      </c>
      <c r="G130" s="79" t="s">
        <v>66</v>
      </c>
      <c r="H130" s="79" t="s">
        <v>1829</v>
      </c>
      <c r="I130" s="79" t="s">
        <v>1830</v>
      </c>
      <c r="J130" s="79" t="s">
        <v>151</v>
      </c>
      <c r="K130" s="79" t="s">
        <v>70</v>
      </c>
      <c r="L130" s="79" t="s">
        <v>152</v>
      </c>
      <c r="M130" s="79" t="s">
        <v>1831</v>
      </c>
      <c r="N130" s="79" t="s">
        <v>93</v>
      </c>
      <c r="O130" s="79" t="s">
        <v>94</v>
      </c>
      <c r="P130" s="79" t="s">
        <v>74</v>
      </c>
      <c r="Q130" s="131" t="s">
        <v>3374</v>
      </c>
      <c r="R130" s="79" t="s">
        <v>76</v>
      </c>
      <c r="S130" s="79" t="s">
        <v>97</v>
      </c>
      <c r="T130" s="79" t="s">
        <v>563</v>
      </c>
      <c r="U130" s="79" t="s">
        <v>78</v>
      </c>
      <c r="V130" s="79" t="s">
        <v>79</v>
      </c>
      <c r="W130" s="79" t="s">
        <v>80</v>
      </c>
      <c r="X130" s="79" t="s">
        <v>100</v>
      </c>
      <c r="Y130" s="79" t="s">
        <v>139</v>
      </c>
      <c r="Z130" s="79" t="s">
        <v>1833</v>
      </c>
      <c r="AA130" s="79" t="s">
        <v>189</v>
      </c>
      <c r="AB130" s="79" t="s">
        <v>1834</v>
      </c>
      <c r="AC130" s="79">
        <v>8.5882562008E10</v>
      </c>
      <c r="AD130" s="79" t="s">
        <v>1835</v>
      </c>
      <c r="AE130" s="67" t="s">
        <v>1836</v>
      </c>
      <c r="AF130" s="68" t="s">
        <v>71</v>
      </c>
      <c r="AG130" s="187" t="s">
        <v>26</v>
      </c>
      <c r="AH130" s="61"/>
      <c r="AI130" s="61"/>
      <c r="AJ130" s="61"/>
      <c r="AK130" s="61"/>
      <c r="AL130" s="61"/>
      <c r="AM130" s="61"/>
      <c r="AN130" s="61"/>
      <c r="AO130" s="61"/>
      <c r="AP130" s="61"/>
      <c r="AQ130" s="61"/>
      <c r="AR130" s="61"/>
    </row>
    <row r="131" hidden="1">
      <c r="A131" s="62">
        <v>129.0</v>
      </c>
      <c r="B131" s="79" t="s">
        <v>1837</v>
      </c>
      <c r="C131" s="79" t="s">
        <v>1838</v>
      </c>
      <c r="D131" s="79" t="s">
        <v>1839</v>
      </c>
      <c r="E131" s="131" t="s">
        <v>3375</v>
      </c>
      <c r="F131" s="79" t="s">
        <v>214</v>
      </c>
      <c r="G131" s="79" t="s">
        <v>66</v>
      </c>
      <c r="H131" s="79" t="s">
        <v>1841</v>
      </c>
      <c r="I131" s="79" t="s">
        <v>1842</v>
      </c>
      <c r="J131" s="79" t="s">
        <v>69</v>
      </c>
      <c r="K131" s="79" t="s">
        <v>70</v>
      </c>
      <c r="L131" s="79" t="s">
        <v>111</v>
      </c>
      <c r="M131" s="79" t="s">
        <v>1843</v>
      </c>
      <c r="N131" s="79" t="s">
        <v>73</v>
      </c>
      <c r="O131" s="79" t="s">
        <v>73</v>
      </c>
      <c r="P131" s="79" t="s">
        <v>95</v>
      </c>
      <c r="Q131" s="131" t="s">
        <v>3376</v>
      </c>
      <c r="R131" s="79" t="s">
        <v>76</v>
      </c>
      <c r="S131" s="79" t="s">
        <v>97</v>
      </c>
      <c r="T131" s="79" t="s">
        <v>563</v>
      </c>
      <c r="U131" s="79" t="s">
        <v>78</v>
      </c>
      <c r="V131" s="79" t="s">
        <v>79</v>
      </c>
      <c r="W131" s="79" t="s">
        <v>80</v>
      </c>
      <c r="X131" s="79" t="s">
        <v>80</v>
      </c>
      <c r="Y131" s="79" t="s">
        <v>80</v>
      </c>
      <c r="Z131" s="79" t="s">
        <v>1845</v>
      </c>
      <c r="AA131" s="79" t="s">
        <v>189</v>
      </c>
      <c r="AB131" s="79" t="s">
        <v>1846</v>
      </c>
      <c r="AC131" s="79">
        <v>8.1321122481E10</v>
      </c>
      <c r="AD131" s="69"/>
      <c r="AE131" s="77">
        <v>22.0</v>
      </c>
      <c r="AF131" s="68" t="s">
        <v>566</v>
      </c>
      <c r="AG131" s="187" t="s">
        <v>26</v>
      </c>
      <c r="AH131" s="61"/>
      <c r="AI131" s="61"/>
      <c r="AJ131" s="61"/>
      <c r="AK131" s="61"/>
      <c r="AL131" s="61"/>
      <c r="AM131" s="61"/>
      <c r="AN131" s="61"/>
      <c r="AO131" s="61"/>
      <c r="AP131" s="61"/>
      <c r="AQ131" s="61"/>
      <c r="AR131" s="61"/>
    </row>
    <row r="132" hidden="1">
      <c r="A132" s="62">
        <v>130.0</v>
      </c>
      <c r="B132" s="79" t="s">
        <v>1847</v>
      </c>
      <c r="C132" s="79" t="s">
        <v>1848</v>
      </c>
      <c r="D132" s="79" t="s">
        <v>1849</v>
      </c>
      <c r="E132" s="131" t="s">
        <v>3377</v>
      </c>
      <c r="F132" s="79" t="s">
        <v>212</v>
      </c>
      <c r="G132" s="79" t="s">
        <v>66</v>
      </c>
      <c r="H132" s="79" t="s">
        <v>1851</v>
      </c>
      <c r="I132" s="79" t="s">
        <v>1852</v>
      </c>
      <c r="J132" s="79" t="s">
        <v>91</v>
      </c>
      <c r="K132" s="79" t="s">
        <v>70</v>
      </c>
      <c r="L132" s="79" t="s">
        <v>152</v>
      </c>
      <c r="M132" s="79" t="s">
        <v>1853</v>
      </c>
      <c r="N132" s="79" t="s">
        <v>73</v>
      </c>
      <c r="O132" s="79" t="s">
        <v>73</v>
      </c>
      <c r="P132" s="79" t="s">
        <v>95</v>
      </c>
      <c r="Q132" s="131" t="s">
        <v>3378</v>
      </c>
      <c r="R132" s="79" t="s">
        <v>76</v>
      </c>
      <c r="S132" s="79" t="s">
        <v>97</v>
      </c>
      <c r="T132" s="79" t="s">
        <v>563</v>
      </c>
      <c r="U132" s="79" t="s">
        <v>78</v>
      </c>
      <c r="V132" s="79" t="s">
        <v>79</v>
      </c>
      <c r="W132" s="79" t="s">
        <v>80</v>
      </c>
      <c r="X132" s="79" t="s">
        <v>80</v>
      </c>
      <c r="Y132" s="79" t="s">
        <v>80</v>
      </c>
      <c r="Z132" s="79" t="s">
        <v>1845</v>
      </c>
      <c r="AA132" s="79" t="s">
        <v>189</v>
      </c>
      <c r="AB132" s="79" t="s">
        <v>1846</v>
      </c>
      <c r="AC132" s="79">
        <v>8.1321122481E10</v>
      </c>
      <c r="AD132" s="69"/>
      <c r="AE132" s="67" t="s">
        <v>1855</v>
      </c>
      <c r="AF132" s="68" t="s">
        <v>1268</v>
      </c>
      <c r="AG132" s="187" t="s">
        <v>26</v>
      </c>
      <c r="AH132" s="61"/>
      <c r="AI132" s="61"/>
      <c r="AJ132" s="61"/>
      <c r="AK132" s="61"/>
      <c r="AL132" s="61"/>
      <c r="AM132" s="61"/>
      <c r="AN132" s="61"/>
      <c r="AO132" s="61"/>
      <c r="AP132" s="61"/>
      <c r="AQ132" s="61"/>
      <c r="AR132" s="61"/>
    </row>
    <row r="133" hidden="1">
      <c r="A133" s="62">
        <v>131.0</v>
      </c>
      <c r="B133" s="79" t="s">
        <v>1856</v>
      </c>
      <c r="C133" s="79" t="s">
        <v>1857</v>
      </c>
      <c r="D133" s="79" t="s">
        <v>1858</v>
      </c>
      <c r="E133" s="131" t="s">
        <v>3379</v>
      </c>
      <c r="F133" s="79" t="s">
        <v>245</v>
      </c>
      <c r="G133" s="79" t="s">
        <v>66</v>
      </c>
      <c r="H133" s="79" t="s">
        <v>1860</v>
      </c>
      <c r="I133" s="79" t="s">
        <v>1861</v>
      </c>
      <c r="J133" s="79" t="s">
        <v>91</v>
      </c>
      <c r="K133" s="79" t="s">
        <v>70</v>
      </c>
      <c r="L133" s="79" t="s">
        <v>71</v>
      </c>
      <c r="M133" s="79" t="s">
        <v>1862</v>
      </c>
      <c r="N133" s="79" t="s">
        <v>82</v>
      </c>
      <c r="O133" s="79" t="s">
        <v>113</v>
      </c>
      <c r="P133" s="79" t="s">
        <v>95</v>
      </c>
      <c r="Q133" s="131" t="s">
        <v>3380</v>
      </c>
      <c r="R133" s="79" t="s">
        <v>76</v>
      </c>
      <c r="S133" s="79" t="s">
        <v>97</v>
      </c>
      <c r="T133" s="79">
        <v>2021.0</v>
      </c>
      <c r="U133" s="79" t="s">
        <v>78</v>
      </c>
      <c r="V133" s="79" t="s">
        <v>79</v>
      </c>
      <c r="W133" s="79" t="s">
        <v>80</v>
      </c>
      <c r="X133" s="79" t="s">
        <v>80</v>
      </c>
      <c r="Y133" s="79" t="s">
        <v>80</v>
      </c>
      <c r="Z133" s="79" t="s">
        <v>1864</v>
      </c>
      <c r="AA133" s="79" t="s">
        <v>189</v>
      </c>
      <c r="AB133" s="79" t="s">
        <v>1865</v>
      </c>
      <c r="AC133" s="79">
        <v>8.1214317867E10</v>
      </c>
      <c r="AD133" s="79" t="s">
        <v>1866</v>
      </c>
      <c r="AE133" s="59"/>
      <c r="AF133" s="68" t="s">
        <v>1268</v>
      </c>
      <c r="AG133" s="187" t="s">
        <v>26</v>
      </c>
      <c r="AH133" s="61"/>
      <c r="AI133" s="61"/>
      <c r="AJ133" s="61"/>
      <c r="AK133" s="61"/>
      <c r="AL133" s="61"/>
      <c r="AM133" s="61"/>
      <c r="AN133" s="61"/>
      <c r="AO133" s="61"/>
      <c r="AP133" s="61"/>
      <c r="AQ133" s="61"/>
      <c r="AR133" s="61"/>
    </row>
    <row r="134" hidden="1">
      <c r="A134" s="62">
        <v>132.0</v>
      </c>
      <c r="B134" s="96" t="s">
        <v>1868</v>
      </c>
      <c r="C134" s="96" t="s">
        <v>1869</v>
      </c>
      <c r="D134" s="96" t="s">
        <v>1870</v>
      </c>
      <c r="E134" s="131" t="s">
        <v>3381</v>
      </c>
      <c r="F134" s="79" t="s">
        <v>256</v>
      </c>
      <c r="G134" s="79" t="s">
        <v>138</v>
      </c>
      <c r="H134" s="79" t="s">
        <v>1872</v>
      </c>
      <c r="I134" s="96" t="s">
        <v>1873</v>
      </c>
      <c r="J134" s="79" t="s">
        <v>151</v>
      </c>
      <c r="K134" s="79" t="s">
        <v>70</v>
      </c>
      <c r="L134" s="79" t="s">
        <v>152</v>
      </c>
      <c r="M134" s="79" t="s">
        <v>1874</v>
      </c>
      <c r="N134" s="79" t="s">
        <v>82</v>
      </c>
      <c r="O134" s="79" t="s">
        <v>113</v>
      </c>
      <c r="P134" s="79" t="s">
        <v>95</v>
      </c>
      <c r="Q134" s="70" t="s">
        <v>3382</v>
      </c>
      <c r="R134" s="79" t="s">
        <v>76</v>
      </c>
      <c r="S134" s="79" t="s">
        <v>97</v>
      </c>
      <c r="T134" s="79">
        <v>2018.0</v>
      </c>
      <c r="U134" s="79" t="s">
        <v>154</v>
      </c>
      <c r="V134" s="79" t="s">
        <v>79</v>
      </c>
      <c r="W134" s="79" t="s">
        <v>80</v>
      </c>
      <c r="X134" s="69"/>
      <c r="Y134" s="69"/>
      <c r="Z134" s="79" t="s">
        <v>1876</v>
      </c>
      <c r="AA134" s="79" t="s">
        <v>191</v>
      </c>
      <c r="AB134" s="96" t="s">
        <v>1877</v>
      </c>
      <c r="AC134" s="96" t="s">
        <v>1878</v>
      </c>
      <c r="AD134" s="96" t="s">
        <v>1879</v>
      </c>
      <c r="AE134" s="59"/>
      <c r="AF134" s="59"/>
      <c r="AG134" s="84" t="s">
        <v>1867</v>
      </c>
      <c r="AH134" s="61"/>
      <c r="AI134" s="61"/>
      <c r="AJ134" s="61"/>
      <c r="AK134" s="61"/>
      <c r="AL134" s="61"/>
      <c r="AM134" s="61"/>
      <c r="AN134" s="61"/>
      <c r="AO134" s="61"/>
      <c r="AP134" s="61"/>
      <c r="AQ134" s="61"/>
      <c r="AR134" s="61"/>
    </row>
    <row r="135" hidden="1">
      <c r="A135" s="62">
        <v>133.0</v>
      </c>
      <c r="B135" s="96" t="s">
        <v>1880</v>
      </c>
      <c r="C135" s="96" t="s">
        <v>1881</v>
      </c>
      <c r="D135" s="96" t="s">
        <v>1882</v>
      </c>
      <c r="E135" s="70" t="s">
        <v>3383</v>
      </c>
      <c r="F135" s="79" t="s">
        <v>257</v>
      </c>
      <c r="G135" s="79" t="s">
        <v>138</v>
      </c>
      <c r="H135" s="79" t="s">
        <v>1884</v>
      </c>
      <c r="I135" s="96" t="s">
        <v>1885</v>
      </c>
      <c r="J135" s="79" t="s">
        <v>151</v>
      </c>
      <c r="K135" s="79" t="s">
        <v>70</v>
      </c>
      <c r="L135" s="79" t="s">
        <v>152</v>
      </c>
      <c r="M135" s="79" t="s">
        <v>1886</v>
      </c>
      <c r="N135" s="79" t="s">
        <v>93</v>
      </c>
      <c r="O135" s="79" t="s">
        <v>94</v>
      </c>
      <c r="P135" s="79" t="s">
        <v>74</v>
      </c>
      <c r="Q135" s="70" t="s">
        <v>3384</v>
      </c>
      <c r="R135" s="79" t="s">
        <v>76</v>
      </c>
      <c r="S135" s="79" t="s">
        <v>97</v>
      </c>
      <c r="T135" s="79">
        <v>2022.0</v>
      </c>
      <c r="U135" s="79" t="s">
        <v>154</v>
      </c>
      <c r="V135" s="79" t="s">
        <v>79</v>
      </c>
      <c r="W135" s="79" t="s">
        <v>80</v>
      </c>
      <c r="X135" s="69"/>
      <c r="Y135" s="69"/>
      <c r="Z135" s="79" t="s">
        <v>1888</v>
      </c>
      <c r="AA135" s="79" t="s">
        <v>191</v>
      </c>
      <c r="AB135" s="96" t="s">
        <v>1889</v>
      </c>
      <c r="AC135" s="96">
        <v>8.7824561374E10</v>
      </c>
      <c r="AD135" s="96" t="s">
        <v>1890</v>
      </c>
      <c r="AE135" s="59"/>
      <c r="AF135" s="59"/>
      <c r="AG135" s="84" t="s">
        <v>1867</v>
      </c>
      <c r="AH135" s="61"/>
      <c r="AI135" s="61"/>
      <c r="AJ135" s="61"/>
      <c r="AK135" s="61"/>
      <c r="AL135" s="61"/>
      <c r="AM135" s="61"/>
      <c r="AN135" s="61"/>
      <c r="AO135" s="61"/>
      <c r="AP135" s="61"/>
      <c r="AQ135" s="61"/>
      <c r="AR135" s="61"/>
    </row>
    <row r="136" hidden="1">
      <c r="A136" s="62">
        <v>134.0</v>
      </c>
      <c r="B136" s="96" t="s">
        <v>1891</v>
      </c>
      <c r="C136" s="96" t="s">
        <v>1892</v>
      </c>
      <c r="D136" s="96" t="s">
        <v>1893</v>
      </c>
      <c r="E136" s="70" t="s">
        <v>3385</v>
      </c>
      <c r="F136" s="79" t="s">
        <v>228</v>
      </c>
      <c r="G136" s="79" t="s">
        <v>66</v>
      </c>
      <c r="H136" s="79" t="s">
        <v>1895</v>
      </c>
      <c r="I136" s="96" t="s">
        <v>1896</v>
      </c>
      <c r="J136" s="79" t="s">
        <v>151</v>
      </c>
      <c r="K136" s="79" t="s">
        <v>70</v>
      </c>
      <c r="L136" s="79" t="s">
        <v>111</v>
      </c>
      <c r="M136" s="79" t="s">
        <v>1897</v>
      </c>
      <c r="N136" s="79" t="s">
        <v>82</v>
      </c>
      <c r="O136" s="79" t="s">
        <v>113</v>
      </c>
      <c r="P136" s="79" t="s">
        <v>95</v>
      </c>
      <c r="Q136" s="70" t="s">
        <v>3386</v>
      </c>
      <c r="R136" s="79" t="s">
        <v>76</v>
      </c>
      <c r="S136" s="79" t="s">
        <v>97</v>
      </c>
      <c r="T136" s="79">
        <v>2021.0</v>
      </c>
      <c r="U136" s="79" t="s">
        <v>78</v>
      </c>
      <c r="V136" s="79" t="s">
        <v>79</v>
      </c>
      <c r="W136" s="79" t="s">
        <v>80</v>
      </c>
      <c r="X136" s="79" t="s">
        <v>80</v>
      </c>
      <c r="Y136" s="79" t="s">
        <v>80</v>
      </c>
      <c r="Z136" s="79" t="s">
        <v>1899</v>
      </c>
      <c r="AA136" s="79" t="s">
        <v>191</v>
      </c>
      <c r="AB136" s="96" t="s">
        <v>1900</v>
      </c>
      <c r="AC136" s="96">
        <v>8.529749963E10</v>
      </c>
      <c r="AD136" s="96" t="s">
        <v>1901</v>
      </c>
      <c r="AE136" s="59"/>
      <c r="AF136" s="59"/>
      <c r="AG136" s="84" t="s">
        <v>1867</v>
      </c>
      <c r="AH136" s="61"/>
      <c r="AI136" s="61"/>
      <c r="AJ136" s="61"/>
      <c r="AK136" s="61"/>
      <c r="AL136" s="61"/>
      <c r="AM136" s="61"/>
      <c r="AN136" s="61"/>
      <c r="AO136" s="61"/>
      <c r="AP136" s="61"/>
      <c r="AQ136" s="61"/>
      <c r="AR136" s="61"/>
    </row>
    <row r="137" hidden="1">
      <c r="A137" s="62">
        <v>135.0</v>
      </c>
      <c r="B137" s="96" t="s">
        <v>1903</v>
      </c>
      <c r="C137" s="96" t="s">
        <v>1904</v>
      </c>
      <c r="D137" s="96" t="s">
        <v>1905</v>
      </c>
      <c r="E137" s="96" t="s">
        <v>136</v>
      </c>
      <c r="F137" s="79" t="s">
        <v>433</v>
      </c>
      <c r="G137" s="79" t="s">
        <v>66</v>
      </c>
      <c r="H137" s="79" t="s">
        <v>1906</v>
      </c>
      <c r="I137" s="96" t="s">
        <v>1907</v>
      </c>
      <c r="J137" s="79" t="s">
        <v>91</v>
      </c>
      <c r="K137" s="79" t="s">
        <v>70</v>
      </c>
      <c r="L137" s="79" t="s">
        <v>111</v>
      </c>
      <c r="M137" s="79" t="s">
        <v>1908</v>
      </c>
      <c r="N137" s="79" t="s">
        <v>144</v>
      </c>
      <c r="O137" s="79" t="s">
        <v>144</v>
      </c>
      <c r="P137" s="79" t="s">
        <v>95</v>
      </c>
      <c r="Q137" s="70" t="s">
        <v>3387</v>
      </c>
      <c r="R137" s="79" t="s">
        <v>76</v>
      </c>
      <c r="S137" s="79" t="s">
        <v>97</v>
      </c>
      <c r="T137" s="79">
        <v>2017.0</v>
      </c>
      <c r="U137" s="79" t="s">
        <v>78</v>
      </c>
      <c r="V137" s="79" t="s">
        <v>79</v>
      </c>
      <c r="W137" s="79" t="s">
        <v>80</v>
      </c>
      <c r="X137" s="79" t="s">
        <v>80</v>
      </c>
      <c r="Y137" s="79" t="s">
        <v>80</v>
      </c>
      <c r="Z137" s="79" t="s">
        <v>1910</v>
      </c>
      <c r="AA137" s="79" t="s">
        <v>193</v>
      </c>
      <c r="AB137" s="96" t="s">
        <v>1911</v>
      </c>
      <c r="AC137" s="96">
        <v>8.2118147356E10</v>
      </c>
      <c r="AD137" s="96" t="s">
        <v>1912</v>
      </c>
      <c r="AE137" s="68">
        <v>18.0</v>
      </c>
      <c r="AF137" s="68" t="s">
        <v>152</v>
      </c>
      <c r="AG137" s="188" t="s">
        <v>26</v>
      </c>
      <c r="AH137" s="61"/>
      <c r="AI137" s="61"/>
      <c r="AJ137" s="61"/>
      <c r="AK137" s="61"/>
      <c r="AL137" s="61"/>
      <c r="AM137" s="61"/>
      <c r="AN137" s="61"/>
      <c r="AO137" s="61"/>
      <c r="AP137" s="61"/>
      <c r="AQ137" s="61"/>
      <c r="AR137" s="61"/>
    </row>
    <row r="138" hidden="1">
      <c r="A138" s="62">
        <v>136.0</v>
      </c>
      <c r="B138" s="96" t="s">
        <v>1914</v>
      </c>
      <c r="C138" s="79" t="s">
        <v>1915</v>
      </c>
      <c r="D138" s="79" t="s">
        <v>1916</v>
      </c>
      <c r="E138" s="96" t="s">
        <v>1327</v>
      </c>
      <c r="F138" s="79" t="s">
        <v>181</v>
      </c>
      <c r="G138" s="79" t="s">
        <v>66</v>
      </c>
      <c r="H138" s="79" t="s">
        <v>1917</v>
      </c>
      <c r="I138" s="79" t="s">
        <v>1918</v>
      </c>
      <c r="J138" s="79" t="s">
        <v>151</v>
      </c>
      <c r="K138" s="79" t="s">
        <v>70</v>
      </c>
      <c r="L138" s="79" t="s">
        <v>101</v>
      </c>
      <c r="M138" s="79" t="s">
        <v>1919</v>
      </c>
      <c r="N138" s="79" t="s">
        <v>26</v>
      </c>
      <c r="O138" s="79" t="s">
        <v>113</v>
      </c>
      <c r="P138" s="79" t="s">
        <v>95</v>
      </c>
      <c r="Q138" s="70" t="s">
        <v>3388</v>
      </c>
      <c r="R138" s="79" t="s">
        <v>76</v>
      </c>
      <c r="S138" s="79" t="s">
        <v>77</v>
      </c>
      <c r="T138" s="79">
        <v>2021.0</v>
      </c>
      <c r="U138" s="79" t="s">
        <v>78</v>
      </c>
      <c r="V138" s="79" t="s">
        <v>98</v>
      </c>
      <c r="W138" s="79" t="s">
        <v>1921</v>
      </c>
      <c r="X138" s="79" t="s">
        <v>148</v>
      </c>
      <c r="Y138" s="79" t="s">
        <v>139</v>
      </c>
      <c r="Z138" s="79" t="s">
        <v>1922</v>
      </c>
      <c r="AA138" s="79" t="s">
        <v>195</v>
      </c>
      <c r="AB138" s="131" t="s">
        <v>3389</v>
      </c>
      <c r="AC138" s="96">
        <v>8.1214589147E10</v>
      </c>
      <c r="AD138" s="96" t="s">
        <v>1924</v>
      </c>
      <c r="AE138" s="68" t="s">
        <v>1925</v>
      </c>
      <c r="AF138" s="68" t="s">
        <v>71</v>
      </c>
      <c r="AG138" s="188" t="s">
        <v>1926</v>
      </c>
      <c r="AH138" s="61"/>
      <c r="AI138" s="61"/>
      <c r="AJ138" s="61"/>
      <c r="AK138" s="61"/>
      <c r="AL138" s="61"/>
      <c r="AM138" s="61"/>
      <c r="AN138" s="61"/>
      <c r="AO138" s="61"/>
      <c r="AP138" s="61"/>
      <c r="AQ138" s="61"/>
      <c r="AR138" s="61"/>
    </row>
    <row r="139" hidden="1">
      <c r="A139" s="62">
        <v>137.0</v>
      </c>
      <c r="B139" s="189" t="s">
        <v>1927</v>
      </c>
      <c r="C139" s="68" t="s">
        <v>1928</v>
      </c>
      <c r="D139" s="96" t="s">
        <v>1929</v>
      </c>
      <c r="E139" s="96" t="s">
        <v>1327</v>
      </c>
      <c r="F139" s="79" t="s">
        <v>280</v>
      </c>
      <c r="G139" s="79" t="s">
        <v>66</v>
      </c>
      <c r="H139" s="79" t="s">
        <v>1930</v>
      </c>
      <c r="I139" s="96" t="s">
        <v>1931</v>
      </c>
      <c r="J139" s="79" t="s">
        <v>69</v>
      </c>
      <c r="K139" s="79" t="s">
        <v>70</v>
      </c>
      <c r="L139" s="79" t="s">
        <v>101</v>
      </c>
      <c r="M139" s="79" t="s">
        <v>1932</v>
      </c>
      <c r="N139" s="79" t="s">
        <v>26</v>
      </c>
      <c r="O139" s="79" t="s">
        <v>113</v>
      </c>
      <c r="P139" s="79" t="s">
        <v>95</v>
      </c>
      <c r="Q139" s="70" t="s">
        <v>3390</v>
      </c>
      <c r="R139" s="79" t="s">
        <v>76</v>
      </c>
      <c r="S139" s="79" t="s">
        <v>77</v>
      </c>
      <c r="T139" s="79">
        <v>2025.0</v>
      </c>
      <c r="U139" s="79" t="s">
        <v>78</v>
      </c>
      <c r="V139" s="79" t="s">
        <v>79</v>
      </c>
      <c r="W139" s="79" t="s">
        <v>80</v>
      </c>
      <c r="X139" s="79" t="s">
        <v>80</v>
      </c>
      <c r="Y139" s="79" t="s">
        <v>80</v>
      </c>
      <c r="Z139" s="79" t="s">
        <v>1934</v>
      </c>
      <c r="AA139" s="79" t="s">
        <v>195</v>
      </c>
      <c r="AB139" s="96" t="s">
        <v>1935</v>
      </c>
      <c r="AC139" s="96">
        <v>8.5724376051E10</v>
      </c>
      <c r="AD139" s="96" t="s">
        <v>1924</v>
      </c>
      <c r="AE139" s="68">
        <v>19.0</v>
      </c>
      <c r="AF139" s="68" t="s">
        <v>71</v>
      </c>
      <c r="AG139" s="188" t="s">
        <v>26</v>
      </c>
      <c r="AH139" s="61"/>
      <c r="AI139" s="61"/>
      <c r="AJ139" s="61"/>
      <c r="AK139" s="61"/>
      <c r="AL139" s="61"/>
      <c r="AM139" s="61"/>
      <c r="AN139" s="61"/>
      <c r="AO139" s="61"/>
      <c r="AP139" s="61"/>
      <c r="AQ139" s="61"/>
      <c r="AR139" s="61"/>
    </row>
    <row r="140" hidden="1">
      <c r="A140" s="62">
        <v>138.0</v>
      </c>
      <c r="B140" s="96" t="s">
        <v>1947</v>
      </c>
      <c r="C140" s="96" t="s">
        <v>1948</v>
      </c>
      <c r="D140" s="96" t="s">
        <v>1949</v>
      </c>
      <c r="E140" s="96" t="s">
        <v>1327</v>
      </c>
      <c r="F140" s="79" t="s">
        <v>281</v>
      </c>
      <c r="G140" s="79" t="s">
        <v>131</v>
      </c>
      <c r="H140" s="79" t="s">
        <v>1950</v>
      </c>
      <c r="I140" s="79" t="s">
        <v>1950</v>
      </c>
      <c r="J140" s="79" t="s">
        <v>151</v>
      </c>
      <c r="K140" s="79" t="s">
        <v>70</v>
      </c>
      <c r="L140" s="79" t="s">
        <v>101</v>
      </c>
      <c r="M140" s="79" t="s">
        <v>1951</v>
      </c>
      <c r="N140" s="79" t="s">
        <v>26</v>
      </c>
      <c r="O140" s="79" t="s">
        <v>113</v>
      </c>
      <c r="P140" s="79" t="s">
        <v>95</v>
      </c>
      <c r="Q140" s="70" t="s">
        <v>3391</v>
      </c>
      <c r="R140" s="79" t="s">
        <v>76</v>
      </c>
      <c r="S140" s="79" t="s">
        <v>97</v>
      </c>
      <c r="T140" s="79">
        <v>2023.0</v>
      </c>
      <c r="U140" s="79" t="s">
        <v>78</v>
      </c>
      <c r="V140" s="79" t="s">
        <v>98</v>
      </c>
      <c r="W140" s="79" t="s">
        <v>1921</v>
      </c>
      <c r="X140" s="79" t="s">
        <v>148</v>
      </c>
      <c r="Y140" s="79" t="s">
        <v>139</v>
      </c>
      <c r="Z140" s="79" t="s">
        <v>1922</v>
      </c>
      <c r="AA140" s="79" t="s">
        <v>195</v>
      </c>
      <c r="AB140" s="131" t="s">
        <v>3392</v>
      </c>
      <c r="AC140" s="96">
        <v>8.1214589147E10</v>
      </c>
      <c r="AD140" s="96" t="s">
        <v>1924</v>
      </c>
      <c r="AE140" s="68">
        <v>23.0</v>
      </c>
      <c r="AF140" s="68" t="s">
        <v>71</v>
      </c>
      <c r="AG140" s="188" t="s">
        <v>26</v>
      </c>
      <c r="AH140" s="61"/>
      <c r="AI140" s="61"/>
      <c r="AJ140" s="61"/>
      <c r="AK140" s="61"/>
      <c r="AL140" s="61"/>
      <c r="AM140" s="61"/>
      <c r="AN140" s="61"/>
      <c r="AO140" s="61"/>
      <c r="AP140" s="61"/>
      <c r="AQ140" s="61"/>
      <c r="AR140" s="61"/>
    </row>
    <row r="141" hidden="1">
      <c r="A141" s="62">
        <v>139.0</v>
      </c>
      <c r="B141" s="96" t="s">
        <v>1955</v>
      </c>
      <c r="C141" s="96" t="s">
        <v>1956</v>
      </c>
      <c r="D141" s="96" t="s">
        <v>1957</v>
      </c>
      <c r="E141" s="70" t="s">
        <v>3393</v>
      </c>
      <c r="F141" s="79" t="s">
        <v>65</v>
      </c>
      <c r="G141" s="79" t="s">
        <v>66</v>
      </c>
      <c r="H141" s="69"/>
      <c r="I141" s="96" t="s">
        <v>1959</v>
      </c>
      <c r="J141" s="79" t="s">
        <v>91</v>
      </c>
      <c r="K141" s="79" t="s">
        <v>110</v>
      </c>
      <c r="L141" s="79" t="s">
        <v>143</v>
      </c>
      <c r="M141" s="79" t="s">
        <v>1960</v>
      </c>
      <c r="N141" s="79" t="s">
        <v>93</v>
      </c>
      <c r="O141" s="79" t="s">
        <v>113</v>
      </c>
      <c r="P141" s="79" t="s">
        <v>74</v>
      </c>
      <c r="Q141" s="70" t="s">
        <v>3394</v>
      </c>
      <c r="R141" s="79" t="s">
        <v>76</v>
      </c>
      <c r="S141" s="79" t="s">
        <v>97</v>
      </c>
      <c r="T141" s="79">
        <v>2018.0</v>
      </c>
      <c r="U141" s="79" t="s">
        <v>78</v>
      </c>
      <c r="V141" s="79" t="s">
        <v>79</v>
      </c>
      <c r="W141" s="79" t="s">
        <v>80</v>
      </c>
      <c r="X141" s="79" t="s">
        <v>80</v>
      </c>
      <c r="Y141" s="79" t="s">
        <v>80</v>
      </c>
      <c r="Z141" s="79" t="s">
        <v>1962</v>
      </c>
      <c r="AA141" s="79" t="s">
        <v>197</v>
      </c>
      <c r="AB141" s="70" t="s">
        <v>3395</v>
      </c>
      <c r="AC141" s="96">
        <v>8.5607626507E10</v>
      </c>
      <c r="AD141" s="96" t="s">
        <v>1964</v>
      </c>
      <c r="AE141" s="59"/>
      <c r="AF141" s="59"/>
      <c r="AG141" s="60"/>
      <c r="AH141" s="61"/>
      <c r="AI141" s="61"/>
      <c r="AJ141" s="61"/>
      <c r="AK141" s="61"/>
      <c r="AL141" s="61"/>
      <c r="AM141" s="61"/>
      <c r="AN141" s="61"/>
      <c r="AO141" s="61"/>
      <c r="AP141" s="61"/>
      <c r="AQ141" s="61"/>
      <c r="AR141" s="61"/>
    </row>
    <row r="142" hidden="1">
      <c r="A142" s="62">
        <v>140.0</v>
      </c>
      <c r="B142" s="96" t="s">
        <v>1965</v>
      </c>
      <c r="C142" s="96" t="s">
        <v>1966</v>
      </c>
      <c r="D142" s="96" t="s">
        <v>1967</v>
      </c>
      <c r="E142" s="70" t="s">
        <v>3396</v>
      </c>
      <c r="F142" s="79" t="s">
        <v>65</v>
      </c>
      <c r="G142" s="79" t="s">
        <v>66</v>
      </c>
      <c r="H142" s="79" t="s">
        <v>1969</v>
      </c>
      <c r="I142" s="96" t="s">
        <v>1970</v>
      </c>
      <c r="J142" s="79" t="s">
        <v>69</v>
      </c>
      <c r="K142" s="79" t="s">
        <v>70</v>
      </c>
      <c r="L142" s="79" t="s">
        <v>71</v>
      </c>
      <c r="M142" s="79" t="s">
        <v>1971</v>
      </c>
      <c r="N142" s="79" t="s">
        <v>73</v>
      </c>
      <c r="O142" s="79" t="s">
        <v>73</v>
      </c>
      <c r="P142" s="79" t="s">
        <v>95</v>
      </c>
      <c r="Q142" s="70" t="s">
        <v>3397</v>
      </c>
      <c r="R142" s="79" t="s">
        <v>76</v>
      </c>
      <c r="S142" s="79" t="s">
        <v>77</v>
      </c>
      <c r="T142" s="98">
        <v>2013.0</v>
      </c>
      <c r="U142" s="79" t="s">
        <v>78</v>
      </c>
      <c r="V142" s="79" t="s">
        <v>79</v>
      </c>
      <c r="W142" s="79" t="s">
        <v>80</v>
      </c>
      <c r="X142" s="79" t="s">
        <v>80</v>
      </c>
      <c r="Y142" s="79" t="s">
        <v>80</v>
      </c>
      <c r="Z142" s="79" t="s">
        <v>1962</v>
      </c>
      <c r="AA142" s="79" t="s">
        <v>197</v>
      </c>
      <c r="AB142" s="96" t="s">
        <v>1973</v>
      </c>
      <c r="AC142" s="96">
        <v>8.1903169517E10</v>
      </c>
      <c r="AD142" s="96" t="s">
        <v>1974</v>
      </c>
      <c r="AE142" s="59"/>
      <c r="AF142" s="59"/>
      <c r="AG142" s="60"/>
      <c r="AH142" s="61"/>
      <c r="AI142" s="61"/>
      <c r="AJ142" s="61"/>
      <c r="AK142" s="61"/>
      <c r="AL142" s="61"/>
      <c r="AM142" s="61"/>
      <c r="AN142" s="61"/>
      <c r="AO142" s="61"/>
      <c r="AP142" s="61"/>
      <c r="AQ142" s="61"/>
      <c r="AR142" s="61"/>
    </row>
    <row r="143" hidden="1">
      <c r="A143" s="62">
        <v>141.0</v>
      </c>
      <c r="B143" s="96" t="s">
        <v>1975</v>
      </c>
      <c r="C143" s="96" t="s">
        <v>1976</v>
      </c>
      <c r="D143" s="96" t="s">
        <v>1977</v>
      </c>
      <c r="E143" s="59"/>
      <c r="F143" s="79" t="s">
        <v>65</v>
      </c>
      <c r="G143" s="79" t="s">
        <v>66</v>
      </c>
      <c r="H143" s="69"/>
      <c r="I143" s="96" t="s">
        <v>1978</v>
      </c>
      <c r="J143" s="79" t="s">
        <v>91</v>
      </c>
      <c r="K143" s="79" t="s">
        <v>110</v>
      </c>
      <c r="L143" s="79" t="s">
        <v>111</v>
      </c>
      <c r="M143" s="79" t="s">
        <v>1979</v>
      </c>
      <c r="N143" s="79" t="s">
        <v>73</v>
      </c>
      <c r="O143" s="79" t="s">
        <v>73</v>
      </c>
      <c r="P143" s="79" t="s">
        <v>95</v>
      </c>
      <c r="Q143" s="70" t="s">
        <v>3398</v>
      </c>
      <c r="R143" s="79" t="s">
        <v>76</v>
      </c>
      <c r="S143" s="79" t="s">
        <v>97</v>
      </c>
      <c r="T143" s="98">
        <v>2017.0</v>
      </c>
      <c r="U143" s="79" t="s">
        <v>78</v>
      </c>
      <c r="V143" s="79" t="s">
        <v>79</v>
      </c>
      <c r="W143" s="69"/>
      <c r="X143" s="69"/>
      <c r="Y143" s="69"/>
      <c r="Z143" s="79" t="s">
        <v>1981</v>
      </c>
      <c r="AA143" s="79" t="s">
        <v>197</v>
      </c>
      <c r="AB143" s="96" t="s">
        <v>1982</v>
      </c>
      <c r="AC143" s="98">
        <v>8.131192289E9</v>
      </c>
      <c r="AD143" s="69"/>
      <c r="AE143" s="59"/>
      <c r="AF143" s="67" t="s">
        <v>71</v>
      </c>
      <c r="AG143" s="60"/>
      <c r="AH143" s="61"/>
      <c r="AI143" s="61"/>
      <c r="AJ143" s="61"/>
      <c r="AK143" s="61"/>
      <c r="AL143" s="61"/>
      <c r="AM143" s="61"/>
      <c r="AN143" s="61"/>
      <c r="AO143" s="61"/>
      <c r="AP143" s="61"/>
      <c r="AQ143" s="61"/>
      <c r="AR143" s="61"/>
    </row>
    <row r="144" hidden="1">
      <c r="A144" s="62">
        <v>142.0</v>
      </c>
      <c r="B144" s="96" t="s">
        <v>1983</v>
      </c>
      <c r="C144" s="96" t="s">
        <v>1984</v>
      </c>
      <c r="D144" s="96" t="s">
        <v>1977</v>
      </c>
      <c r="E144" s="59"/>
      <c r="F144" s="79" t="s">
        <v>65</v>
      </c>
      <c r="G144" s="79" t="s">
        <v>66</v>
      </c>
      <c r="H144" s="69"/>
      <c r="I144" s="96" t="s">
        <v>1985</v>
      </c>
      <c r="J144" s="79" t="s">
        <v>91</v>
      </c>
      <c r="K144" s="79" t="s">
        <v>110</v>
      </c>
      <c r="L144" s="79" t="s">
        <v>111</v>
      </c>
      <c r="M144" s="79" t="s">
        <v>1986</v>
      </c>
      <c r="N144" s="79" t="s">
        <v>26</v>
      </c>
      <c r="O144" s="79" t="s">
        <v>113</v>
      </c>
      <c r="P144" s="79" t="s">
        <v>153</v>
      </c>
      <c r="Q144" s="70" t="s">
        <v>3399</v>
      </c>
      <c r="R144" s="79" t="s">
        <v>76</v>
      </c>
      <c r="S144" s="79" t="s">
        <v>97</v>
      </c>
      <c r="T144" s="98">
        <v>2022.0</v>
      </c>
      <c r="U144" s="79" t="s">
        <v>78</v>
      </c>
      <c r="V144" s="79" t="s">
        <v>79</v>
      </c>
      <c r="W144" s="69"/>
      <c r="X144" s="69"/>
      <c r="Y144" s="69"/>
      <c r="Z144" s="79" t="s">
        <v>1988</v>
      </c>
      <c r="AA144" s="79" t="s">
        <v>197</v>
      </c>
      <c r="AB144" s="96" t="s">
        <v>1989</v>
      </c>
      <c r="AC144" s="98">
        <v>8.2219151878E10</v>
      </c>
      <c r="AD144" s="69"/>
      <c r="AE144" s="59"/>
      <c r="AF144" s="67" t="s">
        <v>71</v>
      </c>
      <c r="AG144" s="60"/>
      <c r="AH144" s="61"/>
      <c r="AI144" s="61"/>
      <c r="AJ144" s="61"/>
      <c r="AK144" s="61"/>
      <c r="AL144" s="61"/>
      <c r="AM144" s="61"/>
      <c r="AN144" s="61"/>
      <c r="AO144" s="61"/>
      <c r="AP144" s="61"/>
      <c r="AQ144" s="61"/>
      <c r="AR144" s="61"/>
    </row>
    <row r="145" hidden="1">
      <c r="A145" s="62">
        <v>143.0</v>
      </c>
      <c r="B145" s="96" t="s">
        <v>1990</v>
      </c>
      <c r="C145" s="96" t="s">
        <v>1991</v>
      </c>
      <c r="D145" s="96" t="s">
        <v>1992</v>
      </c>
      <c r="E145" s="79" t="s">
        <v>563</v>
      </c>
      <c r="F145" s="79" t="s">
        <v>65</v>
      </c>
      <c r="G145" s="79" t="s">
        <v>66</v>
      </c>
      <c r="H145" s="69"/>
      <c r="I145" s="96" t="s">
        <v>1993</v>
      </c>
      <c r="J145" s="79" t="s">
        <v>69</v>
      </c>
      <c r="K145" s="79" t="s">
        <v>110</v>
      </c>
      <c r="L145" s="79" t="s">
        <v>71</v>
      </c>
      <c r="M145" s="79" t="s">
        <v>1994</v>
      </c>
      <c r="N145" s="79" t="s">
        <v>73</v>
      </c>
      <c r="O145" s="79" t="s">
        <v>73</v>
      </c>
      <c r="P145" s="79" t="s">
        <v>74</v>
      </c>
      <c r="Q145" s="70" t="s">
        <v>3400</v>
      </c>
      <c r="R145" s="79" t="s">
        <v>76</v>
      </c>
      <c r="S145" s="79" t="s">
        <v>97</v>
      </c>
      <c r="T145" s="79">
        <v>2016.0</v>
      </c>
      <c r="U145" s="79" t="s">
        <v>78</v>
      </c>
      <c r="V145" s="79" t="s">
        <v>79</v>
      </c>
      <c r="W145" s="79" t="s">
        <v>80</v>
      </c>
      <c r="X145" s="79" t="s">
        <v>80</v>
      </c>
      <c r="Y145" s="79" t="s">
        <v>80</v>
      </c>
      <c r="Z145" s="79" t="s">
        <v>1962</v>
      </c>
      <c r="AA145" s="79" t="s">
        <v>197</v>
      </c>
      <c r="AB145" s="96" t="s">
        <v>1996</v>
      </c>
      <c r="AC145" s="96">
        <v>8.9656240816E10</v>
      </c>
      <c r="AD145" s="96" t="s">
        <v>1964</v>
      </c>
      <c r="AE145" s="59"/>
      <c r="AF145" s="59"/>
      <c r="AG145" s="60"/>
      <c r="AH145" s="61"/>
      <c r="AI145" s="61"/>
      <c r="AJ145" s="61"/>
      <c r="AK145" s="61"/>
      <c r="AL145" s="61"/>
      <c r="AM145" s="61"/>
      <c r="AN145" s="61"/>
      <c r="AO145" s="61"/>
      <c r="AP145" s="61"/>
      <c r="AQ145" s="61"/>
      <c r="AR145" s="61"/>
    </row>
    <row r="146" hidden="1">
      <c r="A146" s="62">
        <v>144.0</v>
      </c>
      <c r="B146" s="96" t="s">
        <v>1998</v>
      </c>
      <c r="C146" s="96" t="s">
        <v>1999</v>
      </c>
      <c r="D146" s="96" t="s">
        <v>2000</v>
      </c>
      <c r="E146" s="70" t="s">
        <v>3401</v>
      </c>
      <c r="F146" s="79" t="s">
        <v>370</v>
      </c>
      <c r="G146" s="79" t="s">
        <v>66</v>
      </c>
      <c r="H146" s="79" t="s">
        <v>2002</v>
      </c>
      <c r="I146" s="96" t="s">
        <v>2003</v>
      </c>
      <c r="J146" s="79" t="s">
        <v>151</v>
      </c>
      <c r="K146" s="79" t="s">
        <v>70</v>
      </c>
      <c r="L146" s="79" t="s">
        <v>71</v>
      </c>
      <c r="M146" s="79" t="s">
        <v>2004</v>
      </c>
      <c r="N146" s="79" t="s">
        <v>93</v>
      </c>
      <c r="O146" s="79" t="s">
        <v>113</v>
      </c>
      <c r="P146" s="79" t="s">
        <v>74</v>
      </c>
      <c r="Q146" s="70" t="s">
        <v>3402</v>
      </c>
      <c r="R146" s="79" t="s">
        <v>76</v>
      </c>
      <c r="S146" s="79" t="s">
        <v>77</v>
      </c>
      <c r="T146" s="98">
        <v>2023.0</v>
      </c>
      <c r="U146" s="79" t="s">
        <v>78</v>
      </c>
      <c r="V146" s="79" t="s">
        <v>98</v>
      </c>
      <c r="W146" s="79" t="s">
        <v>2006</v>
      </c>
      <c r="X146" s="79" t="s">
        <v>100</v>
      </c>
      <c r="Y146" s="79" t="s">
        <v>139</v>
      </c>
      <c r="Z146" s="79" t="s">
        <v>2007</v>
      </c>
      <c r="AA146" s="79" t="s">
        <v>199</v>
      </c>
      <c r="AB146" s="96" t="s">
        <v>2008</v>
      </c>
      <c r="AC146" s="96">
        <v>8.5220376631E10</v>
      </c>
      <c r="AD146" s="96" t="s">
        <v>2009</v>
      </c>
      <c r="AE146" s="59"/>
      <c r="AF146" s="68" t="s">
        <v>566</v>
      </c>
      <c r="AG146" s="60"/>
      <c r="AH146" s="61"/>
      <c r="AI146" s="61"/>
      <c r="AJ146" s="61"/>
      <c r="AK146" s="61"/>
      <c r="AL146" s="61"/>
      <c r="AM146" s="61"/>
      <c r="AN146" s="61"/>
      <c r="AO146" s="61"/>
      <c r="AP146" s="61"/>
      <c r="AQ146" s="61"/>
      <c r="AR146" s="61"/>
    </row>
    <row r="147">
      <c r="A147" s="62">
        <v>145.0</v>
      </c>
      <c r="B147" s="96" t="s">
        <v>2015</v>
      </c>
      <c r="C147" s="96" t="s">
        <v>2016</v>
      </c>
      <c r="D147" s="96" t="s">
        <v>2017</v>
      </c>
      <c r="E147" s="70" t="s">
        <v>3403</v>
      </c>
      <c r="F147" s="79" t="s">
        <v>304</v>
      </c>
      <c r="G147" s="79" t="s">
        <v>131</v>
      </c>
      <c r="H147" s="79" t="s">
        <v>2019</v>
      </c>
      <c r="I147" s="96" t="s">
        <v>2020</v>
      </c>
      <c r="J147" s="79" t="s">
        <v>151</v>
      </c>
      <c r="K147" s="79" t="s">
        <v>110</v>
      </c>
      <c r="L147" s="79" t="s">
        <v>101</v>
      </c>
      <c r="M147" s="79" t="s">
        <v>2021</v>
      </c>
      <c r="N147" s="79" t="s">
        <v>26</v>
      </c>
      <c r="O147" s="79" t="s">
        <v>113</v>
      </c>
      <c r="P147" s="79" t="s">
        <v>95</v>
      </c>
      <c r="Q147" s="70" t="s">
        <v>3404</v>
      </c>
      <c r="R147" s="79" t="s">
        <v>76</v>
      </c>
      <c r="S147" s="79" t="s">
        <v>97</v>
      </c>
      <c r="T147" s="98">
        <v>2024.0</v>
      </c>
      <c r="U147" s="79" t="s">
        <v>78</v>
      </c>
      <c r="V147" s="79" t="s">
        <v>79</v>
      </c>
      <c r="W147" s="79" t="s">
        <v>80</v>
      </c>
      <c r="X147" s="79" t="s">
        <v>80</v>
      </c>
      <c r="Y147" s="79" t="s">
        <v>80</v>
      </c>
      <c r="Z147" s="79" t="s">
        <v>2007</v>
      </c>
      <c r="AA147" s="79" t="s">
        <v>199</v>
      </c>
      <c r="AB147" s="96" t="s">
        <v>2008</v>
      </c>
      <c r="AC147" s="96">
        <v>8.5220376631E10</v>
      </c>
      <c r="AD147" s="96" t="s">
        <v>2009</v>
      </c>
      <c r="AE147" s="59"/>
      <c r="AF147" s="68" t="s">
        <v>566</v>
      </c>
      <c r="AG147" s="60"/>
      <c r="AH147" s="61"/>
      <c r="AI147" s="61"/>
      <c r="AJ147" s="61"/>
      <c r="AK147" s="61"/>
      <c r="AL147" s="61"/>
      <c r="AM147" s="61"/>
      <c r="AN147" s="61"/>
      <c r="AO147" s="61"/>
      <c r="AP147" s="61"/>
      <c r="AQ147" s="61"/>
      <c r="AR147" s="61"/>
    </row>
    <row r="148">
      <c r="A148" s="62">
        <v>146.0</v>
      </c>
      <c r="B148" s="96" t="s">
        <v>2023</v>
      </c>
      <c r="C148" s="96" t="s">
        <v>2024</v>
      </c>
      <c r="D148" s="96" t="s">
        <v>2017</v>
      </c>
      <c r="E148" s="70" t="s">
        <v>3405</v>
      </c>
      <c r="F148" s="79" t="s">
        <v>304</v>
      </c>
      <c r="G148" s="79" t="s">
        <v>131</v>
      </c>
      <c r="H148" s="79" t="s">
        <v>2026</v>
      </c>
      <c r="I148" s="96" t="s">
        <v>2027</v>
      </c>
      <c r="J148" s="79" t="s">
        <v>151</v>
      </c>
      <c r="K148" s="79" t="s">
        <v>110</v>
      </c>
      <c r="L148" s="79" t="s">
        <v>101</v>
      </c>
      <c r="M148" s="79" t="s">
        <v>2021</v>
      </c>
      <c r="N148" s="79" t="s">
        <v>26</v>
      </c>
      <c r="O148" s="79" t="s">
        <v>113</v>
      </c>
      <c r="P148" s="79" t="s">
        <v>95</v>
      </c>
      <c r="Q148" s="70" t="s">
        <v>3406</v>
      </c>
      <c r="R148" s="79" t="s">
        <v>76</v>
      </c>
      <c r="S148" s="79" t="s">
        <v>97</v>
      </c>
      <c r="T148" s="98">
        <v>2024.0</v>
      </c>
      <c r="U148" s="79" t="s">
        <v>78</v>
      </c>
      <c r="V148" s="79" t="s">
        <v>79</v>
      </c>
      <c r="W148" s="79" t="s">
        <v>80</v>
      </c>
      <c r="X148" s="79" t="s">
        <v>80</v>
      </c>
      <c r="Y148" s="79" t="s">
        <v>80</v>
      </c>
      <c r="Z148" s="79" t="s">
        <v>2007</v>
      </c>
      <c r="AA148" s="79" t="s">
        <v>199</v>
      </c>
      <c r="AB148" s="96" t="s">
        <v>2008</v>
      </c>
      <c r="AC148" s="96">
        <v>8.5220376631E10</v>
      </c>
      <c r="AD148" s="96" t="s">
        <v>2009</v>
      </c>
      <c r="AE148" s="59"/>
      <c r="AF148" s="68" t="s">
        <v>152</v>
      </c>
      <c r="AG148" s="60"/>
      <c r="AH148" s="61"/>
      <c r="AI148" s="61"/>
      <c r="AJ148" s="61"/>
      <c r="AK148" s="61"/>
      <c r="AL148" s="61"/>
      <c r="AM148" s="61"/>
      <c r="AN148" s="61"/>
      <c r="AO148" s="61"/>
      <c r="AP148" s="61"/>
      <c r="AQ148" s="61"/>
      <c r="AR148" s="61"/>
    </row>
    <row r="149">
      <c r="A149" s="62">
        <v>147.0</v>
      </c>
      <c r="B149" s="96" t="s">
        <v>2029</v>
      </c>
      <c r="C149" s="96" t="s">
        <v>2030</v>
      </c>
      <c r="D149" s="96" t="s">
        <v>2031</v>
      </c>
      <c r="E149" s="70" t="s">
        <v>3407</v>
      </c>
      <c r="F149" s="79" t="s">
        <v>339</v>
      </c>
      <c r="G149" s="79" t="s">
        <v>66</v>
      </c>
      <c r="H149" s="79" t="s">
        <v>2033</v>
      </c>
      <c r="I149" s="96" t="s">
        <v>2034</v>
      </c>
      <c r="J149" s="79" t="s">
        <v>151</v>
      </c>
      <c r="K149" s="79" t="s">
        <v>70</v>
      </c>
      <c r="L149" s="79" t="s">
        <v>152</v>
      </c>
      <c r="M149" s="79" t="s">
        <v>2035</v>
      </c>
      <c r="N149" s="79" t="s">
        <v>26</v>
      </c>
      <c r="O149" s="79" t="s">
        <v>113</v>
      </c>
      <c r="P149" s="79" t="s">
        <v>153</v>
      </c>
      <c r="Q149" s="96" t="s">
        <v>2036</v>
      </c>
      <c r="R149" s="79" t="s">
        <v>146</v>
      </c>
      <c r="S149" s="79" t="s">
        <v>77</v>
      </c>
      <c r="T149" s="98">
        <v>2021.0</v>
      </c>
      <c r="U149" s="79" t="s">
        <v>147</v>
      </c>
      <c r="V149" s="79" t="s">
        <v>79</v>
      </c>
      <c r="W149" s="79" t="s">
        <v>80</v>
      </c>
      <c r="X149" s="79" t="s">
        <v>80</v>
      </c>
      <c r="Y149" s="79" t="s">
        <v>80</v>
      </c>
      <c r="Z149" s="79" t="s">
        <v>2037</v>
      </c>
      <c r="AA149" s="79" t="s">
        <v>199</v>
      </c>
      <c r="AB149" s="96" t="s">
        <v>2038</v>
      </c>
      <c r="AC149" s="96" t="s">
        <v>2039</v>
      </c>
      <c r="AD149" s="96" t="s">
        <v>563</v>
      </c>
      <c r="AE149" s="59"/>
      <c r="AF149" s="68" t="s">
        <v>111</v>
      </c>
      <c r="AG149" s="60"/>
      <c r="AH149" s="61"/>
      <c r="AI149" s="61"/>
      <c r="AJ149" s="61"/>
      <c r="AK149" s="61"/>
      <c r="AL149" s="61"/>
      <c r="AM149" s="61"/>
      <c r="AN149" s="61"/>
      <c r="AO149" s="61"/>
      <c r="AP149" s="61"/>
      <c r="AQ149" s="61"/>
      <c r="AR149" s="61"/>
    </row>
    <row r="150">
      <c r="A150" s="62">
        <v>148.0</v>
      </c>
      <c r="B150" s="96" t="s">
        <v>2040</v>
      </c>
      <c r="C150" s="96" t="s">
        <v>2041</v>
      </c>
      <c r="D150" s="96" t="s">
        <v>2042</v>
      </c>
      <c r="E150" s="70" t="s">
        <v>3408</v>
      </c>
      <c r="F150" s="79" t="s">
        <v>339</v>
      </c>
      <c r="G150" s="79" t="s">
        <v>66</v>
      </c>
      <c r="H150" s="79" t="s">
        <v>2044</v>
      </c>
      <c r="I150" s="96" t="s">
        <v>2045</v>
      </c>
      <c r="J150" s="79" t="s">
        <v>151</v>
      </c>
      <c r="K150" s="79" t="s">
        <v>110</v>
      </c>
      <c r="L150" s="79" t="s">
        <v>152</v>
      </c>
      <c r="M150" s="79" t="s">
        <v>2035</v>
      </c>
      <c r="N150" s="79" t="s">
        <v>26</v>
      </c>
      <c r="O150" s="79" t="s">
        <v>113</v>
      </c>
      <c r="P150" s="79" t="s">
        <v>153</v>
      </c>
      <c r="Q150" s="96" t="s">
        <v>2036</v>
      </c>
      <c r="R150" s="79" t="s">
        <v>146</v>
      </c>
      <c r="S150" s="79" t="s">
        <v>97</v>
      </c>
      <c r="T150" s="98">
        <v>2021.0</v>
      </c>
      <c r="U150" s="79" t="s">
        <v>147</v>
      </c>
      <c r="V150" s="79" t="s">
        <v>79</v>
      </c>
      <c r="W150" s="79" t="s">
        <v>80</v>
      </c>
      <c r="X150" s="79" t="s">
        <v>80</v>
      </c>
      <c r="Y150" s="79" t="s">
        <v>80</v>
      </c>
      <c r="Z150" s="79" t="s">
        <v>2037</v>
      </c>
      <c r="AA150" s="79" t="s">
        <v>199</v>
      </c>
      <c r="AB150" s="96" t="s">
        <v>2038</v>
      </c>
      <c r="AC150" s="96" t="s">
        <v>2039</v>
      </c>
      <c r="AD150" s="96" t="s">
        <v>563</v>
      </c>
      <c r="AE150" s="59"/>
      <c r="AF150" s="68" t="s">
        <v>1268</v>
      </c>
      <c r="AG150" s="60"/>
      <c r="AH150" s="61"/>
      <c r="AI150" s="61"/>
      <c r="AJ150" s="61"/>
      <c r="AK150" s="61"/>
      <c r="AL150" s="61"/>
      <c r="AM150" s="61"/>
      <c r="AN150" s="61"/>
      <c r="AO150" s="61"/>
      <c r="AP150" s="61"/>
      <c r="AQ150" s="61"/>
      <c r="AR150" s="61"/>
    </row>
    <row r="151">
      <c r="A151" s="62">
        <v>149.0</v>
      </c>
      <c r="B151" s="96" t="s">
        <v>2046</v>
      </c>
      <c r="C151" s="96" t="s">
        <v>2047</v>
      </c>
      <c r="D151" s="96" t="s">
        <v>2048</v>
      </c>
      <c r="E151" s="70" t="s">
        <v>3409</v>
      </c>
      <c r="F151" s="79" t="s">
        <v>309</v>
      </c>
      <c r="G151" s="79" t="s">
        <v>66</v>
      </c>
      <c r="H151" s="79" t="s">
        <v>2050</v>
      </c>
      <c r="I151" s="79" t="s">
        <v>2050</v>
      </c>
      <c r="J151" s="79" t="s">
        <v>151</v>
      </c>
      <c r="K151" s="79" t="s">
        <v>70</v>
      </c>
      <c r="L151" s="79" t="s">
        <v>111</v>
      </c>
      <c r="M151" s="79" t="s">
        <v>2035</v>
      </c>
      <c r="N151" s="79" t="s">
        <v>26</v>
      </c>
      <c r="O151" s="79" t="s">
        <v>113</v>
      </c>
      <c r="P151" s="79" t="s">
        <v>153</v>
      </c>
      <c r="Q151" s="96" t="s">
        <v>2036</v>
      </c>
      <c r="R151" s="79" t="s">
        <v>146</v>
      </c>
      <c r="S151" s="79" t="s">
        <v>97</v>
      </c>
      <c r="T151" s="98">
        <v>2017.0</v>
      </c>
      <c r="U151" s="79" t="s">
        <v>147</v>
      </c>
      <c r="V151" s="79" t="s">
        <v>79</v>
      </c>
      <c r="W151" s="79" t="s">
        <v>80</v>
      </c>
      <c r="X151" s="79" t="s">
        <v>80</v>
      </c>
      <c r="Y151" s="79" t="s">
        <v>80</v>
      </c>
      <c r="Z151" s="79" t="s">
        <v>2051</v>
      </c>
      <c r="AA151" s="79" t="s">
        <v>199</v>
      </c>
      <c r="AB151" s="96" t="s">
        <v>2052</v>
      </c>
      <c r="AC151" s="96" t="s">
        <v>2053</v>
      </c>
      <c r="AD151" s="96" t="s">
        <v>563</v>
      </c>
      <c r="AE151" s="59"/>
      <c r="AF151" s="68" t="s">
        <v>1268</v>
      </c>
      <c r="AG151" s="60"/>
      <c r="AH151" s="61"/>
      <c r="AI151" s="61"/>
      <c r="AJ151" s="61"/>
      <c r="AK151" s="61"/>
      <c r="AL151" s="61"/>
      <c r="AM151" s="61"/>
      <c r="AN151" s="61"/>
      <c r="AO151" s="61"/>
      <c r="AP151" s="61"/>
      <c r="AQ151" s="61"/>
      <c r="AR151" s="61"/>
    </row>
    <row r="152">
      <c r="A152" s="62">
        <v>150.0</v>
      </c>
      <c r="B152" s="96" t="s">
        <v>2054</v>
      </c>
      <c r="C152" s="96" t="s">
        <v>2055</v>
      </c>
      <c r="D152" s="96" t="s">
        <v>2000</v>
      </c>
      <c r="E152" s="70" t="s">
        <v>3410</v>
      </c>
      <c r="F152" s="79" t="s">
        <v>370</v>
      </c>
      <c r="G152" s="79" t="s">
        <v>66</v>
      </c>
      <c r="H152" s="79" t="s">
        <v>2057</v>
      </c>
      <c r="I152" s="96" t="s">
        <v>2058</v>
      </c>
      <c r="J152" s="79" t="s">
        <v>151</v>
      </c>
      <c r="K152" s="79" t="s">
        <v>70</v>
      </c>
      <c r="L152" s="79" t="s">
        <v>152</v>
      </c>
      <c r="M152" s="79" t="s">
        <v>2035</v>
      </c>
      <c r="N152" s="79" t="s">
        <v>26</v>
      </c>
      <c r="O152" s="79" t="s">
        <v>113</v>
      </c>
      <c r="P152" s="79" t="s">
        <v>153</v>
      </c>
      <c r="Q152" s="96" t="s">
        <v>2036</v>
      </c>
      <c r="R152" s="79" t="s">
        <v>146</v>
      </c>
      <c r="S152" s="79" t="s">
        <v>97</v>
      </c>
      <c r="T152" s="98">
        <v>2021.0</v>
      </c>
      <c r="U152" s="79" t="s">
        <v>147</v>
      </c>
      <c r="V152" s="79" t="s">
        <v>79</v>
      </c>
      <c r="W152" s="79" t="s">
        <v>80</v>
      </c>
      <c r="X152" s="79" t="s">
        <v>80</v>
      </c>
      <c r="Y152" s="79" t="s">
        <v>80</v>
      </c>
      <c r="Z152" s="79" t="s">
        <v>2060</v>
      </c>
      <c r="AA152" s="79" t="s">
        <v>199</v>
      </c>
      <c r="AB152" s="96" t="s">
        <v>2061</v>
      </c>
      <c r="AC152" s="96" t="s">
        <v>2062</v>
      </c>
      <c r="AD152" s="96" t="s">
        <v>563</v>
      </c>
      <c r="AE152" s="59"/>
      <c r="AF152" s="68" t="s">
        <v>566</v>
      </c>
      <c r="AG152" s="60"/>
      <c r="AH152" s="61"/>
      <c r="AI152" s="61"/>
      <c r="AJ152" s="61"/>
      <c r="AK152" s="61"/>
      <c r="AL152" s="61"/>
      <c r="AM152" s="61"/>
      <c r="AN152" s="61"/>
      <c r="AO152" s="61"/>
      <c r="AP152" s="61"/>
      <c r="AQ152" s="61"/>
      <c r="AR152" s="61"/>
    </row>
    <row r="153">
      <c r="A153" s="62">
        <v>151.0</v>
      </c>
      <c r="B153" s="96" t="s">
        <v>2075</v>
      </c>
      <c r="C153" s="96" t="s">
        <v>2076</v>
      </c>
      <c r="D153" s="96" t="s">
        <v>2077</v>
      </c>
      <c r="E153" s="70" t="s">
        <v>3411</v>
      </c>
      <c r="F153" s="79" t="s">
        <v>339</v>
      </c>
      <c r="G153" s="79" t="s">
        <v>66</v>
      </c>
      <c r="H153" s="79" t="s">
        <v>2079</v>
      </c>
      <c r="I153" s="96" t="s">
        <v>2080</v>
      </c>
      <c r="J153" s="79" t="s">
        <v>151</v>
      </c>
      <c r="K153" s="79" t="s">
        <v>110</v>
      </c>
      <c r="L153" s="79" t="s">
        <v>111</v>
      </c>
      <c r="M153" s="79" t="s">
        <v>2035</v>
      </c>
      <c r="N153" s="79" t="s">
        <v>26</v>
      </c>
      <c r="O153" s="79" t="s">
        <v>113</v>
      </c>
      <c r="P153" s="79" t="s">
        <v>153</v>
      </c>
      <c r="Q153" s="96" t="s">
        <v>2036</v>
      </c>
      <c r="R153" s="79" t="s">
        <v>146</v>
      </c>
      <c r="S153" s="79" t="s">
        <v>77</v>
      </c>
      <c r="T153" s="98">
        <v>2021.0</v>
      </c>
      <c r="U153" s="79" t="s">
        <v>147</v>
      </c>
      <c r="V153" s="79" t="s">
        <v>79</v>
      </c>
      <c r="W153" s="79" t="s">
        <v>80</v>
      </c>
      <c r="X153" s="79" t="s">
        <v>80</v>
      </c>
      <c r="Y153" s="79" t="s">
        <v>80</v>
      </c>
      <c r="Z153" s="79" t="s">
        <v>2037</v>
      </c>
      <c r="AA153" s="79" t="s">
        <v>199</v>
      </c>
      <c r="AB153" s="96" t="s">
        <v>2038</v>
      </c>
      <c r="AC153" s="96" t="s">
        <v>2039</v>
      </c>
      <c r="AD153" s="96" t="s">
        <v>563</v>
      </c>
      <c r="AE153" s="59"/>
      <c r="AF153" s="68" t="s">
        <v>111</v>
      </c>
      <c r="AG153" s="60"/>
      <c r="AH153" s="61"/>
      <c r="AI153" s="61"/>
      <c r="AJ153" s="61"/>
      <c r="AK153" s="61"/>
      <c r="AL153" s="61"/>
      <c r="AM153" s="61"/>
      <c r="AN153" s="61"/>
      <c r="AO153" s="61"/>
      <c r="AP153" s="61"/>
      <c r="AQ153" s="61"/>
      <c r="AR153" s="61"/>
    </row>
    <row r="154">
      <c r="A154" s="62">
        <v>152.0</v>
      </c>
      <c r="B154" s="96" t="s">
        <v>2081</v>
      </c>
      <c r="C154" s="96" t="s">
        <v>2082</v>
      </c>
      <c r="D154" s="96" t="s">
        <v>2083</v>
      </c>
      <c r="E154" s="59"/>
      <c r="F154" s="79" t="s">
        <v>127</v>
      </c>
      <c r="G154" s="79" t="s">
        <v>131</v>
      </c>
      <c r="H154" s="79" t="s">
        <v>2084</v>
      </c>
      <c r="I154" s="96" t="s">
        <v>2085</v>
      </c>
      <c r="J154" s="79" t="s">
        <v>151</v>
      </c>
      <c r="K154" s="79" t="s">
        <v>70</v>
      </c>
      <c r="L154" s="79" t="s">
        <v>152</v>
      </c>
      <c r="M154" s="79" t="s">
        <v>2384</v>
      </c>
      <c r="N154" s="79" t="s">
        <v>26</v>
      </c>
      <c r="O154" s="79" t="s">
        <v>113</v>
      </c>
      <c r="P154" s="79" t="s">
        <v>95</v>
      </c>
      <c r="Q154" s="96" t="s">
        <v>2036</v>
      </c>
      <c r="R154" s="79" t="s">
        <v>76</v>
      </c>
      <c r="S154" s="79" t="s">
        <v>77</v>
      </c>
      <c r="T154" s="98">
        <v>2024.0</v>
      </c>
      <c r="U154" s="79" t="s">
        <v>78</v>
      </c>
      <c r="V154" s="79" t="s">
        <v>79</v>
      </c>
      <c r="W154" s="79" t="s">
        <v>80</v>
      </c>
      <c r="X154" s="79" t="s">
        <v>80</v>
      </c>
      <c r="Y154" s="79" t="s">
        <v>80</v>
      </c>
      <c r="Z154" s="79" t="s">
        <v>2068</v>
      </c>
      <c r="AA154" s="79" t="s">
        <v>199</v>
      </c>
      <c r="AB154" s="96" t="s">
        <v>2069</v>
      </c>
      <c r="AC154" s="96" t="s">
        <v>2070</v>
      </c>
      <c r="AD154" s="96" t="s">
        <v>2087</v>
      </c>
      <c r="AE154" s="59"/>
      <c r="AF154" s="68" t="s">
        <v>71</v>
      </c>
      <c r="AG154" s="60"/>
      <c r="AH154" s="61"/>
      <c r="AI154" s="61"/>
      <c r="AJ154" s="61"/>
      <c r="AK154" s="61"/>
      <c r="AL154" s="61"/>
      <c r="AM154" s="61"/>
      <c r="AN154" s="61"/>
      <c r="AO154" s="61"/>
      <c r="AP154" s="61"/>
      <c r="AQ154" s="61"/>
      <c r="AR154" s="61"/>
    </row>
    <row r="155" hidden="1">
      <c r="A155" s="62">
        <v>153.0</v>
      </c>
      <c r="B155" s="96" t="s">
        <v>2089</v>
      </c>
      <c r="C155" s="96" t="s">
        <v>2090</v>
      </c>
      <c r="D155" s="96" t="s">
        <v>2091</v>
      </c>
      <c r="E155" s="70" t="s">
        <v>3412</v>
      </c>
      <c r="F155" s="79" t="s">
        <v>107</v>
      </c>
      <c r="G155" s="79" t="s">
        <v>138</v>
      </c>
      <c r="H155" s="79" t="s">
        <v>2093</v>
      </c>
      <c r="I155" s="96" t="s">
        <v>2094</v>
      </c>
      <c r="J155" s="79" t="s">
        <v>151</v>
      </c>
      <c r="K155" s="79" t="s">
        <v>70</v>
      </c>
      <c r="L155" s="79" t="s">
        <v>101</v>
      </c>
      <c r="M155" s="79" t="s">
        <v>2095</v>
      </c>
      <c r="N155" s="79" t="s">
        <v>26</v>
      </c>
      <c r="O155" s="79" t="s">
        <v>113</v>
      </c>
      <c r="P155" s="79" t="s">
        <v>95</v>
      </c>
      <c r="Q155" s="70" t="s">
        <v>3413</v>
      </c>
      <c r="R155" s="79" t="s">
        <v>76</v>
      </c>
      <c r="S155" s="79" t="s">
        <v>97</v>
      </c>
      <c r="T155" s="79">
        <v>2022.0</v>
      </c>
      <c r="U155" s="79" t="s">
        <v>78</v>
      </c>
      <c r="V155" s="79" t="s">
        <v>79</v>
      </c>
      <c r="W155" s="79" t="s">
        <v>80</v>
      </c>
      <c r="X155" s="79" t="s">
        <v>80</v>
      </c>
      <c r="Y155" s="79" t="s">
        <v>80</v>
      </c>
      <c r="Z155" s="79" t="s">
        <v>2097</v>
      </c>
      <c r="AA155" s="79" t="s">
        <v>201</v>
      </c>
      <c r="AB155" s="96" t="s">
        <v>2098</v>
      </c>
      <c r="AC155" s="98">
        <v>8.9678500033E10</v>
      </c>
      <c r="AD155" s="96" t="s">
        <v>2099</v>
      </c>
      <c r="AE155" s="59"/>
      <c r="AF155" s="59"/>
      <c r="AG155" s="84" t="s">
        <v>2100</v>
      </c>
      <c r="AH155" s="61"/>
      <c r="AI155" s="61"/>
      <c r="AJ155" s="61"/>
      <c r="AK155" s="61"/>
      <c r="AL155" s="61"/>
      <c r="AM155" s="61"/>
      <c r="AN155" s="61"/>
      <c r="AO155" s="61"/>
      <c r="AP155" s="61"/>
      <c r="AQ155" s="61"/>
      <c r="AR155" s="61"/>
    </row>
    <row r="156" hidden="1">
      <c r="A156" s="62">
        <v>154.0</v>
      </c>
      <c r="B156" s="96" t="s">
        <v>2121</v>
      </c>
      <c r="C156" s="96" t="s">
        <v>2122</v>
      </c>
      <c r="D156" s="96" t="s">
        <v>2104</v>
      </c>
      <c r="E156" s="70" t="s">
        <v>3414</v>
      </c>
      <c r="F156" s="79" t="s">
        <v>390</v>
      </c>
      <c r="G156" s="79" t="s">
        <v>131</v>
      </c>
      <c r="H156" s="79" t="s">
        <v>2106</v>
      </c>
      <c r="I156" s="96" t="s">
        <v>2107</v>
      </c>
      <c r="J156" s="79" t="s">
        <v>151</v>
      </c>
      <c r="K156" s="79" t="s">
        <v>110</v>
      </c>
      <c r="L156" s="79" t="s">
        <v>111</v>
      </c>
      <c r="M156" s="79" t="s">
        <v>2108</v>
      </c>
      <c r="N156" s="79" t="s">
        <v>82</v>
      </c>
      <c r="O156" s="79" t="s">
        <v>113</v>
      </c>
      <c r="P156" s="79" t="s">
        <v>95</v>
      </c>
      <c r="Q156" s="70" t="s">
        <v>3415</v>
      </c>
      <c r="R156" s="79" t="s">
        <v>76</v>
      </c>
      <c r="S156" s="79" t="s">
        <v>97</v>
      </c>
      <c r="T156" s="98">
        <v>2023.0</v>
      </c>
      <c r="U156" s="79" t="s">
        <v>78</v>
      </c>
      <c r="V156" s="79" t="s">
        <v>98</v>
      </c>
      <c r="W156" s="79" t="s">
        <v>2110</v>
      </c>
      <c r="X156" s="79" t="s">
        <v>148</v>
      </c>
      <c r="Y156" s="79" t="s">
        <v>139</v>
      </c>
      <c r="Z156" s="79" t="s">
        <v>2111</v>
      </c>
      <c r="AA156" s="79" t="s">
        <v>205</v>
      </c>
      <c r="AB156" s="96" t="s">
        <v>2112</v>
      </c>
      <c r="AC156" s="98">
        <v>8.170222882E9</v>
      </c>
      <c r="AD156" s="96" t="s">
        <v>2113</v>
      </c>
      <c r="AE156" s="77">
        <v>29.0</v>
      </c>
      <c r="AF156" s="67" t="s">
        <v>2114</v>
      </c>
      <c r="AG156" s="194" t="s">
        <v>2120</v>
      </c>
      <c r="AH156" s="61"/>
      <c r="AI156" s="61"/>
      <c r="AJ156" s="61"/>
      <c r="AK156" s="61"/>
      <c r="AL156" s="61"/>
      <c r="AM156" s="61"/>
      <c r="AN156" s="61"/>
      <c r="AO156" s="61"/>
      <c r="AP156" s="61"/>
      <c r="AQ156" s="61"/>
      <c r="AR156" s="61"/>
    </row>
    <row r="157" hidden="1">
      <c r="A157" s="62">
        <v>155.0</v>
      </c>
      <c r="B157" s="96" t="s">
        <v>2137</v>
      </c>
      <c r="C157" s="96" t="s">
        <v>2138</v>
      </c>
      <c r="D157" s="96" t="s">
        <v>2139</v>
      </c>
      <c r="E157" s="70" t="s">
        <v>3416</v>
      </c>
      <c r="F157" s="79" t="s">
        <v>391</v>
      </c>
      <c r="G157" s="79" t="s">
        <v>66</v>
      </c>
      <c r="H157" s="79" t="s">
        <v>2141</v>
      </c>
      <c r="I157" s="96" t="s">
        <v>2142</v>
      </c>
      <c r="J157" s="79" t="s">
        <v>91</v>
      </c>
      <c r="K157" s="79" t="s">
        <v>110</v>
      </c>
      <c r="L157" s="79" t="s">
        <v>152</v>
      </c>
      <c r="M157" s="79" t="s">
        <v>2143</v>
      </c>
      <c r="N157" s="79" t="s">
        <v>82</v>
      </c>
      <c r="O157" s="79" t="s">
        <v>113</v>
      </c>
      <c r="P157" s="79" t="s">
        <v>95</v>
      </c>
      <c r="Q157" s="70" t="s">
        <v>3417</v>
      </c>
      <c r="R157" s="79" t="s">
        <v>76</v>
      </c>
      <c r="S157" s="79" t="s">
        <v>97</v>
      </c>
      <c r="T157" s="98">
        <v>2024.0</v>
      </c>
      <c r="U157" s="79" t="s">
        <v>78</v>
      </c>
      <c r="V157" s="79" t="s">
        <v>98</v>
      </c>
      <c r="W157" s="79" t="s">
        <v>2145</v>
      </c>
      <c r="X157" s="79" t="s">
        <v>148</v>
      </c>
      <c r="Y157" s="79" t="s">
        <v>139</v>
      </c>
      <c r="Z157" s="79" t="s">
        <v>2111</v>
      </c>
      <c r="AA157" s="79" t="s">
        <v>205</v>
      </c>
      <c r="AB157" s="96" t="s">
        <v>2146</v>
      </c>
      <c r="AC157" s="98">
        <v>8.2218897073E10</v>
      </c>
      <c r="AD157" s="96" t="s">
        <v>2147</v>
      </c>
      <c r="AE157" s="77">
        <v>29.0</v>
      </c>
      <c r="AF157" s="67" t="s">
        <v>2148</v>
      </c>
      <c r="AG157" s="84" t="s">
        <v>26</v>
      </c>
      <c r="AH157" s="61"/>
      <c r="AI157" s="61"/>
      <c r="AJ157" s="61"/>
      <c r="AK157" s="61"/>
      <c r="AL157" s="61"/>
      <c r="AM157" s="61"/>
      <c r="AN157" s="61"/>
      <c r="AO157" s="61"/>
      <c r="AP157" s="61"/>
      <c r="AQ157" s="61"/>
      <c r="AR157" s="61"/>
    </row>
    <row r="158" hidden="1">
      <c r="A158" s="62">
        <v>156.0</v>
      </c>
      <c r="B158" s="96" t="s">
        <v>2170</v>
      </c>
      <c r="C158" s="96" t="s">
        <v>2171</v>
      </c>
      <c r="D158" s="59"/>
      <c r="E158" s="59"/>
      <c r="F158" s="69"/>
      <c r="G158" s="69"/>
      <c r="H158" s="69"/>
      <c r="I158" s="69"/>
      <c r="J158" s="69"/>
      <c r="K158" s="69"/>
      <c r="L158" s="69"/>
      <c r="M158" s="79" t="s">
        <v>2172</v>
      </c>
      <c r="N158" s="288" t="s">
        <v>82</v>
      </c>
      <c r="O158" s="79" t="s">
        <v>113</v>
      </c>
      <c r="P158" s="79" t="s">
        <v>74</v>
      </c>
      <c r="Q158" s="70" t="s">
        <v>3418</v>
      </c>
      <c r="R158" s="79" t="s">
        <v>76</v>
      </c>
      <c r="S158" s="69"/>
      <c r="T158" s="69"/>
      <c r="U158" s="288" t="s">
        <v>78</v>
      </c>
      <c r="V158" s="69"/>
      <c r="W158" s="69"/>
      <c r="X158" s="69"/>
      <c r="Y158" s="69"/>
      <c r="Z158" s="69"/>
      <c r="AA158" s="69"/>
      <c r="AB158" s="96" t="s">
        <v>2168</v>
      </c>
      <c r="AC158" s="98">
        <v>8.1223467651E10</v>
      </c>
      <c r="AD158" s="69"/>
      <c r="AE158" s="59"/>
      <c r="AF158" s="59"/>
      <c r="AG158" s="84" t="s">
        <v>2169</v>
      </c>
      <c r="AH158" s="61"/>
      <c r="AI158" s="61"/>
      <c r="AJ158" s="61"/>
      <c r="AK158" s="61"/>
      <c r="AL158" s="61"/>
      <c r="AM158" s="61"/>
      <c r="AN158" s="61"/>
      <c r="AO158" s="61"/>
      <c r="AP158" s="61"/>
      <c r="AQ158" s="61"/>
      <c r="AR158" s="61"/>
    </row>
    <row r="159" hidden="1">
      <c r="A159" s="62">
        <v>157.0</v>
      </c>
      <c r="B159" s="96" t="s">
        <v>2192</v>
      </c>
      <c r="C159" s="96" t="s">
        <v>2193</v>
      </c>
      <c r="D159" s="96" t="s">
        <v>2194</v>
      </c>
      <c r="E159" s="70" t="s">
        <v>3419</v>
      </c>
      <c r="F159" s="79" t="s">
        <v>469</v>
      </c>
      <c r="G159" s="79" t="s">
        <v>131</v>
      </c>
      <c r="H159" s="79" t="s">
        <v>1969</v>
      </c>
      <c r="I159" s="96" t="s">
        <v>2196</v>
      </c>
      <c r="J159" s="79" t="s">
        <v>151</v>
      </c>
      <c r="K159" s="79" t="s">
        <v>70</v>
      </c>
      <c r="L159" s="79" t="s">
        <v>71</v>
      </c>
      <c r="M159" s="79" t="s">
        <v>2197</v>
      </c>
      <c r="N159" s="79" t="s">
        <v>26</v>
      </c>
      <c r="O159" s="79" t="s">
        <v>113</v>
      </c>
      <c r="P159" s="79" t="s">
        <v>95</v>
      </c>
      <c r="Q159" s="70" t="s">
        <v>3420</v>
      </c>
      <c r="R159" s="79" t="s">
        <v>76</v>
      </c>
      <c r="S159" s="79" t="s">
        <v>77</v>
      </c>
      <c r="T159" s="79">
        <v>2020.0</v>
      </c>
      <c r="U159" s="79" t="s">
        <v>78</v>
      </c>
      <c r="V159" s="79" t="s">
        <v>98</v>
      </c>
      <c r="W159" s="79" t="s">
        <v>2199</v>
      </c>
      <c r="X159" s="79" t="s">
        <v>155</v>
      </c>
      <c r="Y159" s="79" t="s">
        <v>71</v>
      </c>
      <c r="Z159" s="79" t="s">
        <v>2200</v>
      </c>
      <c r="AA159" s="79" t="s">
        <v>211</v>
      </c>
      <c r="AB159" s="96" t="s">
        <v>2201</v>
      </c>
      <c r="AC159" s="96">
        <v>8.2129997E10</v>
      </c>
      <c r="AD159" s="70" t="s">
        <v>3421</v>
      </c>
      <c r="AE159" s="59"/>
      <c r="AF159" s="59"/>
      <c r="AG159" s="60"/>
      <c r="AH159" s="61"/>
      <c r="AI159" s="61"/>
      <c r="AJ159" s="61"/>
      <c r="AK159" s="61"/>
      <c r="AL159" s="61"/>
      <c r="AM159" s="61"/>
      <c r="AN159" s="61"/>
      <c r="AO159" s="61"/>
      <c r="AP159" s="61"/>
      <c r="AQ159" s="61"/>
      <c r="AR159" s="61"/>
    </row>
    <row r="160" hidden="1">
      <c r="A160" s="62">
        <v>158.0</v>
      </c>
      <c r="B160" s="96" t="s">
        <v>2205</v>
      </c>
      <c r="C160" s="96" t="s">
        <v>2206</v>
      </c>
      <c r="D160" s="59"/>
      <c r="E160" s="59"/>
      <c r="F160" s="79" t="s">
        <v>65</v>
      </c>
      <c r="G160" s="79" t="s">
        <v>123</v>
      </c>
      <c r="H160" s="79" t="s">
        <v>2207</v>
      </c>
      <c r="I160" s="96" t="s">
        <v>2208</v>
      </c>
      <c r="J160" s="79" t="s">
        <v>69</v>
      </c>
      <c r="K160" s="79" t="s">
        <v>110</v>
      </c>
      <c r="L160" s="79" t="s">
        <v>71</v>
      </c>
      <c r="M160" s="79" t="s">
        <v>2209</v>
      </c>
      <c r="N160" s="79" t="s">
        <v>93</v>
      </c>
      <c r="O160" s="79" t="s">
        <v>113</v>
      </c>
      <c r="P160" s="79" t="s">
        <v>95</v>
      </c>
      <c r="Q160" s="70" t="s">
        <v>3422</v>
      </c>
      <c r="R160" s="79" t="s">
        <v>76</v>
      </c>
      <c r="S160" s="79" t="s">
        <v>97</v>
      </c>
      <c r="T160" s="98">
        <v>2024.0</v>
      </c>
      <c r="U160" s="79" t="s">
        <v>78</v>
      </c>
      <c r="V160" s="79" t="s">
        <v>79</v>
      </c>
      <c r="W160" s="79" t="s">
        <v>80</v>
      </c>
      <c r="X160" s="79" t="s">
        <v>80</v>
      </c>
      <c r="Y160" s="79" t="s">
        <v>80</v>
      </c>
      <c r="Z160" s="79" t="s">
        <v>1004</v>
      </c>
      <c r="AA160" s="79" t="s">
        <v>207</v>
      </c>
      <c r="AB160" s="69"/>
      <c r="AC160" s="69"/>
      <c r="AD160" s="69"/>
      <c r="AE160" s="59"/>
      <c r="AF160" s="59"/>
      <c r="AG160" s="60"/>
      <c r="AH160" s="61"/>
      <c r="AI160" s="61"/>
      <c r="AJ160" s="61"/>
      <c r="AK160" s="61"/>
      <c r="AL160" s="61"/>
      <c r="AM160" s="61"/>
      <c r="AN160" s="61"/>
      <c r="AO160" s="61"/>
      <c r="AP160" s="61"/>
      <c r="AQ160" s="61"/>
      <c r="AR160" s="61"/>
    </row>
    <row r="161" hidden="1">
      <c r="A161" s="62">
        <v>159.0</v>
      </c>
      <c r="B161" s="96" t="s">
        <v>2211</v>
      </c>
      <c r="C161" s="96" t="s">
        <v>2212</v>
      </c>
      <c r="D161" s="96" t="s">
        <v>2213</v>
      </c>
      <c r="E161" s="70" t="s">
        <v>3423</v>
      </c>
      <c r="F161" s="79" t="s">
        <v>446</v>
      </c>
      <c r="G161" s="79" t="s">
        <v>123</v>
      </c>
      <c r="H161" s="79" t="s">
        <v>2215</v>
      </c>
      <c r="I161" s="96" t="s">
        <v>2216</v>
      </c>
      <c r="J161" s="79" t="s">
        <v>91</v>
      </c>
      <c r="K161" s="79" t="s">
        <v>110</v>
      </c>
      <c r="L161" s="79" t="s">
        <v>111</v>
      </c>
      <c r="M161" s="79" t="s">
        <v>2217</v>
      </c>
      <c r="N161" s="79" t="s">
        <v>26</v>
      </c>
      <c r="O161" s="79" t="s">
        <v>113</v>
      </c>
      <c r="P161" s="79" t="s">
        <v>95</v>
      </c>
      <c r="Q161" s="70" t="s">
        <v>3424</v>
      </c>
      <c r="R161" s="79" t="s">
        <v>76</v>
      </c>
      <c r="S161" s="79" t="s">
        <v>77</v>
      </c>
      <c r="T161" s="98">
        <v>2022.0</v>
      </c>
      <c r="U161" s="79" t="s">
        <v>78</v>
      </c>
      <c r="V161" s="79" t="s">
        <v>98</v>
      </c>
      <c r="W161" s="79" t="s">
        <v>2219</v>
      </c>
      <c r="X161" s="79" t="s">
        <v>100</v>
      </c>
      <c r="Y161" s="79" t="s">
        <v>139</v>
      </c>
      <c r="Z161" s="79" t="s">
        <v>2220</v>
      </c>
      <c r="AA161" s="79" t="s">
        <v>207</v>
      </c>
      <c r="AB161" s="96" t="s">
        <v>2221</v>
      </c>
      <c r="AC161" s="96">
        <v>8.5314238177E10</v>
      </c>
      <c r="AD161" s="96" t="s">
        <v>2222</v>
      </c>
      <c r="AE161" s="59"/>
      <c r="AF161" s="59"/>
      <c r="AG161" s="60"/>
      <c r="AH161" s="61"/>
      <c r="AI161" s="61"/>
      <c r="AJ161" s="61"/>
      <c r="AK161" s="61"/>
      <c r="AL161" s="61"/>
      <c r="AM161" s="61"/>
      <c r="AN161" s="61"/>
      <c r="AO161" s="61"/>
      <c r="AP161" s="61"/>
      <c r="AQ161" s="61"/>
      <c r="AR161" s="61"/>
    </row>
    <row r="162" hidden="1">
      <c r="A162" s="62">
        <v>160.0</v>
      </c>
      <c r="B162" s="96" t="s">
        <v>2223</v>
      </c>
      <c r="C162" s="196" t="s">
        <v>2224</v>
      </c>
      <c r="D162" s="96" t="s">
        <v>2225</v>
      </c>
      <c r="E162" s="59"/>
      <c r="F162" s="79" t="s">
        <v>65</v>
      </c>
      <c r="G162" s="79" t="s">
        <v>123</v>
      </c>
      <c r="H162" s="79" t="s">
        <v>2226</v>
      </c>
      <c r="I162" s="96" t="s">
        <v>2227</v>
      </c>
      <c r="J162" s="79" t="s">
        <v>69</v>
      </c>
      <c r="K162" s="79" t="s">
        <v>70</v>
      </c>
      <c r="L162" s="79" t="s">
        <v>71</v>
      </c>
      <c r="M162" s="79" t="s">
        <v>2228</v>
      </c>
      <c r="N162" s="79" t="s">
        <v>93</v>
      </c>
      <c r="O162" s="79" t="s">
        <v>94</v>
      </c>
      <c r="P162" s="79" t="s">
        <v>95</v>
      </c>
      <c r="Q162" s="70" t="s">
        <v>3425</v>
      </c>
      <c r="R162" s="79" t="s">
        <v>76</v>
      </c>
      <c r="S162" s="79" t="s">
        <v>97</v>
      </c>
      <c r="T162" s="79">
        <v>2024.0</v>
      </c>
      <c r="U162" s="79" t="s">
        <v>78</v>
      </c>
      <c r="V162" s="79" t="s">
        <v>79</v>
      </c>
      <c r="W162" s="79" t="s">
        <v>80</v>
      </c>
      <c r="X162" s="79" t="s">
        <v>80</v>
      </c>
      <c r="Y162" s="79" t="s">
        <v>80</v>
      </c>
      <c r="Z162" s="79" t="s">
        <v>1004</v>
      </c>
      <c r="AA162" s="79" t="s">
        <v>207</v>
      </c>
      <c r="AB162" s="69"/>
      <c r="AC162" s="69"/>
      <c r="AD162" s="69"/>
      <c r="AE162" s="59"/>
      <c r="AF162" s="59"/>
      <c r="AG162" s="60"/>
      <c r="AH162" s="61"/>
      <c r="AI162" s="61"/>
      <c r="AJ162" s="61"/>
      <c r="AK162" s="61"/>
      <c r="AL162" s="61"/>
      <c r="AM162" s="61"/>
      <c r="AN162" s="61"/>
      <c r="AO162" s="61"/>
      <c r="AP162" s="61"/>
      <c r="AQ162" s="61"/>
      <c r="AR162" s="61"/>
    </row>
    <row r="163" hidden="1">
      <c r="A163" s="62">
        <v>161.0</v>
      </c>
      <c r="B163" s="132" t="s">
        <v>2230</v>
      </c>
      <c r="C163" s="197" t="s">
        <v>2231</v>
      </c>
      <c r="D163" s="94"/>
      <c r="E163" s="132" t="s">
        <v>2232</v>
      </c>
      <c r="F163" s="79" t="s">
        <v>65</v>
      </c>
      <c r="G163" s="79" t="s">
        <v>131</v>
      </c>
      <c r="H163" s="79" t="s">
        <v>2233</v>
      </c>
      <c r="I163" s="96" t="s">
        <v>2234</v>
      </c>
      <c r="J163" s="79" t="s">
        <v>151</v>
      </c>
      <c r="K163" s="79" t="s">
        <v>110</v>
      </c>
      <c r="L163" s="79" t="s">
        <v>152</v>
      </c>
      <c r="M163" s="79" t="s">
        <v>2235</v>
      </c>
      <c r="N163" s="79" t="s">
        <v>93</v>
      </c>
      <c r="O163" s="79" t="s">
        <v>113</v>
      </c>
      <c r="P163" s="79" t="s">
        <v>95</v>
      </c>
      <c r="Q163" s="70" t="s">
        <v>3426</v>
      </c>
      <c r="R163" s="79" t="s">
        <v>76</v>
      </c>
      <c r="S163" s="79" t="s">
        <v>97</v>
      </c>
      <c r="T163" s="96" t="s">
        <v>2237</v>
      </c>
      <c r="U163" s="79" t="s">
        <v>78</v>
      </c>
      <c r="V163" s="79" t="s">
        <v>79</v>
      </c>
      <c r="W163" s="79" t="s">
        <v>80</v>
      </c>
      <c r="X163" s="79" t="s">
        <v>80</v>
      </c>
      <c r="Y163" s="79" t="s">
        <v>80</v>
      </c>
      <c r="Z163" s="79" t="s">
        <v>2238</v>
      </c>
      <c r="AA163" s="79" t="s">
        <v>207</v>
      </c>
      <c r="AB163" s="69"/>
      <c r="AC163" s="69"/>
      <c r="AD163" s="69"/>
      <c r="AE163" s="59"/>
      <c r="AF163" s="59"/>
      <c r="AG163" s="60"/>
      <c r="AH163" s="61"/>
      <c r="AI163" s="61"/>
      <c r="AJ163" s="61"/>
      <c r="AK163" s="61"/>
      <c r="AL163" s="61"/>
      <c r="AM163" s="61"/>
      <c r="AN163" s="61"/>
      <c r="AO163" s="61"/>
      <c r="AP163" s="61"/>
      <c r="AQ163" s="61"/>
      <c r="AR163" s="61"/>
    </row>
    <row r="164" hidden="1">
      <c r="A164" s="62">
        <v>162.0</v>
      </c>
      <c r="B164" s="132" t="s">
        <v>2239</v>
      </c>
      <c r="C164" s="132" t="s">
        <v>2240</v>
      </c>
      <c r="D164" s="132" t="s">
        <v>2241</v>
      </c>
      <c r="E164" s="198" t="s">
        <v>3427</v>
      </c>
      <c r="F164" s="79" t="s">
        <v>453</v>
      </c>
      <c r="G164" s="79" t="s">
        <v>123</v>
      </c>
      <c r="H164" s="79" t="s">
        <v>2243</v>
      </c>
      <c r="I164" s="96" t="s">
        <v>2244</v>
      </c>
      <c r="J164" s="79" t="s">
        <v>69</v>
      </c>
      <c r="K164" s="79" t="s">
        <v>110</v>
      </c>
      <c r="L164" s="79" t="s">
        <v>111</v>
      </c>
      <c r="M164" s="79" t="s">
        <v>2245</v>
      </c>
      <c r="N164" s="79" t="s">
        <v>26</v>
      </c>
      <c r="O164" s="79" t="s">
        <v>113</v>
      </c>
      <c r="P164" s="79" t="s">
        <v>95</v>
      </c>
      <c r="Q164" s="70" t="s">
        <v>3428</v>
      </c>
      <c r="R164" s="79" t="s">
        <v>76</v>
      </c>
      <c r="S164" s="79" t="s">
        <v>77</v>
      </c>
      <c r="T164" s="98">
        <v>2024.0</v>
      </c>
      <c r="U164" s="79" t="s">
        <v>154</v>
      </c>
      <c r="V164" s="79" t="s">
        <v>79</v>
      </c>
      <c r="W164" s="79" t="s">
        <v>2245</v>
      </c>
      <c r="X164" s="79" t="s">
        <v>100</v>
      </c>
      <c r="Y164" s="79" t="s">
        <v>139</v>
      </c>
      <c r="Z164" s="79" t="s">
        <v>2247</v>
      </c>
      <c r="AA164" s="79" t="s">
        <v>207</v>
      </c>
      <c r="AB164" s="96" t="s">
        <v>2248</v>
      </c>
      <c r="AC164" s="96">
        <v>8.9526465926E10</v>
      </c>
      <c r="AD164" s="96" t="s">
        <v>2249</v>
      </c>
      <c r="AE164" s="59"/>
      <c r="AF164" s="59"/>
      <c r="AG164" s="60"/>
      <c r="AH164" s="61"/>
      <c r="AI164" s="61"/>
      <c r="AJ164" s="61"/>
      <c r="AK164" s="61"/>
      <c r="AL164" s="61"/>
      <c r="AM164" s="61"/>
      <c r="AN164" s="61"/>
      <c r="AO164" s="61"/>
      <c r="AP164" s="61"/>
      <c r="AQ164" s="61"/>
      <c r="AR164" s="61"/>
    </row>
    <row r="165" hidden="1">
      <c r="A165" s="62">
        <v>163.0</v>
      </c>
      <c r="B165" s="132" t="s">
        <v>2250</v>
      </c>
      <c r="C165" s="132" t="s">
        <v>2251</v>
      </c>
      <c r="D165" s="132" t="s">
        <v>2252</v>
      </c>
      <c r="E165" s="198" t="s">
        <v>3429</v>
      </c>
      <c r="F165" s="79" t="s">
        <v>446</v>
      </c>
      <c r="G165" s="79" t="s">
        <v>123</v>
      </c>
      <c r="H165" s="79" t="s">
        <v>2254</v>
      </c>
      <c r="I165" s="96" t="s">
        <v>2255</v>
      </c>
      <c r="J165" s="79" t="s">
        <v>91</v>
      </c>
      <c r="K165" s="79" t="s">
        <v>110</v>
      </c>
      <c r="L165" s="79" t="s">
        <v>111</v>
      </c>
      <c r="M165" s="79" t="s">
        <v>2176</v>
      </c>
      <c r="N165" s="79" t="s">
        <v>26</v>
      </c>
      <c r="O165" s="79" t="s">
        <v>113</v>
      </c>
      <c r="P165" s="79" t="s">
        <v>95</v>
      </c>
      <c r="Q165" s="70" t="s">
        <v>3430</v>
      </c>
      <c r="R165" s="79" t="s">
        <v>76</v>
      </c>
      <c r="S165" s="79" t="s">
        <v>77</v>
      </c>
      <c r="T165" s="98">
        <v>2022.0</v>
      </c>
      <c r="U165" s="79" t="s">
        <v>78</v>
      </c>
      <c r="V165" s="79" t="s">
        <v>79</v>
      </c>
      <c r="W165" s="79" t="s">
        <v>623</v>
      </c>
      <c r="X165" s="79" t="s">
        <v>100</v>
      </c>
      <c r="Y165" s="79" t="s">
        <v>139</v>
      </c>
      <c r="Z165" s="79" t="s">
        <v>2247</v>
      </c>
      <c r="AA165" s="79" t="s">
        <v>207</v>
      </c>
      <c r="AB165" s="96" t="s">
        <v>2257</v>
      </c>
      <c r="AC165" s="96">
        <v>8.211691582E10</v>
      </c>
      <c r="AD165" s="96" t="s">
        <v>2258</v>
      </c>
      <c r="AE165" s="59"/>
      <c r="AF165" s="59"/>
      <c r="AG165" s="60"/>
      <c r="AH165" s="61"/>
      <c r="AI165" s="61"/>
      <c r="AJ165" s="61"/>
      <c r="AK165" s="61"/>
      <c r="AL165" s="61"/>
      <c r="AM165" s="61"/>
      <c r="AN165" s="61"/>
      <c r="AO165" s="61"/>
      <c r="AP165" s="61"/>
      <c r="AQ165" s="61"/>
      <c r="AR165" s="61"/>
    </row>
    <row r="166" hidden="1">
      <c r="A166" s="62">
        <v>164.0</v>
      </c>
      <c r="B166" s="132" t="s">
        <v>2259</v>
      </c>
      <c r="C166" s="132" t="s">
        <v>2260</v>
      </c>
      <c r="D166" s="132" t="s">
        <v>2261</v>
      </c>
      <c r="E166" s="198" t="s">
        <v>3431</v>
      </c>
      <c r="F166" s="79" t="s">
        <v>446</v>
      </c>
      <c r="G166" s="79" t="s">
        <v>123</v>
      </c>
      <c r="H166" s="79" t="s">
        <v>2263</v>
      </c>
      <c r="I166" s="96" t="s">
        <v>2264</v>
      </c>
      <c r="J166" s="79" t="s">
        <v>91</v>
      </c>
      <c r="K166" s="79" t="s">
        <v>110</v>
      </c>
      <c r="L166" s="79" t="s">
        <v>111</v>
      </c>
      <c r="M166" s="79" t="s">
        <v>3432</v>
      </c>
      <c r="N166" s="79" t="s">
        <v>26</v>
      </c>
      <c r="O166" s="79" t="s">
        <v>113</v>
      </c>
      <c r="P166" s="79" t="s">
        <v>95</v>
      </c>
      <c r="Q166" s="291" t="s">
        <v>3433</v>
      </c>
      <c r="R166" s="79" t="s">
        <v>76</v>
      </c>
      <c r="S166" s="79" t="s">
        <v>77</v>
      </c>
      <c r="T166" s="98">
        <v>2021.0</v>
      </c>
      <c r="U166" s="79" t="s">
        <v>78</v>
      </c>
      <c r="V166" s="79" t="s">
        <v>98</v>
      </c>
      <c r="W166" s="79" t="s">
        <v>2267</v>
      </c>
      <c r="X166" s="79" t="s">
        <v>100</v>
      </c>
      <c r="Y166" s="79" t="s">
        <v>139</v>
      </c>
      <c r="Z166" s="79" t="s">
        <v>2247</v>
      </c>
      <c r="AA166" s="79" t="s">
        <v>207</v>
      </c>
      <c r="AB166" s="96" t="s">
        <v>716</v>
      </c>
      <c r="AC166" s="96">
        <v>8.7838661789E10</v>
      </c>
      <c r="AD166" s="96" t="s">
        <v>2268</v>
      </c>
      <c r="AE166" s="59"/>
      <c r="AF166" s="59"/>
      <c r="AG166" s="60"/>
      <c r="AH166" s="61"/>
      <c r="AI166" s="61"/>
      <c r="AJ166" s="61"/>
      <c r="AK166" s="61"/>
      <c r="AL166" s="61"/>
      <c r="AM166" s="61"/>
      <c r="AN166" s="61"/>
      <c r="AO166" s="61"/>
      <c r="AP166" s="61"/>
      <c r="AQ166" s="61"/>
      <c r="AR166" s="61"/>
    </row>
    <row r="167" hidden="1">
      <c r="A167" s="62">
        <v>165.0</v>
      </c>
      <c r="B167" s="132" t="s">
        <v>2269</v>
      </c>
      <c r="C167" s="132" t="s">
        <v>2270</v>
      </c>
      <c r="D167" s="132" t="s">
        <v>2271</v>
      </c>
      <c r="E167" s="132" t="s">
        <v>1327</v>
      </c>
      <c r="F167" s="79" t="s">
        <v>453</v>
      </c>
      <c r="G167" s="79" t="s">
        <v>123</v>
      </c>
      <c r="H167" s="79" t="s">
        <v>2272</v>
      </c>
      <c r="I167" s="96" t="s">
        <v>2273</v>
      </c>
      <c r="J167" s="79" t="s">
        <v>91</v>
      </c>
      <c r="K167" s="79" t="s">
        <v>110</v>
      </c>
      <c r="L167" s="79" t="s">
        <v>111</v>
      </c>
      <c r="M167" s="68" t="s">
        <v>2274</v>
      </c>
      <c r="N167" s="79" t="s">
        <v>93</v>
      </c>
      <c r="O167" s="79" t="s">
        <v>113</v>
      </c>
      <c r="P167" s="79" t="s">
        <v>95</v>
      </c>
      <c r="Q167" s="70" t="s">
        <v>3434</v>
      </c>
      <c r="R167" s="79" t="s">
        <v>76</v>
      </c>
      <c r="S167" s="79" t="s">
        <v>77</v>
      </c>
      <c r="T167" s="98">
        <v>2024.0</v>
      </c>
      <c r="U167" s="79" t="s">
        <v>78</v>
      </c>
      <c r="V167" s="79" t="s">
        <v>79</v>
      </c>
      <c r="W167" s="79" t="s">
        <v>2276</v>
      </c>
      <c r="X167" s="79" t="s">
        <v>100</v>
      </c>
      <c r="Y167" s="79" t="s">
        <v>101</v>
      </c>
      <c r="Z167" s="79" t="s">
        <v>2277</v>
      </c>
      <c r="AA167" s="79" t="s">
        <v>207</v>
      </c>
      <c r="AB167" s="96" t="s">
        <v>2278</v>
      </c>
      <c r="AC167" s="96">
        <v>8.2116608826E10</v>
      </c>
      <c r="AD167" s="96" t="s">
        <v>2279</v>
      </c>
      <c r="AE167" s="59"/>
      <c r="AF167" s="59"/>
      <c r="AG167" s="60"/>
      <c r="AH167" s="61"/>
      <c r="AI167" s="61"/>
      <c r="AJ167" s="61"/>
      <c r="AK167" s="61"/>
      <c r="AL167" s="61"/>
      <c r="AM167" s="61"/>
      <c r="AN167" s="61"/>
      <c r="AO167" s="61"/>
      <c r="AP167" s="61"/>
      <c r="AQ167" s="61"/>
      <c r="AR167" s="61"/>
    </row>
    <row r="168" hidden="1">
      <c r="A168" s="62">
        <v>166.0</v>
      </c>
      <c r="B168" s="132" t="s">
        <v>2280</v>
      </c>
      <c r="C168" s="76" t="s">
        <v>2281</v>
      </c>
      <c r="D168" s="132" t="s">
        <v>2282</v>
      </c>
      <c r="E168" s="132" t="s">
        <v>1327</v>
      </c>
      <c r="F168" s="79" t="s">
        <v>453</v>
      </c>
      <c r="G168" s="79" t="s">
        <v>123</v>
      </c>
      <c r="H168" s="79" t="s">
        <v>2283</v>
      </c>
      <c r="I168" s="76" t="s">
        <v>2284</v>
      </c>
      <c r="J168" s="79" t="s">
        <v>91</v>
      </c>
      <c r="K168" s="79" t="s">
        <v>110</v>
      </c>
      <c r="L168" s="79" t="s">
        <v>71</v>
      </c>
      <c r="M168" s="79" t="s">
        <v>2180</v>
      </c>
      <c r="N168" s="79" t="s">
        <v>26</v>
      </c>
      <c r="O168" s="79" t="s">
        <v>113</v>
      </c>
      <c r="P168" s="79" t="s">
        <v>95</v>
      </c>
      <c r="Q168" s="70" t="s">
        <v>3435</v>
      </c>
      <c r="R168" s="79" t="s">
        <v>76</v>
      </c>
      <c r="S168" s="79" t="s">
        <v>77</v>
      </c>
      <c r="T168" s="98">
        <v>2023.0</v>
      </c>
      <c r="U168" s="79" t="s">
        <v>78</v>
      </c>
      <c r="V168" s="79" t="s">
        <v>98</v>
      </c>
      <c r="W168" s="79" t="s">
        <v>2286</v>
      </c>
      <c r="X168" s="79" t="s">
        <v>100</v>
      </c>
      <c r="Y168" s="79" t="s">
        <v>101</v>
      </c>
      <c r="Z168" s="79" t="s">
        <v>2287</v>
      </c>
      <c r="AA168" s="79" t="s">
        <v>207</v>
      </c>
      <c r="AB168" s="96" t="s">
        <v>2288</v>
      </c>
      <c r="AC168" s="96">
        <v>8.3822355705E10</v>
      </c>
      <c r="AD168" s="96" t="s">
        <v>2289</v>
      </c>
      <c r="AE168" s="59"/>
      <c r="AF168" s="59"/>
      <c r="AG168" s="60"/>
      <c r="AH168" s="61"/>
      <c r="AI168" s="61"/>
      <c r="AJ168" s="61"/>
      <c r="AK168" s="61"/>
      <c r="AL168" s="61"/>
      <c r="AM168" s="61"/>
      <c r="AN168" s="61"/>
      <c r="AO168" s="61"/>
      <c r="AP168" s="61"/>
      <c r="AQ168" s="61"/>
      <c r="AR168" s="61"/>
    </row>
    <row r="169" hidden="1">
      <c r="A169" s="62">
        <v>167.0</v>
      </c>
      <c r="B169" s="201" t="s">
        <v>2307</v>
      </c>
      <c r="C169" s="201" t="s">
        <v>2308</v>
      </c>
      <c r="D169" s="201" t="s">
        <v>2297</v>
      </c>
      <c r="E169" s="70" t="s">
        <v>3436</v>
      </c>
      <c r="F169" s="176" t="s">
        <v>65</v>
      </c>
      <c r="G169" s="79" t="s">
        <v>2299</v>
      </c>
      <c r="H169" s="201" t="s">
        <v>2310</v>
      </c>
      <c r="I169" s="201" t="s">
        <v>2311</v>
      </c>
      <c r="J169" s="176" t="s">
        <v>151</v>
      </c>
      <c r="K169" s="176" t="s">
        <v>70</v>
      </c>
      <c r="L169" s="176" t="s">
        <v>71</v>
      </c>
      <c r="M169" s="79" t="s">
        <v>2312</v>
      </c>
      <c r="N169" s="176" t="s">
        <v>93</v>
      </c>
      <c r="O169" s="176" t="s">
        <v>113</v>
      </c>
      <c r="P169" s="176" t="s">
        <v>95</v>
      </c>
      <c r="Q169" s="70" t="s">
        <v>3437</v>
      </c>
      <c r="R169" s="176" t="s">
        <v>76</v>
      </c>
      <c r="S169" s="176" t="s">
        <v>77</v>
      </c>
      <c r="T169" s="176">
        <v>2012.0</v>
      </c>
      <c r="U169" s="176" t="s">
        <v>78</v>
      </c>
      <c r="V169" s="176" t="s">
        <v>98</v>
      </c>
      <c r="W169" s="201" t="s">
        <v>2314</v>
      </c>
      <c r="X169" s="176" t="s">
        <v>100</v>
      </c>
      <c r="Y169" s="176" t="s">
        <v>139</v>
      </c>
      <c r="Z169" s="201" t="s">
        <v>2315</v>
      </c>
      <c r="AA169" s="176" t="s">
        <v>209</v>
      </c>
      <c r="AB169" s="201" t="s">
        <v>2316</v>
      </c>
      <c r="AC169" s="201">
        <v>8.1321159892E10</v>
      </c>
      <c r="AD169" s="176" t="s">
        <v>563</v>
      </c>
      <c r="AE169" s="59"/>
      <c r="AF169" s="59"/>
      <c r="AG169" s="202"/>
      <c r="AH169" s="61"/>
      <c r="AI169" s="61"/>
      <c r="AJ169" s="61"/>
      <c r="AK169" s="61"/>
      <c r="AL169" s="61"/>
      <c r="AM169" s="61"/>
      <c r="AN169" s="61"/>
      <c r="AO169" s="61"/>
      <c r="AP169" s="61"/>
      <c r="AQ169" s="61"/>
      <c r="AR169" s="61"/>
    </row>
    <row r="170" hidden="1">
      <c r="A170" s="62">
        <v>168.0</v>
      </c>
      <c r="B170" s="201" t="s">
        <v>2317</v>
      </c>
      <c r="C170" s="201" t="s">
        <v>2318</v>
      </c>
      <c r="D170" s="201" t="s">
        <v>2297</v>
      </c>
      <c r="E170" s="70" t="s">
        <v>3438</v>
      </c>
      <c r="F170" s="176" t="s">
        <v>65</v>
      </c>
      <c r="G170" s="79" t="s">
        <v>2299</v>
      </c>
      <c r="H170" s="201" t="s">
        <v>2320</v>
      </c>
      <c r="I170" s="201" t="s">
        <v>2311</v>
      </c>
      <c r="J170" s="176" t="s">
        <v>151</v>
      </c>
      <c r="K170" s="176" t="s">
        <v>70</v>
      </c>
      <c r="L170" s="176" t="s">
        <v>71</v>
      </c>
      <c r="M170" s="79" t="s">
        <v>2321</v>
      </c>
      <c r="N170" s="176" t="s">
        <v>26</v>
      </c>
      <c r="O170" s="176" t="s">
        <v>113</v>
      </c>
      <c r="P170" s="176" t="s">
        <v>95</v>
      </c>
      <c r="Q170" s="201" t="s">
        <v>2322</v>
      </c>
      <c r="R170" s="176" t="s">
        <v>76</v>
      </c>
      <c r="S170" s="176" t="s">
        <v>77</v>
      </c>
      <c r="T170" s="176">
        <v>2023.0</v>
      </c>
      <c r="U170" s="176" t="s">
        <v>78</v>
      </c>
      <c r="V170" s="176" t="s">
        <v>98</v>
      </c>
      <c r="W170" s="201" t="s">
        <v>2314</v>
      </c>
      <c r="X170" s="176" t="s">
        <v>100</v>
      </c>
      <c r="Y170" s="176" t="s">
        <v>139</v>
      </c>
      <c r="Z170" s="201" t="s">
        <v>2315</v>
      </c>
      <c r="AA170" s="176" t="s">
        <v>209</v>
      </c>
      <c r="AB170" s="201" t="s">
        <v>2316</v>
      </c>
      <c r="AC170" s="201">
        <v>8.1321159892E10</v>
      </c>
      <c r="AD170" s="176" t="s">
        <v>563</v>
      </c>
      <c r="AE170" s="59"/>
      <c r="AF170" s="59"/>
      <c r="AG170" s="202"/>
      <c r="AH170" s="61"/>
      <c r="AI170" s="61"/>
      <c r="AJ170" s="61"/>
      <c r="AK170" s="61"/>
      <c r="AL170" s="61"/>
      <c r="AM170" s="61"/>
      <c r="AN170" s="61"/>
      <c r="AO170" s="61"/>
      <c r="AP170" s="61"/>
      <c r="AQ170" s="61"/>
      <c r="AR170" s="61"/>
    </row>
    <row r="171" hidden="1">
      <c r="A171" s="62">
        <v>169.0</v>
      </c>
      <c r="B171" s="201" t="s">
        <v>2323</v>
      </c>
      <c r="C171" s="201" t="s">
        <v>2324</v>
      </c>
      <c r="D171" s="201" t="s">
        <v>2297</v>
      </c>
      <c r="E171" s="70" t="s">
        <v>3439</v>
      </c>
      <c r="F171" s="176" t="s">
        <v>65</v>
      </c>
      <c r="G171" s="79" t="s">
        <v>2299</v>
      </c>
      <c r="H171" s="201" t="s">
        <v>2326</v>
      </c>
      <c r="I171" s="201" t="s">
        <v>2327</v>
      </c>
      <c r="J171" s="176" t="s">
        <v>151</v>
      </c>
      <c r="K171" s="176" t="s">
        <v>70</v>
      </c>
      <c r="L171" s="176" t="s">
        <v>71</v>
      </c>
      <c r="M171" s="79" t="s">
        <v>2328</v>
      </c>
      <c r="N171" s="176" t="s">
        <v>93</v>
      </c>
      <c r="O171" s="176" t="s">
        <v>113</v>
      </c>
      <c r="P171" s="176" t="s">
        <v>95</v>
      </c>
      <c r="Q171" s="70" t="s">
        <v>3440</v>
      </c>
      <c r="R171" s="176" t="s">
        <v>76</v>
      </c>
      <c r="S171" s="176" t="s">
        <v>77</v>
      </c>
      <c r="T171" s="176">
        <v>2025.0</v>
      </c>
      <c r="U171" s="176" t="s">
        <v>78</v>
      </c>
      <c r="V171" s="176" t="s">
        <v>98</v>
      </c>
      <c r="W171" s="201" t="s">
        <v>2314</v>
      </c>
      <c r="X171" s="176" t="s">
        <v>100</v>
      </c>
      <c r="Y171" s="176" t="s">
        <v>139</v>
      </c>
      <c r="Z171" s="201" t="s">
        <v>2315</v>
      </c>
      <c r="AA171" s="176" t="s">
        <v>209</v>
      </c>
      <c r="AB171" s="201" t="s">
        <v>2316</v>
      </c>
      <c r="AC171" s="201">
        <v>8.1321159892E10</v>
      </c>
      <c r="AD171" s="176" t="s">
        <v>563</v>
      </c>
      <c r="AE171" s="59"/>
      <c r="AF171" s="59"/>
      <c r="AG171" s="202"/>
      <c r="AH171" s="61"/>
      <c r="AI171" s="61"/>
      <c r="AJ171" s="61"/>
      <c r="AK171" s="61"/>
      <c r="AL171" s="61"/>
      <c r="AM171" s="61"/>
      <c r="AN171" s="61"/>
      <c r="AO171" s="61"/>
      <c r="AP171" s="61"/>
      <c r="AQ171" s="61"/>
      <c r="AR171" s="61"/>
    </row>
    <row r="172" hidden="1">
      <c r="A172" s="62">
        <v>170.0</v>
      </c>
      <c r="B172" s="201" t="s">
        <v>2330</v>
      </c>
      <c r="C172" s="201" t="s">
        <v>2331</v>
      </c>
      <c r="D172" s="201" t="s">
        <v>2297</v>
      </c>
      <c r="E172" s="70" t="s">
        <v>3441</v>
      </c>
      <c r="F172" s="176" t="s">
        <v>65</v>
      </c>
      <c r="G172" s="79" t="s">
        <v>2299</v>
      </c>
      <c r="H172" s="201" t="s">
        <v>2333</v>
      </c>
      <c r="I172" s="201" t="s">
        <v>2334</v>
      </c>
      <c r="J172" s="176" t="s">
        <v>151</v>
      </c>
      <c r="K172" s="176" t="s">
        <v>70</v>
      </c>
      <c r="L172" s="176" t="s">
        <v>71</v>
      </c>
      <c r="M172" s="79" t="s">
        <v>2335</v>
      </c>
      <c r="N172" s="176" t="s">
        <v>93</v>
      </c>
      <c r="O172" s="176" t="s">
        <v>113</v>
      </c>
      <c r="P172" s="176" t="s">
        <v>74</v>
      </c>
      <c r="Q172" s="70" t="s">
        <v>3442</v>
      </c>
      <c r="R172" s="176" t="s">
        <v>76</v>
      </c>
      <c r="S172" s="176" t="s">
        <v>77</v>
      </c>
      <c r="T172" s="176">
        <v>2020.0</v>
      </c>
      <c r="U172" s="176" t="s">
        <v>78</v>
      </c>
      <c r="V172" s="176" t="s">
        <v>98</v>
      </c>
      <c r="W172" s="201" t="s">
        <v>2337</v>
      </c>
      <c r="X172" s="176" t="s">
        <v>100</v>
      </c>
      <c r="Y172" s="176" t="s">
        <v>139</v>
      </c>
      <c r="Z172" s="201" t="s">
        <v>2305</v>
      </c>
      <c r="AA172" s="176" t="s">
        <v>209</v>
      </c>
      <c r="AB172" s="201" t="s">
        <v>2306</v>
      </c>
      <c r="AC172" s="201">
        <v>8.2240473904E10</v>
      </c>
      <c r="AD172" s="176" t="s">
        <v>563</v>
      </c>
      <c r="AE172" s="59"/>
      <c r="AF172" s="59"/>
      <c r="AG172" s="202"/>
      <c r="AH172" s="61"/>
      <c r="AI172" s="61"/>
      <c r="AJ172" s="61"/>
      <c r="AK172" s="61"/>
      <c r="AL172" s="61"/>
      <c r="AM172" s="61"/>
      <c r="AN172" s="61"/>
      <c r="AO172" s="61"/>
      <c r="AP172" s="61"/>
      <c r="AQ172" s="61"/>
      <c r="AR172" s="61"/>
    </row>
    <row r="173" hidden="1">
      <c r="A173" s="62">
        <v>171.0</v>
      </c>
      <c r="B173" s="203"/>
      <c r="C173" s="203"/>
      <c r="D173" s="204"/>
      <c r="E173" s="204"/>
      <c r="F173" s="203"/>
      <c r="G173" s="69"/>
      <c r="H173" s="203"/>
      <c r="I173" s="203"/>
      <c r="J173" s="203"/>
      <c r="K173" s="203"/>
      <c r="L173" s="203"/>
      <c r="M173" s="79" t="s">
        <v>2350</v>
      </c>
      <c r="N173" s="176" t="s">
        <v>82</v>
      </c>
      <c r="O173" s="176" t="s">
        <v>113</v>
      </c>
      <c r="P173" s="176" t="s">
        <v>74</v>
      </c>
      <c r="Q173" s="70" t="s">
        <v>3443</v>
      </c>
      <c r="R173" s="176" t="s">
        <v>76</v>
      </c>
      <c r="S173" s="176" t="s">
        <v>77</v>
      </c>
      <c r="T173" s="176" t="s">
        <v>563</v>
      </c>
      <c r="U173" s="176" t="s">
        <v>78</v>
      </c>
      <c r="V173" s="176" t="s">
        <v>98</v>
      </c>
      <c r="W173" s="176" t="s">
        <v>2186</v>
      </c>
      <c r="X173" s="176" t="s">
        <v>155</v>
      </c>
      <c r="Y173" s="176" t="s">
        <v>71</v>
      </c>
      <c r="Z173" s="176" t="s">
        <v>563</v>
      </c>
      <c r="AA173" s="176" t="s">
        <v>82</v>
      </c>
      <c r="AB173" s="203"/>
      <c r="AC173" s="203"/>
      <c r="AD173" s="203"/>
      <c r="AE173" s="59"/>
      <c r="AF173" s="59"/>
      <c r="AG173" s="202"/>
      <c r="AH173" s="61"/>
      <c r="AI173" s="61"/>
      <c r="AJ173" s="61"/>
      <c r="AK173" s="61"/>
      <c r="AL173" s="61"/>
      <c r="AM173" s="61"/>
      <c r="AN173" s="61"/>
      <c r="AO173" s="61"/>
      <c r="AP173" s="61"/>
      <c r="AQ173" s="61"/>
      <c r="AR173" s="61"/>
    </row>
    <row r="174" hidden="1">
      <c r="A174" s="62">
        <v>172.0</v>
      </c>
      <c r="B174" s="208" t="s">
        <v>2182</v>
      </c>
      <c r="C174" s="208" t="s">
        <v>2183</v>
      </c>
      <c r="D174" s="208" t="s">
        <v>2184</v>
      </c>
      <c r="E174" s="70" t="s">
        <v>3444</v>
      </c>
      <c r="F174" s="208" t="s">
        <v>469</v>
      </c>
      <c r="G174" s="208" t="s">
        <v>131</v>
      </c>
      <c r="H174" s="209" t="s">
        <v>1969</v>
      </c>
      <c r="I174" s="208" t="s">
        <v>2185</v>
      </c>
      <c r="J174" s="208" t="s">
        <v>151</v>
      </c>
      <c r="K174" s="208" t="s">
        <v>70</v>
      </c>
      <c r="L174" s="208" t="s">
        <v>71</v>
      </c>
      <c r="M174" s="79" t="s">
        <v>2186</v>
      </c>
      <c r="N174" s="208" t="s">
        <v>93</v>
      </c>
      <c r="O174" s="208" t="s">
        <v>113</v>
      </c>
      <c r="P174" s="208" t="s">
        <v>95</v>
      </c>
      <c r="Q174" s="75" t="s">
        <v>3445</v>
      </c>
      <c r="R174" s="208" t="s">
        <v>76</v>
      </c>
      <c r="S174" s="208" t="s">
        <v>77</v>
      </c>
      <c r="T174" s="209">
        <v>2017.0</v>
      </c>
      <c r="U174" s="208" t="s">
        <v>78</v>
      </c>
      <c r="V174" s="208" t="s">
        <v>98</v>
      </c>
      <c r="W174" s="209" t="s">
        <v>2188</v>
      </c>
      <c r="X174" s="208" t="s">
        <v>155</v>
      </c>
      <c r="Y174" s="208" t="s">
        <v>71</v>
      </c>
      <c r="Z174" s="209" t="s">
        <v>2189</v>
      </c>
      <c r="AA174" s="208" t="s">
        <v>211</v>
      </c>
      <c r="AB174" s="208" t="s">
        <v>2190</v>
      </c>
      <c r="AC174" s="208">
        <v>8.2133111001E10</v>
      </c>
      <c r="AD174" s="75" t="s">
        <v>3446</v>
      </c>
      <c r="AE174" s="210">
        <v>28.0</v>
      </c>
      <c r="AF174" s="210" t="s">
        <v>566</v>
      </c>
      <c r="AG174" s="211"/>
      <c r="AH174" s="61"/>
      <c r="AI174" s="61"/>
      <c r="AJ174" s="61"/>
      <c r="AK174" s="61"/>
      <c r="AL174" s="61"/>
      <c r="AM174" s="61"/>
      <c r="AN174" s="61"/>
      <c r="AO174" s="61"/>
      <c r="AP174" s="61"/>
      <c r="AQ174" s="61"/>
      <c r="AR174" s="61"/>
    </row>
    <row r="175">
      <c r="A175" s="62">
        <v>173.0</v>
      </c>
      <c r="B175" s="79" t="s">
        <v>2367</v>
      </c>
      <c r="C175" s="79" t="s">
        <v>2368</v>
      </c>
      <c r="D175" s="79" t="s">
        <v>2369</v>
      </c>
      <c r="E175" s="131" t="s">
        <v>3447</v>
      </c>
      <c r="F175" s="79" t="s">
        <v>65</v>
      </c>
      <c r="G175" s="79" t="s">
        <v>66</v>
      </c>
      <c r="H175" s="79" t="s">
        <v>2371</v>
      </c>
      <c r="I175" s="79" t="s">
        <v>2372</v>
      </c>
      <c r="J175" s="79" t="s">
        <v>151</v>
      </c>
      <c r="K175" s="79" t="s">
        <v>70</v>
      </c>
      <c r="L175" s="79" t="s">
        <v>71</v>
      </c>
      <c r="M175" s="79" t="s">
        <v>2373</v>
      </c>
      <c r="N175" s="79" t="s">
        <v>26</v>
      </c>
      <c r="O175" s="79" t="s">
        <v>113</v>
      </c>
      <c r="P175" s="79" t="s">
        <v>153</v>
      </c>
      <c r="Q175" s="79" t="s">
        <v>2374</v>
      </c>
      <c r="R175" s="79" t="s">
        <v>146</v>
      </c>
      <c r="S175" s="79" t="s">
        <v>97</v>
      </c>
      <c r="T175" s="79">
        <v>2009.0</v>
      </c>
      <c r="U175" s="79" t="s">
        <v>78</v>
      </c>
      <c r="V175" s="79" t="s">
        <v>79</v>
      </c>
      <c r="W175" s="79" t="s">
        <v>80</v>
      </c>
      <c r="X175" s="79" t="s">
        <v>159</v>
      </c>
      <c r="Y175" s="79" t="s">
        <v>80</v>
      </c>
      <c r="Z175" s="79" t="s">
        <v>2375</v>
      </c>
      <c r="AA175" s="79" t="s">
        <v>213</v>
      </c>
      <c r="AB175" s="79" t="s">
        <v>2376</v>
      </c>
      <c r="AC175" s="79">
        <v>8.2315879914E10</v>
      </c>
      <c r="AD175" s="79" t="s">
        <v>2377</v>
      </c>
      <c r="AE175" s="59"/>
      <c r="AF175" s="68" t="s">
        <v>71</v>
      </c>
      <c r="AG175" s="60"/>
      <c r="AH175" s="61"/>
      <c r="AI175" s="61"/>
      <c r="AJ175" s="61"/>
      <c r="AK175" s="61"/>
      <c r="AL175" s="61"/>
      <c r="AM175" s="61"/>
      <c r="AN175" s="61"/>
      <c r="AO175" s="61"/>
      <c r="AP175" s="61"/>
      <c r="AQ175" s="61"/>
      <c r="AR175" s="61"/>
    </row>
    <row r="176">
      <c r="A176" s="62">
        <v>174.0</v>
      </c>
      <c r="B176" s="96" t="s">
        <v>2378</v>
      </c>
      <c r="C176" s="133" t="s">
        <v>2379</v>
      </c>
      <c r="D176" s="96" t="s">
        <v>2380</v>
      </c>
      <c r="E176" s="70" t="s">
        <v>3448</v>
      </c>
      <c r="F176" s="79" t="s">
        <v>65</v>
      </c>
      <c r="G176" s="79" t="s">
        <v>66</v>
      </c>
      <c r="H176" s="79" t="s">
        <v>2382</v>
      </c>
      <c r="I176" s="96" t="s">
        <v>2383</v>
      </c>
      <c r="J176" s="79" t="s">
        <v>158</v>
      </c>
      <c r="K176" s="79" t="s">
        <v>70</v>
      </c>
      <c r="L176" s="79" t="s">
        <v>152</v>
      </c>
      <c r="M176" s="79" t="s">
        <v>2384</v>
      </c>
      <c r="N176" s="79" t="s">
        <v>26</v>
      </c>
      <c r="O176" s="79" t="s">
        <v>113</v>
      </c>
      <c r="P176" s="79" t="s">
        <v>153</v>
      </c>
      <c r="Q176" s="70" t="s">
        <v>3449</v>
      </c>
      <c r="R176" s="79" t="s">
        <v>76</v>
      </c>
      <c r="S176" s="79" t="s">
        <v>97</v>
      </c>
      <c r="T176" s="98">
        <v>2024.0</v>
      </c>
      <c r="U176" s="79" t="s">
        <v>78</v>
      </c>
      <c r="V176" s="79" t="s">
        <v>79</v>
      </c>
      <c r="W176" s="79" t="s">
        <v>80</v>
      </c>
      <c r="X176" s="79" t="s">
        <v>159</v>
      </c>
      <c r="Y176" s="79" t="s">
        <v>101</v>
      </c>
      <c r="Z176" s="79" t="s">
        <v>2386</v>
      </c>
      <c r="AA176" s="79" t="s">
        <v>213</v>
      </c>
      <c r="AB176" s="96" t="s">
        <v>2387</v>
      </c>
      <c r="AC176" s="79">
        <v>8.2219137079E10</v>
      </c>
      <c r="AD176" s="79" t="s">
        <v>2388</v>
      </c>
      <c r="AE176" s="68">
        <v>53.0</v>
      </c>
      <c r="AF176" s="68" t="s">
        <v>1268</v>
      </c>
      <c r="AG176" s="216"/>
      <c r="AH176" s="61"/>
      <c r="AI176" s="61"/>
      <c r="AJ176" s="61"/>
      <c r="AK176" s="61"/>
      <c r="AL176" s="61"/>
      <c r="AM176" s="61"/>
      <c r="AN176" s="61"/>
      <c r="AO176" s="61"/>
      <c r="AP176" s="61"/>
      <c r="AQ176" s="61"/>
      <c r="AR176" s="61"/>
    </row>
    <row r="177" hidden="1">
      <c r="A177" s="62">
        <v>175.0</v>
      </c>
      <c r="B177" s="96" t="s">
        <v>2389</v>
      </c>
      <c r="C177" s="96" t="s">
        <v>2390</v>
      </c>
      <c r="D177" s="96" t="s">
        <v>2391</v>
      </c>
      <c r="E177" s="70" t="s">
        <v>3450</v>
      </c>
      <c r="F177" s="79" t="s">
        <v>354</v>
      </c>
      <c r="G177" s="79" t="s">
        <v>66</v>
      </c>
      <c r="H177" s="217" t="s">
        <v>2393</v>
      </c>
      <c r="I177" s="79" t="s">
        <v>2393</v>
      </c>
      <c r="J177" s="79" t="s">
        <v>91</v>
      </c>
      <c r="K177" s="79" t="s">
        <v>110</v>
      </c>
      <c r="L177" s="79" t="s">
        <v>71</v>
      </c>
      <c r="M177" s="79" t="s">
        <v>2394</v>
      </c>
      <c r="N177" s="79" t="s">
        <v>82</v>
      </c>
      <c r="O177" s="79" t="s">
        <v>113</v>
      </c>
      <c r="P177" s="79" t="s">
        <v>145</v>
      </c>
      <c r="Q177" s="70" t="s">
        <v>3451</v>
      </c>
      <c r="R177" s="79" t="s">
        <v>76</v>
      </c>
      <c r="S177" s="79" t="s">
        <v>97</v>
      </c>
      <c r="T177" s="98">
        <v>2022.0</v>
      </c>
      <c r="U177" s="79" t="s">
        <v>147</v>
      </c>
      <c r="V177" s="79" t="s">
        <v>79</v>
      </c>
      <c r="W177" s="69"/>
      <c r="X177" s="79" t="s">
        <v>80</v>
      </c>
      <c r="Y177" s="79" t="s">
        <v>80</v>
      </c>
      <c r="Z177" s="218" t="s">
        <v>2396</v>
      </c>
      <c r="AA177" s="79" t="s">
        <v>215</v>
      </c>
      <c r="AB177" s="69"/>
      <c r="AC177" s="69"/>
      <c r="AD177" s="69"/>
      <c r="AE177" s="94"/>
      <c r="AF177" s="94"/>
      <c r="AG177" s="60"/>
      <c r="AH177" s="61"/>
      <c r="AI177" s="61"/>
      <c r="AJ177" s="61"/>
      <c r="AK177" s="61"/>
      <c r="AL177" s="61"/>
      <c r="AM177" s="61"/>
      <c r="AN177" s="61"/>
      <c r="AO177" s="61"/>
      <c r="AP177" s="61"/>
      <c r="AQ177" s="61"/>
      <c r="AR177" s="61"/>
    </row>
    <row r="178" hidden="1">
      <c r="A178" s="62">
        <v>176.0</v>
      </c>
      <c r="B178" s="96" t="s">
        <v>2397</v>
      </c>
      <c r="C178" s="96" t="s">
        <v>2398</v>
      </c>
      <c r="D178" s="96" t="s">
        <v>2391</v>
      </c>
      <c r="E178" s="70" t="s">
        <v>3452</v>
      </c>
      <c r="F178" s="79" t="s">
        <v>354</v>
      </c>
      <c r="G178" s="79" t="s">
        <v>131</v>
      </c>
      <c r="H178" s="217" t="s">
        <v>2400</v>
      </c>
      <c r="I178" s="79" t="s">
        <v>2393</v>
      </c>
      <c r="J178" s="79" t="s">
        <v>91</v>
      </c>
      <c r="K178" s="69"/>
      <c r="L178" s="79" t="s">
        <v>71</v>
      </c>
      <c r="M178" s="79" t="s">
        <v>2401</v>
      </c>
      <c r="N178" s="69"/>
      <c r="O178" s="69"/>
      <c r="P178" s="79" t="s">
        <v>95</v>
      </c>
      <c r="Q178" s="70" t="s">
        <v>3453</v>
      </c>
      <c r="R178" s="79" t="s">
        <v>76</v>
      </c>
      <c r="S178" s="79" t="s">
        <v>97</v>
      </c>
      <c r="T178" s="69"/>
      <c r="U178" s="79" t="s">
        <v>78</v>
      </c>
      <c r="V178" s="69"/>
      <c r="W178" s="69"/>
      <c r="X178" s="79" t="s">
        <v>80</v>
      </c>
      <c r="Y178" s="69"/>
      <c r="Z178" s="79" t="s">
        <v>2396</v>
      </c>
      <c r="AA178" s="79" t="s">
        <v>215</v>
      </c>
      <c r="AB178" s="69"/>
      <c r="AC178" s="69"/>
      <c r="AD178" s="69"/>
      <c r="AE178" s="94"/>
      <c r="AF178" s="94"/>
      <c r="AG178" s="60"/>
      <c r="AH178" s="61"/>
      <c r="AI178" s="61"/>
      <c r="AJ178" s="61"/>
      <c r="AK178" s="61"/>
      <c r="AL178" s="61"/>
      <c r="AM178" s="61"/>
      <c r="AN178" s="61"/>
      <c r="AO178" s="61"/>
      <c r="AP178" s="61"/>
      <c r="AQ178" s="61"/>
      <c r="AR178" s="61"/>
    </row>
    <row r="179" hidden="1">
      <c r="A179" s="62">
        <v>177.0</v>
      </c>
      <c r="B179" s="96" t="s">
        <v>2403</v>
      </c>
      <c r="C179" s="96" t="s">
        <v>2404</v>
      </c>
      <c r="D179" s="96" t="s">
        <v>2391</v>
      </c>
      <c r="E179" s="70" t="s">
        <v>3454</v>
      </c>
      <c r="F179" s="79" t="s">
        <v>354</v>
      </c>
      <c r="G179" s="79" t="s">
        <v>66</v>
      </c>
      <c r="H179" s="79" t="s">
        <v>2406</v>
      </c>
      <c r="I179" s="79" t="s">
        <v>2406</v>
      </c>
      <c r="J179" s="79" t="s">
        <v>91</v>
      </c>
      <c r="K179" s="69"/>
      <c r="L179" s="79" t="s">
        <v>71</v>
      </c>
      <c r="M179" s="79" t="s">
        <v>2407</v>
      </c>
      <c r="N179" s="79" t="s">
        <v>93</v>
      </c>
      <c r="O179" s="79" t="s">
        <v>94</v>
      </c>
      <c r="P179" s="79" t="s">
        <v>145</v>
      </c>
      <c r="Q179" s="70" t="s">
        <v>3455</v>
      </c>
      <c r="R179" s="79" t="s">
        <v>76</v>
      </c>
      <c r="S179" s="79" t="s">
        <v>97</v>
      </c>
      <c r="T179" s="98">
        <v>2022.0</v>
      </c>
      <c r="U179" s="79" t="s">
        <v>78</v>
      </c>
      <c r="V179" s="79" t="s">
        <v>79</v>
      </c>
      <c r="W179" s="69"/>
      <c r="X179" s="79" t="s">
        <v>80</v>
      </c>
      <c r="Y179" s="69"/>
      <c r="Z179" s="79" t="s">
        <v>2409</v>
      </c>
      <c r="AA179" s="79" t="s">
        <v>215</v>
      </c>
      <c r="AB179" s="69"/>
      <c r="AC179" s="69"/>
      <c r="AD179" s="69"/>
      <c r="AE179" s="94"/>
      <c r="AF179" s="94"/>
      <c r="AG179" s="60"/>
      <c r="AH179" s="61"/>
      <c r="AI179" s="61"/>
      <c r="AJ179" s="61"/>
      <c r="AK179" s="61"/>
      <c r="AL179" s="61"/>
      <c r="AM179" s="61"/>
      <c r="AN179" s="61"/>
      <c r="AO179" s="61"/>
      <c r="AP179" s="61"/>
      <c r="AQ179" s="61"/>
      <c r="AR179" s="61"/>
    </row>
    <row r="180" hidden="1">
      <c r="A180" s="62">
        <v>178.0</v>
      </c>
      <c r="B180" s="79" t="s">
        <v>2411</v>
      </c>
      <c r="C180" s="79" t="s">
        <v>2412</v>
      </c>
      <c r="D180" s="79" t="s">
        <v>2413</v>
      </c>
      <c r="E180" s="131" t="s">
        <v>3456</v>
      </c>
      <c r="F180" s="79" t="s">
        <v>344</v>
      </c>
      <c r="G180" s="79" t="s">
        <v>66</v>
      </c>
      <c r="H180" s="79" t="s">
        <v>2415</v>
      </c>
      <c r="I180" s="96" t="s">
        <v>2416</v>
      </c>
      <c r="J180" s="79" t="s">
        <v>158</v>
      </c>
      <c r="K180" s="79" t="s">
        <v>70</v>
      </c>
      <c r="L180" s="79" t="s">
        <v>101</v>
      </c>
      <c r="M180" s="79" t="s">
        <v>2417</v>
      </c>
      <c r="N180" s="79" t="s">
        <v>93</v>
      </c>
      <c r="O180" s="79" t="s">
        <v>113</v>
      </c>
      <c r="P180" s="79" t="s">
        <v>153</v>
      </c>
      <c r="Q180" s="79" t="s">
        <v>2418</v>
      </c>
      <c r="R180" s="79" t="s">
        <v>146</v>
      </c>
      <c r="S180" s="79" t="s">
        <v>77</v>
      </c>
      <c r="T180" s="79">
        <v>2023.0</v>
      </c>
      <c r="U180" s="79" t="s">
        <v>78</v>
      </c>
      <c r="V180" s="79" t="s">
        <v>98</v>
      </c>
      <c r="W180" s="79" t="s">
        <v>2419</v>
      </c>
      <c r="X180" s="79" t="s">
        <v>148</v>
      </c>
      <c r="Y180" s="79" t="s">
        <v>139</v>
      </c>
      <c r="Z180" s="79" t="s">
        <v>2420</v>
      </c>
      <c r="AA180" s="79" t="s">
        <v>162</v>
      </c>
      <c r="AB180" s="79" t="s">
        <v>2421</v>
      </c>
      <c r="AC180" s="79">
        <v>8.129487531E9</v>
      </c>
      <c r="AD180" s="79" t="s">
        <v>2422</v>
      </c>
      <c r="AE180" s="79">
        <v>8.0</v>
      </c>
      <c r="AF180" s="79" t="s">
        <v>1268</v>
      </c>
      <c r="AG180" s="60"/>
      <c r="AH180" s="60"/>
      <c r="AI180" s="60"/>
      <c r="AJ180" s="60"/>
      <c r="AK180" s="60"/>
      <c r="AL180" s="60"/>
      <c r="AM180" s="60"/>
      <c r="AN180" s="60"/>
      <c r="AO180" s="60"/>
      <c r="AP180" s="60"/>
      <c r="AQ180" s="60"/>
      <c r="AR180" s="61"/>
    </row>
    <row r="181" hidden="1">
      <c r="A181" s="62">
        <v>179.0</v>
      </c>
      <c r="B181" s="79" t="s">
        <v>2423</v>
      </c>
      <c r="C181" s="176" t="s">
        <v>2424</v>
      </c>
      <c r="D181" s="79" t="s">
        <v>2425</v>
      </c>
      <c r="E181" s="131" t="s">
        <v>3457</v>
      </c>
      <c r="F181" s="79" t="s">
        <v>222</v>
      </c>
      <c r="G181" s="79" t="s">
        <v>138</v>
      </c>
      <c r="H181" s="79" t="s">
        <v>2427</v>
      </c>
      <c r="I181" s="79" t="s">
        <v>2427</v>
      </c>
      <c r="J181" s="79" t="s">
        <v>151</v>
      </c>
      <c r="K181" s="79" t="s">
        <v>70</v>
      </c>
      <c r="L181" s="79" t="s">
        <v>152</v>
      </c>
      <c r="M181" s="79" t="s">
        <v>2428</v>
      </c>
      <c r="N181" s="79" t="s">
        <v>73</v>
      </c>
      <c r="O181" s="79" t="s">
        <v>73</v>
      </c>
      <c r="P181" s="79" t="s">
        <v>95</v>
      </c>
      <c r="Q181" s="131" t="s">
        <v>3458</v>
      </c>
      <c r="R181" s="79" t="s">
        <v>76</v>
      </c>
      <c r="S181" s="79" t="s">
        <v>97</v>
      </c>
      <c r="T181" s="79">
        <v>2016.0</v>
      </c>
      <c r="U181" s="79" t="s">
        <v>78</v>
      </c>
      <c r="V181" s="79" t="s">
        <v>98</v>
      </c>
      <c r="W181" s="79" t="s">
        <v>2430</v>
      </c>
      <c r="X181" s="79" t="s">
        <v>155</v>
      </c>
      <c r="Y181" s="79" t="s">
        <v>139</v>
      </c>
      <c r="Z181" s="79" t="s">
        <v>2431</v>
      </c>
      <c r="AA181" s="79" t="s">
        <v>174</v>
      </c>
      <c r="AB181" s="79" t="s">
        <v>2432</v>
      </c>
      <c r="AC181" s="79">
        <v>8.2121996969E10</v>
      </c>
      <c r="AD181" s="79" t="s">
        <v>2433</v>
      </c>
      <c r="AE181" s="79">
        <v>41.0</v>
      </c>
      <c r="AF181" s="79" t="s">
        <v>71</v>
      </c>
      <c r="AG181" s="60"/>
      <c r="AH181" s="60"/>
      <c r="AI181" s="60"/>
      <c r="AJ181" s="60"/>
      <c r="AK181" s="60"/>
      <c r="AL181" s="60"/>
      <c r="AM181" s="60"/>
      <c r="AN181" s="60"/>
      <c r="AO181" s="60"/>
      <c r="AP181" s="60"/>
      <c r="AQ181" s="60"/>
      <c r="AR181" s="61"/>
    </row>
    <row r="182" hidden="1">
      <c r="A182" s="62">
        <v>180.0</v>
      </c>
      <c r="B182" s="79" t="s">
        <v>2434</v>
      </c>
      <c r="C182" s="79" t="s">
        <v>2435</v>
      </c>
      <c r="D182" s="59"/>
      <c r="E182" s="79" t="s">
        <v>563</v>
      </c>
      <c r="F182" s="79" t="s">
        <v>421</v>
      </c>
      <c r="G182" s="79" t="s">
        <v>138</v>
      </c>
      <c r="H182" s="79" t="s">
        <v>2436</v>
      </c>
      <c r="I182" s="79" t="s">
        <v>2436</v>
      </c>
      <c r="J182" s="79" t="s">
        <v>151</v>
      </c>
      <c r="K182" s="79" t="s">
        <v>110</v>
      </c>
      <c r="L182" s="79" t="s">
        <v>152</v>
      </c>
      <c r="M182" s="79" t="s">
        <v>2437</v>
      </c>
      <c r="N182" s="79" t="s">
        <v>144</v>
      </c>
      <c r="O182" s="79" t="s">
        <v>144</v>
      </c>
      <c r="P182" s="79" t="s">
        <v>95</v>
      </c>
      <c r="Q182" s="131" t="s">
        <v>3459</v>
      </c>
      <c r="R182" s="79" t="s">
        <v>76</v>
      </c>
      <c r="S182" s="79" t="s">
        <v>97</v>
      </c>
      <c r="T182" s="79">
        <v>2024.0</v>
      </c>
      <c r="U182" s="79" t="s">
        <v>78</v>
      </c>
      <c r="V182" s="79" t="s">
        <v>79</v>
      </c>
      <c r="W182" s="79" t="s">
        <v>80</v>
      </c>
      <c r="X182" s="79" t="s">
        <v>80</v>
      </c>
      <c r="Y182" s="79" t="s">
        <v>80</v>
      </c>
      <c r="Z182" s="79" t="s">
        <v>2431</v>
      </c>
      <c r="AA182" s="79" t="s">
        <v>162</v>
      </c>
      <c r="AB182" s="79" t="s">
        <v>2432</v>
      </c>
      <c r="AC182" s="79">
        <v>8.2121996969E10</v>
      </c>
      <c r="AD182" s="79" t="s">
        <v>2433</v>
      </c>
      <c r="AE182" s="59"/>
      <c r="AF182" s="79" t="s">
        <v>152</v>
      </c>
      <c r="AG182" s="60"/>
      <c r="AH182" s="60"/>
      <c r="AI182" s="60"/>
      <c r="AJ182" s="60"/>
      <c r="AK182" s="60"/>
      <c r="AL182" s="60"/>
      <c r="AM182" s="60"/>
      <c r="AN182" s="60"/>
      <c r="AO182" s="60"/>
      <c r="AP182" s="60"/>
      <c r="AQ182" s="60"/>
      <c r="AR182" s="61"/>
    </row>
    <row r="183" hidden="1">
      <c r="A183" s="62">
        <v>181.0</v>
      </c>
      <c r="B183" s="79" t="s">
        <v>2449</v>
      </c>
      <c r="C183" s="79" t="s">
        <v>2450</v>
      </c>
      <c r="D183" s="79" t="s">
        <v>2451</v>
      </c>
      <c r="E183" s="59"/>
      <c r="F183" s="79" t="s">
        <v>444</v>
      </c>
      <c r="G183" s="79" t="s">
        <v>131</v>
      </c>
      <c r="H183" s="79" t="s">
        <v>2452</v>
      </c>
      <c r="I183" s="96" t="s">
        <v>2453</v>
      </c>
      <c r="J183" s="79" t="s">
        <v>69</v>
      </c>
      <c r="K183" s="79" t="s">
        <v>70</v>
      </c>
      <c r="L183" s="79" t="s">
        <v>71</v>
      </c>
      <c r="M183" s="79" t="s">
        <v>2454</v>
      </c>
      <c r="N183" s="79" t="s">
        <v>93</v>
      </c>
      <c r="O183" s="79" t="s">
        <v>94</v>
      </c>
      <c r="P183" s="79" t="s">
        <v>95</v>
      </c>
      <c r="Q183" s="131" t="s">
        <v>3460</v>
      </c>
      <c r="R183" s="79" t="s">
        <v>76</v>
      </c>
      <c r="S183" s="79" t="s">
        <v>97</v>
      </c>
      <c r="T183" s="79">
        <v>2023.0</v>
      </c>
      <c r="U183" s="79" t="s">
        <v>78</v>
      </c>
      <c r="V183" s="79" t="s">
        <v>79</v>
      </c>
      <c r="W183" s="79" t="s">
        <v>80</v>
      </c>
      <c r="X183" s="79" t="s">
        <v>80</v>
      </c>
      <c r="Y183" s="79" t="s">
        <v>80</v>
      </c>
      <c r="Z183" s="79" t="s">
        <v>2456</v>
      </c>
      <c r="AA183" s="79" t="s">
        <v>207</v>
      </c>
      <c r="AB183" s="79" t="s">
        <v>2457</v>
      </c>
      <c r="AC183" s="79">
        <v>8.996105849E9</v>
      </c>
      <c r="AD183" s="79" t="s">
        <v>2458</v>
      </c>
      <c r="AE183" s="59"/>
      <c r="AF183" s="79" t="s">
        <v>152</v>
      </c>
      <c r="AG183" s="60"/>
      <c r="AH183" s="60"/>
      <c r="AI183" s="60"/>
      <c r="AJ183" s="60"/>
      <c r="AK183" s="60"/>
      <c r="AL183" s="60"/>
      <c r="AM183" s="60"/>
      <c r="AN183" s="60"/>
      <c r="AO183" s="60"/>
      <c r="AP183" s="60"/>
      <c r="AQ183" s="60"/>
      <c r="AR183" s="61"/>
    </row>
    <row r="184" hidden="1">
      <c r="A184" s="62">
        <v>182.0</v>
      </c>
      <c r="B184" s="79" t="s">
        <v>2459</v>
      </c>
      <c r="C184" s="79" t="s">
        <v>2460</v>
      </c>
      <c r="D184" s="79" t="s">
        <v>2461</v>
      </c>
      <c r="E184" s="59"/>
      <c r="F184" s="79" t="s">
        <v>448</v>
      </c>
      <c r="G184" s="79" t="s">
        <v>123</v>
      </c>
      <c r="H184" s="79" t="s">
        <v>2462</v>
      </c>
      <c r="I184" s="96" t="s">
        <v>2463</v>
      </c>
      <c r="J184" s="79" t="s">
        <v>158</v>
      </c>
      <c r="K184" s="79" t="s">
        <v>110</v>
      </c>
      <c r="L184" s="79" t="s">
        <v>71</v>
      </c>
      <c r="M184" s="79" t="s">
        <v>2464</v>
      </c>
      <c r="N184" s="79" t="s">
        <v>26</v>
      </c>
      <c r="O184" s="79" t="s">
        <v>113</v>
      </c>
      <c r="P184" s="79" t="s">
        <v>95</v>
      </c>
      <c r="Q184" s="131" t="s">
        <v>3461</v>
      </c>
      <c r="R184" s="79" t="s">
        <v>76</v>
      </c>
      <c r="S184" s="79" t="s">
        <v>97</v>
      </c>
      <c r="T184" s="79">
        <v>2024.0</v>
      </c>
      <c r="U184" s="79" t="s">
        <v>78</v>
      </c>
      <c r="V184" s="79" t="s">
        <v>79</v>
      </c>
      <c r="W184" s="79" t="s">
        <v>80</v>
      </c>
      <c r="X184" s="79" t="s">
        <v>80</v>
      </c>
      <c r="Y184" s="79" t="s">
        <v>80</v>
      </c>
      <c r="Z184" s="79" t="s">
        <v>2466</v>
      </c>
      <c r="AA184" s="79" t="s">
        <v>209</v>
      </c>
      <c r="AB184" s="131" t="s">
        <v>3462</v>
      </c>
      <c r="AC184" s="79">
        <v>8.9682973688E10</v>
      </c>
      <c r="AD184" s="79" t="s">
        <v>2468</v>
      </c>
      <c r="AE184" s="59"/>
      <c r="AF184" s="79" t="s">
        <v>71</v>
      </c>
      <c r="AG184" s="60"/>
      <c r="AH184" s="60"/>
      <c r="AI184" s="60"/>
      <c r="AJ184" s="60"/>
      <c r="AK184" s="60"/>
      <c r="AL184" s="60"/>
      <c r="AM184" s="60"/>
      <c r="AN184" s="60"/>
      <c r="AO184" s="60"/>
      <c r="AP184" s="60"/>
      <c r="AQ184" s="60"/>
      <c r="AR184" s="61"/>
    </row>
    <row r="185" hidden="1">
      <c r="A185" s="62">
        <v>183.0</v>
      </c>
      <c r="B185" s="79" t="s">
        <v>2481</v>
      </c>
      <c r="C185" s="79" t="s">
        <v>2482</v>
      </c>
      <c r="D185" s="79" t="s">
        <v>2483</v>
      </c>
      <c r="E185" s="59"/>
      <c r="F185" s="79" t="s">
        <v>446</v>
      </c>
      <c r="G185" s="79" t="s">
        <v>138</v>
      </c>
      <c r="H185" s="79" t="s">
        <v>2484</v>
      </c>
      <c r="I185" s="96" t="s">
        <v>2485</v>
      </c>
      <c r="J185" s="79" t="s">
        <v>91</v>
      </c>
      <c r="K185" s="79" t="s">
        <v>70</v>
      </c>
      <c r="L185" s="79" t="s">
        <v>71</v>
      </c>
      <c r="M185" s="79" t="s">
        <v>2486</v>
      </c>
      <c r="N185" s="79" t="s">
        <v>73</v>
      </c>
      <c r="O185" s="79" t="s">
        <v>73</v>
      </c>
      <c r="P185" s="79" t="s">
        <v>95</v>
      </c>
      <c r="Q185" s="131" t="s">
        <v>3463</v>
      </c>
      <c r="R185" s="79" t="s">
        <v>76</v>
      </c>
      <c r="S185" s="79" t="s">
        <v>97</v>
      </c>
      <c r="T185" s="79">
        <v>2010.0</v>
      </c>
      <c r="U185" s="79" t="s">
        <v>78</v>
      </c>
      <c r="V185" s="79" t="s">
        <v>98</v>
      </c>
      <c r="W185" s="79" t="s">
        <v>2488</v>
      </c>
      <c r="X185" s="79" t="s">
        <v>155</v>
      </c>
      <c r="Y185" s="79" t="s">
        <v>139</v>
      </c>
      <c r="Z185" s="79" t="s">
        <v>2489</v>
      </c>
      <c r="AA185" s="79" t="s">
        <v>140</v>
      </c>
      <c r="AB185" s="79" t="s">
        <v>2490</v>
      </c>
      <c r="AC185" s="79">
        <v>8.5294011791E10</v>
      </c>
      <c r="AD185" s="79" t="s">
        <v>2491</v>
      </c>
      <c r="AE185" s="59"/>
      <c r="AF185" s="79" t="s">
        <v>71</v>
      </c>
      <c r="AG185" s="60"/>
      <c r="AH185" s="60"/>
      <c r="AI185" s="60"/>
      <c r="AJ185" s="60"/>
      <c r="AK185" s="60"/>
      <c r="AL185" s="60"/>
      <c r="AM185" s="60"/>
      <c r="AN185" s="60"/>
      <c r="AO185" s="60"/>
      <c r="AP185" s="60"/>
      <c r="AQ185" s="60"/>
      <c r="AR185" s="61"/>
    </row>
    <row r="186" hidden="1">
      <c r="A186" s="62">
        <v>184.0</v>
      </c>
      <c r="B186" s="79" t="s">
        <v>2515</v>
      </c>
      <c r="C186" s="79" t="s">
        <v>2516</v>
      </c>
      <c r="D186" s="59"/>
      <c r="E186" s="59"/>
      <c r="F186" s="79" t="s">
        <v>457</v>
      </c>
      <c r="G186" s="79" t="s">
        <v>123</v>
      </c>
      <c r="H186" s="79" t="s">
        <v>2517</v>
      </c>
      <c r="I186" s="96" t="s">
        <v>2443</v>
      </c>
      <c r="J186" s="79" t="s">
        <v>151</v>
      </c>
      <c r="K186" s="79" t="s">
        <v>110</v>
      </c>
      <c r="L186" s="69"/>
      <c r="M186" s="79" t="s">
        <v>2518</v>
      </c>
      <c r="N186" s="79" t="s">
        <v>26</v>
      </c>
      <c r="O186" s="79" t="s">
        <v>113</v>
      </c>
      <c r="P186" s="79" t="s">
        <v>153</v>
      </c>
      <c r="Q186" s="79" t="s">
        <v>2519</v>
      </c>
      <c r="R186" s="79" t="s">
        <v>146</v>
      </c>
      <c r="S186" s="79" t="s">
        <v>97</v>
      </c>
      <c r="T186" s="79">
        <v>2015.0</v>
      </c>
      <c r="U186" s="79" t="s">
        <v>78</v>
      </c>
      <c r="V186" s="79" t="s">
        <v>79</v>
      </c>
      <c r="W186" s="79" t="s">
        <v>2520</v>
      </c>
      <c r="X186" s="79" t="s">
        <v>80</v>
      </c>
      <c r="Y186" s="79" t="s">
        <v>80</v>
      </c>
      <c r="Z186" s="79" t="s">
        <v>2521</v>
      </c>
      <c r="AA186" s="79" t="s">
        <v>162</v>
      </c>
      <c r="AB186" s="69"/>
      <c r="AC186" s="69"/>
      <c r="AD186" s="69"/>
      <c r="AE186" s="59"/>
      <c r="AF186" s="79" t="s">
        <v>152</v>
      </c>
      <c r="AG186" s="60"/>
      <c r="AH186" s="60"/>
      <c r="AI186" s="60"/>
      <c r="AJ186" s="60"/>
      <c r="AK186" s="60"/>
      <c r="AL186" s="60"/>
      <c r="AM186" s="60"/>
      <c r="AN186" s="60"/>
      <c r="AO186" s="60"/>
      <c r="AP186" s="60"/>
      <c r="AQ186" s="60"/>
      <c r="AR186" s="61"/>
    </row>
    <row r="187" hidden="1">
      <c r="A187" s="62">
        <v>185.0</v>
      </c>
      <c r="B187" s="79" t="s">
        <v>2522</v>
      </c>
      <c r="C187" s="219" t="s">
        <v>2523</v>
      </c>
      <c r="D187" s="79" t="s">
        <v>2524</v>
      </c>
      <c r="E187" s="79" t="s">
        <v>2525</v>
      </c>
      <c r="F187" s="79" t="s">
        <v>344</v>
      </c>
      <c r="G187" s="79" t="s">
        <v>66</v>
      </c>
      <c r="H187" s="79" t="s">
        <v>2526</v>
      </c>
      <c r="I187" s="96" t="s">
        <v>2527</v>
      </c>
      <c r="J187" s="79" t="s">
        <v>151</v>
      </c>
      <c r="K187" s="79" t="s">
        <v>70</v>
      </c>
      <c r="L187" s="79" t="s">
        <v>71</v>
      </c>
      <c r="M187" s="79" t="s">
        <v>2528</v>
      </c>
      <c r="N187" s="79" t="s">
        <v>73</v>
      </c>
      <c r="O187" s="79" t="s">
        <v>73</v>
      </c>
      <c r="P187" s="79" t="s">
        <v>95</v>
      </c>
      <c r="Q187" s="131" t="s">
        <v>3464</v>
      </c>
      <c r="R187" s="79" t="s">
        <v>76</v>
      </c>
      <c r="S187" s="79" t="s">
        <v>97</v>
      </c>
      <c r="T187" s="79">
        <v>2016.0</v>
      </c>
      <c r="U187" s="79" t="s">
        <v>78</v>
      </c>
      <c r="V187" s="79" t="s">
        <v>79</v>
      </c>
      <c r="W187" s="79" t="s">
        <v>2520</v>
      </c>
      <c r="X187" s="79" t="s">
        <v>80</v>
      </c>
      <c r="Y187" s="79" t="s">
        <v>80</v>
      </c>
      <c r="Z187" s="79" t="s">
        <v>2530</v>
      </c>
      <c r="AA187" s="79" t="s">
        <v>162</v>
      </c>
      <c r="AB187" s="69"/>
      <c r="AC187" s="69"/>
      <c r="AD187" s="69"/>
      <c r="AE187" s="59"/>
      <c r="AF187" s="79" t="s">
        <v>71</v>
      </c>
      <c r="AG187" s="60"/>
      <c r="AH187" s="60"/>
      <c r="AI187" s="60"/>
      <c r="AJ187" s="60"/>
      <c r="AK187" s="60"/>
      <c r="AL187" s="60"/>
      <c r="AM187" s="60"/>
      <c r="AN187" s="60"/>
      <c r="AO187" s="60"/>
      <c r="AP187" s="60"/>
      <c r="AQ187" s="60"/>
      <c r="AR187" s="61"/>
    </row>
    <row r="188" hidden="1">
      <c r="A188" s="62">
        <v>186.0</v>
      </c>
      <c r="B188" s="79" t="s">
        <v>2548</v>
      </c>
      <c r="C188" s="79" t="s">
        <v>2549</v>
      </c>
      <c r="D188" s="79" t="s">
        <v>2550</v>
      </c>
      <c r="E188" s="59"/>
      <c r="F188" s="79" t="s">
        <v>453</v>
      </c>
      <c r="G188" s="79" t="s">
        <v>123</v>
      </c>
      <c r="H188" s="79" t="s">
        <v>2551</v>
      </c>
      <c r="I188" s="96" t="s">
        <v>2552</v>
      </c>
      <c r="J188" s="79" t="s">
        <v>151</v>
      </c>
      <c r="K188" s="79" t="s">
        <v>110</v>
      </c>
      <c r="L188" s="79" t="s">
        <v>152</v>
      </c>
      <c r="M188" s="79" t="s">
        <v>2553</v>
      </c>
      <c r="N188" s="79" t="s">
        <v>73</v>
      </c>
      <c r="O188" s="79" t="s">
        <v>73</v>
      </c>
      <c r="P188" s="79" t="s">
        <v>95</v>
      </c>
      <c r="Q188" s="131" t="s">
        <v>3465</v>
      </c>
      <c r="R188" s="79" t="s">
        <v>76</v>
      </c>
      <c r="S188" s="79" t="s">
        <v>77</v>
      </c>
      <c r="T188" s="69"/>
      <c r="U188" s="79" t="s">
        <v>78</v>
      </c>
      <c r="V188" s="79" t="s">
        <v>98</v>
      </c>
      <c r="W188" s="79" t="s">
        <v>2555</v>
      </c>
      <c r="X188" s="79" t="s">
        <v>80</v>
      </c>
      <c r="Y188" s="79" t="s">
        <v>80</v>
      </c>
      <c r="Z188" s="79" t="s">
        <v>2456</v>
      </c>
      <c r="AA188" s="79" t="s">
        <v>207</v>
      </c>
      <c r="AB188" s="79" t="s">
        <v>2556</v>
      </c>
      <c r="AC188" s="79" t="s">
        <v>2557</v>
      </c>
      <c r="AD188" s="79" t="s">
        <v>2558</v>
      </c>
      <c r="AE188" s="59"/>
      <c r="AF188" s="79" t="s">
        <v>152</v>
      </c>
      <c r="AG188" s="60"/>
      <c r="AH188" s="60"/>
      <c r="AI188" s="60"/>
      <c r="AJ188" s="60"/>
      <c r="AK188" s="60"/>
      <c r="AL188" s="60"/>
      <c r="AM188" s="60"/>
      <c r="AN188" s="60"/>
      <c r="AO188" s="60"/>
      <c r="AP188" s="60"/>
      <c r="AQ188" s="60"/>
      <c r="AR188" s="61"/>
    </row>
    <row r="189" hidden="1">
      <c r="A189" s="62">
        <v>187.0</v>
      </c>
      <c r="B189" s="79" t="s">
        <v>2596</v>
      </c>
      <c r="C189" s="79" t="s">
        <v>2597</v>
      </c>
      <c r="D189" s="79" t="s">
        <v>2598</v>
      </c>
      <c r="E189" s="59"/>
      <c r="F189" s="79" t="s">
        <v>341</v>
      </c>
      <c r="G189" s="79" t="s">
        <v>131</v>
      </c>
      <c r="H189" s="79" t="s">
        <v>2597</v>
      </c>
      <c r="I189" s="79" t="s">
        <v>2597</v>
      </c>
      <c r="J189" s="79" t="s">
        <v>151</v>
      </c>
      <c r="K189" s="79" t="s">
        <v>70</v>
      </c>
      <c r="L189" s="79" t="s">
        <v>71</v>
      </c>
      <c r="M189" s="79" t="s">
        <v>1114</v>
      </c>
      <c r="N189" s="79" t="s">
        <v>73</v>
      </c>
      <c r="O189" s="79" t="s">
        <v>73</v>
      </c>
      <c r="P189" s="79" t="s">
        <v>74</v>
      </c>
      <c r="Q189" s="131" t="s">
        <v>3466</v>
      </c>
      <c r="R189" s="79" t="s">
        <v>76</v>
      </c>
      <c r="S189" s="79" t="s">
        <v>97</v>
      </c>
      <c r="T189" s="69"/>
      <c r="U189" s="79" t="s">
        <v>78</v>
      </c>
      <c r="V189" s="79" t="s">
        <v>98</v>
      </c>
      <c r="W189" s="69"/>
      <c r="X189" s="79" t="s">
        <v>148</v>
      </c>
      <c r="Y189" s="79" t="s">
        <v>139</v>
      </c>
      <c r="Z189" s="79" t="s">
        <v>2590</v>
      </c>
      <c r="AA189" s="79" t="s">
        <v>162</v>
      </c>
      <c r="AB189" s="79" t="s">
        <v>2584</v>
      </c>
      <c r="AC189" s="79">
        <v>8.5222063396E10</v>
      </c>
      <c r="AD189" s="79" t="s">
        <v>2579</v>
      </c>
      <c r="AE189" s="59"/>
      <c r="AF189" s="79" t="s">
        <v>1268</v>
      </c>
      <c r="AG189" s="60"/>
      <c r="AH189" s="60"/>
      <c r="AI189" s="60"/>
      <c r="AJ189" s="60"/>
      <c r="AK189" s="60"/>
      <c r="AL189" s="60"/>
      <c r="AM189" s="60"/>
      <c r="AN189" s="60"/>
      <c r="AO189" s="60"/>
      <c r="AP189" s="60"/>
      <c r="AQ189" s="60"/>
      <c r="AR189" s="61"/>
    </row>
    <row r="190" hidden="1">
      <c r="A190" s="62">
        <v>188.0</v>
      </c>
      <c r="B190" s="79" t="s">
        <v>2600</v>
      </c>
      <c r="C190" s="176" t="s">
        <v>2601</v>
      </c>
      <c r="D190" s="79" t="s">
        <v>2602</v>
      </c>
      <c r="E190" s="94"/>
      <c r="F190" s="79" t="s">
        <v>344</v>
      </c>
      <c r="G190" s="79" t="s">
        <v>123</v>
      </c>
      <c r="H190" s="79" t="s">
        <v>2603</v>
      </c>
      <c r="I190" s="96" t="s">
        <v>2604</v>
      </c>
      <c r="J190" s="79" t="s">
        <v>151</v>
      </c>
      <c r="K190" s="79" t="s">
        <v>110</v>
      </c>
      <c r="L190" s="79" t="s">
        <v>71</v>
      </c>
      <c r="M190" s="79" t="s">
        <v>2605</v>
      </c>
      <c r="N190" s="79" t="s">
        <v>73</v>
      </c>
      <c r="O190" s="79" t="s">
        <v>73</v>
      </c>
      <c r="P190" s="67" t="s">
        <v>95</v>
      </c>
      <c r="Q190" s="131" t="s">
        <v>3467</v>
      </c>
      <c r="R190" s="79" t="s">
        <v>76</v>
      </c>
      <c r="S190" s="79" t="s">
        <v>97</v>
      </c>
      <c r="T190" s="69"/>
      <c r="U190" s="79" t="s">
        <v>78</v>
      </c>
      <c r="V190" s="79" t="s">
        <v>98</v>
      </c>
      <c r="W190" s="79" t="s">
        <v>970</v>
      </c>
      <c r="X190" s="79" t="s">
        <v>80</v>
      </c>
      <c r="Y190" s="79" t="s">
        <v>139</v>
      </c>
      <c r="Z190" s="79" t="s">
        <v>2607</v>
      </c>
      <c r="AA190" s="79" t="s">
        <v>162</v>
      </c>
      <c r="AB190" s="79" t="s">
        <v>2608</v>
      </c>
      <c r="AC190" s="79">
        <v>8.5721324997E10</v>
      </c>
      <c r="AD190" s="69"/>
      <c r="AE190" s="59"/>
      <c r="AF190" s="79" t="s">
        <v>71</v>
      </c>
      <c r="AG190" s="60"/>
      <c r="AH190" s="60"/>
      <c r="AI190" s="60"/>
      <c r="AJ190" s="60"/>
      <c r="AK190" s="60"/>
      <c r="AL190" s="60"/>
      <c r="AM190" s="60"/>
      <c r="AN190" s="60"/>
      <c r="AO190" s="60"/>
      <c r="AP190" s="60"/>
      <c r="AQ190" s="60"/>
      <c r="AR190" s="61"/>
    </row>
    <row r="191" hidden="1">
      <c r="A191" s="62">
        <v>189.0</v>
      </c>
      <c r="B191" s="79" t="s">
        <v>2634</v>
      </c>
      <c r="C191" s="96" t="s">
        <v>2635</v>
      </c>
      <c r="D191" s="79" t="s">
        <v>2628</v>
      </c>
      <c r="E191" s="59"/>
      <c r="F191" s="79" t="s">
        <v>165</v>
      </c>
      <c r="G191" s="79" t="s">
        <v>123</v>
      </c>
      <c r="H191" s="79" t="s">
        <v>2636</v>
      </c>
      <c r="I191" s="79" t="s">
        <v>2637</v>
      </c>
      <c r="J191" s="79" t="s">
        <v>91</v>
      </c>
      <c r="K191" s="79" t="s">
        <v>110</v>
      </c>
      <c r="L191" s="79" t="s">
        <v>101</v>
      </c>
      <c r="M191" s="79" t="s">
        <v>2638</v>
      </c>
      <c r="N191" s="79" t="s">
        <v>73</v>
      </c>
      <c r="O191" s="79" t="s">
        <v>73</v>
      </c>
      <c r="P191" s="79" t="s">
        <v>95</v>
      </c>
      <c r="Q191" s="131" t="s">
        <v>3468</v>
      </c>
      <c r="R191" s="79" t="s">
        <v>76</v>
      </c>
      <c r="S191" s="79" t="s">
        <v>97</v>
      </c>
      <c r="T191" s="69"/>
      <c r="U191" s="79" t="s">
        <v>78</v>
      </c>
      <c r="V191" s="79" t="s">
        <v>79</v>
      </c>
      <c r="W191" s="79" t="s">
        <v>80</v>
      </c>
      <c r="X191" s="79" t="s">
        <v>80</v>
      </c>
      <c r="Y191" s="79" t="s">
        <v>80</v>
      </c>
      <c r="Z191" s="79" t="s">
        <v>2489</v>
      </c>
      <c r="AA191" s="79" t="s">
        <v>162</v>
      </c>
      <c r="AB191" s="79" t="s">
        <v>2632</v>
      </c>
      <c r="AC191" s="79">
        <v>8.2118454036E10</v>
      </c>
      <c r="AD191" s="79" t="s">
        <v>2633</v>
      </c>
      <c r="AE191" s="59"/>
      <c r="AF191" s="79" t="s">
        <v>566</v>
      </c>
      <c r="AG191" s="60"/>
      <c r="AH191" s="60"/>
      <c r="AI191" s="60"/>
      <c r="AJ191" s="60"/>
      <c r="AK191" s="60"/>
      <c r="AL191" s="60"/>
      <c r="AM191" s="60"/>
      <c r="AN191" s="60"/>
      <c r="AO191" s="60"/>
      <c r="AP191" s="60"/>
      <c r="AQ191" s="60"/>
      <c r="AR191" s="61"/>
    </row>
    <row r="192" hidden="1">
      <c r="A192" s="62">
        <v>190.0</v>
      </c>
      <c r="B192" s="79" t="s">
        <v>2657</v>
      </c>
      <c r="C192" s="96" t="s">
        <v>2658</v>
      </c>
      <c r="D192" s="96" t="s">
        <v>2659</v>
      </c>
      <c r="E192" s="59"/>
      <c r="F192" s="79" t="s">
        <v>344</v>
      </c>
      <c r="G192" s="79" t="s">
        <v>123</v>
      </c>
      <c r="H192" s="96" t="s">
        <v>2660</v>
      </c>
      <c r="I192" s="96" t="s">
        <v>2661</v>
      </c>
      <c r="J192" s="79" t="s">
        <v>151</v>
      </c>
      <c r="K192" s="79" t="s">
        <v>110</v>
      </c>
      <c r="L192" s="79" t="s">
        <v>152</v>
      </c>
      <c r="M192" s="79" t="s">
        <v>2662</v>
      </c>
      <c r="N192" s="79" t="s">
        <v>73</v>
      </c>
      <c r="O192" s="79" t="s">
        <v>73</v>
      </c>
      <c r="P192" s="79" t="s">
        <v>95</v>
      </c>
      <c r="Q192" s="223" t="s">
        <v>3469</v>
      </c>
      <c r="R192" s="79" t="s">
        <v>76</v>
      </c>
      <c r="S192" s="79" t="s">
        <v>97</v>
      </c>
      <c r="T192" s="69"/>
      <c r="U192" s="79" t="s">
        <v>78</v>
      </c>
      <c r="V192" s="69"/>
      <c r="W192" s="69"/>
      <c r="X192" s="69"/>
      <c r="Y192" s="69"/>
      <c r="Z192" s="79" t="s">
        <v>2664</v>
      </c>
      <c r="AA192" s="79" t="s">
        <v>162</v>
      </c>
      <c r="AB192" s="131" t="s">
        <v>3470</v>
      </c>
      <c r="AC192" s="79">
        <v>8.812229285E9</v>
      </c>
      <c r="AD192" s="79" t="s">
        <v>2666</v>
      </c>
      <c r="AE192" s="59"/>
      <c r="AF192" s="79" t="s">
        <v>152</v>
      </c>
      <c r="AG192" s="60"/>
      <c r="AH192" s="60"/>
      <c r="AI192" s="60"/>
      <c r="AJ192" s="60"/>
      <c r="AK192" s="60"/>
      <c r="AL192" s="60"/>
      <c r="AM192" s="60"/>
      <c r="AN192" s="60"/>
      <c r="AO192" s="60"/>
      <c r="AP192" s="60"/>
      <c r="AQ192" s="60"/>
      <c r="AR192" s="61"/>
    </row>
    <row r="193" hidden="1">
      <c r="A193" s="62">
        <v>191.0</v>
      </c>
      <c r="B193" s="96" t="s">
        <v>2678</v>
      </c>
      <c r="C193" s="224" t="s">
        <v>2679</v>
      </c>
      <c r="D193" s="225" t="s">
        <v>2680</v>
      </c>
      <c r="E193" s="59"/>
      <c r="F193" s="67" t="s">
        <v>344</v>
      </c>
      <c r="G193" s="79" t="s">
        <v>123</v>
      </c>
      <c r="H193" s="79" t="s">
        <v>2681</v>
      </c>
      <c r="I193" s="79" t="s">
        <v>2681</v>
      </c>
      <c r="J193" s="79" t="s">
        <v>69</v>
      </c>
      <c r="K193" s="79" t="s">
        <v>110</v>
      </c>
      <c r="L193" s="79" t="s">
        <v>71</v>
      </c>
      <c r="M193" s="79" t="s">
        <v>2682</v>
      </c>
      <c r="N193" s="79" t="s">
        <v>73</v>
      </c>
      <c r="O193" s="79" t="s">
        <v>73</v>
      </c>
      <c r="P193" s="79" t="s">
        <v>95</v>
      </c>
      <c r="Q193" s="131" t="s">
        <v>3471</v>
      </c>
      <c r="R193" s="79" t="s">
        <v>76</v>
      </c>
      <c r="S193" s="79" t="s">
        <v>97</v>
      </c>
      <c r="T193" s="79">
        <v>2018.0</v>
      </c>
      <c r="U193" s="79" t="s">
        <v>78</v>
      </c>
      <c r="V193" s="67" t="s">
        <v>79</v>
      </c>
      <c r="W193" s="79" t="s">
        <v>2684</v>
      </c>
      <c r="X193" s="67" t="s">
        <v>80</v>
      </c>
      <c r="Y193" s="79" t="s">
        <v>80</v>
      </c>
      <c r="Z193" s="68" t="s">
        <v>2675</v>
      </c>
      <c r="AA193" s="79" t="s">
        <v>162</v>
      </c>
      <c r="AB193" s="79" t="s">
        <v>2608</v>
      </c>
      <c r="AC193" s="79">
        <v>8.5721324997E10</v>
      </c>
      <c r="AD193" s="69"/>
      <c r="AE193" s="59"/>
      <c r="AF193" s="68" t="s">
        <v>566</v>
      </c>
      <c r="AG193" s="60"/>
      <c r="AH193" s="60"/>
      <c r="AI193" s="60"/>
      <c r="AJ193" s="60"/>
      <c r="AK193" s="60"/>
      <c r="AL193" s="60"/>
      <c r="AM193" s="60"/>
      <c r="AN193" s="60"/>
      <c r="AO193" s="60"/>
      <c r="AP193" s="60"/>
      <c r="AQ193" s="60"/>
      <c r="AR193" s="61"/>
    </row>
    <row r="194" hidden="1">
      <c r="A194" s="62">
        <v>192.0</v>
      </c>
      <c r="B194" s="79" t="s">
        <v>2411</v>
      </c>
      <c r="C194" s="79" t="s">
        <v>2412</v>
      </c>
      <c r="D194" s="79" t="s">
        <v>2413</v>
      </c>
      <c r="E194" s="131" t="s">
        <v>3472</v>
      </c>
      <c r="F194" s="79" t="s">
        <v>344</v>
      </c>
      <c r="G194" s="79" t="s">
        <v>66</v>
      </c>
      <c r="H194" s="79" t="s">
        <v>2415</v>
      </c>
      <c r="I194" s="96" t="s">
        <v>2416</v>
      </c>
      <c r="J194" s="79" t="s">
        <v>158</v>
      </c>
      <c r="K194" s="79" t="s">
        <v>70</v>
      </c>
      <c r="L194" s="79" t="s">
        <v>101</v>
      </c>
      <c r="M194" s="79" t="s">
        <v>2693</v>
      </c>
      <c r="N194" s="79" t="s">
        <v>93</v>
      </c>
      <c r="O194" s="79" t="s">
        <v>113</v>
      </c>
      <c r="P194" s="79" t="s">
        <v>153</v>
      </c>
      <c r="Q194" s="79" t="s">
        <v>2418</v>
      </c>
      <c r="R194" s="79" t="s">
        <v>146</v>
      </c>
      <c r="S194" s="79" t="s">
        <v>77</v>
      </c>
      <c r="T194" s="79">
        <v>2023.0</v>
      </c>
      <c r="U194" s="79" t="s">
        <v>78</v>
      </c>
      <c r="V194" s="79" t="s">
        <v>98</v>
      </c>
      <c r="W194" s="79" t="s">
        <v>2419</v>
      </c>
      <c r="X194" s="79" t="s">
        <v>148</v>
      </c>
      <c r="Y194" s="79" t="s">
        <v>139</v>
      </c>
      <c r="Z194" s="79" t="s">
        <v>2420</v>
      </c>
      <c r="AA194" s="79" t="s">
        <v>162</v>
      </c>
      <c r="AB194" s="79" t="s">
        <v>2421</v>
      </c>
      <c r="AC194" s="79">
        <v>8.129487531E9</v>
      </c>
      <c r="AD194" s="79" t="s">
        <v>2422</v>
      </c>
      <c r="AE194" s="79">
        <v>8.0</v>
      </c>
      <c r="AF194" s="79" t="s">
        <v>1268</v>
      </c>
      <c r="AG194" s="60"/>
      <c r="AH194" s="60"/>
      <c r="AI194" s="60"/>
      <c r="AJ194" s="60"/>
      <c r="AK194" s="60"/>
      <c r="AL194" s="60"/>
      <c r="AM194" s="60"/>
      <c r="AN194" s="60"/>
      <c r="AO194" s="60"/>
      <c r="AP194" s="60"/>
      <c r="AQ194" s="60"/>
      <c r="AR194" s="61"/>
    </row>
    <row r="195" hidden="1">
      <c r="A195" s="62">
        <v>193.0</v>
      </c>
      <c r="B195" s="79" t="s">
        <v>2515</v>
      </c>
      <c r="C195" s="79" t="s">
        <v>2516</v>
      </c>
      <c r="D195" s="59"/>
      <c r="E195" s="59"/>
      <c r="F195" s="79" t="s">
        <v>457</v>
      </c>
      <c r="G195" s="79" t="s">
        <v>123</v>
      </c>
      <c r="H195" s="79" t="s">
        <v>2517</v>
      </c>
      <c r="I195" s="96" t="s">
        <v>2443</v>
      </c>
      <c r="J195" s="79" t="s">
        <v>151</v>
      </c>
      <c r="K195" s="79" t="s">
        <v>110</v>
      </c>
      <c r="L195" s="69"/>
      <c r="M195" s="79" t="s">
        <v>2707</v>
      </c>
      <c r="N195" s="79" t="s">
        <v>26</v>
      </c>
      <c r="O195" s="79" t="s">
        <v>113</v>
      </c>
      <c r="P195" s="79" t="s">
        <v>153</v>
      </c>
      <c r="Q195" s="79" t="s">
        <v>2519</v>
      </c>
      <c r="R195" s="79" t="s">
        <v>146</v>
      </c>
      <c r="S195" s="79" t="s">
        <v>97</v>
      </c>
      <c r="T195" s="79">
        <v>2015.0</v>
      </c>
      <c r="U195" s="79" t="s">
        <v>78</v>
      </c>
      <c r="V195" s="79" t="s">
        <v>79</v>
      </c>
      <c r="W195" s="79" t="s">
        <v>2520</v>
      </c>
      <c r="X195" s="79" t="s">
        <v>80</v>
      </c>
      <c r="Y195" s="79" t="s">
        <v>80</v>
      </c>
      <c r="Z195" s="79" t="s">
        <v>2521</v>
      </c>
      <c r="AA195" s="79" t="s">
        <v>162</v>
      </c>
      <c r="AB195" s="69"/>
      <c r="AC195" s="69"/>
      <c r="AD195" s="69"/>
      <c r="AE195" s="59"/>
      <c r="AF195" s="79" t="s">
        <v>152</v>
      </c>
      <c r="AG195" s="60"/>
      <c r="AH195" s="60"/>
      <c r="AI195" s="60"/>
      <c r="AJ195" s="60"/>
      <c r="AK195" s="60"/>
      <c r="AL195" s="60"/>
      <c r="AM195" s="60"/>
      <c r="AN195" s="60"/>
      <c r="AO195" s="60"/>
      <c r="AP195" s="60"/>
      <c r="AQ195" s="60"/>
      <c r="AR195" s="61"/>
    </row>
    <row r="196" hidden="1">
      <c r="A196" s="62">
        <v>194.0</v>
      </c>
      <c r="B196" s="79" t="s">
        <v>2651</v>
      </c>
      <c r="C196" s="96" t="s">
        <v>2652</v>
      </c>
      <c r="D196" s="79" t="s">
        <v>2653</v>
      </c>
      <c r="E196" s="59"/>
      <c r="F196" s="79" t="s">
        <v>165</v>
      </c>
      <c r="G196" s="79" t="s">
        <v>123</v>
      </c>
      <c r="H196" s="79" t="s">
        <v>2654</v>
      </c>
      <c r="I196" s="96" t="s">
        <v>2655</v>
      </c>
      <c r="J196" s="79" t="s">
        <v>91</v>
      </c>
      <c r="K196" s="79" t="s">
        <v>110</v>
      </c>
      <c r="L196" s="79" t="s">
        <v>101</v>
      </c>
      <c r="M196" s="79" t="s">
        <v>2108</v>
      </c>
      <c r="N196" s="79" t="s">
        <v>26</v>
      </c>
      <c r="O196" s="79" t="s">
        <v>113</v>
      </c>
      <c r="P196" s="79" t="s">
        <v>95</v>
      </c>
      <c r="Q196" s="131" t="s">
        <v>3473</v>
      </c>
      <c r="R196" s="79" t="s">
        <v>76</v>
      </c>
      <c r="S196" s="79" t="s">
        <v>97</v>
      </c>
      <c r="T196" s="69"/>
      <c r="U196" s="79" t="s">
        <v>78</v>
      </c>
      <c r="V196" s="79" t="s">
        <v>79</v>
      </c>
      <c r="W196" s="79" t="s">
        <v>80</v>
      </c>
      <c r="X196" s="79" t="s">
        <v>80</v>
      </c>
      <c r="Y196" s="79" t="s">
        <v>80</v>
      </c>
      <c r="Z196" s="79" t="s">
        <v>2489</v>
      </c>
      <c r="AA196" s="79" t="s">
        <v>205</v>
      </c>
      <c r="AB196" s="79" t="s">
        <v>2632</v>
      </c>
      <c r="AC196" s="79">
        <v>8.2118454036E10</v>
      </c>
      <c r="AD196" s="79" t="s">
        <v>2633</v>
      </c>
      <c r="AE196" s="59"/>
      <c r="AF196" s="79" t="s">
        <v>566</v>
      </c>
      <c r="AG196" s="60"/>
      <c r="AH196" s="60"/>
      <c r="AI196" s="60"/>
      <c r="AJ196" s="60"/>
      <c r="AK196" s="60"/>
      <c r="AL196" s="60"/>
      <c r="AM196" s="60"/>
      <c r="AN196" s="60"/>
      <c r="AO196" s="60"/>
      <c r="AP196" s="60"/>
      <c r="AQ196" s="60"/>
      <c r="AR196" s="61"/>
    </row>
    <row r="197" hidden="1">
      <c r="A197" s="62">
        <v>195.0</v>
      </c>
      <c r="B197" s="228" t="s">
        <v>2411</v>
      </c>
      <c r="C197" s="228" t="s">
        <v>2412</v>
      </c>
      <c r="D197" s="229" t="s">
        <v>2413</v>
      </c>
      <c r="E197" s="230" t="s">
        <v>3474</v>
      </c>
      <c r="F197" s="229" t="s">
        <v>344</v>
      </c>
      <c r="G197" s="229" t="s">
        <v>66</v>
      </c>
      <c r="H197" s="229" t="s">
        <v>2415</v>
      </c>
      <c r="I197" s="228" t="s">
        <v>2416</v>
      </c>
      <c r="J197" s="229" t="s">
        <v>158</v>
      </c>
      <c r="K197" s="229" t="s">
        <v>70</v>
      </c>
      <c r="L197" s="229" t="s">
        <v>101</v>
      </c>
      <c r="M197" s="229" t="s">
        <v>2737</v>
      </c>
      <c r="N197" s="229" t="s">
        <v>93</v>
      </c>
      <c r="O197" s="229" t="s">
        <v>113</v>
      </c>
      <c r="P197" s="229" t="s">
        <v>153</v>
      </c>
      <c r="Q197" s="229" t="s">
        <v>2418</v>
      </c>
      <c r="R197" s="229" t="s">
        <v>146</v>
      </c>
      <c r="S197" s="229" t="s">
        <v>77</v>
      </c>
      <c r="T197" s="229">
        <v>2023.0</v>
      </c>
      <c r="U197" s="229" t="s">
        <v>78</v>
      </c>
      <c r="V197" s="229" t="s">
        <v>98</v>
      </c>
      <c r="W197" s="229" t="s">
        <v>2419</v>
      </c>
      <c r="X197" s="229" t="s">
        <v>148</v>
      </c>
      <c r="Y197" s="229" t="s">
        <v>139</v>
      </c>
      <c r="Z197" s="229" t="s">
        <v>2420</v>
      </c>
      <c r="AA197" s="229" t="s">
        <v>162</v>
      </c>
      <c r="AB197" s="229" t="s">
        <v>2738</v>
      </c>
      <c r="AC197" s="229">
        <v>8.1910001329E10</v>
      </c>
      <c r="AD197" s="229" t="s">
        <v>2739</v>
      </c>
      <c r="AE197" s="229">
        <v>8.0</v>
      </c>
      <c r="AF197" s="229" t="s">
        <v>1268</v>
      </c>
      <c r="AG197" s="60"/>
      <c r="AH197" s="61"/>
      <c r="AI197" s="61"/>
      <c r="AJ197" s="61"/>
      <c r="AK197" s="61"/>
      <c r="AL197" s="61"/>
      <c r="AM197" s="61"/>
      <c r="AN197" s="61"/>
      <c r="AO197" s="61"/>
      <c r="AP197" s="61"/>
      <c r="AQ197" s="61"/>
      <c r="AR197" s="61"/>
    </row>
    <row r="198" hidden="1">
      <c r="A198" s="62">
        <v>196.0</v>
      </c>
      <c r="B198" s="228" t="s">
        <v>2626</v>
      </c>
      <c r="C198" s="228" t="s">
        <v>2627</v>
      </c>
      <c r="D198" s="229" t="s">
        <v>2628</v>
      </c>
      <c r="E198" s="59"/>
      <c r="F198" s="229" t="s">
        <v>165</v>
      </c>
      <c r="G198" s="229" t="s">
        <v>66</v>
      </c>
      <c r="H198" s="229" t="s">
        <v>2629</v>
      </c>
      <c r="I198" s="228" t="s">
        <v>2630</v>
      </c>
      <c r="J198" s="229" t="s">
        <v>91</v>
      </c>
      <c r="K198" s="229" t="s">
        <v>70</v>
      </c>
      <c r="L198" s="229" t="s">
        <v>152</v>
      </c>
      <c r="M198" s="229" t="s">
        <v>2784</v>
      </c>
      <c r="N198" s="229" t="s">
        <v>26</v>
      </c>
      <c r="O198" s="229" t="s">
        <v>113</v>
      </c>
      <c r="P198" s="229" t="s">
        <v>95</v>
      </c>
      <c r="Q198" s="233" t="s">
        <v>3475</v>
      </c>
      <c r="R198" s="229" t="s">
        <v>76</v>
      </c>
      <c r="S198" s="229" t="s">
        <v>97</v>
      </c>
      <c r="T198" s="69"/>
      <c r="U198" s="229" t="s">
        <v>78</v>
      </c>
      <c r="V198" s="229" t="s">
        <v>79</v>
      </c>
      <c r="W198" s="229" t="s">
        <v>80</v>
      </c>
      <c r="X198" s="229" t="s">
        <v>80</v>
      </c>
      <c r="Y198" s="229" t="s">
        <v>80</v>
      </c>
      <c r="Z198" s="229" t="s">
        <v>2489</v>
      </c>
      <c r="AA198" s="229" t="s">
        <v>140</v>
      </c>
      <c r="AB198" s="69"/>
      <c r="AC198" s="69"/>
      <c r="AD198" s="69"/>
      <c r="AE198" s="59"/>
      <c r="AF198" s="229" t="s">
        <v>1268</v>
      </c>
      <c r="AG198" s="60"/>
      <c r="AH198" s="61"/>
      <c r="AI198" s="61"/>
      <c r="AJ198" s="61"/>
      <c r="AK198" s="61"/>
      <c r="AL198" s="61"/>
      <c r="AM198" s="61"/>
      <c r="AN198" s="61"/>
      <c r="AO198" s="61"/>
      <c r="AP198" s="61"/>
      <c r="AQ198" s="61"/>
      <c r="AR198" s="61"/>
    </row>
    <row r="199" hidden="1">
      <c r="A199" s="62">
        <v>197.0</v>
      </c>
      <c r="B199" s="228" t="s">
        <v>2793</v>
      </c>
      <c r="C199" s="228" t="s">
        <v>2794</v>
      </c>
      <c r="D199" s="228" t="s">
        <v>2795</v>
      </c>
      <c r="E199" s="59"/>
      <c r="F199" s="69"/>
      <c r="G199" s="229" t="s">
        <v>123</v>
      </c>
      <c r="H199" s="229" t="s">
        <v>2796</v>
      </c>
      <c r="I199" s="228" t="s">
        <v>2797</v>
      </c>
      <c r="J199" s="229" t="s">
        <v>151</v>
      </c>
      <c r="K199" s="229" t="s">
        <v>110</v>
      </c>
      <c r="L199" s="229" t="s">
        <v>111</v>
      </c>
      <c r="M199" s="229" t="s">
        <v>2798</v>
      </c>
      <c r="N199" s="229" t="s">
        <v>26</v>
      </c>
      <c r="O199" s="229" t="s">
        <v>113</v>
      </c>
      <c r="P199" s="229" t="s">
        <v>145</v>
      </c>
      <c r="Q199" s="230" t="s">
        <v>3476</v>
      </c>
      <c r="R199" s="229" t="s">
        <v>76</v>
      </c>
      <c r="S199" s="229" t="s">
        <v>97</v>
      </c>
      <c r="T199" s="69"/>
      <c r="U199" s="229" t="s">
        <v>78</v>
      </c>
      <c r="V199" s="229" t="s">
        <v>79</v>
      </c>
      <c r="W199" s="229" t="s">
        <v>2520</v>
      </c>
      <c r="X199" s="229" t="s">
        <v>80</v>
      </c>
      <c r="Y199" s="69"/>
      <c r="Z199" s="229" t="s">
        <v>2800</v>
      </c>
      <c r="AA199" s="69"/>
      <c r="AB199" s="228" t="s">
        <v>2801</v>
      </c>
      <c r="AC199" s="228">
        <v>8.7824441163E10</v>
      </c>
      <c r="AD199" s="228" t="s">
        <v>2802</v>
      </c>
      <c r="AE199" s="59"/>
      <c r="AF199" s="229" t="s">
        <v>111</v>
      </c>
      <c r="AG199" s="60"/>
      <c r="AH199" s="61"/>
      <c r="AI199" s="61"/>
      <c r="AJ199" s="61"/>
      <c r="AK199" s="61"/>
      <c r="AL199" s="61"/>
      <c r="AM199" s="61"/>
      <c r="AN199" s="61"/>
      <c r="AO199" s="61"/>
      <c r="AP199" s="61"/>
      <c r="AQ199" s="61"/>
      <c r="AR199" s="61"/>
    </row>
    <row r="200" hidden="1">
      <c r="A200" s="62">
        <v>198.0</v>
      </c>
      <c r="B200" s="228" t="s">
        <v>2803</v>
      </c>
      <c r="C200" s="228" t="s">
        <v>2804</v>
      </c>
      <c r="D200" s="59"/>
      <c r="E200" s="59"/>
      <c r="F200" s="69"/>
      <c r="G200" s="229" t="s">
        <v>66</v>
      </c>
      <c r="H200" s="229" t="s">
        <v>2805</v>
      </c>
      <c r="I200" s="228" t="s">
        <v>2806</v>
      </c>
      <c r="J200" s="229" t="s">
        <v>91</v>
      </c>
      <c r="K200" s="229" t="s">
        <v>110</v>
      </c>
      <c r="L200" s="229" t="s">
        <v>152</v>
      </c>
      <c r="M200" s="229" t="s">
        <v>2807</v>
      </c>
      <c r="N200" s="229" t="s">
        <v>26</v>
      </c>
      <c r="O200" s="229" t="s">
        <v>113</v>
      </c>
      <c r="P200" s="229" t="s">
        <v>153</v>
      </c>
      <c r="Q200" s="69"/>
      <c r="R200" s="229" t="s">
        <v>146</v>
      </c>
      <c r="S200" s="229" t="s">
        <v>97</v>
      </c>
      <c r="T200" s="69"/>
      <c r="U200" s="229" t="s">
        <v>78</v>
      </c>
      <c r="V200" s="229" t="s">
        <v>79</v>
      </c>
      <c r="W200" s="229" t="s">
        <v>2520</v>
      </c>
      <c r="X200" s="229" t="s">
        <v>80</v>
      </c>
      <c r="Y200" s="69"/>
      <c r="Z200" s="229" t="s">
        <v>2808</v>
      </c>
      <c r="AA200" s="69"/>
      <c r="AB200" s="69"/>
      <c r="AC200" s="69"/>
      <c r="AD200" s="69"/>
      <c r="AE200" s="59"/>
      <c r="AF200" s="229" t="s">
        <v>152</v>
      </c>
      <c r="AG200" s="60"/>
      <c r="AH200" s="61"/>
      <c r="AI200" s="61"/>
      <c r="AJ200" s="61"/>
      <c r="AK200" s="61"/>
      <c r="AL200" s="61"/>
      <c r="AM200" s="61"/>
      <c r="AN200" s="61"/>
      <c r="AO200" s="61"/>
      <c r="AP200" s="61"/>
      <c r="AQ200" s="61"/>
      <c r="AR200" s="61"/>
    </row>
    <row r="201" hidden="1">
      <c r="A201" s="62">
        <v>199.0</v>
      </c>
      <c r="B201" s="228" t="s">
        <v>2809</v>
      </c>
      <c r="C201" s="228" t="s">
        <v>2810</v>
      </c>
      <c r="D201" s="59"/>
      <c r="E201" s="59"/>
      <c r="F201" s="69"/>
      <c r="G201" s="229" t="s">
        <v>66</v>
      </c>
      <c r="H201" s="229" t="s">
        <v>2811</v>
      </c>
      <c r="I201" s="228" t="s">
        <v>2812</v>
      </c>
      <c r="J201" s="229" t="s">
        <v>91</v>
      </c>
      <c r="K201" s="229" t="s">
        <v>70</v>
      </c>
      <c r="L201" s="229" t="s">
        <v>71</v>
      </c>
      <c r="M201" s="229" t="s">
        <v>2813</v>
      </c>
      <c r="N201" s="229" t="s">
        <v>26</v>
      </c>
      <c r="O201" s="229" t="s">
        <v>113</v>
      </c>
      <c r="P201" s="229" t="s">
        <v>153</v>
      </c>
      <c r="Q201" s="69"/>
      <c r="R201" s="229" t="s">
        <v>146</v>
      </c>
      <c r="S201" s="229" t="s">
        <v>97</v>
      </c>
      <c r="T201" s="69"/>
      <c r="U201" s="229" t="s">
        <v>78</v>
      </c>
      <c r="V201" s="229" t="s">
        <v>79</v>
      </c>
      <c r="W201" s="229" t="s">
        <v>2520</v>
      </c>
      <c r="X201" s="229" t="s">
        <v>80</v>
      </c>
      <c r="Y201" s="69"/>
      <c r="Z201" s="229" t="s">
        <v>2814</v>
      </c>
      <c r="AA201" s="69"/>
      <c r="AB201" s="69"/>
      <c r="AC201" s="69"/>
      <c r="AD201" s="69"/>
      <c r="AE201" s="59"/>
      <c r="AF201" s="229" t="s">
        <v>71</v>
      </c>
      <c r="AG201" s="60"/>
      <c r="AH201" s="61"/>
      <c r="AI201" s="61"/>
      <c r="AJ201" s="61"/>
      <c r="AK201" s="61"/>
      <c r="AL201" s="61"/>
      <c r="AM201" s="61"/>
      <c r="AN201" s="61"/>
      <c r="AO201" s="61"/>
      <c r="AP201" s="61"/>
      <c r="AQ201" s="61"/>
      <c r="AR201" s="61"/>
    </row>
    <row r="202" hidden="1">
      <c r="A202" s="62">
        <v>200.0</v>
      </c>
      <c r="B202" s="228" t="s">
        <v>2815</v>
      </c>
      <c r="C202" s="69"/>
      <c r="D202" s="59"/>
      <c r="E202" s="59"/>
      <c r="F202" s="69"/>
      <c r="G202" s="69"/>
      <c r="H202" s="69"/>
      <c r="I202" s="200"/>
      <c r="J202" s="229" t="s">
        <v>151</v>
      </c>
      <c r="K202" s="229" t="s">
        <v>110</v>
      </c>
      <c r="L202" s="229" t="s">
        <v>101</v>
      </c>
      <c r="M202" s="229" t="s">
        <v>2816</v>
      </c>
      <c r="N202" s="229" t="s">
        <v>26</v>
      </c>
      <c r="O202" s="229" t="s">
        <v>113</v>
      </c>
      <c r="P202" s="229" t="s">
        <v>153</v>
      </c>
      <c r="Q202" s="69"/>
      <c r="R202" s="229" t="s">
        <v>146</v>
      </c>
      <c r="S202" s="229" t="s">
        <v>97</v>
      </c>
      <c r="T202" s="69"/>
      <c r="U202" s="229" t="s">
        <v>78</v>
      </c>
      <c r="V202" s="229" t="s">
        <v>79</v>
      </c>
      <c r="W202" s="229" t="s">
        <v>2520</v>
      </c>
      <c r="X202" s="229" t="s">
        <v>80</v>
      </c>
      <c r="Y202" s="69"/>
      <c r="Z202" s="229" t="s">
        <v>2817</v>
      </c>
      <c r="AA202" s="69"/>
      <c r="AB202" s="69"/>
      <c r="AC202" s="69"/>
      <c r="AD202" s="69"/>
      <c r="AE202" s="59"/>
      <c r="AF202" s="229" t="s">
        <v>71</v>
      </c>
      <c r="AG202" s="60"/>
      <c r="AH202" s="61"/>
      <c r="AI202" s="61"/>
      <c r="AJ202" s="61"/>
      <c r="AK202" s="61"/>
      <c r="AL202" s="61"/>
      <c r="AM202" s="61"/>
      <c r="AN202" s="61"/>
      <c r="AO202" s="61"/>
      <c r="AP202" s="61"/>
      <c r="AQ202" s="61"/>
      <c r="AR202" s="61"/>
    </row>
    <row r="203" hidden="1">
      <c r="A203" s="62">
        <v>201.0</v>
      </c>
      <c r="B203" s="228" t="s">
        <v>2848</v>
      </c>
      <c r="C203" s="76" t="s">
        <v>2849</v>
      </c>
      <c r="D203" s="228" t="s">
        <v>2850</v>
      </c>
      <c r="E203" s="59"/>
      <c r="F203" s="229" t="s">
        <v>387</v>
      </c>
      <c r="G203" s="229" t="s">
        <v>131</v>
      </c>
      <c r="H203" s="228" t="s">
        <v>2851</v>
      </c>
      <c r="I203" s="228" t="s">
        <v>2852</v>
      </c>
      <c r="J203" s="229" t="s">
        <v>151</v>
      </c>
      <c r="K203" s="229" t="s">
        <v>70</v>
      </c>
      <c r="L203" s="229" t="s">
        <v>71</v>
      </c>
      <c r="M203" s="68" t="s">
        <v>2853</v>
      </c>
      <c r="N203" s="229" t="s">
        <v>73</v>
      </c>
      <c r="O203" s="229" t="s">
        <v>73</v>
      </c>
      <c r="P203" s="229" t="s">
        <v>74</v>
      </c>
      <c r="Q203" s="230" t="s">
        <v>3477</v>
      </c>
      <c r="R203" s="229" t="s">
        <v>76</v>
      </c>
      <c r="S203" s="256" t="s">
        <v>97</v>
      </c>
      <c r="T203" s="257">
        <v>2020.0</v>
      </c>
      <c r="U203" s="229" t="s">
        <v>78</v>
      </c>
      <c r="V203" s="256" t="s">
        <v>98</v>
      </c>
      <c r="W203" s="258" t="s">
        <v>3478</v>
      </c>
      <c r="X203" s="256" t="s">
        <v>148</v>
      </c>
      <c r="Y203" s="256" t="s">
        <v>139</v>
      </c>
      <c r="Z203" s="256" t="s">
        <v>2830</v>
      </c>
      <c r="AA203" s="228" t="s">
        <v>2555</v>
      </c>
      <c r="AB203" s="259" t="s">
        <v>3479</v>
      </c>
      <c r="AC203" s="257">
        <v>8.2127317127E10</v>
      </c>
      <c r="AD203" s="260" t="s">
        <v>2832</v>
      </c>
      <c r="AE203" s="261"/>
      <c r="AF203" s="256" t="s">
        <v>1268</v>
      </c>
      <c r="AG203" s="60"/>
      <c r="AH203" s="61"/>
      <c r="AI203" s="61"/>
      <c r="AJ203" s="61"/>
      <c r="AK203" s="61"/>
      <c r="AL203" s="61"/>
      <c r="AM203" s="61"/>
      <c r="AN203" s="61"/>
      <c r="AO203" s="61"/>
      <c r="AP203" s="61"/>
      <c r="AQ203" s="61"/>
      <c r="AR203" s="61"/>
    </row>
    <row r="204" hidden="1">
      <c r="A204" s="62">
        <v>202.0</v>
      </c>
      <c r="B204" s="96" t="s">
        <v>2411</v>
      </c>
      <c r="C204" s="76" t="s">
        <v>2412</v>
      </c>
      <c r="D204" s="96" t="s">
        <v>2413</v>
      </c>
      <c r="E204" s="96" t="s">
        <v>88</v>
      </c>
      <c r="F204" s="79" t="s">
        <v>344</v>
      </c>
      <c r="G204" s="79" t="s">
        <v>66</v>
      </c>
      <c r="H204" s="79" t="s">
        <v>2415</v>
      </c>
      <c r="I204" s="96" t="s">
        <v>2416</v>
      </c>
      <c r="J204" s="79" t="s">
        <v>158</v>
      </c>
      <c r="K204" s="79" t="s">
        <v>70</v>
      </c>
      <c r="L204" s="79" t="s">
        <v>101</v>
      </c>
      <c r="M204" s="68" t="s">
        <v>2858</v>
      </c>
      <c r="N204" s="79" t="s">
        <v>93</v>
      </c>
      <c r="O204" s="79" t="s">
        <v>113</v>
      </c>
      <c r="P204" s="79" t="s">
        <v>153</v>
      </c>
      <c r="Q204" s="79" t="s">
        <v>2418</v>
      </c>
      <c r="R204" s="79" t="s">
        <v>76</v>
      </c>
      <c r="S204" s="79" t="s">
        <v>77</v>
      </c>
      <c r="T204" s="79">
        <v>2023.0</v>
      </c>
      <c r="U204" s="79" t="s">
        <v>78</v>
      </c>
      <c r="V204" s="79" t="s">
        <v>98</v>
      </c>
      <c r="W204" s="79" t="s">
        <v>2419</v>
      </c>
      <c r="X204" s="79" t="s">
        <v>148</v>
      </c>
      <c r="Y204" s="79" t="s">
        <v>139</v>
      </c>
      <c r="Z204" s="79" t="s">
        <v>2859</v>
      </c>
      <c r="AA204" s="79" t="s">
        <v>162</v>
      </c>
      <c r="AB204" s="96" t="s">
        <v>2860</v>
      </c>
      <c r="AC204" s="98">
        <v>8.5179729699E10</v>
      </c>
      <c r="AD204" s="69"/>
      <c r="AE204" s="59"/>
      <c r="AF204" s="68" t="s">
        <v>71</v>
      </c>
      <c r="AG204" s="60"/>
      <c r="AH204" s="61"/>
      <c r="AI204" s="61"/>
      <c r="AJ204" s="61"/>
      <c r="AK204" s="61"/>
      <c r="AL204" s="61"/>
      <c r="AM204" s="61"/>
      <c r="AN204" s="61"/>
      <c r="AO204" s="61"/>
      <c r="AP204" s="61"/>
      <c r="AQ204" s="61"/>
      <c r="AR204" s="61"/>
    </row>
    <row r="205" hidden="1">
      <c r="A205" s="62">
        <v>203.0</v>
      </c>
      <c r="B205" s="96" t="s">
        <v>2861</v>
      </c>
      <c r="C205" s="96" t="s">
        <v>2862</v>
      </c>
      <c r="D205" s="96" t="s">
        <v>2863</v>
      </c>
      <c r="E205" s="70" t="s">
        <v>3480</v>
      </c>
      <c r="F205" s="79" t="s">
        <v>268</v>
      </c>
      <c r="G205" s="79" t="s">
        <v>131</v>
      </c>
      <c r="H205" s="79" t="s">
        <v>2865</v>
      </c>
      <c r="I205" s="96" t="s">
        <v>2866</v>
      </c>
      <c r="J205" s="79" t="s">
        <v>158</v>
      </c>
      <c r="K205" s="79" t="s">
        <v>70</v>
      </c>
      <c r="L205" s="79" t="s">
        <v>101</v>
      </c>
      <c r="M205" s="68" t="s">
        <v>2867</v>
      </c>
      <c r="N205" s="79" t="s">
        <v>93</v>
      </c>
      <c r="O205" s="79" t="s">
        <v>113</v>
      </c>
      <c r="P205" s="79" t="s">
        <v>153</v>
      </c>
      <c r="Q205" s="79" t="s">
        <v>2418</v>
      </c>
      <c r="R205" s="79" t="s">
        <v>76</v>
      </c>
      <c r="S205" s="79" t="s">
        <v>77</v>
      </c>
      <c r="T205" s="98">
        <v>2024.0</v>
      </c>
      <c r="U205" s="79" t="s">
        <v>78</v>
      </c>
      <c r="V205" s="79" t="s">
        <v>79</v>
      </c>
      <c r="W205" s="79" t="s">
        <v>80</v>
      </c>
      <c r="X205" s="79" t="s">
        <v>148</v>
      </c>
      <c r="Y205" s="79" t="s">
        <v>139</v>
      </c>
      <c r="Z205" s="79" t="s">
        <v>2868</v>
      </c>
      <c r="AA205" s="79" t="s">
        <v>162</v>
      </c>
      <c r="AB205" s="96" t="s">
        <v>2869</v>
      </c>
      <c r="AC205" s="96">
        <v>8.1261858201E10</v>
      </c>
      <c r="AD205" s="69"/>
      <c r="AE205" s="59"/>
      <c r="AF205" s="68" t="s">
        <v>566</v>
      </c>
      <c r="AG205" s="60"/>
      <c r="AH205" s="61"/>
      <c r="AI205" s="61"/>
      <c r="AJ205" s="61"/>
      <c r="AK205" s="61"/>
      <c r="AL205" s="61"/>
      <c r="AM205" s="61"/>
      <c r="AN205" s="61"/>
      <c r="AO205" s="61"/>
      <c r="AP205" s="61"/>
      <c r="AQ205" s="61"/>
      <c r="AR205" s="61"/>
    </row>
    <row r="206" hidden="1">
      <c r="A206" s="62">
        <v>204.0</v>
      </c>
      <c r="B206" s="96" t="s">
        <v>2411</v>
      </c>
      <c r="C206" s="76" t="s">
        <v>2412</v>
      </c>
      <c r="D206" s="96" t="s">
        <v>2413</v>
      </c>
      <c r="E206" s="96" t="s">
        <v>88</v>
      </c>
      <c r="F206" s="79" t="s">
        <v>344</v>
      </c>
      <c r="G206" s="79" t="s">
        <v>66</v>
      </c>
      <c r="H206" s="79" t="s">
        <v>2415</v>
      </c>
      <c r="I206" s="96" t="s">
        <v>2416</v>
      </c>
      <c r="J206" s="79" t="s">
        <v>158</v>
      </c>
      <c r="K206" s="79" t="s">
        <v>70</v>
      </c>
      <c r="L206" s="79" t="s">
        <v>101</v>
      </c>
      <c r="M206" s="79" t="s">
        <v>2910</v>
      </c>
      <c r="N206" s="79" t="s">
        <v>93</v>
      </c>
      <c r="O206" s="79" t="s">
        <v>113</v>
      </c>
      <c r="P206" s="79" t="s">
        <v>153</v>
      </c>
      <c r="Q206" s="131" t="s">
        <v>3481</v>
      </c>
      <c r="R206" s="79" t="s">
        <v>76</v>
      </c>
      <c r="S206" s="79" t="s">
        <v>77</v>
      </c>
      <c r="T206" s="79">
        <v>2023.0</v>
      </c>
      <c r="U206" s="79" t="s">
        <v>78</v>
      </c>
      <c r="V206" s="79" t="s">
        <v>98</v>
      </c>
      <c r="W206" s="79" t="s">
        <v>2419</v>
      </c>
      <c r="X206" s="79" t="s">
        <v>148</v>
      </c>
      <c r="Y206" s="79" t="s">
        <v>139</v>
      </c>
      <c r="Z206" s="79" t="s">
        <v>2859</v>
      </c>
      <c r="AA206" s="79" t="s">
        <v>162</v>
      </c>
      <c r="AB206" s="96" t="s">
        <v>2912</v>
      </c>
      <c r="AC206" s="98">
        <v>8.5659119423E10</v>
      </c>
      <c r="AD206" s="69"/>
      <c r="AE206" s="59"/>
      <c r="AF206" s="68" t="s">
        <v>71</v>
      </c>
      <c r="AG206" s="60"/>
      <c r="AH206" s="61"/>
      <c r="AI206" s="61"/>
      <c r="AJ206" s="61"/>
      <c r="AK206" s="61"/>
      <c r="AL206" s="61"/>
      <c r="AM206" s="61"/>
      <c r="AN206" s="61"/>
      <c r="AO206" s="61"/>
      <c r="AP206" s="61"/>
      <c r="AQ206" s="61"/>
      <c r="AR206" s="61"/>
    </row>
    <row r="207" hidden="1">
      <c r="A207" s="62">
        <v>205.0</v>
      </c>
      <c r="B207" s="96" t="s">
        <v>2970</v>
      </c>
      <c r="C207" s="96" t="s">
        <v>2971</v>
      </c>
      <c r="D207" s="265" t="s">
        <v>2972</v>
      </c>
      <c r="E207" s="79" t="s">
        <v>1327</v>
      </c>
      <c r="F207" s="79" t="s">
        <v>65</v>
      </c>
      <c r="G207" s="79" t="s">
        <v>66</v>
      </c>
      <c r="H207" s="79" t="s">
        <v>2973</v>
      </c>
      <c r="I207" s="79" t="s">
        <v>2974</v>
      </c>
      <c r="J207" s="79" t="s">
        <v>91</v>
      </c>
      <c r="K207" s="79" t="s">
        <v>110</v>
      </c>
      <c r="L207" s="79" t="s">
        <v>71</v>
      </c>
      <c r="M207" s="79" t="s">
        <v>2975</v>
      </c>
      <c r="N207" s="79" t="s">
        <v>73</v>
      </c>
      <c r="O207" s="79" t="s">
        <v>73</v>
      </c>
      <c r="P207" s="79" t="s">
        <v>95</v>
      </c>
      <c r="Q207" s="266" t="s">
        <v>3482</v>
      </c>
      <c r="R207" s="79" t="s">
        <v>76</v>
      </c>
      <c r="S207" s="79" t="s">
        <v>97</v>
      </c>
      <c r="T207" s="79">
        <v>2024.0</v>
      </c>
      <c r="U207" s="79" t="s">
        <v>78</v>
      </c>
      <c r="V207" s="79" t="s">
        <v>79</v>
      </c>
      <c r="W207" s="79" t="s">
        <v>2520</v>
      </c>
      <c r="X207" s="79" t="s">
        <v>80</v>
      </c>
      <c r="Y207" s="79" t="s">
        <v>71</v>
      </c>
      <c r="Z207" s="79" t="s">
        <v>2977</v>
      </c>
      <c r="AA207" s="79" t="s">
        <v>162</v>
      </c>
      <c r="AB207" s="79" t="s">
        <v>2978</v>
      </c>
      <c r="AC207" s="79">
        <v>8.7775207258E10</v>
      </c>
      <c r="AD207" s="79" t="s">
        <v>2961</v>
      </c>
      <c r="AE207" s="68">
        <v>8.0</v>
      </c>
      <c r="AF207" s="68" t="s">
        <v>71</v>
      </c>
      <c r="AG207" s="60"/>
      <c r="AH207" s="61"/>
      <c r="AI207" s="61"/>
      <c r="AJ207" s="61"/>
      <c r="AK207" s="61"/>
      <c r="AL207" s="61"/>
      <c r="AM207" s="61"/>
      <c r="AN207" s="61"/>
      <c r="AO207" s="61"/>
      <c r="AP207" s="61"/>
      <c r="AQ207" s="61"/>
      <c r="AR207" s="61"/>
    </row>
    <row r="208" hidden="1">
      <c r="A208" s="62">
        <v>206.0</v>
      </c>
      <c r="B208" s="96" t="s">
        <v>2979</v>
      </c>
      <c r="C208" s="96" t="s">
        <v>2980</v>
      </c>
      <c r="D208" s="96" t="s">
        <v>2981</v>
      </c>
      <c r="E208" s="79" t="s">
        <v>1327</v>
      </c>
      <c r="F208" s="79" t="s">
        <v>65</v>
      </c>
      <c r="G208" s="79" t="s">
        <v>66</v>
      </c>
      <c r="H208" s="79" t="s">
        <v>2982</v>
      </c>
      <c r="I208" s="79" t="s">
        <v>2982</v>
      </c>
      <c r="J208" s="79" t="s">
        <v>91</v>
      </c>
      <c r="K208" s="79" t="s">
        <v>110</v>
      </c>
      <c r="L208" s="79" t="s">
        <v>152</v>
      </c>
      <c r="M208" s="79" t="s">
        <v>2983</v>
      </c>
      <c r="N208" s="79" t="s">
        <v>73</v>
      </c>
      <c r="O208" s="79" t="s">
        <v>73</v>
      </c>
      <c r="P208" s="79" t="s">
        <v>95</v>
      </c>
      <c r="Q208" s="79" t="s">
        <v>2979</v>
      </c>
      <c r="R208" s="79" t="s">
        <v>76</v>
      </c>
      <c r="S208" s="79" t="s">
        <v>97</v>
      </c>
      <c r="T208" s="79">
        <v>2024.0</v>
      </c>
      <c r="U208" s="79" t="s">
        <v>78</v>
      </c>
      <c r="V208" s="79" t="s">
        <v>98</v>
      </c>
      <c r="W208" s="79" t="s">
        <v>98</v>
      </c>
      <c r="X208" s="79" t="s">
        <v>100</v>
      </c>
      <c r="Y208" s="79" t="s">
        <v>80</v>
      </c>
      <c r="Z208" s="79" t="s">
        <v>2984</v>
      </c>
      <c r="AA208" s="79" t="s">
        <v>162</v>
      </c>
      <c r="AB208" s="79" t="s">
        <v>2985</v>
      </c>
      <c r="AC208" s="79" t="s">
        <v>2986</v>
      </c>
      <c r="AD208" s="79" t="s">
        <v>2961</v>
      </c>
      <c r="AE208" s="68">
        <v>8.0</v>
      </c>
      <c r="AF208" s="68" t="s">
        <v>152</v>
      </c>
      <c r="AG208" s="60"/>
      <c r="AH208" s="61"/>
      <c r="AI208" s="61"/>
      <c r="AJ208" s="61"/>
      <c r="AK208" s="61"/>
      <c r="AL208" s="61"/>
      <c r="AM208" s="61"/>
      <c r="AN208" s="61"/>
      <c r="AO208" s="61"/>
      <c r="AP208" s="61"/>
      <c r="AQ208" s="61"/>
      <c r="AR208" s="61"/>
    </row>
    <row r="209" hidden="1">
      <c r="A209" s="62">
        <v>207.0</v>
      </c>
      <c r="B209" s="96" t="s">
        <v>2987</v>
      </c>
      <c r="C209" s="96" t="s">
        <v>2988</v>
      </c>
      <c r="D209" s="96" t="s">
        <v>2989</v>
      </c>
      <c r="E209" s="131" t="s">
        <v>3483</v>
      </c>
      <c r="F209" s="79" t="s">
        <v>344</v>
      </c>
      <c r="G209" s="79" t="s">
        <v>123</v>
      </c>
      <c r="H209" s="79" t="s">
        <v>2991</v>
      </c>
      <c r="I209" s="79" t="s">
        <v>2992</v>
      </c>
      <c r="J209" s="79" t="s">
        <v>151</v>
      </c>
      <c r="K209" s="79" t="s">
        <v>70</v>
      </c>
      <c r="L209" s="79" t="s">
        <v>152</v>
      </c>
      <c r="M209" s="79" t="s">
        <v>2993</v>
      </c>
      <c r="N209" s="79" t="s">
        <v>73</v>
      </c>
      <c r="O209" s="79" t="s">
        <v>73</v>
      </c>
      <c r="P209" s="79" t="s">
        <v>95</v>
      </c>
      <c r="Q209" s="267" t="s">
        <v>3484</v>
      </c>
      <c r="R209" s="79" t="s">
        <v>76</v>
      </c>
      <c r="S209" s="79" t="s">
        <v>97</v>
      </c>
      <c r="T209" s="79">
        <v>2024.0</v>
      </c>
      <c r="U209" s="79" t="s">
        <v>78</v>
      </c>
      <c r="V209" s="79" t="s">
        <v>98</v>
      </c>
      <c r="W209" s="79" t="s">
        <v>2995</v>
      </c>
      <c r="X209" s="79" t="s">
        <v>100</v>
      </c>
      <c r="Y209" s="79" t="s">
        <v>152</v>
      </c>
      <c r="Z209" s="79" t="s">
        <v>2977</v>
      </c>
      <c r="AA209" s="79" t="s">
        <v>162</v>
      </c>
      <c r="AB209" s="79" t="s">
        <v>2996</v>
      </c>
      <c r="AC209" s="79" t="s">
        <v>2997</v>
      </c>
      <c r="AD209" s="79" t="s">
        <v>2961</v>
      </c>
      <c r="AE209" s="68">
        <v>8.0</v>
      </c>
      <c r="AF209" s="68" t="s">
        <v>71</v>
      </c>
      <c r="AG209" s="60"/>
      <c r="AH209" s="61"/>
      <c r="AI209" s="61"/>
      <c r="AJ209" s="61"/>
      <c r="AK209" s="61"/>
      <c r="AL209" s="61"/>
      <c r="AM209" s="61"/>
      <c r="AN209" s="61"/>
      <c r="AO209" s="61"/>
      <c r="AP209" s="61"/>
      <c r="AQ209" s="61"/>
      <c r="AR209" s="61"/>
    </row>
    <row r="210" hidden="1">
      <c r="A210" s="62">
        <v>208.0</v>
      </c>
      <c r="B210" s="96" t="s">
        <v>2998</v>
      </c>
      <c r="C210" s="96" t="s">
        <v>2999</v>
      </c>
      <c r="D210" s="96" t="s">
        <v>3000</v>
      </c>
      <c r="E210" s="59"/>
      <c r="F210" s="79" t="s">
        <v>344</v>
      </c>
      <c r="G210" s="79" t="s">
        <v>123</v>
      </c>
      <c r="H210" s="79" t="s">
        <v>3001</v>
      </c>
      <c r="I210" s="79" t="s">
        <v>3002</v>
      </c>
      <c r="J210" s="79" t="s">
        <v>151</v>
      </c>
      <c r="K210" s="79" t="s">
        <v>70</v>
      </c>
      <c r="L210" s="79" t="s">
        <v>111</v>
      </c>
      <c r="M210" s="68" t="s">
        <v>3003</v>
      </c>
      <c r="N210" s="79" t="s">
        <v>144</v>
      </c>
      <c r="O210" s="79" t="s">
        <v>144</v>
      </c>
      <c r="P210" s="79" t="s">
        <v>95</v>
      </c>
      <c r="Q210" s="131" t="s">
        <v>3485</v>
      </c>
      <c r="R210" s="79" t="s">
        <v>76</v>
      </c>
      <c r="S210" s="79" t="s">
        <v>77</v>
      </c>
      <c r="T210" s="69"/>
      <c r="U210" s="79" t="s">
        <v>78</v>
      </c>
      <c r="V210" s="79" t="s">
        <v>79</v>
      </c>
      <c r="W210" s="69"/>
      <c r="X210" s="79" t="s">
        <v>80</v>
      </c>
      <c r="Y210" s="79" t="s">
        <v>111</v>
      </c>
      <c r="Z210" s="79" t="s">
        <v>3005</v>
      </c>
      <c r="AA210" s="69"/>
      <c r="AB210" s="79" t="s">
        <v>3006</v>
      </c>
      <c r="AC210" s="79">
        <v>8.1222672616E10</v>
      </c>
      <c r="AD210" s="79" t="s">
        <v>3007</v>
      </c>
      <c r="AE210" s="68">
        <v>8.0</v>
      </c>
      <c r="AF210" s="68" t="s">
        <v>566</v>
      </c>
      <c r="AG210" s="60"/>
      <c r="AH210" s="61"/>
      <c r="AI210" s="61"/>
      <c r="AJ210" s="61"/>
      <c r="AK210" s="61"/>
      <c r="AL210" s="61"/>
      <c r="AM210" s="61"/>
      <c r="AN210" s="61"/>
      <c r="AO210" s="61"/>
      <c r="AP210" s="61"/>
      <c r="AQ210" s="61"/>
      <c r="AR210" s="61"/>
    </row>
    <row r="211" hidden="1">
      <c r="A211" s="62">
        <v>209.0</v>
      </c>
      <c r="B211" s="96" t="s">
        <v>3027</v>
      </c>
      <c r="C211" s="96" t="s">
        <v>3028</v>
      </c>
      <c r="D211" s="269" t="s">
        <v>3486</v>
      </c>
      <c r="E211" s="131" t="s">
        <v>3487</v>
      </c>
      <c r="F211" s="79" t="s">
        <v>65</v>
      </c>
      <c r="G211" s="79" t="s">
        <v>123</v>
      </c>
      <c r="H211" s="79" t="s">
        <v>3031</v>
      </c>
      <c r="I211" s="79" t="s">
        <v>3032</v>
      </c>
      <c r="J211" s="79" t="s">
        <v>91</v>
      </c>
      <c r="K211" s="79" t="s">
        <v>110</v>
      </c>
      <c r="L211" s="79" t="s">
        <v>143</v>
      </c>
      <c r="M211" s="79" t="s">
        <v>3033</v>
      </c>
      <c r="N211" s="79" t="s">
        <v>73</v>
      </c>
      <c r="O211" s="79" t="s">
        <v>73</v>
      </c>
      <c r="P211" s="79" t="s">
        <v>95</v>
      </c>
      <c r="Q211" s="270" t="s">
        <v>3488</v>
      </c>
      <c r="R211" s="79" t="s">
        <v>76</v>
      </c>
      <c r="S211" s="79" t="s">
        <v>97</v>
      </c>
      <c r="T211" s="79">
        <v>2024.0</v>
      </c>
      <c r="U211" s="79" t="s">
        <v>78</v>
      </c>
      <c r="V211" s="79" t="s">
        <v>98</v>
      </c>
      <c r="W211" s="79" t="s">
        <v>3035</v>
      </c>
      <c r="X211" s="79" t="s">
        <v>100</v>
      </c>
      <c r="Y211" s="79" t="s">
        <v>139</v>
      </c>
      <c r="Z211" s="79" t="s">
        <v>3036</v>
      </c>
      <c r="AA211" s="79" t="s">
        <v>82</v>
      </c>
      <c r="AB211" s="79" t="s">
        <v>3037</v>
      </c>
      <c r="AC211" s="79" t="s">
        <v>3038</v>
      </c>
      <c r="AD211" s="79" t="s">
        <v>563</v>
      </c>
      <c r="AE211" s="68" t="s">
        <v>563</v>
      </c>
      <c r="AF211" s="68" t="s">
        <v>1268</v>
      </c>
      <c r="AG211" s="60"/>
      <c r="AH211" s="61"/>
      <c r="AI211" s="61"/>
      <c r="AJ211" s="61"/>
      <c r="AK211" s="61"/>
      <c r="AL211" s="61"/>
      <c r="AM211" s="61"/>
      <c r="AN211" s="61"/>
      <c r="AO211" s="61"/>
      <c r="AP211" s="61"/>
      <c r="AQ211" s="61"/>
      <c r="AR211" s="61"/>
    </row>
    <row r="212" hidden="1">
      <c r="A212" s="62">
        <v>210.0</v>
      </c>
      <c r="B212" s="96" t="s">
        <v>3060</v>
      </c>
      <c r="C212" s="96" t="s">
        <v>3061</v>
      </c>
      <c r="D212" s="96" t="s">
        <v>3062</v>
      </c>
      <c r="E212" s="59"/>
      <c r="F212" s="79" t="s">
        <v>344</v>
      </c>
      <c r="G212" s="79" t="s">
        <v>123</v>
      </c>
      <c r="H212" s="222" t="s">
        <v>3063</v>
      </c>
      <c r="I212" s="274" t="s">
        <v>3064</v>
      </c>
      <c r="J212" s="79" t="s">
        <v>69</v>
      </c>
      <c r="K212" s="79" t="s">
        <v>110</v>
      </c>
      <c r="L212" s="79" t="s">
        <v>111</v>
      </c>
      <c r="M212" s="79" t="s">
        <v>3060</v>
      </c>
      <c r="N212" s="79" t="s">
        <v>73</v>
      </c>
      <c r="O212" s="79" t="s">
        <v>73</v>
      </c>
      <c r="P212" s="79" t="s">
        <v>95</v>
      </c>
      <c r="Q212" s="270" t="s">
        <v>3489</v>
      </c>
      <c r="R212" s="79" t="s">
        <v>76</v>
      </c>
      <c r="S212" s="79" t="s">
        <v>97</v>
      </c>
      <c r="T212" s="69"/>
      <c r="U212" s="79" t="s">
        <v>78</v>
      </c>
      <c r="V212" s="79" t="s">
        <v>79</v>
      </c>
      <c r="W212" s="79" t="s">
        <v>2520</v>
      </c>
      <c r="X212" s="79" t="s">
        <v>80</v>
      </c>
      <c r="Y212" s="79" t="s">
        <v>80</v>
      </c>
      <c r="Z212" s="69"/>
      <c r="AA212" s="69"/>
      <c r="AB212" s="79" t="s">
        <v>3066</v>
      </c>
      <c r="AC212" s="79">
        <v>8.7743579775E10</v>
      </c>
      <c r="AD212" s="69"/>
      <c r="AE212" s="59"/>
      <c r="AF212" s="68" t="s">
        <v>111</v>
      </c>
      <c r="AG212" s="60"/>
      <c r="AH212" s="61"/>
      <c r="AI212" s="61"/>
      <c r="AJ212" s="61"/>
      <c r="AK212" s="61"/>
      <c r="AL212" s="61"/>
      <c r="AM212" s="61"/>
      <c r="AN212" s="61"/>
      <c r="AO212" s="61"/>
      <c r="AP212" s="61"/>
      <c r="AQ212" s="61"/>
      <c r="AR212" s="61"/>
    </row>
    <row r="213" hidden="1">
      <c r="A213" s="62">
        <v>211.0</v>
      </c>
      <c r="B213" s="96" t="s">
        <v>3081</v>
      </c>
      <c r="C213" s="96" t="s">
        <v>3082</v>
      </c>
      <c r="D213" s="96" t="s">
        <v>3083</v>
      </c>
      <c r="E213" s="59"/>
      <c r="F213" s="79" t="s">
        <v>165</v>
      </c>
      <c r="G213" s="79" t="s">
        <v>138</v>
      </c>
      <c r="H213" s="79" t="s">
        <v>3084</v>
      </c>
      <c r="I213" s="79" t="s">
        <v>3085</v>
      </c>
      <c r="J213" s="79" t="s">
        <v>151</v>
      </c>
      <c r="K213" s="79" t="s">
        <v>70</v>
      </c>
      <c r="L213" s="79" t="s">
        <v>101</v>
      </c>
      <c r="M213" s="68" t="s">
        <v>3086</v>
      </c>
      <c r="N213" s="79" t="s">
        <v>73</v>
      </c>
      <c r="O213" s="79" t="s">
        <v>73</v>
      </c>
      <c r="P213" s="79" t="s">
        <v>95</v>
      </c>
      <c r="Q213" s="276" t="s">
        <v>3490</v>
      </c>
      <c r="R213" s="79" t="s">
        <v>76</v>
      </c>
      <c r="S213" s="79" t="s">
        <v>77</v>
      </c>
      <c r="T213" s="79">
        <v>2025.0</v>
      </c>
      <c r="U213" s="79" t="s">
        <v>78</v>
      </c>
      <c r="V213" s="79" t="s">
        <v>98</v>
      </c>
      <c r="W213" s="79" t="s">
        <v>1585</v>
      </c>
      <c r="X213" s="79" t="s">
        <v>100</v>
      </c>
      <c r="Y213" s="79" t="s">
        <v>139</v>
      </c>
      <c r="Z213" s="79" t="s">
        <v>1585</v>
      </c>
      <c r="AA213" s="79" t="s">
        <v>183</v>
      </c>
      <c r="AB213" s="79" t="s">
        <v>3088</v>
      </c>
      <c r="AC213" s="79">
        <v>8.1220186484E10</v>
      </c>
      <c r="AD213" s="79" t="s">
        <v>3089</v>
      </c>
      <c r="AE213" s="59"/>
      <c r="AF213" s="68" t="s">
        <v>566</v>
      </c>
      <c r="AG213" s="60"/>
      <c r="AH213" s="61"/>
      <c r="AI213" s="61"/>
      <c r="AJ213" s="61"/>
      <c r="AK213" s="61"/>
      <c r="AL213" s="61"/>
      <c r="AM213" s="61"/>
      <c r="AN213" s="61"/>
      <c r="AO213" s="61"/>
      <c r="AP213" s="61"/>
      <c r="AQ213" s="61"/>
      <c r="AR213" s="61"/>
    </row>
    <row r="214" hidden="1">
      <c r="A214" s="62">
        <v>212.0</v>
      </c>
      <c r="B214" s="96" t="s">
        <v>3104</v>
      </c>
      <c r="C214" s="277" t="s">
        <v>3105</v>
      </c>
      <c r="D214" s="292" t="s">
        <v>3106</v>
      </c>
      <c r="E214" s="59"/>
      <c r="F214" s="79" t="s">
        <v>344</v>
      </c>
      <c r="G214" s="79" t="s">
        <v>66</v>
      </c>
      <c r="H214" s="96" t="s">
        <v>3107</v>
      </c>
      <c r="I214" s="196" t="s">
        <v>3108</v>
      </c>
      <c r="J214" s="79" t="s">
        <v>151</v>
      </c>
      <c r="K214" s="79" t="s">
        <v>70</v>
      </c>
      <c r="L214" s="79" t="s">
        <v>101</v>
      </c>
      <c r="M214" s="68" t="s">
        <v>3109</v>
      </c>
      <c r="N214" s="79" t="s">
        <v>73</v>
      </c>
      <c r="O214" s="79" t="s">
        <v>73</v>
      </c>
      <c r="P214" s="79" t="s">
        <v>95</v>
      </c>
      <c r="Q214" s="279" t="s">
        <v>3491</v>
      </c>
      <c r="R214" s="79" t="s">
        <v>76</v>
      </c>
      <c r="S214" s="69"/>
      <c r="T214" s="79">
        <v>2025.0</v>
      </c>
      <c r="U214" s="79" t="s">
        <v>78</v>
      </c>
      <c r="V214" s="79" t="s">
        <v>79</v>
      </c>
      <c r="W214" s="69"/>
      <c r="X214" s="79" t="s">
        <v>80</v>
      </c>
      <c r="Y214" s="79" t="s">
        <v>101</v>
      </c>
      <c r="Z214" s="69"/>
      <c r="AA214" s="79" t="s">
        <v>162</v>
      </c>
      <c r="AB214" s="79" t="s">
        <v>3111</v>
      </c>
      <c r="AC214" s="79">
        <v>8.2117621571E10</v>
      </c>
      <c r="AD214" s="79" t="s">
        <v>2961</v>
      </c>
      <c r="AE214" s="68">
        <v>8.0</v>
      </c>
      <c r="AF214" s="68" t="s">
        <v>566</v>
      </c>
      <c r="AG214" s="60"/>
      <c r="AH214" s="61"/>
      <c r="AI214" s="61"/>
      <c r="AJ214" s="61"/>
      <c r="AK214" s="61"/>
      <c r="AL214" s="61"/>
      <c r="AM214" s="61"/>
      <c r="AN214" s="61"/>
      <c r="AO214" s="61"/>
      <c r="AP214" s="61"/>
      <c r="AQ214" s="61"/>
      <c r="AR214" s="61"/>
    </row>
    <row r="215" hidden="1">
      <c r="A215" s="62">
        <v>213.0</v>
      </c>
      <c r="B215" s="96" t="s">
        <v>1088</v>
      </c>
      <c r="C215" s="67" t="s">
        <v>3120</v>
      </c>
      <c r="D215" s="76" t="s">
        <v>3121</v>
      </c>
      <c r="E215" s="59"/>
      <c r="F215" s="79" t="s">
        <v>344</v>
      </c>
      <c r="G215" s="79" t="s">
        <v>123</v>
      </c>
      <c r="H215" s="196" t="s">
        <v>3122</v>
      </c>
      <c r="I215" s="196" t="s">
        <v>3123</v>
      </c>
      <c r="J215" s="79" t="s">
        <v>151</v>
      </c>
      <c r="K215" s="79" t="s">
        <v>110</v>
      </c>
      <c r="L215" s="79" t="s">
        <v>152</v>
      </c>
      <c r="M215" s="68" t="s">
        <v>1088</v>
      </c>
      <c r="N215" s="79" t="s">
        <v>73</v>
      </c>
      <c r="O215" s="79" t="s">
        <v>73</v>
      </c>
      <c r="P215" s="79" t="s">
        <v>74</v>
      </c>
      <c r="Q215" s="280" t="s">
        <v>3124</v>
      </c>
      <c r="R215" s="79" t="s">
        <v>76</v>
      </c>
      <c r="S215" s="79" t="s">
        <v>97</v>
      </c>
      <c r="T215" s="79">
        <v>2025.0</v>
      </c>
      <c r="U215" s="79" t="s">
        <v>147</v>
      </c>
      <c r="V215" s="79" t="s">
        <v>79</v>
      </c>
      <c r="W215" s="69"/>
      <c r="X215" s="79" t="s">
        <v>80</v>
      </c>
      <c r="Y215" s="79" t="s">
        <v>80</v>
      </c>
      <c r="Z215" s="69"/>
      <c r="AA215" s="79" t="s">
        <v>162</v>
      </c>
      <c r="AB215" s="131" t="s">
        <v>3492</v>
      </c>
      <c r="AC215" s="79">
        <v>8.2117621571E10</v>
      </c>
      <c r="AD215" s="79" t="s">
        <v>2961</v>
      </c>
      <c r="AE215" s="68">
        <v>8.0</v>
      </c>
      <c r="AF215" s="68" t="s">
        <v>152</v>
      </c>
      <c r="AG215" s="60"/>
      <c r="AH215" s="61"/>
      <c r="AI215" s="61"/>
      <c r="AJ215" s="61"/>
      <c r="AK215" s="61"/>
      <c r="AL215" s="61"/>
      <c r="AM215" s="61"/>
      <c r="AN215" s="61"/>
      <c r="AO215" s="61"/>
      <c r="AP215" s="61"/>
      <c r="AQ215" s="61"/>
      <c r="AR215" s="61"/>
    </row>
    <row r="216" hidden="1">
      <c r="A216" s="62">
        <v>214.0</v>
      </c>
      <c r="B216" s="79" t="s">
        <v>2667</v>
      </c>
      <c r="C216" s="67" t="s">
        <v>2668</v>
      </c>
      <c r="D216" s="96" t="s">
        <v>2669</v>
      </c>
      <c r="E216" s="59"/>
      <c r="F216" s="79" t="s">
        <v>344</v>
      </c>
      <c r="G216" s="79" t="s">
        <v>123</v>
      </c>
      <c r="H216" s="96" t="s">
        <v>2670</v>
      </c>
      <c r="I216" s="96" t="s">
        <v>2671</v>
      </c>
      <c r="J216" s="79" t="s">
        <v>151</v>
      </c>
      <c r="K216" s="79" t="s">
        <v>70</v>
      </c>
      <c r="L216" s="79" t="s">
        <v>101</v>
      </c>
      <c r="M216" s="79" t="s">
        <v>2672</v>
      </c>
      <c r="N216" s="79" t="s">
        <v>73</v>
      </c>
      <c r="O216" s="79" t="s">
        <v>73</v>
      </c>
      <c r="P216" s="79" t="s">
        <v>95</v>
      </c>
      <c r="Q216" s="223" t="s">
        <v>3493</v>
      </c>
      <c r="R216" s="79" t="s">
        <v>76</v>
      </c>
      <c r="S216" s="79" t="s">
        <v>97</v>
      </c>
      <c r="T216" s="69"/>
      <c r="U216" s="79" t="s">
        <v>78</v>
      </c>
      <c r="V216" s="79" t="s">
        <v>98</v>
      </c>
      <c r="W216" s="79" t="s">
        <v>2674</v>
      </c>
      <c r="X216" s="79" t="s">
        <v>155</v>
      </c>
      <c r="Y216" s="79" t="s">
        <v>139</v>
      </c>
      <c r="Z216" s="79" t="s">
        <v>2675</v>
      </c>
      <c r="AA216" s="79" t="s">
        <v>162</v>
      </c>
      <c r="AB216" s="69"/>
      <c r="AC216" s="69"/>
      <c r="AD216" s="69"/>
      <c r="AE216" s="59"/>
      <c r="AF216" s="79" t="s">
        <v>566</v>
      </c>
      <c r="AG216" s="60"/>
      <c r="AH216" s="61"/>
      <c r="AI216" s="61"/>
      <c r="AJ216" s="61"/>
      <c r="AK216" s="61"/>
      <c r="AL216" s="61"/>
      <c r="AM216" s="61"/>
      <c r="AN216" s="61"/>
      <c r="AO216" s="61"/>
      <c r="AP216" s="61"/>
      <c r="AQ216" s="61"/>
      <c r="AR216" s="61"/>
    </row>
    <row r="217" hidden="1">
      <c r="A217" s="62">
        <v>215.0</v>
      </c>
      <c r="B217" s="96" t="s">
        <v>2952</v>
      </c>
      <c r="C217" s="67" t="s">
        <v>2953</v>
      </c>
      <c r="D217" s="67" t="s">
        <v>2954</v>
      </c>
      <c r="E217" s="59"/>
      <c r="F217" s="79" t="s">
        <v>65</v>
      </c>
      <c r="G217" s="79" t="s">
        <v>131</v>
      </c>
      <c r="H217" s="79" t="s">
        <v>3174</v>
      </c>
      <c r="I217" s="79" t="s">
        <v>3175</v>
      </c>
      <c r="J217" s="79" t="s">
        <v>158</v>
      </c>
      <c r="K217" s="79" t="s">
        <v>70</v>
      </c>
      <c r="L217" s="79" t="s">
        <v>152</v>
      </c>
      <c r="M217" s="68" t="s">
        <v>3176</v>
      </c>
      <c r="N217" s="79" t="s">
        <v>82</v>
      </c>
      <c r="O217" s="79" t="s">
        <v>113</v>
      </c>
      <c r="P217" s="79" t="s">
        <v>74</v>
      </c>
      <c r="Q217" s="131" t="s">
        <v>3494</v>
      </c>
      <c r="R217" s="79" t="s">
        <v>76</v>
      </c>
      <c r="S217" s="79" t="s">
        <v>97</v>
      </c>
      <c r="T217" s="69"/>
      <c r="U217" s="79" t="s">
        <v>78</v>
      </c>
      <c r="V217" s="79" t="s">
        <v>79</v>
      </c>
      <c r="W217" s="69"/>
      <c r="X217" s="79" t="s">
        <v>80</v>
      </c>
      <c r="Y217" s="79" t="s">
        <v>80</v>
      </c>
      <c r="Z217" s="69"/>
      <c r="AA217" s="79" t="s">
        <v>82</v>
      </c>
      <c r="AB217" s="69"/>
      <c r="AC217" s="69"/>
      <c r="AD217" s="69"/>
      <c r="AE217" s="59"/>
      <c r="AF217" s="68" t="s">
        <v>152</v>
      </c>
      <c r="AG217" s="60"/>
      <c r="AH217" s="61"/>
      <c r="AI217" s="61"/>
      <c r="AJ217" s="61"/>
      <c r="AK217" s="61"/>
      <c r="AL217" s="61"/>
      <c r="AM217" s="61"/>
      <c r="AN217" s="61"/>
      <c r="AO217" s="61"/>
      <c r="AP217" s="61"/>
      <c r="AQ217" s="61"/>
      <c r="AR217" s="61"/>
    </row>
    <row r="218" hidden="1">
      <c r="A218" s="62">
        <v>216.0</v>
      </c>
      <c r="B218" s="96" t="s">
        <v>3027</v>
      </c>
      <c r="C218" s="96" t="s">
        <v>3028</v>
      </c>
      <c r="D218" s="273" t="s">
        <v>3495</v>
      </c>
      <c r="E218" s="131" t="s">
        <v>3496</v>
      </c>
      <c r="F218" s="79" t="s">
        <v>65</v>
      </c>
      <c r="G218" s="79" t="s">
        <v>123</v>
      </c>
      <c r="H218" s="79" t="s">
        <v>3031</v>
      </c>
      <c r="I218" s="79" t="s">
        <v>3032</v>
      </c>
      <c r="J218" s="79" t="s">
        <v>91</v>
      </c>
      <c r="K218" s="79" t="s">
        <v>110</v>
      </c>
      <c r="L218" s="79" t="s">
        <v>143</v>
      </c>
      <c r="M218" s="79" t="s">
        <v>3191</v>
      </c>
      <c r="N218" s="79" t="s">
        <v>73</v>
      </c>
      <c r="O218" s="79" t="s">
        <v>73</v>
      </c>
      <c r="P218" s="79" t="s">
        <v>95</v>
      </c>
      <c r="Q218" s="75" t="s">
        <v>3497</v>
      </c>
      <c r="R218" s="79" t="s">
        <v>76</v>
      </c>
      <c r="S218" s="79" t="s">
        <v>97</v>
      </c>
      <c r="T218" s="79">
        <v>2024.0</v>
      </c>
      <c r="U218" s="79" t="s">
        <v>78</v>
      </c>
      <c r="V218" s="79" t="s">
        <v>98</v>
      </c>
      <c r="W218" s="79" t="s">
        <v>3035</v>
      </c>
      <c r="X218" s="79" t="s">
        <v>100</v>
      </c>
      <c r="Y218" s="79" t="s">
        <v>139</v>
      </c>
      <c r="Z218" s="79" t="s">
        <v>3036</v>
      </c>
      <c r="AA218" s="79" t="s">
        <v>82</v>
      </c>
      <c r="AB218" s="79" t="s">
        <v>3193</v>
      </c>
      <c r="AC218" s="79">
        <v>8.2324066724E10</v>
      </c>
      <c r="AD218" s="79" t="s">
        <v>3183</v>
      </c>
      <c r="AE218" s="68" t="s">
        <v>563</v>
      </c>
      <c r="AF218" s="68" t="s">
        <v>1268</v>
      </c>
      <c r="AG218" s="60"/>
      <c r="AH218" s="61"/>
      <c r="AI218" s="61"/>
      <c r="AJ218" s="61"/>
      <c r="AK218" s="61"/>
      <c r="AL218" s="61"/>
      <c r="AM218" s="61"/>
      <c r="AN218" s="61"/>
      <c r="AO218" s="61"/>
      <c r="AP218" s="61"/>
      <c r="AQ218" s="61"/>
      <c r="AR218" s="61"/>
    </row>
  </sheetData>
  <autoFilter ref="$A$1:$AR$218">
    <filterColumn colId="14">
      <filters blank="1">
        <filter val="Pihak Ke 3 (Lisensi)"/>
        <filter val="15"/>
        <filter val="Provinsi"/>
        <filter val="Kab. Bandung"/>
      </filters>
    </filterColumn>
    <filterColumn colId="12">
      <filters>
        <filter val="Microsoft Office"/>
        <filter val="Google formulir"/>
        <filter val="Form manual"/>
        <filter val="Google Formulir"/>
        <filter val="google formulir"/>
        <filter val="Microsoft Excel"/>
      </filters>
    </filterColumn>
  </autoFilter>
  <mergeCells count="4">
    <mergeCell ref="AG34:AR34"/>
    <mergeCell ref="AG45:AI45"/>
    <mergeCell ref="AG83:AH83"/>
    <mergeCell ref="AG127:AH127"/>
  </mergeCells>
  <dataValidations>
    <dataValidation type="list" allowBlank="1" showErrorMessage="1" sqref="O3:O218">
      <formula1>Ref!$O$2:$O$5</formula1>
    </dataValidation>
    <dataValidation type="list" allowBlank="1" showErrorMessage="1" sqref="R3:R218">
      <formula1>Ref!$R$2:$R$3</formula1>
    </dataValidation>
    <dataValidation type="list" allowBlank="1" showErrorMessage="1" sqref="F3:F218">
      <formula1>Ref!$F$2:$F$307</formula1>
    </dataValidation>
    <dataValidation type="list" allowBlank="1" showErrorMessage="1" sqref="N3:N218">
      <formula1>Ref!$N$2:$N$6</formula1>
    </dataValidation>
    <dataValidation type="list" allowBlank="1" showErrorMessage="1" sqref="AA3:AA218">
      <formula1>Ref!$AA$2:$AA$33</formula1>
    </dataValidation>
    <dataValidation type="list" allowBlank="1" showErrorMessage="1" sqref="X3:X218">
      <formula1>Ref!$X$2:$X$6</formula1>
    </dataValidation>
    <dataValidation type="list" allowBlank="1" showErrorMessage="1" sqref="Y3:Y218">
      <formula1>Ref!$Y$2:$Y$8</formula1>
    </dataValidation>
    <dataValidation type="list" allowBlank="1" showErrorMessage="1" sqref="G3:G218">
      <formula1>Ref!$G$2:$G$5</formula1>
    </dataValidation>
    <dataValidation type="list" allowBlank="1" showErrorMessage="1" sqref="K3:K218">
      <formula1>Ref!$K$2:$K$3</formula1>
    </dataValidation>
    <dataValidation type="list" allowBlank="1" showErrorMessage="1" sqref="S3:S218">
      <formula1>Ref!$S$2:$S$3</formula1>
    </dataValidation>
    <dataValidation type="list" allowBlank="1" showErrorMessage="1" sqref="V3:V218">
      <formula1>Ref!$V$2:$V$3</formula1>
    </dataValidation>
    <dataValidation type="list" allowBlank="1" showErrorMessage="1" sqref="P3:P218">
      <formula1>Ref!$P$2:$P$5</formula1>
    </dataValidation>
    <dataValidation type="list" allowBlank="1" sqref="M4:M5">
      <formula1>#REF!</formula1>
    </dataValidation>
    <dataValidation type="list" allowBlank="1" showErrorMessage="1" sqref="J3:J218">
      <formula1>Ref!$J$2:$J$5</formula1>
    </dataValidation>
    <dataValidation type="list" allowBlank="1" showErrorMessage="1" sqref="U3:U218">
      <formula1>Ref!$U$2:$U$4</formula1>
    </dataValidation>
    <dataValidation type="list" allowBlank="1" showErrorMessage="1" sqref="L3:L218">
      <formula1>Ref!$L$2:$L$6</formula1>
    </dataValidation>
  </dataValidations>
  <hyperlinks>
    <hyperlink r:id="rId1" ref="Q3"/>
    <hyperlink r:id="rId2" ref="Q5"/>
    <hyperlink r:id="rId3" ref="Q6"/>
    <hyperlink r:id="rId4" ref="Q7"/>
    <hyperlink r:id="rId5" ref="Q8"/>
    <hyperlink r:id="rId6" ref="Q9"/>
    <hyperlink r:id="rId7" ref="Q10"/>
    <hyperlink r:id="rId8" ref="Q11"/>
    <hyperlink r:id="rId9" ref="Q12"/>
    <hyperlink r:id="rId10" ref="Q14"/>
    <hyperlink r:id="rId11" ref="Q15"/>
    <hyperlink r:id="rId12" ref="Q16"/>
    <hyperlink r:id="rId13" ref="Q17"/>
    <hyperlink r:id="rId14" ref="Q18"/>
    <hyperlink r:id="rId15" ref="Q19"/>
    <hyperlink r:id="rId16" ref="Q20"/>
    <hyperlink r:id="rId17" ref="Q22"/>
    <hyperlink r:id="rId18" ref="AB22"/>
    <hyperlink r:id="rId19" ref="Q23"/>
    <hyperlink r:id="rId20" ref="AB23"/>
    <hyperlink r:id="rId21" ref="Q24"/>
    <hyperlink r:id="rId22" ref="Q25"/>
    <hyperlink r:id="rId23" ref="AB25"/>
    <hyperlink r:id="rId24" ref="Q26"/>
    <hyperlink r:id="rId25" ref="Q28"/>
    <hyperlink r:id="rId26" ref="AB28"/>
    <hyperlink r:id="rId27" ref="Q29"/>
    <hyperlink r:id="rId28" ref="AB29"/>
    <hyperlink r:id="rId29" ref="Q30"/>
    <hyperlink r:id="rId30" ref="AB30"/>
    <hyperlink r:id="rId31" ref="Q31"/>
    <hyperlink r:id="rId32" ref="Q32"/>
    <hyperlink r:id="rId33" ref="Q33"/>
    <hyperlink r:id="rId34" ref="Q34"/>
    <hyperlink r:id="rId35" ref="Q35"/>
    <hyperlink r:id="rId36" ref="Q36"/>
    <hyperlink r:id="rId37" ref="Q37"/>
    <hyperlink r:id="rId38" ref="Q38"/>
    <hyperlink r:id="rId39" ref="Q39"/>
    <hyperlink r:id="rId40" ref="Q40"/>
    <hyperlink r:id="rId41" ref="Q41"/>
    <hyperlink r:id="rId42" ref="E42"/>
    <hyperlink r:id="rId43" ref="Q42"/>
    <hyperlink r:id="rId44" ref="Q43"/>
    <hyperlink r:id="rId45" ref="E44"/>
    <hyperlink r:id="rId46" ref="Q44"/>
    <hyperlink r:id="rId47" ref="Q45"/>
    <hyperlink r:id="rId48" ref="AB45"/>
    <hyperlink r:id="rId49" location="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 ref="Q46"/>
    <hyperlink r:id="rId50" ref="AB46"/>
    <hyperlink r:id="rId51" ref="E47"/>
    <hyperlink r:id="rId52" ref="Q48"/>
    <hyperlink r:id="rId53" ref="Q49"/>
    <hyperlink r:id="rId54" ref="E50"/>
    <hyperlink r:id="rId55" ref="Q50"/>
    <hyperlink r:id="rId56" ref="E51"/>
    <hyperlink r:id="rId57" ref="M51"/>
    <hyperlink r:id="rId58" ref="Q51"/>
    <hyperlink r:id="rId59" ref="Q53"/>
    <hyperlink r:id="rId60" ref="Q54"/>
    <hyperlink r:id="rId61" ref="Q55"/>
    <hyperlink r:id="rId62" ref="Q56"/>
    <hyperlink r:id="rId63" ref="Q57"/>
    <hyperlink r:id="rId64" ref="Q59"/>
    <hyperlink r:id="rId65" ref="Q60"/>
    <hyperlink r:id="rId66" ref="Q61"/>
    <hyperlink r:id="rId67" ref="Q62"/>
    <hyperlink r:id="rId68" ref="Q64"/>
    <hyperlink r:id="rId69" ref="Q65"/>
    <hyperlink r:id="rId70" ref="Q66"/>
    <hyperlink r:id="rId71" ref="Q68"/>
    <hyperlink r:id="rId72" ref="Q72"/>
    <hyperlink r:id="rId73" ref="Q73"/>
    <hyperlink r:id="rId74" ref="E74"/>
    <hyperlink r:id="rId75" ref="Q74"/>
    <hyperlink r:id="rId76" ref="E75"/>
    <hyperlink r:id="rId77" ref="Q75"/>
    <hyperlink r:id="rId78" ref="Q76"/>
    <hyperlink r:id="rId79" ref="E77"/>
    <hyperlink r:id="rId80" ref="Q77"/>
    <hyperlink r:id="rId81" ref="E78"/>
    <hyperlink r:id="rId82" ref="Q78"/>
    <hyperlink r:id="rId83" ref="Q79"/>
    <hyperlink r:id="rId84" ref="E80"/>
    <hyperlink r:id="rId85" ref="Q80"/>
    <hyperlink r:id="rId86" ref="E81"/>
    <hyperlink r:id="rId87" ref="Q81"/>
    <hyperlink r:id="rId88" ref="E82"/>
    <hyperlink r:id="rId89" ref="Q82"/>
    <hyperlink r:id="rId90" ref="W82"/>
    <hyperlink r:id="rId91" ref="Q83"/>
    <hyperlink r:id="rId92" ref="W83"/>
    <hyperlink r:id="rId93" ref="Q84"/>
    <hyperlink r:id="rId94" ref="E85"/>
    <hyperlink r:id="rId95" ref="Q85"/>
    <hyperlink r:id="rId96" ref="E86"/>
    <hyperlink r:id="rId97" ref="Q86"/>
    <hyperlink r:id="rId98" ref="Q87"/>
    <hyperlink r:id="rId99" ref="E88"/>
    <hyperlink r:id="rId100" ref="Q88"/>
    <hyperlink r:id="rId101" ref="E89"/>
    <hyperlink r:id="rId102" ref="Q89"/>
    <hyperlink r:id="rId103" ref="Q90"/>
    <hyperlink r:id="rId104" ref="Q91"/>
    <hyperlink r:id="rId105" ref="Q92"/>
    <hyperlink r:id="rId106" ref="Q93"/>
    <hyperlink r:id="rId107" ref="Q94"/>
    <hyperlink r:id="rId108" ref="Q95"/>
    <hyperlink r:id="rId109" ref="E96"/>
    <hyperlink r:id="rId110" ref="Q96"/>
    <hyperlink r:id="rId111" ref="Q97"/>
    <hyperlink r:id="rId112" ref="E98"/>
    <hyperlink r:id="rId113" ref="Q98"/>
    <hyperlink r:id="rId114" location="/" ref="Q99"/>
    <hyperlink r:id="rId115" location="/home/login" ref="Q100"/>
    <hyperlink r:id="rId116" ref="Q101"/>
    <hyperlink r:id="rId117" ref="Q102"/>
    <hyperlink r:id="rId118" ref="E103"/>
    <hyperlink r:id="rId119" ref="Q103"/>
    <hyperlink r:id="rId120" ref="E104"/>
    <hyperlink r:id="rId121" ref="Q104"/>
    <hyperlink r:id="rId122" ref="E105"/>
    <hyperlink r:id="rId123" ref="Q105"/>
    <hyperlink r:id="rId124" ref="F106"/>
    <hyperlink r:id="rId125" ref="Q107"/>
    <hyperlink r:id="rId126" ref="Q108"/>
    <hyperlink r:id="rId127" ref="Q109"/>
    <hyperlink r:id="rId128" ref="Q110"/>
    <hyperlink r:id="rId129" ref="Q111"/>
    <hyperlink r:id="rId130" ref="Q112"/>
    <hyperlink r:id="rId131" ref="Q113"/>
    <hyperlink r:id="rId132" ref="Q114"/>
    <hyperlink r:id="rId133" ref="Q116"/>
    <hyperlink r:id="rId134" ref="E117"/>
    <hyperlink r:id="rId135" ref="E118"/>
    <hyperlink r:id="rId136" ref="Q118"/>
    <hyperlink r:id="rId137" ref="E119"/>
    <hyperlink r:id="rId138" ref="Q119"/>
    <hyperlink r:id="rId139" ref="E120"/>
    <hyperlink r:id="rId140" ref="Q120"/>
    <hyperlink r:id="rId141" ref="AB120"/>
    <hyperlink r:id="rId142" ref="E121"/>
    <hyperlink r:id="rId143" ref="Q121"/>
    <hyperlink r:id="rId144" ref="E122"/>
    <hyperlink r:id="rId145" ref="M122"/>
    <hyperlink r:id="rId146" ref="Q122"/>
    <hyperlink r:id="rId147" ref="Q123"/>
    <hyperlink r:id="rId148" ref="Q124"/>
    <hyperlink r:id="rId149" ref="E125"/>
    <hyperlink r:id="rId150" ref="E126"/>
    <hyperlink r:id="rId151" ref="Q126"/>
    <hyperlink r:id="rId152" ref="E127"/>
    <hyperlink r:id="rId153" ref="Q127"/>
    <hyperlink r:id="rId154" ref="E128"/>
    <hyperlink r:id="rId155" ref="Q128"/>
    <hyperlink r:id="rId156" ref="E129"/>
    <hyperlink r:id="rId157" ref="Q129"/>
    <hyperlink r:id="rId158" ref="Q130"/>
    <hyperlink r:id="rId159" ref="E131"/>
    <hyperlink r:id="rId160" ref="Q131"/>
    <hyperlink r:id="rId161" ref="E132"/>
    <hyperlink r:id="rId162" ref="Q132"/>
    <hyperlink r:id="rId163" ref="E133"/>
    <hyperlink r:id="rId164" ref="Q133"/>
    <hyperlink r:id="rId165" ref="E134"/>
    <hyperlink r:id="rId166" ref="Q134"/>
    <hyperlink r:id="rId167" ref="E135"/>
    <hyperlink r:id="rId168" ref="Q135"/>
    <hyperlink r:id="rId169" ref="E136"/>
    <hyperlink r:id="rId170" ref="Q136"/>
    <hyperlink r:id="rId171" ref="Q137"/>
    <hyperlink r:id="rId172" ref="Q138"/>
    <hyperlink r:id="rId173" ref="AB138"/>
    <hyperlink r:id="rId174" ref="Q139"/>
    <hyperlink r:id="rId175" ref="Q140"/>
    <hyperlink r:id="rId176" ref="AB140"/>
    <hyperlink r:id="rId177" ref="E141"/>
    <hyperlink r:id="rId178" ref="Q141"/>
    <hyperlink r:id="rId179" ref="AB141"/>
    <hyperlink r:id="rId180" ref="E142"/>
    <hyperlink r:id="rId181" ref="Q142"/>
    <hyperlink r:id="rId182" ref="Q143"/>
    <hyperlink r:id="rId183" ref="Q144"/>
    <hyperlink r:id="rId184" ref="Q145"/>
    <hyperlink r:id="rId185" ref="E146"/>
    <hyperlink r:id="rId186" ref="Q146"/>
    <hyperlink r:id="rId187" ref="E147"/>
    <hyperlink r:id="rId188" ref="Q147"/>
    <hyperlink r:id="rId189" ref="E148"/>
    <hyperlink r:id="rId190" ref="Q148"/>
    <hyperlink r:id="rId191" ref="E149"/>
    <hyperlink r:id="rId192" ref="E150"/>
    <hyperlink r:id="rId193" ref="E151"/>
    <hyperlink r:id="rId194" ref="E152"/>
    <hyperlink r:id="rId195" ref="E153"/>
    <hyperlink r:id="rId196" ref="E155"/>
    <hyperlink r:id="rId197" ref="Q155"/>
    <hyperlink r:id="rId198" ref="E156"/>
    <hyperlink r:id="rId199" ref="Q156"/>
    <hyperlink r:id="rId200" ref="E157"/>
    <hyperlink r:id="rId201" ref="Q157"/>
    <hyperlink r:id="rId202" ref="Q158"/>
    <hyperlink r:id="rId203" ref="E159"/>
    <hyperlink r:id="rId204" ref="Q159"/>
    <hyperlink r:id="rId205" ref="AD159"/>
    <hyperlink r:id="rId206" ref="Q160"/>
    <hyperlink r:id="rId207" ref="E161"/>
    <hyperlink r:id="rId208" ref="Q161"/>
    <hyperlink r:id="rId209" ref="Q162"/>
    <hyperlink r:id="rId210" ref="Q163"/>
    <hyperlink r:id="rId211" ref="E164"/>
    <hyperlink r:id="rId212" location="pembukuan" ref="Q164"/>
    <hyperlink r:id="rId213" ref="E165"/>
    <hyperlink r:id="rId214" ref="Q165"/>
    <hyperlink r:id="rId215" ref="E166"/>
    <hyperlink r:id="rId216" ref="Q166"/>
    <hyperlink r:id="rId217" ref="Q167"/>
    <hyperlink r:id="rId218" ref="Q168"/>
    <hyperlink r:id="rId219" ref="E169"/>
    <hyperlink r:id="rId220" ref="Q169"/>
    <hyperlink r:id="rId221" ref="E170"/>
    <hyperlink r:id="rId222" ref="E171"/>
    <hyperlink r:id="rId223" ref="Q171"/>
    <hyperlink r:id="rId224" ref="E172"/>
    <hyperlink r:id="rId225" ref="Q172"/>
    <hyperlink r:id="rId226" ref="Q173"/>
    <hyperlink r:id="rId227" ref="E174"/>
    <hyperlink r:id="rId228" ref="Q174"/>
    <hyperlink r:id="rId229" ref="AD174"/>
    <hyperlink r:id="rId230" ref="E175"/>
    <hyperlink r:id="rId231" ref="E176"/>
    <hyperlink r:id="rId232" ref="Q176"/>
    <hyperlink r:id="rId233" ref="E177"/>
    <hyperlink r:id="rId234" ref="Q177"/>
    <hyperlink r:id="rId235" ref="E178"/>
    <hyperlink r:id="rId236" ref="Q178"/>
    <hyperlink r:id="rId237" ref="E179"/>
    <hyperlink r:id="rId238" ref="Q179"/>
    <hyperlink r:id="rId239" ref="E180"/>
    <hyperlink r:id="rId240" ref="E181"/>
    <hyperlink r:id="rId241" ref="Q181"/>
    <hyperlink r:id="rId242" ref="Q182"/>
    <hyperlink r:id="rId243" ref="Q183"/>
    <hyperlink r:id="rId244" ref="Q184"/>
    <hyperlink r:id="rId245" ref="AB184"/>
    <hyperlink r:id="rId246" ref="Q185"/>
    <hyperlink r:id="rId247" ref="Q187"/>
    <hyperlink r:id="rId248" ref="Q188"/>
    <hyperlink r:id="rId249" ref="Q189"/>
    <hyperlink r:id="rId250" ref="Q190"/>
    <hyperlink r:id="rId251" ref="Q191"/>
    <hyperlink r:id="rId252" ref="Q192"/>
    <hyperlink r:id="rId253" ref="AB192"/>
    <hyperlink r:id="rId254" ref="Q193"/>
    <hyperlink r:id="rId255" ref="E194"/>
    <hyperlink r:id="rId256" ref="Q196"/>
    <hyperlink r:id="rId257" ref="E197"/>
    <hyperlink r:id="rId258" ref="Q198"/>
    <hyperlink r:id="rId259" ref="Q199"/>
    <hyperlink r:id="rId260" ref="Q203"/>
    <hyperlink r:id="rId261" ref="W203"/>
    <hyperlink r:id="rId262" ref="AB203"/>
    <hyperlink r:id="rId263" ref="E205"/>
    <hyperlink r:id="rId264" ref="Q206"/>
    <hyperlink r:id="rId265" ref="Q207"/>
    <hyperlink r:id="rId266" ref="E209"/>
    <hyperlink r:id="rId267" ref="Q209"/>
    <hyperlink r:id="rId268" ref="Q210"/>
    <hyperlink r:id="rId269" ref="D211"/>
    <hyperlink r:id="rId270" ref="E211"/>
    <hyperlink r:id="rId271" ref="Q211"/>
    <hyperlink r:id="rId272" ref="Q212"/>
    <hyperlink r:id="rId273" ref="Q213"/>
    <hyperlink r:id="rId274" ref="Q214"/>
    <hyperlink r:id="rId275" ref="AB215"/>
    <hyperlink r:id="rId276" ref="Q216"/>
    <hyperlink r:id="rId277" ref="Q217"/>
    <hyperlink r:id="rId278" ref="D218"/>
    <hyperlink r:id="rId279" ref="E218"/>
    <hyperlink r:id="rId280" ref="Q218"/>
  </hyperlinks>
  <drawing r:id="rId28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9999"/>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0.13"/>
    <col customWidth="1" min="2" max="2" width="21.38"/>
    <col customWidth="1" min="3" max="3" width="59.63"/>
    <col customWidth="1" hidden="1" min="4" max="4" width="35.5"/>
    <col customWidth="1" hidden="1" min="5" max="5" width="17.0"/>
    <col customWidth="1" min="6" max="6" width="34.13"/>
    <col customWidth="1" min="7" max="7" width="16.75"/>
    <col customWidth="1" min="9" max="9" width="12.13"/>
    <col customWidth="1" min="10" max="10" width="13.13"/>
    <col customWidth="1" min="11" max="11" width="15.0"/>
    <col customWidth="1" min="12" max="12" width="14.25"/>
    <col customWidth="1" min="13" max="13" width="20.13"/>
    <col customWidth="1" min="14" max="14" width="18.13"/>
    <col customWidth="1" min="15" max="15" width="18.38"/>
    <col customWidth="1" min="16" max="16" width="17.0"/>
    <col customWidth="1" min="17" max="17" width="22.5"/>
    <col customWidth="1" min="18" max="18" width="18.63"/>
    <col customWidth="1" min="19" max="19" width="17.75"/>
    <col customWidth="1" min="20" max="20" width="16.88"/>
    <col customWidth="1" min="22" max="22" width="13.75"/>
    <col customWidth="1" min="23" max="23" width="15.38"/>
    <col customWidth="1" min="24" max="24" width="16.75"/>
    <col customWidth="1" min="25" max="25" width="15.88"/>
    <col customWidth="1" min="26" max="26" width="15.5"/>
    <col customWidth="1" min="27" max="27" width="18.13"/>
    <col customWidth="1" min="29" max="29" width="14.88"/>
    <col customWidth="1" min="30" max="30" width="15.5"/>
  </cols>
  <sheetData>
    <row r="1">
      <c r="A1" s="1" t="s">
        <v>0</v>
      </c>
      <c r="B1" s="2" t="s">
        <v>1</v>
      </c>
      <c r="C1" s="2" t="s">
        <v>2</v>
      </c>
      <c r="D1" s="2" t="s">
        <v>3</v>
      </c>
      <c r="E1" s="2" t="s">
        <v>4</v>
      </c>
      <c r="F1" s="2" t="s">
        <v>5</v>
      </c>
      <c r="G1" s="2" t="s">
        <v>6</v>
      </c>
      <c r="H1" s="3" t="s">
        <v>7</v>
      </c>
      <c r="I1" s="3" t="s">
        <v>8</v>
      </c>
      <c r="J1" s="3" t="s">
        <v>9</v>
      </c>
      <c r="K1" s="3" t="s">
        <v>10</v>
      </c>
      <c r="L1" s="3" t="s">
        <v>11</v>
      </c>
      <c r="M1" s="4" t="s">
        <v>12</v>
      </c>
      <c r="N1" s="4" t="s">
        <v>13</v>
      </c>
      <c r="O1" s="4" t="s">
        <v>14</v>
      </c>
      <c r="P1" s="4" t="s">
        <v>15</v>
      </c>
      <c r="Q1" s="4" t="s">
        <v>16</v>
      </c>
      <c r="R1" s="4" t="s">
        <v>17</v>
      </c>
      <c r="S1" s="4" t="s">
        <v>18</v>
      </c>
      <c r="T1" s="4" t="s">
        <v>19</v>
      </c>
      <c r="U1" s="4" t="s">
        <v>20</v>
      </c>
      <c r="V1" s="4" t="s">
        <v>21</v>
      </c>
      <c r="W1" s="4" t="s">
        <v>22</v>
      </c>
      <c r="X1" s="4" t="s">
        <v>23</v>
      </c>
      <c r="Y1" s="4" t="s">
        <v>24</v>
      </c>
      <c r="Z1" s="5" t="s">
        <v>25</v>
      </c>
      <c r="AA1" s="5" t="s">
        <v>26</v>
      </c>
      <c r="AB1" s="5" t="s">
        <v>27</v>
      </c>
      <c r="AC1" s="5" t="s">
        <v>28</v>
      </c>
      <c r="AD1" s="5" t="s">
        <v>29</v>
      </c>
      <c r="AE1" s="30" t="s">
        <v>484</v>
      </c>
      <c r="AF1" s="30" t="s">
        <v>485</v>
      </c>
      <c r="AG1" s="31" t="s">
        <v>486</v>
      </c>
      <c r="AH1" s="7"/>
      <c r="AI1" s="7"/>
      <c r="AJ1" s="7"/>
      <c r="AK1" s="7"/>
      <c r="AL1" s="7"/>
      <c r="AM1" s="7"/>
      <c r="AN1" s="7"/>
      <c r="AO1" s="7"/>
      <c r="AP1" s="7"/>
      <c r="AQ1" s="7"/>
      <c r="AR1" s="7"/>
    </row>
    <row r="2" hidden="1">
      <c r="A2" s="8">
        <v>1.0</v>
      </c>
      <c r="B2" s="9">
        <v>2.0</v>
      </c>
      <c r="C2" s="9">
        <v>3.0</v>
      </c>
      <c r="D2" s="9">
        <v>4.0</v>
      </c>
      <c r="E2" s="9">
        <v>5.0</v>
      </c>
      <c r="F2" s="9">
        <v>6.0</v>
      </c>
      <c r="G2" s="9">
        <v>7.0</v>
      </c>
      <c r="H2" s="11">
        <v>8.0</v>
      </c>
      <c r="I2" s="11">
        <v>9.0</v>
      </c>
      <c r="J2" s="11">
        <v>10.0</v>
      </c>
      <c r="K2" s="11">
        <v>11.0</v>
      </c>
      <c r="L2" s="11">
        <v>12.0</v>
      </c>
      <c r="M2" s="14">
        <v>13.0</v>
      </c>
      <c r="N2" s="14">
        <v>14.0</v>
      </c>
      <c r="O2" s="14">
        <v>15.0</v>
      </c>
      <c r="P2" s="14">
        <v>16.0</v>
      </c>
      <c r="Q2" s="14">
        <v>17.0</v>
      </c>
      <c r="R2" s="14">
        <v>18.0</v>
      </c>
      <c r="S2" s="14">
        <v>19.0</v>
      </c>
      <c r="T2" s="14">
        <v>20.0</v>
      </c>
      <c r="U2" s="14">
        <v>21.0</v>
      </c>
      <c r="V2" s="14">
        <v>22.0</v>
      </c>
      <c r="W2" s="14">
        <v>23.0</v>
      </c>
      <c r="X2" s="14">
        <v>24.0</v>
      </c>
      <c r="Y2" s="14">
        <v>25.0</v>
      </c>
      <c r="Z2" s="15">
        <v>26.0</v>
      </c>
      <c r="AA2" s="15">
        <v>27.0</v>
      </c>
      <c r="AB2" s="15">
        <v>28.0</v>
      </c>
      <c r="AC2" s="15">
        <v>29.0</v>
      </c>
      <c r="AD2" s="15">
        <v>30.0</v>
      </c>
      <c r="AE2" s="32">
        <v>31.0</v>
      </c>
      <c r="AF2" s="32">
        <v>32.0</v>
      </c>
      <c r="AG2" s="33">
        <v>33.0</v>
      </c>
      <c r="AH2" s="18"/>
      <c r="AI2" s="18"/>
      <c r="AJ2" s="18"/>
      <c r="AK2" s="18"/>
      <c r="AL2" s="18"/>
      <c r="AM2" s="18"/>
      <c r="AN2" s="18"/>
      <c r="AO2" s="18"/>
      <c r="AP2" s="18"/>
      <c r="AQ2" s="18"/>
      <c r="AR2" s="18"/>
    </row>
    <row r="3" hidden="1">
      <c r="A3" s="8">
        <v>1.0</v>
      </c>
      <c r="B3" s="21" t="s">
        <v>494</v>
      </c>
      <c r="C3" s="21" t="s">
        <v>495</v>
      </c>
      <c r="D3" s="41"/>
      <c r="E3" s="41"/>
      <c r="F3" s="19" t="s">
        <v>459</v>
      </c>
      <c r="G3" s="19" t="s">
        <v>66</v>
      </c>
      <c r="H3" s="42" t="s">
        <v>496</v>
      </c>
      <c r="I3" s="43" t="s">
        <v>496</v>
      </c>
      <c r="J3" s="19" t="s">
        <v>91</v>
      </c>
      <c r="K3" s="19"/>
      <c r="L3" s="19" t="s">
        <v>111</v>
      </c>
      <c r="M3" s="44" t="s">
        <v>497</v>
      </c>
      <c r="N3" s="19"/>
      <c r="O3" s="19"/>
      <c r="P3" s="19" t="s">
        <v>145</v>
      </c>
      <c r="Q3" s="22" t="s">
        <v>498</v>
      </c>
      <c r="R3" s="19"/>
      <c r="S3" s="19"/>
      <c r="T3" s="21"/>
      <c r="U3" s="19"/>
      <c r="V3" s="19"/>
      <c r="W3" s="19"/>
      <c r="X3" s="19"/>
      <c r="Y3" s="19"/>
      <c r="Z3" s="45" t="s">
        <v>499</v>
      </c>
      <c r="AA3" s="19" t="s">
        <v>82</v>
      </c>
      <c r="AB3" s="21"/>
      <c r="AC3" s="21"/>
      <c r="AD3" s="21"/>
      <c r="AE3" s="39"/>
      <c r="AF3" s="39"/>
      <c r="AG3" s="24"/>
      <c r="AH3" s="24"/>
      <c r="AI3" s="24"/>
      <c r="AJ3" s="24"/>
      <c r="AK3" s="24"/>
      <c r="AL3" s="24"/>
      <c r="AM3" s="24"/>
      <c r="AN3" s="24"/>
      <c r="AO3" s="24"/>
      <c r="AP3" s="24"/>
      <c r="AQ3" s="24"/>
      <c r="AR3" s="24"/>
    </row>
    <row r="4" hidden="1">
      <c r="A4" s="8">
        <v>2.0</v>
      </c>
      <c r="B4" s="21" t="s">
        <v>519</v>
      </c>
      <c r="C4" s="21" t="s">
        <v>520</v>
      </c>
      <c r="D4" s="41"/>
      <c r="E4" s="41"/>
      <c r="F4" s="19" t="s">
        <v>339</v>
      </c>
      <c r="G4" s="19" t="s">
        <v>123</v>
      </c>
      <c r="H4" s="50" t="s">
        <v>521</v>
      </c>
      <c r="I4" s="21" t="s">
        <v>521</v>
      </c>
      <c r="J4" s="19" t="s">
        <v>151</v>
      </c>
      <c r="K4" s="19"/>
      <c r="L4" s="19" t="s">
        <v>111</v>
      </c>
      <c r="M4" s="51" t="s">
        <v>522</v>
      </c>
      <c r="N4" s="19"/>
      <c r="O4" s="19" t="s">
        <v>73</v>
      </c>
      <c r="P4" s="19" t="s">
        <v>95</v>
      </c>
      <c r="Q4" s="52" t="s">
        <v>523</v>
      </c>
      <c r="R4" s="19"/>
      <c r="S4" s="19"/>
      <c r="T4" s="21"/>
      <c r="U4" s="19"/>
      <c r="V4" s="19"/>
      <c r="W4" s="19"/>
      <c r="X4" s="19"/>
      <c r="Y4" s="19"/>
      <c r="Z4" s="19"/>
      <c r="AA4" s="19" t="s">
        <v>82</v>
      </c>
      <c r="AB4" s="21"/>
      <c r="AC4" s="21"/>
      <c r="AD4" s="21"/>
      <c r="AE4" s="39"/>
      <c r="AF4" s="39"/>
      <c r="AG4" s="24"/>
      <c r="AH4" s="24"/>
      <c r="AI4" s="24"/>
      <c r="AJ4" s="24"/>
      <c r="AK4" s="24"/>
      <c r="AL4" s="24"/>
      <c r="AM4" s="24"/>
      <c r="AN4" s="24"/>
      <c r="AO4" s="24"/>
      <c r="AP4" s="24"/>
      <c r="AQ4" s="24"/>
      <c r="AR4" s="24"/>
    </row>
    <row r="5">
      <c r="A5" s="8">
        <v>3.0</v>
      </c>
      <c r="B5" s="21" t="s">
        <v>535</v>
      </c>
      <c r="C5" s="21" t="s">
        <v>536</v>
      </c>
      <c r="D5" s="41"/>
      <c r="E5" s="41"/>
      <c r="F5" s="19" t="s">
        <v>122</v>
      </c>
      <c r="G5" s="19" t="s">
        <v>123</v>
      </c>
      <c r="H5" s="54" t="s">
        <v>537</v>
      </c>
      <c r="I5" s="21" t="s">
        <v>537</v>
      </c>
      <c r="J5" s="19" t="s">
        <v>91</v>
      </c>
      <c r="K5" s="19"/>
      <c r="L5" s="19" t="s">
        <v>111</v>
      </c>
      <c r="M5" s="283" t="s">
        <v>538</v>
      </c>
      <c r="N5" s="19" t="s">
        <v>82</v>
      </c>
      <c r="O5" s="19" t="s">
        <v>113</v>
      </c>
      <c r="P5" s="19" t="s">
        <v>95</v>
      </c>
      <c r="Q5" s="22" t="s">
        <v>539</v>
      </c>
      <c r="R5" s="19"/>
      <c r="S5" s="19"/>
      <c r="T5" s="21"/>
      <c r="U5" s="19"/>
      <c r="V5" s="19"/>
      <c r="W5" s="19"/>
      <c r="X5" s="19"/>
      <c r="Y5" s="19"/>
      <c r="Z5" s="19"/>
      <c r="AA5" s="19" t="s">
        <v>82</v>
      </c>
      <c r="AB5" s="21"/>
      <c r="AC5" s="21"/>
      <c r="AD5" s="21"/>
      <c r="AE5" s="39"/>
      <c r="AF5" s="39"/>
      <c r="AG5" s="24"/>
      <c r="AH5" s="24"/>
      <c r="AI5" s="24"/>
      <c r="AJ5" s="24"/>
      <c r="AK5" s="24"/>
      <c r="AL5" s="24"/>
      <c r="AM5" s="24"/>
      <c r="AN5" s="24"/>
      <c r="AO5" s="24"/>
      <c r="AP5" s="24"/>
      <c r="AQ5" s="24"/>
      <c r="AR5" s="24"/>
    </row>
    <row r="6" hidden="1">
      <c r="A6" s="8">
        <v>4.0</v>
      </c>
      <c r="B6" s="21" t="s">
        <v>547</v>
      </c>
      <c r="C6" s="21" t="s">
        <v>548</v>
      </c>
      <c r="D6" s="41"/>
      <c r="E6" s="41"/>
      <c r="F6" s="19" t="s">
        <v>65</v>
      </c>
      <c r="G6" s="19" t="s">
        <v>66</v>
      </c>
      <c r="H6" s="48" t="s">
        <v>549</v>
      </c>
      <c r="I6" s="21" t="s">
        <v>549</v>
      </c>
      <c r="J6" s="19" t="s">
        <v>91</v>
      </c>
      <c r="K6" s="19"/>
      <c r="L6" s="19" t="s">
        <v>111</v>
      </c>
      <c r="M6" s="53" t="s">
        <v>550</v>
      </c>
      <c r="N6" s="19"/>
      <c r="O6" s="19"/>
      <c r="P6" s="19" t="s">
        <v>95</v>
      </c>
      <c r="Q6" s="22" t="s">
        <v>551</v>
      </c>
      <c r="R6" s="19"/>
      <c r="S6" s="19"/>
      <c r="T6" s="21"/>
      <c r="U6" s="19"/>
      <c r="V6" s="19"/>
      <c r="W6" s="19"/>
      <c r="X6" s="19"/>
      <c r="Y6" s="19"/>
      <c r="Z6" s="19"/>
      <c r="AA6" s="19" t="s">
        <v>82</v>
      </c>
      <c r="AB6" s="21"/>
      <c r="AC6" s="21"/>
      <c r="AD6" s="21"/>
      <c r="AE6" s="39"/>
      <c r="AF6" s="39"/>
      <c r="AG6" s="24"/>
      <c r="AH6" s="24"/>
      <c r="AI6" s="24"/>
      <c r="AJ6" s="24"/>
      <c r="AK6" s="24"/>
      <c r="AL6" s="24"/>
      <c r="AM6" s="24"/>
      <c r="AN6" s="24"/>
      <c r="AO6" s="24"/>
      <c r="AP6" s="24"/>
      <c r="AQ6" s="24"/>
      <c r="AR6" s="24"/>
    </row>
    <row r="7">
      <c r="A7" s="62">
        <v>5.0</v>
      </c>
      <c r="B7" s="63" t="s">
        <v>553</v>
      </c>
      <c r="C7" s="63" t="s">
        <v>554</v>
      </c>
      <c r="D7" s="63" t="s">
        <v>555</v>
      </c>
      <c r="E7" s="59"/>
      <c r="F7" s="64" t="s">
        <v>65</v>
      </c>
      <c r="G7" s="64" t="s">
        <v>123</v>
      </c>
      <c r="H7" s="64" t="s">
        <v>556</v>
      </c>
      <c r="I7" s="64" t="s">
        <v>557</v>
      </c>
      <c r="J7" s="64" t="s">
        <v>151</v>
      </c>
      <c r="K7" s="64" t="s">
        <v>110</v>
      </c>
      <c r="L7" s="64" t="s">
        <v>111</v>
      </c>
      <c r="M7" s="64" t="s">
        <v>558</v>
      </c>
      <c r="N7" s="64" t="s">
        <v>93</v>
      </c>
      <c r="O7" s="64" t="s">
        <v>113</v>
      </c>
      <c r="P7" s="64" t="s">
        <v>95</v>
      </c>
      <c r="Q7" s="66" t="s">
        <v>3498</v>
      </c>
      <c r="R7" s="64" t="s">
        <v>76</v>
      </c>
      <c r="S7" s="64" t="s">
        <v>77</v>
      </c>
      <c r="T7" s="64">
        <v>2022.0</v>
      </c>
      <c r="U7" s="64" t="s">
        <v>78</v>
      </c>
      <c r="V7" s="64" t="s">
        <v>79</v>
      </c>
      <c r="W7" s="64" t="s">
        <v>80</v>
      </c>
      <c r="X7" s="64" t="s">
        <v>80</v>
      </c>
      <c r="Y7" s="64" t="s">
        <v>80</v>
      </c>
      <c r="Z7" s="64" t="s">
        <v>560</v>
      </c>
      <c r="AA7" s="65" t="s">
        <v>140</v>
      </c>
      <c r="AB7" s="63" t="s">
        <v>561</v>
      </c>
      <c r="AC7" s="63">
        <v>8.95327038135E11</v>
      </c>
      <c r="AD7" s="63" t="s">
        <v>562</v>
      </c>
      <c r="AE7" s="67" t="s">
        <v>563</v>
      </c>
      <c r="AF7" s="68" t="s">
        <v>111</v>
      </c>
      <c r="AG7" s="60"/>
      <c r="AH7" s="284"/>
      <c r="AI7" s="60"/>
      <c r="AJ7" s="60"/>
      <c r="AK7" s="60"/>
      <c r="AL7" s="60"/>
      <c r="AM7" s="60"/>
      <c r="AN7" s="60"/>
      <c r="AO7" s="60"/>
      <c r="AP7" s="60"/>
      <c r="AQ7" s="60"/>
      <c r="AR7" s="61"/>
    </row>
    <row r="8" hidden="1">
      <c r="A8" s="62">
        <v>6.0</v>
      </c>
      <c r="B8" s="63" t="s">
        <v>61</v>
      </c>
      <c r="C8" s="63" t="s">
        <v>62</v>
      </c>
      <c r="D8" s="63" t="s">
        <v>63</v>
      </c>
      <c r="E8" s="59"/>
      <c r="F8" s="64" t="s">
        <v>65</v>
      </c>
      <c r="G8" s="64" t="s">
        <v>66</v>
      </c>
      <c r="H8" s="64" t="s">
        <v>67</v>
      </c>
      <c r="I8" s="64" t="s">
        <v>68</v>
      </c>
      <c r="J8" s="64" t="s">
        <v>151</v>
      </c>
      <c r="K8" s="64" t="s">
        <v>70</v>
      </c>
      <c r="L8" s="64" t="s">
        <v>71</v>
      </c>
      <c r="M8" s="64" t="s">
        <v>72</v>
      </c>
      <c r="N8" s="64" t="s">
        <v>73</v>
      </c>
      <c r="O8" s="64" t="s">
        <v>73</v>
      </c>
      <c r="P8" s="64" t="s">
        <v>95</v>
      </c>
      <c r="Q8" s="66" t="s">
        <v>3499</v>
      </c>
      <c r="R8" s="64" t="s">
        <v>76</v>
      </c>
      <c r="S8" s="64" t="s">
        <v>97</v>
      </c>
      <c r="T8" s="64">
        <v>2018.0</v>
      </c>
      <c r="U8" s="64" t="s">
        <v>78</v>
      </c>
      <c r="V8" s="64" t="s">
        <v>79</v>
      </c>
      <c r="W8" s="64" t="s">
        <v>80</v>
      </c>
      <c r="X8" s="64" t="s">
        <v>80</v>
      </c>
      <c r="Y8" s="64" t="s">
        <v>80</v>
      </c>
      <c r="Z8" s="64" t="s">
        <v>81</v>
      </c>
      <c r="AA8" s="64" t="s">
        <v>82</v>
      </c>
      <c r="AB8" s="63" t="s">
        <v>565</v>
      </c>
      <c r="AC8" s="63">
        <v>8.98800527E9</v>
      </c>
      <c r="AD8" s="63" t="s">
        <v>562</v>
      </c>
      <c r="AE8" s="67" t="s">
        <v>563</v>
      </c>
      <c r="AF8" s="68" t="s">
        <v>566</v>
      </c>
      <c r="AG8" s="60"/>
      <c r="AH8" s="60"/>
      <c r="AI8" s="60"/>
      <c r="AJ8" s="60"/>
      <c r="AK8" s="60"/>
      <c r="AL8" s="60"/>
      <c r="AM8" s="60"/>
      <c r="AN8" s="60"/>
      <c r="AO8" s="60"/>
      <c r="AP8" s="60"/>
      <c r="AQ8" s="60"/>
      <c r="AR8" s="61"/>
    </row>
    <row r="9">
      <c r="A9" s="62">
        <v>7.0</v>
      </c>
      <c r="B9" s="63" t="s">
        <v>567</v>
      </c>
      <c r="C9" s="63" t="s">
        <v>568</v>
      </c>
      <c r="D9" s="63" t="s">
        <v>569</v>
      </c>
      <c r="E9" s="59"/>
      <c r="F9" s="64" t="s">
        <v>107</v>
      </c>
      <c r="G9" s="64" t="s">
        <v>123</v>
      </c>
      <c r="H9" s="64" t="s">
        <v>570</v>
      </c>
      <c r="I9" s="64" t="s">
        <v>570</v>
      </c>
      <c r="J9" s="64" t="s">
        <v>151</v>
      </c>
      <c r="K9" s="64" t="s">
        <v>110</v>
      </c>
      <c r="L9" s="64" t="s">
        <v>111</v>
      </c>
      <c r="M9" s="64" t="s">
        <v>503</v>
      </c>
      <c r="N9" s="64" t="s">
        <v>82</v>
      </c>
      <c r="O9" s="64" t="s">
        <v>113</v>
      </c>
      <c r="P9" s="64" t="s">
        <v>95</v>
      </c>
      <c r="Q9" s="66" t="s">
        <v>3500</v>
      </c>
      <c r="R9" s="64" t="s">
        <v>76</v>
      </c>
      <c r="S9" s="64" t="s">
        <v>97</v>
      </c>
      <c r="T9" s="64">
        <v>2022.0</v>
      </c>
      <c r="U9" s="64" t="s">
        <v>78</v>
      </c>
      <c r="V9" s="64" t="s">
        <v>98</v>
      </c>
      <c r="W9" s="64" t="s">
        <v>572</v>
      </c>
      <c r="X9" s="64" t="s">
        <v>155</v>
      </c>
      <c r="Y9" s="64" t="s">
        <v>139</v>
      </c>
      <c r="Z9" s="64" t="s">
        <v>116</v>
      </c>
      <c r="AA9" s="64" t="s">
        <v>82</v>
      </c>
      <c r="AB9" s="63" t="s">
        <v>573</v>
      </c>
      <c r="AC9" s="63">
        <v>8.190408571E10</v>
      </c>
      <c r="AD9" s="63" t="s">
        <v>562</v>
      </c>
      <c r="AE9" s="59"/>
      <c r="AF9" s="59"/>
      <c r="AG9" s="60"/>
      <c r="AH9" s="284"/>
      <c r="AI9" s="60"/>
      <c r="AJ9" s="60"/>
      <c r="AK9" s="60"/>
      <c r="AL9" s="60"/>
      <c r="AM9" s="60"/>
      <c r="AN9" s="60"/>
      <c r="AO9" s="60"/>
      <c r="AP9" s="60"/>
      <c r="AQ9" s="60"/>
      <c r="AR9" s="61"/>
    </row>
    <row r="10">
      <c r="A10" s="62">
        <v>8.0</v>
      </c>
      <c r="B10" s="63" t="s">
        <v>574</v>
      </c>
      <c r="C10" s="63" t="s">
        <v>575</v>
      </c>
      <c r="D10" s="63" t="s">
        <v>576</v>
      </c>
      <c r="E10" s="59"/>
      <c r="F10" s="64" t="s">
        <v>453</v>
      </c>
      <c r="G10" s="64" t="s">
        <v>123</v>
      </c>
      <c r="H10" s="64" t="s">
        <v>577</v>
      </c>
      <c r="I10" s="64" t="s">
        <v>578</v>
      </c>
      <c r="J10" s="64" t="s">
        <v>69</v>
      </c>
      <c r="K10" s="64" t="s">
        <v>70</v>
      </c>
      <c r="L10" s="64" t="s">
        <v>71</v>
      </c>
      <c r="M10" s="64" t="s">
        <v>579</v>
      </c>
      <c r="N10" s="67" t="s">
        <v>93</v>
      </c>
      <c r="O10" s="67" t="s">
        <v>113</v>
      </c>
      <c r="P10" s="67" t="s">
        <v>95</v>
      </c>
      <c r="Q10" s="66" t="s">
        <v>3501</v>
      </c>
      <c r="R10" s="64" t="s">
        <v>76</v>
      </c>
      <c r="S10" s="64" t="s">
        <v>97</v>
      </c>
      <c r="T10" s="64">
        <v>2020.0</v>
      </c>
      <c r="U10" s="64" t="s">
        <v>78</v>
      </c>
      <c r="V10" s="64" t="s">
        <v>79</v>
      </c>
      <c r="W10" s="64" t="s">
        <v>80</v>
      </c>
      <c r="X10" s="64" t="s">
        <v>80</v>
      </c>
      <c r="Y10" s="64" t="s">
        <v>80</v>
      </c>
      <c r="Z10" s="64" t="s">
        <v>560</v>
      </c>
      <c r="AA10" s="65" t="s">
        <v>207</v>
      </c>
      <c r="AB10" s="63" t="s">
        <v>561</v>
      </c>
      <c r="AC10" s="63">
        <v>8.95327038135E11</v>
      </c>
      <c r="AD10" s="63" t="s">
        <v>562</v>
      </c>
      <c r="AE10" s="67" t="s">
        <v>563</v>
      </c>
      <c r="AF10" s="68" t="s">
        <v>152</v>
      </c>
      <c r="AG10" s="60"/>
      <c r="AH10" s="284"/>
      <c r="AI10" s="60"/>
      <c r="AJ10" s="60"/>
      <c r="AK10" s="60"/>
      <c r="AL10" s="60"/>
      <c r="AM10" s="60"/>
      <c r="AN10" s="60"/>
      <c r="AO10" s="60"/>
      <c r="AP10" s="60"/>
      <c r="AQ10" s="60"/>
      <c r="AR10" s="61"/>
    </row>
    <row r="11" hidden="1">
      <c r="A11" s="62">
        <v>9.0</v>
      </c>
      <c r="B11" s="63" t="s">
        <v>581</v>
      </c>
      <c r="C11" s="63" t="s">
        <v>582</v>
      </c>
      <c r="D11" s="63" t="s">
        <v>583</v>
      </c>
      <c r="E11" s="59"/>
      <c r="F11" s="64" t="s">
        <v>453</v>
      </c>
      <c r="G11" s="64" t="s">
        <v>123</v>
      </c>
      <c r="H11" s="64" t="s">
        <v>584</v>
      </c>
      <c r="I11" s="64" t="s">
        <v>585</v>
      </c>
      <c r="J11" s="64" t="s">
        <v>151</v>
      </c>
      <c r="K11" s="64" t="s">
        <v>70</v>
      </c>
      <c r="L11" s="64" t="s">
        <v>71</v>
      </c>
      <c r="M11" s="64" t="s">
        <v>586</v>
      </c>
      <c r="N11" s="67" t="s">
        <v>73</v>
      </c>
      <c r="O11" s="67" t="s">
        <v>73</v>
      </c>
      <c r="P11" s="64" t="s">
        <v>95</v>
      </c>
      <c r="Q11" s="66" t="s">
        <v>3502</v>
      </c>
      <c r="R11" s="64" t="s">
        <v>76</v>
      </c>
      <c r="S11" s="64" t="s">
        <v>97</v>
      </c>
      <c r="T11" s="64">
        <v>2025.0</v>
      </c>
      <c r="U11" s="64" t="s">
        <v>78</v>
      </c>
      <c r="V11" s="64" t="s">
        <v>79</v>
      </c>
      <c r="W11" s="64" t="s">
        <v>80</v>
      </c>
      <c r="X11" s="64" t="s">
        <v>80</v>
      </c>
      <c r="Y11" s="64" t="s">
        <v>80</v>
      </c>
      <c r="Z11" s="64" t="s">
        <v>560</v>
      </c>
      <c r="AA11" s="64" t="s">
        <v>207</v>
      </c>
      <c r="AB11" s="63" t="s">
        <v>561</v>
      </c>
      <c r="AC11" s="63">
        <v>8.95327038135E11</v>
      </c>
      <c r="AD11" s="63" t="s">
        <v>562</v>
      </c>
      <c r="AE11" s="67" t="s">
        <v>563</v>
      </c>
      <c r="AF11" s="68" t="s">
        <v>71</v>
      </c>
      <c r="AG11" s="60"/>
      <c r="AH11" s="60"/>
      <c r="AI11" s="60"/>
      <c r="AJ11" s="60"/>
      <c r="AK11" s="60"/>
      <c r="AL11" s="60"/>
      <c r="AM11" s="60"/>
      <c r="AN11" s="60"/>
      <c r="AO11" s="60"/>
      <c r="AP11" s="60"/>
      <c r="AQ11" s="60"/>
      <c r="AR11" s="61"/>
    </row>
    <row r="12">
      <c r="A12" s="62">
        <v>10.0</v>
      </c>
      <c r="B12" s="63" t="s">
        <v>588</v>
      </c>
      <c r="C12" s="63" t="s">
        <v>589</v>
      </c>
      <c r="D12" s="63" t="s">
        <v>590</v>
      </c>
      <c r="E12" s="59"/>
      <c r="F12" s="64" t="s">
        <v>453</v>
      </c>
      <c r="G12" s="64" t="s">
        <v>123</v>
      </c>
      <c r="H12" s="64" t="s">
        <v>591</v>
      </c>
      <c r="I12" s="64" t="s">
        <v>592</v>
      </c>
      <c r="J12" s="64" t="s">
        <v>151</v>
      </c>
      <c r="K12" s="64" t="s">
        <v>110</v>
      </c>
      <c r="L12" s="64" t="s">
        <v>71</v>
      </c>
      <c r="M12" s="64" t="s">
        <v>593</v>
      </c>
      <c r="N12" s="67" t="s">
        <v>93</v>
      </c>
      <c r="O12" s="67" t="s">
        <v>113</v>
      </c>
      <c r="P12" s="67" t="s">
        <v>74</v>
      </c>
      <c r="Q12" s="66" t="s">
        <v>3503</v>
      </c>
      <c r="R12" s="64" t="s">
        <v>76</v>
      </c>
      <c r="S12" s="64" t="s">
        <v>97</v>
      </c>
      <c r="T12" s="64">
        <v>2019.0</v>
      </c>
      <c r="U12" s="64" t="s">
        <v>78</v>
      </c>
      <c r="V12" s="64" t="s">
        <v>79</v>
      </c>
      <c r="W12" s="64" t="s">
        <v>80</v>
      </c>
      <c r="X12" s="64" t="s">
        <v>80</v>
      </c>
      <c r="Y12" s="64" t="s">
        <v>80</v>
      </c>
      <c r="Z12" s="64" t="s">
        <v>560</v>
      </c>
      <c r="AA12" s="64" t="s">
        <v>595</v>
      </c>
      <c r="AB12" s="63" t="s">
        <v>561</v>
      </c>
      <c r="AC12" s="63">
        <v>8.95327038135E11</v>
      </c>
      <c r="AD12" s="63" t="s">
        <v>562</v>
      </c>
      <c r="AE12" s="67" t="s">
        <v>563</v>
      </c>
      <c r="AF12" s="68" t="s">
        <v>71</v>
      </c>
      <c r="AG12" s="60"/>
      <c r="AH12" s="284"/>
      <c r="AI12" s="60"/>
      <c r="AJ12" s="60"/>
      <c r="AK12" s="60"/>
      <c r="AL12" s="60"/>
      <c r="AM12" s="60"/>
      <c r="AN12" s="60"/>
      <c r="AO12" s="60"/>
      <c r="AP12" s="60"/>
      <c r="AQ12" s="60"/>
      <c r="AR12" s="61"/>
    </row>
    <row r="13" hidden="1">
      <c r="A13" s="62">
        <v>11.0</v>
      </c>
      <c r="B13" s="63" t="s">
        <v>596</v>
      </c>
      <c r="C13" s="63" t="s">
        <v>597</v>
      </c>
      <c r="D13" s="63" t="s">
        <v>598</v>
      </c>
      <c r="E13" s="59"/>
      <c r="F13" s="64" t="s">
        <v>453</v>
      </c>
      <c r="G13" s="64" t="s">
        <v>123</v>
      </c>
      <c r="H13" s="64" t="s">
        <v>599</v>
      </c>
      <c r="I13" s="64" t="s">
        <v>600</v>
      </c>
      <c r="J13" s="64" t="s">
        <v>151</v>
      </c>
      <c r="K13" s="64" t="s">
        <v>110</v>
      </c>
      <c r="L13" s="64" t="s">
        <v>101</v>
      </c>
      <c r="M13" s="64" t="s">
        <v>601</v>
      </c>
      <c r="N13" s="64" t="s">
        <v>93</v>
      </c>
      <c r="O13" s="64" t="s">
        <v>94</v>
      </c>
      <c r="P13" s="64" t="s">
        <v>153</v>
      </c>
      <c r="Q13" s="67" t="s">
        <v>602</v>
      </c>
      <c r="R13" s="64" t="s">
        <v>76</v>
      </c>
      <c r="S13" s="64" t="s">
        <v>77</v>
      </c>
      <c r="T13" s="64">
        <v>2019.0</v>
      </c>
      <c r="U13" s="64" t="s">
        <v>78</v>
      </c>
      <c r="V13" s="64" t="s">
        <v>79</v>
      </c>
      <c r="W13" s="64" t="s">
        <v>80</v>
      </c>
      <c r="X13" s="64" t="s">
        <v>80</v>
      </c>
      <c r="Y13" s="64" t="s">
        <v>80</v>
      </c>
      <c r="Z13" s="64" t="s">
        <v>560</v>
      </c>
      <c r="AA13" s="64" t="s">
        <v>140</v>
      </c>
      <c r="AB13" s="63" t="s">
        <v>561</v>
      </c>
      <c r="AC13" s="63">
        <v>8.95327038135E11</v>
      </c>
      <c r="AD13" s="63" t="s">
        <v>562</v>
      </c>
      <c r="AE13" s="67" t="s">
        <v>563</v>
      </c>
      <c r="AF13" s="68" t="s">
        <v>71</v>
      </c>
      <c r="AG13" s="60"/>
      <c r="AH13" s="60"/>
      <c r="AI13" s="60"/>
      <c r="AJ13" s="60"/>
      <c r="AK13" s="60"/>
      <c r="AL13" s="60"/>
      <c r="AM13" s="60"/>
      <c r="AN13" s="60"/>
      <c r="AO13" s="60"/>
      <c r="AP13" s="60"/>
      <c r="AQ13" s="60"/>
      <c r="AR13" s="61"/>
    </row>
    <row r="14" hidden="1">
      <c r="A14" s="62">
        <v>12.0</v>
      </c>
      <c r="B14" s="63" t="s">
        <v>603</v>
      </c>
      <c r="C14" s="63" t="s">
        <v>604</v>
      </c>
      <c r="D14" s="63" t="s">
        <v>605</v>
      </c>
      <c r="E14" s="59"/>
      <c r="F14" s="64" t="s">
        <v>453</v>
      </c>
      <c r="G14" s="64" t="s">
        <v>123</v>
      </c>
      <c r="H14" s="64" t="s">
        <v>606</v>
      </c>
      <c r="I14" s="64" t="s">
        <v>606</v>
      </c>
      <c r="J14" s="64" t="s">
        <v>69</v>
      </c>
      <c r="K14" s="64" t="s">
        <v>70</v>
      </c>
      <c r="L14" s="64" t="s">
        <v>101</v>
      </c>
      <c r="M14" s="64" t="s">
        <v>607</v>
      </c>
      <c r="N14" s="64" t="s">
        <v>73</v>
      </c>
      <c r="O14" s="64" t="s">
        <v>73</v>
      </c>
      <c r="P14" s="64" t="s">
        <v>95</v>
      </c>
      <c r="Q14" s="285" t="s">
        <v>3225</v>
      </c>
      <c r="R14" s="64" t="s">
        <v>76</v>
      </c>
      <c r="S14" s="64" t="s">
        <v>77</v>
      </c>
      <c r="T14" s="64">
        <v>2021.0</v>
      </c>
      <c r="U14" s="64" t="s">
        <v>78</v>
      </c>
      <c r="V14" s="64" t="s">
        <v>79</v>
      </c>
      <c r="W14" s="64" t="s">
        <v>80</v>
      </c>
      <c r="X14" s="64" t="s">
        <v>80</v>
      </c>
      <c r="Y14" s="64" t="s">
        <v>80</v>
      </c>
      <c r="Z14" s="64" t="s">
        <v>560</v>
      </c>
      <c r="AA14" s="64" t="s">
        <v>140</v>
      </c>
      <c r="AB14" s="63" t="s">
        <v>561</v>
      </c>
      <c r="AC14" s="63">
        <v>8.95327038135E11</v>
      </c>
      <c r="AD14" s="63" t="s">
        <v>562</v>
      </c>
      <c r="AE14" s="67" t="s">
        <v>563</v>
      </c>
      <c r="AF14" s="68" t="s">
        <v>71</v>
      </c>
      <c r="AG14" s="60"/>
      <c r="AH14" s="60"/>
      <c r="AI14" s="60"/>
      <c r="AJ14" s="60"/>
      <c r="AK14" s="60"/>
      <c r="AL14" s="60"/>
      <c r="AM14" s="60"/>
      <c r="AN14" s="60"/>
      <c r="AO14" s="60"/>
      <c r="AP14" s="60"/>
      <c r="AQ14" s="60"/>
      <c r="AR14" s="61"/>
    </row>
    <row r="15">
      <c r="A15" s="62">
        <v>13.0</v>
      </c>
      <c r="B15" s="63" t="s">
        <v>609</v>
      </c>
      <c r="C15" s="63" t="s">
        <v>610</v>
      </c>
      <c r="D15" s="63" t="s">
        <v>611</v>
      </c>
      <c r="E15" s="59"/>
      <c r="F15" s="64" t="s">
        <v>467</v>
      </c>
      <c r="G15" s="64" t="s">
        <v>123</v>
      </c>
      <c r="H15" s="64" t="s">
        <v>612</v>
      </c>
      <c r="I15" s="64" t="s">
        <v>613</v>
      </c>
      <c r="J15" s="64" t="s">
        <v>151</v>
      </c>
      <c r="K15" s="64" t="s">
        <v>110</v>
      </c>
      <c r="L15" s="64" t="s">
        <v>71</v>
      </c>
      <c r="M15" s="64" t="s">
        <v>614</v>
      </c>
      <c r="N15" s="64" t="s">
        <v>82</v>
      </c>
      <c r="O15" s="64" t="s">
        <v>113</v>
      </c>
      <c r="P15" s="64" t="s">
        <v>74</v>
      </c>
      <c r="Q15" s="66" t="s">
        <v>3504</v>
      </c>
      <c r="R15" s="64" t="s">
        <v>76</v>
      </c>
      <c r="S15" s="64" t="s">
        <v>97</v>
      </c>
      <c r="T15" s="64">
        <v>2025.0</v>
      </c>
      <c r="U15" s="64" t="s">
        <v>78</v>
      </c>
      <c r="V15" s="64" t="s">
        <v>98</v>
      </c>
      <c r="W15" s="64" t="s">
        <v>616</v>
      </c>
      <c r="X15" s="64" t="s">
        <v>148</v>
      </c>
      <c r="Y15" s="64" t="s">
        <v>139</v>
      </c>
      <c r="Z15" s="64" t="s">
        <v>617</v>
      </c>
      <c r="AA15" s="65" t="s">
        <v>140</v>
      </c>
      <c r="AB15" s="63" t="s">
        <v>565</v>
      </c>
      <c r="AC15" s="63">
        <v>8.98800527E9</v>
      </c>
      <c r="AD15" s="63" t="s">
        <v>562</v>
      </c>
      <c r="AE15" s="67" t="s">
        <v>563</v>
      </c>
      <c r="AF15" s="68" t="s">
        <v>71</v>
      </c>
      <c r="AG15" s="60"/>
      <c r="AH15" s="284"/>
      <c r="AI15" s="60"/>
      <c r="AJ15" s="60"/>
      <c r="AK15" s="60"/>
      <c r="AL15" s="60"/>
      <c r="AM15" s="60"/>
      <c r="AN15" s="60"/>
      <c r="AO15" s="60"/>
      <c r="AP15" s="60"/>
      <c r="AQ15" s="60"/>
      <c r="AR15" s="61"/>
    </row>
    <row r="16">
      <c r="A16" s="62">
        <v>14.0</v>
      </c>
      <c r="B16" s="63" t="s">
        <v>618</v>
      </c>
      <c r="C16" s="63" t="s">
        <v>619</v>
      </c>
      <c r="D16" s="63" t="s">
        <v>620</v>
      </c>
      <c r="E16" s="59"/>
      <c r="F16" s="64" t="s">
        <v>463</v>
      </c>
      <c r="G16" s="64" t="s">
        <v>123</v>
      </c>
      <c r="H16" s="64" t="s">
        <v>621</v>
      </c>
      <c r="I16" s="64" t="s">
        <v>622</v>
      </c>
      <c r="J16" s="64" t="s">
        <v>151</v>
      </c>
      <c r="K16" s="64" t="s">
        <v>110</v>
      </c>
      <c r="L16" s="64" t="s">
        <v>111</v>
      </c>
      <c r="M16" s="64" t="s">
        <v>3227</v>
      </c>
      <c r="N16" s="64" t="s">
        <v>26</v>
      </c>
      <c r="O16" s="64" t="s">
        <v>113</v>
      </c>
      <c r="P16" s="64" t="s">
        <v>95</v>
      </c>
      <c r="Q16" s="66" t="s">
        <v>3505</v>
      </c>
      <c r="R16" s="64" t="s">
        <v>76</v>
      </c>
      <c r="S16" s="64" t="s">
        <v>97</v>
      </c>
      <c r="T16" s="69"/>
      <c r="U16" s="64" t="s">
        <v>78</v>
      </c>
      <c r="V16" s="64" t="s">
        <v>79</v>
      </c>
      <c r="W16" s="64" t="s">
        <v>80</v>
      </c>
      <c r="X16" s="64" t="s">
        <v>80</v>
      </c>
      <c r="Y16" s="64" t="s">
        <v>80</v>
      </c>
      <c r="Z16" s="64" t="s">
        <v>560</v>
      </c>
      <c r="AA16" s="64" t="s">
        <v>207</v>
      </c>
      <c r="AB16" s="63" t="s">
        <v>625</v>
      </c>
      <c r="AC16" s="63">
        <v>8.1321814674E10</v>
      </c>
      <c r="AD16" s="63" t="s">
        <v>626</v>
      </c>
      <c r="AE16" s="67" t="s">
        <v>563</v>
      </c>
      <c r="AF16" s="68" t="s">
        <v>111</v>
      </c>
      <c r="AG16" s="60"/>
      <c r="AH16" s="60"/>
      <c r="AI16" s="60"/>
      <c r="AJ16" s="60"/>
      <c r="AK16" s="60"/>
      <c r="AL16" s="60"/>
      <c r="AM16" s="60"/>
      <c r="AN16" s="60"/>
      <c r="AO16" s="60"/>
      <c r="AP16" s="60"/>
      <c r="AQ16" s="60"/>
      <c r="AR16" s="61"/>
    </row>
    <row r="17" hidden="1">
      <c r="A17" s="62">
        <v>15.0</v>
      </c>
      <c r="B17" s="63" t="s">
        <v>627</v>
      </c>
      <c r="C17" s="63" t="s">
        <v>628</v>
      </c>
      <c r="D17" s="63" t="s">
        <v>629</v>
      </c>
      <c r="E17" s="59"/>
      <c r="F17" s="64" t="s">
        <v>107</v>
      </c>
      <c r="G17" s="64" t="s">
        <v>123</v>
      </c>
      <c r="H17" s="64" t="s">
        <v>630</v>
      </c>
      <c r="I17" s="64" t="s">
        <v>630</v>
      </c>
      <c r="J17" s="64" t="s">
        <v>91</v>
      </c>
      <c r="K17" s="64" t="s">
        <v>110</v>
      </c>
      <c r="L17" s="64" t="s">
        <v>101</v>
      </c>
      <c r="M17" s="64" t="s">
        <v>631</v>
      </c>
      <c r="N17" s="64" t="s">
        <v>73</v>
      </c>
      <c r="O17" s="64" t="s">
        <v>73</v>
      </c>
      <c r="P17" s="64" t="s">
        <v>95</v>
      </c>
      <c r="Q17" s="66" t="s">
        <v>3506</v>
      </c>
      <c r="R17" s="64" t="s">
        <v>76</v>
      </c>
      <c r="S17" s="64" t="s">
        <v>97</v>
      </c>
      <c r="T17" s="64">
        <v>2019.0</v>
      </c>
      <c r="U17" s="64" t="s">
        <v>78</v>
      </c>
      <c r="V17" s="64" t="s">
        <v>98</v>
      </c>
      <c r="W17" s="64" t="s">
        <v>633</v>
      </c>
      <c r="X17" s="64" t="s">
        <v>148</v>
      </c>
      <c r="Y17" s="64" t="s">
        <v>139</v>
      </c>
      <c r="Z17" s="64" t="s">
        <v>560</v>
      </c>
      <c r="AA17" s="64" t="s">
        <v>140</v>
      </c>
      <c r="AB17" s="63" t="s">
        <v>573</v>
      </c>
      <c r="AC17" s="63">
        <v>8.190408571E10</v>
      </c>
      <c r="AD17" s="63" t="s">
        <v>562</v>
      </c>
      <c r="AE17" s="67" t="s">
        <v>563</v>
      </c>
      <c r="AF17" s="68" t="s">
        <v>111</v>
      </c>
      <c r="AG17" s="60"/>
      <c r="AH17" s="60"/>
      <c r="AI17" s="60"/>
      <c r="AJ17" s="60"/>
      <c r="AK17" s="60"/>
      <c r="AL17" s="60"/>
      <c r="AM17" s="60"/>
      <c r="AN17" s="60"/>
      <c r="AO17" s="60"/>
      <c r="AP17" s="60"/>
      <c r="AQ17" s="60"/>
      <c r="AR17" s="61"/>
    </row>
    <row r="18">
      <c r="A18" s="62">
        <v>16.0</v>
      </c>
      <c r="B18" s="63" t="s">
        <v>634</v>
      </c>
      <c r="C18" s="63" t="s">
        <v>635</v>
      </c>
      <c r="D18" s="63" t="s">
        <v>636</v>
      </c>
      <c r="E18" s="59"/>
      <c r="F18" s="64" t="s">
        <v>65</v>
      </c>
      <c r="G18" s="64" t="s">
        <v>123</v>
      </c>
      <c r="H18" s="64" t="s">
        <v>637</v>
      </c>
      <c r="I18" s="64" t="s">
        <v>638</v>
      </c>
      <c r="J18" s="64" t="s">
        <v>151</v>
      </c>
      <c r="K18" s="64" t="s">
        <v>110</v>
      </c>
      <c r="L18" s="64" t="s">
        <v>111</v>
      </c>
      <c r="M18" s="64" t="s">
        <v>639</v>
      </c>
      <c r="N18" s="64" t="s">
        <v>93</v>
      </c>
      <c r="O18" s="64" t="s">
        <v>113</v>
      </c>
      <c r="P18" s="64" t="s">
        <v>95</v>
      </c>
      <c r="Q18" s="70" t="s">
        <v>3507</v>
      </c>
      <c r="R18" s="64" t="s">
        <v>76</v>
      </c>
      <c r="S18" s="64" t="s">
        <v>77</v>
      </c>
      <c r="T18" s="64">
        <v>2022.0</v>
      </c>
      <c r="U18" s="64" t="s">
        <v>78</v>
      </c>
      <c r="V18" s="64" t="s">
        <v>79</v>
      </c>
      <c r="W18" s="64" t="s">
        <v>80</v>
      </c>
      <c r="X18" s="64" t="s">
        <v>80</v>
      </c>
      <c r="Y18" s="64" t="s">
        <v>80</v>
      </c>
      <c r="Z18" s="64" t="s">
        <v>560</v>
      </c>
      <c r="AA18" s="64" t="s">
        <v>641</v>
      </c>
      <c r="AB18" s="63" t="s">
        <v>642</v>
      </c>
      <c r="AC18" s="63">
        <v>8.127392553E9</v>
      </c>
      <c r="AD18" s="63" t="s">
        <v>562</v>
      </c>
      <c r="AE18" s="67" t="s">
        <v>643</v>
      </c>
      <c r="AF18" s="68" t="s">
        <v>111</v>
      </c>
      <c r="AG18" s="60"/>
      <c r="AH18" s="60"/>
      <c r="AI18" s="60"/>
      <c r="AJ18" s="60"/>
      <c r="AK18" s="60"/>
      <c r="AL18" s="60"/>
      <c r="AM18" s="60"/>
      <c r="AN18" s="60"/>
      <c r="AO18" s="60"/>
      <c r="AP18" s="60"/>
      <c r="AQ18" s="60"/>
      <c r="AR18" s="61"/>
    </row>
    <row r="19">
      <c r="A19" s="62">
        <v>17.0</v>
      </c>
      <c r="B19" s="63" t="s">
        <v>644</v>
      </c>
      <c r="C19" s="63" t="s">
        <v>645</v>
      </c>
      <c r="D19" s="63" t="s">
        <v>646</v>
      </c>
      <c r="E19" s="59"/>
      <c r="F19" s="64" t="s">
        <v>470</v>
      </c>
      <c r="G19" s="64" t="s">
        <v>123</v>
      </c>
      <c r="H19" s="64" t="s">
        <v>647</v>
      </c>
      <c r="I19" s="64" t="s">
        <v>648</v>
      </c>
      <c r="J19" s="64" t="s">
        <v>151</v>
      </c>
      <c r="K19" s="64" t="s">
        <v>110</v>
      </c>
      <c r="L19" s="64" t="s">
        <v>101</v>
      </c>
      <c r="M19" s="64" t="s">
        <v>649</v>
      </c>
      <c r="N19" s="64" t="s">
        <v>26</v>
      </c>
      <c r="O19" s="64" t="s">
        <v>113</v>
      </c>
      <c r="P19" s="64" t="s">
        <v>95</v>
      </c>
      <c r="Q19" s="66" t="s">
        <v>3508</v>
      </c>
      <c r="R19" s="64" t="s">
        <v>76</v>
      </c>
      <c r="S19" s="64" t="s">
        <v>97</v>
      </c>
      <c r="T19" s="64">
        <v>2021.0</v>
      </c>
      <c r="U19" s="64" t="s">
        <v>78</v>
      </c>
      <c r="V19" s="67" t="s">
        <v>79</v>
      </c>
      <c r="W19" s="64" t="s">
        <v>607</v>
      </c>
      <c r="X19" s="64" t="s">
        <v>100</v>
      </c>
      <c r="Y19" s="64" t="s">
        <v>139</v>
      </c>
      <c r="Z19" s="64" t="s">
        <v>560</v>
      </c>
      <c r="AA19" s="64" t="s">
        <v>651</v>
      </c>
      <c r="AB19" s="63" t="s">
        <v>625</v>
      </c>
      <c r="AC19" s="63">
        <v>8.1321814674E10</v>
      </c>
      <c r="AD19" s="63" t="s">
        <v>626</v>
      </c>
      <c r="AE19" s="67" t="s">
        <v>563</v>
      </c>
      <c r="AF19" s="68" t="s">
        <v>111</v>
      </c>
      <c r="AG19" s="60"/>
      <c r="AH19" s="60"/>
      <c r="AI19" s="60"/>
      <c r="AJ19" s="60"/>
      <c r="AK19" s="60"/>
      <c r="AL19" s="60"/>
      <c r="AM19" s="60"/>
      <c r="AN19" s="60"/>
      <c r="AO19" s="60"/>
      <c r="AP19" s="60"/>
      <c r="AQ19" s="60"/>
      <c r="AR19" s="61"/>
    </row>
    <row r="20">
      <c r="A20" s="62">
        <v>18.0</v>
      </c>
      <c r="B20" s="63" t="s">
        <v>653</v>
      </c>
      <c r="C20" s="67" t="s">
        <v>654</v>
      </c>
      <c r="D20" s="67" t="s">
        <v>655</v>
      </c>
      <c r="E20" s="59"/>
      <c r="F20" s="67" t="s">
        <v>469</v>
      </c>
      <c r="G20" s="67" t="s">
        <v>131</v>
      </c>
      <c r="H20" s="67" t="s">
        <v>656</v>
      </c>
      <c r="I20" s="67" t="s">
        <v>656</v>
      </c>
      <c r="J20" s="67" t="s">
        <v>151</v>
      </c>
      <c r="K20" s="67" t="s">
        <v>70</v>
      </c>
      <c r="L20" s="67" t="s">
        <v>71</v>
      </c>
      <c r="M20" s="68" t="s">
        <v>657</v>
      </c>
      <c r="N20" s="67" t="s">
        <v>82</v>
      </c>
      <c r="O20" s="67" t="s">
        <v>113</v>
      </c>
      <c r="P20" s="67" t="s">
        <v>95</v>
      </c>
      <c r="Q20" s="75" t="s">
        <v>3509</v>
      </c>
      <c r="R20" s="67" t="s">
        <v>76</v>
      </c>
      <c r="S20" s="67" t="s">
        <v>97</v>
      </c>
      <c r="T20" s="69"/>
      <c r="U20" s="67" t="s">
        <v>78</v>
      </c>
      <c r="V20" s="67" t="s">
        <v>98</v>
      </c>
      <c r="W20" s="67" t="s">
        <v>659</v>
      </c>
      <c r="X20" s="67" t="s">
        <v>155</v>
      </c>
      <c r="Y20" s="67" t="s">
        <v>139</v>
      </c>
      <c r="Z20" s="67" t="s">
        <v>660</v>
      </c>
      <c r="AA20" s="67" t="s">
        <v>211</v>
      </c>
      <c r="AB20" s="67" t="s">
        <v>661</v>
      </c>
      <c r="AC20" s="69"/>
      <c r="AD20" s="67" t="s">
        <v>662</v>
      </c>
      <c r="AE20" s="68">
        <v>28.0</v>
      </c>
      <c r="AF20" s="68" t="s">
        <v>71</v>
      </c>
      <c r="AG20" s="60"/>
      <c r="AH20" s="60"/>
      <c r="AI20" s="60"/>
      <c r="AJ20" s="60"/>
      <c r="AK20" s="60"/>
      <c r="AL20" s="60"/>
      <c r="AM20" s="60"/>
      <c r="AN20" s="60"/>
      <c r="AO20" s="60"/>
      <c r="AP20" s="60"/>
      <c r="AQ20" s="60"/>
      <c r="AR20" s="61"/>
    </row>
    <row r="21">
      <c r="A21" s="62">
        <v>19.0</v>
      </c>
      <c r="B21" s="63" t="s">
        <v>675</v>
      </c>
      <c r="C21" s="63" t="s">
        <v>676</v>
      </c>
      <c r="D21" s="63" t="s">
        <v>677</v>
      </c>
      <c r="E21" s="59"/>
      <c r="F21" s="64" t="s">
        <v>470</v>
      </c>
      <c r="G21" s="64" t="s">
        <v>123</v>
      </c>
      <c r="H21" s="64" t="s">
        <v>678</v>
      </c>
      <c r="I21" s="64" t="s">
        <v>678</v>
      </c>
      <c r="J21" s="64" t="s">
        <v>151</v>
      </c>
      <c r="K21" s="64" t="s">
        <v>110</v>
      </c>
      <c r="L21" s="64" t="s">
        <v>111</v>
      </c>
      <c r="M21" s="64" t="s">
        <v>679</v>
      </c>
      <c r="N21" s="64" t="s">
        <v>26</v>
      </c>
      <c r="O21" s="64" t="s">
        <v>113</v>
      </c>
      <c r="P21" s="64" t="s">
        <v>74</v>
      </c>
      <c r="Q21" s="66" t="s">
        <v>3510</v>
      </c>
      <c r="R21" s="64" t="s">
        <v>76</v>
      </c>
      <c r="S21" s="64" t="s">
        <v>97</v>
      </c>
      <c r="T21" s="64">
        <v>2023.0</v>
      </c>
      <c r="U21" s="64" t="s">
        <v>78</v>
      </c>
      <c r="V21" s="64" t="s">
        <v>79</v>
      </c>
      <c r="W21" s="64" t="s">
        <v>80</v>
      </c>
      <c r="X21" s="64" t="s">
        <v>80</v>
      </c>
      <c r="Y21" s="64" t="s">
        <v>80</v>
      </c>
      <c r="Z21" s="64" t="s">
        <v>681</v>
      </c>
      <c r="AA21" s="64" t="s">
        <v>140</v>
      </c>
      <c r="AB21" s="66" t="s">
        <v>3511</v>
      </c>
      <c r="AC21" s="63">
        <v>8.5218888714E10</v>
      </c>
      <c r="AD21" s="63" t="s">
        <v>562</v>
      </c>
      <c r="AE21" s="59"/>
      <c r="AF21" s="59"/>
      <c r="AG21" s="60"/>
      <c r="AH21" s="60"/>
      <c r="AI21" s="60"/>
      <c r="AJ21" s="60"/>
      <c r="AK21" s="60"/>
      <c r="AL21" s="60"/>
      <c r="AM21" s="60"/>
      <c r="AN21" s="60"/>
      <c r="AO21" s="60"/>
      <c r="AP21" s="60"/>
      <c r="AQ21" s="60"/>
      <c r="AR21" s="61"/>
    </row>
    <row r="22" hidden="1">
      <c r="A22" s="62">
        <v>20.0</v>
      </c>
      <c r="B22" s="63" t="s">
        <v>683</v>
      </c>
      <c r="C22" s="63" t="s">
        <v>684</v>
      </c>
      <c r="D22" s="63" t="s">
        <v>685</v>
      </c>
      <c r="E22" s="59"/>
      <c r="F22" s="64" t="s">
        <v>167</v>
      </c>
      <c r="G22" s="64" t="s">
        <v>123</v>
      </c>
      <c r="H22" s="64" t="s">
        <v>686</v>
      </c>
      <c r="I22" s="64" t="s">
        <v>687</v>
      </c>
      <c r="J22" s="64" t="s">
        <v>151</v>
      </c>
      <c r="K22" s="64" t="s">
        <v>110</v>
      </c>
      <c r="L22" s="64" t="s">
        <v>111</v>
      </c>
      <c r="M22" s="64" t="s">
        <v>688</v>
      </c>
      <c r="N22" s="64" t="s">
        <v>144</v>
      </c>
      <c r="O22" s="64" t="s">
        <v>144</v>
      </c>
      <c r="P22" s="64" t="s">
        <v>74</v>
      </c>
      <c r="Q22" s="66" t="s">
        <v>3512</v>
      </c>
      <c r="R22" s="64" t="s">
        <v>76</v>
      </c>
      <c r="S22" s="64" t="s">
        <v>97</v>
      </c>
      <c r="T22" s="64">
        <v>2023.0</v>
      </c>
      <c r="U22" s="64" t="s">
        <v>78</v>
      </c>
      <c r="V22" s="64" t="s">
        <v>79</v>
      </c>
      <c r="W22" s="64" t="s">
        <v>80</v>
      </c>
      <c r="X22" s="64" t="s">
        <v>80</v>
      </c>
      <c r="Y22" s="64" t="s">
        <v>80</v>
      </c>
      <c r="Z22" s="64" t="s">
        <v>681</v>
      </c>
      <c r="AA22" s="64" t="s">
        <v>140</v>
      </c>
      <c r="AB22" s="66" t="s">
        <v>3513</v>
      </c>
      <c r="AC22" s="63">
        <v>8.5218888714E10</v>
      </c>
      <c r="AD22" s="63" t="s">
        <v>562</v>
      </c>
      <c r="AE22" s="59"/>
      <c r="AF22" s="59"/>
      <c r="AG22" s="60"/>
      <c r="AH22" s="60"/>
      <c r="AI22" s="60"/>
      <c r="AJ22" s="60"/>
      <c r="AK22" s="60"/>
      <c r="AL22" s="60"/>
      <c r="AM22" s="60"/>
      <c r="AN22" s="60"/>
      <c r="AO22" s="60"/>
      <c r="AP22" s="60"/>
      <c r="AQ22" s="60"/>
      <c r="AR22" s="61"/>
    </row>
    <row r="23">
      <c r="A23" s="62">
        <v>21.0</v>
      </c>
      <c r="B23" s="63" t="s">
        <v>691</v>
      </c>
      <c r="C23" s="63" t="s">
        <v>692</v>
      </c>
      <c r="D23" s="63" t="s">
        <v>693</v>
      </c>
      <c r="E23" s="59"/>
      <c r="F23" s="64" t="s">
        <v>65</v>
      </c>
      <c r="G23" s="64" t="s">
        <v>66</v>
      </c>
      <c r="H23" s="64" t="s">
        <v>694</v>
      </c>
      <c r="I23" s="64" t="s">
        <v>695</v>
      </c>
      <c r="J23" s="64" t="s">
        <v>151</v>
      </c>
      <c r="K23" s="64" t="s">
        <v>70</v>
      </c>
      <c r="L23" s="64" t="s">
        <v>101</v>
      </c>
      <c r="M23" s="64" t="s">
        <v>696</v>
      </c>
      <c r="N23" s="64" t="s">
        <v>82</v>
      </c>
      <c r="O23" s="64" t="s">
        <v>113</v>
      </c>
      <c r="P23" s="64" t="s">
        <v>74</v>
      </c>
      <c r="Q23" s="66" t="s">
        <v>3514</v>
      </c>
      <c r="R23" s="64" t="s">
        <v>76</v>
      </c>
      <c r="S23" s="64" t="s">
        <v>97</v>
      </c>
      <c r="T23" s="64">
        <v>2021.0</v>
      </c>
      <c r="U23" s="64" t="s">
        <v>78</v>
      </c>
      <c r="V23" s="64" t="s">
        <v>79</v>
      </c>
      <c r="W23" s="64" t="s">
        <v>80</v>
      </c>
      <c r="X23" s="64" t="s">
        <v>80</v>
      </c>
      <c r="Y23" s="64" t="s">
        <v>80</v>
      </c>
      <c r="Z23" s="64" t="s">
        <v>681</v>
      </c>
      <c r="AA23" s="64" t="s">
        <v>140</v>
      </c>
      <c r="AB23" s="63" t="s">
        <v>698</v>
      </c>
      <c r="AC23" s="63">
        <v>8.2190093518E10</v>
      </c>
      <c r="AD23" s="63" t="s">
        <v>562</v>
      </c>
      <c r="AE23" s="59"/>
      <c r="AF23" s="59"/>
      <c r="AG23" s="60"/>
      <c r="AH23" s="60"/>
      <c r="AI23" s="60"/>
      <c r="AJ23" s="60"/>
      <c r="AK23" s="60"/>
      <c r="AL23" s="60"/>
      <c r="AM23" s="60"/>
      <c r="AN23" s="60"/>
      <c r="AO23" s="60"/>
      <c r="AP23" s="60"/>
      <c r="AQ23" s="60"/>
      <c r="AR23" s="61"/>
    </row>
    <row r="24">
      <c r="A24" s="62">
        <v>22.0</v>
      </c>
      <c r="B24" s="63" t="s">
        <v>699</v>
      </c>
      <c r="C24" s="63" t="s">
        <v>700</v>
      </c>
      <c r="D24" s="63" t="s">
        <v>701</v>
      </c>
      <c r="E24" s="59"/>
      <c r="F24" s="64" t="s">
        <v>470</v>
      </c>
      <c r="G24" s="64" t="s">
        <v>131</v>
      </c>
      <c r="H24" s="64" t="s">
        <v>702</v>
      </c>
      <c r="I24" s="64" t="s">
        <v>703</v>
      </c>
      <c r="J24" s="64" t="s">
        <v>151</v>
      </c>
      <c r="K24" s="64" t="s">
        <v>70</v>
      </c>
      <c r="L24" s="64" t="s">
        <v>152</v>
      </c>
      <c r="M24" s="64" t="s">
        <v>704</v>
      </c>
      <c r="N24" s="64" t="s">
        <v>93</v>
      </c>
      <c r="O24" s="64" t="s">
        <v>113</v>
      </c>
      <c r="P24" s="64" t="s">
        <v>74</v>
      </c>
      <c r="Q24" s="66" t="s">
        <v>3515</v>
      </c>
      <c r="R24" s="64" t="s">
        <v>76</v>
      </c>
      <c r="S24" s="64" t="s">
        <v>77</v>
      </c>
      <c r="T24" s="64">
        <v>2025.0</v>
      </c>
      <c r="U24" s="64" t="s">
        <v>78</v>
      </c>
      <c r="V24" s="64" t="s">
        <v>79</v>
      </c>
      <c r="W24" s="64" t="s">
        <v>706</v>
      </c>
      <c r="X24" s="64" t="s">
        <v>80</v>
      </c>
      <c r="Y24" s="64" t="s">
        <v>139</v>
      </c>
      <c r="Z24" s="64" t="s">
        <v>681</v>
      </c>
      <c r="AA24" s="64" t="s">
        <v>140</v>
      </c>
      <c r="AB24" s="66" t="s">
        <v>3516</v>
      </c>
      <c r="AC24" s="63">
        <v>8.5218888714E10</v>
      </c>
      <c r="AD24" s="63" t="s">
        <v>562</v>
      </c>
      <c r="AE24" s="59"/>
      <c r="AF24" s="59"/>
      <c r="AG24" s="60"/>
      <c r="AH24" s="60"/>
      <c r="AI24" s="60"/>
      <c r="AJ24" s="60"/>
      <c r="AK24" s="60"/>
      <c r="AL24" s="60"/>
      <c r="AM24" s="60"/>
      <c r="AN24" s="60"/>
      <c r="AO24" s="60"/>
      <c r="AP24" s="60"/>
      <c r="AQ24" s="60"/>
      <c r="AR24" s="61"/>
    </row>
    <row r="25">
      <c r="A25" s="62">
        <v>23.0</v>
      </c>
      <c r="B25" s="63" t="s">
        <v>709</v>
      </c>
      <c r="C25" s="63" t="s">
        <v>710</v>
      </c>
      <c r="D25" s="59"/>
      <c r="E25" s="59"/>
      <c r="F25" s="64" t="s">
        <v>65</v>
      </c>
      <c r="G25" s="64" t="s">
        <v>131</v>
      </c>
      <c r="H25" s="64" t="s">
        <v>711</v>
      </c>
      <c r="I25" s="64" t="s">
        <v>712</v>
      </c>
      <c r="J25" s="64" t="s">
        <v>151</v>
      </c>
      <c r="K25" s="64" t="s">
        <v>110</v>
      </c>
      <c r="L25" s="64" t="s">
        <v>71</v>
      </c>
      <c r="M25" s="64" t="s">
        <v>713</v>
      </c>
      <c r="N25" s="64" t="s">
        <v>82</v>
      </c>
      <c r="O25" s="64" t="s">
        <v>113</v>
      </c>
      <c r="P25" s="64" t="s">
        <v>74</v>
      </c>
      <c r="Q25" s="66" t="s">
        <v>3517</v>
      </c>
      <c r="R25" s="64" t="s">
        <v>76</v>
      </c>
      <c r="S25" s="64" t="s">
        <v>97</v>
      </c>
      <c r="T25" s="77">
        <v>2023.0</v>
      </c>
      <c r="U25" s="64" t="s">
        <v>78</v>
      </c>
      <c r="V25" s="64" t="s">
        <v>79</v>
      </c>
      <c r="W25" s="64" t="s">
        <v>80</v>
      </c>
      <c r="X25" s="64" t="s">
        <v>80</v>
      </c>
      <c r="Y25" s="64" t="s">
        <v>80</v>
      </c>
      <c r="Z25" s="64" t="s">
        <v>715</v>
      </c>
      <c r="AA25" s="64" t="s">
        <v>140</v>
      </c>
      <c r="AB25" s="67" t="s">
        <v>716</v>
      </c>
      <c r="AC25" s="77">
        <v>8.5294019899E10</v>
      </c>
      <c r="AD25" s="67" t="s">
        <v>563</v>
      </c>
      <c r="AE25" s="67" t="s">
        <v>563</v>
      </c>
      <c r="AF25" s="68" t="s">
        <v>71</v>
      </c>
      <c r="AG25" s="60"/>
      <c r="AH25" s="60"/>
      <c r="AI25" s="60"/>
      <c r="AJ25" s="60"/>
      <c r="AK25" s="60"/>
      <c r="AL25" s="60"/>
      <c r="AM25" s="60"/>
      <c r="AN25" s="60"/>
      <c r="AO25" s="60"/>
      <c r="AP25" s="60"/>
      <c r="AQ25" s="60"/>
      <c r="AR25" s="61"/>
    </row>
    <row r="26" hidden="1">
      <c r="A26" s="62">
        <v>24.0</v>
      </c>
      <c r="B26" s="63" t="s">
        <v>717</v>
      </c>
      <c r="C26" s="69"/>
      <c r="D26" s="59"/>
      <c r="E26" s="59"/>
      <c r="F26" s="64" t="s">
        <v>165</v>
      </c>
      <c r="G26" s="64" t="s">
        <v>138</v>
      </c>
      <c r="H26" s="64" t="s">
        <v>718</v>
      </c>
      <c r="I26" s="64" t="s">
        <v>719</v>
      </c>
      <c r="J26" s="64" t="s">
        <v>158</v>
      </c>
      <c r="K26" s="64" t="s">
        <v>110</v>
      </c>
      <c r="L26" s="64" t="s">
        <v>71</v>
      </c>
      <c r="M26" s="64" t="s">
        <v>720</v>
      </c>
      <c r="N26" s="64" t="s">
        <v>82</v>
      </c>
      <c r="O26" s="64" t="s">
        <v>113</v>
      </c>
      <c r="P26" s="64" t="s">
        <v>95</v>
      </c>
      <c r="Q26" s="78" t="s">
        <v>721</v>
      </c>
      <c r="R26" s="64" t="s">
        <v>76</v>
      </c>
      <c r="S26" s="64" t="s">
        <v>97</v>
      </c>
      <c r="T26" s="77">
        <v>2024.0</v>
      </c>
      <c r="U26" s="64" t="s">
        <v>147</v>
      </c>
      <c r="V26" s="64" t="s">
        <v>98</v>
      </c>
      <c r="W26" s="64" t="s">
        <v>722</v>
      </c>
      <c r="X26" s="64" t="s">
        <v>100</v>
      </c>
      <c r="Y26" s="64" t="s">
        <v>139</v>
      </c>
      <c r="Z26" s="64" t="s">
        <v>715</v>
      </c>
      <c r="AA26" s="64" t="s">
        <v>140</v>
      </c>
      <c r="AB26" s="67" t="s">
        <v>723</v>
      </c>
      <c r="AC26" s="67" t="s">
        <v>724</v>
      </c>
      <c r="AD26" s="69"/>
      <c r="AE26" s="67" t="s">
        <v>725</v>
      </c>
      <c r="AF26" s="68" t="s">
        <v>71</v>
      </c>
      <c r="AG26" s="60"/>
      <c r="AH26" s="60"/>
      <c r="AI26" s="60"/>
      <c r="AJ26" s="60"/>
      <c r="AK26" s="60"/>
      <c r="AL26" s="60"/>
      <c r="AM26" s="60"/>
      <c r="AN26" s="60"/>
      <c r="AO26" s="60"/>
      <c r="AP26" s="60"/>
      <c r="AQ26" s="60"/>
      <c r="AR26" s="61"/>
    </row>
    <row r="27" hidden="1">
      <c r="A27" s="62">
        <v>25.0</v>
      </c>
      <c r="B27" s="63" t="s">
        <v>727</v>
      </c>
      <c r="C27" s="63" t="s">
        <v>728</v>
      </c>
      <c r="D27" s="63" t="s">
        <v>729</v>
      </c>
      <c r="E27" s="59"/>
      <c r="F27" s="64" t="s">
        <v>441</v>
      </c>
      <c r="G27" s="64" t="s">
        <v>123</v>
      </c>
      <c r="H27" s="64" t="s">
        <v>730</v>
      </c>
      <c r="I27" s="64" t="s">
        <v>731</v>
      </c>
      <c r="J27" s="64" t="s">
        <v>91</v>
      </c>
      <c r="K27" s="64" t="s">
        <v>110</v>
      </c>
      <c r="L27" s="64" t="s">
        <v>71</v>
      </c>
      <c r="M27" s="64" t="s">
        <v>732</v>
      </c>
      <c r="N27" s="64" t="s">
        <v>73</v>
      </c>
      <c r="O27" s="64" t="s">
        <v>73</v>
      </c>
      <c r="P27" s="64" t="s">
        <v>74</v>
      </c>
      <c r="Q27" s="66" t="s">
        <v>3518</v>
      </c>
      <c r="R27" s="64" t="s">
        <v>76</v>
      </c>
      <c r="S27" s="64" t="s">
        <v>97</v>
      </c>
      <c r="T27" s="64">
        <v>2021.0</v>
      </c>
      <c r="U27" s="64" t="s">
        <v>78</v>
      </c>
      <c r="V27" s="64" t="s">
        <v>79</v>
      </c>
      <c r="W27" s="64" t="s">
        <v>80</v>
      </c>
      <c r="X27" s="64" t="s">
        <v>80</v>
      </c>
      <c r="Y27" s="64" t="s">
        <v>80</v>
      </c>
      <c r="Z27" s="64" t="s">
        <v>734</v>
      </c>
      <c r="AA27" s="64" t="s">
        <v>140</v>
      </c>
      <c r="AB27" s="66" t="s">
        <v>3519</v>
      </c>
      <c r="AC27" s="63" t="s">
        <v>736</v>
      </c>
      <c r="AD27" s="63" t="s">
        <v>737</v>
      </c>
      <c r="AE27" s="59"/>
      <c r="AF27" s="59"/>
      <c r="AG27" s="60"/>
      <c r="AH27" s="60"/>
      <c r="AI27" s="60"/>
      <c r="AJ27" s="60"/>
      <c r="AK27" s="60"/>
      <c r="AL27" s="60"/>
      <c r="AM27" s="60"/>
      <c r="AN27" s="60"/>
      <c r="AO27" s="60"/>
      <c r="AP27" s="60"/>
      <c r="AQ27" s="60"/>
      <c r="AR27" s="61"/>
    </row>
    <row r="28" hidden="1">
      <c r="A28" s="62">
        <v>26.0</v>
      </c>
      <c r="B28" s="63" t="s">
        <v>738</v>
      </c>
      <c r="C28" s="63" t="s">
        <v>739</v>
      </c>
      <c r="D28" s="63" t="s">
        <v>740</v>
      </c>
      <c r="E28" s="59"/>
      <c r="F28" s="64" t="s">
        <v>440</v>
      </c>
      <c r="G28" s="64" t="s">
        <v>123</v>
      </c>
      <c r="H28" s="69"/>
      <c r="I28" s="64" t="s">
        <v>741</v>
      </c>
      <c r="J28" s="64" t="s">
        <v>91</v>
      </c>
      <c r="K28" s="64" t="s">
        <v>110</v>
      </c>
      <c r="L28" s="64" t="s">
        <v>111</v>
      </c>
      <c r="M28" s="64" t="s">
        <v>742</v>
      </c>
      <c r="N28" s="64" t="s">
        <v>73</v>
      </c>
      <c r="O28" s="64" t="s">
        <v>73</v>
      </c>
      <c r="P28" s="64" t="s">
        <v>74</v>
      </c>
      <c r="Q28" s="66" t="s">
        <v>3520</v>
      </c>
      <c r="R28" s="64" t="s">
        <v>76</v>
      </c>
      <c r="S28" s="64" t="s">
        <v>97</v>
      </c>
      <c r="T28" s="64">
        <v>2021.0</v>
      </c>
      <c r="U28" s="64" t="s">
        <v>78</v>
      </c>
      <c r="V28" s="64" t="s">
        <v>79</v>
      </c>
      <c r="W28" s="64" t="s">
        <v>80</v>
      </c>
      <c r="X28" s="64" t="s">
        <v>80</v>
      </c>
      <c r="Y28" s="64" t="s">
        <v>80</v>
      </c>
      <c r="Z28" s="64" t="s">
        <v>744</v>
      </c>
      <c r="AA28" s="64" t="s">
        <v>745</v>
      </c>
      <c r="AB28" s="66" t="s">
        <v>3521</v>
      </c>
      <c r="AC28" s="63" t="s">
        <v>736</v>
      </c>
      <c r="AD28" s="63" t="s">
        <v>737</v>
      </c>
      <c r="AE28" s="59"/>
      <c r="AF28" s="59"/>
      <c r="AG28" s="60"/>
      <c r="AH28" s="60"/>
      <c r="AI28" s="60"/>
      <c r="AJ28" s="60"/>
      <c r="AK28" s="60"/>
      <c r="AL28" s="60"/>
      <c r="AM28" s="60"/>
      <c r="AN28" s="60"/>
      <c r="AO28" s="60"/>
      <c r="AP28" s="60"/>
      <c r="AQ28" s="60"/>
      <c r="AR28" s="61"/>
    </row>
    <row r="29" hidden="1">
      <c r="A29" s="62">
        <v>27.0</v>
      </c>
      <c r="B29" s="63" t="s">
        <v>747</v>
      </c>
      <c r="C29" s="63" t="s">
        <v>748</v>
      </c>
      <c r="D29" s="63" t="s">
        <v>749</v>
      </c>
      <c r="E29" s="59"/>
      <c r="F29" s="64" t="s">
        <v>440</v>
      </c>
      <c r="G29" s="64" t="s">
        <v>123</v>
      </c>
      <c r="H29" s="69"/>
      <c r="I29" s="64" t="s">
        <v>750</v>
      </c>
      <c r="J29" s="64" t="s">
        <v>91</v>
      </c>
      <c r="K29" s="64" t="s">
        <v>110</v>
      </c>
      <c r="L29" s="64" t="s">
        <v>101</v>
      </c>
      <c r="M29" s="64" t="s">
        <v>751</v>
      </c>
      <c r="N29" s="64" t="s">
        <v>73</v>
      </c>
      <c r="O29" s="64" t="s">
        <v>73</v>
      </c>
      <c r="P29" s="64" t="s">
        <v>74</v>
      </c>
      <c r="Q29" s="66" t="s">
        <v>3522</v>
      </c>
      <c r="R29" s="64" t="s">
        <v>76</v>
      </c>
      <c r="S29" s="64" t="s">
        <v>97</v>
      </c>
      <c r="T29" s="64">
        <v>2021.0</v>
      </c>
      <c r="U29" s="64" t="s">
        <v>78</v>
      </c>
      <c r="V29" s="64" t="s">
        <v>79</v>
      </c>
      <c r="W29" s="64" t="s">
        <v>80</v>
      </c>
      <c r="X29" s="64" t="s">
        <v>80</v>
      </c>
      <c r="Y29" s="64" t="s">
        <v>80</v>
      </c>
      <c r="Z29" s="64" t="s">
        <v>744</v>
      </c>
      <c r="AA29" s="64" t="s">
        <v>753</v>
      </c>
      <c r="AB29" s="66" t="s">
        <v>3523</v>
      </c>
      <c r="AC29" s="63" t="s">
        <v>736</v>
      </c>
      <c r="AD29" s="63" t="s">
        <v>737</v>
      </c>
      <c r="AE29" s="59"/>
      <c r="AF29" s="59"/>
      <c r="AG29" s="60"/>
      <c r="AH29" s="60"/>
      <c r="AI29" s="60"/>
      <c r="AJ29" s="60"/>
      <c r="AK29" s="60"/>
      <c r="AL29" s="60"/>
      <c r="AM29" s="60"/>
      <c r="AN29" s="60"/>
      <c r="AO29" s="60"/>
      <c r="AP29" s="60"/>
      <c r="AQ29" s="60"/>
      <c r="AR29" s="61"/>
    </row>
    <row r="30">
      <c r="A30" s="62">
        <v>28.0</v>
      </c>
      <c r="B30" s="63" t="s">
        <v>756</v>
      </c>
      <c r="C30" s="64" t="s">
        <v>757</v>
      </c>
      <c r="D30" s="67" t="s">
        <v>758</v>
      </c>
      <c r="E30" s="59"/>
      <c r="F30" s="67" t="s">
        <v>127</v>
      </c>
      <c r="G30" s="67" t="s">
        <v>138</v>
      </c>
      <c r="H30" s="68" t="s">
        <v>759</v>
      </c>
      <c r="I30" s="68" t="s">
        <v>759</v>
      </c>
      <c r="J30" s="67" t="s">
        <v>151</v>
      </c>
      <c r="K30" s="67" t="s">
        <v>110</v>
      </c>
      <c r="L30" s="67" t="s">
        <v>101</v>
      </c>
      <c r="M30" s="64" t="s">
        <v>527</v>
      </c>
      <c r="N30" s="67" t="s">
        <v>82</v>
      </c>
      <c r="O30" s="67" t="s">
        <v>113</v>
      </c>
      <c r="P30" s="67" t="s">
        <v>74</v>
      </c>
      <c r="Q30" s="75" t="s">
        <v>3524</v>
      </c>
      <c r="R30" s="67" t="s">
        <v>76</v>
      </c>
      <c r="S30" s="67" t="s">
        <v>97</v>
      </c>
      <c r="T30" s="69"/>
      <c r="U30" s="67" t="s">
        <v>78</v>
      </c>
      <c r="V30" s="67" t="s">
        <v>98</v>
      </c>
      <c r="W30" s="79" t="s">
        <v>80</v>
      </c>
      <c r="X30" s="79" t="s">
        <v>80</v>
      </c>
      <c r="Y30" s="79" t="s">
        <v>80</v>
      </c>
      <c r="Z30" s="68" t="s">
        <v>761</v>
      </c>
      <c r="AA30" s="68" t="s">
        <v>82</v>
      </c>
      <c r="AB30" s="69"/>
      <c r="AC30" s="69"/>
      <c r="AD30" s="69"/>
      <c r="AE30" s="59"/>
      <c r="AF30" s="59"/>
      <c r="AG30" s="60"/>
      <c r="AH30" s="60"/>
      <c r="AI30" s="60"/>
      <c r="AJ30" s="60"/>
      <c r="AK30" s="60"/>
      <c r="AL30" s="60"/>
      <c r="AM30" s="60"/>
      <c r="AN30" s="60"/>
      <c r="AO30" s="60"/>
      <c r="AP30" s="60"/>
      <c r="AQ30" s="60"/>
      <c r="AR30" s="61"/>
    </row>
    <row r="31">
      <c r="A31" s="62">
        <v>29.0</v>
      </c>
      <c r="B31" s="63" t="s">
        <v>763</v>
      </c>
      <c r="C31" s="63" t="s">
        <v>764</v>
      </c>
      <c r="D31" s="63" t="s">
        <v>765</v>
      </c>
      <c r="E31" s="63" t="s">
        <v>563</v>
      </c>
      <c r="F31" s="64" t="s">
        <v>360</v>
      </c>
      <c r="G31" s="64" t="s">
        <v>123</v>
      </c>
      <c r="H31" s="64" t="s">
        <v>766</v>
      </c>
      <c r="I31" s="64" t="s">
        <v>767</v>
      </c>
      <c r="J31" s="64" t="s">
        <v>151</v>
      </c>
      <c r="K31" s="64" t="s">
        <v>110</v>
      </c>
      <c r="L31" s="64" t="s">
        <v>152</v>
      </c>
      <c r="M31" s="64" t="s">
        <v>768</v>
      </c>
      <c r="N31" s="64" t="s">
        <v>82</v>
      </c>
      <c r="O31" s="64" t="s">
        <v>113</v>
      </c>
      <c r="P31" s="64" t="s">
        <v>95</v>
      </c>
      <c r="Q31" s="66" t="s">
        <v>3525</v>
      </c>
      <c r="R31" s="64" t="s">
        <v>76</v>
      </c>
      <c r="S31" s="64" t="s">
        <v>97</v>
      </c>
      <c r="T31" s="64">
        <v>2024.0</v>
      </c>
      <c r="U31" s="64" t="s">
        <v>78</v>
      </c>
      <c r="V31" s="64" t="s">
        <v>98</v>
      </c>
      <c r="W31" s="64" t="s">
        <v>770</v>
      </c>
      <c r="X31" s="64" t="s">
        <v>155</v>
      </c>
      <c r="Y31" s="64" t="s">
        <v>139</v>
      </c>
      <c r="Z31" s="81" t="s">
        <v>771</v>
      </c>
      <c r="AA31" s="64" t="s">
        <v>140</v>
      </c>
      <c r="AB31" s="82" t="s">
        <v>772</v>
      </c>
      <c r="AC31" s="63">
        <v>8.5721347799E10</v>
      </c>
      <c r="AD31" s="63" t="s">
        <v>773</v>
      </c>
      <c r="AE31" s="59"/>
      <c r="AF31" s="59"/>
      <c r="AG31" s="60"/>
      <c r="AH31" s="60"/>
      <c r="AI31" s="60"/>
      <c r="AJ31" s="60"/>
      <c r="AK31" s="60"/>
      <c r="AL31" s="60"/>
      <c r="AM31" s="60"/>
      <c r="AN31" s="60"/>
      <c r="AO31" s="60"/>
      <c r="AP31" s="60"/>
      <c r="AQ31" s="60"/>
      <c r="AR31" s="61"/>
    </row>
    <row r="32">
      <c r="A32" s="62">
        <v>30.0</v>
      </c>
      <c r="B32" s="63" t="s">
        <v>774</v>
      </c>
      <c r="C32" s="83" t="s">
        <v>775</v>
      </c>
      <c r="D32" s="63" t="s">
        <v>563</v>
      </c>
      <c r="E32" s="63" t="s">
        <v>563</v>
      </c>
      <c r="F32" s="64" t="s">
        <v>361</v>
      </c>
      <c r="G32" s="64" t="s">
        <v>66</v>
      </c>
      <c r="H32" s="64" t="s">
        <v>776</v>
      </c>
      <c r="I32" s="64" t="s">
        <v>777</v>
      </c>
      <c r="J32" s="64" t="s">
        <v>91</v>
      </c>
      <c r="K32" s="64" t="s">
        <v>70</v>
      </c>
      <c r="L32" s="64" t="s">
        <v>152</v>
      </c>
      <c r="M32" s="64" t="s">
        <v>778</v>
      </c>
      <c r="N32" s="64" t="s">
        <v>82</v>
      </c>
      <c r="O32" s="64" t="s">
        <v>113</v>
      </c>
      <c r="P32" s="64" t="s">
        <v>95</v>
      </c>
      <c r="Q32" s="66" t="s">
        <v>3526</v>
      </c>
      <c r="R32" s="64" t="s">
        <v>76</v>
      </c>
      <c r="S32" s="64" t="s">
        <v>97</v>
      </c>
      <c r="T32" s="64">
        <v>2023.0</v>
      </c>
      <c r="U32" s="64" t="s">
        <v>78</v>
      </c>
      <c r="V32" s="64" t="s">
        <v>98</v>
      </c>
      <c r="W32" s="64" t="s">
        <v>563</v>
      </c>
      <c r="X32" s="64" t="s">
        <v>155</v>
      </c>
      <c r="Y32" s="64" t="s">
        <v>152</v>
      </c>
      <c r="Z32" s="64" t="s">
        <v>780</v>
      </c>
      <c r="AA32" s="64" t="s">
        <v>140</v>
      </c>
      <c r="AB32" s="83" t="s">
        <v>781</v>
      </c>
      <c r="AC32" s="63">
        <v>8.127585399E9</v>
      </c>
      <c r="AD32" s="63" t="s">
        <v>782</v>
      </c>
      <c r="AE32" s="59"/>
      <c r="AF32" s="59"/>
      <c r="AG32" s="60"/>
      <c r="AH32" s="60"/>
      <c r="AI32" s="60"/>
      <c r="AJ32" s="60"/>
      <c r="AK32" s="60"/>
      <c r="AL32" s="60"/>
      <c r="AM32" s="60"/>
      <c r="AN32" s="60"/>
      <c r="AO32" s="60"/>
      <c r="AP32" s="60"/>
      <c r="AQ32" s="60"/>
      <c r="AR32" s="61"/>
    </row>
    <row r="33">
      <c r="A33" s="62">
        <v>31.0</v>
      </c>
      <c r="B33" s="63" t="s">
        <v>784</v>
      </c>
      <c r="C33" s="63" t="s">
        <v>785</v>
      </c>
      <c r="D33" s="63" t="s">
        <v>786</v>
      </c>
      <c r="E33" s="63" t="s">
        <v>787</v>
      </c>
      <c r="F33" s="64" t="s">
        <v>65</v>
      </c>
      <c r="G33" s="64" t="s">
        <v>788</v>
      </c>
      <c r="H33" s="64" t="s">
        <v>789</v>
      </c>
      <c r="I33" s="64" t="s">
        <v>790</v>
      </c>
      <c r="J33" s="64" t="s">
        <v>151</v>
      </c>
      <c r="K33" s="64" t="s">
        <v>70</v>
      </c>
      <c r="L33" s="64" t="s">
        <v>101</v>
      </c>
      <c r="M33" s="64" t="s">
        <v>791</v>
      </c>
      <c r="N33" s="64" t="s">
        <v>82</v>
      </c>
      <c r="O33" s="64" t="s">
        <v>113</v>
      </c>
      <c r="P33" s="64" t="s">
        <v>74</v>
      </c>
      <c r="Q33" s="66" t="s">
        <v>3527</v>
      </c>
      <c r="R33" s="64" t="s">
        <v>76</v>
      </c>
      <c r="S33" s="64" t="s">
        <v>97</v>
      </c>
      <c r="T33" s="64">
        <v>2022.0</v>
      </c>
      <c r="U33" s="64" t="s">
        <v>78</v>
      </c>
      <c r="V33" s="64" t="s">
        <v>98</v>
      </c>
      <c r="W33" s="64" t="s">
        <v>793</v>
      </c>
      <c r="X33" s="64" t="s">
        <v>148</v>
      </c>
      <c r="Y33" s="64" t="s">
        <v>139</v>
      </c>
      <c r="Z33" s="64" t="s">
        <v>794</v>
      </c>
      <c r="AA33" s="64" t="s">
        <v>140</v>
      </c>
      <c r="AB33" s="63" t="s">
        <v>795</v>
      </c>
      <c r="AC33" s="63">
        <v>8.5322543009E10</v>
      </c>
      <c r="AD33" s="63" t="s">
        <v>796</v>
      </c>
      <c r="AE33" s="59"/>
      <c r="AF33" s="67" t="s">
        <v>797</v>
      </c>
      <c r="AG33" s="84" t="s">
        <v>798</v>
      </c>
    </row>
    <row r="34" hidden="1">
      <c r="A34" s="62">
        <v>32.0</v>
      </c>
      <c r="B34" s="63" t="s">
        <v>800</v>
      </c>
      <c r="C34" s="63" t="s">
        <v>801</v>
      </c>
      <c r="D34" s="63" t="s">
        <v>802</v>
      </c>
      <c r="E34" s="59"/>
      <c r="F34" s="64" t="s">
        <v>282</v>
      </c>
      <c r="G34" s="64" t="s">
        <v>123</v>
      </c>
      <c r="H34" s="64" t="s">
        <v>803</v>
      </c>
      <c r="I34" s="64" t="s">
        <v>804</v>
      </c>
      <c r="J34" s="64" t="s">
        <v>91</v>
      </c>
      <c r="K34" s="64" t="s">
        <v>70</v>
      </c>
      <c r="L34" s="64" t="s">
        <v>71</v>
      </c>
      <c r="M34" s="68" t="s">
        <v>805</v>
      </c>
      <c r="N34" s="64" t="s">
        <v>73</v>
      </c>
      <c r="O34" s="64" t="s">
        <v>73</v>
      </c>
      <c r="P34" s="64" t="s">
        <v>95</v>
      </c>
      <c r="Q34" s="66" t="s">
        <v>3528</v>
      </c>
      <c r="R34" s="64" t="s">
        <v>76</v>
      </c>
      <c r="S34" s="64" t="s">
        <v>97</v>
      </c>
      <c r="T34" s="64">
        <v>2017.0</v>
      </c>
      <c r="U34" s="64" t="s">
        <v>78</v>
      </c>
      <c r="V34" s="64" t="s">
        <v>79</v>
      </c>
      <c r="W34" s="64" t="s">
        <v>80</v>
      </c>
      <c r="X34" s="69"/>
      <c r="Y34" s="64" t="s">
        <v>143</v>
      </c>
      <c r="Z34" s="64" t="s">
        <v>807</v>
      </c>
      <c r="AA34" s="69"/>
      <c r="AB34" s="63" t="s">
        <v>808</v>
      </c>
      <c r="AC34" s="69"/>
      <c r="AD34" s="63" t="s">
        <v>809</v>
      </c>
      <c r="AE34" s="59"/>
      <c r="AF34" s="59"/>
      <c r="AG34" s="60"/>
      <c r="AH34" s="60"/>
      <c r="AI34" s="60"/>
      <c r="AJ34" s="60"/>
      <c r="AK34" s="60"/>
      <c r="AL34" s="60"/>
      <c r="AM34" s="60"/>
      <c r="AN34" s="60"/>
      <c r="AO34" s="60"/>
      <c r="AP34" s="60"/>
      <c r="AQ34" s="60"/>
      <c r="AR34" s="61"/>
    </row>
    <row r="35" hidden="1">
      <c r="A35" s="62">
        <v>33.0</v>
      </c>
      <c r="B35" s="82" t="s">
        <v>810</v>
      </c>
      <c r="C35" s="69"/>
      <c r="D35" s="63" t="s">
        <v>811</v>
      </c>
      <c r="E35" s="59"/>
      <c r="F35" s="64" t="s">
        <v>444</v>
      </c>
      <c r="G35" s="64" t="s">
        <v>123</v>
      </c>
      <c r="H35" s="64" t="s">
        <v>812</v>
      </c>
      <c r="I35" s="64" t="s">
        <v>813</v>
      </c>
      <c r="J35" s="64" t="s">
        <v>91</v>
      </c>
      <c r="K35" s="64" t="s">
        <v>110</v>
      </c>
      <c r="L35" s="64" t="s">
        <v>152</v>
      </c>
      <c r="M35" s="64" t="s">
        <v>814</v>
      </c>
      <c r="N35" s="64" t="s">
        <v>73</v>
      </c>
      <c r="O35" s="64" t="s">
        <v>73</v>
      </c>
      <c r="P35" s="64" t="s">
        <v>95</v>
      </c>
      <c r="Q35" s="66" t="s">
        <v>3529</v>
      </c>
      <c r="R35" s="64" t="s">
        <v>76</v>
      </c>
      <c r="S35" s="64" t="s">
        <v>97</v>
      </c>
      <c r="T35" s="64">
        <v>2021.0</v>
      </c>
      <c r="U35" s="64" t="s">
        <v>78</v>
      </c>
      <c r="V35" s="64" t="s">
        <v>79</v>
      </c>
      <c r="W35" s="64" t="s">
        <v>80</v>
      </c>
      <c r="X35" s="69"/>
      <c r="Y35" s="64" t="s">
        <v>143</v>
      </c>
      <c r="Z35" s="64" t="s">
        <v>807</v>
      </c>
      <c r="AA35" s="64" t="s">
        <v>140</v>
      </c>
      <c r="AB35" s="63" t="s">
        <v>808</v>
      </c>
      <c r="AC35" s="69"/>
      <c r="AD35" s="63" t="s">
        <v>809</v>
      </c>
      <c r="AE35" s="59"/>
      <c r="AF35" s="59"/>
      <c r="AG35" s="60"/>
      <c r="AH35" s="60"/>
      <c r="AI35" s="60"/>
      <c r="AJ35" s="60"/>
      <c r="AK35" s="60"/>
      <c r="AL35" s="60"/>
      <c r="AM35" s="60"/>
      <c r="AN35" s="60"/>
      <c r="AO35" s="60"/>
      <c r="AP35" s="60"/>
      <c r="AQ35" s="60"/>
      <c r="AR35" s="61"/>
    </row>
    <row r="36" hidden="1">
      <c r="A36" s="62">
        <v>34.0</v>
      </c>
      <c r="B36" s="63" t="s">
        <v>816</v>
      </c>
      <c r="C36" s="63" t="s">
        <v>823</v>
      </c>
      <c r="D36" s="67" t="s">
        <v>818</v>
      </c>
      <c r="E36" s="59"/>
      <c r="F36" s="64" t="s">
        <v>470</v>
      </c>
      <c r="G36" s="64" t="s">
        <v>123</v>
      </c>
      <c r="H36" s="64" t="s">
        <v>819</v>
      </c>
      <c r="I36" s="64" t="s">
        <v>819</v>
      </c>
      <c r="J36" s="64" t="s">
        <v>91</v>
      </c>
      <c r="K36" s="64" t="s">
        <v>110</v>
      </c>
      <c r="L36" s="64" t="s">
        <v>152</v>
      </c>
      <c r="M36" s="64" t="s">
        <v>824</v>
      </c>
      <c r="N36" s="64" t="s">
        <v>73</v>
      </c>
      <c r="O36" s="64" t="s">
        <v>73</v>
      </c>
      <c r="P36" s="64" t="s">
        <v>95</v>
      </c>
      <c r="Q36" s="66" t="s">
        <v>3530</v>
      </c>
      <c r="R36" s="64" t="s">
        <v>76</v>
      </c>
      <c r="S36" s="64" t="s">
        <v>97</v>
      </c>
      <c r="T36" s="69"/>
      <c r="U36" s="64" t="s">
        <v>78</v>
      </c>
      <c r="V36" s="64" t="s">
        <v>79</v>
      </c>
      <c r="W36" s="64" t="s">
        <v>80</v>
      </c>
      <c r="X36" s="69"/>
      <c r="Y36" s="64" t="s">
        <v>139</v>
      </c>
      <c r="Z36" s="64" t="s">
        <v>807</v>
      </c>
      <c r="AA36" s="64" t="s">
        <v>140</v>
      </c>
      <c r="AB36" s="63" t="s">
        <v>822</v>
      </c>
      <c r="AC36" s="69"/>
      <c r="AD36" s="69"/>
      <c r="AE36" s="59"/>
      <c r="AF36" s="59"/>
      <c r="AG36" s="60"/>
      <c r="AH36" s="60"/>
      <c r="AI36" s="60"/>
      <c r="AJ36" s="60"/>
      <c r="AK36" s="60"/>
      <c r="AL36" s="60"/>
      <c r="AM36" s="60"/>
      <c r="AN36" s="60"/>
      <c r="AO36" s="60"/>
      <c r="AP36" s="60"/>
      <c r="AQ36" s="60"/>
      <c r="AR36" s="61"/>
    </row>
    <row r="37" hidden="1">
      <c r="A37" s="62">
        <v>35.0</v>
      </c>
      <c r="B37" s="63" t="s">
        <v>831</v>
      </c>
      <c r="C37" s="63" t="s">
        <v>823</v>
      </c>
      <c r="D37" s="63" t="s">
        <v>832</v>
      </c>
      <c r="E37" s="59"/>
      <c r="F37" s="64" t="s">
        <v>470</v>
      </c>
      <c r="G37" s="64" t="s">
        <v>123</v>
      </c>
      <c r="H37" s="64" t="s">
        <v>833</v>
      </c>
      <c r="I37" s="64" t="s">
        <v>833</v>
      </c>
      <c r="J37" s="64" t="s">
        <v>91</v>
      </c>
      <c r="K37" s="64" t="s">
        <v>110</v>
      </c>
      <c r="L37" s="64" t="s">
        <v>152</v>
      </c>
      <c r="M37" s="64" t="s">
        <v>834</v>
      </c>
      <c r="N37" s="64" t="s">
        <v>73</v>
      </c>
      <c r="O37" s="64" t="s">
        <v>73</v>
      </c>
      <c r="P37" s="64" t="s">
        <v>95</v>
      </c>
      <c r="Q37" s="66" t="s">
        <v>3531</v>
      </c>
      <c r="R37" s="69"/>
      <c r="S37" s="69"/>
      <c r="T37" s="69"/>
      <c r="U37" s="69"/>
      <c r="V37" s="69"/>
      <c r="W37" s="64" t="s">
        <v>80</v>
      </c>
      <c r="X37" s="69"/>
      <c r="Y37" s="69"/>
      <c r="Z37" s="64" t="s">
        <v>807</v>
      </c>
      <c r="AA37" s="64" t="s">
        <v>140</v>
      </c>
      <c r="AB37" s="63" t="s">
        <v>836</v>
      </c>
      <c r="AC37" s="69"/>
      <c r="AD37" s="69"/>
      <c r="AE37" s="59"/>
      <c r="AF37" s="59"/>
      <c r="AG37" s="60"/>
      <c r="AH37" s="60"/>
      <c r="AI37" s="60"/>
      <c r="AJ37" s="60"/>
      <c r="AK37" s="60"/>
      <c r="AL37" s="60"/>
      <c r="AM37" s="60"/>
      <c r="AN37" s="60"/>
      <c r="AO37" s="60"/>
      <c r="AP37" s="60"/>
      <c r="AQ37" s="60"/>
      <c r="AR37" s="61"/>
    </row>
    <row r="38" hidden="1">
      <c r="A38" s="62">
        <v>36.0</v>
      </c>
      <c r="B38" s="63" t="s">
        <v>837</v>
      </c>
      <c r="C38" s="63" t="s">
        <v>823</v>
      </c>
      <c r="D38" s="59"/>
      <c r="E38" s="59"/>
      <c r="F38" s="64" t="s">
        <v>470</v>
      </c>
      <c r="G38" s="64" t="s">
        <v>123</v>
      </c>
      <c r="H38" s="69"/>
      <c r="I38" s="69"/>
      <c r="J38" s="64" t="s">
        <v>91</v>
      </c>
      <c r="K38" s="64" t="s">
        <v>110</v>
      </c>
      <c r="L38" s="64" t="s">
        <v>101</v>
      </c>
      <c r="M38" s="64" t="s">
        <v>838</v>
      </c>
      <c r="N38" s="64" t="s">
        <v>73</v>
      </c>
      <c r="O38" s="64" t="s">
        <v>73</v>
      </c>
      <c r="P38" s="64" t="s">
        <v>95</v>
      </c>
      <c r="Q38" s="66" t="s">
        <v>3532</v>
      </c>
      <c r="R38" s="64" t="s">
        <v>76</v>
      </c>
      <c r="S38" s="64" t="s">
        <v>97</v>
      </c>
      <c r="T38" s="69"/>
      <c r="U38" s="64" t="s">
        <v>78</v>
      </c>
      <c r="V38" s="69"/>
      <c r="W38" s="64" t="s">
        <v>80</v>
      </c>
      <c r="X38" s="69"/>
      <c r="Y38" s="64" t="s">
        <v>139</v>
      </c>
      <c r="Z38" s="64" t="s">
        <v>807</v>
      </c>
      <c r="AA38" s="64" t="s">
        <v>140</v>
      </c>
      <c r="AB38" s="63" t="s">
        <v>836</v>
      </c>
      <c r="AC38" s="69"/>
      <c r="AD38" s="69"/>
      <c r="AE38" s="59"/>
      <c r="AF38" s="59"/>
      <c r="AG38" s="60"/>
      <c r="AH38" s="60"/>
      <c r="AI38" s="60"/>
      <c r="AJ38" s="60"/>
      <c r="AK38" s="60"/>
      <c r="AL38" s="60"/>
      <c r="AM38" s="60"/>
      <c r="AN38" s="60"/>
      <c r="AO38" s="60"/>
      <c r="AP38" s="60"/>
      <c r="AQ38" s="60"/>
      <c r="AR38" s="61"/>
    </row>
    <row r="39">
      <c r="A39" s="62">
        <v>37.0</v>
      </c>
      <c r="B39" s="63" t="s">
        <v>840</v>
      </c>
      <c r="C39" s="63" t="s">
        <v>823</v>
      </c>
      <c r="D39" s="63" t="s">
        <v>841</v>
      </c>
      <c r="E39" s="59"/>
      <c r="F39" s="64" t="s">
        <v>470</v>
      </c>
      <c r="G39" s="64" t="s">
        <v>131</v>
      </c>
      <c r="H39" s="64" t="s">
        <v>842</v>
      </c>
      <c r="I39" s="64" t="s">
        <v>842</v>
      </c>
      <c r="J39" s="64" t="s">
        <v>91</v>
      </c>
      <c r="K39" s="64" t="s">
        <v>110</v>
      </c>
      <c r="L39" s="64" t="s">
        <v>101</v>
      </c>
      <c r="M39" s="64" t="s">
        <v>843</v>
      </c>
      <c r="N39" s="64" t="s">
        <v>26</v>
      </c>
      <c r="O39" s="64" t="s">
        <v>113</v>
      </c>
      <c r="P39" s="64" t="s">
        <v>95</v>
      </c>
      <c r="Q39" s="66" t="s">
        <v>3533</v>
      </c>
      <c r="R39" s="64" t="s">
        <v>76</v>
      </c>
      <c r="S39" s="64" t="s">
        <v>97</v>
      </c>
      <c r="T39" s="69"/>
      <c r="U39" s="64" t="s">
        <v>78</v>
      </c>
      <c r="V39" s="69"/>
      <c r="W39" s="64" t="s">
        <v>80</v>
      </c>
      <c r="X39" s="69"/>
      <c r="Y39" s="64" t="s">
        <v>139</v>
      </c>
      <c r="Z39" s="64" t="s">
        <v>807</v>
      </c>
      <c r="AA39" s="64" t="s">
        <v>140</v>
      </c>
      <c r="AB39" s="63" t="s">
        <v>845</v>
      </c>
      <c r="AC39" s="69"/>
      <c r="AD39" s="69"/>
      <c r="AE39" s="59"/>
      <c r="AF39" s="59"/>
      <c r="AG39" s="60"/>
      <c r="AH39" s="60"/>
      <c r="AI39" s="60"/>
      <c r="AJ39" s="60"/>
      <c r="AK39" s="60"/>
      <c r="AL39" s="60"/>
      <c r="AM39" s="60"/>
      <c r="AN39" s="60"/>
      <c r="AO39" s="60"/>
      <c r="AP39" s="60"/>
      <c r="AQ39" s="60"/>
      <c r="AR39" s="61"/>
    </row>
    <row r="40" hidden="1">
      <c r="A40" s="62">
        <v>38.0</v>
      </c>
      <c r="B40" s="63" t="s">
        <v>846</v>
      </c>
      <c r="C40" s="63" t="s">
        <v>823</v>
      </c>
      <c r="D40" s="89" t="s">
        <v>847</v>
      </c>
      <c r="E40" s="59"/>
      <c r="F40" s="64" t="s">
        <v>470</v>
      </c>
      <c r="G40" s="64" t="s">
        <v>123</v>
      </c>
      <c r="H40" s="64" t="s">
        <v>848</v>
      </c>
      <c r="I40" s="64" t="s">
        <v>848</v>
      </c>
      <c r="J40" s="64" t="s">
        <v>151</v>
      </c>
      <c r="K40" s="64" t="s">
        <v>110</v>
      </c>
      <c r="L40" s="64" t="s">
        <v>152</v>
      </c>
      <c r="M40" s="64" t="s">
        <v>849</v>
      </c>
      <c r="N40" s="64" t="s">
        <v>73</v>
      </c>
      <c r="O40" s="64" t="s">
        <v>73</v>
      </c>
      <c r="P40" s="64" t="s">
        <v>95</v>
      </c>
      <c r="Q40" s="66" t="s">
        <v>3534</v>
      </c>
      <c r="R40" s="64" t="s">
        <v>76</v>
      </c>
      <c r="S40" s="64" t="s">
        <v>97</v>
      </c>
      <c r="T40" s="69"/>
      <c r="U40" s="64" t="s">
        <v>78</v>
      </c>
      <c r="V40" s="64" t="s">
        <v>79</v>
      </c>
      <c r="W40" s="64" t="s">
        <v>80</v>
      </c>
      <c r="X40" s="69"/>
      <c r="Y40" s="64" t="s">
        <v>152</v>
      </c>
      <c r="Z40" s="64" t="s">
        <v>807</v>
      </c>
      <c r="AA40" s="64" t="s">
        <v>140</v>
      </c>
      <c r="AB40" s="63" t="s">
        <v>851</v>
      </c>
      <c r="AC40" s="69"/>
      <c r="AD40" s="69"/>
      <c r="AE40" s="59"/>
      <c r="AF40" s="59"/>
      <c r="AG40" s="60"/>
      <c r="AH40" s="60"/>
      <c r="AI40" s="60"/>
      <c r="AJ40" s="60"/>
      <c r="AK40" s="60"/>
      <c r="AL40" s="60"/>
      <c r="AM40" s="60"/>
      <c r="AN40" s="60"/>
      <c r="AO40" s="60"/>
      <c r="AP40" s="60"/>
      <c r="AQ40" s="60"/>
      <c r="AR40" s="61"/>
    </row>
    <row r="41">
      <c r="A41" s="62">
        <v>39.0</v>
      </c>
      <c r="B41" s="63" t="s">
        <v>853</v>
      </c>
      <c r="C41" s="63" t="s">
        <v>854</v>
      </c>
      <c r="D41" s="63" t="s">
        <v>855</v>
      </c>
      <c r="E41" s="66" t="s">
        <v>3535</v>
      </c>
      <c r="F41" s="64" t="s">
        <v>65</v>
      </c>
      <c r="G41" s="64" t="s">
        <v>123</v>
      </c>
      <c r="H41" s="64" t="s">
        <v>857</v>
      </c>
      <c r="I41" s="64" t="s">
        <v>858</v>
      </c>
      <c r="J41" s="64" t="s">
        <v>151</v>
      </c>
      <c r="K41" s="64" t="s">
        <v>110</v>
      </c>
      <c r="L41" s="64" t="s">
        <v>101</v>
      </c>
      <c r="M41" s="64" t="s">
        <v>859</v>
      </c>
      <c r="N41" s="64" t="s">
        <v>93</v>
      </c>
      <c r="O41" s="64" t="s">
        <v>113</v>
      </c>
      <c r="P41" s="64" t="s">
        <v>95</v>
      </c>
      <c r="Q41" s="66" t="s">
        <v>3536</v>
      </c>
      <c r="R41" s="64" t="s">
        <v>76</v>
      </c>
      <c r="S41" s="64" t="s">
        <v>97</v>
      </c>
      <c r="T41" s="64">
        <v>2022.0</v>
      </c>
      <c r="U41" s="64" t="s">
        <v>78</v>
      </c>
      <c r="V41" s="64" t="s">
        <v>79</v>
      </c>
      <c r="W41" s="64" t="s">
        <v>861</v>
      </c>
      <c r="X41" s="64" t="s">
        <v>80</v>
      </c>
      <c r="Y41" s="64" t="s">
        <v>139</v>
      </c>
      <c r="Z41" s="64" t="s">
        <v>862</v>
      </c>
      <c r="AA41" s="64" t="s">
        <v>140</v>
      </c>
      <c r="AB41" s="63" t="s">
        <v>863</v>
      </c>
      <c r="AC41" s="63">
        <v>8.122233244E9</v>
      </c>
      <c r="AD41" s="63" t="s">
        <v>864</v>
      </c>
      <c r="AE41" s="67" t="s">
        <v>563</v>
      </c>
      <c r="AF41" s="68" t="s">
        <v>71</v>
      </c>
      <c r="AG41" s="91" t="s">
        <v>865</v>
      </c>
      <c r="AH41" s="92"/>
      <c r="AI41" s="92"/>
      <c r="AJ41" s="92"/>
      <c r="AK41" s="92"/>
      <c r="AL41" s="92"/>
      <c r="AM41" s="92"/>
      <c r="AN41" s="92"/>
      <c r="AO41" s="92"/>
      <c r="AP41" s="92"/>
      <c r="AQ41" s="92"/>
      <c r="AR41" s="61"/>
    </row>
    <row r="42" hidden="1">
      <c r="A42" s="62">
        <v>40.0</v>
      </c>
      <c r="B42" s="67" t="s">
        <v>866</v>
      </c>
      <c r="C42" s="67" t="s">
        <v>867</v>
      </c>
      <c r="D42" s="63" t="s">
        <v>868</v>
      </c>
      <c r="E42" s="59"/>
      <c r="F42" s="67" t="s">
        <v>65</v>
      </c>
      <c r="G42" s="67" t="s">
        <v>123</v>
      </c>
      <c r="H42" s="67" t="s">
        <v>869</v>
      </c>
      <c r="I42" s="67" t="s">
        <v>870</v>
      </c>
      <c r="J42" s="67" t="s">
        <v>151</v>
      </c>
      <c r="K42" s="67" t="s">
        <v>110</v>
      </c>
      <c r="L42" s="67" t="s">
        <v>111</v>
      </c>
      <c r="M42" s="68" t="s">
        <v>871</v>
      </c>
      <c r="N42" s="67" t="s">
        <v>93</v>
      </c>
      <c r="O42" s="67" t="s">
        <v>94</v>
      </c>
      <c r="P42" s="67" t="s">
        <v>95</v>
      </c>
      <c r="Q42" s="75" t="s">
        <v>3260</v>
      </c>
      <c r="R42" s="67" t="s">
        <v>76</v>
      </c>
      <c r="S42" s="67" t="s">
        <v>97</v>
      </c>
      <c r="T42" s="68">
        <v>2020.0</v>
      </c>
      <c r="U42" s="67" t="s">
        <v>78</v>
      </c>
      <c r="V42" s="67" t="s">
        <v>79</v>
      </c>
      <c r="W42" s="79" t="s">
        <v>80</v>
      </c>
      <c r="X42" s="67" t="s">
        <v>80</v>
      </c>
      <c r="Y42" s="67" t="s">
        <v>80</v>
      </c>
      <c r="Z42" s="64" t="s">
        <v>862</v>
      </c>
      <c r="AA42" s="68" t="s">
        <v>140</v>
      </c>
      <c r="AB42" s="63" t="s">
        <v>863</v>
      </c>
      <c r="AC42" s="63">
        <v>8.122233244E9</v>
      </c>
      <c r="AD42" s="63" t="s">
        <v>864</v>
      </c>
      <c r="AE42" s="67" t="s">
        <v>563</v>
      </c>
      <c r="AF42" s="68" t="s">
        <v>111</v>
      </c>
      <c r="AG42" s="91" t="s">
        <v>26</v>
      </c>
      <c r="AH42" s="92"/>
      <c r="AI42" s="92"/>
      <c r="AJ42" s="92"/>
      <c r="AK42" s="92"/>
      <c r="AL42" s="92"/>
      <c r="AM42" s="92"/>
      <c r="AN42" s="92"/>
      <c r="AO42" s="92"/>
      <c r="AP42" s="92"/>
      <c r="AQ42" s="92"/>
      <c r="AR42" s="61"/>
    </row>
    <row r="43" hidden="1">
      <c r="A43" s="62">
        <v>41.0</v>
      </c>
      <c r="B43" s="63" t="s">
        <v>874</v>
      </c>
      <c r="C43" s="63" t="s">
        <v>875</v>
      </c>
      <c r="D43" s="63" t="s">
        <v>876</v>
      </c>
      <c r="E43" s="66" t="s">
        <v>3537</v>
      </c>
      <c r="F43" s="64" t="s">
        <v>65</v>
      </c>
      <c r="G43" s="64" t="s">
        <v>138</v>
      </c>
      <c r="H43" s="64" t="s">
        <v>878</v>
      </c>
      <c r="I43" s="64" t="s">
        <v>879</v>
      </c>
      <c r="J43" s="64" t="s">
        <v>91</v>
      </c>
      <c r="K43" s="64" t="s">
        <v>110</v>
      </c>
      <c r="L43" s="64" t="s">
        <v>101</v>
      </c>
      <c r="M43" s="64" t="s">
        <v>880</v>
      </c>
      <c r="N43" s="64" t="s">
        <v>73</v>
      </c>
      <c r="O43" s="64" t="s">
        <v>73</v>
      </c>
      <c r="P43" s="64" t="s">
        <v>95</v>
      </c>
      <c r="Q43" s="66" t="s">
        <v>3538</v>
      </c>
      <c r="R43" s="64" t="s">
        <v>76</v>
      </c>
      <c r="S43" s="64" t="s">
        <v>97</v>
      </c>
      <c r="T43" s="64">
        <v>2013.0</v>
      </c>
      <c r="U43" s="64" t="s">
        <v>78</v>
      </c>
      <c r="V43" s="64" t="s">
        <v>79</v>
      </c>
      <c r="W43" s="64" t="s">
        <v>80</v>
      </c>
      <c r="X43" s="64" t="s">
        <v>80</v>
      </c>
      <c r="Y43" s="64" t="s">
        <v>80</v>
      </c>
      <c r="Z43" s="64" t="s">
        <v>882</v>
      </c>
      <c r="AA43" s="64" t="s">
        <v>140</v>
      </c>
      <c r="AB43" s="63" t="s">
        <v>883</v>
      </c>
      <c r="AC43" s="63">
        <v>8.5220648981E10</v>
      </c>
      <c r="AD43" s="63" t="s">
        <v>884</v>
      </c>
      <c r="AE43" s="94"/>
      <c r="AF43" s="68" t="s">
        <v>111</v>
      </c>
      <c r="AG43" s="60"/>
      <c r="AH43" s="60"/>
      <c r="AI43" s="60"/>
      <c r="AJ43" s="60"/>
      <c r="AK43" s="60"/>
      <c r="AL43" s="60"/>
      <c r="AM43" s="60"/>
      <c r="AN43" s="60"/>
      <c r="AO43" s="60"/>
      <c r="AP43" s="60"/>
      <c r="AQ43" s="60"/>
      <c r="AR43" s="61"/>
    </row>
    <row r="44">
      <c r="A44" s="62">
        <v>42.0</v>
      </c>
      <c r="B44" s="63" t="s">
        <v>886</v>
      </c>
      <c r="C44" s="63" t="s">
        <v>887</v>
      </c>
      <c r="D44" s="67" t="s">
        <v>888</v>
      </c>
      <c r="E44" s="59"/>
      <c r="F44" s="64" t="s">
        <v>477</v>
      </c>
      <c r="G44" s="64" t="s">
        <v>123</v>
      </c>
      <c r="H44" s="64" t="s">
        <v>889</v>
      </c>
      <c r="I44" s="63" t="s">
        <v>890</v>
      </c>
      <c r="J44" s="64" t="s">
        <v>91</v>
      </c>
      <c r="K44" s="64" t="s">
        <v>110</v>
      </c>
      <c r="L44" s="64" t="s">
        <v>143</v>
      </c>
      <c r="M44" s="64" t="s">
        <v>891</v>
      </c>
      <c r="N44" s="64" t="s">
        <v>82</v>
      </c>
      <c r="O44" s="64" t="s">
        <v>113</v>
      </c>
      <c r="P44" s="64" t="s">
        <v>74</v>
      </c>
      <c r="Q44" s="66" t="s">
        <v>3539</v>
      </c>
      <c r="R44" s="64" t="s">
        <v>76</v>
      </c>
      <c r="S44" s="64" t="s">
        <v>97</v>
      </c>
      <c r="T44" s="77">
        <v>2025.0</v>
      </c>
      <c r="U44" s="64" t="s">
        <v>78</v>
      </c>
      <c r="V44" s="64" t="s">
        <v>79</v>
      </c>
      <c r="W44" s="64" t="s">
        <v>893</v>
      </c>
      <c r="X44" s="67" t="s">
        <v>155</v>
      </c>
      <c r="Y44" s="64" t="s">
        <v>139</v>
      </c>
      <c r="Z44" s="64" t="s">
        <v>894</v>
      </c>
      <c r="AA44" s="64" t="s">
        <v>895</v>
      </c>
      <c r="AB44" s="66" t="s">
        <v>3540</v>
      </c>
      <c r="AC44" s="69"/>
      <c r="AD44" s="67" t="s">
        <v>897</v>
      </c>
      <c r="AE44" s="76" t="s">
        <v>898</v>
      </c>
      <c r="AF44" s="68" t="s">
        <v>71</v>
      </c>
      <c r="AG44" s="84" t="s">
        <v>899</v>
      </c>
      <c r="AJ44" s="92"/>
      <c r="AK44" s="92"/>
      <c r="AL44" s="92"/>
      <c r="AM44" s="92"/>
      <c r="AN44" s="92"/>
      <c r="AO44" s="92"/>
      <c r="AP44" s="92"/>
      <c r="AQ44" s="92"/>
      <c r="AR44" s="61"/>
    </row>
    <row r="45" hidden="1">
      <c r="A45" s="62">
        <v>43.0</v>
      </c>
      <c r="B45" s="63" t="s">
        <v>816</v>
      </c>
      <c r="C45" s="63" t="s">
        <v>817</v>
      </c>
      <c r="D45" s="67" t="s">
        <v>900</v>
      </c>
      <c r="E45" s="59"/>
      <c r="F45" s="64" t="s">
        <v>470</v>
      </c>
      <c r="G45" s="64" t="s">
        <v>123</v>
      </c>
      <c r="H45" s="64" t="s">
        <v>819</v>
      </c>
      <c r="I45" s="64" t="s">
        <v>819</v>
      </c>
      <c r="J45" s="64" t="s">
        <v>91</v>
      </c>
      <c r="K45" s="64" t="s">
        <v>110</v>
      </c>
      <c r="L45" s="64" t="s">
        <v>152</v>
      </c>
      <c r="M45" s="64" t="s">
        <v>820</v>
      </c>
      <c r="N45" s="64" t="s">
        <v>144</v>
      </c>
      <c r="O45" s="64" t="s">
        <v>144</v>
      </c>
      <c r="P45" s="64" t="s">
        <v>95</v>
      </c>
      <c r="Q45" s="66" t="s">
        <v>3541</v>
      </c>
      <c r="R45" s="64" t="s">
        <v>76</v>
      </c>
      <c r="S45" s="64" t="s">
        <v>97</v>
      </c>
      <c r="T45" s="67" t="s">
        <v>563</v>
      </c>
      <c r="U45" s="64" t="s">
        <v>78</v>
      </c>
      <c r="V45" s="64" t="s">
        <v>79</v>
      </c>
      <c r="W45" s="64" t="s">
        <v>80</v>
      </c>
      <c r="X45" s="67" t="s">
        <v>159</v>
      </c>
      <c r="Y45" s="64" t="s">
        <v>139</v>
      </c>
      <c r="Z45" s="64" t="s">
        <v>894</v>
      </c>
      <c r="AA45" s="64" t="s">
        <v>902</v>
      </c>
      <c r="AB45" s="66" t="s">
        <v>3542</v>
      </c>
      <c r="AC45" s="69"/>
      <c r="AD45" s="67" t="s">
        <v>897</v>
      </c>
      <c r="AE45" s="59"/>
      <c r="AF45" s="59"/>
      <c r="AG45" s="60"/>
      <c r="AH45" s="60"/>
      <c r="AI45" s="60"/>
      <c r="AJ45" s="60"/>
      <c r="AK45" s="60"/>
      <c r="AL45" s="60"/>
      <c r="AM45" s="60"/>
      <c r="AN45" s="60"/>
      <c r="AO45" s="60"/>
      <c r="AP45" s="60"/>
      <c r="AQ45" s="60"/>
      <c r="AR45" s="61"/>
    </row>
    <row r="46">
      <c r="A46" s="62">
        <v>44.0</v>
      </c>
      <c r="B46" s="96" t="s">
        <v>905</v>
      </c>
      <c r="C46" s="96" t="s">
        <v>906</v>
      </c>
      <c r="D46" s="96" t="s">
        <v>907</v>
      </c>
      <c r="E46" s="70" t="s">
        <v>3543</v>
      </c>
      <c r="F46" s="79" t="s">
        <v>65</v>
      </c>
      <c r="G46" s="79" t="s">
        <v>66</v>
      </c>
      <c r="H46" s="79" t="s">
        <v>909</v>
      </c>
      <c r="I46" s="96" t="s">
        <v>909</v>
      </c>
      <c r="J46" s="79" t="s">
        <v>91</v>
      </c>
      <c r="K46" s="79" t="s">
        <v>70</v>
      </c>
      <c r="L46" s="79" t="s">
        <v>71</v>
      </c>
      <c r="M46" s="79" t="s">
        <v>910</v>
      </c>
      <c r="N46" s="79" t="s">
        <v>82</v>
      </c>
      <c r="O46" s="79" t="s">
        <v>113</v>
      </c>
      <c r="P46" s="79" t="s">
        <v>95</v>
      </c>
      <c r="Q46" s="69"/>
      <c r="R46" s="79" t="s">
        <v>76</v>
      </c>
      <c r="S46" s="79" t="s">
        <v>77</v>
      </c>
      <c r="T46" s="98">
        <v>2022.0</v>
      </c>
      <c r="U46" s="79" t="s">
        <v>154</v>
      </c>
      <c r="V46" s="79" t="s">
        <v>79</v>
      </c>
      <c r="W46" s="69"/>
      <c r="X46" s="69"/>
      <c r="Y46" s="79" t="s">
        <v>101</v>
      </c>
      <c r="Z46" s="79" t="s">
        <v>660</v>
      </c>
      <c r="AA46" s="79" t="s">
        <v>149</v>
      </c>
      <c r="AB46" s="96" t="s">
        <v>911</v>
      </c>
      <c r="AC46" s="96">
        <v>8.163796E8</v>
      </c>
      <c r="AD46" s="69"/>
      <c r="AE46" s="59"/>
      <c r="AF46" s="67" t="s">
        <v>71</v>
      </c>
      <c r="AG46" s="60"/>
      <c r="AH46" s="60"/>
      <c r="AI46" s="60"/>
      <c r="AJ46" s="60"/>
      <c r="AK46" s="60"/>
      <c r="AL46" s="60"/>
      <c r="AM46" s="60"/>
      <c r="AN46" s="60"/>
      <c r="AO46" s="60"/>
      <c r="AP46" s="60"/>
      <c r="AQ46" s="60"/>
      <c r="AR46" s="61"/>
    </row>
    <row r="47">
      <c r="A47" s="62">
        <v>45.0</v>
      </c>
      <c r="B47" s="96" t="s">
        <v>912</v>
      </c>
      <c r="C47" s="96" t="s">
        <v>913</v>
      </c>
      <c r="D47" s="96" t="s">
        <v>914</v>
      </c>
      <c r="E47" s="59"/>
      <c r="F47" s="79" t="s">
        <v>163</v>
      </c>
      <c r="G47" s="79" t="s">
        <v>66</v>
      </c>
      <c r="H47" s="79" t="s">
        <v>915</v>
      </c>
      <c r="I47" s="79" t="s">
        <v>915</v>
      </c>
      <c r="J47" s="79" t="s">
        <v>91</v>
      </c>
      <c r="K47" s="79" t="s">
        <v>110</v>
      </c>
      <c r="L47" s="79" t="s">
        <v>71</v>
      </c>
      <c r="M47" s="79" t="s">
        <v>916</v>
      </c>
      <c r="N47" s="79" t="s">
        <v>82</v>
      </c>
      <c r="O47" s="79" t="s">
        <v>113</v>
      </c>
      <c r="P47" s="79" t="s">
        <v>95</v>
      </c>
      <c r="Q47" s="70" t="s">
        <v>3544</v>
      </c>
      <c r="R47" s="79" t="s">
        <v>76</v>
      </c>
      <c r="S47" s="79" t="s">
        <v>97</v>
      </c>
      <c r="T47" s="98">
        <v>2022.0</v>
      </c>
      <c r="U47" s="79" t="s">
        <v>78</v>
      </c>
      <c r="V47" s="79" t="s">
        <v>98</v>
      </c>
      <c r="W47" s="79" t="s">
        <v>918</v>
      </c>
      <c r="X47" s="79" t="s">
        <v>100</v>
      </c>
      <c r="Y47" s="79" t="s">
        <v>71</v>
      </c>
      <c r="Z47" s="79" t="s">
        <v>919</v>
      </c>
      <c r="AA47" s="79" t="s">
        <v>149</v>
      </c>
      <c r="AB47" s="96" t="s">
        <v>920</v>
      </c>
      <c r="AC47" s="96">
        <v>8.131307723E10</v>
      </c>
      <c r="AD47" s="69"/>
      <c r="AE47" s="59"/>
      <c r="AF47" s="67" t="s">
        <v>71</v>
      </c>
      <c r="AG47" s="60"/>
      <c r="AH47" s="60"/>
      <c r="AI47" s="60"/>
      <c r="AJ47" s="60"/>
      <c r="AK47" s="60"/>
      <c r="AL47" s="60"/>
      <c r="AM47" s="60"/>
      <c r="AN47" s="60"/>
      <c r="AO47" s="60"/>
      <c r="AP47" s="60"/>
      <c r="AQ47" s="60"/>
      <c r="AR47" s="61"/>
    </row>
    <row r="48">
      <c r="A48" s="62">
        <v>46.0</v>
      </c>
      <c r="B48" s="100" t="s">
        <v>921</v>
      </c>
      <c r="C48" s="100" t="s">
        <v>922</v>
      </c>
      <c r="D48" s="100" t="s">
        <v>923</v>
      </c>
      <c r="E48" s="101"/>
      <c r="F48" s="102" t="s">
        <v>165</v>
      </c>
      <c r="G48" s="102" t="s">
        <v>123</v>
      </c>
      <c r="H48" s="102" t="s">
        <v>924</v>
      </c>
      <c r="I48" s="102" t="s">
        <v>924</v>
      </c>
      <c r="J48" s="102" t="s">
        <v>91</v>
      </c>
      <c r="K48" s="103"/>
      <c r="L48" s="103"/>
      <c r="M48" s="135" t="s">
        <v>3269</v>
      </c>
      <c r="N48" s="102" t="s">
        <v>82</v>
      </c>
      <c r="O48" s="102" t="s">
        <v>113</v>
      </c>
      <c r="P48" s="286" t="s">
        <v>95</v>
      </c>
      <c r="Q48" s="70" t="s">
        <v>3545</v>
      </c>
      <c r="R48" s="102" t="s">
        <v>76</v>
      </c>
      <c r="S48" s="102" t="s">
        <v>77</v>
      </c>
      <c r="T48" s="104">
        <v>2025.0</v>
      </c>
      <c r="U48" s="102" t="s">
        <v>78</v>
      </c>
      <c r="V48" s="102" t="s">
        <v>98</v>
      </c>
      <c r="W48" s="102" t="s">
        <v>926</v>
      </c>
      <c r="X48" s="102" t="s">
        <v>100</v>
      </c>
      <c r="Y48" s="102" t="s">
        <v>71</v>
      </c>
      <c r="Z48" s="79" t="s">
        <v>660</v>
      </c>
      <c r="AA48" s="102" t="s">
        <v>149</v>
      </c>
      <c r="AB48" s="96" t="s">
        <v>927</v>
      </c>
      <c r="AC48" s="96">
        <v>8.95385108021E11</v>
      </c>
      <c r="AD48" s="69"/>
      <c r="AE48" s="59"/>
      <c r="AF48" s="67" t="s">
        <v>71</v>
      </c>
      <c r="AG48" s="60"/>
      <c r="AH48" s="60"/>
      <c r="AI48" s="60"/>
      <c r="AJ48" s="60"/>
      <c r="AK48" s="60"/>
      <c r="AL48" s="60"/>
      <c r="AM48" s="60"/>
      <c r="AN48" s="60"/>
      <c r="AO48" s="60"/>
      <c r="AP48" s="60"/>
      <c r="AQ48" s="60"/>
      <c r="AR48" s="61"/>
    </row>
    <row r="49">
      <c r="A49" s="62">
        <v>47.0</v>
      </c>
      <c r="B49" s="96" t="s">
        <v>935</v>
      </c>
      <c r="C49" s="96" t="s">
        <v>936</v>
      </c>
      <c r="D49" s="96" t="s">
        <v>937</v>
      </c>
      <c r="E49" s="70" t="s">
        <v>3546</v>
      </c>
      <c r="F49" s="79" t="s">
        <v>470</v>
      </c>
      <c r="G49" s="79" t="s">
        <v>123</v>
      </c>
      <c r="H49" s="79" t="s">
        <v>939</v>
      </c>
      <c r="I49" s="96" t="s">
        <v>940</v>
      </c>
      <c r="J49" s="79" t="s">
        <v>151</v>
      </c>
      <c r="K49" s="79" t="s">
        <v>110</v>
      </c>
      <c r="L49" s="79" t="s">
        <v>152</v>
      </c>
      <c r="M49" s="79" t="s">
        <v>941</v>
      </c>
      <c r="N49" s="79" t="s">
        <v>82</v>
      </c>
      <c r="O49" s="79" t="s">
        <v>113</v>
      </c>
      <c r="P49" s="79" t="s">
        <v>74</v>
      </c>
      <c r="Q49" s="70" t="s">
        <v>3547</v>
      </c>
      <c r="R49" s="79" t="s">
        <v>76</v>
      </c>
      <c r="S49" s="79" t="s">
        <v>77</v>
      </c>
      <c r="T49" s="98">
        <v>2024.0</v>
      </c>
      <c r="U49" s="79" t="s">
        <v>78</v>
      </c>
      <c r="V49" s="79" t="s">
        <v>79</v>
      </c>
      <c r="W49" s="79" t="s">
        <v>943</v>
      </c>
      <c r="X49" s="79" t="s">
        <v>80</v>
      </c>
      <c r="Y49" s="79" t="s">
        <v>80</v>
      </c>
      <c r="Z49" s="79" t="s">
        <v>944</v>
      </c>
      <c r="AA49" s="79" t="s">
        <v>156</v>
      </c>
      <c r="AB49" s="96" t="s">
        <v>945</v>
      </c>
      <c r="AC49" s="98">
        <v>8.177660196E10</v>
      </c>
      <c r="AD49" s="96" t="s">
        <v>563</v>
      </c>
      <c r="AE49" s="77">
        <v>37.0</v>
      </c>
      <c r="AF49" s="68" t="s">
        <v>152</v>
      </c>
      <c r="AG49" s="60"/>
      <c r="AH49" s="60"/>
      <c r="AI49" s="60"/>
      <c r="AJ49" s="60"/>
      <c r="AK49" s="60"/>
      <c r="AL49" s="60"/>
      <c r="AM49" s="60"/>
      <c r="AN49" s="60"/>
      <c r="AO49" s="60"/>
      <c r="AP49" s="60"/>
      <c r="AQ49" s="60"/>
      <c r="AR49" s="61"/>
    </row>
    <row r="50" hidden="1">
      <c r="A50" s="62">
        <v>48.0</v>
      </c>
      <c r="B50" s="96" t="s">
        <v>946</v>
      </c>
      <c r="C50" s="96" t="s">
        <v>947</v>
      </c>
      <c r="D50" s="59"/>
      <c r="E50" s="70" t="s">
        <v>3548</v>
      </c>
      <c r="F50" s="79" t="s">
        <v>65</v>
      </c>
      <c r="G50" s="79" t="s">
        <v>123</v>
      </c>
      <c r="H50" s="79" t="s">
        <v>949</v>
      </c>
      <c r="I50" s="79" t="s">
        <v>950</v>
      </c>
      <c r="J50" s="79" t="s">
        <v>69</v>
      </c>
      <c r="K50" s="79" t="s">
        <v>110</v>
      </c>
      <c r="L50" s="79" t="s">
        <v>143</v>
      </c>
      <c r="M50" s="287" t="s">
        <v>951</v>
      </c>
      <c r="N50" s="79" t="s">
        <v>26</v>
      </c>
      <c r="O50" s="79" t="s">
        <v>94</v>
      </c>
      <c r="P50" s="79" t="s">
        <v>95</v>
      </c>
      <c r="Q50" s="70" t="s">
        <v>3549</v>
      </c>
      <c r="R50" s="79" t="s">
        <v>76</v>
      </c>
      <c r="S50" s="79" t="s">
        <v>77</v>
      </c>
      <c r="T50" s="98">
        <v>2025.0</v>
      </c>
      <c r="U50" s="79" t="s">
        <v>78</v>
      </c>
      <c r="V50" s="79" t="s">
        <v>79</v>
      </c>
      <c r="W50" s="79" t="s">
        <v>943</v>
      </c>
      <c r="X50" s="79" t="s">
        <v>80</v>
      </c>
      <c r="Y50" s="79" t="s">
        <v>80</v>
      </c>
      <c r="Z50" s="79" t="s">
        <v>953</v>
      </c>
      <c r="AA50" s="79" t="s">
        <v>156</v>
      </c>
      <c r="AB50" s="96" t="s">
        <v>954</v>
      </c>
      <c r="AC50" s="98">
        <v>8.2117986701E10</v>
      </c>
      <c r="AD50" s="96" t="s">
        <v>563</v>
      </c>
      <c r="AE50" s="67" t="s">
        <v>643</v>
      </c>
      <c r="AF50" s="68" t="s">
        <v>71</v>
      </c>
      <c r="AG50" s="60"/>
      <c r="AH50" s="60"/>
      <c r="AI50" s="60"/>
      <c r="AJ50" s="60"/>
      <c r="AK50" s="60"/>
      <c r="AL50" s="60"/>
      <c r="AM50" s="60"/>
      <c r="AN50" s="60"/>
      <c r="AO50" s="60"/>
      <c r="AP50" s="60"/>
      <c r="AQ50" s="60"/>
      <c r="AR50" s="61"/>
    </row>
    <row r="51" hidden="1">
      <c r="A51" s="62">
        <v>49.0</v>
      </c>
      <c r="B51" s="96" t="s">
        <v>955</v>
      </c>
      <c r="C51" s="96" t="s">
        <v>956</v>
      </c>
      <c r="D51" s="96" t="s">
        <v>957</v>
      </c>
      <c r="E51" s="59"/>
      <c r="F51" s="79" t="s">
        <v>470</v>
      </c>
      <c r="G51" s="79" t="s">
        <v>123</v>
      </c>
      <c r="H51" s="79" t="s">
        <v>958</v>
      </c>
      <c r="I51" s="96" t="s">
        <v>959</v>
      </c>
      <c r="J51" s="79" t="s">
        <v>69</v>
      </c>
      <c r="K51" s="79" t="s">
        <v>70</v>
      </c>
      <c r="L51" s="79" t="s">
        <v>101</v>
      </c>
      <c r="M51" s="79" t="s">
        <v>960</v>
      </c>
      <c r="N51" s="79" t="s">
        <v>93</v>
      </c>
      <c r="O51" s="79" t="s">
        <v>113</v>
      </c>
      <c r="P51" s="79" t="s">
        <v>95</v>
      </c>
      <c r="Q51" s="96" t="s">
        <v>961</v>
      </c>
      <c r="R51" s="79" t="s">
        <v>76</v>
      </c>
      <c r="S51" s="79" t="s">
        <v>77</v>
      </c>
      <c r="T51" s="96" t="s">
        <v>961</v>
      </c>
      <c r="U51" s="79" t="s">
        <v>147</v>
      </c>
      <c r="V51" s="79" t="s">
        <v>79</v>
      </c>
      <c r="W51" s="79" t="s">
        <v>943</v>
      </c>
      <c r="X51" s="79" t="s">
        <v>80</v>
      </c>
      <c r="Y51" s="79" t="s">
        <v>80</v>
      </c>
      <c r="Z51" s="79" t="s">
        <v>962</v>
      </c>
      <c r="AA51" s="79" t="s">
        <v>156</v>
      </c>
      <c r="AB51" s="96" t="s">
        <v>963</v>
      </c>
      <c r="AC51" s="98">
        <v>8.2130540674E10</v>
      </c>
      <c r="AD51" s="96" t="s">
        <v>563</v>
      </c>
      <c r="AE51" s="76" t="s">
        <v>563</v>
      </c>
      <c r="AF51" s="68" t="s">
        <v>111</v>
      </c>
      <c r="AG51" s="60"/>
      <c r="AH51" s="60"/>
      <c r="AI51" s="60"/>
      <c r="AJ51" s="60"/>
      <c r="AK51" s="60"/>
      <c r="AL51" s="60"/>
      <c r="AM51" s="60"/>
      <c r="AN51" s="60"/>
      <c r="AO51" s="60"/>
      <c r="AP51" s="60"/>
      <c r="AQ51" s="60"/>
      <c r="AR51" s="61"/>
    </row>
    <row r="52">
      <c r="A52" s="62">
        <v>50.0</v>
      </c>
      <c r="B52" s="96" t="s">
        <v>996</v>
      </c>
      <c r="C52" s="96" t="s">
        <v>997</v>
      </c>
      <c r="D52" s="79" t="s">
        <v>63</v>
      </c>
      <c r="E52" s="96" t="s">
        <v>998</v>
      </c>
      <c r="F52" s="79" t="s">
        <v>65</v>
      </c>
      <c r="G52" s="79" t="s">
        <v>66</v>
      </c>
      <c r="H52" s="79" t="s">
        <v>999</v>
      </c>
      <c r="I52" s="96" t="s">
        <v>1000</v>
      </c>
      <c r="J52" s="79" t="s">
        <v>69</v>
      </c>
      <c r="K52" s="79" t="s">
        <v>70</v>
      </c>
      <c r="L52" s="79" t="s">
        <v>101</v>
      </c>
      <c r="M52" s="79" t="s">
        <v>1001</v>
      </c>
      <c r="N52" s="79" t="s">
        <v>82</v>
      </c>
      <c r="O52" s="79" t="s">
        <v>113</v>
      </c>
      <c r="P52" s="79" t="s">
        <v>74</v>
      </c>
      <c r="Q52" s="70" t="s">
        <v>3550</v>
      </c>
      <c r="R52" s="79" t="s">
        <v>76</v>
      </c>
      <c r="S52" s="79" t="s">
        <v>77</v>
      </c>
      <c r="T52" s="98">
        <v>2024.0</v>
      </c>
      <c r="U52" s="79" t="s">
        <v>78</v>
      </c>
      <c r="V52" s="79" t="s">
        <v>98</v>
      </c>
      <c r="W52" s="79" t="s">
        <v>1003</v>
      </c>
      <c r="X52" s="79" t="s">
        <v>155</v>
      </c>
      <c r="Y52" s="79" t="s">
        <v>101</v>
      </c>
      <c r="Z52" s="79" t="s">
        <v>1004</v>
      </c>
      <c r="AA52" s="79" t="s">
        <v>160</v>
      </c>
      <c r="AB52" s="96" t="s">
        <v>1005</v>
      </c>
      <c r="AC52" s="96">
        <v>8.5117111582E10</v>
      </c>
      <c r="AD52" s="96" t="s">
        <v>563</v>
      </c>
      <c r="AE52" s="59"/>
      <c r="AF52" s="68" t="s">
        <v>566</v>
      </c>
      <c r="AG52" s="60"/>
      <c r="AH52" s="60"/>
      <c r="AI52" s="60"/>
      <c r="AJ52" s="60"/>
      <c r="AK52" s="60"/>
      <c r="AL52" s="60"/>
      <c r="AM52" s="60"/>
      <c r="AN52" s="60"/>
      <c r="AO52" s="60"/>
      <c r="AP52" s="60"/>
      <c r="AQ52" s="60"/>
      <c r="AR52" s="61"/>
    </row>
    <row r="53" hidden="1">
      <c r="A53" s="62">
        <v>51.0</v>
      </c>
      <c r="B53" s="96" t="s">
        <v>1006</v>
      </c>
      <c r="C53" s="96" t="s">
        <v>1007</v>
      </c>
      <c r="D53" s="79" t="s">
        <v>63</v>
      </c>
      <c r="E53" s="96" t="s">
        <v>1008</v>
      </c>
      <c r="F53" s="79" t="s">
        <v>65</v>
      </c>
      <c r="G53" s="79" t="s">
        <v>66</v>
      </c>
      <c r="H53" s="79" t="s">
        <v>1009</v>
      </c>
      <c r="I53" s="96" t="s">
        <v>1010</v>
      </c>
      <c r="J53" s="79" t="s">
        <v>69</v>
      </c>
      <c r="K53" s="79" t="s">
        <v>110</v>
      </c>
      <c r="L53" s="79" t="s">
        <v>152</v>
      </c>
      <c r="M53" s="79" t="s">
        <v>1011</v>
      </c>
      <c r="N53" s="79" t="s">
        <v>73</v>
      </c>
      <c r="O53" s="79" t="s">
        <v>73</v>
      </c>
      <c r="P53" s="79" t="s">
        <v>95</v>
      </c>
      <c r="Q53" s="70" t="s">
        <v>3551</v>
      </c>
      <c r="R53" s="79" t="s">
        <v>76</v>
      </c>
      <c r="S53" s="79" t="s">
        <v>97</v>
      </c>
      <c r="T53" s="96" t="s">
        <v>1013</v>
      </c>
      <c r="U53" s="79" t="s">
        <v>78</v>
      </c>
      <c r="V53" s="69"/>
      <c r="W53" s="79" t="s">
        <v>563</v>
      </c>
      <c r="X53" s="69"/>
      <c r="Y53" s="79" t="s">
        <v>152</v>
      </c>
      <c r="Z53" s="79" t="s">
        <v>1014</v>
      </c>
      <c r="AA53" s="79" t="s">
        <v>160</v>
      </c>
      <c r="AB53" s="96" t="s">
        <v>1015</v>
      </c>
      <c r="AC53" s="96">
        <v>8.5117111582E10</v>
      </c>
      <c r="AD53" s="96" t="s">
        <v>563</v>
      </c>
      <c r="AE53" s="59"/>
      <c r="AF53" s="68" t="s">
        <v>566</v>
      </c>
      <c r="AG53" s="60"/>
      <c r="AH53" s="60"/>
      <c r="AI53" s="60"/>
      <c r="AJ53" s="60"/>
      <c r="AK53" s="60"/>
      <c r="AL53" s="60"/>
      <c r="AM53" s="60"/>
      <c r="AN53" s="60"/>
      <c r="AO53" s="60"/>
      <c r="AP53" s="60"/>
      <c r="AQ53" s="60"/>
      <c r="AR53" s="61"/>
    </row>
    <row r="54">
      <c r="A54" s="62">
        <v>52.0</v>
      </c>
      <c r="B54" s="96" t="s">
        <v>1016</v>
      </c>
      <c r="C54" s="96" t="s">
        <v>1017</v>
      </c>
      <c r="D54" s="79" t="s">
        <v>63</v>
      </c>
      <c r="E54" s="59"/>
      <c r="F54" s="79" t="s">
        <v>65</v>
      </c>
      <c r="G54" s="79" t="s">
        <v>123</v>
      </c>
      <c r="H54" s="79" t="s">
        <v>1018</v>
      </c>
      <c r="I54" s="96" t="s">
        <v>1019</v>
      </c>
      <c r="J54" s="79" t="s">
        <v>69</v>
      </c>
      <c r="K54" s="79" t="s">
        <v>110</v>
      </c>
      <c r="L54" s="79" t="s">
        <v>101</v>
      </c>
      <c r="M54" s="79" t="s">
        <v>1020</v>
      </c>
      <c r="N54" s="79" t="s">
        <v>82</v>
      </c>
      <c r="O54" s="79" t="s">
        <v>113</v>
      </c>
      <c r="P54" s="79" t="s">
        <v>153</v>
      </c>
      <c r="Q54" s="70" t="s">
        <v>3552</v>
      </c>
      <c r="R54" s="79" t="s">
        <v>76</v>
      </c>
      <c r="S54" s="79" t="s">
        <v>97</v>
      </c>
      <c r="T54" s="79">
        <v>2024.0</v>
      </c>
      <c r="U54" s="79" t="s">
        <v>78</v>
      </c>
      <c r="V54" s="79" t="s">
        <v>79</v>
      </c>
      <c r="W54" s="79" t="s">
        <v>563</v>
      </c>
      <c r="X54" s="79" t="s">
        <v>80</v>
      </c>
      <c r="Y54" s="79" t="s">
        <v>80</v>
      </c>
      <c r="Z54" s="79" t="s">
        <v>1004</v>
      </c>
      <c r="AA54" s="79" t="s">
        <v>160</v>
      </c>
      <c r="AB54" s="96" t="s">
        <v>1022</v>
      </c>
      <c r="AC54" s="96">
        <v>8.5768637781E10</v>
      </c>
      <c r="AD54" s="96" t="s">
        <v>1023</v>
      </c>
      <c r="AE54" s="59"/>
      <c r="AF54" s="68" t="s">
        <v>566</v>
      </c>
      <c r="AG54" s="60"/>
      <c r="AH54" s="60"/>
      <c r="AI54" s="60"/>
      <c r="AJ54" s="60"/>
      <c r="AK54" s="60"/>
      <c r="AL54" s="60"/>
      <c r="AM54" s="60"/>
      <c r="AN54" s="60"/>
      <c r="AO54" s="60"/>
      <c r="AP54" s="60"/>
      <c r="AQ54" s="60"/>
      <c r="AR54" s="61"/>
    </row>
    <row r="55">
      <c r="A55" s="62">
        <v>53.0</v>
      </c>
      <c r="B55" s="96" t="s">
        <v>1024</v>
      </c>
      <c r="C55" s="96" t="s">
        <v>1025</v>
      </c>
      <c r="D55" s="96" t="s">
        <v>1026</v>
      </c>
      <c r="E55" s="59"/>
      <c r="F55" s="79" t="s">
        <v>379</v>
      </c>
      <c r="G55" s="79" t="s">
        <v>66</v>
      </c>
      <c r="H55" s="79" t="s">
        <v>1027</v>
      </c>
      <c r="I55" s="96" t="s">
        <v>1028</v>
      </c>
      <c r="J55" s="79" t="s">
        <v>69</v>
      </c>
      <c r="K55" s="79" t="s">
        <v>70</v>
      </c>
      <c r="L55" s="79" t="s">
        <v>101</v>
      </c>
      <c r="M55" s="79" t="s">
        <v>1029</v>
      </c>
      <c r="N55" s="79" t="s">
        <v>82</v>
      </c>
      <c r="O55" s="79" t="s">
        <v>113</v>
      </c>
      <c r="P55" s="79" t="s">
        <v>95</v>
      </c>
      <c r="Q55" s="70" t="s">
        <v>3553</v>
      </c>
      <c r="R55" s="79" t="s">
        <v>76</v>
      </c>
      <c r="S55" s="79" t="s">
        <v>97</v>
      </c>
      <c r="T55" s="98">
        <v>2025.0</v>
      </c>
      <c r="U55" s="79" t="s">
        <v>78</v>
      </c>
      <c r="V55" s="79" t="s">
        <v>79</v>
      </c>
      <c r="W55" s="79" t="s">
        <v>563</v>
      </c>
      <c r="X55" s="69"/>
      <c r="Y55" s="69"/>
      <c r="Z55" s="79" t="s">
        <v>1014</v>
      </c>
      <c r="AA55" s="79" t="s">
        <v>160</v>
      </c>
      <c r="AB55" s="96" t="s">
        <v>1031</v>
      </c>
      <c r="AC55" s="96">
        <v>8.7869520475E10</v>
      </c>
      <c r="AD55" s="79" t="s">
        <v>563</v>
      </c>
      <c r="AE55" s="59"/>
      <c r="AF55" s="68" t="s">
        <v>566</v>
      </c>
      <c r="AG55" s="60"/>
      <c r="AH55" s="60"/>
      <c r="AI55" s="60"/>
      <c r="AJ55" s="60"/>
      <c r="AK55" s="60"/>
      <c r="AL55" s="60"/>
      <c r="AM55" s="60"/>
      <c r="AN55" s="60"/>
      <c r="AO55" s="60"/>
      <c r="AP55" s="60"/>
      <c r="AQ55" s="60"/>
      <c r="AR55" s="61"/>
    </row>
    <row r="56" hidden="1">
      <c r="A56" s="62">
        <v>54.0</v>
      </c>
      <c r="B56" s="96" t="s">
        <v>1042</v>
      </c>
      <c r="C56" s="96" t="s">
        <v>1043</v>
      </c>
      <c r="D56" s="59"/>
      <c r="E56" s="59"/>
      <c r="F56" s="79" t="s">
        <v>344</v>
      </c>
      <c r="G56" s="79" t="s">
        <v>66</v>
      </c>
      <c r="H56" s="79" t="s">
        <v>1044</v>
      </c>
      <c r="I56" s="96" t="s">
        <v>1045</v>
      </c>
      <c r="J56" s="79" t="s">
        <v>69</v>
      </c>
      <c r="K56" s="79" t="s">
        <v>70</v>
      </c>
      <c r="L56" s="79" t="s">
        <v>71</v>
      </c>
      <c r="M56" s="79" t="s">
        <v>1046</v>
      </c>
      <c r="N56" s="79" t="s">
        <v>73</v>
      </c>
      <c r="O56" s="79" t="s">
        <v>73</v>
      </c>
      <c r="P56" s="79" t="s">
        <v>95</v>
      </c>
      <c r="Q56" s="122" t="s">
        <v>3554</v>
      </c>
      <c r="R56" s="79" t="s">
        <v>76</v>
      </c>
      <c r="S56" s="79" t="s">
        <v>97</v>
      </c>
      <c r="T56" s="98">
        <v>2026.0</v>
      </c>
      <c r="U56" s="79" t="s">
        <v>78</v>
      </c>
      <c r="V56" s="79" t="s">
        <v>79</v>
      </c>
      <c r="W56" s="69"/>
      <c r="X56" s="79" t="s">
        <v>159</v>
      </c>
      <c r="Y56" s="79" t="s">
        <v>71</v>
      </c>
      <c r="Z56" s="79" t="s">
        <v>1048</v>
      </c>
      <c r="AA56" s="79" t="s">
        <v>162</v>
      </c>
      <c r="AB56" s="96" t="s">
        <v>1049</v>
      </c>
      <c r="AC56" s="96">
        <v>8.11976661E8</v>
      </c>
      <c r="AD56" s="96" t="s">
        <v>1050</v>
      </c>
      <c r="AE56" s="59"/>
      <c r="AF56" s="59"/>
      <c r="AG56" s="60"/>
      <c r="AH56" s="60"/>
      <c r="AI56" s="60"/>
      <c r="AJ56" s="60"/>
      <c r="AK56" s="60"/>
      <c r="AL56" s="60"/>
      <c r="AM56" s="60"/>
      <c r="AN56" s="60"/>
      <c r="AO56" s="60"/>
      <c r="AP56" s="60"/>
      <c r="AQ56" s="60"/>
      <c r="AR56" s="61"/>
    </row>
    <row r="57" hidden="1">
      <c r="A57" s="62">
        <v>55.0</v>
      </c>
      <c r="B57" s="96" t="s">
        <v>1056</v>
      </c>
      <c r="C57" s="96" t="s">
        <v>1057</v>
      </c>
      <c r="D57" s="59"/>
      <c r="E57" s="59"/>
      <c r="F57" s="69"/>
      <c r="G57" s="69"/>
      <c r="H57" s="69"/>
      <c r="I57" s="96" t="s">
        <v>1058</v>
      </c>
      <c r="J57" s="69"/>
      <c r="K57" s="69"/>
      <c r="L57" s="69"/>
      <c r="M57" s="79" t="s">
        <v>1059</v>
      </c>
      <c r="N57" s="79" t="s">
        <v>93</v>
      </c>
      <c r="O57" s="69"/>
      <c r="P57" s="79" t="s">
        <v>153</v>
      </c>
      <c r="Q57" s="69"/>
      <c r="R57" s="69"/>
      <c r="S57" s="69"/>
      <c r="T57" s="69"/>
      <c r="U57" s="69"/>
      <c r="V57" s="69"/>
      <c r="W57" s="69"/>
      <c r="X57" s="69"/>
      <c r="Y57" s="69"/>
      <c r="Z57" s="69"/>
      <c r="AA57" s="69"/>
      <c r="AB57" s="69"/>
      <c r="AC57" s="69"/>
      <c r="AD57" s="69"/>
      <c r="AE57" s="59"/>
      <c r="AF57" s="59"/>
      <c r="AG57" s="60"/>
      <c r="AH57" s="60"/>
      <c r="AI57" s="60"/>
      <c r="AJ57" s="60"/>
      <c r="AK57" s="60"/>
      <c r="AL57" s="60"/>
      <c r="AM57" s="60"/>
      <c r="AN57" s="60"/>
      <c r="AO57" s="60"/>
      <c r="AP57" s="60"/>
      <c r="AQ57" s="60"/>
      <c r="AR57" s="61"/>
    </row>
    <row r="58" hidden="1">
      <c r="A58" s="62">
        <v>56.0</v>
      </c>
      <c r="B58" s="96" t="s">
        <v>1060</v>
      </c>
      <c r="C58" s="96" t="s">
        <v>1061</v>
      </c>
      <c r="D58" s="59"/>
      <c r="E58" s="59"/>
      <c r="F58" s="79" t="s">
        <v>345</v>
      </c>
      <c r="G58" s="79" t="s">
        <v>66</v>
      </c>
      <c r="H58" s="69"/>
      <c r="I58" s="96" t="s">
        <v>1062</v>
      </c>
      <c r="J58" s="79" t="s">
        <v>69</v>
      </c>
      <c r="K58" s="79" t="s">
        <v>70</v>
      </c>
      <c r="L58" s="79" t="s">
        <v>143</v>
      </c>
      <c r="M58" s="79" t="s">
        <v>1063</v>
      </c>
      <c r="N58" s="79" t="s">
        <v>73</v>
      </c>
      <c r="O58" s="79" t="s">
        <v>73</v>
      </c>
      <c r="P58" s="79" t="s">
        <v>95</v>
      </c>
      <c r="Q58" s="70" t="s">
        <v>3555</v>
      </c>
      <c r="R58" s="79" t="s">
        <v>76</v>
      </c>
      <c r="S58" s="79" t="s">
        <v>97</v>
      </c>
      <c r="T58" s="98">
        <v>2015.0</v>
      </c>
      <c r="U58" s="79" t="s">
        <v>78</v>
      </c>
      <c r="V58" s="79" t="s">
        <v>98</v>
      </c>
      <c r="W58" s="69"/>
      <c r="X58" s="79" t="s">
        <v>100</v>
      </c>
      <c r="Y58" s="79" t="s">
        <v>139</v>
      </c>
      <c r="Z58" s="79" t="s">
        <v>1065</v>
      </c>
      <c r="AA58" s="79" t="s">
        <v>162</v>
      </c>
      <c r="AB58" s="96" t="s">
        <v>1066</v>
      </c>
      <c r="AC58" s="96">
        <v>8.7822419136E10</v>
      </c>
      <c r="AD58" s="96" t="s">
        <v>1067</v>
      </c>
      <c r="AE58" s="59"/>
      <c r="AF58" s="59"/>
      <c r="AG58" s="60"/>
      <c r="AH58" s="60"/>
      <c r="AI58" s="60"/>
      <c r="AJ58" s="60"/>
      <c r="AK58" s="60"/>
      <c r="AL58" s="60"/>
      <c r="AM58" s="60"/>
      <c r="AN58" s="60"/>
      <c r="AO58" s="60"/>
      <c r="AP58" s="60"/>
      <c r="AQ58" s="60"/>
      <c r="AR58" s="61"/>
    </row>
    <row r="59" hidden="1">
      <c r="A59" s="62">
        <v>57.0</v>
      </c>
      <c r="B59" s="96" t="s">
        <v>1068</v>
      </c>
      <c r="C59" s="96" t="s">
        <v>1069</v>
      </c>
      <c r="D59" s="59"/>
      <c r="E59" s="59"/>
      <c r="F59" s="69"/>
      <c r="G59" s="69"/>
      <c r="H59" s="69"/>
      <c r="I59" s="96" t="s">
        <v>1070</v>
      </c>
      <c r="J59" s="69"/>
      <c r="K59" s="69"/>
      <c r="L59" s="69"/>
      <c r="M59" s="79" t="s">
        <v>1071</v>
      </c>
      <c r="N59" s="79" t="s">
        <v>73</v>
      </c>
      <c r="O59" s="79" t="s">
        <v>73</v>
      </c>
      <c r="P59" s="79" t="s">
        <v>95</v>
      </c>
      <c r="Q59" s="70" t="s">
        <v>3556</v>
      </c>
      <c r="R59" s="69"/>
      <c r="S59" s="69"/>
      <c r="T59" s="69"/>
      <c r="U59" s="79" t="s">
        <v>147</v>
      </c>
      <c r="V59" s="69"/>
      <c r="W59" s="69"/>
      <c r="X59" s="69"/>
      <c r="Y59" s="69"/>
      <c r="Z59" s="69"/>
      <c r="AA59" s="69"/>
      <c r="AB59" s="69"/>
      <c r="AC59" s="69"/>
      <c r="AD59" s="69"/>
      <c r="AE59" s="59"/>
      <c r="AF59" s="59"/>
      <c r="AG59" s="60"/>
      <c r="AH59" s="60"/>
      <c r="AI59" s="60"/>
      <c r="AJ59" s="60"/>
      <c r="AK59" s="60"/>
      <c r="AL59" s="60"/>
      <c r="AM59" s="60"/>
      <c r="AN59" s="60"/>
      <c r="AO59" s="60"/>
      <c r="AP59" s="60"/>
      <c r="AQ59" s="60"/>
      <c r="AR59" s="61"/>
    </row>
    <row r="60" hidden="1">
      <c r="A60" s="62">
        <v>58.0</v>
      </c>
      <c r="B60" s="96" t="s">
        <v>1073</v>
      </c>
      <c r="C60" s="96" t="s">
        <v>1074</v>
      </c>
      <c r="D60" s="96" t="s">
        <v>1075</v>
      </c>
      <c r="E60" s="59"/>
      <c r="F60" s="79" t="s">
        <v>345</v>
      </c>
      <c r="G60" s="79" t="s">
        <v>66</v>
      </c>
      <c r="H60" s="69"/>
      <c r="I60" s="96" t="s">
        <v>1076</v>
      </c>
      <c r="J60" s="79" t="s">
        <v>69</v>
      </c>
      <c r="K60" s="79" t="s">
        <v>70</v>
      </c>
      <c r="L60" s="79" t="s">
        <v>71</v>
      </c>
      <c r="M60" s="79" t="s">
        <v>1077</v>
      </c>
      <c r="N60" s="79" t="s">
        <v>73</v>
      </c>
      <c r="O60" s="79" t="s">
        <v>73</v>
      </c>
      <c r="P60" s="79" t="s">
        <v>95</v>
      </c>
      <c r="Q60" s="122" t="s">
        <v>3557</v>
      </c>
      <c r="R60" s="79" t="s">
        <v>76</v>
      </c>
      <c r="S60" s="79" t="s">
        <v>97</v>
      </c>
      <c r="T60" s="98">
        <v>2023.0</v>
      </c>
      <c r="U60" s="79" t="s">
        <v>78</v>
      </c>
      <c r="V60" s="79" t="s">
        <v>98</v>
      </c>
      <c r="W60" s="69"/>
      <c r="X60" s="79" t="s">
        <v>100</v>
      </c>
      <c r="Y60" s="79" t="s">
        <v>71</v>
      </c>
      <c r="Z60" s="79" t="s">
        <v>1065</v>
      </c>
      <c r="AA60" s="79" t="s">
        <v>162</v>
      </c>
      <c r="AB60" s="96" t="s">
        <v>1079</v>
      </c>
      <c r="AC60" s="96">
        <v>8.1313125931E10</v>
      </c>
      <c r="AD60" s="96" t="s">
        <v>1067</v>
      </c>
      <c r="AE60" s="59"/>
      <c r="AF60" s="59"/>
      <c r="AG60" s="60"/>
      <c r="AH60" s="60"/>
      <c r="AI60" s="60"/>
      <c r="AJ60" s="60"/>
      <c r="AK60" s="60"/>
      <c r="AL60" s="60"/>
      <c r="AM60" s="60"/>
      <c r="AN60" s="60"/>
      <c r="AO60" s="60"/>
      <c r="AP60" s="60"/>
      <c r="AQ60" s="60"/>
      <c r="AR60" s="61"/>
    </row>
    <row r="61" hidden="1">
      <c r="A61" s="62">
        <v>59.0</v>
      </c>
      <c r="B61" s="96" t="s">
        <v>1080</v>
      </c>
      <c r="C61" s="96" t="s">
        <v>1081</v>
      </c>
      <c r="D61" s="59"/>
      <c r="E61" s="59"/>
      <c r="F61" s="69"/>
      <c r="G61" s="69"/>
      <c r="H61" s="69"/>
      <c r="I61" s="96" t="s">
        <v>1082</v>
      </c>
      <c r="J61" s="69"/>
      <c r="K61" s="69"/>
      <c r="L61" s="69"/>
      <c r="M61" s="79" t="s">
        <v>1083</v>
      </c>
      <c r="N61" s="79" t="s">
        <v>73</v>
      </c>
      <c r="O61" s="79" t="s">
        <v>73</v>
      </c>
      <c r="P61" s="79" t="s">
        <v>95</v>
      </c>
      <c r="Q61" s="70" t="s">
        <v>3558</v>
      </c>
      <c r="R61" s="288" t="s">
        <v>76</v>
      </c>
      <c r="S61" s="69"/>
      <c r="T61" s="69"/>
      <c r="U61" s="288" t="s">
        <v>78</v>
      </c>
      <c r="V61" s="69"/>
      <c r="W61" s="69"/>
      <c r="X61" s="69"/>
      <c r="Y61" s="69"/>
      <c r="Z61" s="69"/>
      <c r="AA61" s="288" t="s">
        <v>162</v>
      </c>
      <c r="AB61" s="69"/>
      <c r="AC61" s="69"/>
      <c r="AD61" s="69"/>
      <c r="AE61" s="59"/>
      <c r="AF61" s="59"/>
      <c r="AG61" s="60"/>
      <c r="AH61" s="60"/>
      <c r="AI61" s="60"/>
      <c r="AJ61" s="60"/>
      <c r="AK61" s="60"/>
      <c r="AL61" s="60"/>
      <c r="AM61" s="60"/>
      <c r="AN61" s="60"/>
      <c r="AO61" s="60"/>
      <c r="AP61" s="60"/>
      <c r="AQ61" s="60"/>
      <c r="AR61" s="61"/>
    </row>
    <row r="62" hidden="1">
      <c r="A62" s="62">
        <v>60.0</v>
      </c>
      <c r="B62" s="96" t="s">
        <v>1089</v>
      </c>
      <c r="C62" s="96" t="s">
        <v>1090</v>
      </c>
      <c r="D62" s="59"/>
      <c r="E62" s="59"/>
      <c r="F62" s="69"/>
      <c r="G62" s="69"/>
      <c r="H62" s="69"/>
      <c r="I62" s="96" t="s">
        <v>1091</v>
      </c>
      <c r="J62" s="69"/>
      <c r="K62" s="69"/>
      <c r="L62" s="69"/>
      <c r="M62" s="79" t="s">
        <v>1092</v>
      </c>
      <c r="N62" s="69"/>
      <c r="O62" s="69"/>
      <c r="P62" s="69"/>
      <c r="Q62" s="69"/>
      <c r="R62" s="69"/>
      <c r="S62" s="69"/>
      <c r="T62" s="69"/>
      <c r="U62" s="69"/>
      <c r="V62" s="69"/>
      <c r="W62" s="69"/>
      <c r="X62" s="69"/>
      <c r="Y62" s="69"/>
      <c r="Z62" s="69"/>
      <c r="AA62" s="69"/>
      <c r="AB62" s="69"/>
      <c r="AC62" s="69"/>
      <c r="AD62" s="69"/>
      <c r="AE62" s="59"/>
      <c r="AF62" s="59"/>
      <c r="AG62" s="60"/>
      <c r="AH62" s="60"/>
      <c r="AI62" s="60"/>
      <c r="AJ62" s="60"/>
      <c r="AK62" s="60"/>
      <c r="AL62" s="60"/>
      <c r="AM62" s="60"/>
      <c r="AN62" s="60"/>
      <c r="AO62" s="60"/>
      <c r="AP62" s="60"/>
      <c r="AQ62" s="60"/>
      <c r="AR62" s="61"/>
    </row>
    <row r="63" hidden="1">
      <c r="A63" s="62">
        <v>61.0</v>
      </c>
      <c r="B63" s="96" t="s">
        <v>1093</v>
      </c>
      <c r="C63" s="96" t="s">
        <v>1094</v>
      </c>
      <c r="D63" s="59"/>
      <c r="E63" s="59"/>
      <c r="F63" s="79" t="s">
        <v>345</v>
      </c>
      <c r="G63" s="79" t="s">
        <v>66</v>
      </c>
      <c r="H63" s="69"/>
      <c r="I63" s="96" t="s">
        <v>1095</v>
      </c>
      <c r="J63" s="79" t="s">
        <v>151</v>
      </c>
      <c r="K63" s="79" t="s">
        <v>70</v>
      </c>
      <c r="L63" s="79" t="s">
        <v>71</v>
      </c>
      <c r="M63" s="79" t="s">
        <v>1096</v>
      </c>
      <c r="N63" s="79" t="s">
        <v>73</v>
      </c>
      <c r="O63" s="79" t="s">
        <v>73</v>
      </c>
      <c r="P63" s="79" t="s">
        <v>95</v>
      </c>
      <c r="Q63" s="70" t="s">
        <v>3559</v>
      </c>
      <c r="R63" s="79" t="s">
        <v>76</v>
      </c>
      <c r="S63" s="79" t="s">
        <v>97</v>
      </c>
      <c r="T63" s="69"/>
      <c r="U63" s="79" t="s">
        <v>78</v>
      </c>
      <c r="V63" s="79" t="s">
        <v>98</v>
      </c>
      <c r="W63" s="69"/>
      <c r="X63" s="79" t="s">
        <v>159</v>
      </c>
      <c r="Y63" s="79" t="s">
        <v>139</v>
      </c>
      <c r="Z63" s="79" t="s">
        <v>1065</v>
      </c>
      <c r="AA63" s="79" t="s">
        <v>162</v>
      </c>
      <c r="AB63" s="96" t="s">
        <v>1098</v>
      </c>
      <c r="AC63" s="96">
        <v>8.1322836363E10</v>
      </c>
      <c r="AD63" s="96" t="s">
        <v>1099</v>
      </c>
      <c r="AE63" s="59"/>
      <c r="AF63" s="59"/>
      <c r="AG63" s="60"/>
      <c r="AH63" s="60"/>
      <c r="AI63" s="60"/>
      <c r="AJ63" s="60"/>
      <c r="AK63" s="60"/>
      <c r="AL63" s="60"/>
      <c r="AM63" s="60"/>
      <c r="AN63" s="60"/>
      <c r="AO63" s="60"/>
      <c r="AP63" s="60"/>
      <c r="AQ63" s="60"/>
      <c r="AR63" s="61"/>
    </row>
    <row r="64" hidden="1">
      <c r="A64" s="62">
        <v>62.0</v>
      </c>
      <c r="B64" s="96" t="s">
        <v>1100</v>
      </c>
      <c r="C64" s="96" t="s">
        <v>1101</v>
      </c>
      <c r="D64" s="59"/>
      <c r="E64" s="59"/>
      <c r="F64" s="79" t="s">
        <v>345</v>
      </c>
      <c r="G64" s="79" t="s">
        <v>66</v>
      </c>
      <c r="H64" s="69"/>
      <c r="I64" s="96" t="s">
        <v>1102</v>
      </c>
      <c r="J64" s="79" t="s">
        <v>151</v>
      </c>
      <c r="K64" s="79" t="s">
        <v>70</v>
      </c>
      <c r="L64" s="79" t="s">
        <v>71</v>
      </c>
      <c r="M64" s="79" t="s">
        <v>1103</v>
      </c>
      <c r="N64" s="79" t="s">
        <v>73</v>
      </c>
      <c r="O64" s="79" t="s">
        <v>73</v>
      </c>
      <c r="P64" s="79" t="s">
        <v>95</v>
      </c>
      <c r="Q64" s="70" t="s">
        <v>3560</v>
      </c>
      <c r="R64" s="79" t="s">
        <v>76</v>
      </c>
      <c r="S64" s="79" t="s">
        <v>97</v>
      </c>
      <c r="T64" s="69"/>
      <c r="U64" s="79" t="s">
        <v>78</v>
      </c>
      <c r="V64" s="79" t="s">
        <v>98</v>
      </c>
      <c r="W64" s="69"/>
      <c r="X64" s="79" t="s">
        <v>159</v>
      </c>
      <c r="Y64" s="79" t="s">
        <v>139</v>
      </c>
      <c r="Z64" s="79" t="s">
        <v>1065</v>
      </c>
      <c r="AA64" s="79" t="s">
        <v>162</v>
      </c>
      <c r="AB64" s="96" t="s">
        <v>1105</v>
      </c>
      <c r="AC64" s="96">
        <v>8.1223266494E10</v>
      </c>
      <c r="AD64" s="96" t="s">
        <v>1099</v>
      </c>
      <c r="AE64" s="59"/>
      <c r="AF64" s="59"/>
      <c r="AG64" s="60"/>
      <c r="AH64" s="60"/>
      <c r="AI64" s="60"/>
      <c r="AJ64" s="60"/>
      <c r="AK64" s="60"/>
      <c r="AL64" s="60"/>
      <c r="AM64" s="60"/>
      <c r="AN64" s="60"/>
      <c r="AO64" s="60"/>
      <c r="AP64" s="60"/>
      <c r="AQ64" s="60"/>
      <c r="AR64" s="61"/>
    </row>
    <row r="65" hidden="1">
      <c r="A65" s="62">
        <v>63.0</v>
      </c>
      <c r="B65" s="96" t="s">
        <v>1106</v>
      </c>
      <c r="C65" s="96" t="s">
        <v>1107</v>
      </c>
      <c r="D65" s="59"/>
      <c r="E65" s="59"/>
      <c r="F65" s="79" t="s">
        <v>345</v>
      </c>
      <c r="G65" s="79" t="s">
        <v>66</v>
      </c>
      <c r="H65" s="69"/>
      <c r="I65" s="96" t="s">
        <v>1108</v>
      </c>
      <c r="J65" s="79" t="s">
        <v>151</v>
      </c>
      <c r="K65" s="79" t="s">
        <v>70</v>
      </c>
      <c r="L65" s="79" t="s">
        <v>71</v>
      </c>
      <c r="M65" s="79" t="s">
        <v>1109</v>
      </c>
      <c r="N65" s="79" t="s">
        <v>73</v>
      </c>
      <c r="O65" s="79" t="s">
        <v>73</v>
      </c>
      <c r="P65" s="79" t="s">
        <v>95</v>
      </c>
      <c r="Q65" s="70" t="s">
        <v>3561</v>
      </c>
      <c r="R65" s="79" t="s">
        <v>76</v>
      </c>
      <c r="S65" s="79" t="s">
        <v>97</v>
      </c>
      <c r="T65" s="69"/>
      <c r="U65" s="79" t="s">
        <v>78</v>
      </c>
      <c r="V65" s="79" t="s">
        <v>98</v>
      </c>
      <c r="W65" s="69"/>
      <c r="X65" s="79" t="s">
        <v>159</v>
      </c>
      <c r="Y65" s="79" t="s">
        <v>139</v>
      </c>
      <c r="Z65" s="79" t="s">
        <v>1065</v>
      </c>
      <c r="AA65" s="79" t="s">
        <v>162</v>
      </c>
      <c r="AB65" s="96" t="s">
        <v>1105</v>
      </c>
      <c r="AC65" s="96">
        <v>8.1223266494E10</v>
      </c>
      <c r="AD65" s="96" t="s">
        <v>1099</v>
      </c>
      <c r="AE65" s="59"/>
      <c r="AF65" s="59"/>
      <c r="AG65" s="60"/>
      <c r="AH65" s="60"/>
      <c r="AI65" s="60"/>
      <c r="AJ65" s="60"/>
      <c r="AK65" s="60"/>
      <c r="AL65" s="60"/>
      <c r="AM65" s="60"/>
      <c r="AN65" s="60"/>
      <c r="AO65" s="60"/>
      <c r="AP65" s="60"/>
      <c r="AQ65" s="60"/>
      <c r="AR65" s="61"/>
    </row>
    <row r="66" hidden="1">
      <c r="A66" s="62">
        <v>64.0</v>
      </c>
      <c r="B66" s="96" t="s">
        <v>1116</v>
      </c>
      <c r="C66" s="96" t="s">
        <v>1117</v>
      </c>
      <c r="D66" s="59"/>
      <c r="E66" s="59"/>
      <c r="F66" s="69"/>
      <c r="G66" s="69"/>
      <c r="H66" s="69"/>
      <c r="I66" s="96" t="s">
        <v>1118</v>
      </c>
      <c r="J66" s="69"/>
      <c r="K66" s="69"/>
      <c r="L66" s="69"/>
      <c r="M66" s="79" t="s">
        <v>1119</v>
      </c>
      <c r="N66" s="69"/>
      <c r="O66" s="69"/>
      <c r="P66" s="69"/>
      <c r="Q66" s="69"/>
      <c r="R66" s="69"/>
      <c r="S66" s="69"/>
      <c r="T66" s="69"/>
      <c r="U66" s="69"/>
      <c r="V66" s="69"/>
      <c r="W66" s="69"/>
      <c r="X66" s="69"/>
      <c r="Y66" s="69"/>
      <c r="Z66" s="69"/>
      <c r="AA66" s="69"/>
      <c r="AB66" s="96" t="s">
        <v>1120</v>
      </c>
      <c r="AC66" s="69"/>
      <c r="AD66" s="69"/>
      <c r="AE66" s="59"/>
      <c r="AF66" s="59"/>
      <c r="AG66" s="60"/>
      <c r="AH66" s="60"/>
      <c r="AI66" s="60"/>
      <c r="AJ66" s="60"/>
      <c r="AK66" s="60"/>
      <c r="AL66" s="60"/>
      <c r="AM66" s="60"/>
      <c r="AN66" s="60"/>
      <c r="AO66" s="60"/>
      <c r="AP66" s="60"/>
      <c r="AQ66" s="60"/>
      <c r="AR66" s="61"/>
    </row>
    <row r="67" hidden="1">
      <c r="A67" s="62">
        <v>65.0</v>
      </c>
      <c r="B67" s="96" t="s">
        <v>1121</v>
      </c>
      <c r="C67" s="96" t="s">
        <v>1122</v>
      </c>
      <c r="D67" s="59"/>
      <c r="E67" s="59"/>
      <c r="F67" s="79" t="s">
        <v>345</v>
      </c>
      <c r="G67" s="79" t="s">
        <v>66</v>
      </c>
      <c r="H67" s="69"/>
      <c r="I67" s="96" t="s">
        <v>1123</v>
      </c>
      <c r="J67" s="79" t="s">
        <v>151</v>
      </c>
      <c r="K67" s="79" t="s">
        <v>70</v>
      </c>
      <c r="L67" s="79" t="s">
        <v>71</v>
      </c>
      <c r="M67" s="79" t="s">
        <v>1124</v>
      </c>
      <c r="N67" s="79" t="s">
        <v>73</v>
      </c>
      <c r="O67" s="79" t="s">
        <v>73</v>
      </c>
      <c r="P67" s="79" t="s">
        <v>95</v>
      </c>
      <c r="Q67" s="70" t="s">
        <v>3562</v>
      </c>
      <c r="R67" s="79" t="s">
        <v>76</v>
      </c>
      <c r="S67" s="79" t="s">
        <v>97</v>
      </c>
      <c r="T67" s="69"/>
      <c r="U67" s="79" t="s">
        <v>78</v>
      </c>
      <c r="V67" s="79" t="s">
        <v>98</v>
      </c>
      <c r="W67" s="69"/>
      <c r="X67" s="79" t="s">
        <v>159</v>
      </c>
      <c r="Y67" s="79" t="s">
        <v>139</v>
      </c>
      <c r="Z67" s="79" t="s">
        <v>1065</v>
      </c>
      <c r="AA67" s="79" t="s">
        <v>162</v>
      </c>
      <c r="AB67" s="96" t="s">
        <v>1105</v>
      </c>
      <c r="AC67" s="96">
        <v>8.1223266494E10</v>
      </c>
      <c r="AD67" s="96" t="s">
        <v>1099</v>
      </c>
      <c r="AE67" s="59"/>
      <c r="AF67" s="59"/>
      <c r="AG67" s="60"/>
      <c r="AH67" s="60"/>
      <c r="AI67" s="60"/>
      <c r="AJ67" s="60"/>
      <c r="AK67" s="60"/>
      <c r="AL67" s="60"/>
      <c r="AM67" s="60"/>
      <c r="AN67" s="60"/>
      <c r="AO67" s="60"/>
      <c r="AP67" s="60"/>
      <c r="AQ67" s="60"/>
      <c r="AR67" s="61"/>
    </row>
    <row r="68" hidden="1">
      <c r="A68" s="62">
        <v>66.0</v>
      </c>
      <c r="B68" s="96" t="s">
        <v>1129</v>
      </c>
      <c r="C68" s="96" t="s">
        <v>1130</v>
      </c>
      <c r="D68" s="59"/>
      <c r="E68" s="59"/>
      <c r="F68" s="69"/>
      <c r="G68" s="69"/>
      <c r="H68" s="69"/>
      <c r="I68" s="96" t="s">
        <v>1131</v>
      </c>
      <c r="J68" s="69"/>
      <c r="K68" s="69"/>
      <c r="L68" s="69"/>
      <c r="M68" s="79" t="s">
        <v>1132</v>
      </c>
      <c r="N68" s="69"/>
      <c r="O68" s="69"/>
      <c r="P68" s="69"/>
      <c r="Q68" s="69"/>
      <c r="R68" s="69"/>
      <c r="S68" s="69"/>
      <c r="T68" s="69"/>
      <c r="U68" s="69"/>
      <c r="V68" s="69"/>
      <c r="W68" s="69"/>
      <c r="X68" s="69"/>
      <c r="Y68" s="69"/>
      <c r="Z68" s="69"/>
      <c r="AA68" s="69"/>
      <c r="AB68" s="69"/>
      <c r="AC68" s="69"/>
      <c r="AD68" s="69"/>
      <c r="AE68" s="59"/>
      <c r="AF68" s="59"/>
      <c r="AG68" s="60"/>
      <c r="AH68" s="60"/>
      <c r="AI68" s="60"/>
      <c r="AJ68" s="60"/>
      <c r="AK68" s="60"/>
      <c r="AL68" s="60"/>
      <c r="AM68" s="60"/>
      <c r="AN68" s="60"/>
      <c r="AO68" s="60"/>
      <c r="AP68" s="60"/>
      <c r="AQ68" s="60"/>
      <c r="AR68" s="61"/>
    </row>
    <row r="69" hidden="1">
      <c r="A69" s="62">
        <v>67.0</v>
      </c>
      <c r="B69" s="96" t="s">
        <v>1133</v>
      </c>
      <c r="C69" s="96" t="s">
        <v>1134</v>
      </c>
      <c r="D69" s="59"/>
      <c r="E69" s="59"/>
      <c r="F69" s="69"/>
      <c r="G69" s="69"/>
      <c r="H69" s="69"/>
      <c r="I69" s="96" t="s">
        <v>1135</v>
      </c>
      <c r="J69" s="69"/>
      <c r="K69" s="69"/>
      <c r="L69" s="69"/>
      <c r="M69" s="79" t="s">
        <v>1136</v>
      </c>
      <c r="N69" s="69"/>
      <c r="O69" s="69"/>
      <c r="P69" s="69"/>
      <c r="Q69" s="69"/>
      <c r="R69" s="69"/>
      <c r="S69" s="69"/>
      <c r="T69" s="69"/>
      <c r="U69" s="69"/>
      <c r="V69" s="69"/>
      <c r="W69" s="69"/>
      <c r="X69" s="69"/>
      <c r="Y69" s="69"/>
      <c r="Z69" s="69"/>
      <c r="AA69" s="69"/>
      <c r="AB69" s="69"/>
      <c r="AC69" s="69"/>
      <c r="AD69" s="69"/>
      <c r="AE69" s="59"/>
      <c r="AF69" s="59"/>
      <c r="AG69" s="60"/>
      <c r="AH69" s="60"/>
      <c r="AI69" s="60"/>
      <c r="AJ69" s="60"/>
      <c r="AK69" s="60"/>
      <c r="AL69" s="60"/>
      <c r="AM69" s="60"/>
      <c r="AN69" s="60"/>
      <c r="AO69" s="60"/>
      <c r="AP69" s="60"/>
      <c r="AQ69" s="60"/>
      <c r="AR69" s="61"/>
    </row>
    <row r="70" hidden="1">
      <c r="A70" s="62">
        <v>68.0</v>
      </c>
      <c r="B70" s="96" t="s">
        <v>1137</v>
      </c>
      <c r="C70" s="96" t="s">
        <v>1138</v>
      </c>
      <c r="D70" s="59"/>
      <c r="E70" s="59"/>
      <c r="F70" s="69"/>
      <c r="G70" s="69"/>
      <c r="H70" s="69"/>
      <c r="I70" s="96" t="s">
        <v>1139</v>
      </c>
      <c r="J70" s="69"/>
      <c r="K70" s="69"/>
      <c r="L70" s="69"/>
      <c r="M70" s="79" t="s">
        <v>1140</v>
      </c>
      <c r="N70" s="69"/>
      <c r="O70" s="69"/>
      <c r="P70" s="69"/>
      <c r="Q70" s="69"/>
      <c r="R70" s="69"/>
      <c r="S70" s="69"/>
      <c r="T70" s="69"/>
      <c r="U70" s="69"/>
      <c r="V70" s="69"/>
      <c r="W70" s="69"/>
      <c r="X70" s="69"/>
      <c r="Y70" s="69"/>
      <c r="Z70" s="69"/>
      <c r="AA70" s="69"/>
      <c r="AB70" s="69"/>
      <c r="AC70" s="69"/>
      <c r="AD70" s="69"/>
      <c r="AE70" s="59"/>
      <c r="AF70" s="59"/>
      <c r="AG70" s="60"/>
      <c r="AH70" s="60"/>
      <c r="AI70" s="60"/>
      <c r="AJ70" s="60"/>
      <c r="AK70" s="60"/>
      <c r="AL70" s="60"/>
      <c r="AM70" s="60"/>
      <c r="AN70" s="60"/>
      <c r="AO70" s="60"/>
      <c r="AP70" s="60"/>
      <c r="AQ70" s="60"/>
      <c r="AR70" s="61"/>
    </row>
    <row r="71" hidden="1">
      <c r="A71" s="62">
        <v>69.0</v>
      </c>
      <c r="B71" s="96" t="s">
        <v>1141</v>
      </c>
      <c r="C71" s="96" t="s">
        <v>1142</v>
      </c>
      <c r="D71" s="59"/>
      <c r="E71" s="59"/>
      <c r="F71" s="69"/>
      <c r="G71" s="79" t="s">
        <v>123</v>
      </c>
      <c r="H71" s="69"/>
      <c r="I71" s="69"/>
      <c r="J71" s="69"/>
      <c r="K71" s="69"/>
      <c r="L71" s="79" t="s">
        <v>71</v>
      </c>
      <c r="M71" s="79" t="s">
        <v>1143</v>
      </c>
      <c r="N71" s="79" t="s">
        <v>73</v>
      </c>
      <c r="O71" s="79" t="s">
        <v>73</v>
      </c>
      <c r="P71" s="79" t="s">
        <v>74</v>
      </c>
      <c r="Q71" s="70" t="s">
        <v>3563</v>
      </c>
      <c r="R71" s="79" t="s">
        <v>76</v>
      </c>
      <c r="S71" s="69"/>
      <c r="T71" s="69"/>
      <c r="U71" s="79" t="s">
        <v>78</v>
      </c>
      <c r="V71" s="79" t="s">
        <v>98</v>
      </c>
      <c r="W71" s="79" t="s">
        <v>1145</v>
      </c>
      <c r="X71" s="69"/>
      <c r="Y71" s="79" t="s">
        <v>139</v>
      </c>
      <c r="Z71" s="79" t="s">
        <v>1146</v>
      </c>
      <c r="AA71" s="288" t="s">
        <v>162</v>
      </c>
      <c r="AB71" s="69"/>
      <c r="AC71" s="69"/>
      <c r="AD71" s="69"/>
      <c r="AE71" s="59"/>
      <c r="AF71" s="59"/>
      <c r="AG71" s="60"/>
      <c r="AH71" s="60"/>
      <c r="AI71" s="60"/>
      <c r="AJ71" s="60"/>
      <c r="AK71" s="60"/>
      <c r="AL71" s="60"/>
      <c r="AM71" s="60"/>
      <c r="AN71" s="60"/>
      <c r="AO71" s="60"/>
      <c r="AP71" s="60"/>
      <c r="AQ71" s="60"/>
      <c r="AR71" s="61"/>
    </row>
    <row r="72">
      <c r="A72" s="62">
        <v>70.0</v>
      </c>
      <c r="B72" s="96" t="s">
        <v>1147</v>
      </c>
      <c r="C72" s="96" t="s">
        <v>1148</v>
      </c>
      <c r="D72" s="96" t="s">
        <v>1149</v>
      </c>
      <c r="E72" s="79" t="s">
        <v>88</v>
      </c>
      <c r="F72" s="79" t="s">
        <v>290</v>
      </c>
      <c r="G72" s="79" t="s">
        <v>66</v>
      </c>
      <c r="H72" s="96" t="s">
        <v>1150</v>
      </c>
      <c r="I72" s="96" t="s">
        <v>1151</v>
      </c>
      <c r="J72" s="79" t="s">
        <v>91</v>
      </c>
      <c r="K72" s="79" t="s">
        <v>70</v>
      </c>
      <c r="L72" s="79" t="s">
        <v>71</v>
      </c>
      <c r="M72" s="79" t="s">
        <v>1152</v>
      </c>
      <c r="N72" s="79" t="s">
        <v>93</v>
      </c>
      <c r="O72" s="79" t="s">
        <v>113</v>
      </c>
      <c r="P72" s="79" t="s">
        <v>74</v>
      </c>
      <c r="Q72" s="70" t="s">
        <v>3564</v>
      </c>
      <c r="R72" s="79" t="s">
        <v>76</v>
      </c>
      <c r="S72" s="79" t="s">
        <v>77</v>
      </c>
      <c r="T72" s="79">
        <v>2024.0</v>
      </c>
      <c r="U72" s="79" t="s">
        <v>78</v>
      </c>
      <c r="V72" s="79" t="s">
        <v>79</v>
      </c>
      <c r="W72" s="79" t="s">
        <v>80</v>
      </c>
      <c r="X72" s="79" t="s">
        <v>80</v>
      </c>
      <c r="Y72" s="79" t="s">
        <v>80</v>
      </c>
      <c r="Z72" s="79" t="s">
        <v>1154</v>
      </c>
      <c r="AA72" s="79" t="s">
        <v>164</v>
      </c>
      <c r="AB72" s="96" t="s">
        <v>1155</v>
      </c>
      <c r="AC72" s="79">
        <v>8.1290730949E10</v>
      </c>
      <c r="AD72" s="69"/>
      <c r="AE72" s="68">
        <v>39.0</v>
      </c>
      <c r="AF72" s="68" t="s">
        <v>71</v>
      </c>
      <c r="AG72" s="60"/>
      <c r="AH72" s="60"/>
      <c r="AI72" s="60"/>
      <c r="AJ72" s="60"/>
      <c r="AK72" s="60"/>
      <c r="AL72" s="60"/>
      <c r="AM72" s="60"/>
      <c r="AN72" s="60"/>
      <c r="AO72" s="60"/>
      <c r="AP72" s="60"/>
      <c r="AQ72" s="60"/>
      <c r="AR72" s="61"/>
    </row>
    <row r="73">
      <c r="A73" s="62">
        <v>71.0</v>
      </c>
      <c r="B73" s="96" t="s">
        <v>1156</v>
      </c>
      <c r="C73" s="96" t="s">
        <v>1157</v>
      </c>
      <c r="D73" s="96" t="s">
        <v>1158</v>
      </c>
      <c r="E73" s="131" t="s">
        <v>3565</v>
      </c>
      <c r="F73" s="79" t="s">
        <v>309</v>
      </c>
      <c r="G73" s="79" t="s">
        <v>66</v>
      </c>
      <c r="H73" s="79" t="s">
        <v>1160</v>
      </c>
      <c r="I73" s="79" t="s">
        <v>1161</v>
      </c>
      <c r="J73" s="79" t="s">
        <v>151</v>
      </c>
      <c r="K73" s="79" t="s">
        <v>70</v>
      </c>
      <c r="L73" s="79" t="s">
        <v>71</v>
      </c>
      <c r="M73" s="79" t="s">
        <v>1162</v>
      </c>
      <c r="N73" s="79" t="s">
        <v>93</v>
      </c>
      <c r="O73" s="79" t="s">
        <v>113</v>
      </c>
      <c r="P73" s="79" t="s">
        <v>74</v>
      </c>
      <c r="Q73" s="70" t="s">
        <v>3566</v>
      </c>
      <c r="R73" s="79" t="s">
        <v>76</v>
      </c>
      <c r="S73" s="79" t="s">
        <v>97</v>
      </c>
      <c r="T73" s="79">
        <v>2022.0</v>
      </c>
      <c r="U73" s="79" t="s">
        <v>78</v>
      </c>
      <c r="V73" s="79" t="s">
        <v>98</v>
      </c>
      <c r="W73" s="79" t="s">
        <v>1164</v>
      </c>
      <c r="X73" s="79" t="s">
        <v>155</v>
      </c>
      <c r="Y73" s="79" t="s">
        <v>71</v>
      </c>
      <c r="Z73" s="79" t="s">
        <v>1165</v>
      </c>
      <c r="AA73" s="79" t="s">
        <v>164</v>
      </c>
      <c r="AB73" s="96" t="s">
        <v>1166</v>
      </c>
      <c r="AC73" s="79">
        <v>8.1318911897E10</v>
      </c>
      <c r="AD73" s="96" t="s">
        <v>1167</v>
      </c>
      <c r="AE73" s="64" t="s">
        <v>1168</v>
      </c>
      <c r="AF73" s="64" t="s">
        <v>71</v>
      </c>
      <c r="AG73" s="60"/>
      <c r="AH73" s="60"/>
      <c r="AI73" s="60"/>
      <c r="AJ73" s="60"/>
      <c r="AK73" s="60"/>
      <c r="AL73" s="60"/>
      <c r="AM73" s="60"/>
      <c r="AN73" s="60"/>
      <c r="AO73" s="60"/>
      <c r="AP73" s="60"/>
      <c r="AQ73" s="60"/>
      <c r="AR73" s="61"/>
    </row>
    <row r="74">
      <c r="A74" s="62">
        <v>72.0</v>
      </c>
      <c r="B74" s="96" t="s">
        <v>1169</v>
      </c>
      <c r="C74" s="96" t="s">
        <v>1170</v>
      </c>
      <c r="D74" s="96" t="s">
        <v>63</v>
      </c>
      <c r="E74" s="131" t="s">
        <v>3567</v>
      </c>
      <c r="F74" s="79" t="s">
        <v>65</v>
      </c>
      <c r="G74" s="79" t="s">
        <v>66</v>
      </c>
      <c r="H74" s="79" t="s">
        <v>1172</v>
      </c>
      <c r="I74" s="79" t="s">
        <v>68</v>
      </c>
      <c r="J74" s="79" t="s">
        <v>91</v>
      </c>
      <c r="K74" s="79" t="s">
        <v>70</v>
      </c>
      <c r="L74" s="79" t="s">
        <v>71</v>
      </c>
      <c r="M74" s="79" t="s">
        <v>1173</v>
      </c>
      <c r="N74" s="79" t="s">
        <v>93</v>
      </c>
      <c r="O74" s="79" t="s">
        <v>113</v>
      </c>
      <c r="P74" s="79" t="s">
        <v>74</v>
      </c>
      <c r="Q74" s="70" t="s">
        <v>3568</v>
      </c>
      <c r="R74" s="79" t="s">
        <v>76</v>
      </c>
      <c r="S74" s="79" t="s">
        <v>77</v>
      </c>
      <c r="T74" s="79">
        <v>2022.0</v>
      </c>
      <c r="U74" s="79" t="s">
        <v>78</v>
      </c>
      <c r="V74" s="79" t="s">
        <v>79</v>
      </c>
      <c r="W74" s="79" t="s">
        <v>80</v>
      </c>
      <c r="X74" s="79" t="s">
        <v>80</v>
      </c>
      <c r="Y74" s="79" t="s">
        <v>80</v>
      </c>
      <c r="Z74" s="79" t="s">
        <v>1175</v>
      </c>
      <c r="AA74" s="79" t="s">
        <v>164</v>
      </c>
      <c r="AB74" s="96" t="s">
        <v>1176</v>
      </c>
      <c r="AC74" s="69"/>
      <c r="AD74" s="69"/>
      <c r="AE74" s="59"/>
      <c r="AF74" s="64" t="s">
        <v>71</v>
      </c>
      <c r="AG74" s="60"/>
      <c r="AH74" s="60"/>
      <c r="AI74" s="60"/>
      <c r="AJ74" s="60"/>
      <c r="AK74" s="60"/>
      <c r="AL74" s="60"/>
      <c r="AM74" s="60"/>
      <c r="AN74" s="60"/>
      <c r="AO74" s="60"/>
      <c r="AP74" s="60"/>
      <c r="AQ74" s="60"/>
      <c r="AR74" s="61"/>
    </row>
    <row r="75">
      <c r="A75" s="62">
        <v>73.0</v>
      </c>
      <c r="B75" s="96" t="s">
        <v>1177</v>
      </c>
      <c r="C75" s="96" t="s">
        <v>1178</v>
      </c>
      <c r="D75" s="132" t="s">
        <v>1179</v>
      </c>
      <c r="E75" s="79" t="s">
        <v>88</v>
      </c>
      <c r="F75" s="79" t="s">
        <v>290</v>
      </c>
      <c r="G75" s="79" t="s">
        <v>123</v>
      </c>
      <c r="H75" s="79" t="s">
        <v>1180</v>
      </c>
      <c r="I75" s="79" t="s">
        <v>1181</v>
      </c>
      <c r="J75" s="79" t="s">
        <v>151</v>
      </c>
      <c r="K75" s="79" t="s">
        <v>70</v>
      </c>
      <c r="L75" s="79" t="s">
        <v>152</v>
      </c>
      <c r="M75" s="79" t="s">
        <v>1182</v>
      </c>
      <c r="N75" s="79" t="s">
        <v>93</v>
      </c>
      <c r="O75" s="79" t="s">
        <v>113</v>
      </c>
      <c r="P75" s="79" t="s">
        <v>74</v>
      </c>
      <c r="Q75" s="70" t="s">
        <v>3569</v>
      </c>
      <c r="R75" s="79" t="s">
        <v>76</v>
      </c>
      <c r="S75" s="79" t="s">
        <v>97</v>
      </c>
      <c r="T75" s="79">
        <v>2024.0</v>
      </c>
      <c r="U75" s="79" t="s">
        <v>78</v>
      </c>
      <c r="V75" s="79" t="s">
        <v>79</v>
      </c>
      <c r="W75" s="79" t="s">
        <v>80</v>
      </c>
      <c r="X75" s="79" t="s">
        <v>80</v>
      </c>
      <c r="Y75" s="79" t="s">
        <v>80</v>
      </c>
      <c r="Z75" s="79" t="s">
        <v>1184</v>
      </c>
      <c r="AA75" s="79" t="s">
        <v>164</v>
      </c>
      <c r="AB75" s="96" t="s">
        <v>1185</v>
      </c>
      <c r="AC75" s="79">
        <v>8.5860661778E10</v>
      </c>
      <c r="AD75" s="96" t="s">
        <v>1186</v>
      </c>
      <c r="AE75" s="68">
        <v>47.0</v>
      </c>
      <c r="AF75" s="64" t="s">
        <v>152</v>
      </c>
      <c r="AG75" s="60"/>
      <c r="AH75" s="60"/>
      <c r="AI75" s="60"/>
      <c r="AJ75" s="60"/>
      <c r="AK75" s="60"/>
      <c r="AL75" s="60"/>
      <c r="AM75" s="60"/>
      <c r="AN75" s="60"/>
      <c r="AO75" s="60"/>
      <c r="AP75" s="60"/>
      <c r="AQ75" s="60"/>
      <c r="AR75" s="61"/>
    </row>
    <row r="76">
      <c r="A76" s="62">
        <v>74.0</v>
      </c>
      <c r="B76" s="96" t="s">
        <v>1187</v>
      </c>
      <c r="C76" s="96" t="s">
        <v>1188</v>
      </c>
      <c r="D76" s="96" t="s">
        <v>1189</v>
      </c>
      <c r="E76" s="70" t="s">
        <v>3570</v>
      </c>
      <c r="F76" s="79" t="s">
        <v>222</v>
      </c>
      <c r="G76" s="79" t="s">
        <v>66</v>
      </c>
      <c r="H76" s="79" t="s">
        <v>1191</v>
      </c>
      <c r="I76" s="79" t="s">
        <v>1192</v>
      </c>
      <c r="J76" s="79" t="s">
        <v>91</v>
      </c>
      <c r="K76" s="79" t="s">
        <v>70</v>
      </c>
      <c r="L76" s="79" t="s">
        <v>71</v>
      </c>
      <c r="M76" s="79" t="s">
        <v>1193</v>
      </c>
      <c r="N76" s="79" t="s">
        <v>93</v>
      </c>
      <c r="O76" s="79" t="s">
        <v>113</v>
      </c>
      <c r="P76" s="79" t="s">
        <v>74</v>
      </c>
      <c r="Q76" s="70" t="s">
        <v>3571</v>
      </c>
      <c r="R76" s="79" t="s">
        <v>76</v>
      </c>
      <c r="S76" s="79" t="s">
        <v>77</v>
      </c>
      <c r="T76" s="79">
        <v>2024.0</v>
      </c>
      <c r="U76" s="79" t="s">
        <v>154</v>
      </c>
      <c r="V76" s="79" t="s">
        <v>79</v>
      </c>
      <c r="W76" s="79" t="s">
        <v>80</v>
      </c>
      <c r="X76" s="79" t="s">
        <v>80</v>
      </c>
      <c r="Y76" s="79" t="s">
        <v>80</v>
      </c>
      <c r="Z76" s="79" t="s">
        <v>1195</v>
      </c>
      <c r="AA76" s="79" t="s">
        <v>164</v>
      </c>
      <c r="AB76" s="96" t="s">
        <v>1196</v>
      </c>
      <c r="AC76" s="79">
        <v>8.9681575101E10</v>
      </c>
      <c r="AD76" s="96" t="s">
        <v>1197</v>
      </c>
      <c r="AE76" s="68">
        <v>47.0</v>
      </c>
      <c r="AF76" s="64" t="s">
        <v>71</v>
      </c>
      <c r="AG76" s="60"/>
      <c r="AH76" s="60"/>
      <c r="AI76" s="60"/>
      <c r="AJ76" s="60"/>
      <c r="AK76" s="60"/>
      <c r="AL76" s="60"/>
      <c r="AM76" s="60"/>
      <c r="AN76" s="60"/>
      <c r="AO76" s="60"/>
      <c r="AP76" s="60"/>
      <c r="AQ76" s="60"/>
      <c r="AR76" s="61"/>
    </row>
    <row r="77">
      <c r="A77" s="62">
        <v>75.0</v>
      </c>
      <c r="B77" s="96" t="s">
        <v>1198</v>
      </c>
      <c r="C77" s="96" t="s">
        <v>1199</v>
      </c>
      <c r="D77" s="96" t="s">
        <v>1200</v>
      </c>
      <c r="E77" s="131" t="s">
        <v>3572</v>
      </c>
      <c r="F77" s="79" t="s">
        <v>65</v>
      </c>
      <c r="G77" s="79" t="s">
        <v>66</v>
      </c>
      <c r="H77" s="79" t="s">
        <v>1202</v>
      </c>
      <c r="I77" s="79" t="s">
        <v>1203</v>
      </c>
      <c r="J77" s="79" t="s">
        <v>151</v>
      </c>
      <c r="K77" s="79" t="s">
        <v>70</v>
      </c>
      <c r="L77" s="79" t="s">
        <v>152</v>
      </c>
      <c r="M77" s="79" t="s">
        <v>1204</v>
      </c>
      <c r="N77" s="79" t="s">
        <v>93</v>
      </c>
      <c r="O77" s="79" t="s">
        <v>113</v>
      </c>
      <c r="P77" s="79" t="s">
        <v>74</v>
      </c>
      <c r="Q77" s="70" t="s">
        <v>3573</v>
      </c>
      <c r="R77" s="79" t="s">
        <v>76</v>
      </c>
      <c r="S77" s="79" t="s">
        <v>97</v>
      </c>
      <c r="T77" s="79">
        <v>2022.0</v>
      </c>
      <c r="U77" s="79" t="s">
        <v>78</v>
      </c>
      <c r="V77" s="79" t="s">
        <v>79</v>
      </c>
      <c r="W77" s="79" t="s">
        <v>80</v>
      </c>
      <c r="X77" s="79" t="s">
        <v>80</v>
      </c>
      <c r="Y77" s="79" t="s">
        <v>80</v>
      </c>
      <c r="Z77" s="79" t="s">
        <v>1206</v>
      </c>
      <c r="AA77" s="79" t="s">
        <v>164</v>
      </c>
      <c r="AB77" s="96" t="s">
        <v>1207</v>
      </c>
      <c r="AC77" s="133">
        <v>8.9649072891E10</v>
      </c>
      <c r="AD77" s="96" t="s">
        <v>1208</v>
      </c>
      <c r="AE77" s="68">
        <v>13.0</v>
      </c>
      <c r="AF77" s="64" t="s">
        <v>152</v>
      </c>
      <c r="AG77" s="60"/>
      <c r="AH77" s="60"/>
      <c r="AI77" s="60"/>
      <c r="AJ77" s="60"/>
      <c r="AK77" s="60"/>
      <c r="AL77" s="60"/>
      <c r="AM77" s="60"/>
      <c r="AN77" s="60"/>
      <c r="AO77" s="60"/>
      <c r="AP77" s="60"/>
      <c r="AQ77" s="60"/>
      <c r="AR77" s="61"/>
    </row>
    <row r="78">
      <c r="A78" s="62">
        <v>76.0</v>
      </c>
      <c r="B78" s="96" t="s">
        <v>1209</v>
      </c>
      <c r="C78" s="96" t="s">
        <v>1210</v>
      </c>
      <c r="D78" s="96" t="s">
        <v>1211</v>
      </c>
      <c r="E78" s="79" t="s">
        <v>88</v>
      </c>
      <c r="F78" s="79" t="s">
        <v>420</v>
      </c>
      <c r="G78" s="79" t="s">
        <v>66</v>
      </c>
      <c r="H78" s="79" t="s">
        <v>1212</v>
      </c>
      <c r="I78" s="79" t="s">
        <v>1213</v>
      </c>
      <c r="J78" s="79" t="s">
        <v>91</v>
      </c>
      <c r="K78" s="79" t="s">
        <v>110</v>
      </c>
      <c r="L78" s="79" t="s">
        <v>143</v>
      </c>
      <c r="M78" s="79" t="s">
        <v>1214</v>
      </c>
      <c r="N78" s="79" t="s">
        <v>93</v>
      </c>
      <c r="O78" s="79" t="s">
        <v>113</v>
      </c>
      <c r="P78" s="79" t="s">
        <v>74</v>
      </c>
      <c r="Q78" s="70" t="s">
        <v>3574</v>
      </c>
      <c r="R78" s="79" t="s">
        <v>76</v>
      </c>
      <c r="S78" s="79" t="s">
        <v>97</v>
      </c>
      <c r="T78" s="79">
        <v>2024.0</v>
      </c>
      <c r="U78" s="79" t="s">
        <v>78</v>
      </c>
      <c r="V78" s="79" t="s">
        <v>79</v>
      </c>
      <c r="W78" s="79" t="s">
        <v>80</v>
      </c>
      <c r="X78" s="79" t="s">
        <v>80</v>
      </c>
      <c r="Y78" s="79" t="s">
        <v>80</v>
      </c>
      <c r="Z78" s="79" t="s">
        <v>1184</v>
      </c>
      <c r="AA78" s="79" t="s">
        <v>164</v>
      </c>
      <c r="AB78" s="96" t="s">
        <v>1216</v>
      </c>
      <c r="AC78" s="79">
        <v>8.1221971903E10</v>
      </c>
      <c r="AD78" s="96" t="s">
        <v>1217</v>
      </c>
      <c r="AE78" s="68" t="s">
        <v>1218</v>
      </c>
      <c r="AF78" s="64" t="s">
        <v>152</v>
      </c>
      <c r="AG78" s="60"/>
      <c r="AH78" s="60"/>
      <c r="AI78" s="60"/>
      <c r="AJ78" s="60"/>
      <c r="AK78" s="60"/>
      <c r="AL78" s="60"/>
      <c r="AM78" s="60"/>
      <c r="AN78" s="60"/>
      <c r="AO78" s="60"/>
      <c r="AP78" s="60"/>
      <c r="AQ78" s="60"/>
      <c r="AR78" s="61"/>
    </row>
    <row r="79">
      <c r="A79" s="62">
        <v>77.0</v>
      </c>
      <c r="B79" s="96" t="s">
        <v>1248</v>
      </c>
      <c r="C79" s="96" t="s">
        <v>1249</v>
      </c>
      <c r="D79" s="96" t="s">
        <v>1250</v>
      </c>
      <c r="E79" s="70" t="s">
        <v>3575</v>
      </c>
      <c r="F79" s="79" t="s">
        <v>312</v>
      </c>
      <c r="G79" s="79" t="s">
        <v>66</v>
      </c>
      <c r="H79" s="68" t="s">
        <v>89</v>
      </c>
      <c r="I79" s="96" t="s">
        <v>1252</v>
      </c>
      <c r="J79" s="79" t="s">
        <v>151</v>
      </c>
      <c r="K79" s="79" t="s">
        <v>70</v>
      </c>
      <c r="L79" s="79" t="s">
        <v>111</v>
      </c>
      <c r="M79" s="79" t="s">
        <v>1253</v>
      </c>
      <c r="N79" s="79" t="s">
        <v>82</v>
      </c>
      <c r="O79" s="79" t="s">
        <v>113</v>
      </c>
      <c r="P79" s="79" t="s">
        <v>95</v>
      </c>
      <c r="Q79" s="70" t="s">
        <v>3576</v>
      </c>
      <c r="R79" s="79" t="s">
        <v>76</v>
      </c>
      <c r="S79" s="79" t="s">
        <v>97</v>
      </c>
      <c r="T79" s="79">
        <v>2025.0</v>
      </c>
      <c r="U79" s="79" t="s">
        <v>78</v>
      </c>
      <c r="V79" s="69"/>
      <c r="W79" s="69"/>
      <c r="X79" s="69"/>
      <c r="Y79" s="69"/>
      <c r="Z79" s="79" t="s">
        <v>1255</v>
      </c>
      <c r="AA79" s="79" t="s">
        <v>166</v>
      </c>
      <c r="AB79" s="69"/>
      <c r="AC79" s="69"/>
      <c r="AD79" s="69"/>
      <c r="AE79" s="59"/>
      <c r="AF79" s="59"/>
      <c r="AG79" s="60"/>
      <c r="AH79" s="60"/>
      <c r="AI79" s="60"/>
      <c r="AJ79" s="60"/>
      <c r="AK79" s="60"/>
      <c r="AL79" s="60"/>
      <c r="AM79" s="60"/>
      <c r="AN79" s="60"/>
      <c r="AO79" s="60"/>
      <c r="AP79" s="60"/>
      <c r="AQ79" s="60"/>
      <c r="AR79" s="61"/>
    </row>
    <row r="80">
      <c r="A80" s="62">
        <v>78.0</v>
      </c>
      <c r="B80" s="96" t="s">
        <v>1257</v>
      </c>
      <c r="C80" s="96" t="s">
        <v>1258</v>
      </c>
      <c r="D80" s="96" t="s">
        <v>1259</v>
      </c>
      <c r="E80" s="70" t="s">
        <v>3577</v>
      </c>
      <c r="F80" s="79" t="s">
        <v>351</v>
      </c>
      <c r="G80" s="79" t="s">
        <v>66</v>
      </c>
      <c r="H80" s="79" t="s">
        <v>1261</v>
      </c>
      <c r="I80" s="96" t="s">
        <v>1262</v>
      </c>
      <c r="J80" s="79" t="s">
        <v>69</v>
      </c>
      <c r="K80" s="79" t="s">
        <v>70</v>
      </c>
      <c r="L80" s="79" t="s">
        <v>152</v>
      </c>
      <c r="M80" s="79" t="s">
        <v>1263</v>
      </c>
      <c r="N80" s="79" t="s">
        <v>26</v>
      </c>
      <c r="O80" s="79" t="s">
        <v>113</v>
      </c>
      <c r="P80" s="79" t="s">
        <v>74</v>
      </c>
      <c r="Q80" s="70" t="s">
        <v>3578</v>
      </c>
      <c r="R80" s="79" t="s">
        <v>76</v>
      </c>
      <c r="S80" s="79" t="s">
        <v>77</v>
      </c>
      <c r="T80" s="79">
        <v>2021.0</v>
      </c>
      <c r="U80" s="79" t="s">
        <v>78</v>
      </c>
      <c r="V80" s="79" t="s">
        <v>79</v>
      </c>
      <c r="W80" s="79" t="s">
        <v>80</v>
      </c>
      <c r="X80" s="79" t="s">
        <v>80</v>
      </c>
      <c r="Y80" s="79" t="s">
        <v>80</v>
      </c>
      <c r="Z80" s="79" t="s">
        <v>1265</v>
      </c>
      <c r="AA80" s="79" t="s">
        <v>168</v>
      </c>
      <c r="AB80" s="96" t="s">
        <v>1266</v>
      </c>
      <c r="AC80" s="96">
        <v>8.994413332E9</v>
      </c>
      <c r="AD80" s="96" t="s">
        <v>1267</v>
      </c>
      <c r="AE80" s="77">
        <v>10.0</v>
      </c>
      <c r="AF80" s="68" t="s">
        <v>1268</v>
      </c>
      <c r="AG80" s="60"/>
      <c r="AH80" s="60"/>
      <c r="AI80" s="60"/>
      <c r="AJ80" s="60"/>
      <c r="AK80" s="60"/>
      <c r="AL80" s="60"/>
      <c r="AM80" s="60"/>
      <c r="AN80" s="60"/>
      <c r="AO80" s="60"/>
      <c r="AP80" s="60"/>
      <c r="AQ80" s="60"/>
      <c r="AR80" s="61"/>
    </row>
    <row r="81" hidden="1">
      <c r="A81" s="62">
        <v>79.0</v>
      </c>
      <c r="B81" s="96" t="s">
        <v>1311</v>
      </c>
      <c r="C81" s="96" t="s">
        <v>1312</v>
      </c>
      <c r="D81" s="96" t="s">
        <v>1313</v>
      </c>
      <c r="E81" s="70" t="s">
        <v>3579</v>
      </c>
      <c r="F81" s="79" t="s">
        <v>65</v>
      </c>
      <c r="G81" s="79" t="s">
        <v>66</v>
      </c>
      <c r="H81" s="79" t="s">
        <v>1315</v>
      </c>
      <c r="I81" s="96" t="s">
        <v>1316</v>
      </c>
      <c r="J81" s="79" t="s">
        <v>91</v>
      </c>
      <c r="K81" s="79" t="s">
        <v>70</v>
      </c>
      <c r="L81" s="79" t="s">
        <v>71</v>
      </c>
      <c r="M81" s="79" t="s">
        <v>1317</v>
      </c>
      <c r="N81" s="79" t="s">
        <v>73</v>
      </c>
      <c r="O81" s="79" t="s">
        <v>73</v>
      </c>
      <c r="P81" s="79" t="s">
        <v>74</v>
      </c>
      <c r="Q81" s="70" t="s">
        <v>3580</v>
      </c>
      <c r="R81" s="79" t="s">
        <v>76</v>
      </c>
      <c r="S81" s="79" t="s">
        <v>77</v>
      </c>
      <c r="T81" s="79">
        <v>2023.0</v>
      </c>
      <c r="U81" s="79" t="s">
        <v>78</v>
      </c>
      <c r="V81" s="79" t="s">
        <v>79</v>
      </c>
      <c r="W81" s="131" t="s">
        <v>3581</v>
      </c>
      <c r="X81" s="79" t="s">
        <v>155</v>
      </c>
      <c r="Y81" s="79" t="s">
        <v>71</v>
      </c>
      <c r="Z81" s="79" t="s">
        <v>1320</v>
      </c>
      <c r="AA81" s="79" t="s">
        <v>170</v>
      </c>
      <c r="AB81" s="96" t="s">
        <v>1321</v>
      </c>
      <c r="AC81" s="96">
        <v>8.5759713013E10</v>
      </c>
      <c r="AD81" s="96" t="s">
        <v>1322</v>
      </c>
      <c r="AE81" s="68">
        <v>28.0</v>
      </c>
      <c r="AF81" s="68" t="s">
        <v>71</v>
      </c>
      <c r="AG81" s="84" t="s">
        <v>1323</v>
      </c>
      <c r="AH81" s="92"/>
      <c r="AI81" s="92"/>
      <c r="AJ81" s="92"/>
      <c r="AK81" s="92"/>
      <c r="AL81" s="92"/>
      <c r="AM81" s="92"/>
      <c r="AN81" s="92"/>
      <c r="AO81" s="92"/>
      <c r="AP81" s="92"/>
      <c r="AQ81" s="92"/>
      <c r="AR81" s="61"/>
    </row>
    <row r="82">
      <c r="A82" s="62">
        <v>80.0</v>
      </c>
      <c r="B82" s="96" t="s">
        <v>1324</v>
      </c>
      <c r="C82" s="96" t="s">
        <v>1325</v>
      </c>
      <c r="D82" s="96" t="s">
        <v>1326</v>
      </c>
      <c r="E82" s="96" t="s">
        <v>1327</v>
      </c>
      <c r="F82" s="79" t="s">
        <v>65</v>
      </c>
      <c r="G82" s="79" t="s">
        <v>1328</v>
      </c>
      <c r="H82" s="79" t="s">
        <v>1329</v>
      </c>
      <c r="I82" s="96" t="s">
        <v>1330</v>
      </c>
      <c r="J82" s="79" t="s">
        <v>91</v>
      </c>
      <c r="K82" s="79" t="s">
        <v>70</v>
      </c>
      <c r="L82" s="79" t="s">
        <v>71</v>
      </c>
      <c r="M82" s="79" t="s">
        <v>1331</v>
      </c>
      <c r="N82" s="79" t="s">
        <v>82</v>
      </c>
      <c r="O82" s="79" t="s">
        <v>113</v>
      </c>
      <c r="P82" s="79" t="s">
        <v>95</v>
      </c>
      <c r="Q82" s="70" t="s">
        <v>3582</v>
      </c>
      <c r="R82" s="79" t="s">
        <v>76</v>
      </c>
      <c r="S82" s="79" t="s">
        <v>97</v>
      </c>
      <c r="T82" s="79">
        <v>2021.0</v>
      </c>
      <c r="U82" s="79" t="s">
        <v>78</v>
      </c>
      <c r="V82" s="79" t="s">
        <v>98</v>
      </c>
      <c r="W82" s="131" t="s">
        <v>3583</v>
      </c>
      <c r="X82" s="79" t="s">
        <v>155</v>
      </c>
      <c r="Y82" s="79" t="s">
        <v>71</v>
      </c>
      <c r="Z82" s="79" t="s">
        <v>1334</v>
      </c>
      <c r="AA82" s="79" t="s">
        <v>170</v>
      </c>
      <c r="AB82" s="96" t="s">
        <v>1335</v>
      </c>
      <c r="AC82" s="96">
        <v>8.1809627007E10</v>
      </c>
      <c r="AD82" s="96" t="s">
        <v>1336</v>
      </c>
      <c r="AE82" s="68">
        <v>28.0</v>
      </c>
      <c r="AF82" s="68" t="s">
        <v>71</v>
      </c>
      <c r="AG82" s="84" t="s">
        <v>1337</v>
      </c>
      <c r="AI82" s="92"/>
      <c r="AJ82" s="92"/>
      <c r="AK82" s="92"/>
      <c r="AL82" s="92"/>
      <c r="AM82" s="92"/>
      <c r="AN82" s="92"/>
      <c r="AO82" s="92"/>
      <c r="AP82" s="92"/>
      <c r="AQ82" s="92"/>
      <c r="AR82" s="61"/>
    </row>
    <row r="83" hidden="1">
      <c r="A83" s="62">
        <v>81.0</v>
      </c>
      <c r="B83" s="96" t="s">
        <v>1338</v>
      </c>
      <c r="C83" s="96" t="s">
        <v>1339</v>
      </c>
      <c r="D83" s="96" t="s">
        <v>1340</v>
      </c>
      <c r="E83" s="96" t="s">
        <v>1327</v>
      </c>
      <c r="F83" s="79" t="s">
        <v>65</v>
      </c>
      <c r="G83" s="79" t="s">
        <v>66</v>
      </c>
      <c r="H83" s="79" t="s">
        <v>1341</v>
      </c>
      <c r="I83" s="96" t="s">
        <v>1342</v>
      </c>
      <c r="J83" s="79" t="s">
        <v>91</v>
      </c>
      <c r="K83" s="79" t="s">
        <v>70</v>
      </c>
      <c r="L83" s="79" t="s">
        <v>71</v>
      </c>
      <c r="M83" s="79" t="s">
        <v>1343</v>
      </c>
      <c r="N83" s="79" t="s">
        <v>73</v>
      </c>
      <c r="O83" s="79" t="s">
        <v>73</v>
      </c>
      <c r="P83" s="79" t="s">
        <v>95</v>
      </c>
      <c r="Q83" s="70" t="s">
        <v>3584</v>
      </c>
      <c r="R83" s="79" t="s">
        <v>76</v>
      </c>
      <c r="S83" s="79" t="s">
        <v>97</v>
      </c>
      <c r="T83" s="79">
        <v>2024.0</v>
      </c>
      <c r="U83" s="79" t="s">
        <v>78</v>
      </c>
      <c r="V83" s="79" t="s">
        <v>79</v>
      </c>
      <c r="W83" s="79" t="s">
        <v>80</v>
      </c>
      <c r="X83" s="79" t="s">
        <v>80</v>
      </c>
      <c r="Y83" s="79" t="s">
        <v>80</v>
      </c>
      <c r="Z83" s="79" t="s">
        <v>1345</v>
      </c>
      <c r="AA83" s="79" t="s">
        <v>170</v>
      </c>
      <c r="AB83" s="96" t="s">
        <v>1346</v>
      </c>
      <c r="AC83" s="96">
        <v>8.122423955E9</v>
      </c>
      <c r="AD83" s="96" t="s">
        <v>1322</v>
      </c>
      <c r="AE83" s="68">
        <v>28.0</v>
      </c>
      <c r="AF83" s="68" t="s">
        <v>71</v>
      </c>
      <c r="AG83" s="60"/>
      <c r="AH83" s="60"/>
      <c r="AI83" s="60"/>
      <c r="AJ83" s="60"/>
      <c r="AK83" s="60"/>
      <c r="AL83" s="60"/>
      <c r="AM83" s="60"/>
      <c r="AN83" s="60"/>
      <c r="AO83" s="60"/>
      <c r="AP83" s="60"/>
      <c r="AQ83" s="60"/>
      <c r="AR83" s="61"/>
    </row>
    <row r="84">
      <c r="A84" s="62">
        <v>82.0</v>
      </c>
      <c r="B84" s="96" t="s">
        <v>1359</v>
      </c>
      <c r="C84" s="96" t="s">
        <v>1360</v>
      </c>
      <c r="D84" s="96" t="s">
        <v>1361</v>
      </c>
      <c r="E84" s="70" t="s">
        <v>3585</v>
      </c>
      <c r="F84" s="79" t="s">
        <v>65</v>
      </c>
      <c r="G84" s="79" t="s">
        <v>66</v>
      </c>
      <c r="H84" s="79" t="s">
        <v>1363</v>
      </c>
      <c r="I84" s="96" t="s">
        <v>1364</v>
      </c>
      <c r="J84" s="79" t="s">
        <v>158</v>
      </c>
      <c r="K84" s="79" t="s">
        <v>70</v>
      </c>
      <c r="L84" s="79" t="s">
        <v>71</v>
      </c>
      <c r="M84" s="79" t="s">
        <v>1365</v>
      </c>
      <c r="N84" s="79" t="s">
        <v>82</v>
      </c>
      <c r="O84" s="79" t="s">
        <v>113</v>
      </c>
      <c r="P84" s="79" t="s">
        <v>95</v>
      </c>
      <c r="Q84" s="70" t="s">
        <v>3586</v>
      </c>
      <c r="R84" s="79" t="s">
        <v>76</v>
      </c>
      <c r="S84" s="79" t="s">
        <v>77</v>
      </c>
      <c r="T84" s="98">
        <v>2023.0</v>
      </c>
      <c r="U84" s="79" t="s">
        <v>78</v>
      </c>
      <c r="V84" s="79" t="s">
        <v>79</v>
      </c>
      <c r="W84" s="79" t="s">
        <v>80</v>
      </c>
      <c r="X84" s="79" t="s">
        <v>80</v>
      </c>
      <c r="Y84" s="79" t="s">
        <v>80</v>
      </c>
      <c r="Z84" s="79" t="s">
        <v>1367</v>
      </c>
      <c r="AA84" s="79" t="s">
        <v>172</v>
      </c>
      <c r="AB84" s="142" t="s">
        <v>1368</v>
      </c>
      <c r="AC84" s="96">
        <v>8.5722205379E10</v>
      </c>
      <c r="AD84" s="69"/>
      <c r="AE84" s="77">
        <v>11.0</v>
      </c>
      <c r="AF84" s="68" t="s">
        <v>71</v>
      </c>
      <c r="AG84" s="60"/>
      <c r="AH84" s="60"/>
      <c r="AI84" s="60"/>
      <c r="AJ84" s="60"/>
      <c r="AK84" s="60"/>
      <c r="AL84" s="60"/>
      <c r="AM84" s="60"/>
      <c r="AN84" s="60"/>
      <c r="AO84" s="60"/>
      <c r="AP84" s="60"/>
      <c r="AQ84" s="60"/>
      <c r="AR84" s="61"/>
    </row>
    <row r="85">
      <c r="A85" s="62">
        <v>83.0</v>
      </c>
      <c r="B85" s="96" t="s">
        <v>1369</v>
      </c>
      <c r="C85" s="96" t="s">
        <v>1370</v>
      </c>
      <c r="D85" s="96" t="s">
        <v>1371</v>
      </c>
      <c r="E85" s="70" t="s">
        <v>3587</v>
      </c>
      <c r="F85" s="79" t="s">
        <v>355</v>
      </c>
      <c r="G85" s="79" t="s">
        <v>123</v>
      </c>
      <c r="H85" s="79" t="s">
        <v>1373</v>
      </c>
      <c r="I85" s="96" t="s">
        <v>1374</v>
      </c>
      <c r="J85" s="79" t="s">
        <v>151</v>
      </c>
      <c r="K85" s="79" t="s">
        <v>110</v>
      </c>
      <c r="L85" s="79" t="s">
        <v>111</v>
      </c>
      <c r="M85" s="79" t="s">
        <v>1375</v>
      </c>
      <c r="N85" s="79" t="s">
        <v>82</v>
      </c>
      <c r="O85" s="79" t="s">
        <v>113</v>
      </c>
      <c r="P85" s="79" t="s">
        <v>95</v>
      </c>
      <c r="Q85" s="70" t="s">
        <v>3588</v>
      </c>
      <c r="R85" s="79" t="s">
        <v>76</v>
      </c>
      <c r="S85" s="79" t="s">
        <v>77</v>
      </c>
      <c r="T85" s="98">
        <v>2022.0</v>
      </c>
      <c r="U85" s="79" t="s">
        <v>78</v>
      </c>
      <c r="V85" s="79" t="s">
        <v>98</v>
      </c>
      <c r="W85" s="79" t="s">
        <v>1377</v>
      </c>
      <c r="X85" s="79" t="s">
        <v>159</v>
      </c>
      <c r="Y85" s="79" t="s">
        <v>111</v>
      </c>
      <c r="Z85" s="79" t="s">
        <v>1367</v>
      </c>
      <c r="AA85" s="79" t="s">
        <v>172</v>
      </c>
      <c r="AB85" s="96" t="s">
        <v>1378</v>
      </c>
      <c r="AC85" s="96">
        <v>8.2317985659E10</v>
      </c>
      <c r="AD85" s="96" t="s">
        <v>1379</v>
      </c>
      <c r="AE85" s="77">
        <v>11.0</v>
      </c>
      <c r="AF85" s="68" t="s">
        <v>111</v>
      </c>
      <c r="AG85" s="60"/>
      <c r="AH85" s="60"/>
      <c r="AI85" s="60"/>
      <c r="AJ85" s="60"/>
      <c r="AK85" s="60"/>
      <c r="AL85" s="60"/>
      <c r="AM85" s="60"/>
      <c r="AN85" s="60"/>
      <c r="AO85" s="60"/>
      <c r="AP85" s="60"/>
      <c r="AQ85" s="60"/>
      <c r="AR85" s="61"/>
    </row>
    <row r="86" hidden="1">
      <c r="A86" s="62">
        <v>84.0</v>
      </c>
      <c r="B86" s="96" t="s">
        <v>1380</v>
      </c>
      <c r="C86" s="96" t="s">
        <v>1381</v>
      </c>
      <c r="D86" s="96" t="s">
        <v>1382</v>
      </c>
      <c r="E86" s="59"/>
      <c r="F86" s="79" t="s">
        <v>340</v>
      </c>
      <c r="G86" s="79" t="s">
        <v>66</v>
      </c>
      <c r="H86" s="79" t="s">
        <v>1383</v>
      </c>
      <c r="I86" s="96" t="s">
        <v>1384</v>
      </c>
      <c r="J86" s="79" t="s">
        <v>69</v>
      </c>
      <c r="K86" s="79" t="s">
        <v>70</v>
      </c>
      <c r="L86" s="79" t="s">
        <v>152</v>
      </c>
      <c r="M86" s="79" t="s">
        <v>1385</v>
      </c>
      <c r="N86" s="79" t="s">
        <v>73</v>
      </c>
      <c r="O86" s="79" t="s">
        <v>73</v>
      </c>
      <c r="P86" s="79" t="s">
        <v>74</v>
      </c>
      <c r="Q86" s="70" t="s">
        <v>3589</v>
      </c>
      <c r="R86" s="79" t="s">
        <v>76</v>
      </c>
      <c r="S86" s="79" t="s">
        <v>77</v>
      </c>
      <c r="T86" s="98">
        <v>2023.0</v>
      </c>
      <c r="U86" s="79" t="s">
        <v>78</v>
      </c>
      <c r="V86" s="79" t="s">
        <v>98</v>
      </c>
      <c r="W86" s="79" t="s">
        <v>1387</v>
      </c>
      <c r="X86" s="79" t="s">
        <v>100</v>
      </c>
      <c r="Y86" s="79" t="s">
        <v>139</v>
      </c>
      <c r="Z86" s="79" t="s">
        <v>1388</v>
      </c>
      <c r="AA86" s="79" t="s">
        <v>172</v>
      </c>
      <c r="AB86" s="96" t="s">
        <v>1389</v>
      </c>
      <c r="AC86" s="96">
        <v>8.5729245486E10</v>
      </c>
      <c r="AD86" s="69"/>
      <c r="AE86" s="77">
        <v>9.0</v>
      </c>
      <c r="AF86" s="68" t="s">
        <v>111</v>
      </c>
      <c r="AG86" s="60"/>
      <c r="AH86" s="60"/>
      <c r="AI86" s="60"/>
      <c r="AJ86" s="60"/>
      <c r="AK86" s="60"/>
      <c r="AL86" s="60"/>
      <c r="AM86" s="60"/>
      <c r="AN86" s="60"/>
      <c r="AO86" s="60"/>
      <c r="AP86" s="60"/>
      <c r="AQ86" s="60"/>
      <c r="AR86" s="61"/>
    </row>
    <row r="87">
      <c r="A87" s="62">
        <v>85.0</v>
      </c>
      <c r="B87" s="96" t="s">
        <v>1390</v>
      </c>
      <c r="C87" s="96" t="s">
        <v>1391</v>
      </c>
      <c r="D87" s="96" t="s">
        <v>1392</v>
      </c>
      <c r="E87" s="70" t="s">
        <v>3590</v>
      </c>
      <c r="F87" s="79" t="s">
        <v>65</v>
      </c>
      <c r="G87" s="79" t="s">
        <v>66</v>
      </c>
      <c r="H87" s="79" t="s">
        <v>1394</v>
      </c>
      <c r="I87" s="96" t="s">
        <v>1394</v>
      </c>
      <c r="J87" s="79" t="s">
        <v>69</v>
      </c>
      <c r="K87" s="79" t="s">
        <v>70</v>
      </c>
      <c r="L87" s="79" t="s">
        <v>152</v>
      </c>
      <c r="M87" s="79" t="s">
        <v>1395</v>
      </c>
      <c r="N87" s="79" t="s">
        <v>82</v>
      </c>
      <c r="O87" s="79" t="s">
        <v>113</v>
      </c>
      <c r="P87" s="79" t="s">
        <v>95</v>
      </c>
      <c r="Q87" s="70" t="s">
        <v>3591</v>
      </c>
      <c r="R87" s="79" t="s">
        <v>76</v>
      </c>
      <c r="S87" s="79" t="s">
        <v>77</v>
      </c>
      <c r="T87" s="98">
        <v>2024.0</v>
      </c>
      <c r="U87" s="79" t="s">
        <v>78</v>
      </c>
      <c r="V87" s="79" t="s">
        <v>98</v>
      </c>
      <c r="W87" s="79" t="s">
        <v>1397</v>
      </c>
      <c r="X87" s="79" t="s">
        <v>80</v>
      </c>
      <c r="Y87" s="79" t="s">
        <v>111</v>
      </c>
      <c r="Z87" s="79" t="s">
        <v>1367</v>
      </c>
      <c r="AA87" s="79" t="s">
        <v>172</v>
      </c>
      <c r="AB87" s="96" t="s">
        <v>1398</v>
      </c>
      <c r="AC87" s="96">
        <v>8.82001405143E11</v>
      </c>
      <c r="AD87" s="69"/>
      <c r="AE87" s="77">
        <v>11.0</v>
      </c>
      <c r="AF87" s="68" t="s">
        <v>152</v>
      </c>
      <c r="AG87" s="60"/>
      <c r="AH87" s="60"/>
      <c r="AI87" s="60"/>
      <c r="AJ87" s="60"/>
      <c r="AK87" s="60"/>
      <c r="AL87" s="60"/>
      <c r="AM87" s="60"/>
      <c r="AN87" s="60"/>
      <c r="AO87" s="60"/>
      <c r="AP87" s="60"/>
      <c r="AQ87" s="60"/>
      <c r="AR87" s="61"/>
    </row>
    <row r="88" hidden="1">
      <c r="A88" s="62">
        <v>86.0</v>
      </c>
      <c r="B88" s="96" t="s">
        <v>1399</v>
      </c>
      <c r="C88" s="96" t="s">
        <v>1400</v>
      </c>
      <c r="D88" s="96" t="s">
        <v>1401</v>
      </c>
      <c r="E88" s="70" t="s">
        <v>3592</v>
      </c>
      <c r="F88" s="79" t="s">
        <v>359</v>
      </c>
      <c r="G88" s="79" t="s">
        <v>131</v>
      </c>
      <c r="H88" s="79" t="s">
        <v>1363</v>
      </c>
      <c r="I88" s="96" t="s">
        <v>1403</v>
      </c>
      <c r="J88" s="79" t="s">
        <v>158</v>
      </c>
      <c r="K88" s="79" t="s">
        <v>70</v>
      </c>
      <c r="L88" s="79" t="s">
        <v>101</v>
      </c>
      <c r="M88" s="79" t="s">
        <v>1404</v>
      </c>
      <c r="N88" s="79" t="s">
        <v>73</v>
      </c>
      <c r="O88" s="79" t="s">
        <v>73</v>
      </c>
      <c r="P88" s="79" t="s">
        <v>95</v>
      </c>
      <c r="Q88" s="70" t="s">
        <v>3593</v>
      </c>
      <c r="R88" s="79" t="s">
        <v>76</v>
      </c>
      <c r="S88" s="79" t="s">
        <v>77</v>
      </c>
      <c r="T88" s="98">
        <v>2019.0</v>
      </c>
      <c r="U88" s="79" t="s">
        <v>78</v>
      </c>
      <c r="V88" s="79" t="s">
        <v>79</v>
      </c>
      <c r="W88" s="79" t="s">
        <v>80</v>
      </c>
      <c r="X88" s="79" t="s">
        <v>80</v>
      </c>
      <c r="Y88" s="79" t="s">
        <v>80</v>
      </c>
      <c r="Z88" s="79" t="s">
        <v>1406</v>
      </c>
      <c r="AA88" s="79" t="s">
        <v>172</v>
      </c>
      <c r="AB88" s="96" t="s">
        <v>1407</v>
      </c>
      <c r="AC88" s="96">
        <v>8.1320344426E10</v>
      </c>
      <c r="AD88" s="96" t="s">
        <v>1408</v>
      </c>
      <c r="AE88" s="77">
        <v>11.0</v>
      </c>
      <c r="AF88" s="68" t="s">
        <v>566</v>
      </c>
      <c r="AG88" s="60"/>
      <c r="AH88" s="60"/>
      <c r="AI88" s="60"/>
      <c r="AJ88" s="60"/>
      <c r="AK88" s="60"/>
      <c r="AL88" s="60"/>
      <c r="AM88" s="60"/>
      <c r="AN88" s="60"/>
      <c r="AO88" s="60"/>
      <c r="AP88" s="60"/>
      <c r="AQ88" s="60"/>
      <c r="AR88" s="61"/>
    </row>
    <row r="89">
      <c r="A89" s="62">
        <v>87.0</v>
      </c>
      <c r="B89" s="96" t="s">
        <v>1409</v>
      </c>
      <c r="C89" s="96" t="s">
        <v>1410</v>
      </c>
      <c r="D89" s="96" t="s">
        <v>1411</v>
      </c>
      <c r="E89" s="59"/>
      <c r="F89" s="79" t="s">
        <v>356</v>
      </c>
      <c r="G89" s="79" t="s">
        <v>66</v>
      </c>
      <c r="H89" s="79" t="s">
        <v>1412</v>
      </c>
      <c r="I89" s="96" t="s">
        <v>1413</v>
      </c>
      <c r="J89" s="79" t="s">
        <v>151</v>
      </c>
      <c r="K89" s="79" t="s">
        <v>70</v>
      </c>
      <c r="L89" s="79" t="s">
        <v>111</v>
      </c>
      <c r="M89" s="79" t="s">
        <v>1414</v>
      </c>
      <c r="N89" s="79" t="s">
        <v>82</v>
      </c>
      <c r="O89" s="79" t="s">
        <v>113</v>
      </c>
      <c r="P89" s="79" t="s">
        <v>74</v>
      </c>
      <c r="Q89" s="70" t="s">
        <v>3594</v>
      </c>
      <c r="R89" s="79" t="s">
        <v>76</v>
      </c>
      <c r="S89" s="79" t="s">
        <v>97</v>
      </c>
      <c r="T89" s="98">
        <v>2020.0</v>
      </c>
      <c r="U89" s="79" t="s">
        <v>78</v>
      </c>
      <c r="V89" s="79" t="s">
        <v>79</v>
      </c>
      <c r="W89" s="69"/>
      <c r="X89" s="69"/>
      <c r="Y89" s="69"/>
      <c r="Z89" s="79" t="s">
        <v>1416</v>
      </c>
      <c r="AA89" s="79" t="s">
        <v>172</v>
      </c>
      <c r="AB89" s="96" t="s">
        <v>1417</v>
      </c>
      <c r="AC89" s="98">
        <v>8.993829204E9</v>
      </c>
      <c r="AD89" s="96" t="s">
        <v>1418</v>
      </c>
      <c r="AE89" s="59"/>
      <c r="AF89" s="59"/>
      <c r="AG89" s="60"/>
      <c r="AH89" s="60"/>
      <c r="AI89" s="60"/>
      <c r="AJ89" s="60"/>
      <c r="AK89" s="60"/>
      <c r="AL89" s="60"/>
      <c r="AM89" s="60"/>
      <c r="AN89" s="60"/>
      <c r="AO89" s="60"/>
      <c r="AP89" s="60"/>
      <c r="AQ89" s="60"/>
      <c r="AR89" s="61"/>
    </row>
    <row r="90" hidden="1">
      <c r="A90" s="62">
        <v>88.0</v>
      </c>
      <c r="B90" s="96" t="s">
        <v>1428</v>
      </c>
      <c r="C90" s="96" t="s">
        <v>1429</v>
      </c>
      <c r="D90" s="96" t="s">
        <v>1430</v>
      </c>
      <c r="E90" s="96" t="s">
        <v>1422</v>
      </c>
      <c r="F90" s="79" t="s">
        <v>417</v>
      </c>
      <c r="G90" s="79" t="s">
        <v>138</v>
      </c>
      <c r="H90" s="79" t="s">
        <v>1431</v>
      </c>
      <c r="I90" s="96" t="s">
        <v>1432</v>
      </c>
      <c r="J90" s="79" t="s">
        <v>151</v>
      </c>
      <c r="K90" s="79" t="s">
        <v>70</v>
      </c>
      <c r="L90" s="79" t="s">
        <v>101</v>
      </c>
      <c r="M90" s="79" t="s">
        <v>1433</v>
      </c>
      <c r="N90" s="79" t="s">
        <v>73</v>
      </c>
      <c r="O90" s="79" t="s">
        <v>73</v>
      </c>
      <c r="P90" s="79" t="s">
        <v>95</v>
      </c>
      <c r="Q90" s="70" t="s">
        <v>3595</v>
      </c>
      <c r="R90" s="79" t="s">
        <v>76</v>
      </c>
      <c r="S90" s="79" t="s">
        <v>77</v>
      </c>
      <c r="T90" s="69"/>
      <c r="U90" s="79" t="s">
        <v>78</v>
      </c>
      <c r="V90" s="79" t="s">
        <v>79</v>
      </c>
      <c r="W90" s="79" t="s">
        <v>943</v>
      </c>
      <c r="X90" s="79" t="s">
        <v>80</v>
      </c>
      <c r="Y90" s="79" t="s">
        <v>80</v>
      </c>
      <c r="Z90" s="79" t="s">
        <v>1435</v>
      </c>
      <c r="AA90" s="79" t="s">
        <v>174</v>
      </c>
      <c r="AB90" s="96" t="s">
        <v>1436</v>
      </c>
      <c r="AC90" s="96" t="s">
        <v>1437</v>
      </c>
      <c r="AD90" s="96" t="s">
        <v>1438</v>
      </c>
      <c r="AE90" s="59"/>
      <c r="AF90" s="59"/>
      <c r="AG90" s="60"/>
      <c r="AH90" s="60"/>
      <c r="AI90" s="60"/>
      <c r="AJ90" s="60"/>
      <c r="AK90" s="60"/>
      <c r="AL90" s="60"/>
      <c r="AM90" s="60"/>
      <c r="AN90" s="60"/>
      <c r="AO90" s="60"/>
      <c r="AP90" s="60"/>
      <c r="AQ90" s="60"/>
      <c r="AR90" s="61"/>
    </row>
    <row r="91" hidden="1">
      <c r="A91" s="62">
        <v>89.0</v>
      </c>
      <c r="B91" s="96" t="s">
        <v>1446</v>
      </c>
      <c r="C91" s="96" t="s">
        <v>1447</v>
      </c>
      <c r="D91" s="96" t="s">
        <v>1448</v>
      </c>
      <c r="E91" s="96" t="s">
        <v>1422</v>
      </c>
      <c r="F91" s="79" t="s">
        <v>420</v>
      </c>
      <c r="G91" s="79" t="s">
        <v>66</v>
      </c>
      <c r="H91" s="79" t="s">
        <v>1449</v>
      </c>
      <c r="I91" s="96" t="s">
        <v>1450</v>
      </c>
      <c r="J91" s="79" t="s">
        <v>91</v>
      </c>
      <c r="K91" s="79" t="s">
        <v>110</v>
      </c>
      <c r="L91" s="79" t="s">
        <v>71</v>
      </c>
      <c r="M91" s="79" t="s">
        <v>1451</v>
      </c>
      <c r="N91" s="79" t="s">
        <v>144</v>
      </c>
      <c r="O91" s="79" t="s">
        <v>144</v>
      </c>
      <c r="P91" s="79" t="s">
        <v>95</v>
      </c>
      <c r="Q91" s="70" t="s">
        <v>3596</v>
      </c>
      <c r="R91" s="79" t="s">
        <v>76</v>
      </c>
      <c r="S91" s="79" t="s">
        <v>97</v>
      </c>
      <c r="T91" s="69"/>
      <c r="U91" s="79" t="s">
        <v>78</v>
      </c>
      <c r="V91" s="79" t="s">
        <v>79</v>
      </c>
      <c r="W91" s="79" t="s">
        <v>943</v>
      </c>
      <c r="X91" s="79" t="s">
        <v>80</v>
      </c>
      <c r="Y91" s="79" t="s">
        <v>80</v>
      </c>
      <c r="Z91" s="79" t="s">
        <v>1453</v>
      </c>
      <c r="AA91" s="79" t="s">
        <v>174</v>
      </c>
      <c r="AB91" s="96" t="s">
        <v>1436</v>
      </c>
      <c r="AC91" s="96" t="s">
        <v>1437</v>
      </c>
      <c r="AD91" s="96" t="s">
        <v>1438</v>
      </c>
      <c r="AE91" s="68">
        <v>46.0</v>
      </c>
      <c r="AF91" s="68" t="s">
        <v>71</v>
      </c>
      <c r="AG91" s="60"/>
      <c r="AH91" s="60"/>
      <c r="AI91" s="60"/>
      <c r="AJ91" s="60"/>
      <c r="AK91" s="60"/>
      <c r="AL91" s="60"/>
      <c r="AM91" s="60"/>
      <c r="AN91" s="60"/>
      <c r="AO91" s="60"/>
      <c r="AP91" s="60"/>
      <c r="AQ91" s="60"/>
      <c r="AR91" s="61"/>
    </row>
    <row r="92" hidden="1">
      <c r="A92" s="62">
        <v>90.0</v>
      </c>
      <c r="B92" s="96" t="s">
        <v>1454</v>
      </c>
      <c r="C92" s="96" t="s">
        <v>1455</v>
      </c>
      <c r="D92" s="96" t="s">
        <v>1448</v>
      </c>
      <c r="E92" s="96" t="s">
        <v>1422</v>
      </c>
      <c r="F92" s="79" t="s">
        <v>420</v>
      </c>
      <c r="G92" s="79" t="s">
        <v>66</v>
      </c>
      <c r="H92" s="76" t="s">
        <v>1456</v>
      </c>
      <c r="I92" s="96" t="s">
        <v>1457</v>
      </c>
      <c r="J92" s="79" t="s">
        <v>91</v>
      </c>
      <c r="K92" s="79" t="s">
        <v>110</v>
      </c>
      <c r="L92" s="79" t="s">
        <v>111</v>
      </c>
      <c r="M92" s="79" t="s">
        <v>1458</v>
      </c>
      <c r="N92" s="79" t="s">
        <v>73</v>
      </c>
      <c r="O92" s="79" t="s">
        <v>73</v>
      </c>
      <c r="P92" s="79" t="s">
        <v>95</v>
      </c>
      <c r="Q92" s="131" t="s">
        <v>3597</v>
      </c>
      <c r="R92" s="79" t="s">
        <v>76</v>
      </c>
      <c r="S92" s="79" t="s">
        <v>97</v>
      </c>
      <c r="T92" s="69"/>
      <c r="U92" s="79" t="s">
        <v>78</v>
      </c>
      <c r="V92" s="79" t="s">
        <v>79</v>
      </c>
      <c r="W92" s="79" t="s">
        <v>943</v>
      </c>
      <c r="X92" s="79" t="s">
        <v>80</v>
      </c>
      <c r="Y92" s="79" t="s">
        <v>80</v>
      </c>
      <c r="Z92" s="79" t="s">
        <v>1453</v>
      </c>
      <c r="AA92" s="79" t="s">
        <v>174</v>
      </c>
      <c r="AB92" s="96" t="s">
        <v>1436</v>
      </c>
      <c r="AC92" s="96" t="s">
        <v>1437</v>
      </c>
      <c r="AD92" s="96" t="s">
        <v>1438</v>
      </c>
      <c r="AE92" s="68">
        <v>46.0</v>
      </c>
      <c r="AF92" s="68" t="s">
        <v>111</v>
      </c>
      <c r="AG92" s="60"/>
      <c r="AH92" s="60"/>
      <c r="AI92" s="60"/>
      <c r="AJ92" s="60"/>
      <c r="AK92" s="60"/>
      <c r="AL92" s="60"/>
      <c r="AM92" s="60"/>
      <c r="AN92" s="60"/>
      <c r="AO92" s="60"/>
      <c r="AP92" s="60"/>
      <c r="AQ92" s="60"/>
      <c r="AR92" s="61"/>
    </row>
    <row r="93">
      <c r="A93" s="62">
        <v>91.0</v>
      </c>
      <c r="B93" s="96" t="s">
        <v>1460</v>
      </c>
      <c r="C93" s="96" t="s">
        <v>1461</v>
      </c>
      <c r="D93" s="96" t="s">
        <v>1462</v>
      </c>
      <c r="E93" s="96" t="s">
        <v>1422</v>
      </c>
      <c r="F93" s="79" t="s">
        <v>418</v>
      </c>
      <c r="G93" s="79" t="s">
        <v>66</v>
      </c>
      <c r="H93" s="96" t="s">
        <v>1463</v>
      </c>
      <c r="I93" s="96" t="s">
        <v>1464</v>
      </c>
      <c r="J93" s="79" t="s">
        <v>91</v>
      </c>
      <c r="K93" s="79" t="s">
        <v>110</v>
      </c>
      <c r="L93" s="79" t="s">
        <v>152</v>
      </c>
      <c r="M93" s="79" t="s">
        <v>1465</v>
      </c>
      <c r="N93" s="79" t="s">
        <v>82</v>
      </c>
      <c r="O93" s="79" t="s">
        <v>113</v>
      </c>
      <c r="P93" s="79" t="s">
        <v>95</v>
      </c>
      <c r="Q93" s="70" t="s">
        <v>3598</v>
      </c>
      <c r="R93" s="79" t="s">
        <v>76</v>
      </c>
      <c r="S93" s="79" t="s">
        <v>97</v>
      </c>
      <c r="T93" s="98">
        <v>2025.0</v>
      </c>
      <c r="U93" s="79" t="s">
        <v>78</v>
      </c>
      <c r="V93" s="79" t="s">
        <v>79</v>
      </c>
      <c r="W93" s="79" t="s">
        <v>943</v>
      </c>
      <c r="X93" s="79" t="s">
        <v>80</v>
      </c>
      <c r="Y93" s="79" t="s">
        <v>80</v>
      </c>
      <c r="Z93" s="79" t="s">
        <v>1467</v>
      </c>
      <c r="AA93" s="79" t="s">
        <v>174</v>
      </c>
      <c r="AB93" s="96" t="s">
        <v>1436</v>
      </c>
      <c r="AC93" s="96" t="s">
        <v>1437</v>
      </c>
      <c r="AD93" s="96" t="s">
        <v>1438</v>
      </c>
      <c r="AE93" s="68">
        <v>41.0</v>
      </c>
      <c r="AF93" s="68" t="s">
        <v>152</v>
      </c>
      <c r="AG93" s="60"/>
      <c r="AH93" s="60"/>
      <c r="AI93" s="60"/>
      <c r="AJ93" s="60"/>
      <c r="AK93" s="60"/>
      <c r="AL93" s="60"/>
      <c r="AM93" s="60"/>
      <c r="AN93" s="60"/>
      <c r="AO93" s="60"/>
      <c r="AP93" s="60"/>
      <c r="AQ93" s="60"/>
      <c r="AR93" s="61"/>
    </row>
    <row r="94">
      <c r="A94" s="62">
        <v>92.0</v>
      </c>
      <c r="B94" s="96" t="s">
        <v>1468</v>
      </c>
      <c r="C94" s="96" t="s">
        <v>1469</v>
      </c>
      <c r="D94" s="96" t="s">
        <v>1470</v>
      </c>
      <c r="E94" s="96" t="s">
        <v>1422</v>
      </c>
      <c r="F94" s="79" t="s">
        <v>418</v>
      </c>
      <c r="G94" s="79" t="s">
        <v>66</v>
      </c>
      <c r="H94" s="96" t="s">
        <v>1471</v>
      </c>
      <c r="I94" s="96" t="s">
        <v>1471</v>
      </c>
      <c r="J94" s="79" t="s">
        <v>91</v>
      </c>
      <c r="K94" s="79" t="s">
        <v>110</v>
      </c>
      <c r="L94" s="79" t="s">
        <v>152</v>
      </c>
      <c r="M94" s="79" t="s">
        <v>1472</v>
      </c>
      <c r="N94" s="79" t="s">
        <v>82</v>
      </c>
      <c r="O94" s="79" t="s">
        <v>113</v>
      </c>
      <c r="P94" s="79" t="s">
        <v>95</v>
      </c>
      <c r="Q94" s="70" t="s">
        <v>3599</v>
      </c>
      <c r="R94" s="79" t="s">
        <v>76</v>
      </c>
      <c r="S94" s="79" t="s">
        <v>97</v>
      </c>
      <c r="T94" s="98">
        <v>2021.0</v>
      </c>
      <c r="U94" s="79" t="s">
        <v>78</v>
      </c>
      <c r="V94" s="79" t="s">
        <v>79</v>
      </c>
      <c r="W94" s="79" t="s">
        <v>943</v>
      </c>
      <c r="X94" s="79" t="s">
        <v>80</v>
      </c>
      <c r="Y94" s="79" t="s">
        <v>80</v>
      </c>
      <c r="Z94" s="79" t="s">
        <v>1467</v>
      </c>
      <c r="AA94" s="79" t="s">
        <v>174</v>
      </c>
      <c r="AB94" s="96" t="s">
        <v>1436</v>
      </c>
      <c r="AC94" s="96" t="s">
        <v>1437</v>
      </c>
      <c r="AD94" s="96" t="s">
        <v>1438</v>
      </c>
      <c r="AE94" s="68">
        <v>41.0</v>
      </c>
      <c r="AF94" s="68" t="s">
        <v>152</v>
      </c>
      <c r="AG94" s="60"/>
      <c r="AH94" s="60"/>
      <c r="AI94" s="60"/>
      <c r="AJ94" s="60"/>
      <c r="AK94" s="60"/>
      <c r="AL94" s="60"/>
      <c r="AM94" s="60"/>
      <c r="AN94" s="60"/>
      <c r="AO94" s="60"/>
      <c r="AP94" s="60"/>
      <c r="AQ94" s="60"/>
      <c r="AR94" s="61"/>
    </row>
    <row r="95">
      <c r="A95" s="62">
        <v>93.0</v>
      </c>
      <c r="B95" s="146" t="s">
        <v>1475</v>
      </c>
      <c r="C95" s="147" t="s">
        <v>1476</v>
      </c>
      <c r="D95" s="146" t="s">
        <v>1477</v>
      </c>
      <c r="E95" s="148" t="s">
        <v>3600</v>
      </c>
      <c r="F95" s="149" t="s">
        <v>65</v>
      </c>
      <c r="G95" s="149" t="s">
        <v>66</v>
      </c>
      <c r="H95" s="149" t="s">
        <v>1479</v>
      </c>
      <c r="I95" s="149" t="s">
        <v>1479</v>
      </c>
      <c r="J95" s="149" t="s">
        <v>69</v>
      </c>
      <c r="K95" s="149" t="s">
        <v>70</v>
      </c>
      <c r="L95" s="149" t="s">
        <v>101</v>
      </c>
      <c r="M95" s="149" t="s">
        <v>793</v>
      </c>
      <c r="N95" s="149" t="s">
        <v>82</v>
      </c>
      <c r="O95" s="149" t="s">
        <v>113</v>
      </c>
      <c r="P95" s="149" t="s">
        <v>74</v>
      </c>
      <c r="Q95" s="289" t="s">
        <v>3601</v>
      </c>
      <c r="R95" s="149" t="s">
        <v>76</v>
      </c>
      <c r="S95" s="149" t="s">
        <v>77</v>
      </c>
      <c r="T95" s="149">
        <v>2022.0</v>
      </c>
      <c r="U95" s="149" t="s">
        <v>78</v>
      </c>
      <c r="V95" s="149" t="s">
        <v>79</v>
      </c>
      <c r="W95" s="149" t="s">
        <v>80</v>
      </c>
      <c r="X95" s="149" t="s">
        <v>80</v>
      </c>
      <c r="Y95" s="149" t="s">
        <v>80</v>
      </c>
      <c r="Z95" s="149" t="s">
        <v>1481</v>
      </c>
      <c r="AA95" s="149" t="s">
        <v>176</v>
      </c>
      <c r="AB95" s="152" t="s">
        <v>1482</v>
      </c>
      <c r="AC95" s="147">
        <v>8.994450222E9</v>
      </c>
      <c r="AD95" s="146" t="s">
        <v>1483</v>
      </c>
      <c r="AE95" s="147" t="s">
        <v>1484</v>
      </c>
      <c r="AF95" s="153" t="s">
        <v>71</v>
      </c>
      <c r="AG95" s="154" t="s">
        <v>1485</v>
      </c>
      <c r="AH95" s="155"/>
      <c r="AI95" s="155"/>
      <c r="AJ95" s="155"/>
      <c r="AK95" s="155"/>
      <c r="AL95" s="155"/>
      <c r="AM95" s="155"/>
      <c r="AN95" s="155"/>
      <c r="AO95" s="155"/>
      <c r="AP95" s="155"/>
      <c r="AQ95" s="155"/>
      <c r="AR95" s="61"/>
    </row>
    <row r="96" hidden="1">
      <c r="A96" s="62">
        <v>94.0</v>
      </c>
      <c r="B96" s="156"/>
      <c r="C96" s="157"/>
      <c r="D96" s="158"/>
      <c r="E96" s="159"/>
      <c r="F96" s="160"/>
      <c r="G96" s="160"/>
      <c r="H96" s="160"/>
      <c r="I96" s="160"/>
      <c r="J96" s="160"/>
      <c r="K96" s="160"/>
      <c r="L96" s="160"/>
      <c r="M96" s="149" t="s">
        <v>1486</v>
      </c>
      <c r="N96" s="149" t="s">
        <v>73</v>
      </c>
      <c r="O96" s="149" t="s">
        <v>73</v>
      </c>
      <c r="P96" s="149" t="s">
        <v>74</v>
      </c>
      <c r="Q96" s="289" t="s">
        <v>3327</v>
      </c>
      <c r="R96" s="149" t="s">
        <v>76</v>
      </c>
      <c r="S96" s="149" t="s">
        <v>77</v>
      </c>
      <c r="T96" s="149">
        <v>2022.0</v>
      </c>
      <c r="U96" s="149" t="s">
        <v>78</v>
      </c>
      <c r="V96" s="149" t="s">
        <v>79</v>
      </c>
      <c r="W96" s="149" t="s">
        <v>80</v>
      </c>
      <c r="X96" s="149" t="s">
        <v>80</v>
      </c>
      <c r="Y96" s="149" t="s">
        <v>80</v>
      </c>
      <c r="Z96" s="160"/>
      <c r="AA96" s="160"/>
      <c r="AB96" s="161"/>
      <c r="AC96" s="157"/>
      <c r="AD96" s="156"/>
      <c r="AE96" s="162"/>
      <c r="AF96" s="163"/>
      <c r="AG96" s="155"/>
      <c r="AH96" s="155"/>
      <c r="AI96" s="155"/>
      <c r="AJ96" s="155"/>
      <c r="AK96" s="155"/>
      <c r="AL96" s="155"/>
      <c r="AM96" s="155"/>
      <c r="AN96" s="155"/>
      <c r="AO96" s="155"/>
      <c r="AP96" s="155"/>
      <c r="AQ96" s="155"/>
      <c r="AR96" s="61"/>
    </row>
    <row r="97" hidden="1">
      <c r="A97" s="62">
        <v>95.0</v>
      </c>
      <c r="B97" s="164" t="s">
        <v>1488</v>
      </c>
      <c r="C97" s="147" t="s">
        <v>1489</v>
      </c>
      <c r="D97" s="146" t="s">
        <v>1477</v>
      </c>
      <c r="E97" s="148" t="s">
        <v>3602</v>
      </c>
      <c r="F97" s="149" t="s">
        <v>65</v>
      </c>
      <c r="G97" s="149" t="s">
        <v>66</v>
      </c>
      <c r="H97" s="149" t="s">
        <v>1479</v>
      </c>
      <c r="I97" s="149" t="s">
        <v>1479</v>
      </c>
      <c r="J97" s="149" t="s">
        <v>69</v>
      </c>
      <c r="K97" s="149" t="s">
        <v>70</v>
      </c>
      <c r="L97" s="149" t="s">
        <v>101</v>
      </c>
      <c r="M97" s="149" t="s">
        <v>1491</v>
      </c>
      <c r="N97" s="149" t="s">
        <v>26</v>
      </c>
      <c r="O97" s="149" t="s">
        <v>113</v>
      </c>
      <c r="P97" s="149" t="s">
        <v>95</v>
      </c>
      <c r="Q97" s="151" t="s">
        <v>3603</v>
      </c>
      <c r="R97" s="149" t="s">
        <v>76</v>
      </c>
      <c r="S97" s="149" t="s">
        <v>77</v>
      </c>
      <c r="T97" s="149">
        <v>2022.0</v>
      </c>
      <c r="U97" s="149" t="s">
        <v>147</v>
      </c>
      <c r="V97" s="149" t="s">
        <v>79</v>
      </c>
      <c r="W97" s="149" t="s">
        <v>80</v>
      </c>
      <c r="X97" s="149" t="s">
        <v>80</v>
      </c>
      <c r="Y97" s="149" t="s">
        <v>80</v>
      </c>
      <c r="Z97" s="149" t="s">
        <v>1493</v>
      </c>
      <c r="AA97" s="149" t="s">
        <v>176</v>
      </c>
      <c r="AB97" s="152" t="s">
        <v>1482</v>
      </c>
      <c r="AC97" s="147">
        <v>8.994450222E9</v>
      </c>
      <c r="AD97" s="146" t="s">
        <v>1483</v>
      </c>
      <c r="AE97" s="147" t="s">
        <v>1484</v>
      </c>
      <c r="AF97" s="153" t="s">
        <v>71</v>
      </c>
      <c r="AG97" s="154" t="s">
        <v>1494</v>
      </c>
      <c r="AH97" s="155"/>
      <c r="AI97" s="155"/>
      <c r="AJ97" s="155"/>
      <c r="AK97" s="155"/>
      <c r="AL97" s="155"/>
      <c r="AM97" s="155"/>
      <c r="AN97" s="155"/>
      <c r="AO97" s="155"/>
      <c r="AP97" s="155"/>
      <c r="AQ97" s="155"/>
      <c r="AR97" s="61"/>
    </row>
    <row r="98" hidden="1">
      <c r="A98" s="62">
        <v>96.0</v>
      </c>
      <c r="B98" s="166" t="s">
        <v>1495</v>
      </c>
      <c r="C98" s="166" t="s">
        <v>1496</v>
      </c>
      <c r="D98" s="166" t="s">
        <v>1497</v>
      </c>
      <c r="E98" s="166" t="s">
        <v>1498</v>
      </c>
      <c r="F98" s="167" t="s">
        <v>65</v>
      </c>
      <c r="G98" s="167" t="s">
        <v>66</v>
      </c>
      <c r="H98" s="166" t="s">
        <v>1499</v>
      </c>
      <c r="I98" s="166" t="s">
        <v>1499</v>
      </c>
      <c r="J98" s="167" t="s">
        <v>151</v>
      </c>
      <c r="K98" s="167" t="s">
        <v>70</v>
      </c>
      <c r="L98" s="167" t="s">
        <v>152</v>
      </c>
      <c r="M98" s="167" t="s">
        <v>1500</v>
      </c>
      <c r="N98" s="167" t="s">
        <v>73</v>
      </c>
      <c r="O98" s="167" t="s">
        <v>73</v>
      </c>
      <c r="P98" s="167" t="s">
        <v>153</v>
      </c>
      <c r="Q98" s="169" t="s">
        <v>3604</v>
      </c>
      <c r="R98" s="167" t="s">
        <v>76</v>
      </c>
      <c r="S98" s="167" t="s">
        <v>77</v>
      </c>
      <c r="T98" s="170">
        <v>2015.0</v>
      </c>
      <c r="U98" s="167" t="s">
        <v>78</v>
      </c>
      <c r="V98" s="167" t="s">
        <v>98</v>
      </c>
      <c r="W98" s="167" t="s">
        <v>1502</v>
      </c>
      <c r="X98" s="167" t="s">
        <v>155</v>
      </c>
      <c r="Y98" s="167" t="s">
        <v>101</v>
      </c>
      <c r="Z98" s="167" t="s">
        <v>1503</v>
      </c>
      <c r="AA98" s="167" t="s">
        <v>178</v>
      </c>
      <c r="AB98" s="166" t="s">
        <v>1504</v>
      </c>
      <c r="AC98" s="171" t="str">
        <f>+62 852-2443-7788</f>
        <v>#ERROR!</v>
      </c>
      <c r="AD98" s="69"/>
      <c r="AE98" s="67" t="s">
        <v>1505</v>
      </c>
      <c r="AF98" s="68" t="s">
        <v>71</v>
      </c>
      <c r="AG98" s="172" t="s">
        <v>1506</v>
      </c>
      <c r="AH98" s="173"/>
      <c r="AI98" s="173"/>
      <c r="AJ98" s="173"/>
      <c r="AK98" s="173"/>
      <c r="AL98" s="173"/>
      <c r="AM98" s="173"/>
      <c r="AN98" s="173"/>
      <c r="AO98" s="173"/>
      <c r="AP98" s="173"/>
      <c r="AQ98" s="173"/>
      <c r="AR98" s="61"/>
    </row>
    <row r="99" hidden="1">
      <c r="A99" s="62">
        <v>97.0</v>
      </c>
      <c r="B99" s="166" t="s">
        <v>1495</v>
      </c>
      <c r="C99" s="166" t="s">
        <v>1496</v>
      </c>
      <c r="D99" s="166" t="s">
        <v>1507</v>
      </c>
      <c r="E99" s="166" t="s">
        <v>1498</v>
      </c>
      <c r="F99" s="167" t="s">
        <v>65</v>
      </c>
      <c r="G99" s="167" t="s">
        <v>66</v>
      </c>
      <c r="H99" s="166" t="s">
        <v>1499</v>
      </c>
      <c r="I99" s="166" t="s">
        <v>1499</v>
      </c>
      <c r="J99" s="167" t="s">
        <v>151</v>
      </c>
      <c r="K99" s="167" t="s">
        <v>70</v>
      </c>
      <c r="L99" s="167" t="s">
        <v>152</v>
      </c>
      <c r="M99" s="167" t="s">
        <v>1508</v>
      </c>
      <c r="N99" s="167" t="s">
        <v>73</v>
      </c>
      <c r="O99" s="167" t="s">
        <v>73</v>
      </c>
      <c r="P99" s="167" t="s">
        <v>95</v>
      </c>
      <c r="Q99" s="169" t="s">
        <v>3605</v>
      </c>
      <c r="R99" s="167" t="s">
        <v>76</v>
      </c>
      <c r="S99" s="167" t="s">
        <v>77</v>
      </c>
      <c r="T99" s="170">
        <v>2016.0</v>
      </c>
      <c r="U99" s="167" t="s">
        <v>78</v>
      </c>
      <c r="V99" s="167" t="s">
        <v>98</v>
      </c>
      <c r="W99" s="167" t="s">
        <v>1510</v>
      </c>
      <c r="X99" s="167" t="s">
        <v>155</v>
      </c>
      <c r="Y99" s="167" t="s">
        <v>101</v>
      </c>
      <c r="Z99" s="167" t="s">
        <v>1503</v>
      </c>
      <c r="AA99" s="167" t="s">
        <v>178</v>
      </c>
      <c r="AB99" s="166" t="s">
        <v>1511</v>
      </c>
      <c r="AC99" s="171" t="str">
        <f>+62 877-4168-8587</f>
        <v>#ERROR!</v>
      </c>
      <c r="AD99" s="166" t="s">
        <v>1512</v>
      </c>
      <c r="AE99" s="67" t="s">
        <v>1505</v>
      </c>
      <c r="AF99" s="68" t="s">
        <v>71</v>
      </c>
      <c r="AG99" s="172" t="s">
        <v>1506</v>
      </c>
      <c r="AH99" s="173"/>
      <c r="AI99" s="173"/>
      <c r="AJ99" s="173"/>
      <c r="AK99" s="173"/>
      <c r="AL99" s="173"/>
      <c r="AM99" s="173"/>
      <c r="AN99" s="173"/>
      <c r="AO99" s="173"/>
      <c r="AP99" s="173"/>
      <c r="AQ99" s="173"/>
      <c r="AR99" s="61"/>
    </row>
    <row r="100" hidden="1">
      <c r="A100" s="62">
        <v>98.0</v>
      </c>
      <c r="B100" s="166" t="s">
        <v>1513</v>
      </c>
      <c r="C100" s="166" t="s">
        <v>1514</v>
      </c>
      <c r="D100" s="166" t="s">
        <v>1515</v>
      </c>
      <c r="E100" s="166" t="s">
        <v>1498</v>
      </c>
      <c r="F100" s="167" t="s">
        <v>65</v>
      </c>
      <c r="G100" s="167" t="s">
        <v>66</v>
      </c>
      <c r="H100" s="167" t="s">
        <v>1516</v>
      </c>
      <c r="I100" s="166" t="s">
        <v>1517</v>
      </c>
      <c r="J100" s="167" t="s">
        <v>151</v>
      </c>
      <c r="K100" s="167" t="s">
        <v>110</v>
      </c>
      <c r="L100" s="167" t="s">
        <v>71</v>
      </c>
      <c r="M100" s="167" t="s">
        <v>1518</v>
      </c>
      <c r="N100" s="167" t="s">
        <v>73</v>
      </c>
      <c r="O100" s="167" t="s">
        <v>73</v>
      </c>
      <c r="P100" s="167" t="s">
        <v>95</v>
      </c>
      <c r="Q100" s="169" t="s">
        <v>3606</v>
      </c>
      <c r="R100" s="167" t="s">
        <v>76</v>
      </c>
      <c r="S100" s="167" t="s">
        <v>97</v>
      </c>
      <c r="T100" s="170">
        <v>2011.0</v>
      </c>
      <c r="U100" s="167" t="s">
        <v>78</v>
      </c>
      <c r="V100" s="167" t="s">
        <v>79</v>
      </c>
      <c r="W100" s="167" t="s">
        <v>80</v>
      </c>
      <c r="X100" s="167" t="s">
        <v>80</v>
      </c>
      <c r="Y100" s="167" t="s">
        <v>80</v>
      </c>
      <c r="Z100" s="167" t="s">
        <v>1503</v>
      </c>
      <c r="AA100" s="167" t="s">
        <v>178</v>
      </c>
      <c r="AB100" s="166" t="s">
        <v>1520</v>
      </c>
      <c r="AC100" s="171" t="str">
        <f>+62 819-1521-7805</f>
        <v>#ERROR!</v>
      </c>
      <c r="AD100" s="69"/>
      <c r="AE100" s="59"/>
      <c r="AF100" s="68" t="s">
        <v>71</v>
      </c>
      <c r="AG100" s="172" t="s">
        <v>1506</v>
      </c>
      <c r="AH100" s="173"/>
      <c r="AI100" s="173"/>
      <c r="AJ100" s="173"/>
      <c r="AK100" s="173"/>
      <c r="AL100" s="173"/>
      <c r="AM100" s="173"/>
      <c r="AN100" s="173"/>
      <c r="AO100" s="173"/>
      <c r="AP100" s="173"/>
      <c r="AQ100" s="173"/>
      <c r="AR100" s="61"/>
    </row>
    <row r="101" hidden="1">
      <c r="A101" s="62">
        <v>99.0</v>
      </c>
      <c r="B101" s="166" t="s">
        <v>1513</v>
      </c>
      <c r="C101" s="166" t="s">
        <v>1514</v>
      </c>
      <c r="D101" s="166" t="s">
        <v>1521</v>
      </c>
      <c r="E101" s="166" t="s">
        <v>1498</v>
      </c>
      <c r="F101" s="167" t="s">
        <v>65</v>
      </c>
      <c r="G101" s="167" t="s">
        <v>123</v>
      </c>
      <c r="H101" s="167" t="s">
        <v>1522</v>
      </c>
      <c r="I101" s="166" t="s">
        <v>1523</v>
      </c>
      <c r="J101" s="167" t="s">
        <v>151</v>
      </c>
      <c r="K101" s="167" t="s">
        <v>110</v>
      </c>
      <c r="L101" s="167" t="s">
        <v>111</v>
      </c>
      <c r="M101" s="167" t="s">
        <v>1524</v>
      </c>
      <c r="N101" s="167" t="s">
        <v>73</v>
      </c>
      <c r="O101" s="167" t="s">
        <v>73</v>
      </c>
      <c r="P101" s="167" t="s">
        <v>95</v>
      </c>
      <c r="Q101" s="169" t="s">
        <v>3607</v>
      </c>
      <c r="R101" s="167" t="s">
        <v>76</v>
      </c>
      <c r="S101" s="167" t="s">
        <v>97</v>
      </c>
      <c r="T101" s="170">
        <v>2016.0</v>
      </c>
      <c r="U101" s="167" t="s">
        <v>78</v>
      </c>
      <c r="V101" s="167" t="s">
        <v>79</v>
      </c>
      <c r="W101" s="167" t="s">
        <v>80</v>
      </c>
      <c r="X101" s="167" t="s">
        <v>80</v>
      </c>
      <c r="Y101" s="167" t="s">
        <v>80</v>
      </c>
      <c r="Z101" s="167" t="s">
        <v>1503</v>
      </c>
      <c r="AA101" s="167" t="s">
        <v>178</v>
      </c>
      <c r="AB101" s="166" t="s">
        <v>1526</v>
      </c>
      <c r="AC101" s="171" t="str">
        <f>+62 852-2242-7635</f>
        <v>#ERROR!</v>
      </c>
      <c r="AD101" s="69"/>
      <c r="AE101" s="59"/>
      <c r="AF101" s="68" t="s">
        <v>71</v>
      </c>
      <c r="AG101" s="172" t="s">
        <v>1506</v>
      </c>
      <c r="AH101" s="173"/>
      <c r="AI101" s="173"/>
      <c r="AJ101" s="173"/>
      <c r="AK101" s="173"/>
      <c r="AL101" s="173"/>
      <c r="AM101" s="173"/>
      <c r="AN101" s="173"/>
      <c r="AO101" s="173"/>
      <c r="AP101" s="173"/>
      <c r="AQ101" s="173"/>
      <c r="AR101" s="61"/>
    </row>
    <row r="102" hidden="1">
      <c r="A102" s="62">
        <v>100.0</v>
      </c>
      <c r="B102" s="166" t="s">
        <v>1527</v>
      </c>
      <c r="C102" s="166" t="s">
        <v>1528</v>
      </c>
      <c r="D102" s="166" t="s">
        <v>1529</v>
      </c>
      <c r="E102" s="169" t="s">
        <v>3608</v>
      </c>
      <c r="F102" s="167" t="s">
        <v>65</v>
      </c>
      <c r="G102" s="167" t="s">
        <v>123</v>
      </c>
      <c r="H102" s="167" t="s">
        <v>1531</v>
      </c>
      <c r="I102" s="166" t="s">
        <v>1532</v>
      </c>
      <c r="J102" s="167" t="s">
        <v>151</v>
      </c>
      <c r="K102" s="167" t="s">
        <v>110</v>
      </c>
      <c r="L102" s="167" t="s">
        <v>71</v>
      </c>
      <c r="M102" s="167" t="s">
        <v>1533</v>
      </c>
      <c r="N102" s="167" t="s">
        <v>73</v>
      </c>
      <c r="O102" s="167" t="s">
        <v>73</v>
      </c>
      <c r="P102" s="167" t="s">
        <v>95</v>
      </c>
      <c r="Q102" s="169" t="s">
        <v>3609</v>
      </c>
      <c r="R102" s="167" t="s">
        <v>76</v>
      </c>
      <c r="S102" s="167" t="s">
        <v>97</v>
      </c>
      <c r="T102" s="170">
        <v>2017.0</v>
      </c>
      <c r="U102" s="167" t="s">
        <v>154</v>
      </c>
      <c r="V102" s="167" t="s">
        <v>98</v>
      </c>
      <c r="W102" s="167" t="s">
        <v>607</v>
      </c>
      <c r="X102" s="167" t="s">
        <v>155</v>
      </c>
      <c r="Y102" s="167" t="s">
        <v>139</v>
      </c>
      <c r="Z102" s="167" t="s">
        <v>1503</v>
      </c>
      <c r="AA102" s="167" t="s">
        <v>178</v>
      </c>
      <c r="AB102" s="166" t="s">
        <v>1535</v>
      </c>
      <c r="AC102" s="171" t="str">
        <f>+62 813-1367-9948</f>
        <v>#ERROR!</v>
      </c>
      <c r="AD102" s="166" t="s">
        <v>1536</v>
      </c>
      <c r="AE102" s="59"/>
      <c r="AF102" s="68" t="s">
        <v>71</v>
      </c>
      <c r="AG102" s="172" t="s">
        <v>1506</v>
      </c>
      <c r="AH102" s="173"/>
      <c r="AI102" s="173"/>
      <c r="AJ102" s="173"/>
      <c r="AK102" s="173"/>
      <c r="AL102" s="173"/>
      <c r="AM102" s="173"/>
      <c r="AN102" s="173"/>
      <c r="AO102" s="173"/>
      <c r="AP102" s="173"/>
      <c r="AQ102" s="173"/>
      <c r="AR102" s="61"/>
    </row>
    <row r="103">
      <c r="A103" s="62">
        <v>101.0</v>
      </c>
      <c r="B103" s="166" t="s">
        <v>1537</v>
      </c>
      <c r="C103" s="166" t="s">
        <v>1538</v>
      </c>
      <c r="D103" s="166" t="s">
        <v>1539</v>
      </c>
      <c r="E103" s="169" t="s">
        <v>3610</v>
      </c>
      <c r="F103" s="167" t="s">
        <v>65</v>
      </c>
      <c r="G103" s="167" t="s">
        <v>66</v>
      </c>
      <c r="H103" s="167" t="s">
        <v>1541</v>
      </c>
      <c r="I103" s="167" t="s">
        <v>1541</v>
      </c>
      <c r="J103" s="167" t="s">
        <v>151</v>
      </c>
      <c r="K103" s="167" t="s">
        <v>70</v>
      </c>
      <c r="L103" s="167" t="s">
        <v>71</v>
      </c>
      <c r="M103" s="167" t="s">
        <v>1542</v>
      </c>
      <c r="N103" s="167" t="s">
        <v>93</v>
      </c>
      <c r="O103" s="167" t="s">
        <v>113</v>
      </c>
      <c r="P103" s="167" t="s">
        <v>145</v>
      </c>
      <c r="Q103" s="169" t="s">
        <v>3611</v>
      </c>
      <c r="R103" s="167" t="s">
        <v>76</v>
      </c>
      <c r="S103" s="167" t="s">
        <v>77</v>
      </c>
      <c r="T103" s="170">
        <v>2025.0</v>
      </c>
      <c r="U103" s="167" t="s">
        <v>154</v>
      </c>
      <c r="V103" s="167" t="s">
        <v>79</v>
      </c>
      <c r="W103" s="167" t="s">
        <v>80</v>
      </c>
      <c r="X103" s="167" t="s">
        <v>80</v>
      </c>
      <c r="Y103" s="167" t="s">
        <v>80</v>
      </c>
      <c r="Z103" s="167" t="s">
        <v>1544</v>
      </c>
      <c r="AA103" s="167" t="s">
        <v>178</v>
      </c>
      <c r="AB103" s="166" t="s">
        <v>1545</v>
      </c>
      <c r="AC103" s="171" t="str">
        <f>+62 814-6098-3680
 +62 813-2079-8875</f>
        <v>#ERROR!</v>
      </c>
      <c r="AD103" s="69"/>
      <c r="AE103" s="59"/>
      <c r="AF103" s="68" t="s">
        <v>71</v>
      </c>
      <c r="AG103" s="172" t="s">
        <v>1506</v>
      </c>
      <c r="AH103" s="173"/>
      <c r="AI103" s="173"/>
      <c r="AJ103" s="173"/>
      <c r="AK103" s="173"/>
      <c r="AL103" s="173"/>
      <c r="AM103" s="173"/>
      <c r="AN103" s="173"/>
      <c r="AO103" s="173"/>
      <c r="AP103" s="173"/>
      <c r="AQ103" s="173"/>
      <c r="AR103" s="61"/>
    </row>
    <row r="104">
      <c r="A104" s="62">
        <v>102.0</v>
      </c>
      <c r="B104" s="96" t="s">
        <v>1495</v>
      </c>
      <c r="C104" s="96" t="s">
        <v>1546</v>
      </c>
      <c r="D104" s="96" t="s">
        <v>1547</v>
      </c>
      <c r="E104" s="70" t="s">
        <v>3612</v>
      </c>
      <c r="F104" s="79" t="s">
        <v>65</v>
      </c>
      <c r="G104" s="79" t="s">
        <v>123</v>
      </c>
      <c r="H104" s="79" t="s">
        <v>1549</v>
      </c>
      <c r="I104" s="96" t="s">
        <v>1550</v>
      </c>
      <c r="J104" s="79" t="s">
        <v>151</v>
      </c>
      <c r="K104" s="79" t="s">
        <v>70</v>
      </c>
      <c r="L104" s="79" t="s">
        <v>71</v>
      </c>
      <c r="M104" s="79" t="s">
        <v>1551</v>
      </c>
      <c r="N104" s="79" t="s">
        <v>93</v>
      </c>
      <c r="O104" s="79" t="s">
        <v>113</v>
      </c>
      <c r="P104" s="79" t="s">
        <v>95</v>
      </c>
      <c r="Q104" s="70" t="s">
        <v>3613</v>
      </c>
      <c r="R104" s="79" t="s">
        <v>76</v>
      </c>
      <c r="S104" s="79" t="s">
        <v>77</v>
      </c>
      <c r="T104" s="98">
        <v>2025.0</v>
      </c>
      <c r="U104" s="79" t="s">
        <v>78</v>
      </c>
      <c r="V104" s="79" t="s">
        <v>98</v>
      </c>
      <c r="W104" s="79" t="s">
        <v>1553</v>
      </c>
      <c r="X104" s="79" t="s">
        <v>100</v>
      </c>
      <c r="Y104" s="79" t="s">
        <v>71</v>
      </c>
      <c r="Z104" s="79" t="s">
        <v>1554</v>
      </c>
      <c r="AA104" s="79" t="s">
        <v>178</v>
      </c>
      <c r="AB104" s="96" t="s">
        <v>1555</v>
      </c>
      <c r="AC104" s="174" t="str">
        <f>+62 858-1117-3233
 +62 852-2443-7788</f>
        <v>#ERROR!</v>
      </c>
      <c r="AD104" s="69"/>
      <c r="AE104" s="67" t="s">
        <v>1505</v>
      </c>
      <c r="AF104" s="68" t="s">
        <v>71</v>
      </c>
      <c r="AG104" s="172" t="s">
        <v>1506</v>
      </c>
      <c r="AH104" s="173"/>
      <c r="AI104" s="173"/>
      <c r="AJ104" s="173"/>
      <c r="AK104" s="173"/>
      <c r="AL104" s="173"/>
      <c r="AM104" s="173"/>
      <c r="AN104" s="173"/>
      <c r="AO104" s="173"/>
      <c r="AP104" s="173"/>
      <c r="AQ104" s="173"/>
      <c r="AR104" s="61"/>
    </row>
    <row r="105" hidden="1">
      <c r="A105" s="62">
        <v>103.0</v>
      </c>
      <c r="B105" s="96" t="s">
        <v>1562</v>
      </c>
      <c r="C105" s="96" t="s">
        <v>1563</v>
      </c>
      <c r="D105" s="176" t="s">
        <v>1564</v>
      </c>
      <c r="E105" s="96" t="s">
        <v>1565</v>
      </c>
      <c r="F105" s="70" t="s">
        <v>3614</v>
      </c>
      <c r="G105" s="79" t="s">
        <v>65</v>
      </c>
      <c r="H105" s="79" t="s">
        <v>66</v>
      </c>
      <c r="I105" s="79" t="s">
        <v>1567</v>
      </c>
      <c r="J105" s="96" t="s">
        <v>1568</v>
      </c>
      <c r="K105" s="79" t="s">
        <v>151</v>
      </c>
      <c r="L105" s="79" t="s">
        <v>70</v>
      </c>
      <c r="M105" s="79" t="s">
        <v>1569</v>
      </c>
      <c r="N105" s="177"/>
      <c r="O105" s="79" t="s">
        <v>94</v>
      </c>
      <c r="P105" s="79" t="s">
        <v>113</v>
      </c>
      <c r="Q105" s="79" t="s">
        <v>153</v>
      </c>
      <c r="R105" s="69"/>
      <c r="S105" s="79" t="s">
        <v>76</v>
      </c>
      <c r="T105" s="79" t="s">
        <v>97</v>
      </c>
      <c r="U105" s="79">
        <v>2018.0</v>
      </c>
      <c r="V105" s="79" t="s">
        <v>78</v>
      </c>
      <c r="W105" s="79" t="s">
        <v>98</v>
      </c>
      <c r="X105" s="79" t="s">
        <v>1570</v>
      </c>
      <c r="Y105" s="79" t="s">
        <v>155</v>
      </c>
      <c r="Z105" s="79" t="s">
        <v>139</v>
      </c>
      <c r="AA105" s="79" t="s">
        <v>1564</v>
      </c>
      <c r="AB105" s="79" t="s">
        <v>180</v>
      </c>
      <c r="AC105" s="96" t="s">
        <v>1571</v>
      </c>
      <c r="AD105" s="96" t="s">
        <v>1572</v>
      </c>
      <c r="AE105" s="96" t="s">
        <v>1573</v>
      </c>
      <c r="AF105" s="59"/>
      <c r="AG105" s="90"/>
      <c r="AH105" s="60"/>
      <c r="AI105" s="60"/>
      <c r="AJ105" s="60"/>
      <c r="AK105" s="60"/>
      <c r="AL105" s="60"/>
      <c r="AM105" s="60"/>
      <c r="AN105" s="60"/>
      <c r="AO105" s="60"/>
      <c r="AP105" s="60"/>
      <c r="AQ105" s="60"/>
      <c r="AR105" s="61"/>
    </row>
    <row r="106" hidden="1">
      <c r="A106" s="62">
        <v>104.0</v>
      </c>
      <c r="B106" s="96" t="s">
        <v>1581</v>
      </c>
      <c r="C106" s="96" t="s">
        <v>1582</v>
      </c>
      <c r="D106" s="96" t="s">
        <v>1583</v>
      </c>
      <c r="E106" s="96" t="s">
        <v>136</v>
      </c>
      <c r="F106" s="79" t="s">
        <v>65</v>
      </c>
      <c r="G106" s="79" t="s">
        <v>66</v>
      </c>
      <c r="H106" s="79" t="s">
        <v>1584</v>
      </c>
      <c r="I106" s="96" t="s">
        <v>1584</v>
      </c>
      <c r="J106" s="79" t="s">
        <v>151</v>
      </c>
      <c r="K106" s="79" t="s">
        <v>70</v>
      </c>
      <c r="L106" s="79" t="s">
        <v>71</v>
      </c>
      <c r="M106" s="79" t="s">
        <v>1585</v>
      </c>
      <c r="N106" s="79" t="s">
        <v>73</v>
      </c>
      <c r="O106" s="79" t="s">
        <v>73</v>
      </c>
      <c r="P106" s="79" t="s">
        <v>74</v>
      </c>
      <c r="Q106" s="70" t="s">
        <v>3615</v>
      </c>
      <c r="R106" s="79" t="s">
        <v>76</v>
      </c>
      <c r="S106" s="79" t="s">
        <v>77</v>
      </c>
      <c r="T106" s="98">
        <v>2019.0</v>
      </c>
      <c r="U106" s="79" t="s">
        <v>78</v>
      </c>
      <c r="V106" s="79" t="s">
        <v>98</v>
      </c>
      <c r="W106" s="79" t="s">
        <v>1587</v>
      </c>
      <c r="X106" s="79" t="s">
        <v>100</v>
      </c>
      <c r="Y106" s="79" t="s">
        <v>139</v>
      </c>
      <c r="Z106" s="79" t="s">
        <v>1588</v>
      </c>
      <c r="AA106" s="79" t="s">
        <v>183</v>
      </c>
      <c r="AB106" s="69"/>
      <c r="AC106" s="69"/>
      <c r="AD106" s="96" t="s">
        <v>1589</v>
      </c>
      <c r="AE106" s="179" t="s">
        <v>1590</v>
      </c>
      <c r="AF106" s="68" t="s">
        <v>71</v>
      </c>
      <c r="AG106" s="180" t="s">
        <v>1591</v>
      </c>
      <c r="AH106" s="61"/>
      <c r="AI106" s="61"/>
      <c r="AJ106" s="61"/>
      <c r="AK106" s="61"/>
      <c r="AL106" s="61"/>
      <c r="AM106" s="61"/>
      <c r="AN106" s="61"/>
      <c r="AO106" s="61"/>
      <c r="AP106" s="61"/>
      <c r="AQ106" s="61"/>
      <c r="AR106" s="61"/>
    </row>
    <row r="107">
      <c r="A107" s="62">
        <v>105.0</v>
      </c>
      <c r="B107" s="96" t="s">
        <v>1592</v>
      </c>
      <c r="C107" s="96" t="s">
        <v>1593</v>
      </c>
      <c r="D107" s="96" t="s">
        <v>1594</v>
      </c>
      <c r="E107" s="96" t="s">
        <v>136</v>
      </c>
      <c r="F107" s="79" t="s">
        <v>65</v>
      </c>
      <c r="G107" s="79" t="s">
        <v>66</v>
      </c>
      <c r="H107" s="79" t="s">
        <v>1584</v>
      </c>
      <c r="I107" s="96" t="s">
        <v>1595</v>
      </c>
      <c r="J107" s="79" t="s">
        <v>151</v>
      </c>
      <c r="K107" s="79" t="s">
        <v>70</v>
      </c>
      <c r="L107" s="79" t="s">
        <v>71</v>
      </c>
      <c r="M107" s="79" t="s">
        <v>1596</v>
      </c>
      <c r="N107" s="79" t="s">
        <v>26</v>
      </c>
      <c r="O107" s="79" t="s">
        <v>113</v>
      </c>
      <c r="P107" s="79" t="s">
        <v>95</v>
      </c>
      <c r="Q107" s="70" t="s">
        <v>3616</v>
      </c>
      <c r="R107" s="79" t="s">
        <v>76</v>
      </c>
      <c r="S107" s="79" t="s">
        <v>77</v>
      </c>
      <c r="T107" s="98">
        <v>2018.0</v>
      </c>
      <c r="U107" s="79" t="s">
        <v>78</v>
      </c>
      <c r="V107" s="79" t="s">
        <v>98</v>
      </c>
      <c r="W107" s="79" t="s">
        <v>1598</v>
      </c>
      <c r="X107" s="79" t="s">
        <v>100</v>
      </c>
      <c r="Y107" s="79" t="s">
        <v>139</v>
      </c>
      <c r="Z107" s="79" t="s">
        <v>1588</v>
      </c>
      <c r="AA107" s="79" t="s">
        <v>183</v>
      </c>
      <c r="AB107" s="69"/>
      <c r="AC107" s="69"/>
      <c r="AD107" s="96" t="s">
        <v>1589</v>
      </c>
      <c r="AE107" s="179" t="s">
        <v>1590</v>
      </c>
      <c r="AF107" s="68" t="s">
        <v>71</v>
      </c>
      <c r="AG107" s="180" t="s">
        <v>1591</v>
      </c>
      <c r="AH107" s="61"/>
      <c r="AI107" s="61"/>
      <c r="AJ107" s="61"/>
      <c r="AK107" s="61"/>
      <c r="AL107" s="61"/>
      <c r="AM107" s="61"/>
      <c r="AN107" s="61"/>
      <c r="AO107" s="61"/>
      <c r="AP107" s="61"/>
      <c r="AQ107" s="61"/>
      <c r="AR107" s="61"/>
    </row>
    <row r="108" hidden="1">
      <c r="A108" s="62">
        <v>106.0</v>
      </c>
      <c r="B108" s="96" t="s">
        <v>1599</v>
      </c>
      <c r="C108" s="96" t="s">
        <v>1600</v>
      </c>
      <c r="D108" s="96" t="s">
        <v>1601</v>
      </c>
      <c r="E108" s="96" t="s">
        <v>136</v>
      </c>
      <c r="F108" s="79" t="s">
        <v>65</v>
      </c>
      <c r="G108" s="79" t="s">
        <v>66</v>
      </c>
      <c r="H108" s="79" t="s">
        <v>1602</v>
      </c>
      <c r="I108" s="96" t="s">
        <v>1602</v>
      </c>
      <c r="J108" s="79" t="s">
        <v>151</v>
      </c>
      <c r="K108" s="79" t="s">
        <v>70</v>
      </c>
      <c r="L108" s="79" t="s">
        <v>71</v>
      </c>
      <c r="M108" s="79" t="s">
        <v>1603</v>
      </c>
      <c r="N108" s="79" t="s">
        <v>73</v>
      </c>
      <c r="O108" s="79" t="s">
        <v>73</v>
      </c>
      <c r="P108" s="79" t="s">
        <v>95</v>
      </c>
      <c r="Q108" s="70" t="s">
        <v>3617</v>
      </c>
      <c r="R108" s="79" t="s">
        <v>76</v>
      </c>
      <c r="S108" s="79" t="s">
        <v>77</v>
      </c>
      <c r="T108" s="98">
        <v>2021.0</v>
      </c>
      <c r="U108" s="79" t="s">
        <v>78</v>
      </c>
      <c r="V108" s="79" t="s">
        <v>79</v>
      </c>
      <c r="W108" s="79" t="s">
        <v>563</v>
      </c>
      <c r="X108" s="79" t="s">
        <v>100</v>
      </c>
      <c r="Y108" s="79" t="s">
        <v>139</v>
      </c>
      <c r="Z108" s="79" t="s">
        <v>1588</v>
      </c>
      <c r="AA108" s="79" t="s">
        <v>183</v>
      </c>
      <c r="AB108" s="69"/>
      <c r="AC108" s="69"/>
      <c r="AD108" s="96" t="s">
        <v>1589</v>
      </c>
      <c r="AE108" s="179" t="s">
        <v>1590</v>
      </c>
      <c r="AF108" s="68" t="s">
        <v>71</v>
      </c>
      <c r="AG108" s="180" t="s">
        <v>1605</v>
      </c>
      <c r="AH108" s="61"/>
      <c r="AI108" s="61"/>
      <c r="AJ108" s="61"/>
      <c r="AK108" s="61"/>
      <c r="AL108" s="61"/>
      <c r="AM108" s="61"/>
      <c r="AN108" s="61"/>
      <c r="AO108" s="61"/>
      <c r="AP108" s="61"/>
      <c r="AQ108" s="61"/>
      <c r="AR108" s="61"/>
    </row>
    <row r="109" hidden="1">
      <c r="A109" s="62">
        <v>107.0</v>
      </c>
      <c r="B109" s="96" t="s">
        <v>1606</v>
      </c>
      <c r="C109" s="96" t="s">
        <v>1607</v>
      </c>
      <c r="D109" s="96" t="s">
        <v>1608</v>
      </c>
      <c r="E109" s="96" t="s">
        <v>136</v>
      </c>
      <c r="F109" s="79" t="s">
        <v>65</v>
      </c>
      <c r="G109" s="79" t="s">
        <v>66</v>
      </c>
      <c r="H109" s="79" t="s">
        <v>1609</v>
      </c>
      <c r="I109" s="96" t="s">
        <v>1610</v>
      </c>
      <c r="J109" s="79" t="s">
        <v>151</v>
      </c>
      <c r="K109" s="79" t="s">
        <v>70</v>
      </c>
      <c r="L109" s="79" t="s">
        <v>71</v>
      </c>
      <c r="M109" s="79" t="s">
        <v>1611</v>
      </c>
      <c r="N109" s="79" t="s">
        <v>73</v>
      </c>
      <c r="O109" s="79" t="s">
        <v>73</v>
      </c>
      <c r="P109" s="79" t="s">
        <v>74</v>
      </c>
      <c r="Q109" s="70" t="s">
        <v>3618</v>
      </c>
      <c r="R109" s="79" t="s">
        <v>76</v>
      </c>
      <c r="S109" s="79" t="s">
        <v>77</v>
      </c>
      <c r="T109" s="98">
        <v>2024.0</v>
      </c>
      <c r="U109" s="79" t="s">
        <v>78</v>
      </c>
      <c r="V109" s="79" t="s">
        <v>98</v>
      </c>
      <c r="W109" s="79" t="s">
        <v>1613</v>
      </c>
      <c r="X109" s="79" t="s">
        <v>100</v>
      </c>
      <c r="Y109" s="79" t="s">
        <v>139</v>
      </c>
      <c r="Z109" s="79" t="s">
        <v>1588</v>
      </c>
      <c r="AA109" s="79" t="s">
        <v>183</v>
      </c>
      <c r="AB109" s="69"/>
      <c r="AC109" s="69"/>
      <c r="AD109" s="96" t="s">
        <v>1589</v>
      </c>
      <c r="AE109" s="59"/>
      <c r="AF109" s="68" t="s">
        <v>71</v>
      </c>
      <c r="AG109" s="180" t="s">
        <v>1614</v>
      </c>
      <c r="AH109" s="61"/>
      <c r="AI109" s="61"/>
      <c r="AJ109" s="61"/>
      <c r="AK109" s="61"/>
      <c r="AL109" s="61"/>
      <c r="AM109" s="61"/>
      <c r="AN109" s="61"/>
      <c r="AO109" s="61"/>
      <c r="AP109" s="61"/>
      <c r="AQ109" s="61"/>
      <c r="AR109" s="61"/>
    </row>
    <row r="110">
      <c r="A110" s="62">
        <v>108.0</v>
      </c>
      <c r="B110" s="96" t="s">
        <v>1615</v>
      </c>
      <c r="C110" s="96" t="s">
        <v>1616</v>
      </c>
      <c r="D110" s="96" t="s">
        <v>1617</v>
      </c>
      <c r="E110" s="96" t="s">
        <v>136</v>
      </c>
      <c r="F110" s="79" t="s">
        <v>65</v>
      </c>
      <c r="G110" s="79" t="s">
        <v>66</v>
      </c>
      <c r="H110" s="79" t="s">
        <v>1618</v>
      </c>
      <c r="I110" s="96" t="s">
        <v>1619</v>
      </c>
      <c r="J110" s="79" t="s">
        <v>151</v>
      </c>
      <c r="K110" s="79" t="s">
        <v>70</v>
      </c>
      <c r="L110" s="79" t="s">
        <v>71</v>
      </c>
      <c r="M110" s="79" t="s">
        <v>1620</v>
      </c>
      <c r="N110" s="79" t="s">
        <v>26</v>
      </c>
      <c r="O110" s="79" t="s">
        <v>113</v>
      </c>
      <c r="P110" s="79" t="s">
        <v>95</v>
      </c>
      <c r="Q110" s="70" t="s">
        <v>3619</v>
      </c>
      <c r="R110" s="79" t="s">
        <v>76</v>
      </c>
      <c r="S110" s="79" t="s">
        <v>97</v>
      </c>
      <c r="T110" s="98">
        <v>2024.0</v>
      </c>
      <c r="U110" s="79" t="s">
        <v>78</v>
      </c>
      <c r="V110" s="79" t="s">
        <v>79</v>
      </c>
      <c r="W110" s="69"/>
      <c r="X110" s="79" t="s">
        <v>148</v>
      </c>
      <c r="Y110" s="79" t="s">
        <v>139</v>
      </c>
      <c r="Z110" s="79" t="s">
        <v>1622</v>
      </c>
      <c r="AA110" s="79" t="s">
        <v>183</v>
      </c>
      <c r="AB110" s="69"/>
      <c r="AC110" s="69"/>
      <c r="AD110" s="96" t="s">
        <v>1589</v>
      </c>
      <c r="AE110" s="179" t="s">
        <v>1590</v>
      </c>
      <c r="AF110" s="68" t="s">
        <v>71</v>
      </c>
      <c r="AG110" s="95" t="s">
        <v>183</v>
      </c>
      <c r="AH110" s="61"/>
      <c r="AI110" s="61"/>
      <c r="AJ110" s="61"/>
      <c r="AK110" s="61"/>
      <c r="AL110" s="61"/>
      <c r="AM110" s="61"/>
      <c r="AN110" s="61"/>
      <c r="AO110" s="61"/>
      <c r="AP110" s="61"/>
      <c r="AQ110" s="61"/>
      <c r="AR110" s="61"/>
    </row>
    <row r="111">
      <c r="A111" s="62">
        <v>109.0</v>
      </c>
      <c r="B111" s="96" t="s">
        <v>1623</v>
      </c>
      <c r="C111" s="96" t="s">
        <v>1624</v>
      </c>
      <c r="D111" s="96" t="s">
        <v>1625</v>
      </c>
      <c r="E111" s="96" t="s">
        <v>88</v>
      </c>
      <c r="F111" s="79" t="s">
        <v>65</v>
      </c>
      <c r="G111" s="79" t="s">
        <v>66</v>
      </c>
      <c r="H111" s="79" t="s">
        <v>1626</v>
      </c>
      <c r="I111" s="96" t="s">
        <v>1627</v>
      </c>
      <c r="J111" s="79" t="s">
        <v>151</v>
      </c>
      <c r="K111" s="79" t="s">
        <v>70</v>
      </c>
      <c r="L111" s="79" t="s">
        <v>143</v>
      </c>
      <c r="M111" s="79" t="s">
        <v>1628</v>
      </c>
      <c r="N111" s="79" t="s">
        <v>26</v>
      </c>
      <c r="O111" s="79" t="s">
        <v>113</v>
      </c>
      <c r="P111" s="79" t="s">
        <v>95</v>
      </c>
      <c r="Q111" s="70" t="s">
        <v>3620</v>
      </c>
      <c r="R111" s="79" t="s">
        <v>76</v>
      </c>
      <c r="S111" s="79" t="s">
        <v>97</v>
      </c>
      <c r="T111" s="98">
        <v>2024.0</v>
      </c>
      <c r="U111" s="79" t="s">
        <v>78</v>
      </c>
      <c r="V111" s="79" t="s">
        <v>79</v>
      </c>
      <c r="W111" s="69"/>
      <c r="X111" s="79" t="s">
        <v>148</v>
      </c>
      <c r="Y111" s="79" t="s">
        <v>139</v>
      </c>
      <c r="Z111" s="79" t="s">
        <v>1622</v>
      </c>
      <c r="AA111" s="79" t="s">
        <v>183</v>
      </c>
      <c r="AB111" s="69"/>
      <c r="AC111" s="69"/>
      <c r="AD111" s="96" t="s">
        <v>1589</v>
      </c>
      <c r="AE111" s="179" t="s">
        <v>1590</v>
      </c>
      <c r="AF111" s="68" t="s">
        <v>71</v>
      </c>
      <c r="AG111" s="95" t="s">
        <v>183</v>
      </c>
      <c r="AH111" s="61"/>
      <c r="AI111" s="61"/>
      <c r="AJ111" s="61"/>
      <c r="AK111" s="61"/>
      <c r="AL111" s="61"/>
      <c r="AM111" s="61"/>
      <c r="AN111" s="61"/>
      <c r="AO111" s="61"/>
      <c r="AP111" s="61"/>
      <c r="AQ111" s="61"/>
      <c r="AR111" s="61"/>
    </row>
    <row r="112" hidden="1">
      <c r="A112" s="62">
        <v>110.0</v>
      </c>
      <c r="B112" s="96" t="s">
        <v>1631</v>
      </c>
      <c r="C112" s="96" t="s">
        <v>1632</v>
      </c>
      <c r="D112" s="96" t="s">
        <v>1633</v>
      </c>
      <c r="E112" s="96" t="s">
        <v>88</v>
      </c>
      <c r="F112" s="79" t="s">
        <v>395</v>
      </c>
      <c r="G112" s="79" t="s">
        <v>66</v>
      </c>
      <c r="H112" s="79" t="s">
        <v>1634</v>
      </c>
      <c r="I112" s="96" t="s">
        <v>1635</v>
      </c>
      <c r="J112" s="79" t="s">
        <v>151</v>
      </c>
      <c r="K112" s="79" t="s">
        <v>70</v>
      </c>
      <c r="L112" s="79" t="s">
        <v>152</v>
      </c>
      <c r="M112" s="79" t="s">
        <v>1636</v>
      </c>
      <c r="N112" s="79" t="s">
        <v>93</v>
      </c>
      <c r="O112" s="79" t="s">
        <v>94</v>
      </c>
      <c r="P112" s="79" t="s">
        <v>95</v>
      </c>
      <c r="Q112" s="70" t="s">
        <v>3621</v>
      </c>
      <c r="R112" s="79" t="s">
        <v>76</v>
      </c>
      <c r="S112" s="79" t="s">
        <v>97</v>
      </c>
      <c r="T112" s="98">
        <v>2022.0</v>
      </c>
      <c r="U112" s="79" t="s">
        <v>78</v>
      </c>
      <c r="V112" s="79" t="s">
        <v>98</v>
      </c>
      <c r="W112" s="79" t="s">
        <v>1638</v>
      </c>
      <c r="X112" s="79" t="s">
        <v>100</v>
      </c>
      <c r="Y112" s="79" t="s">
        <v>152</v>
      </c>
      <c r="Z112" s="79" t="s">
        <v>1639</v>
      </c>
      <c r="AA112" s="79" t="s">
        <v>185</v>
      </c>
      <c r="AB112" s="96" t="s">
        <v>1640</v>
      </c>
      <c r="AC112" s="79">
        <v>8.1912125222E10</v>
      </c>
      <c r="AD112" s="79" t="s">
        <v>1641</v>
      </c>
      <c r="AE112" s="68">
        <v>14.0</v>
      </c>
      <c r="AF112" s="68" t="s">
        <v>152</v>
      </c>
      <c r="AG112" s="60"/>
      <c r="AH112" s="61"/>
      <c r="AI112" s="61"/>
      <c r="AJ112" s="61"/>
      <c r="AK112" s="61"/>
      <c r="AL112" s="61"/>
      <c r="AM112" s="61"/>
      <c r="AN112" s="61"/>
      <c r="AO112" s="61"/>
      <c r="AP112" s="61"/>
      <c r="AQ112" s="61"/>
      <c r="AR112" s="61"/>
    </row>
    <row r="113" hidden="1">
      <c r="A113" s="62">
        <v>111.0</v>
      </c>
      <c r="B113" s="96" t="s">
        <v>1642</v>
      </c>
      <c r="C113" s="96" t="s">
        <v>1643</v>
      </c>
      <c r="D113" s="96" t="s">
        <v>1644</v>
      </c>
      <c r="E113" s="96" t="s">
        <v>88</v>
      </c>
      <c r="F113" s="79" t="s">
        <v>392</v>
      </c>
      <c r="G113" s="79" t="s">
        <v>66</v>
      </c>
      <c r="H113" s="79" t="s">
        <v>1645</v>
      </c>
      <c r="I113" s="96" t="s">
        <v>1646</v>
      </c>
      <c r="J113" s="79" t="s">
        <v>151</v>
      </c>
      <c r="K113" s="79" t="s">
        <v>70</v>
      </c>
      <c r="L113" s="79" t="s">
        <v>71</v>
      </c>
      <c r="M113" s="79" t="s">
        <v>1647</v>
      </c>
      <c r="N113" s="79" t="s">
        <v>93</v>
      </c>
      <c r="O113" s="79" t="s">
        <v>94</v>
      </c>
      <c r="P113" s="79" t="s">
        <v>95</v>
      </c>
      <c r="Q113" s="70" t="s">
        <v>3622</v>
      </c>
      <c r="R113" s="79" t="s">
        <v>76</v>
      </c>
      <c r="S113" s="79" t="s">
        <v>97</v>
      </c>
      <c r="T113" s="98">
        <v>2025.0</v>
      </c>
      <c r="U113" s="79" t="s">
        <v>78</v>
      </c>
      <c r="V113" s="79" t="s">
        <v>79</v>
      </c>
      <c r="W113" s="181" t="s">
        <v>1649</v>
      </c>
      <c r="X113" s="79" t="s">
        <v>80</v>
      </c>
      <c r="Y113" s="79" t="s">
        <v>80</v>
      </c>
      <c r="Z113" s="79" t="s">
        <v>1650</v>
      </c>
      <c r="AA113" s="79" t="s">
        <v>185</v>
      </c>
      <c r="AB113" s="96" t="s">
        <v>1651</v>
      </c>
      <c r="AC113" s="96">
        <v>8.1320998488E10</v>
      </c>
      <c r="AD113" s="96" t="s">
        <v>1652</v>
      </c>
      <c r="AE113" s="68">
        <v>17.0</v>
      </c>
      <c r="AF113" s="68" t="s">
        <v>71</v>
      </c>
      <c r="AG113" s="60"/>
      <c r="AH113" s="61"/>
      <c r="AI113" s="61"/>
      <c r="AJ113" s="61"/>
      <c r="AK113" s="61"/>
      <c r="AL113" s="61"/>
      <c r="AM113" s="61"/>
      <c r="AN113" s="61"/>
      <c r="AO113" s="61"/>
      <c r="AP113" s="61"/>
      <c r="AQ113" s="61"/>
      <c r="AR113" s="61"/>
    </row>
    <row r="114">
      <c r="A114" s="62">
        <v>112.0</v>
      </c>
      <c r="B114" s="96" t="s">
        <v>1653</v>
      </c>
      <c r="C114" s="96" t="s">
        <v>1654</v>
      </c>
      <c r="D114" s="96" t="s">
        <v>1655</v>
      </c>
      <c r="E114" s="96" t="s">
        <v>88</v>
      </c>
      <c r="F114" s="79" t="s">
        <v>456</v>
      </c>
      <c r="G114" s="79" t="s">
        <v>123</v>
      </c>
      <c r="H114" s="79" t="s">
        <v>1656</v>
      </c>
      <c r="I114" s="96" t="s">
        <v>1657</v>
      </c>
      <c r="J114" s="79" t="s">
        <v>69</v>
      </c>
      <c r="K114" s="79" t="s">
        <v>110</v>
      </c>
      <c r="L114" s="79" t="s">
        <v>101</v>
      </c>
      <c r="M114" s="79" t="s">
        <v>1658</v>
      </c>
      <c r="N114" s="79" t="s">
        <v>26</v>
      </c>
      <c r="O114" s="79" t="s">
        <v>113</v>
      </c>
      <c r="P114" s="79" t="s">
        <v>145</v>
      </c>
      <c r="Q114" s="96" t="s">
        <v>1659</v>
      </c>
      <c r="R114" s="79" t="s">
        <v>76</v>
      </c>
      <c r="S114" s="79" t="s">
        <v>97</v>
      </c>
      <c r="T114" s="98">
        <v>2016.0</v>
      </c>
      <c r="U114" s="79" t="s">
        <v>78</v>
      </c>
      <c r="V114" s="79" t="s">
        <v>98</v>
      </c>
      <c r="W114" s="79" t="s">
        <v>1660</v>
      </c>
      <c r="X114" s="79" t="s">
        <v>100</v>
      </c>
      <c r="Y114" s="79" t="s">
        <v>139</v>
      </c>
      <c r="Z114" s="79" t="s">
        <v>1661</v>
      </c>
      <c r="AA114" s="130" t="s">
        <v>185</v>
      </c>
      <c r="AB114" s="96" t="s">
        <v>1662</v>
      </c>
      <c r="AC114" s="96">
        <v>8.7806010625E10</v>
      </c>
      <c r="AD114" s="96" t="s">
        <v>1663</v>
      </c>
      <c r="AE114" s="68">
        <v>17.0</v>
      </c>
      <c r="AF114" s="68" t="s">
        <v>71</v>
      </c>
      <c r="AG114" s="60"/>
      <c r="AH114" s="61"/>
      <c r="AI114" s="61"/>
      <c r="AJ114" s="61"/>
      <c r="AK114" s="61"/>
      <c r="AL114" s="61"/>
      <c r="AM114" s="61"/>
      <c r="AN114" s="61"/>
      <c r="AO114" s="61"/>
      <c r="AP114" s="61"/>
      <c r="AQ114" s="61"/>
      <c r="AR114" s="61"/>
    </row>
    <row r="115" hidden="1">
      <c r="A115" s="62">
        <v>113.0</v>
      </c>
      <c r="B115" s="96" t="s">
        <v>1664</v>
      </c>
      <c r="C115" s="96" t="s">
        <v>1665</v>
      </c>
      <c r="D115" s="96" t="s">
        <v>1633</v>
      </c>
      <c r="E115" s="96" t="s">
        <v>1666</v>
      </c>
      <c r="F115" s="79" t="s">
        <v>394</v>
      </c>
      <c r="G115" s="79" t="s">
        <v>66</v>
      </c>
      <c r="H115" s="79" t="s">
        <v>1667</v>
      </c>
      <c r="I115" s="96" t="s">
        <v>1668</v>
      </c>
      <c r="J115" s="79" t="s">
        <v>91</v>
      </c>
      <c r="K115" s="79" t="s">
        <v>110</v>
      </c>
      <c r="L115" s="79" t="s">
        <v>71</v>
      </c>
      <c r="M115" s="79" t="s">
        <v>1669</v>
      </c>
      <c r="N115" s="79" t="s">
        <v>82</v>
      </c>
      <c r="O115" s="79" t="s">
        <v>113</v>
      </c>
      <c r="P115" s="79" t="s">
        <v>95</v>
      </c>
      <c r="Q115" s="70" t="s">
        <v>3623</v>
      </c>
      <c r="R115" s="79" t="s">
        <v>76</v>
      </c>
      <c r="S115" s="79" t="s">
        <v>97</v>
      </c>
      <c r="T115" s="98">
        <v>2022.0</v>
      </c>
      <c r="U115" s="79" t="s">
        <v>147</v>
      </c>
      <c r="V115" s="79" t="s">
        <v>79</v>
      </c>
      <c r="W115" s="79" t="s">
        <v>563</v>
      </c>
      <c r="X115" s="79" t="s">
        <v>80</v>
      </c>
      <c r="Y115" s="79" t="s">
        <v>80</v>
      </c>
      <c r="Z115" s="79" t="s">
        <v>1671</v>
      </c>
      <c r="AA115" s="79" t="s">
        <v>185</v>
      </c>
      <c r="AB115" s="96" t="s">
        <v>1672</v>
      </c>
      <c r="AC115" s="96">
        <v>8.2120532304E10</v>
      </c>
      <c r="AD115" s="96" t="s">
        <v>1673</v>
      </c>
      <c r="AE115" s="68">
        <v>17.0</v>
      </c>
      <c r="AF115" s="68" t="s">
        <v>152</v>
      </c>
      <c r="AG115" s="60"/>
      <c r="AH115" s="61"/>
      <c r="AI115" s="61"/>
      <c r="AJ115" s="61"/>
      <c r="AK115" s="61"/>
      <c r="AL115" s="61"/>
      <c r="AM115" s="61"/>
      <c r="AN115" s="61"/>
      <c r="AO115" s="61"/>
      <c r="AP115" s="61"/>
      <c r="AQ115" s="61"/>
      <c r="AR115" s="61"/>
    </row>
    <row r="116">
      <c r="A116" s="62">
        <v>114.0</v>
      </c>
      <c r="B116" s="96" t="s">
        <v>1690</v>
      </c>
      <c r="C116" s="96" t="s">
        <v>1691</v>
      </c>
      <c r="D116" s="96" t="s">
        <v>1676</v>
      </c>
      <c r="E116" s="70" t="s">
        <v>3624</v>
      </c>
      <c r="F116" s="79" t="s">
        <v>394</v>
      </c>
      <c r="G116" s="79" t="s">
        <v>66</v>
      </c>
      <c r="H116" s="79" t="s">
        <v>1693</v>
      </c>
      <c r="I116" s="96" t="s">
        <v>1694</v>
      </c>
      <c r="J116" s="79" t="s">
        <v>91</v>
      </c>
      <c r="K116" s="79" t="s">
        <v>70</v>
      </c>
      <c r="L116" s="79" t="s">
        <v>71</v>
      </c>
      <c r="M116" s="79" t="s">
        <v>1695</v>
      </c>
      <c r="N116" s="79" t="s">
        <v>26</v>
      </c>
      <c r="O116" s="79" t="s">
        <v>113</v>
      </c>
      <c r="P116" s="79" t="s">
        <v>74</v>
      </c>
      <c r="Q116" s="96" t="s">
        <v>1696</v>
      </c>
      <c r="R116" s="79" t="s">
        <v>76</v>
      </c>
      <c r="S116" s="79" t="s">
        <v>77</v>
      </c>
      <c r="T116" s="96" t="s">
        <v>1697</v>
      </c>
      <c r="U116" s="79" t="s">
        <v>78</v>
      </c>
      <c r="V116" s="79" t="s">
        <v>98</v>
      </c>
      <c r="W116" s="79" t="s">
        <v>659</v>
      </c>
      <c r="X116" s="79" t="s">
        <v>100</v>
      </c>
      <c r="Y116" s="79" t="s">
        <v>139</v>
      </c>
      <c r="Z116" s="79" t="s">
        <v>1671</v>
      </c>
      <c r="AA116" s="79" t="s">
        <v>185</v>
      </c>
      <c r="AB116" s="96" t="s">
        <v>1698</v>
      </c>
      <c r="AC116" s="96" t="s">
        <v>1699</v>
      </c>
      <c r="AD116" s="96" t="s">
        <v>1700</v>
      </c>
      <c r="AE116" s="68">
        <v>17.0</v>
      </c>
      <c r="AF116" s="68" t="s">
        <v>71</v>
      </c>
      <c r="AG116" s="60"/>
      <c r="AH116" s="61"/>
      <c r="AI116" s="61"/>
      <c r="AJ116" s="61"/>
      <c r="AK116" s="61"/>
      <c r="AL116" s="61"/>
      <c r="AM116" s="61"/>
      <c r="AN116" s="61"/>
      <c r="AO116" s="61"/>
      <c r="AP116" s="61"/>
      <c r="AQ116" s="61"/>
      <c r="AR116" s="61"/>
    </row>
    <row r="117" hidden="1">
      <c r="A117" s="62">
        <v>115.0</v>
      </c>
      <c r="B117" s="96" t="s">
        <v>1702</v>
      </c>
      <c r="C117" s="96" t="s">
        <v>1703</v>
      </c>
      <c r="D117" s="96" t="s">
        <v>1704</v>
      </c>
      <c r="E117" s="70" t="s">
        <v>3625</v>
      </c>
      <c r="F117" s="79" t="s">
        <v>227</v>
      </c>
      <c r="G117" s="79" t="s">
        <v>138</v>
      </c>
      <c r="H117" s="79" t="s">
        <v>1706</v>
      </c>
      <c r="I117" s="96" t="s">
        <v>1707</v>
      </c>
      <c r="J117" s="79" t="s">
        <v>91</v>
      </c>
      <c r="K117" s="79" t="s">
        <v>70</v>
      </c>
      <c r="L117" s="79" t="s">
        <v>71</v>
      </c>
      <c r="M117" s="79" t="s">
        <v>1708</v>
      </c>
      <c r="N117" s="79" t="s">
        <v>93</v>
      </c>
      <c r="O117" s="79" t="s">
        <v>94</v>
      </c>
      <c r="P117" s="79" t="s">
        <v>74</v>
      </c>
      <c r="Q117" s="70" t="s">
        <v>3626</v>
      </c>
      <c r="R117" s="79" t="s">
        <v>76</v>
      </c>
      <c r="S117" s="79" t="s">
        <v>97</v>
      </c>
      <c r="T117" s="98">
        <v>2021.0</v>
      </c>
      <c r="U117" s="79" t="s">
        <v>78</v>
      </c>
      <c r="V117" s="79" t="s">
        <v>98</v>
      </c>
      <c r="W117" s="79" t="s">
        <v>1710</v>
      </c>
      <c r="X117" s="79" t="s">
        <v>148</v>
      </c>
      <c r="Y117" s="79" t="s">
        <v>71</v>
      </c>
      <c r="Z117" s="79" t="s">
        <v>1711</v>
      </c>
      <c r="AA117" s="79" t="s">
        <v>187</v>
      </c>
      <c r="AB117" s="96" t="s">
        <v>1712</v>
      </c>
      <c r="AC117" s="96">
        <v>8.2318055276E10</v>
      </c>
      <c r="AD117" s="96" t="s">
        <v>1713</v>
      </c>
      <c r="AE117" s="59"/>
      <c r="AF117" s="59"/>
      <c r="AG117" s="60"/>
      <c r="AH117" s="61"/>
      <c r="AI117" s="61"/>
      <c r="AJ117" s="61"/>
      <c r="AK117" s="61"/>
      <c r="AL117" s="61"/>
      <c r="AM117" s="61"/>
      <c r="AN117" s="61"/>
      <c r="AO117" s="61"/>
      <c r="AP117" s="61"/>
      <c r="AQ117" s="61"/>
      <c r="AR117" s="61"/>
    </row>
    <row r="118" hidden="1">
      <c r="A118" s="62">
        <v>116.0</v>
      </c>
      <c r="B118" s="96" t="s">
        <v>1714</v>
      </c>
      <c r="C118" s="96" t="s">
        <v>1715</v>
      </c>
      <c r="D118" s="96" t="s">
        <v>1716</v>
      </c>
      <c r="E118" s="70" t="s">
        <v>3627</v>
      </c>
      <c r="F118" s="79" t="s">
        <v>188</v>
      </c>
      <c r="G118" s="79" t="s">
        <v>138</v>
      </c>
      <c r="H118" s="79" t="s">
        <v>1718</v>
      </c>
      <c r="I118" s="96" t="s">
        <v>1719</v>
      </c>
      <c r="J118" s="79" t="s">
        <v>151</v>
      </c>
      <c r="K118" s="79" t="s">
        <v>70</v>
      </c>
      <c r="L118" s="79" t="s">
        <v>71</v>
      </c>
      <c r="M118" s="79" t="s">
        <v>1720</v>
      </c>
      <c r="N118" s="79" t="s">
        <v>73</v>
      </c>
      <c r="O118" s="79" t="s">
        <v>73</v>
      </c>
      <c r="P118" s="79" t="s">
        <v>74</v>
      </c>
      <c r="Q118" s="70" t="s">
        <v>3628</v>
      </c>
      <c r="R118" s="79" t="s">
        <v>76</v>
      </c>
      <c r="S118" s="79" t="s">
        <v>97</v>
      </c>
      <c r="T118" s="98">
        <v>2012.0</v>
      </c>
      <c r="U118" s="79" t="s">
        <v>78</v>
      </c>
      <c r="V118" s="79" t="s">
        <v>98</v>
      </c>
      <c r="W118" s="79" t="s">
        <v>1722</v>
      </c>
      <c r="X118" s="79" t="s">
        <v>155</v>
      </c>
      <c r="Y118" s="79" t="s">
        <v>71</v>
      </c>
      <c r="Z118" s="79" t="s">
        <v>1711</v>
      </c>
      <c r="AA118" s="79" t="s">
        <v>187</v>
      </c>
      <c r="AB118" s="96" t="s">
        <v>1723</v>
      </c>
      <c r="AC118" s="96">
        <v>8.122495695E9</v>
      </c>
      <c r="AD118" s="96" t="s">
        <v>1724</v>
      </c>
      <c r="AE118" s="59"/>
      <c r="AF118" s="59"/>
      <c r="AG118" s="60"/>
      <c r="AH118" s="61"/>
      <c r="AI118" s="61"/>
      <c r="AJ118" s="61"/>
      <c r="AK118" s="61"/>
      <c r="AL118" s="61"/>
      <c r="AM118" s="61"/>
      <c r="AN118" s="61"/>
      <c r="AO118" s="61"/>
      <c r="AP118" s="61"/>
      <c r="AQ118" s="61"/>
      <c r="AR118" s="61"/>
    </row>
    <row r="119" hidden="1">
      <c r="A119" s="62">
        <v>117.0</v>
      </c>
      <c r="B119" s="96" t="s">
        <v>1736</v>
      </c>
      <c r="C119" s="96" t="s">
        <v>1737</v>
      </c>
      <c r="D119" s="96" t="s">
        <v>1738</v>
      </c>
      <c r="E119" s="70" t="s">
        <v>3629</v>
      </c>
      <c r="F119" s="79" t="s">
        <v>173</v>
      </c>
      <c r="G119" s="79" t="s">
        <v>138</v>
      </c>
      <c r="H119" s="79" t="s">
        <v>1740</v>
      </c>
      <c r="I119" s="96" t="s">
        <v>1741</v>
      </c>
      <c r="J119" s="79" t="s">
        <v>69</v>
      </c>
      <c r="K119" s="79" t="s">
        <v>70</v>
      </c>
      <c r="L119" s="79" t="s">
        <v>71</v>
      </c>
      <c r="M119" s="79" t="s">
        <v>1742</v>
      </c>
      <c r="N119" s="79" t="s">
        <v>73</v>
      </c>
      <c r="O119" s="79" t="s">
        <v>73</v>
      </c>
      <c r="P119" s="79" t="s">
        <v>95</v>
      </c>
      <c r="Q119" s="70" t="s">
        <v>3630</v>
      </c>
      <c r="R119" s="79" t="s">
        <v>76</v>
      </c>
      <c r="S119" s="79" t="s">
        <v>77</v>
      </c>
      <c r="T119" s="98">
        <v>2018.0</v>
      </c>
      <c r="U119" s="79" t="s">
        <v>78</v>
      </c>
      <c r="V119" s="79" t="s">
        <v>79</v>
      </c>
      <c r="W119" s="79" t="s">
        <v>563</v>
      </c>
      <c r="X119" s="79" t="s">
        <v>80</v>
      </c>
      <c r="Y119" s="79" t="s">
        <v>80</v>
      </c>
      <c r="Z119" s="79" t="s">
        <v>1744</v>
      </c>
      <c r="AA119" s="79" t="s">
        <v>187</v>
      </c>
      <c r="AB119" s="96" t="s">
        <v>1745</v>
      </c>
      <c r="AC119" s="96" t="s">
        <v>1746</v>
      </c>
      <c r="AD119" s="96" t="s">
        <v>1747</v>
      </c>
      <c r="AE119" s="59"/>
      <c r="AF119" s="59"/>
      <c r="AG119" s="60"/>
      <c r="AH119" s="61"/>
      <c r="AI119" s="61"/>
      <c r="AJ119" s="61"/>
      <c r="AK119" s="61"/>
      <c r="AL119" s="61"/>
      <c r="AM119" s="61"/>
      <c r="AN119" s="61"/>
      <c r="AO119" s="61"/>
      <c r="AP119" s="61"/>
      <c r="AQ119" s="61"/>
      <c r="AR119" s="61"/>
    </row>
    <row r="120">
      <c r="A120" s="62">
        <v>118.0</v>
      </c>
      <c r="B120" s="96" t="s">
        <v>1752</v>
      </c>
      <c r="C120" s="96" t="s">
        <v>1753</v>
      </c>
      <c r="D120" s="96" t="s">
        <v>1754</v>
      </c>
      <c r="E120" s="70" t="s">
        <v>3631</v>
      </c>
      <c r="F120" s="79" t="s">
        <v>65</v>
      </c>
      <c r="G120" s="79" t="s">
        <v>138</v>
      </c>
      <c r="H120" s="79" t="s">
        <v>1756</v>
      </c>
      <c r="I120" s="96" t="s">
        <v>1757</v>
      </c>
      <c r="J120" s="79" t="s">
        <v>69</v>
      </c>
      <c r="K120" s="79" t="s">
        <v>70</v>
      </c>
      <c r="L120" s="79" t="s">
        <v>71</v>
      </c>
      <c r="M120" s="131" t="s">
        <v>3632</v>
      </c>
      <c r="N120" s="79" t="s">
        <v>82</v>
      </c>
      <c r="O120" s="79" t="s">
        <v>113</v>
      </c>
      <c r="P120" s="79" t="s">
        <v>74</v>
      </c>
      <c r="Q120" s="70" t="s">
        <v>3633</v>
      </c>
      <c r="R120" s="79" t="s">
        <v>76</v>
      </c>
      <c r="S120" s="79" t="s">
        <v>77</v>
      </c>
      <c r="T120" s="79">
        <v>2022.0</v>
      </c>
      <c r="U120" s="79" t="s">
        <v>78</v>
      </c>
      <c r="V120" s="79" t="s">
        <v>79</v>
      </c>
      <c r="W120" s="79" t="s">
        <v>80</v>
      </c>
      <c r="X120" s="79" t="s">
        <v>80</v>
      </c>
      <c r="Y120" s="79" t="s">
        <v>80</v>
      </c>
      <c r="Z120" s="79" t="s">
        <v>1760</v>
      </c>
      <c r="AA120" s="79" t="s">
        <v>187</v>
      </c>
      <c r="AB120" s="96" t="s">
        <v>1761</v>
      </c>
      <c r="AC120" s="96">
        <v>8.2117525952E10</v>
      </c>
      <c r="AD120" s="96" t="s">
        <v>1762</v>
      </c>
      <c r="AE120" s="79" t="s">
        <v>1763</v>
      </c>
      <c r="AF120" s="68" t="s">
        <v>71</v>
      </c>
      <c r="AG120" s="60"/>
      <c r="AH120" s="61"/>
      <c r="AI120" s="61"/>
      <c r="AJ120" s="61"/>
      <c r="AK120" s="61"/>
      <c r="AL120" s="61"/>
      <c r="AM120" s="61"/>
      <c r="AN120" s="61"/>
      <c r="AO120" s="61"/>
      <c r="AP120" s="61"/>
      <c r="AQ120" s="61"/>
      <c r="AR120" s="61"/>
    </row>
    <row r="121" hidden="1">
      <c r="A121" s="62">
        <v>119.0</v>
      </c>
      <c r="B121" s="177"/>
      <c r="C121" s="177"/>
      <c r="D121" s="94"/>
      <c r="E121" s="183"/>
      <c r="F121" s="184"/>
      <c r="G121" s="184"/>
      <c r="H121" s="184"/>
      <c r="I121" s="177"/>
      <c r="J121" s="184"/>
      <c r="K121" s="184"/>
      <c r="L121" s="184"/>
      <c r="M121" s="79" t="s">
        <v>1772</v>
      </c>
      <c r="N121" s="79" t="s">
        <v>73</v>
      </c>
      <c r="O121" s="79" t="s">
        <v>73</v>
      </c>
      <c r="P121" s="79" t="s">
        <v>95</v>
      </c>
      <c r="Q121" s="70" t="s">
        <v>3634</v>
      </c>
      <c r="R121" s="79" t="s">
        <v>76</v>
      </c>
      <c r="S121" s="79" t="s">
        <v>97</v>
      </c>
      <c r="T121" s="79" t="s">
        <v>1774</v>
      </c>
      <c r="U121" s="79" t="s">
        <v>78</v>
      </c>
      <c r="V121" s="79" t="s">
        <v>79</v>
      </c>
      <c r="W121" s="79" t="s">
        <v>80</v>
      </c>
      <c r="X121" s="79" t="s">
        <v>80</v>
      </c>
      <c r="Y121" s="79" t="s">
        <v>80</v>
      </c>
      <c r="Z121" s="184"/>
      <c r="AA121" s="184"/>
      <c r="AB121" s="184"/>
      <c r="AC121" s="184"/>
      <c r="AD121" s="184"/>
      <c r="AE121" s="59"/>
      <c r="AF121" s="59"/>
      <c r="AG121" s="60"/>
      <c r="AH121" s="61"/>
      <c r="AI121" s="61"/>
      <c r="AJ121" s="61"/>
      <c r="AK121" s="61"/>
      <c r="AL121" s="61"/>
      <c r="AM121" s="61"/>
      <c r="AN121" s="61"/>
      <c r="AO121" s="61"/>
      <c r="AP121" s="61"/>
      <c r="AQ121" s="61"/>
      <c r="AR121" s="61"/>
    </row>
    <row r="122" hidden="1">
      <c r="A122" s="62">
        <v>120.0</v>
      </c>
      <c r="B122" s="177"/>
      <c r="C122" s="177"/>
      <c r="D122" s="94"/>
      <c r="E122" s="183"/>
      <c r="F122" s="184"/>
      <c r="G122" s="184"/>
      <c r="H122" s="184"/>
      <c r="I122" s="177"/>
      <c r="J122" s="184"/>
      <c r="K122" s="184"/>
      <c r="L122" s="184"/>
      <c r="M122" s="79" t="s">
        <v>1775</v>
      </c>
      <c r="N122" s="79" t="s">
        <v>73</v>
      </c>
      <c r="O122" s="79" t="s">
        <v>73</v>
      </c>
      <c r="P122" s="79" t="s">
        <v>95</v>
      </c>
      <c r="Q122" s="70" t="s">
        <v>3635</v>
      </c>
      <c r="R122" s="79" t="s">
        <v>76</v>
      </c>
      <c r="S122" s="79" t="s">
        <v>97</v>
      </c>
      <c r="T122" s="79" t="s">
        <v>1774</v>
      </c>
      <c r="U122" s="79" t="s">
        <v>78</v>
      </c>
      <c r="V122" s="79" t="s">
        <v>79</v>
      </c>
      <c r="W122" s="79" t="s">
        <v>80</v>
      </c>
      <c r="X122" s="79" t="s">
        <v>80</v>
      </c>
      <c r="Y122" s="79" t="s">
        <v>80</v>
      </c>
      <c r="Z122" s="184"/>
      <c r="AA122" s="184"/>
      <c r="AB122" s="184"/>
      <c r="AC122" s="184"/>
      <c r="AD122" s="184"/>
      <c r="AE122" s="59"/>
      <c r="AF122" s="59"/>
      <c r="AG122" s="60"/>
      <c r="AH122" s="61"/>
      <c r="AI122" s="61"/>
      <c r="AJ122" s="61"/>
      <c r="AK122" s="61"/>
      <c r="AL122" s="61"/>
      <c r="AM122" s="61"/>
      <c r="AN122" s="61"/>
      <c r="AO122" s="61"/>
      <c r="AP122" s="61"/>
      <c r="AQ122" s="61"/>
      <c r="AR122" s="61"/>
    </row>
    <row r="123">
      <c r="A123" s="62">
        <v>121.0</v>
      </c>
      <c r="B123" s="79" t="s">
        <v>1796</v>
      </c>
      <c r="C123" s="79" t="s">
        <v>1797</v>
      </c>
      <c r="D123" s="79" t="s">
        <v>1798</v>
      </c>
      <c r="E123" s="131" t="s">
        <v>3636</v>
      </c>
      <c r="F123" s="79" t="s">
        <v>246</v>
      </c>
      <c r="G123" s="79" t="s">
        <v>66</v>
      </c>
      <c r="H123" s="79" t="s">
        <v>1800</v>
      </c>
      <c r="I123" s="79" t="s">
        <v>1801</v>
      </c>
      <c r="J123" s="79" t="s">
        <v>91</v>
      </c>
      <c r="K123" s="79" t="s">
        <v>70</v>
      </c>
      <c r="L123" s="79" t="s">
        <v>71</v>
      </c>
      <c r="M123" s="79" t="s">
        <v>1802</v>
      </c>
      <c r="N123" s="79" t="s">
        <v>82</v>
      </c>
      <c r="O123" s="79" t="s">
        <v>113</v>
      </c>
      <c r="P123" s="79" t="s">
        <v>95</v>
      </c>
      <c r="Q123" s="131" t="s">
        <v>3637</v>
      </c>
      <c r="R123" s="79" t="s">
        <v>76</v>
      </c>
      <c r="S123" s="79" t="s">
        <v>97</v>
      </c>
      <c r="T123" s="79">
        <v>2021.0</v>
      </c>
      <c r="U123" s="79" t="s">
        <v>78</v>
      </c>
      <c r="V123" s="79" t="s">
        <v>79</v>
      </c>
      <c r="W123" s="79" t="s">
        <v>80</v>
      </c>
      <c r="X123" s="79" t="s">
        <v>80</v>
      </c>
      <c r="Y123" s="79" t="s">
        <v>80</v>
      </c>
      <c r="Z123" s="79" t="s">
        <v>1804</v>
      </c>
      <c r="AA123" s="79" t="s">
        <v>189</v>
      </c>
      <c r="AB123" s="79" t="s">
        <v>1805</v>
      </c>
      <c r="AC123" s="79">
        <v>8.12245105E10</v>
      </c>
      <c r="AD123" s="69"/>
      <c r="AE123" s="59"/>
      <c r="AF123" s="68" t="s">
        <v>1268</v>
      </c>
      <c r="AG123" s="186" t="s">
        <v>1806</v>
      </c>
      <c r="AI123" s="61"/>
      <c r="AJ123" s="61"/>
      <c r="AK123" s="61"/>
      <c r="AL123" s="61"/>
      <c r="AM123" s="61"/>
      <c r="AN123" s="61"/>
      <c r="AO123" s="61"/>
      <c r="AP123" s="61"/>
      <c r="AQ123" s="61"/>
      <c r="AR123" s="61"/>
    </row>
    <row r="124" hidden="1">
      <c r="A124" s="62">
        <v>122.0</v>
      </c>
      <c r="B124" s="79" t="s">
        <v>1807</v>
      </c>
      <c r="C124" s="79" t="s">
        <v>1808</v>
      </c>
      <c r="D124" s="79" t="s">
        <v>1809</v>
      </c>
      <c r="E124" s="131" t="s">
        <v>3638</v>
      </c>
      <c r="F124" s="79" t="s">
        <v>246</v>
      </c>
      <c r="G124" s="79" t="s">
        <v>66</v>
      </c>
      <c r="H124" s="79" t="s">
        <v>1811</v>
      </c>
      <c r="I124" s="79" t="s">
        <v>1812</v>
      </c>
      <c r="J124" s="79" t="s">
        <v>69</v>
      </c>
      <c r="K124" s="79" t="s">
        <v>70</v>
      </c>
      <c r="L124" s="79" t="s">
        <v>71</v>
      </c>
      <c r="M124" s="79" t="s">
        <v>1813</v>
      </c>
      <c r="N124" s="79" t="s">
        <v>73</v>
      </c>
      <c r="O124" s="79" t="s">
        <v>73</v>
      </c>
      <c r="P124" s="79" t="s">
        <v>95</v>
      </c>
      <c r="Q124" s="131" t="s">
        <v>3639</v>
      </c>
      <c r="R124" s="79" t="s">
        <v>76</v>
      </c>
      <c r="S124" s="79" t="s">
        <v>97</v>
      </c>
      <c r="T124" s="79" t="s">
        <v>563</v>
      </c>
      <c r="U124" s="79" t="s">
        <v>78</v>
      </c>
      <c r="V124" s="79" t="s">
        <v>79</v>
      </c>
      <c r="W124" s="79" t="s">
        <v>80</v>
      </c>
      <c r="X124" s="79" t="s">
        <v>80</v>
      </c>
      <c r="Y124" s="79" t="s">
        <v>80</v>
      </c>
      <c r="Z124" s="79" t="s">
        <v>1804</v>
      </c>
      <c r="AA124" s="79" t="s">
        <v>189</v>
      </c>
      <c r="AB124" s="79" t="s">
        <v>1805</v>
      </c>
      <c r="AC124" s="79">
        <v>8.12245105E10</v>
      </c>
      <c r="AD124" s="69"/>
      <c r="AE124" s="59"/>
      <c r="AF124" s="68" t="s">
        <v>71</v>
      </c>
      <c r="AG124" s="187" t="s">
        <v>26</v>
      </c>
      <c r="AH124" s="61"/>
      <c r="AI124" s="61"/>
      <c r="AJ124" s="61"/>
      <c r="AK124" s="61"/>
      <c r="AL124" s="61"/>
      <c r="AM124" s="61"/>
      <c r="AN124" s="61"/>
      <c r="AO124" s="61"/>
      <c r="AP124" s="61"/>
      <c r="AQ124" s="61"/>
      <c r="AR124" s="61"/>
    </row>
    <row r="125" hidden="1">
      <c r="A125" s="62">
        <v>123.0</v>
      </c>
      <c r="B125" s="79" t="s">
        <v>1815</v>
      </c>
      <c r="C125" s="79" t="s">
        <v>1816</v>
      </c>
      <c r="D125" s="79" t="s">
        <v>1817</v>
      </c>
      <c r="E125" s="131" t="s">
        <v>3640</v>
      </c>
      <c r="F125" s="79" t="s">
        <v>204</v>
      </c>
      <c r="G125" s="79" t="s">
        <v>66</v>
      </c>
      <c r="H125" s="79" t="s">
        <v>1819</v>
      </c>
      <c r="I125" s="79" t="s">
        <v>1820</v>
      </c>
      <c r="J125" s="79" t="s">
        <v>91</v>
      </c>
      <c r="K125" s="79" t="s">
        <v>70</v>
      </c>
      <c r="L125" s="79" t="s">
        <v>71</v>
      </c>
      <c r="M125" s="79" t="s">
        <v>1821</v>
      </c>
      <c r="N125" s="79" t="s">
        <v>73</v>
      </c>
      <c r="O125" s="79" t="s">
        <v>73</v>
      </c>
      <c r="P125" s="79" t="s">
        <v>95</v>
      </c>
      <c r="Q125" s="131" t="s">
        <v>3641</v>
      </c>
      <c r="R125" s="79" t="s">
        <v>76</v>
      </c>
      <c r="S125" s="79" t="s">
        <v>97</v>
      </c>
      <c r="T125" s="79" t="s">
        <v>563</v>
      </c>
      <c r="U125" s="79" t="s">
        <v>78</v>
      </c>
      <c r="V125" s="79" t="s">
        <v>79</v>
      </c>
      <c r="W125" s="79" t="s">
        <v>80</v>
      </c>
      <c r="X125" s="79" t="s">
        <v>80</v>
      </c>
      <c r="Y125" s="79" t="s">
        <v>80</v>
      </c>
      <c r="Z125" s="79" t="s">
        <v>1823</v>
      </c>
      <c r="AA125" s="79" t="s">
        <v>189</v>
      </c>
      <c r="AB125" s="79" t="s">
        <v>1824</v>
      </c>
      <c r="AC125" s="79">
        <v>8.5794560785E10</v>
      </c>
      <c r="AD125" s="79" t="s">
        <v>1825</v>
      </c>
      <c r="AE125" s="59"/>
      <c r="AF125" s="59"/>
      <c r="AG125" s="90"/>
      <c r="AH125" s="61"/>
      <c r="AI125" s="61"/>
      <c r="AJ125" s="61"/>
      <c r="AK125" s="61"/>
      <c r="AL125" s="61"/>
      <c r="AM125" s="61"/>
      <c r="AN125" s="61"/>
      <c r="AO125" s="61"/>
      <c r="AP125" s="61"/>
      <c r="AQ125" s="61"/>
      <c r="AR125" s="61"/>
    </row>
    <row r="126" hidden="1">
      <c r="A126" s="62">
        <v>124.0</v>
      </c>
      <c r="B126" s="79" t="s">
        <v>1826</v>
      </c>
      <c r="C126" s="79" t="s">
        <v>1827</v>
      </c>
      <c r="D126" s="79" t="s">
        <v>1828</v>
      </c>
      <c r="E126" s="79" t="s">
        <v>88</v>
      </c>
      <c r="F126" s="79" t="s">
        <v>214</v>
      </c>
      <c r="G126" s="79" t="s">
        <v>66</v>
      </c>
      <c r="H126" s="79" t="s">
        <v>1829</v>
      </c>
      <c r="I126" s="79" t="s">
        <v>1830</v>
      </c>
      <c r="J126" s="79" t="s">
        <v>151</v>
      </c>
      <c r="K126" s="79" t="s">
        <v>70</v>
      </c>
      <c r="L126" s="79" t="s">
        <v>152</v>
      </c>
      <c r="M126" s="79" t="s">
        <v>1831</v>
      </c>
      <c r="N126" s="79" t="s">
        <v>93</v>
      </c>
      <c r="O126" s="79" t="s">
        <v>94</v>
      </c>
      <c r="P126" s="79" t="s">
        <v>74</v>
      </c>
      <c r="Q126" s="131" t="s">
        <v>3642</v>
      </c>
      <c r="R126" s="79" t="s">
        <v>76</v>
      </c>
      <c r="S126" s="79" t="s">
        <v>97</v>
      </c>
      <c r="T126" s="79" t="s">
        <v>563</v>
      </c>
      <c r="U126" s="79" t="s">
        <v>78</v>
      </c>
      <c r="V126" s="79" t="s">
        <v>79</v>
      </c>
      <c r="W126" s="79" t="s">
        <v>80</v>
      </c>
      <c r="X126" s="79" t="s">
        <v>100</v>
      </c>
      <c r="Y126" s="79" t="s">
        <v>139</v>
      </c>
      <c r="Z126" s="79" t="s">
        <v>1833</v>
      </c>
      <c r="AA126" s="79" t="s">
        <v>189</v>
      </c>
      <c r="AB126" s="79" t="s">
        <v>1834</v>
      </c>
      <c r="AC126" s="79">
        <v>8.5882562008E10</v>
      </c>
      <c r="AD126" s="79" t="s">
        <v>1835</v>
      </c>
      <c r="AE126" s="67" t="s">
        <v>1836</v>
      </c>
      <c r="AF126" s="68" t="s">
        <v>71</v>
      </c>
      <c r="AG126" s="187" t="s">
        <v>26</v>
      </c>
      <c r="AH126" s="61"/>
      <c r="AI126" s="61"/>
      <c r="AJ126" s="61"/>
      <c r="AK126" s="61"/>
      <c r="AL126" s="61"/>
      <c r="AM126" s="61"/>
      <c r="AN126" s="61"/>
      <c r="AO126" s="61"/>
      <c r="AP126" s="61"/>
      <c r="AQ126" s="61"/>
      <c r="AR126" s="61"/>
    </row>
    <row r="127" hidden="1">
      <c r="A127" s="62">
        <v>125.0</v>
      </c>
      <c r="B127" s="79" t="s">
        <v>1837</v>
      </c>
      <c r="C127" s="79" t="s">
        <v>1838</v>
      </c>
      <c r="D127" s="79" t="s">
        <v>1839</v>
      </c>
      <c r="E127" s="131" t="s">
        <v>3643</v>
      </c>
      <c r="F127" s="79" t="s">
        <v>214</v>
      </c>
      <c r="G127" s="79" t="s">
        <v>66</v>
      </c>
      <c r="H127" s="79" t="s">
        <v>1841</v>
      </c>
      <c r="I127" s="79" t="s">
        <v>1842</v>
      </c>
      <c r="J127" s="79" t="s">
        <v>69</v>
      </c>
      <c r="K127" s="79" t="s">
        <v>70</v>
      </c>
      <c r="L127" s="79" t="s">
        <v>111</v>
      </c>
      <c r="M127" s="79" t="s">
        <v>1843</v>
      </c>
      <c r="N127" s="79" t="s">
        <v>73</v>
      </c>
      <c r="O127" s="79" t="s">
        <v>73</v>
      </c>
      <c r="P127" s="79" t="s">
        <v>95</v>
      </c>
      <c r="Q127" s="131" t="s">
        <v>3644</v>
      </c>
      <c r="R127" s="79" t="s">
        <v>76</v>
      </c>
      <c r="S127" s="79" t="s">
        <v>97</v>
      </c>
      <c r="T127" s="79" t="s">
        <v>563</v>
      </c>
      <c r="U127" s="79" t="s">
        <v>78</v>
      </c>
      <c r="V127" s="79" t="s">
        <v>79</v>
      </c>
      <c r="W127" s="79" t="s">
        <v>80</v>
      </c>
      <c r="X127" s="79" t="s">
        <v>80</v>
      </c>
      <c r="Y127" s="79" t="s">
        <v>80</v>
      </c>
      <c r="Z127" s="79" t="s">
        <v>1845</v>
      </c>
      <c r="AA127" s="79" t="s">
        <v>189</v>
      </c>
      <c r="AB127" s="79" t="s">
        <v>1846</v>
      </c>
      <c r="AC127" s="79">
        <v>8.1321122481E10</v>
      </c>
      <c r="AD127" s="69"/>
      <c r="AE127" s="77">
        <v>22.0</v>
      </c>
      <c r="AF127" s="68" t="s">
        <v>566</v>
      </c>
      <c r="AG127" s="187" t="s">
        <v>26</v>
      </c>
      <c r="AH127" s="61"/>
      <c r="AI127" s="61"/>
      <c r="AJ127" s="61"/>
      <c r="AK127" s="61"/>
      <c r="AL127" s="61"/>
      <c r="AM127" s="61"/>
      <c r="AN127" s="61"/>
      <c r="AO127" s="61"/>
      <c r="AP127" s="61"/>
      <c r="AQ127" s="61"/>
      <c r="AR127" s="61"/>
    </row>
    <row r="128" hidden="1">
      <c r="A128" s="62">
        <v>126.0</v>
      </c>
      <c r="B128" s="79" t="s">
        <v>1847</v>
      </c>
      <c r="C128" s="79" t="s">
        <v>1848</v>
      </c>
      <c r="D128" s="79" t="s">
        <v>1849</v>
      </c>
      <c r="E128" s="131" t="s">
        <v>3645</v>
      </c>
      <c r="F128" s="79" t="s">
        <v>212</v>
      </c>
      <c r="G128" s="79" t="s">
        <v>66</v>
      </c>
      <c r="H128" s="79" t="s">
        <v>1851</v>
      </c>
      <c r="I128" s="79" t="s">
        <v>1852</v>
      </c>
      <c r="J128" s="79" t="s">
        <v>91</v>
      </c>
      <c r="K128" s="79" t="s">
        <v>70</v>
      </c>
      <c r="L128" s="79" t="s">
        <v>152</v>
      </c>
      <c r="M128" s="79" t="s">
        <v>1853</v>
      </c>
      <c r="N128" s="79" t="s">
        <v>73</v>
      </c>
      <c r="O128" s="79" t="s">
        <v>73</v>
      </c>
      <c r="P128" s="79" t="s">
        <v>95</v>
      </c>
      <c r="Q128" s="131" t="s">
        <v>3646</v>
      </c>
      <c r="R128" s="79" t="s">
        <v>76</v>
      </c>
      <c r="S128" s="79" t="s">
        <v>97</v>
      </c>
      <c r="T128" s="79" t="s">
        <v>563</v>
      </c>
      <c r="U128" s="79" t="s">
        <v>78</v>
      </c>
      <c r="V128" s="79" t="s">
        <v>79</v>
      </c>
      <c r="W128" s="79" t="s">
        <v>80</v>
      </c>
      <c r="X128" s="79" t="s">
        <v>80</v>
      </c>
      <c r="Y128" s="79" t="s">
        <v>80</v>
      </c>
      <c r="Z128" s="79" t="s">
        <v>1845</v>
      </c>
      <c r="AA128" s="79" t="s">
        <v>189</v>
      </c>
      <c r="AB128" s="79" t="s">
        <v>1846</v>
      </c>
      <c r="AC128" s="79">
        <v>8.1321122481E10</v>
      </c>
      <c r="AD128" s="69"/>
      <c r="AE128" s="67" t="s">
        <v>1855</v>
      </c>
      <c r="AF128" s="68" t="s">
        <v>1268</v>
      </c>
      <c r="AG128" s="187" t="s">
        <v>26</v>
      </c>
      <c r="AH128" s="61"/>
      <c r="AI128" s="61"/>
      <c r="AJ128" s="61"/>
      <c r="AK128" s="61"/>
      <c r="AL128" s="61"/>
      <c r="AM128" s="61"/>
      <c r="AN128" s="61"/>
      <c r="AO128" s="61"/>
      <c r="AP128" s="61"/>
      <c r="AQ128" s="61"/>
      <c r="AR128" s="61"/>
    </row>
    <row r="129">
      <c r="A129" s="62">
        <v>127.0</v>
      </c>
      <c r="B129" s="79" t="s">
        <v>1856</v>
      </c>
      <c r="C129" s="79" t="s">
        <v>1857</v>
      </c>
      <c r="D129" s="79" t="s">
        <v>1858</v>
      </c>
      <c r="E129" s="131" t="s">
        <v>3647</v>
      </c>
      <c r="F129" s="79" t="s">
        <v>245</v>
      </c>
      <c r="G129" s="79" t="s">
        <v>66</v>
      </c>
      <c r="H129" s="79" t="s">
        <v>1860</v>
      </c>
      <c r="I129" s="79" t="s">
        <v>1861</v>
      </c>
      <c r="J129" s="79" t="s">
        <v>91</v>
      </c>
      <c r="K129" s="79" t="s">
        <v>70</v>
      </c>
      <c r="L129" s="79" t="s">
        <v>71</v>
      </c>
      <c r="M129" s="79" t="s">
        <v>1862</v>
      </c>
      <c r="N129" s="79" t="s">
        <v>82</v>
      </c>
      <c r="O129" s="79" t="s">
        <v>113</v>
      </c>
      <c r="P129" s="79" t="s">
        <v>95</v>
      </c>
      <c r="Q129" s="131" t="s">
        <v>3648</v>
      </c>
      <c r="R129" s="79" t="s">
        <v>76</v>
      </c>
      <c r="S129" s="79" t="s">
        <v>97</v>
      </c>
      <c r="T129" s="79">
        <v>2021.0</v>
      </c>
      <c r="U129" s="79" t="s">
        <v>78</v>
      </c>
      <c r="V129" s="79" t="s">
        <v>79</v>
      </c>
      <c r="W129" s="79" t="s">
        <v>80</v>
      </c>
      <c r="X129" s="79" t="s">
        <v>80</v>
      </c>
      <c r="Y129" s="79" t="s">
        <v>80</v>
      </c>
      <c r="Z129" s="79" t="s">
        <v>1864</v>
      </c>
      <c r="AA129" s="79" t="s">
        <v>189</v>
      </c>
      <c r="AB129" s="79" t="s">
        <v>1865</v>
      </c>
      <c r="AC129" s="79">
        <v>8.1214317867E10</v>
      </c>
      <c r="AD129" s="79" t="s">
        <v>1866</v>
      </c>
      <c r="AE129" s="59"/>
      <c r="AF129" s="68" t="s">
        <v>1268</v>
      </c>
      <c r="AG129" s="187" t="s">
        <v>26</v>
      </c>
      <c r="AH129" s="61"/>
      <c r="AI129" s="61"/>
      <c r="AJ129" s="61"/>
      <c r="AK129" s="61"/>
      <c r="AL129" s="61"/>
      <c r="AM129" s="61"/>
      <c r="AN129" s="61"/>
      <c r="AO129" s="61"/>
      <c r="AP129" s="61"/>
      <c r="AQ129" s="61"/>
      <c r="AR129" s="61"/>
    </row>
    <row r="130">
      <c r="A130" s="62">
        <v>128.0</v>
      </c>
      <c r="B130" s="96" t="s">
        <v>1868</v>
      </c>
      <c r="C130" s="96" t="s">
        <v>1869</v>
      </c>
      <c r="D130" s="96" t="s">
        <v>1870</v>
      </c>
      <c r="E130" s="131" t="s">
        <v>3649</v>
      </c>
      <c r="F130" s="79" t="s">
        <v>256</v>
      </c>
      <c r="G130" s="79" t="s">
        <v>138</v>
      </c>
      <c r="H130" s="79" t="s">
        <v>1872</v>
      </c>
      <c r="I130" s="96" t="s">
        <v>1873</v>
      </c>
      <c r="J130" s="79" t="s">
        <v>151</v>
      </c>
      <c r="K130" s="79" t="s">
        <v>70</v>
      </c>
      <c r="L130" s="79" t="s">
        <v>152</v>
      </c>
      <c r="M130" s="79" t="s">
        <v>1874</v>
      </c>
      <c r="N130" s="79" t="s">
        <v>82</v>
      </c>
      <c r="O130" s="79" t="s">
        <v>113</v>
      </c>
      <c r="P130" s="79" t="s">
        <v>95</v>
      </c>
      <c r="Q130" s="70" t="s">
        <v>3650</v>
      </c>
      <c r="R130" s="79" t="s">
        <v>76</v>
      </c>
      <c r="S130" s="79" t="s">
        <v>97</v>
      </c>
      <c r="T130" s="79">
        <v>2018.0</v>
      </c>
      <c r="U130" s="79" t="s">
        <v>154</v>
      </c>
      <c r="V130" s="79" t="s">
        <v>79</v>
      </c>
      <c r="W130" s="79" t="s">
        <v>80</v>
      </c>
      <c r="X130" s="69"/>
      <c r="Y130" s="69"/>
      <c r="Z130" s="79" t="s">
        <v>1876</v>
      </c>
      <c r="AA130" s="79" t="s">
        <v>191</v>
      </c>
      <c r="AB130" s="96" t="s">
        <v>1877</v>
      </c>
      <c r="AC130" s="96" t="s">
        <v>1878</v>
      </c>
      <c r="AD130" s="96" t="s">
        <v>1879</v>
      </c>
      <c r="AE130" s="59"/>
      <c r="AF130" s="59"/>
      <c r="AG130" s="84" t="s">
        <v>1867</v>
      </c>
      <c r="AH130" s="61"/>
      <c r="AI130" s="61"/>
      <c r="AJ130" s="61"/>
      <c r="AK130" s="61"/>
      <c r="AL130" s="61"/>
      <c r="AM130" s="61"/>
      <c r="AN130" s="61"/>
      <c r="AO130" s="61"/>
      <c r="AP130" s="61"/>
      <c r="AQ130" s="61"/>
      <c r="AR130" s="61"/>
    </row>
    <row r="131" hidden="1">
      <c r="A131" s="62">
        <v>129.0</v>
      </c>
      <c r="B131" s="96" t="s">
        <v>1880</v>
      </c>
      <c r="C131" s="96" t="s">
        <v>1881</v>
      </c>
      <c r="D131" s="96" t="s">
        <v>1882</v>
      </c>
      <c r="E131" s="70" t="s">
        <v>3651</v>
      </c>
      <c r="F131" s="79" t="s">
        <v>257</v>
      </c>
      <c r="G131" s="79" t="s">
        <v>138</v>
      </c>
      <c r="H131" s="79" t="s">
        <v>1884</v>
      </c>
      <c r="I131" s="96" t="s">
        <v>1885</v>
      </c>
      <c r="J131" s="79" t="s">
        <v>151</v>
      </c>
      <c r="K131" s="79" t="s">
        <v>70</v>
      </c>
      <c r="L131" s="79" t="s">
        <v>152</v>
      </c>
      <c r="M131" s="79" t="s">
        <v>1886</v>
      </c>
      <c r="N131" s="79" t="s">
        <v>93</v>
      </c>
      <c r="O131" s="79" t="s">
        <v>94</v>
      </c>
      <c r="P131" s="79" t="s">
        <v>74</v>
      </c>
      <c r="Q131" s="70" t="s">
        <v>3652</v>
      </c>
      <c r="R131" s="79" t="s">
        <v>76</v>
      </c>
      <c r="S131" s="79" t="s">
        <v>97</v>
      </c>
      <c r="T131" s="79">
        <v>2022.0</v>
      </c>
      <c r="U131" s="79" t="s">
        <v>154</v>
      </c>
      <c r="V131" s="79" t="s">
        <v>79</v>
      </c>
      <c r="W131" s="79" t="s">
        <v>80</v>
      </c>
      <c r="X131" s="69"/>
      <c r="Y131" s="69"/>
      <c r="Z131" s="79" t="s">
        <v>1888</v>
      </c>
      <c r="AA131" s="79" t="s">
        <v>191</v>
      </c>
      <c r="AB131" s="96" t="s">
        <v>1889</v>
      </c>
      <c r="AC131" s="96">
        <v>8.7824561374E10</v>
      </c>
      <c r="AD131" s="96" t="s">
        <v>1890</v>
      </c>
      <c r="AE131" s="59"/>
      <c r="AF131" s="59"/>
      <c r="AG131" s="84" t="s">
        <v>1867</v>
      </c>
      <c r="AH131" s="61"/>
      <c r="AI131" s="61"/>
      <c r="AJ131" s="61"/>
      <c r="AK131" s="61"/>
      <c r="AL131" s="61"/>
      <c r="AM131" s="61"/>
      <c r="AN131" s="61"/>
      <c r="AO131" s="61"/>
      <c r="AP131" s="61"/>
      <c r="AQ131" s="61"/>
      <c r="AR131" s="61"/>
    </row>
    <row r="132">
      <c r="A132" s="62">
        <v>130.0</v>
      </c>
      <c r="B132" s="96" t="s">
        <v>1891</v>
      </c>
      <c r="C132" s="96" t="s">
        <v>1892</v>
      </c>
      <c r="D132" s="96" t="s">
        <v>1893</v>
      </c>
      <c r="E132" s="70" t="s">
        <v>3653</v>
      </c>
      <c r="F132" s="79" t="s">
        <v>228</v>
      </c>
      <c r="G132" s="79" t="s">
        <v>66</v>
      </c>
      <c r="H132" s="79" t="s">
        <v>1895</v>
      </c>
      <c r="I132" s="96" t="s">
        <v>1896</v>
      </c>
      <c r="J132" s="79" t="s">
        <v>151</v>
      </c>
      <c r="K132" s="79" t="s">
        <v>70</v>
      </c>
      <c r="L132" s="79" t="s">
        <v>111</v>
      </c>
      <c r="M132" s="79" t="s">
        <v>1897</v>
      </c>
      <c r="N132" s="79" t="s">
        <v>82</v>
      </c>
      <c r="O132" s="79" t="s">
        <v>113</v>
      </c>
      <c r="P132" s="79" t="s">
        <v>95</v>
      </c>
      <c r="Q132" s="70" t="s">
        <v>3654</v>
      </c>
      <c r="R132" s="79" t="s">
        <v>76</v>
      </c>
      <c r="S132" s="79" t="s">
        <v>97</v>
      </c>
      <c r="T132" s="79">
        <v>2021.0</v>
      </c>
      <c r="U132" s="79" t="s">
        <v>78</v>
      </c>
      <c r="V132" s="79" t="s">
        <v>79</v>
      </c>
      <c r="W132" s="79" t="s">
        <v>80</v>
      </c>
      <c r="X132" s="79" t="s">
        <v>80</v>
      </c>
      <c r="Y132" s="79" t="s">
        <v>80</v>
      </c>
      <c r="Z132" s="79" t="s">
        <v>1899</v>
      </c>
      <c r="AA132" s="79" t="s">
        <v>191</v>
      </c>
      <c r="AB132" s="96" t="s">
        <v>1900</v>
      </c>
      <c r="AC132" s="96">
        <v>8.529749963E10</v>
      </c>
      <c r="AD132" s="96" t="s">
        <v>1901</v>
      </c>
      <c r="AE132" s="59"/>
      <c r="AF132" s="59"/>
      <c r="AG132" s="84" t="s">
        <v>1867</v>
      </c>
      <c r="AH132" s="61"/>
      <c r="AI132" s="61"/>
      <c r="AJ132" s="61"/>
      <c r="AK132" s="61"/>
      <c r="AL132" s="61"/>
      <c r="AM132" s="61"/>
      <c r="AN132" s="61"/>
      <c r="AO132" s="61"/>
      <c r="AP132" s="61"/>
      <c r="AQ132" s="61"/>
      <c r="AR132" s="61"/>
    </row>
    <row r="133" hidden="1">
      <c r="A133" s="62">
        <v>131.0</v>
      </c>
      <c r="B133" s="96" t="s">
        <v>1903</v>
      </c>
      <c r="C133" s="96" t="s">
        <v>1904</v>
      </c>
      <c r="D133" s="96" t="s">
        <v>1905</v>
      </c>
      <c r="E133" s="96" t="s">
        <v>136</v>
      </c>
      <c r="F133" s="79" t="s">
        <v>433</v>
      </c>
      <c r="G133" s="79" t="s">
        <v>66</v>
      </c>
      <c r="H133" s="79" t="s">
        <v>1906</v>
      </c>
      <c r="I133" s="96" t="s">
        <v>1907</v>
      </c>
      <c r="J133" s="79" t="s">
        <v>91</v>
      </c>
      <c r="K133" s="79" t="s">
        <v>70</v>
      </c>
      <c r="L133" s="79" t="s">
        <v>111</v>
      </c>
      <c r="M133" s="79" t="s">
        <v>1908</v>
      </c>
      <c r="N133" s="79" t="s">
        <v>144</v>
      </c>
      <c r="O133" s="79" t="s">
        <v>144</v>
      </c>
      <c r="P133" s="79" t="s">
        <v>95</v>
      </c>
      <c r="Q133" s="70" t="s">
        <v>3655</v>
      </c>
      <c r="R133" s="79" t="s">
        <v>76</v>
      </c>
      <c r="S133" s="79" t="s">
        <v>97</v>
      </c>
      <c r="T133" s="79">
        <v>2017.0</v>
      </c>
      <c r="U133" s="79" t="s">
        <v>78</v>
      </c>
      <c r="V133" s="79" t="s">
        <v>79</v>
      </c>
      <c r="W133" s="79" t="s">
        <v>80</v>
      </c>
      <c r="X133" s="79" t="s">
        <v>80</v>
      </c>
      <c r="Y133" s="79" t="s">
        <v>80</v>
      </c>
      <c r="Z133" s="79" t="s">
        <v>1910</v>
      </c>
      <c r="AA133" s="79" t="s">
        <v>193</v>
      </c>
      <c r="AB133" s="96" t="s">
        <v>1911</v>
      </c>
      <c r="AC133" s="96">
        <v>8.2118147356E10</v>
      </c>
      <c r="AD133" s="96" t="s">
        <v>1912</v>
      </c>
      <c r="AE133" s="68">
        <v>18.0</v>
      </c>
      <c r="AF133" s="68" t="s">
        <v>152</v>
      </c>
      <c r="AG133" s="188" t="s">
        <v>26</v>
      </c>
      <c r="AH133" s="61"/>
      <c r="AI133" s="61"/>
      <c r="AJ133" s="61"/>
      <c r="AK133" s="61"/>
      <c r="AL133" s="61"/>
      <c r="AM133" s="61"/>
      <c r="AN133" s="61"/>
      <c r="AO133" s="61"/>
      <c r="AP133" s="61"/>
      <c r="AQ133" s="61"/>
      <c r="AR133" s="61"/>
    </row>
    <row r="134">
      <c r="A134" s="62">
        <v>132.0</v>
      </c>
      <c r="B134" s="96" t="s">
        <v>1914</v>
      </c>
      <c r="C134" s="79" t="s">
        <v>1915</v>
      </c>
      <c r="D134" s="79" t="s">
        <v>1916</v>
      </c>
      <c r="E134" s="96" t="s">
        <v>1327</v>
      </c>
      <c r="F134" s="79" t="s">
        <v>181</v>
      </c>
      <c r="G134" s="79" t="s">
        <v>66</v>
      </c>
      <c r="H134" s="79" t="s">
        <v>1917</v>
      </c>
      <c r="I134" s="79" t="s">
        <v>1918</v>
      </c>
      <c r="J134" s="79" t="s">
        <v>151</v>
      </c>
      <c r="K134" s="79" t="s">
        <v>70</v>
      </c>
      <c r="L134" s="79" t="s">
        <v>101</v>
      </c>
      <c r="M134" s="79" t="s">
        <v>1919</v>
      </c>
      <c r="N134" s="79" t="s">
        <v>26</v>
      </c>
      <c r="O134" s="79" t="s">
        <v>113</v>
      </c>
      <c r="P134" s="79" t="s">
        <v>95</v>
      </c>
      <c r="Q134" s="70" t="s">
        <v>3656</v>
      </c>
      <c r="R134" s="79" t="s">
        <v>76</v>
      </c>
      <c r="S134" s="79" t="s">
        <v>77</v>
      </c>
      <c r="T134" s="79">
        <v>2021.0</v>
      </c>
      <c r="U134" s="79" t="s">
        <v>78</v>
      </c>
      <c r="V134" s="79" t="s">
        <v>98</v>
      </c>
      <c r="W134" s="79" t="s">
        <v>1921</v>
      </c>
      <c r="X134" s="79" t="s">
        <v>148</v>
      </c>
      <c r="Y134" s="79" t="s">
        <v>139</v>
      </c>
      <c r="Z134" s="79" t="s">
        <v>1922</v>
      </c>
      <c r="AA134" s="79" t="s">
        <v>195</v>
      </c>
      <c r="AB134" s="131" t="s">
        <v>3657</v>
      </c>
      <c r="AC134" s="96">
        <v>8.1214589147E10</v>
      </c>
      <c r="AD134" s="96" t="s">
        <v>1924</v>
      </c>
      <c r="AE134" s="68" t="s">
        <v>1925</v>
      </c>
      <c r="AF134" s="68" t="s">
        <v>71</v>
      </c>
      <c r="AG134" s="188" t="s">
        <v>1926</v>
      </c>
      <c r="AH134" s="61"/>
      <c r="AI134" s="61"/>
      <c r="AJ134" s="61"/>
      <c r="AK134" s="61"/>
      <c r="AL134" s="61"/>
      <c r="AM134" s="61"/>
      <c r="AN134" s="61"/>
      <c r="AO134" s="61"/>
      <c r="AP134" s="61"/>
      <c r="AQ134" s="61"/>
      <c r="AR134" s="61"/>
    </row>
    <row r="135">
      <c r="A135" s="62">
        <v>133.0</v>
      </c>
      <c r="B135" s="189" t="s">
        <v>1927</v>
      </c>
      <c r="C135" s="68" t="s">
        <v>1928</v>
      </c>
      <c r="D135" s="96" t="s">
        <v>1929</v>
      </c>
      <c r="E135" s="96" t="s">
        <v>1327</v>
      </c>
      <c r="F135" s="79" t="s">
        <v>280</v>
      </c>
      <c r="G135" s="79" t="s">
        <v>66</v>
      </c>
      <c r="H135" s="79" t="s">
        <v>1930</v>
      </c>
      <c r="I135" s="96" t="s">
        <v>1931</v>
      </c>
      <c r="J135" s="79" t="s">
        <v>69</v>
      </c>
      <c r="K135" s="79" t="s">
        <v>70</v>
      </c>
      <c r="L135" s="79" t="s">
        <v>101</v>
      </c>
      <c r="M135" s="79" t="s">
        <v>1932</v>
      </c>
      <c r="N135" s="79" t="s">
        <v>26</v>
      </c>
      <c r="O135" s="79" t="s">
        <v>113</v>
      </c>
      <c r="P135" s="79" t="s">
        <v>95</v>
      </c>
      <c r="Q135" s="70" t="s">
        <v>3658</v>
      </c>
      <c r="R135" s="79" t="s">
        <v>76</v>
      </c>
      <c r="S135" s="79" t="s">
        <v>77</v>
      </c>
      <c r="T135" s="79">
        <v>2025.0</v>
      </c>
      <c r="U135" s="79" t="s">
        <v>78</v>
      </c>
      <c r="V135" s="79" t="s">
        <v>79</v>
      </c>
      <c r="W135" s="79" t="s">
        <v>80</v>
      </c>
      <c r="X135" s="79" t="s">
        <v>80</v>
      </c>
      <c r="Y135" s="79" t="s">
        <v>80</v>
      </c>
      <c r="Z135" s="79" t="s">
        <v>1934</v>
      </c>
      <c r="AA135" s="79" t="s">
        <v>195</v>
      </c>
      <c r="AB135" s="96" t="s">
        <v>1935</v>
      </c>
      <c r="AC135" s="96">
        <v>8.5724376051E10</v>
      </c>
      <c r="AD135" s="96" t="s">
        <v>1924</v>
      </c>
      <c r="AE135" s="68">
        <v>19.0</v>
      </c>
      <c r="AF135" s="68" t="s">
        <v>71</v>
      </c>
      <c r="AG135" s="188" t="s">
        <v>26</v>
      </c>
      <c r="AH135" s="61"/>
      <c r="AI135" s="61"/>
      <c r="AJ135" s="61"/>
      <c r="AK135" s="61"/>
      <c r="AL135" s="61"/>
      <c r="AM135" s="61"/>
      <c r="AN135" s="61"/>
      <c r="AO135" s="61"/>
      <c r="AP135" s="61"/>
      <c r="AQ135" s="61"/>
      <c r="AR135" s="61"/>
    </row>
    <row r="136">
      <c r="A136" s="62">
        <v>134.0</v>
      </c>
      <c r="B136" s="96" t="s">
        <v>1947</v>
      </c>
      <c r="C136" s="96" t="s">
        <v>1948</v>
      </c>
      <c r="D136" s="96" t="s">
        <v>1949</v>
      </c>
      <c r="E136" s="96" t="s">
        <v>1327</v>
      </c>
      <c r="F136" s="79" t="s">
        <v>281</v>
      </c>
      <c r="G136" s="79" t="s">
        <v>131</v>
      </c>
      <c r="H136" s="79" t="s">
        <v>1950</v>
      </c>
      <c r="I136" s="79" t="s">
        <v>1950</v>
      </c>
      <c r="J136" s="79" t="s">
        <v>151</v>
      </c>
      <c r="K136" s="79" t="s">
        <v>70</v>
      </c>
      <c r="L136" s="79" t="s">
        <v>101</v>
      </c>
      <c r="M136" s="79" t="s">
        <v>1951</v>
      </c>
      <c r="N136" s="79" t="s">
        <v>26</v>
      </c>
      <c r="O136" s="79" t="s">
        <v>113</v>
      </c>
      <c r="P136" s="79" t="s">
        <v>95</v>
      </c>
      <c r="Q136" s="70" t="s">
        <v>3659</v>
      </c>
      <c r="R136" s="79" t="s">
        <v>76</v>
      </c>
      <c r="S136" s="79" t="s">
        <v>97</v>
      </c>
      <c r="T136" s="79">
        <v>2023.0</v>
      </c>
      <c r="U136" s="79" t="s">
        <v>78</v>
      </c>
      <c r="V136" s="79" t="s">
        <v>98</v>
      </c>
      <c r="W136" s="79" t="s">
        <v>1921</v>
      </c>
      <c r="X136" s="79" t="s">
        <v>148</v>
      </c>
      <c r="Y136" s="79" t="s">
        <v>139</v>
      </c>
      <c r="Z136" s="79" t="s">
        <v>1922</v>
      </c>
      <c r="AA136" s="79" t="s">
        <v>195</v>
      </c>
      <c r="AB136" s="131" t="s">
        <v>3660</v>
      </c>
      <c r="AC136" s="96">
        <v>8.1214589147E10</v>
      </c>
      <c r="AD136" s="96" t="s">
        <v>1924</v>
      </c>
      <c r="AE136" s="68">
        <v>23.0</v>
      </c>
      <c r="AF136" s="68" t="s">
        <v>71</v>
      </c>
      <c r="AG136" s="188" t="s">
        <v>26</v>
      </c>
      <c r="AH136" s="61"/>
      <c r="AI136" s="61"/>
      <c r="AJ136" s="61"/>
      <c r="AK136" s="61"/>
      <c r="AL136" s="61"/>
      <c r="AM136" s="61"/>
      <c r="AN136" s="61"/>
      <c r="AO136" s="61"/>
      <c r="AP136" s="61"/>
      <c r="AQ136" s="61"/>
      <c r="AR136" s="61"/>
    </row>
    <row r="137">
      <c r="A137" s="62">
        <v>135.0</v>
      </c>
      <c r="B137" s="96" t="s">
        <v>1955</v>
      </c>
      <c r="C137" s="96" t="s">
        <v>1956</v>
      </c>
      <c r="D137" s="96" t="s">
        <v>1957</v>
      </c>
      <c r="E137" s="70" t="s">
        <v>3661</v>
      </c>
      <c r="F137" s="79" t="s">
        <v>65</v>
      </c>
      <c r="G137" s="79" t="s">
        <v>66</v>
      </c>
      <c r="H137" s="69"/>
      <c r="I137" s="96" t="s">
        <v>1959</v>
      </c>
      <c r="J137" s="79" t="s">
        <v>91</v>
      </c>
      <c r="K137" s="79" t="s">
        <v>110</v>
      </c>
      <c r="L137" s="79" t="s">
        <v>143</v>
      </c>
      <c r="M137" s="79" t="s">
        <v>1960</v>
      </c>
      <c r="N137" s="79" t="s">
        <v>93</v>
      </c>
      <c r="O137" s="79" t="s">
        <v>113</v>
      </c>
      <c r="P137" s="79" t="s">
        <v>74</v>
      </c>
      <c r="Q137" s="70" t="s">
        <v>3662</v>
      </c>
      <c r="R137" s="79" t="s">
        <v>76</v>
      </c>
      <c r="S137" s="79" t="s">
        <v>97</v>
      </c>
      <c r="T137" s="79">
        <v>2018.0</v>
      </c>
      <c r="U137" s="79" t="s">
        <v>78</v>
      </c>
      <c r="V137" s="79" t="s">
        <v>79</v>
      </c>
      <c r="W137" s="79" t="s">
        <v>80</v>
      </c>
      <c r="X137" s="79" t="s">
        <v>80</v>
      </c>
      <c r="Y137" s="79" t="s">
        <v>80</v>
      </c>
      <c r="Z137" s="79" t="s">
        <v>1962</v>
      </c>
      <c r="AA137" s="79" t="s">
        <v>197</v>
      </c>
      <c r="AB137" s="70" t="s">
        <v>3663</v>
      </c>
      <c r="AC137" s="96">
        <v>8.5607626507E10</v>
      </c>
      <c r="AD137" s="96" t="s">
        <v>1964</v>
      </c>
      <c r="AE137" s="59"/>
      <c r="AF137" s="59"/>
      <c r="AG137" s="60"/>
      <c r="AH137" s="61"/>
      <c r="AI137" s="61"/>
      <c r="AJ137" s="61"/>
      <c r="AK137" s="61"/>
      <c r="AL137" s="61"/>
      <c r="AM137" s="61"/>
      <c r="AN137" s="61"/>
      <c r="AO137" s="61"/>
      <c r="AP137" s="61"/>
      <c r="AQ137" s="61"/>
      <c r="AR137" s="61"/>
    </row>
    <row r="138" hidden="1">
      <c r="A138" s="62">
        <v>136.0</v>
      </c>
      <c r="B138" s="96" t="s">
        <v>1965</v>
      </c>
      <c r="C138" s="96" t="s">
        <v>1966</v>
      </c>
      <c r="D138" s="96" t="s">
        <v>1967</v>
      </c>
      <c r="E138" s="70" t="s">
        <v>3664</v>
      </c>
      <c r="F138" s="79" t="s">
        <v>65</v>
      </c>
      <c r="G138" s="79" t="s">
        <v>66</v>
      </c>
      <c r="H138" s="79" t="s">
        <v>1969</v>
      </c>
      <c r="I138" s="96" t="s">
        <v>1970</v>
      </c>
      <c r="J138" s="79" t="s">
        <v>69</v>
      </c>
      <c r="K138" s="79" t="s">
        <v>70</v>
      </c>
      <c r="L138" s="79" t="s">
        <v>71</v>
      </c>
      <c r="M138" s="79" t="s">
        <v>1971</v>
      </c>
      <c r="N138" s="79" t="s">
        <v>73</v>
      </c>
      <c r="O138" s="79" t="s">
        <v>73</v>
      </c>
      <c r="P138" s="79" t="s">
        <v>95</v>
      </c>
      <c r="Q138" s="70" t="s">
        <v>3665</v>
      </c>
      <c r="R138" s="79" t="s">
        <v>76</v>
      </c>
      <c r="S138" s="79" t="s">
        <v>77</v>
      </c>
      <c r="T138" s="98">
        <v>2013.0</v>
      </c>
      <c r="U138" s="79" t="s">
        <v>78</v>
      </c>
      <c r="V138" s="79" t="s">
        <v>79</v>
      </c>
      <c r="W138" s="79" t="s">
        <v>80</v>
      </c>
      <c r="X138" s="79" t="s">
        <v>80</v>
      </c>
      <c r="Y138" s="79" t="s">
        <v>80</v>
      </c>
      <c r="Z138" s="79" t="s">
        <v>1962</v>
      </c>
      <c r="AA138" s="79" t="s">
        <v>197</v>
      </c>
      <c r="AB138" s="96" t="s">
        <v>1973</v>
      </c>
      <c r="AC138" s="96">
        <v>8.1903169517E10</v>
      </c>
      <c r="AD138" s="96" t="s">
        <v>1974</v>
      </c>
      <c r="AE138" s="59"/>
      <c r="AF138" s="59"/>
      <c r="AG138" s="60"/>
      <c r="AH138" s="61"/>
      <c r="AI138" s="61"/>
      <c r="AJ138" s="61"/>
      <c r="AK138" s="61"/>
      <c r="AL138" s="61"/>
      <c r="AM138" s="61"/>
      <c r="AN138" s="61"/>
      <c r="AO138" s="61"/>
      <c r="AP138" s="61"/>
      <c r="AQ138" s="61"/>
      <c r="AR138" s="61"/>
    </row>
    <row r="139" hidden="1">
      <c r="A139" s="62">
        <v>137.0</v>
      </c>
      <c r="B139" s="96" t="s">
        <v>1975</v>
      </c>
      <c r="C139" s="96" t="s">
        <v>1976</v>
      </c>
      <c r="D139" s="96" t="s">
        <v>1977</v>
      </c>
      <c r="E139" s="59"/>
      <c r="F139" s="79" t="s">
        <v>65</v>
      </c>
      <c r="G139" s="79" t="s">
        <v>66</v>
      </c>
      <c r="H139" s="69"/>
      <c r="I139" s="96" t="s">
        <v>1978</v>
      </c>
      <c r="J139" s="79" t="s">
        <v>91</v>
      </c>
      <c r="K139" s="79" t="s">
        <v>110</v>
      </c>
      <c r="L139" s="79" t="s">
        <v>111</v>
      </c>
      <c r="M139" s="79" t="s">
        <v>1979</v>
      </c>
      <c r="N139" s="79" t="s">
        <v>73</v>
      </c>
      <c r="O139" s="79" t="s">
        <v>73</v>
      </c>
      <c r="P139" s="79" t="s">
        <v>95</v>
      </c>
      <c r="Q139" s="70" t="s">
        <v>3666</v>
      </c>
      <c r="R139" s="79" t="s">
        <v>76</v>
      </c>
      <c r="S139" s="79" t="s">
        <v>97</v>
      </c>
      <c r="T139" s="98">
        <v>2017.0</v>
      </c>
      <c r="U139" s="79" t="s">
        <v>78</v>
      </c>
      <c r="V139" s="79" t="s">
        <v>79</v>
      </c>
      <c r="W139" s="69"/>
      <c r="X139" s="69"/>
      <c r="Y139" s="69"/>
      <c r="Z139" s="79" t="s">
        <v>1981</v>
      </c>
      <c r="AA139" s="79" t="s">
        <v>197</v>
      </c>
      <c r="AB139" s="96" t="s">
        <v>1982</v>
      </c>
      <c r="AC139" s="98">
        <v>8.131192289E9</v>
      </c>
      <c r="AD139" s="69"/>
      <c r="AE139" s="59"/>
      <c r="AF139" s="67" t="s">
        <v>71</v>
      </c>
      <c r="AG139" s="60"/>
      <c r="AH139" s="61"/>
      <c r="AI139" s="61"/>
      <c r="AJ139" s="61"/>
      <c r="AK139" s="61"/>
      <c r="AL139" s="61"/>
      <c r="AM139" s="61"/>
      <c r="AN139" s="61"/>
      <c r="AO139" s="61"/>
      <c r="AP139" s="61"/>
      <c r="AQ139" s="61"/>
      <c r="AR139" s="61"/>
    </row>
    <row r="140">
      <c r="A140" s="62">
        <v>138.0</v>
      </c>
      <c r="B140" s="96" t="s">
        <v>1983</v>
      </c>
      <c r="C140" s="96" t="s">
        <v>1984</v>
      </c>
      <c r="D140" s="96" t="s">
        <v>1977</v>
      </c>
      <c r="E140" s="59"/>
      <c r="F140" s="79" t="s">
        <v>65</v>
      </c>
      <c r="G140" s="79" t="s">
        <v>66</v>
      </c>
      <c r="H140" s="69"/>
      <c r="I140" s="96" t="s">
        <v>1985</v>
      </c>
      <c r="J140" s="79" t="s">
        <v>91</v>
      </c>
      <c r="K140" s="79" t="s">
        <v>110</v>
      </c>
      <c r="L140" s="79" t="s">
        <v>111</v>
      </c>
      <c r="M140" s="79" t="s">
        <v>1986</v>
      </c>
      <c r="N140" s="79" t="s">
        <v>26</v>
      </c>
      <c r="O140" s="79" t="s">
        <v>113</v>
      </c>
      <c r="P140" s="79" t="s">
        <v>153</v>
      </c>
      <c r="Q140" s="70" t="s">
        <v>3667</v>
      </c>
      <c r="R140" s="79" t="s">
        <v>76</v>
      </c>
      <c r="S140" s="79" t="s">
        <v>97</v>
      </c>
      <c r="T140" s="98">
        <v>2022.0</v>
      </c>
      <c r="U140" s="79" t="s">
        <v>78</v>
      </c>
      <c r="V140" s="79" t="s">
        <v>79</v>
      </c>
      <c r="W140" s="69"/>
      <c r="X140" s="69"/>
      <c r="Y140" s="69"/>
      <c r="Z140" s="79" t="s">
        <v>1988</v>
      </c>
      <c r="AA140" s="79" t="s">
        <v>197</v>
      </c>
      <c r="AB140" s="96" t="s">
        <v>1989</v>
      </c>
      <c r="AC140" s="98">
        <v>8.2219151878E10</v>
      </c>
      <c r="AD140" s="69"/>
      <c r="AE140" s="59"/>
      <c r="AF140" s="67" t="s">
        <v>71</v>
      </c>
      <c r="AG140" s="60"/>
      <c r="AH140" s="61"/>
      <c r="AI140" s="61"/>
      <c r="AJ140" s="61"/>
      <c r="AK140" s="61"/>
      <c r="AL140" s="61"/>
      <c r="AM140" s="61"/>
      <c r="AN140" s="61"/>
      <c r="AO140" s="61"/>
      <c r="AP140" s="61"/>
      <c r="AQ140" s="61"/>
      <c r="AR140" s="61"/>
    </row>
    <row r="141" hidden="1">
      <c r="A141" s="62">
        <v>139.0</v>
      </c>
      <c r="B141" s="96" t="s">
        <v>1990</v>
      </c>
      <c r="C141" s="96" t="s">
        <v>1991</v>
      </c>
      <c r="D141" s="96" t="s">
        <v>1992</v>
      </c>
      <c r="E141" s="79" t="s">
        <v>563</v>
      </c>
      <c r="F141" s="79" t="s">
        <v>65</v>
      </c>
      <c r="G141" s="79" t="s">
        <v>66</v>
      </c>
      <c r="H141" s="69"/>
      <c r="I141" s="96" t="s">
        <v>1993</v>
      </c>
      <c r="J141" s="79" t="s">
        <v>69</v>
      </c>
      <c r="K141" s="79" t="s">
        <v>110</v>
      </c>
      <c r="L141" s="79" t="s">
        <v>71</v>
      </c>
      <c r="M141" s="79" t="s">
        <v>1994</v>
      </c>
      <c r="N141" s="79" t="s">
        <v>73</v>
      </c>
      <c r="O141" s="79" t="s">
        <v>73</v>
      </c>
      <c r="P141" s="79" t="s">
        <v>74</v>
      </c>
      <c r="Q141" s="70" t="s">
        <v>3668</v>
      </c>
      <c r="R141" s="79" t="s">
        <v>76</v>
      </c>
      <c r="S141" s="79" t="s">
        <v>97</v>
      </c>
      <c r="T141" s="79">
        <v>2016.0</v>
      </c>
      <c r="U141" s="79" t="s">
        <v>78</v>
      </c>
      <c r="V141" s="79" t="s">
        <v>79</v>
      </c>
      <c r="W141" s="79" t="s">
        <v>80</v>
      </c>
      <c r="X141" s="79" t="s">
        <v>80</v>
      </c>
      <c r="Y141" s="79" t="s">
        <v>80</v>
      </c>
      <c r="Z141" s="79" t="s">
        <v>1962</v>
      </c>
      <c r="AA141" s="79" t="s">
        <v>197</v>
      </c>
      <c r="AB141" s="96" t="s">
        <v>1996</v>
      </c>
      <c r="AC141" s="96">
        <v>8.9656240816E10</v>
      </c>
      <c r="AD141" s="96" t="s">
        <v>1964</v>
      </c>
      <c r="AE141" s="59"/>
      <c r="AF141" s="59"/>
      <c r="AG141" s="60"/>
      <c r="AH141" s="61"/>
      <c r="AI141" s="61"/>
      <c r="AJ141" s="61"/>
      <c r="AK141" s="61"/>
      <c r="AL141" s="61"/>
      <c r="AM141" s="61"/>
      <c r="AN141" s="61"/>
      <c r="AO141" s="61"/>
      <c r="AP141" s="61"/>
      <c r="AQ141" s="61"/>
      <c r="AR141" s="61"/>
    </row>
    <row r="142">
      <c r="A142" s="62">
        <v>140.0</v>
      </c>
      <c r="B142" s="96" t="s">
        <v>1998</v>
      </c>
      <c r="C142" s="96" t="s">
        <v>1999</v>
      </c>
      <c r="D142" s="96" t="s">
        <v>2000</v>
      </c>
      <c r="E142" s="70" t="s">
        <v>3669</v>
      </c>
      <c r="F142" s="79" t="s">
        <v>370</v>
      </c>
      <c r="G142" s="79" t="s">
        <v>66</v>
      </c>
      <c r="H142" s="79" t="s">
        <v>2002</v>
      </c>
      <c r="I142" s="96" t="s">
        <v>2003</v>
      </c>
      <c r="J142" s="79" t="s">
        <v>151</v>
      </c>
      <c r="K142" s="79" t="s">
        <v>70</v>
      </c>
      <c r="L142" s="79" t="s">
        <v>71</v>
      </c>
      <c r="M142" s="79" t="s">
        <v>2004</v>
      </c>
      <c r="N142" s="79" t="s">
        <v>93</v>
      </c>
      <c r="O142" s="79" t="s">
        <v>113</v>
      </c>
      <c r="P142" s="79" t="s">
        <v>74</v>
      </c>
      <c r="Q142" s="70" t="s">
        <v>3670</v>
      </c>
      <c r="R142" s="79" t="s">
        <v>76</v>
      </c>
      <c r="S142" s="79" t="s">
        <v>77</v>
      </c>
      <c r="T142" s="98">
        <v>2023.0</v>
      </c>
      <c r="U142" s="79" t="s">
        <v>78</v>
      </c>
      <c r="V142" s="79" t="s">
        <v>98</v>
      </c>
      <c r="W142" s="79" t="s">
        <v>2006</v>
      </c>
      <c r="X142" s="79" t="s">
        <v>100</v>
      </c>
      <c r="Y142" s="79" t="s">
        <v>139</v>
      </c>
      <c r="Z142" s="79" t="s">
        <v>2007</v>
      </c>
      <c r="AA142" s="79" t="s">
        <v>199</v>
      </c>
      <c r="AB142" s="96" t="s">
        <v>2008</v>
      </c>
      <c r="AC142" s="96">
        <v>8.5220376631E10</v>
      </c>
      <c r="AD142" s="96" t="s">
        <v>2009</v>
      </c>
      <c r="AE142" s="59"/>
      <c r="AF142" s="68" t="s">
        <v>566</v>
      </c>
      <c r="AG142" s="60"/>
      <c r="AH142" s="61"/>
      <c r="AI142" s="61"/>
      <c r="AJ142" s="61"/>
      <c r="AK142" s="61"/>
      <c r="AL142" s="61"/>
      <c r="AM142" s="61"/>
      <c r="AN142" s="61"/>
      <c r="AO142" s="61"/>
      <c r="AP142" s="61"/>
      <c r="AQ142" s="61"/>
      <c r="AR142" s="61"/>
    </row>
    <row r="143">
      <c r="A143" s="62">
        <v>141.0</v>
      </c>
      <c r="B143" s="96" t="s">
        <v>2089</v>
      </c>
      <c r="C143" s="96" t="s">
        <v>2090</v>
      </c>
      <c r="D143" s="96" t="s">
        <v>2091</v>
      </c>
      <c r="E143" s="70" t="s">
        <v>3671</v>
      </c>
      <c r="F143" s="79" t="s">
        <v>107</v>
      </c>
      <c r="G143" s="79" t="s">
        <v>138</v>
      </c>
      <c r="H143" s="79" t="s">
        <v>2093</v>
      </c>
      <c r="I143" s="96" t="s">
        <v>2094</v>
      </c>
      <c r="J143" s="79" t="s">
        <v>151</v>
      </c>
      <c r="K143" s="79" t="s">
        <v>70</v>
      </c>
      <c r="L143" s="79" t="s">
        <v>101</v>
      </c>
      <c r="M143" s="79" t="s">
        <v>2095</v>
      </c>
      <c r="N143" s="79" t="s">
        <v>26</v>
      </c>
      <c r="O143" s="79" t="s">
        <v>113</v>
      </c>
      <c r="P143" s="79" t="s">
        <v>95</v>
      </c>
      <c r="Q143" s="70" t="s">
        <v>3672</v>
      </c>
      <c r="R143" s="79" t="s">
        <v>76</v>
      </c>
      <c r="S143" s="79" t="s">
        <v>97</v>
      </c>
      <c r="T143" s="79">
        <v>2022.0</v>
      </c>
      <c r="U143" s="79" t="s">
        <v>78</v>
      </c>
      <c r="V143" s="79" t="s">
        <v>79</v>
      </c>
      <c r="W143" s="79" t="s">
        <v>80</v>
      </c>
      <c r="X143" s="79" t="s">
        <v>80</v>
      </c>
      <c r="Y143" s="79" t="s">
        <v>80</v>
      </c>
      <c r="Z143" s="79" t="s">
        <v>2097</v>
      </c>
      <c r="AA143" s="79" t="s">
        <v>201</v>
      </c>
      <c r="AB143" s="96" t="s">
        <v>2098</v>
      </c>
      <c r="AC143" s="98">
        <v>8.9678500033E10</v>
      </c>
      <c r="AD143" s="96" t="s">
        <v>2099</v>
      </c>
      <c r="AE143" s="59"/>
      <c r="AF143" s="59"/>
      <c r="AG143" s="84" t="s">
        <v>2100</v>
      </c>
      <c r="AH143" s="61"/>
      <c r="AI143" s="61"/>
      <c r="AJ143" s="61"/>
      <c r="AK143" s="61"/>
      <c r="AL143" s="61"/>
      <c r="AM143" s="61"/>
      <c r="AN143" s="61"/>
      <c r="AO143" s="61"/>
      <c r="AP143" s="61"/>
      <c r="AQ143" s="61"/>
      <c r="AR143" s="61"/>
    </row>
    <row r="144">
      <c r="A144" s="62">
        <v>142.0</v>
      </c>
      <c r="B144" s="96" t="s">
        <v>2121</v>
      </c>
      <c r="C144" s="96" t="s">
        <v>2122</v>
      </c>
      <c r="D144" s="96" t="s">
        <v>2104</v>
      </c>
      <c r="E144" s="70" t="s">
        <v>3673</v>
      </c>
      <c r="F144" s="79" t="s">
        <v>390</v>
      </c>
      <c r="G144" s="79" t="s">
        <v>131</v>
      </c>
      <c r="H144" s="79" t="s">
        <v>2106</v>
      </c>
      <c r="I144" s="96" t="s">
        <v>2107</v>
      </c>
      <c r="J144" s="79" t="s">
        <v>151</v>
      </c>
      <c r="K144" s="79" t="s">
        <v>110</v>
      </c>
      <c r="L144" s="79" t="s">
        <v>111</v>
      </c>
      <c r="M144" s="79" t="s">
        <v>2108</v>
      </c>
      <c r="N144" s="79" t="s">
        <v>82</v>
      </c>
      <c r="O144" s="79" t="s">
        <v>113</v>
      </c>
      <c r="P144" s="79" t="s">
        <v>95</v>
      </c>
      <c r="Q144" s="70" t="s">
        <v>3674</v>
      </c>
      <c r="R144" s="79" t="s">
        <v>76</v>
      </c>
      <c r="S144" s="79" t="s">
        <v>97</v>
      </c>
      <c r="T144" s="98">
        <v>2023.0</v>
      </c>
      <c r="U144" s="79" t="s">
        <v>78</v>
      </c>
      <c r="V144" s="79" t="s">
        <v>98</v>
      </c>
      <c r="W144" s="79" t="s">
        <v>2110</v>
      </c>
      <c r="X144" s="79" t="s">
        <v>148</v>
      </c>
      <c r="Y144" s="79" t="s">
        <v>139</v>
      </c>
      <c r="Z144" s="79" t="s">
        <v>2111</v>
      </c>
      <c r="AA144" s="79" t="s">
        <v>205</v>
      </c>
      <c r="AB144" s="96" t="s">
        <v>2112</v>
      </c>
      <c r="AC144" s="98">
        <v>8.170222882E9</v>
      </c>
      <c r="AD144" s="96" t="s">
        <v>2113</v>
      </c>
      <c r="AE144" s="77">
        <v>29.0</v>
      </c>
      <c r="AF144" s="67" t="s">
        <v>2114</v>
      </c>
      <c r="AG144" s="194" t="s">
        <v>2120</v>
      </c>
      <c r="AH144" s="61"/>
      <c r="AI144" s="61"/>
      <c r="AJ144" s="61"/>
      <c r="AK144" s="61"/>
      <c r="AL144" s="61"/>
      <c r="AM144" s="61"/>
      <c r="AN144" s="61"/>
      <c r="AO144" s="61"/>
      <c r="AP144" s="61"/>
      <c r="AQ144" s="61"/>
      <c r="AR144" s="61"/>
    </row>
    <row r="145">
      <c r="A145" s="62">
        <v>143.0</v>
      </c>
      <c r="B145" s="96" t="s">
        <v>2137</v>
      </c>
      <c r="C145" s="96" t="s">
        <v>2138</v>
      </c>
      <c r="D145" s="96" t="s">
        <v>2139</v>
      </c>
      <c r="E145" s="70" t="s">
        <v>3675</v>
      </c>
      <c r="F145" s="79" t="s">
        <v>391</v>
      </c>
      <c r="G145" s="79" t="s">
        <v>66</v>
      </c>
      <c r="H145" s="79" t="s">
        <v>2141</v>
      </c>
      <c r="I145" s="96" t="s">
        <v>2142</v>
      </c>
      <c r="J145" s="79" t="s">
        <v>91</v>
      </c>
      <c r="K145" s="79" t="s">
        <v>110</v>
      </c>
      <c r="L145" s="79" t="s">
        <v>152</v>
      </c>
      <c r="M145" s="79" t="s">
        <v>2143</v>
      </c>
      <c r="N145" s="79" t="s">
        <v>82</v>
      </c>
      <c r="O145" s="79" t="s">
        <v>113</v>
      </c>
      <c r="P145" s="79" t="s">
        <v>95</v>
      </c>
      <c r="Q145" s="70" t="s">
        <v>3676</v>
      </c>
      <c r="R145" s="79" t="s">
        <v>76</v>
      </c>
      <c r="S145" s="79" t="s">
        <v>97</v>
      </c>
      <c r="T145" s="98">
        <v>2024.0</v>
      </c>
      <c r="U145" s="79" t="s">
        <v>78</v>
      </c>
      <c r="V145" s="79" t="s">
        <v>98</v>
      </c>
      <c r="W145" s="79" t="s">
        <v>2145</v>
      </c>
      <c r="X145" s="79" t="s">
        <v>148</v>
      </c>
      <c r="Y145" s="79" t="s">
        <v>139</v>
      </c>
      <c r="Z145" s="79" t="s">
        <v>2111</v>
      </c>
      <c r="AA145" s="79" t="s">
        <v>205</v>
      </c>
      <c r="AB145" s="96" t="s">
        <v>2146</v>
      </c>
      <c r="AC145" s="98">
        <v>8.2218897073E10</v>
      </c>
      <c r="AD145" s="96" t="s">
        <v>2147</v>
      </c>
      <c r="AE145" s="77">
        <v>29.0</v>
      </c>
      <c r="AF145" s="67" t="s">
        <v>2148</v>
      </c>
      <c r="AG145" s="84" t="s">
        <v>26</v>
      </c>
      <c r="AH145" s="61"/>
      <c r="AI145" s="61"/>
      <c r="AJ145" s="61"/>
      <c r="AK145" s="61"/>
      <c r="AL145" s="61"/>
      <c r="AM145" s="61"/>
      <c r="AN145" s="61"/>
      <c r="AO145" s="61"/>
      <c r="AP145" s="61"/>
      <c r="AQ145" s="61"/>
      <c r="AR145" s="61"/>
    </row>
    <row r="146">
      <c r="A146" s="62">
        <v>144.0</v>
      </c>
      <c r="B146" s="96" t="s">
        <v>2170</v>
      </c>
      <c r="C146" s="96" t="s">
        <v>2171</v>
      </c>
      <c r="D146" s="59"/>
      <c r="E146" s="59"/>
      <c r="F146" s="69"/>
      <c r="G146" s="69"/>
      <c r="H146" s="69"/>
      <c r="I146" s="69"/>
      <c r="J146" s="69"/>
      <c r="K146" s="69"/>
      <c r="L146" s="69"/>
      <c r="M146" s="79" t="s">
        <v>2172</v>
      </c>
      <c r="N146" s="288" t="s">
        <v>82</v>
      </c>
      <c r="O146" s="79" t="s">
        <v>113</v>
      </c>
      <c r="P146" s="79" t="s">
        <v>74</v>
      </c>
      <c r="Q146" s="70" t="s">
        <v>3677</v>
      </c>
      <c r="R146" s="79" t="s">
        <v>76</v>
      </c>
      <c r="S146" s="69"/>
      <c r="T146" s="69"/>
      <c r="U146" s="288" t="s">
        <v>78</v>
      </c>
      <c r="V146" s="69"/>
      <c r="W146" s="69"/>
      <c r="X146" s="69"/>
      <c r="Y146" s="69"/>
      <c r="Z146" s="69"/>
      <c r="AA146" s="69"/>
      <c r="AB146" s="96" t="s">
        <v>2168</v>
      </c>
      <c r="AC146" s="98">
        <v>8.1223467651E10</v>
      </c>
      <c r="AD146" s="69"/>
      <c r="AE146" s="59"/>
      <c r="AF146" s="59"/>
      <c r="AG146" s="84" t="s">
        <v>2169</v>
      </c>
      <c r="AH146" s="61"/>
      <c r="AI146" s="61"/>
      <c r="AJ146" s="61"/>
      <c r="AK146" s="61"/>
      <c r="AL146" s="61"/>
      <c r="AM146" s="61"/>
      <c r="AN146" s="61"/>
      <c r="AO146" s="61"/>
      <c r="AP146" s="61"/>
      <c r="AQ146" s="61"/>
      <c r="AR146" s="61"/>
    </row>
    <row r="147">
      <c r="A147" s="62">
        <v>145.0</v>
      </c>
      <c r="B147" s="96" t="s">
        <v>2192</v>
      </c>
      <c r="C147" s="96" t="s">
        <v>2193</v>
      </c>
      <c r="D147" s="96" t="s">
        <v>2194</v>
      </c>
      <c r="E147" s="70" t="s">
        <v>3678</v>
      </c>
      <c r="F147" s="79" t="s">
        <v>469</v>
      </c>
      <c r="G147" s="79" t="s">
        <v>131</v>
      </c>
      <c r="H147" s="79" t="s">
        <v>1969</v>
      </c>
      <c r="I147" s="96" t="s">
        <v>2196</v>
      </c>
      <c r="J147" s="79" t="s">
        <v>151</v>
      </c>
      <c r="K147" s="79" t="s">
        <v>70</v>
      </c>
      <c r="L147" s="79" t="s">
        <v>71</v>
      </c>
      <c r="M147" s="79" t="s">
        <v>2197</v>
      </c>
      <c r="N147" s="79" t="s">
        <v>26</v>
      </c>
      <c r="O147" s="79" t="s">
        <v>113</v>
      </c>
      <c r="P147" s="79" t="s">
        <v>95</v>
      </c>
      <c r="Q147" s="70" t="s">
        <v>3679</v>
      </c>
      <c r="R147" s="79" t="s">
        <v>76</v>
      </c>
      <c r="S147" s="79" t="s">
        <v>77</v>
      </c>
      <c r="T147" s="79">
        <v>2020.0</v>
      </c>
      <c r="U147" s="79" t="s">
        <v>78</v>
      </c>
      <c r="V147" s="79" t="s">
        <v>98</v>
      </c>
      <c r="W147" s="79" t="s">
        <v>2199</v>
      </c>
      <c r="X147" s="79" t="s">
        <v>155</v>
      </c>
      <c r="Y147" s="79" t="s">
        <v>71</v>
      </c>
      <c r="Z147" s="79" t="s">
        <v>2200</v>
      </c>
      <c r="AA147" s="79" t="s">
        <v>211</v>
      </c>
      <c r="AB147" s="96" t="s">
        <v>2201</v>
      </c>
      <c r="AC147" s="96">
        <v>8.2129997E10</v>
      </c>
      <c r="AD147" s="70" t="s">
        <v>3680</v>
      </c>
      <c r="AE147" s="59"/>
      <c r="AF147" s="59"/>
      <c r="AG147" s="60"/>
      <c r="AH147" s="61"/>
      <c r="AI147" s="61"/>
      <c r="AJ147" s="61"/>
      <c r="AK147" s="61"/>
      <c r="AL147" s="61"/>
      <c r="AM147" s="61"/>
      <c r="AN147" s="61"/>
      <c r="AO147" s="61"/>
      <c r="AP147" s="61"/>
      <c r="AQ147" s="61"/>
      <c r="AR147" s="61"/>
    </row>
    <row r="148">
      <c r="A148" s="62">
        <v>146.0</v>
      </c>
      <c r="B148" s="96" t="s">
        <v>2205</v>
      </c>
      <c r="C148" s="96" t="s">
        <v>2206</v>
      </c>
      <c r="D148" s="59"/>
      <c r="E148" s="59"/>
      <c r="F148" s="79" t="s">
        <v>65</v>
      </c>
      <c r="G148" s="79" t="s">
        <v>123</v>
      </c>
      <c r="H148" s="79" t="s">
        <v>2207</v>
      </c>
      <c r="I148" s="96" t="s">
        <v>2208</v>
      </c>
      <c r="J148" s="79" t="s">
        <v>69</v>
      </c>
      <c r="K148" s="79" t="s">
        <v>110</v>
      </c>
      <c r="L148" s="79" t="s">
        <v>71</v>
      </c>
      <c r="M148" s="79" t="s">
        <v>2209</v>
      </c>
      <c r="N148" s="79" t="s">
        <v>93</v>
      </c>
      <c r="O148" s="79" t="s">
        <v>113</v>
      </c>
      <c r="P148" s="79" t="s">
        <v>95</v>
      </c>
      <c r="Q148" s="70" t="s">
        <v>3681</v>
      </c>
      <c r="R148" s="79" t="s">
        <v>76</v>
      </c>
      <c r="S148" s="79" t="s">
        <v>97</v>
      </c>
      <c r="T148" s="98">
        <v>2024.0</v>
      </c>
      <c r="U148" s="79" t="s">
        <v>78</v>
      </c>
      <c r="V148" s="79" t="s">
        <v>79</v>
      </c>
      <c r="W148" s="79" t="s">
        <v>80</v>
      </c>
      <c r="X148" s="79" t="s">
        <v>80</v>
      </c>
      <c r="Y148" s="79" t="s">
        <v>80</v>
      </c>
      <c r="Z148" s="79" t="s">
        <v>1004</v>
      </c>
      <c r="AA148" s="79" t="s">
        <v>207</v>
      </c>
      <c r="AB148" s="69"/>
      <c r="AC148" s="69"/>
      <c r="AD148" s="69"/>
      <c r="AE148" s="59"/>
      <c r="AF148" s="59"/>
      <c r="AG148" s="60"/>
      <c r="AH148" s="61"/>
      <c r="AI148" s="61"/>
      <c r="AJ148" s="61"/>
      <c r="AK148" s="61"/>
      <c r="AL148" s="61"/>
      <c r="AM148" s="61"/>
      <c r="AN148" s="61"/>
      <c r="AO148" s="61"/>
      <c r="AP148" s="61"/>
      <c r="AQ148" s="61"/>
      <c r="AR148" s="61"/>
    </row>
    <row r="149">
      <c r="A149" s="62">
        <v>147.0</v>
      </c>
      <c r="B149" s="96" t="s">
        <v>2211</v>
      </c>
      <c r="C149" s="96" t="s">
        <v>2212</v>
      </c>
      <c r="D149" s="96" t="s">
        <v>2213</v>
      </c>
      <c r="E149" s="70" t="s">
        <v>3682</v>
      </c>
      <c r="F149" s="79" t="s">
        <v>446</v>
      </c>
      <c r="G149" s="79" t="s">
        <v>123</v>
      </c>
      <c r="H149" s="79" t="s">
        <v>2215</v>
      </c>
      <c r="I149" s="96" t="s">
        <v>2216</v>
      </c>
      <c r="J149" s="79" t="s">
        <v>91</v>
      </c>
      <c r="K149" s="79" t="s">
        <v>110</v>
      </c>
      <c r="L149" s="79" t="s">
        <v>111</v>
      </c>
      <c r="M149" s="79" t="s">
        <v>2217</v>
      </c>
      <c r="N149" s="79" t="s">
        <v>26</v>
      </c>
      <c r="O149" s="79" t="s">
        <v>113</v>
      </c>
      <c r="P149" s="79" t="s">
        <v>95</v>
      </c>
      <c r="Q149" s="70" t="s">
        <v>3683</v>
      </c>
      <c r="R149" s="79" t="s">
        <v>76</v>
      </c>
      <c r="S149" s="79" t="s">
        <v>77</v>
      </c>
      <c r="T149" s="98">
        <v>2022.0</v>
      </c>
      <c r="U149" s="79" t="s">
        <v>78</v>
      </c>
      <c r="V149" s="79" t="s">
        <v>98</v>
      </c>
      <c r="W149" s="79" t="s">
        <v>2219</v>
      </c>
      <c r="X149" s="79" t="s">
        <v>100</v>
      </c>
      <c r="Y149" s="79" t="s">
        <v>139</v>
      </c>
      <c r="Z149" s="79" t="s">
        <v>2220</v>
      </c>
      <c r="AA149" s="79" t="s">
        <v>207</v>
      </c>
      <c r="AB149" s="96" t="s">
        <v>2221</v>
      </c>
      <c r="AC149" s="96">
        <v>8.5314238177E10</v>
      </c>
      <c r="AD149" s="96" t="s">
        <v>2222</v>
      </c>
      <c r="AE149" s="59"/>
      <c r="AF149" s="59"/>
      <c r="AG149" s="60"/>
      <c r="AH149" s="61"/>
      <c r="AI149" s="61"/>
      <c r="AJ149" s="61"/>
      <c r="AK149" s="61"/>
      <c r="AL149" s="61"/>
      <c r="AM149" s="61"/>
      <c r="AN149" s="61"/>
      <c r="AO149" s="61"/>
      <c r="AP149" s="61"/>
      <c r="AQ149" s="61"/>
      <c r="AR149" s="61"/>
    </row>
    <row r="150" hidden="1">
      <c r="A150" s="62">
        <v>148.0</v>
      </c>
      <c r="B150" s="96" t="s">
        <v>2223</v>
      </c>
      <c r="C150" s="196" t="s">
        <v>2224</v>
      </c>
      <c r="D150" s="96" t="s">
        <v>2225</v>
      </c>
      <c r="E150" s="59"/>
      <c r="F150" s="79" t="s">
        <v>65</v>
      </c>
      <c r="G150" s="79" t="s">
        <v>123</v>
      </c>
      <c r="H150" s="79" t="s">
        <v>2226</v>
      </c>
      <c r="I150" s="96" t="s">
        <v>2227</v>
      </c>
      <c r="J150" s="79" t="s">
        <v>69</v>
      </c>
      <c r="K150" s="79" t="s">
        <v>70</v>
      </c>
      <c r="L150" s="79" t="s">
        <v>71</v>
      </c>
      <c r="M150" s="79" t="s">
        <v>2228</v>
      </c>
      <c r="N150" s="79" t="s">
        <v>93</v>
      </c>
      <c r="O150" s="79" t="s">
        <v>94</v>
      </c>
      <c r="P150" s="79" t="s">
        <v>95</v>
      </c>
      <c r="Q150" s="70" t="s">
        <v>3684</v>
      </c>
      <c r="R150" s="79" t="s">
        <v>76</v>
      </c>
      <c r="S150" s="79" t="s">
        <v>97</v>
      </c>
      <c r="T150" s="79">
        <v>2024.0</v>
      </c>
      <c r="U150" s="79" t="s">
        <v>78</v>
      </c>
      <c r="V150" s="79" t="s">
        <v>79</v>
      </c>
      <c r="W150" s="79" t="s">
        <v>80</v>
      </c>
      <c r="X150" s="79" t="s">
        <v>80</v>
      </c>
      <c r="Y150" s="79" t="s">
        <v>80</v>
      </c>
      <c r="Z150" s="79" t="s">
        <v>1004</v>
      </c>
      <c r="AA150" s="79" t="s">
        <v>207</v>
      </c>
      <c r="AB150" s="69"/>
      <c r="AC150" s="69"/>
      <c r="AD150" s="69"/>
      <c r="AE150" s="59"/>
      <c r="AF150" s="59"/>
      <c r="AG150" s="60"/>
      <c r="AH150" s="61"/>
      <c r="AI150" s="61"/>
      <c r="AJ150" s="61"/>
      <c r="AK150" s="61"/>
      <c r="AL150" s="61"/>
      <c r="AM150" s="61"/>
      <c r="AN150" s="61"/>
      <c r="AO150" s="61"/>
      <c r="AP150" s="61"/>
      <c r="AQ150" s="61"/>
      <c r="AR150" s="61"/>
    </row>
    <row r="151">
      <c r="A151" s="62">
        <v>149.0</v>
      </c>
      <c r="B151" s="132" t="s">
        <v>2230</v>
      </c>
      <c r="C151" s="197" t="s">
        <v>2231</v>
      </c>
      <c r="D151" s="94"/>
      <c r="E151" s="132" t="s">
        <v>2232</v>
      </c>
      <c r="F151" s="79" t="s">
        <v>65</v>
      </c>
      <c r="G151" s="79" t="s">
        <v>131</v>
      </c>
      <c r="H151" s="79" t="s">
        <v>2233</v>
      </c>
      <c r="I151" s="96" t="s">
        <v>2234</v>
      </c>
      <c r="J151" s="79" t="s">
        <v>151</v>
      </c>
      <c r="K151" s="79" t="s">
        <v>110</v>
      </c>
      <c r="L151" s="79" t="s">
        <v>152</v>
      </c>
      <c r="M151" s="79" t="s">
        <v>2235</v>
      </c>
      <c r="N151" s="79" t="s">
        <v>93</v>
      </c>
      <c r="O151" s="79" t="s">
        <v>113</v>
      </c>
      <c r="P151" s="79" t="s">
        <v>95</v>
      </c>
      <c r="Q151" s="70" t="s">
        <v>3685</v>
      </c>
      <c r="R151" s="79" t="s">
        <v>76</v>
      </c>
      <c r="S151" s="79" t="s">
        <v>97</v>
      </c>
      <c r="T151" s="96" t="s">
        <v>2237</v>
      </c>
      <c r="U151" s="79" t="s">
        <v>78</v>
      </c>
      <c r="V151" s="79" t="s">
        <v>79</v>
      </c>
      <c r="W151" s="79" t="s">
        <v>80</v>
      </c>
      <c r="X151" s="79" t="s">
        <v>80</v>
      </c>
      <c r="Y151" s="79" t="s">
        <v>80</v>
      </c>
      <c r="Z151" s="79" t="s">
        <v>2238</v>
      </c>
      <c r="AA151" s="79" t="s">
        <v>207</v>
      </c>
      <c r="AB151" s="69"/>
      <c r="AC151" s="69"/>
      <c r="AD151" s="69"/>
      <c r="AE151" s="59"/>
      <c r="AF151" s="59"/>
      <c r="AG151" s="60"/>
      <c r="AH151" s="61"/>
      <c r="AI151" s="61"/>
      <c r="AJ151" s="61"/>
      <c r="AK151" s="61"/>
      <c r="AL151" s="61"/>
      <c r="AM151" s="61"/>
      <c r="AN151" s="61"/>
      <c r="AO151" s="61"/>
      <c r="AP151" s="61"/>
      <c r="AQ151" s="61"/>
      <c r="AR151" s="61"/>
    </row>
    <row r="152">
      <c r="A152" s="62">
        <v>150.0</v>
      </c>
      <c r="B152" s="132" t="s">
        <v>2239</v>
      </c>
      <c r="C152" s="132" t="s">
        <v>2240</v>
      </c>
      <c r="D152" s="132" t="s">
        <v>2241</v>
      </c>
      <c r="E152" s="198" t="s">
        <v>3686</v>
      </c>
      <c r="F152" s="79" t="s">
        <v>453</v>
      </c>
      <c r="G152" s="79" t="s">
        <v>123</v>
      </c>
      <c r="H152" s="79" t="s">
        <v>2243</v>
      </c>
      <c r="I152" s="96" t="s">
        <v>2244</v>
      </c>
      <c r="J152" s="79" t="s">
        <v>69</v>
      </c>
      <c r="K152" s="79" t="s">
        <v>110</v>
      </c>
      <c r="L152" s="79" t="s">
        <v>111</v>
      </c>
      <c r="M152" s="79" t="s">
        <v>2245</v>
      </c>
      <c r="N152" s="79" t="s">
        <v>26</v>
      </c>
      <c r="O152" s="79" t="s">
        <v>113</v>
      </c>
      <c r="P152" s="79" t="s">
        <v>95</v>
      </c>
      <c r="Q152" s="70" t="s">
        <v>3687</v>
      </c>
      <c r="R152" s="79" t="s">
        <v>76</v>
      </c>
      <c r="S152" s="79" t="s">
        <v>77</v>
      </c>
      <c r="T152" s="98">
        <v>2024.0</v>
      </c>
      <c r="U152" s="79" t="s">
        <v>154</v>
      </c>
      <c r="V152" s="79" t="s">
        <v>79</v>
      </c>
      <c r="W152" s="79" t="s">
        <v>2245</v>
      </c>
      <c r="X152" s="79" t="s">
        <v>100</v>
      </c>
      <c r="Y152" s="79" t="s">
        <v>139</v>
      </c>
      <c r="Z152" s="79" t="s">
        <v>2247</v>
      </c>
      <c r="AA152" s="79" t="s">
        <v>207</v>
      </c>
      <c r="AB152" s="96" t="s">
        <v>2248</v>
      </c>
      <c r="AC152" s="96">
        <v>8.9526465926E10</v>
      </c>
      <c r="AD152" s="96" t="s">
        <v>2249</v>
      </c>
      <c r="AE152" s="59"/>
      <c r="AF152" s="59"/>
      <c r="AG152" s="60"/>
      <c r="AH152" s="61"/>
      <c r="AI152" s="61"/>
      <c r="AJ152" s="61"/>
      <c r="AK152" s="61"/>
      <c r="AL152" s="61"/>
      <c r="AM152" s="61"/>
      <c r="AN152" s="61"/>
      <c r="AO152" s="61"/>
      <c r="AP152" s="61"/>
      <c r="AQ152" s="61"/>
      <c r="AR152" s="61"/>
    </row>
    <row r="153">
      <c r="A153" s="62">
        <v>151.0</v>
      </c>
      <c r="B153" s="132" t="s">
        <v>2250</v>
      </c>
      <c r="C153" s="132" t="s">
        <v>2251</v>
      </c>
      <c r="D153" s="132" t="s">
        <v>2252</v>
      </c>
      <c r="E153" s="198" t="s">
        <v>3688</v>
      </c>
      <c r="F153" s="79" t="s">
        <v>446</v>
      </c>
      <c r="G153" s="79" t="s">
        <v>123</v>
      </c>
      <c r="H153" s="79" t="s">
        <v>2254</v>
      </c>
      <c r="I153" s="96" t="s">
        <v>2255</v>
      </c>
      <c r="J153" s="79" t="s">
        <v>91</v>
      </c>
      <c r="K153" s="79" t="s">
        <v>110</v>
      </c>
      <c r="L153" s="79" t="s">
        <v>111</v>
      </c>
      <c r="M153" s="79" t="s">
        <v>2176</v>
      </c>
      <c r="N153" s="79" t="s">
        <v>26</v>
      </c>
      <c r="O153" s="79" t="s">
        <v>113</v>
      </c>
      <c r="P153" s="79" t="s">
        <v>95</v>
      </c>
      <c r="Q153" s="70" t="s">
        <v>3689</v>
      </c>
      <c r="R153" s="79" t="s">
        <v>76</v>
      </c>
      <c r="S153" s="79" t="s">
        <v>77</v>
      </c>
      <c r="T153" s="98">
        <v>2022.0</v>
      </c>
      <c r="U153" s="79" t="s">
        <v>78</v>
      </c>
      <c r="V153" s="79" t="s">
        <v>79</v>
      </c>
      <c r="W153" s="79" t="s">
        <v>623</v>
      </c>
      <c r="X153" s="79" t="s">
        <v>100</v>
      </c>
      <c r="Y153" s="79" t="s">
        <v>139</v>
      </c>
      <c r="Z153" s="79" t="s">
        <v>2247</v>
      </c>
      <c r="AA153" s="79" t="s">
        <v>207</v>
      </c>
      <c r="AB153" s="96" t="s">
        <v>2257</v>
      </c>
      <c r="AC153" s="96">
        <v>8.211691582E10</v>
      </c>
      <c r="AD153" s="96" t="s">
        <v>2258</v>
      </c>
      <c r="AE153" s="59"/>
      <c r="AF153" s="59"/>
      <c r="AG153" s="60"/>
      <c r="AH153" s="61"/>
      <c r="AI153" s="61"/>
      <c r="AJ153" s="61"/>
      <c r="AK153" s="61"/>
      <c r="AL153" s="61"/>
      <c r="AM153" s="61"/>
      <c r="AN153" s="61"/>
      <c r="AO153" s="61"/>
      <c r="AP153" s="61"/>
      <c r="AQ153" s="61"/>
      <c r="AR153" s="61"/>
    </row>
    <row r="154">
      <c r="A154" s="62">
        <v>152.0</v>
      </c>
      <c r="B154" s="132" t="s">
        <v>2259</v>
      </c>
      <c r="C154" s="132" t="s">
        <v>2260</v>
      </c>
      <c r="D154" s="132" t="s">
        <v>2261</v>
      </c>
      <c r="E154" s="198" t="s">
        <v>3690</v>
      </c>
      <c r="F154" s="79" t="s">
        <v>446</v>
      </c>
      <c r="G154" s="79" t="s">
        <v>123</v>
      </c>
      <c r="H154" s="79" t="s">
        <v>2263</v>
      </c>
      <c r="I154" s="96" t="s">
        <v>2264</v>
      </c>
      <c r="J154" s="79" t="s">
        <v>91</v>
      </c>
      <c r="K154" s="79" t="s">
        <v>110</v>
      </c>
      <c r="L154" s="79" t="s">
        <v>111</v>
      </c>
      <c r="M154" s="79" t="s">
        <v>3432</v>
      </c>
      <c r="N154" s="79" t="s">
        <v>26</v>
      </c>
      <c r="O154" s="79" t="s">
        <v>113</v>
      </c>
      <c r="P154" s="79" t="s">
        <v>95</v>
      </c>
      <c r="Q154" s="291" t="s">
        <v>3433</v>
      </c>
      <c r="R154" s="79" t="s">
        <v>76</v>
      </c>
      <c r="S154" s="79" t="s">
        <v>77</v>
      </c>
      <c r="T154" s="98">
        <v>2021.0</v>
      </c>
      <c r="U154" s="79" t="s">
        <v>78</v>
      </c>
      <c r="V154" s="79" t="s">
        <v>98</v>
      </c>
      <c r="W154" s="79" t="s">
        <v>2267</v>
      </c>
      <c r="X154" s="79" t="s">
        <v>100</v>
      </c>
      <c r="Y154" s="79" t="s">
        <v>139</v>
      </c>
      <c r="Z154" s="79" t="s">
        <v>2247</v>
      </c>
      <c r="AA154" s="79" t="s">
        <v>207</v>
      </c>
      <c r="AB154" s="96" t="s">
        <v>716</v>
      </c>
      <c r="AC154" s="96">
        <v>8.7838661789E10</v>
      </c>
      <c r="AD154" s="96" t="s">
        <v>2268</v>
      </c>
      <c r="AE154" s="59"/>
      <c r="AF154" s="59"/>
      <c r="AG154" s="60"/>
      <c r="AH154" s="61"/>
      <c r="AI154" s="61"/>
      <c r="AJ154" s="61"/>
      <c r="AK154" s="61"/>
      <c r="AL154" s="61"/>
      <c r="AM154" s="61"/>
      <c r="AN154" s="61"/>
      <c r="AO154" s="61"/>
      <c r="AP154" s="61"/>
      <c r="AQ154" s="61"/>
      <c r="AR154" s="61"/>
    </row>
    <row r="155">
      <c r="A155" s="62">
        <v>153.0</v>
      </c>
      <c r="B155" s="132" t="s">
        <v>2269</v>
      </c>
      <c r="C155" s="132" t="s">
        <v>2270</v>
      </c>
      <c r="D155" s="132" t="s">
        <v>2271</v>
      </c>
      <c r="E155" s="132" t="s">
        <v>1327</v>
      </c>
      <c r="F155" s="79" t="s">
        <v>453</v>
      </c>
      <c r="G155" s="79" t="s">
        <v>123</v>
      </c>
      <c r="H155" s="79" t="s">
        <v>2272</v>
      </c>
      <c r="I155" s="96" t="s">
        <v>2273</v>
      </c>
      <c r="J155" s="79" t="s">
        <v>91</v>
      </c>
      <c r="K155" s="79" t="s">
        <v>110</v>
      </c>
      <c r="L155" s="79" t="s">
        <v>111</v>
      </c>
      <c r="M155" s="68" t="s">
        <v>2274</v>
      </c>
      <c r="N155" s="79" t="s">
        <v>93</v>
      </c>
      <c r="O155" s="79" t="s">
        <v>113</v>
      </c>
      <c r="P155" s="79" t="s">
        <v>95</v>
      </c>
      <c r="Q155" s="70" t="s">
        <v>3691</v>
      </c>
      <c r="R155" s="79" t="s">
        <v>76</v>
      </c>
      <c r="S155" s="79" t="s">
        <v>77</v>
      </c>
      <c r="T155" s="98">
        <v>2024.0</v>
      </c>
      <c r="U155" s="79" t="s">
        <v>78</v>
      </c>
      <c r="V155" s="79" t="s">
        <v>79</v>
      </c>
      <c r="W155" s="79" t="s">
        <v>2276</v>
      </c>
      <c r="X155" s="79" t="s">
        <v>100</v>
      </c>
      <c r="Y155" s="79" t="s">
        <v>101</v>
      </c>
      <c r="Z155" s="79" t="s">
        <v>2277</v>
      </c>
      <c r="AA155" s="79" t="s">
        <v>207</v>
      </c>
      <c r="AB155" s="96" t="s">
        <v>2278</v>
      </c>
      <c r="AC155" s="96">
        <v>8.2116608826E10</v>
      </c>
      <c r="AD155" s="96" t="s">
        <v>2279</v>
      </c>
      <c r="AE155" s="59"/>
      <c r="AF155" s="59"/>
      <c r="AG155" s="60"/>
      <c r="AH155" s="61"/>
      <c r="AI155" s="61"/>
      <c r="AJ155" s="61"/>
      <c r="AK155" s="61"/>
      <c r="AL155" s="61"/>
      <c r="AM155" s="61"/>
      <c r="AN155" s="61"/>
      <c r="AO155" s="61"/>
      <c r="AP155" s="61"/>
      <c r="AQ155" s="61"/>
      <c r="AR155" s="61"/>
    </row>
    <row r="156">
      <c r="A156" s="62">
        <v>154.0</v>
      </c>
      <c r="B156" s="132" t="s">
        <v>2280</v>
      </c>
      <c r="C156" s="76" t="s">
        <v>2281</v>
      </c>
      <c r="D156" s="132" t="s">
        <v>2282</v>
      </c>
      <c r="E156" s="132" t="s">
        <v>1327</v>
      </c>
      <c r="F156" s="79" t="s">
        <v>453</v>
      </c>
      <c r="G156" s="79" t="s">
        <v>123</v>
      </c>
      <c r="H156" s="79" t="s">
        <v>2283</v>
      </c>
      <c r="I156" s="76" t="s">
        <v>2284</v>
      </c>
      <c r="J156" s="79" t="s">
        <v>91</v>
      </c>
      <c r="K156" s="79" t="s">
        <v>110</v>
      </c>
      <c r="L156" s="79" t="s">
        <v>71</v>
      </c>
      <c r="M156" s="79" t="s">
        <v>2180</v>
      </c>
      <c r="N156" s="79" t="s">
        <v>26</v>
      </c>
      <c r="O156" s="79" t="s">
        <v>113</v>
      </c>
      <c r="P156" s="79" t="s">
        <v>95</v>
      </c>
      <c r="Q156" s="70" t="s">
        <v>3692</v>
      </c>
      <c r="R156" s="79" t="s">
        <v>76</v>
      </c>
      <c r="S156" s="79" t="s">
        <v>77</v>
      </c>
      <c r="T156" s="98">
        <v>2023.0</v>
      </c>
      <c r="U156" s="79" t="s">
        <v>78</v>
      </c>
      <c r="V156" s="79" t="s">
        <v>98</v>
      </c>
      <c r="W156" s="79" t="s">
        <v>2286</v>
      </c>
      <c r="X156" s="79" t="s">
        <v>100</v>
      </c>
      <c r="Y156" s="79" t="s">
        <v>101</v>
      </c>
      <c r="Z156" s="79" t="s">
        <v>2287</v>
      </c>
      <c r="AA156" s="79" t="s">
        <v>207</v>
      </c>
      <c r="AB156" s="96" t="s">
        <v>2288</v>
      </c>
      <c r="AC156" s="96">
        <v>8.3822355705E10</v>
      </c>
      <c r="AD156" s="96" t="s">
        <v>2289</v>
      </c>
      <c r="AE156" s="59"/>
      <c r="AF156" s="59"/>
      <c r="AG156" s="60"/>
      <c r="AH156" s="61"/>
      <c r="AI156" s="61"/>
      <c r="AJ156" s="61"/>
      <c r="AK156" s="61"/>
      <c r="AL156" s="61"/>
      <c r="AM156" s="61"/>
      <c r="AN156" s="61"/>
      <c r="AO156" s="61"/>
      <c r="AP156" s="61"/>
      <c r="AQ156" s="61"/>
      <c r="AR156" s="61"/>
    </row>
    <row r="157">
      <c r="A157" s="62">
        <v>155.0</v>
      </c>
      <c r="B157" s="201" t="s">
        <v>2307</v>
      </c>
      <c r="C157" s="201" t="s">
        <v>2308</v>
      </c>
      <c r="D157" s="201" t="s">
        <v>2297</v>
      </c>
      <c r="E157" s="70" t="s">
        <v>3693</v>
      </c>
      <c r="F157" s="176" t="s">
        <v>65</v>
      </c>
      <c r="G157" s="79" t="s">
        <v>2299</v>
      </c>
      <c r="H157" s="201" t="s">
        <v>2310</v>
      </c>
      <c r="I157" s="201" t="s">
        <v>2311</v>
      </c>
      <c r="J157" s="176" t="s">
        <v>151</v>
      </c>
      <c r="K157" s="176" t="s">
        <v>70</v>
      </c>
      <c r="L157" s="176" t="s">
        <v>71</v>
      </c>
      <c r="M157" s="79" t="s">
        <v>2312</v>
      </c>
      <c r="N157" s="176" t="s">
        <v>93</v>
      </c>
      <c r="O157" s="176" t="s">
        <v>113</v>
      </c>
      <c r="P157" s="176" t="s">
        <v>95</v>
      </c>
      <c r="Q157" s="70" t="s">
        <v>3694</v>
      </c>
      <c r="R157" s="176" t="s">
        <v>76</v>
      </c>
      <c r="S157" s="176" t="s">
        <v>77</v>
      </c>
      <c r="T157" s="176">
        <v>2012.0</v>
      </c>
      <c r="U157" s="176" t="s">
        <v>78</v>
      </c>
      <c r="V157" s="176" t="s">
        <v>98</v>
      </c>
      <c r="W157" s="201" t="s">
        <v>2314</v>
      </c>
      <c r="X157" s="176" t="s">
        <v>100</v>
      </c>
      <c r="Y157" s="176" t="s">
        <v>139</v>
      </c>
      <c r="Z157" s="201" t="s">
        <v>2315</v>
      </c>
      <c r="AA157" s="176" t="s">
        <v>209</v>
      </c>
      <c r="AB157" s="201" t="s">
        <v>2316</v>
      </c>
      <c r="AC157" s="201">
        <v>8.1321159892E10</v>
      </c>
      <c r="AD157" s="176" t="s">
        <v>563</v>
      </c>
      <c r="AE157" s="59"/>
      <c r="AF157" s="59"/>
      <c r="AG157" s="202"/>
      <c r="AH157" s="61"/>
      <c r="AI157" s="61"/>
      <c r="AJ157" s="61"/>
      <c r="AK157" s="61"/>
      <c r="AL157" s="61"/>
      <c r="AM157" s="61"/>
      <c r="AN157" s="61"/>
      <c r="AO157" s="61"/>
      <c r="AP157" s="61"/>
      <c r="AQ157" s="61"/>
      <c r="AR157" s="61"/>
    </row>
    <row r="158">
      <c r="A158" s="62">
        <v>156.0</v>
      </c>
      <c r="B158" s="201" t="s">
        <v>2317</v>
      </c>
      <c r="C158" s="201" t="s">
        <v>2318</v>
      </c>
      <c r="D158" s="201" t="s">
        <v>2297</v>
      </c>
      <c r="E158" s="70" t="s">
        <v>3695</v>
      </c>
      <c r="F158" s="176" t="s">
        <v>65</v>
      </c>
      <c r="G158" s="79" t="s">
        <v>2299</v>
      </c>
      <c r="H158" s="201" t="s">
        <v>2320</v>
      </c>
      <c r="I158" s="201" t="s">
        <v>2311</v>
      </c>
      <c r="J158" s="176" t="s">
        <v>151</v>
      </c>
      <c r="K158" s="176" t="s">
        <v>70</v>
      </c>
      <c r="L158" s="176" t="s">
        <v>71</v>
      </c>
      <c r="M158" s="79" t="s">
        <v>2321</v>
      </c>
      <c r="N158" s="176" t="s">
        <v>26</v>
      </c>
      <c r="O158" s="176" t="s">
        <v>113</v>
      </c>
      <c r="P158" s="176" t="s">
        <v>95</v>
      </c>
      <c r="Q158" s="201" t="s">
        <v>2322</v>
      </c>
      <c r="R158" s="176" t="s">
        <v>76</v>
      </c>
      <c r="S158" s="176" t="s">
        <v>77</v>
      </c>
      <c r="T158" s="176">
        <v>2023.0</v>
      </c>
      <c r="U158" s="176" t="s">
        <v>78</v>
      </c>
      <c r="V158" s="176" t="s">
        <v>98</v>
      </c>
      <c r="W158" s="201" t="s">
        <v>2314</v>
      </c>
      <c r="X158" s="176" t="s">
        <v>100</v>
      </c>
      <c r="Y158" s="176" t="s">
        <v>139</v>
      </c>
      <c r="Z158" s="201" t="s">
        <v>2315</v>
      </c>
      <c r="AA158" s="176" t="s">
        <v>209</v>
      </c>
      <c r="AB158" s="201" t="s">
        <v>2316</v>
      </c>
      <c r="AC158" s="201">
        <v>8.1321159892E10</v>
      </c>
      <c r="AD158" s="176" t="s">
        <v>563</v>
      </c>
      <c r="AE158" s="59"/>
      <c r="AF158" s="59"/>
      <c r="AG158" s="202"/>
      <c r="AH158" s="61"/>
      <c r="AI158" s="61"/>
      <c r="AJ158" s="61"/>
      <c r="AK158" s="61"/>
      <c r="AL158" s="61"/>
      <c r="AM158" s="61"/>
      <c r="AN158" s="61"/>
      <c r="AO158" s="61"/>
      <c r="AP158" s="61"/>
      <c r="AQ158" s="61"/>
      <c r="AR158" s="61"/>
    </row>
    <row r="159">
      <c r="A159" s="62">
        <v>157.0</v>
      </c>
      <c r="B159" s="201" t="s">
        <v>2323</v>
      </c>
      <c r="C159" s="201" t="s">
        <v>2324</v>
      </c>
      <c r="D159" s="201" t="s">
        <v>2297</v>
      </c>
      <c r="E159" s="70" t="s">
        <v>3696</v>
      </c>
      <c r="F159" s="176" t="s">
        <v>65</v>
      </c>
      <c r="G159" s="79" t="s">
        <v>2299</v>
      </c>
      <c r="H159" s="201" t="s">
        <v>2326</v>
      </c>
      <c r="I159" s="201" t="s">
        <v>2327</v>
      </c>
      <c r="J159" s="176" t="s">
        <v>151</v>
      </c>
      <c r="K159" s="176" t="s">
        <v>70</v>
      </c>
      <c r="L159" s="176" t="s">
        <v>71</v>
      </c>
      <c r="M159" s="79" t="s">
        <v>2328</v>
      </c>
      <c r="N159" s="176" t="s">
        <v>93</v>
      </c>
      <c r="O159" s="176" t="s">
        <v>113</v>
      </c>
      <c r="P159" s="176" t="s">
        <v>95</v>
      </c>
      <c r="Q159" s="70" t="s">
        <v>3697</v>
      </c>
      <c r="R159" s="176" t="s">
        <v>76</v>
      </c>
      <c r="S159" s="176" t="s">
        <v>77</v>
      </c>
      <c r="T159" s="176">
        <v>2025.0</v>
      </c>
      <c r="U159" s="176" t="s">
        <v>78</v>
      </c>
      <c r="V159" s="176" t="s">
        <v>98</v>
      </c>
      <c r="W159" s="201" t="s">
        <v>2314</v>
      </c>
      <c r="X159" s="176" t="s">
        <v>100</v>
      </c>
      <c r="Y159" s="176" t="s">
        <v>139</v>
      </c>
      <c r="Z159" s="201" t="s">
        <v>2315</v>
      </c>
      <c r="AA159" s="176" t="s">
        <v>209</v>
      </c>
      <c r="AB159" s="201" t="s">
        <v>2316</v>
      </c>
      <c r="AC159" s="201">
        <v>8.1321159892E10</v>
      </c>
      <c r="AD159" s="176" t="s">
        <v>563</v>
      </c>
      <c r="AE159" s="59"/>
      <c r="AF159" s="59"/>
      <c r="AG159" s="202"/>
      <c r="AH159" s="61"/>
      <c r="AI159" s="61"/>
      <c r="AJ159" s="61"/>
      <c r="AK159" s="61"/>
      <c r="AL159" s="61"/>
      <c r="AM159" s="61"/>
      <c r="AN159" s="61"/>
      <c r="AO159" s="61"/>
      <c r="AP159" s="61"/>
      <c r="AQ159" s="61"/>
      <c r="AR159" s="61"/>
    </row>
    <row r="160">
      <c r="A160" s="62">
        <v>158.0</v>
      </c>
      <c r="B160" s="201" t="s">
        <v>2330</v>
      </c>
      <c r="C160" s="201" t="s">
        <v>2331</v>
      </c>
      <c r="D160" s="201" t="s">
        <v>2297</v>
      </c>
      <c r="E160" s="70" t="s">
        <v>3698</v>
      </c>
      <c r="F160" s="176" t="s">
        <v>65</v>
      </c>
      <c r="G160" s="79" t="s">
        <v>2299</v>
      </c>
      <c r="H160" s="201" t="s">
        <v>2333</v>
      </c>
      <c r="I160" s="201" t="s">
        <v>2334</v>
      </c>
      <c r="J160" s="176" t="s">
        <v>151</v>
      </c>
      <c r="K160" s="176" t="s">
        <v>70</v>
      </c>
      <c r="L160" s="176" t="s">
        <v>71</v>
      </c>
      <c r="M160" s="79" t="s">
        <v>2335</v>
      </c>
      <c r="N160" s="176" t="s">
        <v>93</v>
      </c>
      <c r="O160" s="176" t="s">
        <v>113</v>
      </c>
      <c r="P160" s="176" t="s">
        <v>74</v>
      </c>
      <c r="Q160" s="70" t="s">
        <v>3699</v>
      </c>
      <c r="R160" s="176" t="s">
        <v>76</v>
      </c>
      <c r="S160" s="176" t="s">
        <v>77</v>
      </c>
      <c r="T160" s="176">
        <v>2020.0</v>
      </c>
      <c r="U160" s="176" t="s">
        <v>78</v>
      </c>
      <c r="V160" s="176" t="s">
        <v>98</v>
      </c>
      <c r="W160" s="201" t="s">
        <v>2337</v>
      </c>
      <c r="X160" s="176" t="s">
        <v>100</v>
      </c>
      <c r="Y160" s="176" t="s">
        <v>139</v>
      </c>
      <c r="Z160" s="201" t="s">
        <v>2305</v>
      </c>
      <c r="AA160" s="176" t="s">
        <v>209</v>
      </c>
      <c r="AB160" s="201" t="s">
        <v>2306</v>
      </c>
      <c r="AC160" s="201">
        <v>8.2240473904E10</v>
      </c>
      <c r="AD160" s="176" t="s">
        <v>563</v>
      </c>
      <c r="AE160" s="59"/>
      <c r="AF160" s="59"/>
      <c r="AG160" s="202"/>
      <c r="AH160" s="61"/>
      <c r="AI160" s="61"/>
      <c r="AJ160" s="61"/>
      <c r="AK160" s="61"/>
      <c r="AL160" s="61"/>
      <c r="AM160" s="61"/>
      <c r="AN160" s="61"/>
      <c r="AO160" s="61"/>
      <c r="AP160" s="61"/>
      <c r="AQ160" s="61"/>
      <c r="AR160" s="61"/>
    </row>
    <row r="161">
      <c r="A161" s="62">
        <v>159.0</v>
      </c>
      <c r="B161" s="203"/>
      <c r="C161" s="203"/>
      <c r="D161" s="204"/>
      <c r="E161" s="204"/>
      <c r="F161" s="203"/>
      <c r="G161" s="288" t="s">
        <v>131</v>
      </c>
      <c r="H161" s="203"/>
      <c r="I161" s="203"/>
      <c r="J161" s="203"/>
      <c r="K161" s="203"/>
      <c r="L161" s="203"/>
      <c r="M161" s="79" t="s">
        <v>2350</v>
      </c>
      <c r="N161" s="176" t="s">
        <v>82</v>
      </c>
      <c r="O161" s="176" t="s">
        <v>113</v>
      </c>
      <c r="P161" s="176" t="s">
        <v>74</v>
      </c>
      <c r="Q161" s="70" t="s">
        <v>3700</v>
      </c>
      <c r="R161" s="176" t="s">
        <v>76</v>
      </c>
      <c r="S161" s="176" t="s">
        <v>77</v>
      </c>
      <c r="T161" s="176" t="s">
        <v>563</v>
      </c>
      <c r="U161" s="176" t="s">
        <v>78</v>
      </c>
      <c r="V161" s="176" t="s">
        <v>98</v>
      </c>
      <c r="W161" s="176" t="s">
        <v>2186</v>
      </c>
      <c r="X161" s="176" t="s">
        <v>155</v>
      </c>
      <c r="Y161" s="176" t="s">
        <v>71</v>
      </c>
      <c r="Z161" s="176" t="s">
        <v>563</v>
      </c>
      <c r="AA161" s="176" t="s">
        <v>82</v>
      </c>
      <c r="AB161" s="203"/>
      <c r="AC161" s="203"/>
      <c r="AD161" s="203"/>
      <c r="AE161" s="59"/>
      <c r="AF161" s="59"/>
      <c r="AG161" s="202"/>
      <c r="AH161" s="61"/>
      <c r="AI161" s="61"/>
      <c r="AJ161" s="61"/>
      <c r="AK161" s="61"/>
      <c r="AL161" s="61"/>
      <c r="AM161" s="61"/>
      <c r="AN161" s="61"/>
      <c r="AO161" s="61"/>
      <c r="AP161" s="61"/>
      <c r="AQ161" s="61"/>
      <c r="AR161" s="61"/>
    </row>
    <row r="162">
      <c r="A162" s="62">
        <v>160.0</v>
      </c>
      <c r="B162" s="208" t="s">
        <v>2182</v>
      </c>
      <c r="C162" s="208" t="s">
        <v>2183</v>
      </c>
      <c r="D162" s="208" t="s">
        <v>2184</v>
      </c>
      <c r="E162" s="70" t="s">
        <v>3701</v>
      </c>
      <c r="F162" s="208" t="s">
        <v>469</v>
      </c>
      <c r="G162" s="208" t="s">
        <v>131</v>
      </c>
      <c r="H162" s="209" t="s">
        <v>1969</v>
      </c>
      <c r="I162" s="208" t="s">
        <v>2185</v>
      </c>
      <c r="J162" s="208" t="s">
        <v>151</v>
      </c>
      <c r="K162" s="208" t="s">
        <v>70</v>
      </c>
      <c r="L162" s="208" t="s">
        <v>71</v>
      </c>
      <c r="M162" s="79" t="s">
        <v>2186</v>
      </c>
      <c r="N162" s="208" t="s">
        <v>93</v>
      </c>
      <c r="O162" s="208" t="s">
        <v>113</v>
      </c>
      <c r="P162" s="208" t="s">
        <v>95</v>
      </c>
      <c r="Q162" s="75" t="s">
        <v>3702</v>
      </c>
      <c r="R162" s="208" t="s">
        <v>76</v>
      </c>
      <c r="S162" s="208" t="s">
        <v>77</v>
      </c>
      <c r="T162" s="209">
        <v>2017.0</v>
      </c>
      <c r="U162" s="208" t="s">
        <v>78</v>
      </c>
      <c r="V162" s="208" t="s">
        <v>98</v>
      </c>
      <c r="W162" s="209" t="s">
        <v>2188</v>
      </c>
      <c r="X162" s="208" t="s">
        <v>155</v>
      </c>
      <c r="Y162" s="208" t="s">
        <v>71</v>
      </c>
      <c r="Z162" s="209" t="s">
        <v>2189</v>
      </c>
      <c r="AA162" s="208" t="s">
        <v>211</v>
      </c>
      <c r="AB162" s="208" t="s">
        <v>2190</v>
      </c>
      <c r="AC162" s="208">
        <v>8.2133111001E10</v>
      </c>
      <c r="AD162" s="75" t="s">
        <v>3703</v>
      </c>
      <c r="AE162" s="210">
        <v>28.0</v>
      </c>
      <c r="AF162" s="210" t="s">
        <v>566</v>
      </c>
      <c r="AG162" s="211"/>
      <c r="AH162" s="61"/>
      <c r="AI162" s="61"/>
      <c r="AJ162" s="61"/>
      <c r="AK162" s="61"/>
      <c r="AL162" s="61"/>
      <c r="AM162" s="61"/>
      <c r="AN162" s="61"/>
      <c r="AO162" s="61"/>
      <c r="AP162" s="61"/>
      <c r="AQ162" s="61"/>
      <c r="AR162" s="61"/>
    </row>
    <row r="163" hidden="1">
      <c r="A163" s="62">
        <v>161.0</v>
      </c>
      <c r="B163" s="96" t="s">
        <v>2389</v>
      </c>
      <c r="C163" s="96" t="s">
        <v>2390</v>
      </c>
      <c r="D163" s="96" t="s">
        <v>2391</v>
      </c>
      <c r="E163" s="70" t="s">
        <v>3704</v>
      </c>
      <c r="F163" s="79" t="s">
        <v>354</v>
      </c>
      <c r="G163" s="79" t="s">
        <v>66</v>
      </c>
      <c r="H163" s="217" t="s">
        <v>2393</v>
      </c>
      <c r="I163" s="79" t="s">
        <v>2393</v>
      </c>
      <c r="J163" s="79" t="s">
        <v>91</v>
      </c>
      <c r="K163" s="79" t="s">
        <v>110</v>
      </c>
      <c r="L163" s="79" t="s">
        <v>71</v>
      </c>
      <c r="M163" s="79" t="s">
        <v>2394</v>
      </c>
      <c r="N163" s="79" t="s">
        <v>82</v>
      </c>
      <c r="O163" s="79" t="s">
        <v>113</v>
      </c>
      <c r="P163" s="79" t="s">
        <v>145</v>
      </c>
      <c r="Q163" s="70" t="s">
        <v>3705</v>
      </c>
      <c r="R163" s="79" t="s">
        <v>76</v>
      </c>
      <c r="S163" s="79" t="s">
        <v>97</v>
      </c>
      <c r="T163" s="98">
        <v>2022.0</v>
      </c>
      <c r="U163" s="79" t="s">
        <v>147</v>
      </c>
      <c r="V163" s="79" t="s">
        <v>79</v>
      </c>
      <c r="W163" s="69"/>
      <c r="X163" s="79" t="s">
        <v>80</v>
      </c>
      <c r="Y163" s="79" t="s">
        <v>80</v>
      </c>
      <c r="Z163" s="218" t="s">
        <v>2396</v>
      </c>
      <c r="AA163" s="79" t="s">
        <v>215</v>
      </c>
      <c r="AB163" s="69"/>
      <c r="AC163" s="69"/>
      <c r="AD163" s="69"/>
      <c r="AE163" s="94"/>
      <c r="AF163" s="94"/>
      <c r="AG163" s="60"/>
      <c r="AH163" s="61"/>
      <c r="AI163" s="61"/>
      <c r="AJ163" s="61"/>
      <c r="AK163" s="61"/>
      <c r="AL163" s="61"/>
      <c r="AM163" s="61"/>
      <c r="AN163" s="61"/>
      <c r="AO163" s="61"/>
      <c r="AP163" s="61"/>
      <c r="AQ163" s="61"/>
      <c r="AR163" s="61"/>
    </row>
    <row r="164" hidden="1">
      <c r="A164" s="62">
        <v>162.0</v>
      </c>
      <c r="B164" s="96" t="s">
        <v>2397</v>
      </c>
      <c r="C164" s="96" t="s">
        <v>2398</v>
      </c>
      <c r="D164" s="96" t="s">
        <v>2391</v>
      </c>
      <c r="E164" s="70" t="s">
        <v>3706</v>
      </c>
      <c r="F164" s="79" t="s">
        <v>354</v>
      </c>
      <c r="G164" s="79" t="s">
        <v>131</v>
      </c>
      <c r="H164" s="217" t="s">
        <v>2400</v>
      </c>
      <c r="I164" s="79" t="s">
        <v>2393</v>
      </c>
      <c r="J164" s="79" t="s">
        <v>91</v>
      </c>
      <c r="K164" s="69"/>
      <c r="L164" s="79" t="s">
        <v>71</v>
      </c>
      <c r="M164" s="79" t="s">
        <v>2401</v>
      </c>
      <c r="N164" s="69"/>
      <c r="O164" s="69"/>
      <c r="P164" s="79" t="s">
        <v>95</v>
      </c>
      <c r="Q164" s="70" t="s">
        <v>3707</v>
      </c>
      <c r="R164" s="79" t="s">
        <v>76</v>
      </c>
      <c r="S164" s="79" t="s">
        <v>97</v>
      </c>
      <c r="T164" s="69"/>
      <c r="U164" s="79" t="s">
        <v>78</v>
      </c>
      <c r="V164" s="69"/>
      <c r="W164" s="69"/>
      <c r="X164" s="79" t="s">
        <v>80</v>
      </c>
      <c r="Y164" s="69"/>
      <c r="Z164" s="79" t="s">
        <v>2396</v>
      </c>
      <c r="AA164" s="79" t="s">
        <v>215</v>
      </c>
      <c r="AB164" s="69"/>
      <c r="AC164" s="69"/>
      <c r="AD164" s="69"/>
      <c r="AE164" s="94"/>
      <c r="AF164" s="94"/>
      <c r="AG164" s="60"/>
      <c r="AH164" s="61"/>
      <c r="AI164" s="61"/>
      <c r="AJ164" s="61"/>
      <c r="AK164" s="61"/>
      <c r="AL164" s="61"/>
      <c r="AM164" s="61"/>
      <c r="AN164" s="61"/>
      <c r="AO164" s="61"/>
      <c r="AP164" s="61"/>
      <c r="AQ164" s="61"/>
      <c r="AR164" s="61"/>
    </row>
    <row r="165" hidden="1">
      <c r="A165" s="62">
        <v>163.0</v>
      </c>
      <c r="B165" s="96" t="s">
        <v>2403</v>
      </c>
      <c r="C165" s="96" t="s">
        <v>2404</v>
      </c>
      <c r="D165" s="96" t="s">
        <v>2391</v>
      </c>
      <c r="E165" s="70" t="s">
        <v>3708</v>
      </c>
      <c r="F165" s="79" t="s">
        <v>354</v>
      </c>
      <c r="G165" s="79" t="s">
        <v>66</v>
      </c>
      <c r="H165" s="79" t="s">
        <v>2406</v>
      </c>
      <c r="I165" s="79" t="s">
        <v>2406</v>
      </c>
      <c r="J165" s="79" t="s">
        <v>91</v>
      </c>
      <c r="K165" s="69"/>
      <c r="L165" s="79" t="s">
        <v>71</v>
      </c>
      <c r="M165" s="79" t="s">
        <v>2407</v>
      </c>
      <c r="N165" s="79" t="s">
        <v>93</v>
      </c>
      <c r="O165" s="79" t="s">
        <v>94</v>
      </c>
      <c r="P165" s="79" t="s">
        <v>145</v>
      </c>
      <c r="Q165" s="70" t="s">
        <v>3709</v>
      </c>
      <c r="R165" s="79" t="s">
        <v>76</v>
      </c>
      <c r="S165" s="79" t="s">
        <v>97</v>
      </c>
      <c r="T165" s="98">
        <v>2022.0</v>
      </c>
      <c r="U165" s="79" t="s">
        <v>78</v>
      </c>
      <c r="V165" s="79" t="s">
        <v>79</v>
      </c>
      <c r="W165" s="69"/>
      <c r="X165" s="79" t="s">
        <v>80</v>
      </c>
      <c r="Y165" s="69"/>
      <c r="Z165" s="79" t="s">
        <v>2409</v>
      </c>
      <c r="AA165" s="79" t="s">
        <v>215</v>
      </c>
      <c r="AB165" s="69"/>
      <c r="AC165" s="69"/>
      <c r="AD165" s="69"/>
      <c r="AE165" s="94"/>
      <c r="AF165" s="94"/>
      <c r="AG165" s="60"/>
      <c r="AH165" s="61"/>
      <c r="AI165" s="61"/>
      <c r="AJ165" s="61"/>
      <c r="AK165" s="61"/>
      <c r="AL165" s="61"/>
      <c r="AM165" s="61"/>
      <c r="AN165" s="61"/>
      <c r="AO165" s="61"/>
      <c r="AP165" s="61"/>
      <c r="AQ165" s="61"/>
      <c r="AR165" s="61"/>
    </row>
    <row r="166">
      <c r="A166" s="62">
        <v>164.0</v>
      </c>
      <c r="B166" s="79" t="s">
        <v>2411</v>
      </c>
      <c r="C166" s="79" t="s">
        <v>2412</v>
      </c>
      <c r="D166" s="79" t="s">
        <v>2413</v>
      </c>
      <c r="E166" s="131" t="s">
        <v>3710</v>
      </c>
      <c r="F166" s="79" t="s">
        <v>344</v>
      </c>
      <c r="G166" s="79" t="s">
        <v>66</v>
      </c>
      <c r="H166" s="79" t="s">
        <v>2415</v>
      </c>
      <c r="I166" s="96" t="s">
        <v>2416</v>
      </c>
      <c r="J166" s="79" t="s">
        <v>158</v>
      </c>
      <c r="K166" s="79" t="s">
        <v>70</v>
      </c>
      <c r="L166" s="79" t="s">
        <v>101</v>
      </c>
      <c r="M166" s="79" t="s">
        <v>2417</v>
      </c>
      <c r="N166" s="79" t="s">
        <v>93</v>
      </c>
      <c r="O166" s="79" t="s">
        <v>113</v>
      </c>
      <c r="P166" s="79" t="s">
        <v>153</v>
      </c>
      <c r="Q166" s="79" t="s">
        <v>2418</v>
      </c>
      <c r="R166" s="79" t="s">
        <v>146</v>
      </c>
      <c r="S166" s="79" t="s">
        <v>77</v>
      </c>
      <c r="T166" s="79">
        <v>2023.0</v>
      </c>
      <c r="U166" s="79" t="s">
        <v>78</v>
      </c>
      <c r="V166" s="79" t="s">
        <v>98</v>
      </c>
      <c r="W166" s="79" t="s">
        <v>2419</v>
      </c>
      <c r="X166" s="79" t="s">
        <v>148</v>
      </c>
      <c r="Y166" s="79" t="s">
        <v>139</v>
      </c>
      <c r="Z166" s="79" t="s">
        <v>2420</v>
      </c>
      <c r="AA166" s="79" t="s">
        <v>162</v>
      </c>
      <c r="AB166" s="79" t="s">
        <v>2421</v>
      </c>
      <c r="AC166" s="79">
        <v>8.129487531E9</v>
      </c>
      <c r="AD166" s="79" t="s">
        <v>2422</v>
      </c>
      <c r="AE166" s="79">
        <v>8.0</v>
      </c>
      <c r="AF166" s="79" t="s">
        <v>1268</v>
      </c>
      <c r="AG166" s="60"/>
      <c r="AH166" s="60"/>
      <c r="AI166" s="60"/>
      <c r="AJ166" s="60"/>
      <c r="AK166" s="60"/>
      <c r="AL166" s="60"/>
      <c r="AM166" s="60"/>
      <c r="AN166" s="60"/>
      <c r="AO166" s="60"/>
      <c r="AP166" s="60"/>
      <c r="AQ166" s="60"/>
      <c r="AR166" s="61"/>
    </row>
    <row r="167" hidden="1">
      <c r="A167" s="62">
        <v>165.0</v>
      </c>
      <c r="B167" s="79" t="s">
        <v>2423</v>
      </c>
      <c r="C167" s="176" t="s">
        <v>2424</v>
      </c>
      <c r="D167" s="79" t="s">
        <v>2425</v>
      </c>
      <c r="E167" s="131" t="s">
        <v>3711</v>
      </c>
      <c r="F167" s="79" t="s">
        <v>222</v>
      </c>
      <c r="G167" s="79" t="s">
        <v>138</v>
      </c>
      <c r="H167" s="79" t="s">
        <v>2427</v>
      </c>
      <c r="I167" s="79" t="s">
        <v>2427</v>
      </c>
      <c r="J167" s="79" t="s">
        <v>151</v>
      </c>
      <c r="K167" s="79" t="s">
        <v>70</v>
      </c>
      <c r="L167" s="79" t="s">
        <v>152</v>
      </c>
      <c r="M167" s="79" t="s">
        <v>2428</v>
      </c>
      <c r="N167" s="79" t="s">
        <v>73</v>
      </c>
      <c r="O167" s="79" t="s">
        <v>73</v>
      </c>
      <c r="P167" s="79" t="s">
        <v>95</v>
      </c>
      <c r="Q167" s="131" t="s">
        <v>3712</v>
      </c>
      <c r="R167" s="79" t="s">
        <v>76</v>
      </c>
      <c r="S167" s="79" t="s">
        <v>97</v>
      </c>
      <c r="T167" s="79">
        <v>2016.0</v>
      </c>
      <c r="U167" s="79" t="s">
        <v>78</v>
      </c>
      <c r="V167" s="79" t="s">
        <v>98</v>
      </c>
      <c r="W167" s="79" t="s">
        <v>2430</v>
      </c>
      <c r="X167" s="79" t="s">
        <v>155</v>
      </c>
      <c r="Y167" s="79" t="s">
        <v>139</v>
      </c>
      <c r="Z167" s="79" t="s">
        <v>2431</v>
      </c>
      <c r="AA167" s="79" t="s">
        <v>174</v>
      </c>
      <c r="AB167" s="79" t="s">
        <v>2432</v>
      </c>
      <c r="AC167" s="79">
        <v>8.2121996969E10</v>
      </c>
      <c r="AD167" s="79" t="s">
        <v>2433</v>
      </c>
      <c r="AE167" s="79">
        <v>41.0</v>
      </c>
      <c r="AF167" s="79" t="s">
        <v>71</v>
      </c>
      <c r="AG167" s="60"/>
      <c r="AH167" s="60"/>
      <c r="AI167" s="60"/>
      <c r="AJ167" s="60"/>
      <c r="AK167" s="60"/>
      <c r="AL167" s="60"/>
      <c r="AM167" s="60"/>
      <c r="AN167" s="60"/>
      <c r="AO167" s="60"/>
      <c r="AP167" s="60"/>
      <c r="AQ167" s="60"/>
      <c r="AR167" s="61"/>
    </row>
    <row r="168" hidden="1">
      <c r="A168" s="62">
        <v>166.0</v>
      </c>
      <c r="B168" s="79" t="s">
        <v>2434</v>
      </c>
      <c r="C168" s="79" t="s">
        <v>2435</v>
      </c>
      <c r="D168" s="59"/>
      <c r="E168" s="79" t="s">
        <v>563</v>
      </c>
      <c r="F168" s="79" t="s">
        <v>421</v>
      </c>
      <c r="G168" s="79" t="s">
        <v>138</v>
      </c>
      <c r="H168" s="79" t="s">
        <v>2436</v>
      </c>
      <c r="I168" s="79" t="s">
        <v>2436</v>
      </c>
      <c r="J168" s="79" t="s">
        <v>151</v>
      </c>
      <c r="K168" s="79" t="s">
        <v>110</v>
      </c>
      <c r="L168" s="79" t="s">
        <v>152</v>
      </c>
      <c r="M168" s="79" t="s">
        <v>2437</v>
      </c>
      <c r="N168" s="79" t="s">
        <v>144</v>
      </c>
      <c r="O168" s="79" t="s">
        <v>144</v>
      </c>
      <c r="P168" s="79" t="s">
        <v>95</v>
      </c>
      <c r="Q168" s="131" t="s">
        <v>3713</v>
      </c>
      <c r="R168" s="79" t="s">
        <v>76</v>
      </c>
      <c r="S168" s="79" t="s">
        <v>97</v>
      </c>
      <c r="T168" s="79">
        <v>2024.0</v>
      </c>
      <c r="U168" s="79" t="s">
        <v>78</v>
      </c>
      <c r="V168" s="79" t="s">
        <v>79</v>
      </c>
      <c r="W168" s="79" t="s">
        <v>80</v>
      </c>
      <c r="X168" s="79" t="s">
        <v>80</v>
      </c>
      <c r="Y168" s="79" t="s">
        <v>80</v>
      </c>
      <c r="Z168" s="79" t="s">
        <v>2431</v>
      </c>
      <c r="AA168" s="79" t="s">
        <v>162</v>
      </c>
      <c r="AB168" s="79" t="s">
        <v>2432</v>
      </c>
      <c r="AC168" s="79">
        <v>8.2121996969E10</v>
      </c>
      <c r="AD168" s="79" t="s">
        <v>2433</v>
      </c>
      <c r="AE168" s="59"/>
      <c r="AF168" s="79" t="s">
        <v>152</v>
      </c>
      <c r="AG168" s="60"/>
      <c r="AH168" s="60"/>
      <c r="AI168" s="60"/>
      <c r="AJ168" s="60"/>
      <c r="AK168" s="60"/>
      <c r="AL168" s="60"/>
      <c r="AM168" s="60"/>
      <c r="AN168" s="60"/>
      <c r="AO168" s="60"/>
      <c r="AP168" s="60"/>
      <c r="AQ168" s="60"/>
      <c r="AR168" s="61"/>
    </row>
    <row r="169" hidden="1">
      <c r="A169" s="62">
        <v>167.0</v>
      </c>
      <c r="B169" s="79" t="s">
        <v>2449</v>
      </c>
      <c r="C169" s="79" t="s">
        <v>2450</v>
      </c>
      <c r="D169" s="79" t="s">
        <v>2451</v>
      </c>
      <c r="E169" s="59"/>
      <c r="F169" s="79" t="s">
        <v>444</v>
      </c>
      <c r="G169" s="79" t="s">
        <v>131</v>
      </c>
      <c r="H169" s="79" t="s">
        <v>2452</v>
      </c>
      <c r="I169" s="96" t="s">
        <v>2453</v>
      </c>
      <c r="J169" s="79" t="s">
        <v>69</v>
      </c>
      <c r="K169" s="79" t="s">
        <v>70</v>
      </c>
      <c r="L169" s="79" t="s">
        <v>71</v>
      </c>
      <c r="M169" s="79" t="s">
        <v>2454</v>
      </c>
      <c r="N169" s="79" t="s">
        <v>93</v>
      </c>
      <c r="O169" s="79" t="s">
        <v>94</v>
      </c>
      <c r="P169" s="79" t="s">
        <v>95</v>
      </c>
      <c r="Q169" s="131" t="s">
        <v>3714</v>
      </c>
      <c r="R169" s="79" t="s">
        <v>76</v>
      </c>
      <c r="S169" s="79" t="s">
        <v>97</v>
      </c>
      <c r="T169" s="79">
        <v>2023.0</v>
      </c>
      <c r="U169" s="79" t="s">
        <v>78</v>
      </c>
      <c r="V169" s="79" t="s">
        <v>79</v>
      </c>
      <c r="W169" s="79" t="s">
        <v>80</v>
      </c>
      <c r="X169" s="79" t="s">
        <v>80</v>
      </c>
      <c r="Y169" s="79" t="s">
        <v>80</v>
      </c>
      <c r="Z169" s="79" t="s">
        <v>2456</v>
      </c>
      <c r="AA169" s="79" t="s">
        <v>207</v>
      </c>
      <c r="AB169" s="79" t="s">
        <v>2457</v>
      </c>
      <c r="AC169" s="79">
        <v>8.996105849E9</v>
      </c>
      <c r="AD169" s="79" t="s">
        <v>2458</v>
      </c>
      <c r="AE169" s="59"/>
      <c r="AF169" s="79" t="s">
        <v>152</v>
      </c>
      <c r="AG169" s="60"/>
      <c r="AH169" s="60"/>
      <c r="AI169" s="60"/>
      <c r="AJ169" s="60"/>
      <c r="AK169" s="60"/>
      <c r="AL169" s="60"/>
      <c r="AM169" s="60"/>
      <c r="AN169" s="60"/>
      <c r="AO169" s="60"/>
      <c r="AP169" s="60"/>
      <c r="AQ169" s="60"/>
      <c r="AR169" s="61"/>
    </row>
    <row r="170">
      <c r="A170" s="62">
        <v>168.0</v>
      </c>
      <c r="B170" s="79" t="s">
        <v>2459</v>
      </c>
      <c r="C170" s="79" t="s">
        <v>2460</v>
      </c>
      <c r="D170" s="79" t="s">
        <v>2461</v>
      </c>
      <c r="E170" s="59"/>
      <c r="F170" s="79" t="s">
        <v>448</v>
      </c>
      <c r="G170" s="79" t="s">
        <v>123</v>
      </c>
      <c r="H170" s="79" t="s">
        <v>2462</v>
      </c>
      <c r="I170" s="96" t="s">
        <v>2463</v>
      </c>
      <c r="J170" s="79" t="s">
        <v>158</v>
      </c>
      <c r="K170" s="79" t="s">
        <v>110</v>
      </c>
      <c r="L170" s="79" t="s">
        <v>71</v>
      </c>
      <c r="M170" s="79" t="s">
        <v>2464</v>
      </c>
      <c r="N170" s="79" t="s">
        <v>26</v>
      </c>
      <c r="O170" s="79" t="s">
        <v>113</v>
      </c>
      <c r="P170" s="79" t="s">
        <v>95</v>
      </c>
      <c r="Q170" s="131" t="s">
        <v>3715</v>
      </c>
      <c r="R170" s="79" t="s">
        <v>76</v>
      </c>
      <c r="S170" s="79" t="s">
        <v>97</v>
      </c>
      <c r="T170" s="79">
        <v>2024.0</v>
      </c>
      <c r="U170" s="79" t="s">
        <v>78</v>
      </c>
      <c r="V170" s="79" t="s">
        <v>79</v>
      </c>
      <c r="W170" s="79" t="s">
        <v>80</v>
      </c>
      <c r="X170" s="79" t="s">
        <v>80</v>
      </c>
      <c r="Y170" s="79" t="s">
        <v>80</v>
      </c>
      <c r="Z170" s="79" t="s">
        <v>2466</v>
      </c>
      <c r="AA170" s="79" t="s">
        <v>209</v>
      </c>
      <c r="AB170" s="131" t="s">
        <v>3716</v>
      </c>
      <c r="AC170" s="79">
        <v>8.9682973688E10</v>
      </c>
      <c r="AD170" s="79" t="s">
        <v>2468</v>
      </c>
      <c r="AE170" s="59"/>
      <c r="AF170" s="79" t="s">
        <v>71</v>
      </c>
      <c r="AG170" s="60"/>
      <c r="AH170" s="60"/>
      <c r="AI170" s="60"/>
      <c r="AJ170" s="60"/>
      <c r="AK170" s="60"/>
      <c r="AL170" s="60"/>
      <c r="AM170" s="60"/>
      <c r="AN170" s="60"/>
      <c r="AO170" s="60"/>
      <c r="AP170" s="60"/>
      <c r="AQ170" s="60"/>
      <c r="AR170" s="61"/>
    </row>
    <row r="171" hidden="1">
      <c r="A171" s="62">
        <v>169.0</v>
      </c>
      <c r="B171" s="79" t="s">
        <v>2481</v>
      </c>
      <c r="C171" s="79" t="s">
        <v>2482</v>
      </c>
      <c r="D171" s="79" t="s">
        <v>2483</v>
      </c>
      <c r="E171" s="59"/>
      <c r="F171" s="79" t="s">
        <v>446</v>
      </c>
      <c r="G171" s="79" t="s">
        <v>138</v>
      </c>
      <c r="H171" s="79" t="s">
        <v>2484</v>
      </c>
      <c r="I171" s="96" t="s">
        <v>2485</v>
      </c>
      <c r="J171" s="79" t="s">
        <v>91</v>
      </c>
      <c r="K171" s="79" t="s">
        <v>70</v>
      </c>
      <c r="L171" s="79" t="s">
        <v>71</v>
      </c>
      <c r="M171" s="79" t="s">
        <v>2486</v>
      </c>
      <c r="N171" s="79" t="s">
        <v>73</v>
      </c>
      <c r="O171" s="79" t="s">
        <v>73</v>
      </c>
      <c r="P171" s="79" t="s">
        <v>95</v>
      </c>
      <c r="Q171" s="131" t="s">
        <v>3717</v>
      </c>
      <c r="R171" s="79" t="s">
        <v>76</v>
      </c>
      <c r="S171" s="79" t="s">
        <v>97</v>
      </c>
      <c r="T171" s="79">
        <v>2010.0</v>
      </c>
      <c r="U171" s="79" t="s">
        <v>78</v>
      </c>
      <c r="V171" s="79" t="s">
        <v>98</v>
      </c>
      <c r="W171" s="79" t="s">
        <v>2488</v>
      </c>
      <c r="X171" s="79" t="s">
        <v>155</v>
      </c>
      <c r="Y171" s="79" t="s">
        <v>139</v>
      </c>
      <c r="Z171" s="79" t="s">
        <v>2489</v>
      </c>
      <c r="AA171" s="79" t="s">
        <v>140</v>
      </c>
      <c r="AB171" s="79" t="s">
        <v>2490</v>
      </c>
      <c r="AC171" s="79">
        <v>8.5294011791E10</v>
      </c>
      <c r="AD171" s="79" t="s">
        <v>2491</v>
      </c>
      <c r="AE171" s="59"/>
      <c r="AF171" s="79" t="s">
        <v>71</v>
      </c>
      <c r="AG171" s="60"/>
      <c r="AH171" s="60"/>
      <c r="AI171" s="60"/>
      <c r="AJ171" s="60"/>
      <c r="AK171" s="60"/>
      <c r="AL171" s="60"/>
      <c r="AM171" s="60"/>
      <c r="AN171" s="60"/>
      <c r="AO171" s="60"/>
      <c r="AP171" s="60"/>
      <c r="AQ171" s="60"/>
      <c r="AR171" s="61"/>
    </row>
    <row r="172">
      <c r="A172" s="62">
        <v>170.0</v>
      </c>
      <c r="B172" s="79" t="s">
        <v>2515</v>
      </c>
      <c r="C172" s="79" t="s">
        <v>2516</v>
      </c>
      <c r="D172" s="59"/>
      <c r="E172" s="59"/>
      <c r="F172" s="79" t="s">
        <v>457</v>
      </c>
      <c r="G172" s="79" t="s">
        <v>123</v>
      </c>
      <c r="H172" s="79" t="s">
        <v>2517</v>
      </c>
      <c r="I172" s="96" t="s">
        <v>2443</v>
      </c>
      <c r="J172" s="79" t="s">
        <v>151</v>
      </c>
      <c r="K172" s="79" t="s">
        <v>110</v>
      </c>
      <c r="L172" s="69"/>
      <c r="M172" s="79" t="s">
        <v>2518</v>
      </c>
      <c r="N172" s="79" t="s">
        <v>26</v>
      </c>
      <c r="O172" s="79" t="s">
        <v>113</v>
      </c>
      <c r="P172" s="79" t="s">
        <v>153</v>
      </c>
      <c r="Q172" s="79" t="s">
        <v>2519</v>
      </c>
      <c r="R172" s="79" t="s">
        <v>146</v>
      </c>
      <c r="S172" s="79" t="s">
        <v>97</v>
      </c>
      <c r="T172" s="79">
        <v>2015.0</v>
      </c>
      <c r="U172" s="79" t="s">
        <v>78</v>
      </c>
      <c r="V172" s="79" t="s">
        <v>79</v>
      </c>
      <c r="W172" s="79" t="s">
        <v>2520</v>
      </c>
      <c r="X172" s="79" t="s">
        <v>80</v>
      </c>
      <c r="Y172" s="79" t="s">
        <v>80</v>
      </c>
      <c r="Z172" s="79" t="s">
        <v>2521</v>
      </c>
      <c r="AA172" s="79" t="s">
        <v>162</v>
      </c>
      <c r="AB172" s="69"/>
      <c r="AC172" s="69"/>
      <c r="AD172" s="69"/>
      <c r="AE172" s="59"/>
      <c r="AF172" s="79" t="s">
        <v>152</v>
      </c>
      <c r="AG172" s="60"/>
      <c r="AH172" s="60"/>
      <c r="AI172" s="60"/>
      <c r="AJ172" s="60"/>
      <c r="AK172" s="60"/>
      <c r="AL172" s="60"/>
      <c r="AM172" s="60"/>
      <c r="AN172" s="60"/>
      <c r="AO172" s="60"/>
      <c r="AP172" s="60"/>
      <c r="AQ172" s="60"/>
      <c r="AR172" s="61"/>
    </row>
    <row r="173" hidden="1">
      <c r="A173" s="62">
        <v>171.0</v>
      </c>
      <c r="B173" s="79" t="s">
        <v>2522</v>
      </c>
      <c r="C173" s="219" t="s">
        <v>2523</v>
      </c>
      <c r="D173" s="79" t="s">
        <v>2524</v>
      </c>
      <c r="E173" s="79" t="s">
        <v>2525</v>
      </c>
      <c r="F173" s="79" t="s">
        <v>344</v>
      </c>
      <c r="G173" s="79" t="s">
        <v>66</v>
      </c>
      <c r="H173" s="79" t="s">
        <v>2526</v>
      </c>
      <c r="I173" s="96" t="s">
        <v>2527</v>
      </c>
      <c r="J173" s="79" t="s">
        <v>151</v>
      </c>
      <c r="K173" s="79" t="s">
        <v>70</v>
      </c>
      <c r="L173" s="79" t="s">
        <v>71</v>
      </c>
      <c r="M173" s="79" t="s">
        <v>2528</v>
      </c>
      <c r="N173" s="79" t="s">
        <v>73</v>
      </c>
      <c r="O173" s="79" t="s">
        <v>73</v>
      </c>
      <c r="P173" s="79" t="s">
        <v>95</v>
      </c>
      <c r="Q173" s="131" t="s">
        <v>3718</v>
      </c>
      <c r="R173" s="79" t="s">
        <v>76</v>
      </c>
      <c r="S173" s="79" t="s">
        <v>97</v>
      </c>
      <c r="T173" s="79">
        <v>2016.0</v>
      </c>
      <c r="U173" s="79" t="s">
        <v>78</v>
      </c>
      <c r="V173" s="79" t="s">
        <v>79</v>
      </c>
      <c r="W173" s="79" t="s">
        <v>2520</v>
      </c>
      <c r="X173" s="79" t="s">
        <v>80</v>
      </c>
      <c r="Y173" s="79" t="s">
        <v>80</v>
      </c>
      <c r="Z173" s="79" t="s">
        <v>2530</v>
      </c>
      <c r="AA173" s="79" t="s">
        <v>162</v>
      </c>
      <c r="AB173" s="69"/>
      <c r="AC173" s="69"/>
      <c r="AD173" s="69"/>
      <c r="AE173" s="59"/>
      <c r="AF173" s="79" t="s">
        <v>71</v>
      </c>
      <c r="AG173" s="60"/>
      <c r="AH173" s="60"/>
      <c r="AI173" s="60"/>
      <c r="AJ173" s="60"/>
      <c r="AK173" s="60"/>
      <c r="AL173" s="60"/>
      <c r="AM173" s="60"/>
      <c r="AN173" s="60"/>
      <c r="AO173" s="60"/>
      <c r="AP173" s="60"/>
      <c r="AQ173" s="60"/>
      <c r="AR173" s="61"/>
    </row>
    <row r="174" hidden="1">
      <c r="A174" s="62">
        <v>172.0</v>
      </c>
      <c r="B174" s="79" t="s">
        <v>2548</v>
      </c>
      <c r="C174" s="79" t="s">
        <v>2549</v>
      </c>
      <c r="D174" s="79" t="s">
        <v>2550</v>
      </c>
      <c r="E174" s="59"/>
      <c r="F174" s="79" t="s">
        <v>453</v>
      </c>
      <c r="G174" s="79" t="s">
        <v>123</v>
      </c>
      <c r="H174" s="79" t="s">
        <v>2551</v>
      </c>
      <c r="I174" s="96" t="s">
        <v>2552</v>
      </c>
      <c r="J174" s="79" t="s">
        <v>151</v>
      </c>
      <c r="K174" s="79" t="s">
        <v>110</v>
      </c>
      <c r="L174" s="79" t="s">
        <v>152</v>
      </c>
      <c r="M174" s="79" t="s">
        <v>2553</v>
      </c>
      <c r="N174" s="79" t="s">
        <v>73</v>
      </c>
      <c r="O174" s="79" t="s">
        <v>73</v>
      </c>
      <c r="P174" s="79" t="s">
        <v>95</v>
      </c>
      <c r="Q174" s="131" t="s">
        <v>3719</v>
      </c>
      <c r="R174" s="79" t="s">
        <v>76</v>
      </c>
      <c r="S174" s="79" t="s">
        <v>77</v>
      </c>
      <c r="T174" s="69"/>
      <c r="U174" s="79" t="s">
        <v>78</v>
      </c>
      <c r="V174" s="79" t="s">
        <v>98</v>
      </c>
      <c r="W174" s="79" t="s">
        <v>2555</v>
      </c>
      <c r="X174" s="79" t="s">
        <v>80</v>
      </c>
      <c r="Y174" s="79" t="s">
        <v>80</v>
      </c>
      <c r="Z174" s="79" t="s">
        <v>2456</v>
      </c>
      <c r="AA174" s="79" t="s">
        <v>207</v>
      </c>
      <c r="AB174" s="79" t="s">
        <v>2556</v>
      </c>
      <c r="AC174" s="79" t="s">
        <v>2557</v>
      </c>
      <c r="AD174" s="79" t="s">
        <v>2558</v>
      </c>
      <c r="AE174" s="59"/>
      <c r="AF174" s="79" t="s">
        <v>152</v>
      </c>
      <c r="AG174" s="60"/>
      <c r="AH174" s="60"/>
      <c r="AI174" s="60"/>
      <c r="AJ174" s="60"/>
      <c r="AK174" s="60"/>
      <c r="AL174" s="60"/>
      <c r="AM174" s="60"/>
      <c r="AN174" s="60"/>
      <c r="AO174" s="60"/>
      <c r="AP174" s="60"/>
      <c r="AQ174" s="60"/>
      <c r="AR174" s="61"/>
    </row>
    <row r="175" hidden="1">
      <c r="A175" s="62">
        <v>173.0</v>
      </c>
      <c r="B175" s="79" t="s">
        <v>2596</v>
      </c>
      <c r="C175" s="79" t="s">
        <v>2597</v>
      </c>
      <c r="D175" s="79" t="s">
        <v>2598</v>
      </c>
      <c r="E175" s="59"/>
      <c r="F175" s="79" t="s">
        <v>341</v>
      </c>
      <c r="G175" s="79" t="s">
        <v>131</v>
      </c>
      <c r="H175" s="79" t="s">
        <v>2597</v>
      </c>
      <c r="I175" s="79" t="s">
        <v>2597</v>
      </c>
      <c r="J175" s="79" t="s">
        <v>151</v>
      </c>
      <c r="K175" s="79" t="s">
        <v>70</v>
      </c>
      <c r="L175" s="79" t="s">
        <v>71</v>
      </c>
      <c r="M175" s="79" t="s">
        <v>1114</v>
      </c>
      <c r="N175" s="79" t="s">
        <v>73</v>
      </c>
      <c r="O175" s="79" t="s">
        <v>73</v>
      </c>
      <c r="P175" s="79" t="s">
        <v>74</v>
      </c>
      <c r="Q175" s="131" t="s">
        <v>3720</v>
      </c>
      <c r="R175" s="79" t="s">
        <v>76</v>
      </c>
      <c r="S175" s="79" t="s">
        <v>97</v>
      </c>
      <c r="T175" s="69"/>
      <c r="U175" s="79" t="s">
        <v>78</v>
      </c>
      <c r="V175" s="79" t="s">
        <v>98</v>
      </c>
      <c r="W175" s="69"/>
      <c r="X175" s="79" t="s">
        <v>148</v>
      </c>
      <c r="Y175" s="79" t="s">
        <v>139</v>
      </c>
      <c r="Z175" s="79" t="s">
        <v>2590</v>
      </c>
      <c r="AA175" s="79" t="s">
        <v>162</v>
      </c>
      <c r="AB175" s="79" t="s">
        <v>2584</v>
      </c>
      <c r="AC175" s="79">
        <v>8.5222063396E10</v>
      </c>
      <c r="AD175" s="79" t="s">
        <v>2579</v>
      </c>
      <c r="AE175" s="59"/>
      <c r="AF175" s="79" t="s">
        <v>1268</v>
      </c>
      <c r="AG175" s="60"/>
      <c r="AH175" s="60"/>
      <c r="AI175" s="60"/>
      <c r="AJ175" s="60"/>
      <c r="AK175" s="60"/>
      <c r="AL175" s="60"/>
      <c r="AM175" s="60"/>
      <c r="AN175" s="60"/>
      <c r="AO175" s="60"/>
      <c r="AP175" s="60"/>
      <c r="AQ175" s="60"/>
      <c r="AR175" s="61"/>
    </row>
    <row r="176" hidden="1">
      <c r="A176" s="62">
        <v>174.0</v>
      </c>
      <c r="B176" s="79" t="s">
        <v>2600</v>
      </c>
      <c r="C176" s="176" t="s">
        <v>2601</v>
      </c>
      <c r="D176" s="79" t="s">
        <v>2602</v>
      </c>
      <c r="E176" s="94"/>
      <c r="F176" s="79" t="s">
        <v>344</v>
      </c>
      <c r="G176" s="79" t="s">
        <v>123</v>
      </c>
      <c r="H176" s="79" t="s">
        <v>2603</v>
      </c>
      <c r="I176" s="96" t="s">
        <v>2604</v>
      </c>
      <c r="J176" s="79" t="s">
        <v>151</v>
      </c>
      <c r="K176" s="79" t="s">
        <v>110</v>
      </c>
      <c r="L176" s="79" t="s">
        <v>71</v>
      </c>
      <c r="M176" s="79" t="s">
        <v>2605</v>
      </c>
      <c r="N176" s="79" t="s">
        <v>73</v>
      </c>
      <c r="O176" s="79" t="s">
        <v>73</v>
      </c>
      <c r="P176" s="67" t="s">
        <v>95</v>
      </c>
      <c r="Q176" s="131" t="s">
        <v>3721</v>
      </c>
      <c r="R176" s="79" t="s">
        <v>76</v>
      </c>
      <c r="S176" s="79" t="s">
        <v>97</v>
      </c>
      <c r="T176" s="69"/>
      <c r="U176" s="79" t="s">
        <v>78</v>
      </c>
      <c r="V176" s="79" t="s">
        <v>98</v>
      </c>
      <c r="W176" s="79" t="s">
        <v>970</v>
      </c>
      <c r="X176" s="79" t="s">
        <v>80</v>
      </c>
      <c r="Y176" s="79" t="s">
        <v>139</v>
      </c>
      <c r="Z176" s="79" t="s">
        <v>2607</v>
      </c>
      <c r="AA176" s="79" t="s">
        <v>162</v>
      </c>
      <c r="AB176" s="79" t="s">
        <v>2608</v>
      </c>
      <c r="AC176" s="79">
        <v>8.5721324997E10</v>
      </c>
      <c r="AD176" s="69"/>
      <c r="AE176" s="59"/>
      <c r="AF176" s="79" t="s">
        <v>71</v>
      </c>
      <c r="AG176" s="60"/>
      <c r="AH176" s="60"/>
      <c r="AI176" s="60"/>
      <c r="AJ176" s="60"/>
      <c r="AK176" s="60"/>
      <c r="AL176" s="60"/>
      <c r="AM176" s="60"/>
      <c r="AN176" s="60"/>
      <c r="AO176" s="60"/>
      <c r="AP176" s="60"/>
      <c r="AQ176" s="60"/>
      <c r="AR176" s="61"/>
    </row>
    <row r="177" hidden="1">
      <c r="A177" s="62">
        <v>175.0</v>
      </c>
      <c r="B177" s="79" t="s">
        <v>2634</v>
      </c>
      <c r="C177" s="96" t="s">
        <v>2635</v>
      </c>
      <c r="D177" s="79" t="s">
        <v>2628</v>
      </c>
      <c r="E177" s="59"/>
      <c r="F177" s="79" t="s">
        <v>165</v>
      </c>
      <c r="G177" s="79" t="s">
        <v>123</v>
      </c>
      <c r="H177" s="79" t="s">
        <v>2636</v>
      </c>
      <c r="I177" s="79" t="s">
        <v>2637</v>
      </c>
      <c r="J177" s="79" t="s">
        <v>91</v>
      </c>
      <c r="K177" s="79" t="s">
        <v>110</v>
      </c>
      <c r="L177" s="79" t="s">
        <v>101</v>
      </c>
      <c r="M177" s="79" t="s">
        <v>2638</v>
      </c>
      <c r="N177" s="79" t="s">
        <v>73</v>
      </c>
      <c r="O177" s="79" t="s">
        <v>73</v>
      </c>
      <c r="P177" s="79" t="s">
        <v>95</v>
      </c>
      <c r="Q177" s="131" t="s">
        <v>3722</v>
      </c>
      <c r="R177" s="79" t="s">
        <v>76</v>
      </c>
      <c r="S177" s="79" t="s">
        <v>97</v>
      </c>
      <c r="T177" s="69"/>
      <c r="U177" s="79" t="s">
        <v>78</v>
      </c>
      <c r="V177" s="79" t="s">
        <v>79</v>
      </c>
      <c r="W177" s="79" t="s">
        <v>80</v>
      </c>
      <c r="X177" s="79" t="s">
        <v>80</v>
      </c>
      <c r="Y177" s="79" t="s">
        <v>80</v>
      </c>
      <c r="Z177" s="79" t="s">
        <v>2489</v>
      </c>
      <c r="AA177" s="79" t="s">
        <v>162</v>
      </c>
      <c r="AB177" s="79" t="s">
        <v>2632</v>
      </c>
      <c r="AC177" s="79">
        <v>8.2118454036E10</v>
      </c>
      <c r="AD177" s="79" t="s">
        <v>2633</v>
      </c>
      <c r="AE177" s="59"/>
      <c r="AF177" s="79" t="s">
        <v>566</v>
      </c>
      <c r="AG177" s="60"/>
      <c r="AH177" s="60"/>
      <c r="AI177" s="60"/>
      <c r="AJ177" s="60"/>
      <c r="AK177" s="60"/>
      <c r="AL177" s="60"/>
      <c r="AM177" s="60"/>
      <c r="AN177" s="60"/>
      <c r="AO177" s="60"/>
      <c r="AP177" s="60"/>
      <c r="AQ177" s="60"/>
      <c r="AR177" s="61"/>
    </row>
    <row r="178" hidden="1">
      <c r="A178" s="62">
        <v>176.0</v>
      </c>
      <c r="B178" s="79" t="s">
        <v>2657</v>
      </c>
      <c r="C178" s="96" t="s">
        <v>2658</v>
      </c>
      <c r="D178" s="96" t="s">
        <v>2659</v>
      </c>
      <c r="E178" s="59"/>
      <c r="F178" s="79" t="s">
        <v>344</v>
      </c>
      <c r="G178" s="79" t="s">
        <v>123</v>
      </c>
      <c r="H178" s="96" t="s">
        <v>2660</v>
      </c>
      <c r="I178" s="96" t="s">
        <v>2661</v>
      </c>
      <c r="J178" s="79" t="s">
        <v>151</v>
      </c>
      <c r="K178" s="79" t="s">
        <v>110</v>
      </c>
      <c r="L178" s="79" t="s">
        <v>152</v>
      </c>
      <c r="M178" s="79" t="s">
        <v>2662</v>
      </c>
      <c r="N178" s="79" t="s">
        <v>73</v>
      </c>
      <c r="O178" s="79" t="s">
        <v>73</v>
      </c>
      <c r="P178" s="79" t="s">
        <v>95</v>
      </c>
      <c r="Q178" s="223" t="s">
        <v>3723</v>
      </c>
      <c r="R178" s="79" t="s">
        <v>76</v>
      </c>
      <c r="S178" s="79" t="s">
        <v>97</v>
      </c>
      <c r="T178" s="69"/>
      <c r="U178" s="79" t="s">
        <v>78</v>
      </c>
      <c r="V178" s="69"/>
      <c r="W178" s="69"/>
      <c r="X178" s="69"/>
      <c r="Y178" s="69"/>
      <c r="Z178" s="79" t="s">
        <v>2664</v>
      </c>
      <c r="AA178" s="79" t="s">
        <v>162</v>
      </c>
      <c r="AB178" s="131" t="s">
        <v>3724</v>
      </c>
      <c r="AC178" s="79">
        <v>8.812229285E9</v>
      </c>
      <c r="AD178" s="79" t="s">
        <v>2666</v>
      </c>
      <c r="AE178" s="59"/>
      <c r="AF178" s="79" t="s">
        <v>152</v>
      </c>
      <c r="AG178" s="60"/>
      <c r="AH178" s="60"/>
      <c r="AI178" s="60"/>
      <c r="AJ178" s="60"/>
      <c r="AK178" s="60"/>
      <c r="AL178" s="60"/>
      <c r="AM178" s="60"/>
      <c r="AN178" s="60"/>
      <c r="AO178" s="60"/>
      <c r="AP178" s="60"/>
      <c r="AQ178" s="60"/>
      <c r="AR178" s="61"/>
    </row>
    <row r="179" hidden="1">
      <c r="A179" s="62">
        <v>177.0</v>
      </c>
      <c r="B179" s="96" t="s">
        <v>2678</v>
      </c>
      <c r="C179" s="224" t="s">
        <v>2679</v>
      </c>
      <c r="D179" s="225" t="s">
        <v>2680</v>
      </c>
      <c r="E179" s="59"/>
      <c r="F179" s="67" t="s">
        <v>344</v>
      </c>
      <c r="G179" s="79" t="s">
        <v>123</v>
      </c>
      <c r="H179" s="79" t="s">
        <v>2681</v>
      </c>
      <c r="I179" s="79" t="s">
        <v>2681</v>
      </c>
      <c r="J179" s="79" t="s">
        <v>69</v>
      </c>
      <c r="K179" s="79" t="s">
        <v>110</v>
      </c>
      <c r="L179" s="79" t="s">
        <v>71</v>
      </c>
      <c r="M179" s="79" t="s">
        <v>2682</v>
      </c>
      <c r="N179" s="79" t="s">
        <v>73</v>
      </c>
      <c r="O179" s="79" t="s">
        <v>73</v>
      </c>
      <c r="P179" s="79" t="s">
        <v>95</v>
      </c>
      <c r="Q179" s="131" t="s">
        <v>3725</v>
      </c>
      <c r="R179" s="79" t="s">
        <v>76</v>
      </c>
      <c r="S179" s="79" t="s">
        <v>97</v>
      </c>
      <c r="T179" s="79">
        <v>2018.0</v>
      </c>
      <c r="U179" s="79" t="s">
        <v>78</v>
      </c>
      <c r="V179" s="67" t="s">
        <v>79</v>
      </c>
      <c r="W179" s="79" t="s">
        <v>2684</v>
      </c>
      <c r="X179" s="67" t="s">
        <v>80</v>
      </c>
      <c r="Y179" s="79" t="s">
        <v>80</v>
      </c>
      <c r="Z179" s="68" t="s">
        <v>2675</v>
      </c>
      <c r="AA179" s="79" t="s">
        <v>162</v>
      </c>
      <c r="AB179" s="79" t="s">
        <v>2608</v>
      </c>
      <c r="AC179" s="79">
        <v>8.5721324997E10</v>
      </c>
      <c r="AD179" s="69"/>
      <c r="AE179" s="59"/>
      <c r="AF179" s="68" t="s">
        <v>566</v>
      </c>
      <c r="AG179" s="60"/>
      <c r="AH179" s="60"/>
      <c r="AI179" s="60"/>
      <c r="AJ179" s="60"/>
      <c r="AK179" s="60"/>
      <c r="AL179" s="60"/>
      <c r="AM179" s="60"/>
      <c r="AN179" s="60"/>
      <c r="AO179" s="60"/>
      <c r="AP179" s="60"/>
      <c r="AQ179" s="60"/>
      <c r="AR179" s="61"/>
    </row>
    <row r="180">
      <c r="A180" s="62">
        <v>178.0</v>
      </c>
      <c r="B180" s="79" t="s">
        <v>2411</v>
      </c>
      <c r="C180" s="79" t="s">
        <v>2412</v>
      </c>
      <c r="D180" s="79" t="s">
        <v>2413</v>
      </c>
      <c r="E180" s="131" t="s">
        <v>3726</v>
      </c>
      <c r="F180" s="79" t="s">
        <v>344</v>
      </c>
      <c r="G180" s="79" t="s">
        <v>66</v>
      </c>
      <c r="H180" s="79" t="s">
        <v>2415</v>
      </c>
      <c r="I180" s="96" t="s">
        <v>2416</v>
      </c>
      <c r="J180" s="79" t="s">
        <v>158</v>
      </c>
      <c r="K180" s="79" t="s">
        <v>70</v>
      </c>
      <c r="L180" s="79" t="s">
        <v>101</v>
      </c>
      <c r="M180" s="79" t="s">
        <v>2693</v>
      </c>
      <c r="N180" s="79" t="s">
        <v>93</v>
      </c>
      <c r="O180" s="79" t="s">
        <v>113</v>
      </c>
      <c r="P180" s="79" t="s">
        <v>153</v>
      </c>
      <c r="Q180" s="79" t="s">
        <v>2418</v>
      </c>
      <c r="R180" s="79" t="s">
        <v>146</v>
      </c>
      <c r="S180" s="79" t="s">
        <v>77</v>
      </c>
      <c r="T180" s="79">
        <v>2023.0</v>
      </c>
      <c r="U180" s="79" t="s">
        <v>78</v>
      </c>
      <c r="V180" s="79" t="s">
        <v>98</v>
      </c>
      <c r="W180" s="79" t="s">
        <v>2419</v>
      </c>
      <c r="X180" s="79" t="s">
        <v>148</v>
      </c>
      <c r="Y180" s="79" t="s">
        <v>139</v>
      </c>
      <c r="Z180" s="79" t="s">
        <v>2420</v>
      </c>
      <c r="AA180" s="79" t="s">
        <v>162</v>
      </c>
      <c r="AB180" s="79" t="s">
        <v>2421</v>
      </c>
      <c r="AC180" s="79">
        <v>8.129487531E9</v>
      </c>
      <c r="AD180" s="79" t="s">
        <v>2422</v>
      </c>
      <c r="AE180" s="79">
        <v>8.0</v>
      </c>
      <c r="AF180" s="79" t="s">
        <v>1268</v>
      </c>
      <c r="AG180" s="60"/>
      <c r="AH180" s="60"/>
      <c r="AI180" s="60"/>
      <c r="AJ180" s="60"/>
      <c r="AK180" s="60"/>
      <c r="AL180" s="60"/>
      <c r="AM180" s="60"/>
      <c r="AN180" s="60"/>
      <c r="AO180" s="60"/>
      <c r="AP180" s="60"/>
      <c r="AQ180" s="60"/>
      <c r="AR180" s="61"/>
    </row>
    <row r="181">
      <c r="A181" s="62">
        <v>179.0</v>
      </c>
      <c r="B181" s="79" t="s">
        <v>2515</v>
      </c>
      <c r="C181" s="79" t="s">
        <v>2516</v>
      </c>
      <c r="D181" s="59"/>
      <c r="E181" s="59"/>
      <c r="F181" s="79" t="s">
        <v>457</v>
      </c>
      <c r="G181" s="79" t="s">
        <v>123</v>
      </c>
      <c r="H181" s="79" t="s">
        <v>2517</v>
      </c>
      <c r="I181" s="96" t="s">
        <v>2443</v>
      </c>
      <c r="J181" s="79" t="s">
        <v>151</v>
      </c>
      <c r="K181" s="79" t="s">
        <v>110</v>
      </c>
      <c r="L181" s="69"/>
      <c r="M181" s="79" t="s">
        <v>2707</v>
      </c>
      <c r="N181" s="79" t="s">
        <v>26</v>
      </c>
      <c r="O181" s="79" t="s">
        <v>113</v>
      </c>
      <c r="P181" s="79" t="s">
        <v>153</v>
      </c>
      <c r="Q181" s="79" t="s">
        <v>2519</v>
      </c>
      <c r="R181" s="79" t="s">
        <v>146</v>
      </c>
      <c r="S181" s="79" t="s">
        <v>97</v>
      </c>
      <c r="T181" s="79">
        <v>2015.0</v>
      </c>
      <c r="U181" s="79" t="s">
        <v>78</v>
      </c>
      <c r="V181" s="79" t="s">
        <v>79</v>
      </c>
      <c r="W181" s="79" t="s">
        <v>2520</v>
      </c>
      <c r="X181" s="79" t="s">
        <v>80</v>
      </c>
      <c r="Y181" s="79" t="s">
        <v>80</v>
      </c>
      <c r="Z181" s="79" t="s">
        <v>2521</v>
      </c>
      <c r="AA181" s="79" t="s">
        <v>162</v>
      </c>
      <c r="AB181" s="69"/>
      <c r="AC181" s="69"/>
      <c r="AD181" s="69"/>
      <c r="AE181" s="59"/>
      <c r="AF181" s="79" t="s">
        <v>152</v>
      </c>
      <c r="AG181" s="60"/>
      <c r="AH181" s="60"/>
      <c r="AI181" s="60"/>
      <c r="AJ181" s="60"/>
      <c r="AK181" s="60"/>
      <c r="AL181" s="60"/>
      <c r="AM181" s="60"/>
      <c r="AN181" s="60"/>
      <c r="AO181" s="60"/>
      <c r="AP181" s="60"/>
      <c r="AQ181" s="60"/>
      <c r="AR181" s="61"/>
    </row>
    <row r="182">
      <c r="A182" s="62">
        <v>180.0</v>
      </c>
      <c r="B182" s="79" t="s">
        <v>2651</v>
      </c>
      <c r="C182" s="96" t="s">
        <v>2652</v>
      </c>
      <c r="D182" s="79" t="s">
        <v>2653</v>
      </c>
      <c r="E182" s="59"/>
      <c r="F182" s="79" t="s">
        <v>165</v>
      </c>
      <c r="G182" s="79" t="s">
        <v>123</v>
      </c>
      <c r="H182" s="79" t="s">
        <v>2654</v>
      </c>
      <c r="I182" s="96" t="s">
        <v>2655</v>
      </c>
      <c r="J182" s="79" t="s">
        <v>91</v>
      </c>
      <c r="K182" s="79" t="s">
        <v>110</v>
      </c>
      <c r="L182" s="79" t="s">
        <v>101</v>
      </c>
      <c r="M182" s="79" t="s">
        <v>2108</v>
      </c>
      <c r="N182" s="79" t="s">
        <v>26</v>
      </c>
      <c r="O182" s="79" t="s">
        <v>113</v>
      </c>
      <c r="P182" s="79" t="s">
        <v>95</v>
      </c>
      <c r="Q182" s="131" t="s">
        <v>3727</v>
      </c>
      <c r="R182" s="79" t="s">
        <v>76</v>
      </c>
      <c r="S182" s="79" t="s">
        <v>97</v>
      </c>
      <c r="T182" s="69"/>
      <c r="U182" s="79" t="s">
        <v>78</v>
      </c>
      <c r="V182" s="79" t="s">
        <v>79</v>
      </c>
      <c r="W182" s="79" t="s">
        <v>80</v>
      </c>
      <c r="X182" s="79" t="s">
        <v>80</v>
      </c>
      <c r="Y182" s="79" t="s">
        <v>80</v>
      </c>
      <c r="Z182" s="79" t="s">
        <v>2489</v>
      </c>
      <c r="AA182" s="79" t="s">
        <v>205</v>
      </c>
      <c r="AB182" s="79" t="s">
        <v>2632</v>
      </c>
      <c r="AC182" s="79">
        <v>8.2118454036E10</v>
      </c>
      <c r="AD182" s="79" t="s">
        <v>2633</v>
      </c>
      <c r="AE182" s="59"/>
      <c r="AF182" s="79" t="s">
        <v>566</v>
      </c>
      <c r="AG182" s="60"/>
      <c r="AH182" s="60"/>
      <c r="AI182" s="60"/>
      <c r="AJ182" s="60"/>
      <c r="AK182" s="60"/>
      <c r="AL182" s="60"/>
      <c r="AM182" s="60"/>
      <c r="AN182" s="60"/>
      <c r="AO182" s="60"/>
      <c r="AP182" s="60"/>
      <c r="AQ182" s="60"/>
      <c r="AR182" s="61"/>
    </row>
    <row r="183">
      <c r="A183" s="62">
        <v>181.0</v>
      </c>
      <c r="B183" s="228" t="s">
        <v>2411</v>
      </c>
      <c r="C183" s="228" t="s">
        <v>2412</v>
      </c>
      <c r="D183" s="229" t="s">
        <v>2413</v>
      </c>
      <c r="E183" s="230" t="s">
        <v>3728</v>
      </c>
      <c r="F183" s="229" t="s">
        <v>344</v>
      </c>
      <c r="G183" s="229" t="s">
        <v>66</v>
      </c>
      <c r="H183" s="229" t="s">
        <v>2415</v>
      </c>
      <c r="I183" s="228" t="s">
        <v>2416</v>
      </c>
      <c r="J183" s="229" t="s">
        <v>158</v>
      </c>
      <c r="K183" s="229" t="s">
        <v>70</v>
      </c>
      <c r="L183" s="229" t="s">
        <v>101</v>
      </c>
      <c r="M183" s="229" t="s">
        <v>2737</v>
      </c>
      <c r="N183" s="229" t="s">
        <v>93</v>
      </c>
      <c r="O183" s="229" t="s">
        <v>113</v>
      </c>
      <c r="P183" s="229" t="s">
        <v>153</v>
      </c>
      <c r="Q183" s="229" t="s">
        <v>2418</v>
      </c>
      <c r="R183" s="229" t="s">
        <v>146</v>
      </c>
      <c r="S183" s="229" t="s">
        <v>77</v>
      </c>
      <c r="T183" s="229">
        <v>2023.0</v>
      </c>
      <c r="U183" s="229" t="s">
        <v>78</v>
      </c>
      <c r="V183" s="229" t="s">
        <v>98</v>
      </c>
      <c r="W183" s="229" t="s">
        <v>2419</v>
      </c>
      <c r="X183" s="229" t="s">
        <v>148</v>
      </c>
      <c r="Y183" s="229" t="s">
        <v>139</v>
      </c>
      <c r="Z183" s="229" t="s">
        <v>2420</v>
      </c>
      <c r="AA183" s="229" t="s">
        <v>162</v>
      </c>
      <c r="AB183" s="229" t="s">
        <v>2738</v>
      </c>
      <c r="AC183" s="229">
        <v>8.1910001329E10</v>
      </c>
      <c r="AD183" s="229" t="s">
        <v>2739</v>
      </c>
      <c r="AE183" s="229">
        <v>8.0</v>
      </c>
      <c r="AF183" s="229" t="s">
        <v>1268</v>
      </c>
      <c r="AG183" s="60"/>
      <c r="AH183" s="61"/>
      <c r="AI183" s="61"/>
      <c r="AJ183" s="61"/>
      <c r="AK183" s="61"/>
      <c r="AL183" s="61"/>
      <c r="AM183" s="61"/>
      <c r="AN183" s="61"/>
      <c r="AO183" s="61"/>
      <c r="AP183" s="61"/>
      <c r="AQ183" s="61"/>
      <c r="AR183" s="61"/>
    </row>
    <row r="184">
      <c r="A184" s="62">
        <v>182.0</v>
      </c>
      <c r="B184" s="228" t="s">
        <v>2626</v>
      </c>
      <c r="C184" s="228" t="s">
        <v>2627</v>
      </c>
      <c r="D184" s="229" t="s">
        <v>2628</v>
      </c>
      <c r="E184" s="59"/>
      <c r="F184" s="229" t="s">
        <v>165</v>
      </c>
      <c r="G184" s="229" t="s">
        <v>66</v>
      </c>
      <c r="H184" s="229" t="s">
        <v>2629</v>
      </c>
      <c r="I184" s="228" t="s">
        <v>2630</v>
      </c>
      <c r="J184" s="229" t="s">
        <v>91</v>
      </c>
      <c r="K184" s="229" t="s">
        <v>70</v>
      </c>
      <c r="L184" s="229" t="s">
        <v>152</v>
      </c>
      <c r="M184" s="229" t="s">
        <v>2784</v>
      </c>
      <c r="N184" s="229" t="s">
        <v>26</v>
      </c>
      <c r="O184" s="229" t="s">
        <v>113</v>
      </c>
      <c r="P184" s="229" t="s">
        <v>95</v>
      </c>
      <c r="Q184" s="233" t="s">
        <v>3729</v>
      </c>
      <c r="R184" s="229" t="s">
        <v>76</v>
      </c>
      <c r="S184" s="229" t="s">
        <v>97</v>
      </c>
      <c r="T184" s="69"/>
      <c r="U184" s="229" t="s">
        <v>78</v>
      </c>
      <c r="V184" s="229" t="s">
        <v>79</v>
      </c>
      <c r="W184" s="229" t="s">
        <v>80</v>
      </c>
      <c r="X184" s="229" t="s">
        <v>80</v>
      </c>
      <c r="Y184" s="229" t="s">
        <v>80</v>
      </c>
      <c r="Z184" s="229" t="s">
        <v>2489</v>
      </c>
      <c r="AA184" s="229" t="s">
        <v>140</v>
      </c>
      <c r="AB184" s="69"/>
      <c r="AC184" s="69"/>
      <c r="AD184" s="69"/>
      <c r="AE184" s="59"/>
      <c r="AF184" s="229" t="s">
        <v>1268</v>
      </c>
      <c r="AG184" s="60"/>
      <c r="AH184" s="61"/>
      <c r="AI184" s="61"/>
      <c r="AJ184" s="61"/>
      <c r="AK184" s="61"/>
      <c r="AL184" s="61"/>
      <c r="AM184" s="61"/>
      <c r="AN184" s="61"/>
      <c r="AO184" s="61"/>
      <c r="AP184" s="61"/>
      <c r="AQ184" s="61"/>
      <c r="AR184" s="61"/>
    </row>
    <row r="185">
      <c r="A185" s="62">
        <v>183.0</v>
      </c>
      <c r="B185" s="228" t="s">
        <v>2793</v>
      </c>
      <c r="C185" s="228" t="s">
        <v>2794</v>
      </c>
      <c r="D185" s="228" t="s">
        <v>2795</v>
      </c>
      <c r="E185" s="59"/>
      <c r="F185" s="69"/>
      <c r="G185" s="229" t="s">
        <v>123</v>
      </c>
      <c r="H185" s="229" t="s">
        <v>2796</v>
      </c>
      <c r="I185" s="228" t="s">
        <v>2797</v>
      </c>
      <c r="J185" s="229" t="s">
        <v>151</v>
      </c>
      <c r="K185" s="229" t="s">
        <v>110</v>
      </c>
      <c r="L185" s="229" t="s">
        <v>111</v>
      </c>
      <c r="M185" s="229" t="s">
        <v>2798</v>
      </c>
      <c r="N185" s="229" t="s">
        <v>26</v>
      </c>
      <c r="O185" s="229" t="s">
        <v>113</v>
      </c>
      <c r="P185" s="229" t="s">
        <v>145</v>
      </c>
      <c r="Q185" s="230" t="s">
        <v>3730</v>
      </c>
      <c r="R185" s="229" t="s">
        <v>76</v>
      </c>
      <c r="S185" s="229" t="s">
        <v>97</v>
      </c>
      <c r="T185" s="69"/>
      <c r="U185" s="229" t="s">
        <v>78</v>
      </c>
      <c r="V185" s="229" t="s">
        <v>79</v>
      </c>
      <c r="W185" s="229" t="s">
        <v>2520</v>
      </c>
      <c r="X185" s="229" t="s">
        <v>80</v>
      </c>
      <c r="Y185" s="69"/>
      <c r="Z185" s="229" t="s">
        <v>2800</v>
      </c>
      <c r="AA185" s="69"/>
      <c r="AB185" s="228" t="s">
        <v>2801</v>
      </c>
      <c r="AC185" s="228">
        <v>8.7824441163E10</v>
      </c>
      <c r="AD185" s="228" t="s">
        <v>2802</v>
      </c>
      <c r="AE185" s="59"/>
      <c r="AF185" s="229" t="s">
        <v>111</v>
      </c>
      <c r="AG185" s="60"/>
      <c r="AH185" s="61"/>
      <c r="AI185" s="61"/>
      <c r="AJ185" s="61"/>
      <c r="AK185" s="61"/>
      <c r="AL185" s="61"/>
      <c r="AM185" s="61"/>
      <c r="AN185" s="61"/>
      <c r="AO185" s="61"/>
      <c r="AP185" s="61"/>
      <c r="AQ185" s="61"/>
      <c r="AR185" s="61"/>
    </row>
    <row r="186">
      <c r="A186" s="62">
        <v>184.0</v>
      </c>
      <c r="B186" s="228" t="s">
        <v>2803</v>
      </c>
      <c r="C186" s="228" t="s">
        <v>2804</v>
      </c>
      <c r="D186" s="59"/>
      <c r="E186" s="59"/>
      <c r="F186" s="69"/>
      <c r="G186" s="229" t="s">
        <v>66</v>
      </c>
      <c r="H186" s="229" t="s">
        <v>2805</v>
      </c>
      <c r="I186" s="228" t="s">
        <v>2806</v>
      </c>
      <c r="J186" s="229" t="s">
        <v>91</v>
      </c>
      <c r="K186" s="229" t="s">
        <v>110</v>
      </c>
      <c r="L186" s="229" t="s">
        <v>152</v>
      </c>
      <c r="M186" s="229" t="s">
        <v>2807</v>
      </c>
      <c r="N186" s="229" t="s">
        <v>26</v>
      </c>
      <c r="O186" s="229" t="s">
        <v>113</v>
      </c>
      <c r="P186" s="229" t="s">
        <v>153</v>
      </c>
      <c r="Q186" s="69"/>
      <c r="R186" s="229" t="s">
        <v>146</v>
      </c>
      <c r="S186" s="229" t="s">
        <v>97</v>
      </c>
      <c r="T186" s="69"/>
      <c r="U186" s="229" t="s">
        <v>78</v>
      </c>
      <c r="V186" s="229" t="s">
        <v>79</v>
      </c>
      <c r="W186" s="229" t="s">
        <v>2520</v>
      </c>
      <c r="X186" s="229" t="s">
        <v>80</v>
      </c>
      <c r="Y186" s="69"/>
      <c r="Z186" s="229" t="s">
        <v>2808</v>
      </c>
      <c r="AA186" s="69"/>
      <c r="AB186" s="69"/>
      <c r="AC186" s="69"/>
      <c r="AD186" s="69"/>
      <c r="AE186" s="59"/>
      <c r="AF186" s="229" t="s">
        <v>152</v>
      </c>
      <c r="AG186" s="60"/>
      <c r="AH186" s="61"/>
      <c r="AI186" s="61"/>
      <c r="AJ186" s="61"/>
      <c r="AK186" s="61"/>
      <c r="AL186" s="61"/>
      <c r="AM186" s="61"/>
      <c r="AN186" s="61"/>
      <c r="AO186" s="61"/>
      <c r="AP186" s="61"/>
      <c r="AQ186" s="61"/>
      <c r="AR186" s="61"/>
    </row>
    <row r="187">
      <c r="A187" s="62">
        <v>185.0</v>
      </c>
      <c r="B187" s="228" t="s">
        <v>2809</v>
      </c>
      <c r="C187" s="228" t="s">
        <v>2810</v>
      </c>
      <c r="D187" s="59"/>
      <c r="E187" s="59"/>
      <c r="F187" s="69"/>
      <c r="G187" s="229" t="s">
        <v>66</v>
      </c>
      <c r="H187" s="229" t="s">
        <v>2811</v>
      </c>
      <c r="I187" s="228" t="s">
        <v>2812</v>
      </c>
      <c r="J187" s="229" t="s">
        <v>91</v>
      </c>
      <c r="K187" s="229" t="s">
        <v>70</v>
      </c>
      <c r="L187" s="229" t="s">
        <v>71</v>
      </c>
      <c r="M187" s="229" t="s">
        <v>2813</v>
      </c>
      <c r="N187" s="229" t="s">
        <v>26</v>
      </c>
      <c r="O187" s="229" t="s">
        <v>113</v>
      </c>
      <c r="P187" s="229" t="s">
        <v>153</v>
      </c>
      <c r="Q187" s="69"/>
      <c r="R187" s="229" t="s">
        <v>146</v>
      </c>
      <c r="S187" s="229" t="s">
        <v>97</v>
      </c>
      <c r="T187" s="69"/>
      <c r="U187" s="229" t="s">
        <v>78</v>
      </c>
      <c r="V187" s="229" t="s">
        <v>79</v>
      </c>
      <c r="W187" s="229" t="s">
        <v>2520</v>
      </c>
      <c r="X187" s="229" t="s">
        <v>80</v>
      </c>
      <c r="Y187" s="69"/>
      <c r="Z187" s="229" t="s">
        <v>2814</v>
      </c>
      <c r="AA187" s="69"/>
      <c r="AB187" s="69"/>
      <c r="AC187" s="69"/>
      <c r="AD187" s="69"/>
      <c r="AE187" s="59"/>
      <c r="AF187" s="229" t="s">
        <v>71</v>
      </c>
      <c r="AG187" s="60"/>
      <c r="AH187" s="61"/>
      <c r="AI187" s="61"/>
      <c r="AJ187" s="61"/>
      <c r="AK187" s="61"/>
      <c r="AL187" s="61"/>
      <c r="AM187" s="61"/>
      <c r="AN187" s="61"/>
      <c r="AO187" s="61"/>
      <c r="AP187" s="61"/>
      <c r="AQ187" s="61"/>
      <c r="AR187" s="61"/>
    </row>
    <row r="188">
      <c r="A188" s="62">
        <v>186.0</v>
      </c>
      <c r="B188" s="228" t="s">
        <v>2815</v>
      </c>
      <c r="C188" s="69"/>
      <c r="D188" s="59"/>
      <c r="E188" s="59"/>
      <c r="F188" s="69"/>
      <c r="G188" s="288" t="s">
        <v>131</v>
      </c>
      <c r="H188" s="69"/>
      <c r="I188" s="200"/>
      <c r="J188" s="229" t="s">
        <v>151</v>
      </c>
      <c r="K188" s="229" t="s">
        <v>110</v>
      </c>
      <c r="L188" s="229" t="s">
        <v>101</v>
      </c>
      <c r="M188" s="229" t="s">
        <v>2816</v>
      </c>
      <c r="N188" s="229" t="s">
        <v>26</v>
      </c>
      <c r="O188" s="229" t="s">
        <v>113</v>
      </c>
      <c r="P188" s="229" t="s">
        <v>153</v>
      </c>
      <c r="Q188" s="69"/>
      <c r="R188" s="229" t="s">
        <v>146</v>
      </c>
      <c r="S188" s="229" t="s">
        <v>97</v>
      </c>
      <c r="T188" s="69"/>
      <c r="U188" s="229" t="s">
        <v>78</v>
      </c>
      <c r="V188" s="229" t="s">
        <v>79</v>
      </c>
      <c r="W188" s="229" t="s">
        <v>2520</v>
      </c>
      <c r="X188" s="229" t="s">
        <v>80</v>
      </c>
      <c r="Y188" s="69"/>
      <c r="Z188" s="229" t="s">
        <v>2817</v>
      </c>
      <c r="AA188" s="69"/>
      <c r="AB188" s="69"/>
      <c r="AC188" s="69"/>
      <c r="AD188" s="69"/>
      <c r="AE188" s="59"/>
      <c r="AF188" s="229" t="s">
        <v>71</v>
      </c>
      <c r="AG188" s="60"/>
      <c r="AH188" s="61"/>
      <c r="AI188" s="61"/>
      <c r="AJ188" s="61"/>
      <c r="AK188" s="61"/>
      <c r="AL188" s="61"/>
      <c r="AM188" s="61"/>
      <c r="AN188" s="61"/>
      <c r="AO188" s="61"/>
      <c r="AP188" s="61"/>
      <c r="AQ188" s="61"/>
      <c r="AR188" s="61"/>
    </row>
    <row r="189" hidden="1">
      <c r="A189" s="62">
        <v>187.0</v>
      </c>
      <c r="B189" s="228" t="s">
        <v>2848</v>
      </c>
      <c r="C189" s="76" t="s">
        <v>2849</v>
      </c>
      <c r="D189" s="228" t="s">
        <v>2850</v>
      </c>
      <c r="E189" s="59"/>
      <c r="F189" s="229" t="s">
        <v>387</v>
      </c>
      <c r="G189" s="229" t="s">
        <v>131</v>
      </c>
      <c r="H189" s="228" t="s">
        <v>2851</v>
      </c>
      <c r="I189" s="228" t="s">
        <v>2852</v>
      </c>
      <c r="J189" s="229" t="s">
        <v>151</v>
      </c>
      <c r="K189" s="229" t="s">
        <v>70</v>
      </c>
      <c r="L189" s="229" t="s">
        <v>71</v>
      </c>
      <c r="M189" s="68" t="s">
        <v>2853</v>
      </c>
      <c r="N189" s="229" t="s">
        <v>73</v>
      </c>
      <c r="O189" s="229" t="s">
        <v>73</v>
      </c>
      <c r="P189" s="229" t="s">
        <v>74</v>
      </c>
      <c r="Q189" s="230" t="s">
        <v>3731</v>
      </c>
      <c r="R189" s="229" t="s">
        <v>76</v>
      </c>
      <c r="S189" s="256" t="s">
        <v>97</v>
      </c>
      <c r="T189" s="257">
        <v>2020.0</v>
      </c>
      <c r="U189" s="229" t="s">
        <v>78</v>
      </c>
      <c r="V189" s="256" t="s">
        <v>98</v>
      </c>
      <c r="W189" s="258" t="s">
        <v>3732</v>
      </c>
      <c r="X189" s="256" t="s">
        <v>148</v>
      </c>
      <c r="Y189" s="256" t="s">
        <v>139</v>
      </c>
      <c r="Z189" s="256" t="s">
        <v>2830</v>
      </c>
      <c r="AA189" s="228" t="s">
        <v>2555</v>
      </c>
      <c r="AB189" s="259" t="s">
        <v>3733</v>
      </c>
      <c r="AC189" s="257">
        <v>8.2127317127E10</v>
      </c>
      <c r="AD189" s="260" t="s">
        <v>2832</v>
      </c>
      <c r="AE189" s="261"/>
      <c r="AF189" s="256" t="s">
        <v>1268</v>
      </c>
      <c r="AG189" s="60"/>
      <c r="AH189" s="61"/>
      <c r="AI189" s="61"/>
      <c r="AJ189" s="61"/>
      <c r="AK189" s="61"/>
      <c r="AL189" s="61"/>
      <c r="AM189" s="61"/>
      <c r="AN189" s="61"/>
      <c r="AO189" s="61"/>
      <c r="AP189" s="61"/>
      <c r="AQ189" s="61"/>
      <c r="AR189" s="61"/>
    </row>
    <row r="190">
      <c r="A190" s="62">
        <v>188.0</v>
      </c>
      <c r="B190" s="96" t="s">
        <v>2411</v>
      </c>
      <c r="C190" s="76" t="s">
        <v>2412</v>
      </c>
      <c r="D190" s="96" t="s">
        <v>2413</v>
      </c>
      <c r="E190" s="96" t="s">
        <v>88</v>
      </c>
      <c r="F190" s="79" t="s">
        <v>344</v>
      </c>
      <c r="G190" s="79" t="s">
        <v>66</v>
      </c>
      <c r="H190" s="79" t="s">
        <v>2415</v>
      </c>
      <c r="I190" s="96" t="s">
        <v>2416</v>
      </c>
      <c r="J190" s="79" t="s">
        <v>158</v>
      </c>
      <c r="K190" s="79" t="s">
        <v>70</v>
      </c>
      <c r="L190" s="79" t="s">
        <v>101</v>
      </c>
      <c r="M190" s="68" t="s">
        <v>2858</v>
      </c>
      <c r="N190" s="79" t="s">
        <v>93</v>
      </c>
      <c r="O190" s="79" t="s">
        <v>113</v>
      </c>
      <c r="P190" s="79" t="s">
        <v>153</v>
      </c>
      <c r="Q190" s="79" t="s">
        <v>2418</v>
      </c>
      <c r="R190" s="79" t="s">
        <v>76</v>
      </c>
      <c r="S190" s="79" t="s">
        <v>77</v>
      </c>
      <c r="T190" s="79">
        <v>2023.0</v>
      </c>
      <c r="U190" s="79" t="s">
        <v>78</v>
      </c>
      <c r="V190" s="79" t="s">
        <v>98</v>
      </c>
      <c r="W190" s="79" t="s">
        <v>2419</v>
      </c>
      <c r="X190" s="79" t="s">
        <v>148</v>
      </c>
      <c r="Y190" s="79" t="s">
        <v>139</v>
      </c>
      <c r="Z190" s="79" t="s">
        <v>2859</v>
      </c>
      <c r="AA190" s="79" t="s">
        <v>162</v>
      </c>
      <c r="AB190" s="96" t="s">
        <v>2860</v>
      </c>
      <c r="AC190" s="98">
        <v>8.5179729699E10</v>
      </c>
      <c r="AD190" s="69"/>
      <c r="AE190" s="59"/>
      <c r="AF190" s="68" t="s">
        <v>71</v>
      </c>
      <c r="AG190" s="60"/>
      <c r="AH190" s="61"/>
      <c r="AI190" s="61"/>
      <c r="AJ190" s="61"/>
      <c r="AK190" s="61"/>
      <c r="AL190" s="61"/>
      <c r="AM190" s="61"/>
      <c r="AN190" s="61"/>
      <c r="AO190" s="61"/>
      <c r="AP190" s="61"/>
      <c r="AQ190" s="61"/>
      <c r="AR190" s="61"/>
    </row>
    <row r="191">
      <c r="A191" s="62">
        <v>189.0</v>
      </c>
      <c r="B191" s="96" t="s">
        <v>2861</v>
      </c>
      <c r="C191" s="96" t="s">
        <v>2862</v>
      </c>
      <c r="D191" s="96" t="s">
        <v>2863</v>
      </c>
      <c r="E191" s="70" t="s">
        <v>3734</v>
      </c>
      <c r="F191" s="79" t="s">
        <v>268</v>
      </c>
      <c r="G191" s="79" t="s">
        <v>131</v>
      </c>
      <c r="H191" s="79" t="s">
        <v>2865</v>
      </c>
      <c r="I191" s="96" t="s">
        <v>2866</v>
      </c>
      <c r="J191" s="79" t="s">
        <v>158</v>
      </c>
      <c r="K191" s="79" t="s">
        <v>70</v>
      </c>
      <c r="L191" s="79" t="s">
        <v>101</v>
      </c>
      <c r="M191" s="68" t="s">
        <v>2867</v>
      </c>
      <c r="N191" s="79" t="s">
        <v>93</v>
      </c>
      <c r="O191" s="79" t="s">
        <v>113</v>
      </c>
      <c r="P191" s="79" t="s">
        <v>153</v>
      </c>
      <c r="Q191" s="79" t="s">
        <v>2418</v>
      </c>
      <c r="R191" s="79" t="s">
        <v>76</v>
      </c>
      <c r="S191" s="79" t="s">
        <v>77</v>
      </c>
      <c r="T191" s="98">
        <v>2024.0</v>
      </c>
      <c r="U191" s="79" t="s">
        <v>78</v>
      </c>
      <c r="V191" s="79" t="s">
        <v>79</v>
      </c>
      <c r="W191" s="79" t="s">
        <v>80</v>
      </c>
      <c r="X191" s="79" t="s">
        <v>148</v>
      </c>
      <c r="Y191" s="79" t="s">
        <v>139</v>
      </c>
      <c r="Z191" s="79" t="s">
        <v>2868</v>
      </c>
      <c r="AA191" s="79" t="s">
        <v>162</v>
      </c>
      <c r="AB191" s="96" t="s">
        <v>2869</v>
      </c>
      <c r="AC191" s="96">
        <v>8.1261858201E10</v>
      </c>
      <c r="AD191" s="69"/>
      <c r="AE191" s="59"/>
      <c r="AF191" s="68" t="s">
        <v>566</v>
      </c>
      <c r="AG191" s="60"/>
      <c r="AH191" s="61"/>
      <c r="AI191" s="61"/>
      <c r="AJ191" s="61"/>
      <c r="AK191" s="61"/>
      <c r="AL191" s="61"/>
      <c r="AM191" s="61"/>
      <c r="AN191" s="61"/>
      <c r="AO191" s="61"/>
      <c r="AP191" s="61"/>
      <c r="AQ191" s="61"/>
      <c r="AR191" s="61"/>
    </row>
    <row r="192">
      <c r="A192" s="62">
        <v>190.0</v>
      </c>
      <c r="B192" s="96" t="s">
        <v>2411</v>
      </c>
      <c r="C192" s="76" t="s">
        <v>2412</v>
      </c>
      <c r="D192" s="96" t="s">
        <v>2413</v>
      </c>
      <c r="E192" s="96" t="s">
        <v>88</v>
      </c>
      <c r="F192" s="79" t="s">
        <v>344</v>
      </c>
      <c r="G192" s="79" t="s">
        <v>66</v>
      </c>
      <c r="H192" s="79" t="s">
        <v>2415</v>
      </c>
      <c r="I192" s="96" t="s">
        <v>2416</v>
      </c>
      <c r="J192" s="79" t="s">
        <v>158</v>
      </c>
      <c r="K192" s="79" t="s">
        <v>70</v>
      </c>
      <c r="L192" s="79" t="s">
        <v>101</v>
      </c>
      <c r="M192" s="79" t="s">
        <v>2910</v>
      </c>
      <c r="N192" s="79" t="s">
        <v>93</v>
      </c>
      <c r="O192" s="79" t="s">
        <v>113</v>
      </c>
      <c r="P192" s="79" t="s">
        <v>153</v>
      </c>
      <c r="Q192" s="131" t="s">
        <v>3735</v>
      </c>
      <c r="R192" s="79" t="s">
        <v>76</v>
      </c>
      <c r="S192" s="79" t="s">
        <v>77</v>
      </c>
      <c r="T192" s="79">
        <v>2023.0</v>
      </c>
      <c r="U192" s="79" t="s">
        <v>78</v>
      </c>
      <c r="V192" s="79" t="s">
        <v>98</v>
      </c>
      <c r="W192" s="79" t="s">
        <v>2419</v>
      </c>
      <c r="X192" s="79" t="s">
        <v>148</v>
      </c>
      <c r="Y192" s="79" t="s">
        <v>139</v>
      </c>
      <c r="Z192" s="79" t="s">
        <v>2859</v>
      </c>
      <c r="AA192" s="79" t="s">
        <v>162</v>
      </c>
      <c r="AB192" s="96" t="s">
        <v>2912</v>
      </c>
      <c r="AC192" s="98">
        <v>8.5659119423E10</v>
      </c>
      <c r="AD192" s="69"/>
      <c r="AE192" s="59"/>
      <c r="AF192" s="68" t="s">
        <v>71</v>
      </c>
      <c r="AG192" s="60"/>
      <c r="AH192" s="61"/>
      <c r="AI192" s="61"/>
      <c r="AJ192" s="61"/>
      <c r="AK192" s="61"/>
      <c r="AL192" s="61"/>
      <c r="AM192" s="61"/>
      <c r="AN192" s="61"/>
      <c r="AO192" s="61"/>
      <c r="AP192" s="61"/>
      <c r="AQ192" s="61"/>
      <c r="AR192" s="61"/>
    </row>
    <row r="193" hidden="1">
      <c r="A193" s="62">
        <v>191.0</v>
      </c>
      <c r="B193" s="96" t="s">
        <v>2970</v>
      </c>
      <c r="C193" s="96" t="s">
        <v>2971</v>
      </c>
      <c r="D193" s="265" t="s">
        <v>2972</v>
      </c>
      <c r="E193" s="79" t="s">
        <v>1327</v>
      </c>
      <c r="F193" s="79" t="s">
        <v>65</v>
      </c>
      <c r="G193" s="79" t="s">
        <v>66</v>
      </c>
      <c r="H193" s="79" t="s">
        <v>2973</v>
      </c>
      <c r="I193" s="79" t="s">
        <v>2974</v>
      </c>
      <c r="J193" s="79" t="s">
        <v>91</v>
      </c>
      <c r="K193" s="79" t="s">
        <v>110</v>
      </c>
      <c r="L193" s="79" t="s">
        <v>71</v>
      </c>
      <c r="M193" s="79" t="s">
        <v>2975</v>
      </c>
      <c r="N193" s="79" t="s">
        <v>73</v>
      </c>
      <c r="O193" s="79" t="s">
        <v>73</v>
      </c>
      <c r="P193" s="79" t="s">
        <v>95</v>
      </c>
      <c r="Q193" s="266" t="s">
        <v>3736</v>
      </c>
      <c r="R193" s="79" t="s">
        <v>76</v>
      </c>
      <c r="S193" s="79" t="s">
        <v>97</v>
      </c>
      <c r="T193" s="79">
        <v>2024.0</v>
      </c>
      <c r="U193" s="79" t="s">
        <v>78</v>
      </c>
      <c r="V193" s="79" t="s">
        <v>79</v>
      </c>
      <c r="W193" s="79" t="s">
        <v>2520</v>
      </c>
      <c r="X193" s="79" t="s">
        <v>80</v>
      </c>
      <c r="Y193" s="79" t="s">
        <v>71</v>
      </c>
      <c r="Z193" s="79" t="s">
        <v>2977</v>
      </c>
      <c r="AA193" s="79" t="s">
        <v>162</v>
      </c>
      <c r="AB193" s="79" t="s">
        <v>2978</v>
      </c>
      <c r="AC193" s="79">
        <v>8.7775207258E10</v>
      </c>
      <c r="AD193" s="79" t="s">
        <v>2961</v>
      </c>
      <c r="AE193" s="68">
        <v>8.0</v>
      </c>
      <c r="AF193" s="68" t="s">
        <v>71</v>
      </c>
      <c r="AG193" s="60"/>
      <c r="AH193" s="61"/>
      <c r="AI193" s="61"/>
      <c r="AJ193" s="61"/>
      <c r="AK193" s="61"/>
      <c r="AL193" s="61"/>
      <c r="AM193" s="61"/>
      <c r="AN193" s="61"/>
      <c r="AO193" s="61"/>
      <c r="AP193" s="61"/>
      <c r="AQ193" s="61"/>
      <c r="AR193" s="61"/>
    </row>
    <row r="194" hidden="1">
      <c r="A194" s="62">
        <v>192.0</v>
      </c>
      <c r="B194" s="96" t="s">
        <v>2979</v>
      </c>
      <c r="C194" s="96" t="s">
        <v>2980</v>
      </c>
      <c r="D194" s="96" t="s">
        <v>2981</v>
      </c>
      <c r="E194" s="79" t="s">
        <v>1327</v>
      </c>
      <c r="F194" s="79" t="s">
        <v>65</v>
      </c>
      <c r="G194" s="79" t="s">
        <v>66</v>
      </c>
      <c r="H194" s="79" t="s">
        <v>2982</v>
      </c>
      <c r="I194" s="79" t="s">
        <v>2982</v>
      </c>
      <c r="J194" s="79" t="s">
        <v>91</v>
      </c>
      <c r="K194" s="79" t="s">
        <v>110</v>
      </c>
      <c r="L194" s="79" t="s">
        <v>152</v>
      </c>
      <c r="M194" s="79" t="s">
        <v>2983</v>
      </c>
      <c r="N194" s="79" t="s">
        <v>73</v>
      </c>
      <c r="O194" s="79" t="s">
        <v>73</v>
      </c>
      <c r="P194" s="79" t="s">
        <v>95</v>
      </c>
      <c r="Q194" s="79" t="s">
        <v>2979</v>
      </c>
      <c r="R194" s="79" t="s">
        <v>76</v>
      </c>
      <c r="S194" s="79" t="s">
        <v>97</v>
      </c>
      <c r="T194" s="79">
        <v>2024.0</v>
      </c>
      <c r="U194" s="79" t="s">
        <v>78</v>
      </c>
      <c r="V194" s="79" t="s">
        <v>98</v>
      </c>
      <c r="W194" s="79" t="s">
        <v>98</v>
      </c>
      <c r="X194" s="79" t="s">
        <v>100</v>
      </c>
      <c r="Y194" s="79" t="s">
        <v>80</v>
      </c>
      <c r="Z194" s="79" t="s">
        <v>2984</v>
      </c>
      <c r="AA194" s="79" t="s">
        <v>162</v>
      </c>
      <c r="AB194" s="79" t="s">
        <v>2985</v>
      </c>
      <c r="AC194" s="79" t="s">
        <v>2986</v>
      </c>
      <c r="AD194" s="79" t="s">
        <v>2961</v>
      </c>
      <c r="AE194" s="68">
        <v>8.0</v>
      </c>
      <c r="AF194" s="68" t="s">
        <v>152</v>
      </c>
      <c r="AG194" s="60"/>
      <c r="AH194" s="61"/>
      <c r="AI194" s="61"/>
      <c r="AJ194" s="61"/>
      <c r="AK194" s="61"/>
      <c r="AL194" s="61"/>
      <c r="AM194" s="61"/>
      <c r="AN194" s="61"/>
      <c r="AO194" s="61"/>
      <c r="AP194" s="61"/>
      <c r="AQ194" s="61"/>
      <c r="AR194" s="61"/>
    </row>
    <row r="195" hidden="1">
      <c r="A195" s="62">
        <v>193.0</v>
      </c>
      <c r="B195" s="96" t="s">
        <v>2987</v>
      </c>
      <c r="C195" s="96" t="s">
        <v>2988</v>
      </c>
      <c r="D195" s="96" t="s">
        <v>2989</v>
      </c>
      <c r="E195" s="131" t="s">
        <v>3737</v>
      </c>
      <c r="F195" s="79" t="s">
        <v>344</v>
      </c>
      <c r="G195" s="79" t="s">
        <v>123</v>
      </c>
      <c r="H195" s="79" t="s">
        <v>2991</v>
      </c>
      <c r="I195" s="79" t="s">
        <v>2992</v>
      </c>
      <c r="J195" s="79" t="s">
        <v>151</v>
      </c>
      <c r="K195" s="79" t="s">
        <v>70</v>
      </c>
      <c r="L195" s="79" t="s">
        <v>152</v>
      </c>
      <c r="M195" s="79" t="s">
        <v>2993</v>
      </c>
      <c r="N195" s="79" t="s">
        <v>73</v>
      </c>
      <c r="O195" s="79" t="s">
        <v>73</v>
      </c>
      <c r="P195" s="79" t="s">
        <v>95</v>
      </c>
      <c r="Q195" s="267" t="s">
        <v>3738</v>
      </c>
      <c r="R195" s="79" t="s">
        <v>76</v>
      </c>
      <c r="S195" s="79" t="s">
        <v>97</v>
      </c>
      <c r="T195" s="79">
        <v>2024.0</v>
      </c>
      <c r="U195" s="79" t="s">
        <v>78</v>
      </c>
      <c r="V195" s="79" t="s">
        <v>98</v>
      </c>
      <c r="W195" s="79" t="s">
        <v>2995</v>
      </c>
      <c r="X195" s="79" t="s">
        <v>100</v>
      </c>
      <c r="Y195" s="79" t="s">
        <v>152</v>
      </c>
      <c r="Z195" s="79" t="s">
        <v>2977</v>
      </c>
      <c r="AA195" s="79" t="s">
        <v>162</v>
      </c>
      <c r="AB195" s="79" t="s">
        <v>2996</v>
      </c>
      <c r="AC195" s="79" t="s">
        <v>2997</v>
      </c>
      <c r="AD195" s="79" t="s">
        <v>2961</v>
      </c>
      <c r="AE195" s="68">
        <v>8.0</v>
      </c>
      <c r="AF195" s="68" t="s">
        <v>71</v>
      </c>
      <c r="AG195" s="60"/>
      <c r="AH195" s="61"/>
      <c r="AI195" s="61"/>
      <c r="AJ195" s="61"/>
      <c r="AK195" s="61"/>
      <c r="AL195" s="61"/>
      <c r="AM195" s="61"/>
      <c r="AN195" s="61"/>
      <c r="AO195" s="61"/>
      <c r="AP195" s="61"/>
      <c r="AQ195" s="61"/>
      <c r="AR195" s="61"/>
    </row>
    <row r="196" hidden="1">
      <c r="A196" s="62">
        <v>194.0</v>
      </c>
      <c r="B196" s="96" t="s">
        <v>2998</v>
      </c>
      <c r="C196" s="96" t="s">
        <v>2999</v>
      </c>
      <c r="D196" s="96" t="s">
        <v>3000</v>
      </c>
      <c r="E196" s="59"/>
      <c r="F196" s="79" t="s">
        <v>344</v>
      </c>
      <c r="G196" s="79" t="s">
        <v>123</v>
      </c>
      <c r="H196" s="79" t="s">
        <v>3001</v>
      </c>
      <c r="I196" s="79" t="s">
        <v>3002</v>
      </c>
      <c r="J196" s="79" t="s">
        <v>151</v>
      </c>
      <c r="K196" s="79" t="s">
        <v>70</v>
      </c>
      <c r="L196" s="79" t="s">
        <v>111</v>
      </c>
      <c r="M196" s="68" t="s">
        <v>3003</v>
      </c>
      <c r="N196" s="79" t="s">
        <v>144</v>
      </c>
      <c r="O196" s="79" t="s">
        <v>144</v>
      </c>
      <c r="P196" s="79" t="s">
        <v>95</v>
      </c>
      <c r="Q196" s="131" t="s">
        <v>3739</v>
      </c>
      <c r="R196" s="79" t="s">
        <v>76</v>
      </c>
      <c r="S196" s="79" t="s">
        <v>77</v>
      </c>
      <c r="T196" s="69"/>
      <c r="U196" s="79" t="s">
        <v>78</v>
      </c>
      <c r="V196" s="79" t="s">
        <v>79</v>
      </c>
      <c r="W196" s="69"/>
      <c r="X196" s="79" t="s">
        <v>80</v>
      </c>
      <c r="Y196" s="79" t="s">
        <v>111</v>
      </c>
      <c r="Z196" s="79" t="s">
        <v>3005</v>
      </c>
      <c r="AA196" s="69"/>
      <c r="AB196" s="79" t="s">
        <v>3006</v>
      </c>
      <c r="AC196" s="79">
        <v>8.1222672616E10</v>
      </c>
      <c r="AD196" s="79" t="s">
        <v>3007</v>
      </c>
      <c r="AE196" s="68">
        <v>8.0</v>
      </c>
      <c r="AF196" s="68" t="s">
        <v>566</v>
      </c>
      <c r="AG196" s="60"/>
      <c r="AH196" s="61"/>
      <c r="AI196" s="61"/>
      <c r="AJ196" s="61"/>
      <c r="AK196" s="61"/>
      <c r="AL196" s="61"/>
      <c r="AM196" s="61"/>
      <c r="AN196" s="61"/>
      <c r="AO196" s="61"/>
      <c r="AP196" s="61"/>
      <c r="AQ196" s="61"/>
      <c r="AR196" s="61"/>
    </row>
    <row r="197" hidden="1">
      <c r="A197" s="62">
        <v>195.0</v>
      </c>
      <c r="B197" s="96" t="s">
        <v>3027</v>
      </c>
      <c r="C197" s="96" t="s">
        <v>3028</v>
      </c>
      <c r="D197" s="269" t="s">
        <v>3740</v>
      </c>
      <c r="E197" s="131" t="s">
        <v>3741</v>
      </c>
      <c r="F197" s="79" t="s">
        <v>65</v>
      </c>
      <c r="G197" s="79" t="s">
        <v>123</v>
      </c>
      <c r="H197" s="79" t="s">
        <v>3031</v>
      </c>
      <c r="I197" s="79" t="s">
        <v>3032</v>
      </c>
      <c r="J197" s="79" t="s">
        <v>91</v>
      </c>
      <c r="K197" s="79" t="s">
        <v>110</v>
      </c>
      <c r="L197" s="79" t="s">
        <v>143</v>
      </c>
      <c r="M197" s="79" t="s">
        <v>3033</v>
      </c>
      <c r="N197" s="79" t="s">
        <v>73</v>
      </c>
      <c r="O197" s="79" t="s">
        <v>73</v>
      </c>
      <c r="P197" s="79" t="s">
        <v>95</v>
      </c>
      <c r="Q197" s="270" t="s">
        <v>3742</v>
      </c>
      <c r="R197" s="79" t="s">
        <v>76</v>
      </c>
      <c r="S197" s="79" t="s">
        <v>97</v>
      </c>
      <c r="T197" s="79">
        <v>2024.0</v>
      </c>
      <c r="U197" s="79" t="s">
        <v>78</v>
      </c>
      <c r="V197" s="79" t="s">
        <v>98</v>
      </c>
      <c r="W197" s="79" t="s">
        <v>3035</v>
      </c>
      <c r="X197" s="79" t="s">
        <v>100</v>
      </c>
      <c r="Y197" s="79" t="s">
        <v>139</v>
      </c>
      <c r="Z197" s="79" t="s">
        <v>3036</v>
      </c>
      <c r="AA197" s="79" t="s">
        <v>82</v>
      </c>
      <c r="AB197" s="79" t="s">
        <v>3037</v>
      </c>
      <c r="AC197" s="79" t="s">
        <v>3038</v>
      </c>
      <c r="AD197" s="79" t="s">
        <v>563</v>
      </c>
      <c r="AE197" s="68" t="s">
        <v>563</v>
      </c>
      <c r="AF197" s="68" t="s">
        <v>1268</v>
      </c>
      <c r="AG197" s="60"/>
      <c r="AH197" s="61"/>
      <c r="AI197" s="61"/>
      <c r="AJ197" s="61"/>
      <c r="AK197" s="61"/>
      <c r="AL197" s="61"/>
      <c r="AM197" s="61"/>
      <c r="AN197" s="61"/>
      <c r="AO197" s="61"/>
      <c r="AP197" s="61"/>
      <c r="AQ197" s="61"/>
      <c r="AR197" s="61"/>
    </row>
    <row r="198" hidden="1">
      <c r="A198" s="62">
        <v>196.0</v>
      </c>
      <c r="B198" s="96" t="s">
        <v>3060</v>
      </c>
      <c r="C198" s="96" t="s">
        <v>3061</v>
      </c>
      <c r="D198" s="96" t="s">
        <v>3062</v>
      </c>
      <c r="E198" s="59"/>
      <c r="F198" s="79" t="s">
        <v>344</v>
      </c>
      <c r="G198" s="79" t="s">
        <v>123</v>
      </c>
      <c r="H198" s="222" t="s">
        <v>3063</v>
      </c>
      <c r="I198" s="274" t="s">
        <v>3064</v>
      </c>
      <c r="J198" s="79" t="s">
        <v>69</v>
      </c>
      <c r="K198" s="79" t="s">
        <v>110</v>
      </c>
      <c r="L198" s="79" t="s">
        <v>111</v>
      </c>
      <c r="M198" s="79" t="s">
        <v>3060</v>
      </c>
      <c r="N198" s="79" t="s">
        <v>73</v>
      </c>
      <c r="O198" s="79" t="s">
        <v>73</v>
      </c>
      <c r="P198" s="79" t="s">
        <v>95</v>
      </c>
      <c r="Q198" s="270" t="s">
        <v>3743</v>
      </c>
      <c r="R198" s="79" t="s">
        <v>76</v>
      </c>
      <c r="S198" s="79" t="s">
        <v>97</v>
      </c>
      <c r="T198" s="69"/>
      <c r="U198" s="79" t="s">
        <v>78</v>
      </c>
      <c r="V198" s="79" t="s">
        <v>79</v>
      </c>
      <c r="W198" s="79" t="s">
        <v>2520</v>
      </c>
      <c r="X198" s="79" t="s">
        <v>80</v>
      </c>
      <c r="Y198" s="79" t="s">
        <v>80</v>
      </c>
      <c r="Z198" s="69"/>
      <c r="AA198" s="69"/>
      <c r="AB198" s="79" t="s">
        <v>3066</v>
      </c>
      <c r="AC198" s="79">
        <v>8.7743579775E10</v>
      </c>
      <c r="AD198" s="69"/>
      <c r="AE198" s="59"/>
      <c r="AF198" s="68" t="s">
        <v>111</v>
      </c>
      <c r="AG198" s="60"/>
      <c r="AH198" s="61"/>
      <c r="AI198" s="61"/>
      <c r="AJ198" s="61"/>
      <c r="AK198" s="61"/>
      <c r="AL198" s="61"/>
      <c r="AM198" s="61"/>
      <c r="AN198" s="61"/>
      <c r="AO198" s="61"/>
      <c r="AP198" s="61"/>
      <c r="AQ198" s="61"/>
      <c r="AR198" s="61"/>
    </row>
    <row r="199" hidden="1">
      <c r="A199" s="62">
        <v>197.0</v>
      </c>
      <c r="B199" s="96" t="s">
        <v>3081</v>
      </c>
      <c r="C199" s="96" t="s">
        <v>3082</v>
      </c>
      <c r="D199" s="96" t="s">
        <v>3083</v>
      </c>
      <c r="E199" s="59"/>
      <c r="F199" s="79" t="s">
        <v>165</v>
      </c>
      <c r="G199" s="79" t="s">
        <v>138</v>
      </c>
      <c r="H199" s="79" t="s">
        <v>3084</v>
      </c>
      <c r="I199" s="79" t="s">
        <v>3085</v>
      </c>
      <c r="J199" s="79" t="s">
        <v>151</v>
      </c>
      <c r="K199" s="79" t="s">
        <v>70</v>
      </c>
      <c r="L199" s="79" t="s">
        <v>101</v>
      </c>
      <c r="M199" s="68" t="s">
        <v>3086</v>
      </c>
      <c r="N199" s="79" t="s">
        <v>73</v>
      </c>
      <c r="O199" s="79" t="s">
        <v>73</v>
      </c>
      <c r="P199" s="79" t="s">
        <v>95</v>
      </c>
      <c r="Q199" s="276" t="s">
        <v>3744</v>
      </c>
      <c r="R199" s="79" t="s">
        <v>76</v>
      </c>
      <c r="S199" s="79" t="s">
        <v>77</v>
      </c>
      <c r="T199" s="79">
        <v>2025.0</v>
      </c>
      <c r="U199" s="79" t="s">
        <v>78</v>
      </c>
      <c r="V199" s="79" t="s">
        <v>98</v>
      </c>
      <c r="W199" s="79" t="s">
        <v>1585</v>
      </c>
      <c r="X199" s="79" t="s">
        <v>100</v>
      </c>
      <c r="Y199" s="79" t="s">
        <v>139</v>
      </c>
      <c r="Z199" s="79" t="s">
        <v>1585</v>
      </c>
      <c r="AA199" s="79" t="s">
        <v>183</v>
      </c>
      <c r="AB199" s="79" t="s">
        <v>3088</v>
      </c>
      <c r="AC199" s="79">
        <v>8.1220186484E10</v>
      </c>
      <c r="AD199" s="79" t="s">
        <v>3089</v>
      </c>
      <c r="AE199" s="59"/>
      <c r="AF199" s="68" t="s">
        <v>566</v>
      </c>
      <c r="AG199" s="60"/>
      <c r="AH199" s="61"/>
      <c r="AI199" s="61"/>
      <c r="AJ199" s="61"/>
      <c r="AK199" s="61"/>
      <c r="AL199" s="61"/>
      <c r="AM199" s="61"/>
      <c r="AN199" s="61"/>
      <c r="AO199" s="61"/>
      <c r="AP199" s="61"/>
      <c r="AQ199" s="61"/>
      <c r="AR199" s="61"/>
    </row>
    <row r="200" hidden="1">
      <c r="A200" s="62">
        <v>198.0</v>
      </c>
      <c r="B200" s="96" t="s">
        <v>3104</v>
      </c>
      <c r="C200" s="277" t="s">
        <v>3105</v>
      </c>
      <c r="D200" s="292" t="s">
        <v>3106</v>
      </c>
      <c r="E200" s="59"/>
      <c r="F200" s="79" t="s">
        <v>344</v>
      </c>
      <c r="G200" s="79" t="s">
        <v>66</v>
      </c>
      <c r="H200" s="96" t="s">
        <v>3107</v>
      </c>
      <c r="I200" s="196" t="s">
        <v>3108</v>
      </c>
      <c r="J200" s="79" t="s">
        <v>151</v>
      </c>
      <c r="K200" s="79" t="s">
        <v>70</v>
      </c>
      <c r="L200" s="79" t="s">
        <v>101</v>
      </c>
      <c r="M200" s="68" t="s">
        <v>3109</v>
      </c>
      <c r="N200" s="79" t="s">
        <v>73</v>
      </c>
      <c r="O200" s="79" t="s">
        <v>73</v>
      </c>
      <c r="P200" s="79" t="s">
        <v>95</v>
      </c>
      <c r="Q200" s="279" t="s">
        <v>3745</v>
      </c>
      <c r="R200" s="79" t="s">
        <v>76</v>
      </c>
      <c r="S200" s="69"/>
      <c r="T200" s="79">
        <v>2025.0</v>
      </c>
      <c r="U200" s="79" t="s">
        <v>78</v>
      </c>
      <c r="V200" s="79" t="s">
        <v>79</v>
      </c>
      <c r="W200" s="69"/>
      <c r="X200" s="79" t="s">
        <v>80</v>
      </c>
      <c r="Y200" s="79" t="s">
        <v>101</v>
      </c>
      <c r="Z200" s="69"/>
      <c r="AA200" s="79" t="s">
        <v>162</v>
      </c>
      <c r="AB200" s="79" t="s">
        <v>3111</v>
      </c>
      <c r="AC200" s="79">
        <v>8.2117621571E10</v>
      </c>
      <c r="AD200" s="79" t="s">
        <v>2961</v>
      </c>
      <c r="AE200" s="68">
        <v>8.0</v>
      </c>
      <c r="AF200" s="68" t="s">
        <v>566</v>
      </c>
      <c r="AG200" s="60"/>
      <c r="AH200" s="61"/>
      <c r="AI200" s="61"/>
      <c r="AJ200" s="61"/>
      <c r="AK200" s="61"/>
      <c r="AL200" s="61"/>
      <c r="AM200" s="61"/>
      <c r="AN200" s="61"/>
      <c r="AO200" s="61"/>
      <c r="AP200" s="61"/>
      <c r="AQ200" s="61"/>
      <c r="AR200" s="61"/>
    </row>
    <row r="201" hidden="1">
      <c r="A201" s="62">
        <v>199.0</v>
      </c>
      <c r="B201" s="96" t="s">
        <v>1088</v>
      </c>
      <c r="C201" s="67" t="s">
        <v>3120</v>
      </c>
      <c r="D201" s="76" t="s">
        <v>3121</v>
      </c>
      <c r="E201" s="59"/>
      <c r="F201" s="79" t="s">
        <v>344</v>
      </c>
      <c r="G201" s="79" t="s">
        <v>123</v>
      </c>
      <c r="H201" s="196" t="s">
        <v>3122</v>
      </c>
      <c r="I201" s="196" t="s">
        <v>3123</v>
      </c>
      <c r="J201" s="79" t="s">
        <v>151</v>
      </c>
      <c r="K201" s="79" t="s">
        <v>110</v>
      </c>
      <c r="L201" s="79" t="s">
        <v>152</v>
      </c>
      <c r="M201" s="68" t="s">
        <v>1088</v>
      </c>
      <c r="N201" s="79" t="s">
        <v>73</v>
      </c>
      <c r="O201" s="79" t="s">
        <v>73</v>
      </c>
      <c r="P201" s="79" t="s">
        <v>74</v>
      </c>
      <c r="Q201" s="280" t="s">
        <v>3124</v>
      </c>
      <c r="R201" s="79" t="s">
        <v>76</v>
      </c>
      <c r="S201" s="79" t="s">
        <v>97</v>
      </c>
      <c r="T201" s="79">
        <v>2025.0</v>
      </c>
      <c r="U201" s="79" t="s">
        <v>147</v>
      </c>
      <c r="V201" s="79" t="s">
        <v>79</v>
      </c>
      <c r="W201" s="69"/>
      <c r="X201" s="79" t="s">
        <v>80</v>
      </c>
      <c r="Y201" s="79" t="s">
        <v>80</v>
      </c>
      <c r="Z201" s="69"/>
      <c r="AA201" s="79" t="s">
        <v>162</v>
      </c>
      <c r="AB201" s="131" t="s">
        <v>3746</v>
      </c>
      <c r="AC201" s="79">
        <v>8.2117621571E10</v>
      </c>
      <c r="AD201" s="79" t="s">
        <v>2961</v>
      </c>
      <c r="AE201" s="68">
        <v>8.0</v>
      </c>
      <c r="AF201" s="68" t="s">
        <v>152</v>
      </c>
      <c r="AG201" s="60"/>
      <c r="AH201" s="61"/>
      <c r="AI201" s="61"/>
      <c r="AJ201" s="61"/>
      <c r="AK201" s="61"/>
      <c r="AL201" s="61"/>
      <c r="AM201" s="61"/>
      <c r="AN201" s="61"/>
      <c r="AO201" s="61"/>
      <c r="AP201" s="61"/>
      <c r="AQ201" s="61"/>
      <c r="AR201" s="61"/>
    </row>
    <row r="202" hidden="1">
      <c r="A202" s="62">
        <v>200.0</v>
      </c>
      <c r="B202" s="79" t="s">
        <v>2667</v>
      </c>
      <c r="C202" s="67" t="s">
        <v>2668</v>
      </c>
      <c r="D202" s="96" t="s">
        <v>2669</v>
      </c>
      <c r="E202" s="59"/>
      <c r="F202" s="79" t="s">
        <v>344</v>
      </c>
      <c r="G202" s="79" t="s">
        <v>123</v>
      </c>
      <c r="H202" s="96" t="s">
        <v>2670</v>
      </c>
      <c r="I202" s="96" t="s">
        <v>2671</v>
      </c>
      <c r="J202" s="79" t="s">
        <v>151</v>
      </c>
      <c r="K202" s="79" t="s">
        <v>70</v>
      </c>
      <c r="L202" s="79" t="s">
        <v>101</v>
      </c>
      <c r="M202" s="79" t="s">
        <v>2672</v>
      </c>
      <c r="N202" s="79" t="s">
        <v>73</v>
      </c>
      <c r="O202" s="79" t="s">
        <v>73</v>
      </c>
      <c r="P202" s="79" t="s">
        <v>95</v>
      </c>
      <c r="Q202" s="223" t="s">
        <v>3747</v>
      </c>
      <c r="R202" s="79" t="s">
        <v>76</v>
      </c>
      <c r="S202" s="79" t="s">
        <v>97</v>
      </c>
      <c r="T202" s="69"/>
      <c r="U202" s="79" t="s">
        <v>78</v>
      </c>
      <c r="V202" s="79" t="s">
        <v>98</v>
      </c>
      <c r="W202" s="79" t="s">
        <v>2674</v>
      </c>
      <c r="X202" s="79" t="s">
        <v>155</v>
      </c>
      <c r="Y202" s="79" t="s">
        <v>139</v>
      </c>
      <c r="Z202" s="79" t="s">
        <v>2675</v>
      </c>
      <c r="AA202" s="79" t="s">
        <v>162</v>
      </c>
      <c r="AB202" s="69"/>
      <c r="AC202" s="69"/>
      <c r="AD202" s="69"/>
      <c r="AE202" s="59"/>
      <c r="AF202" s="79" t="s">
        <v>566</v>
      </c>
      <c r="AG202" s="60"/>
      <c r="AH202" s="61"/>
      <c r="AI202" s="61"/>
      <c r="AJ202" s="61"/>
      <c r="AK202" s="61"/>
      <c r="AL202" s="61"/>
      <c r="AM202" s="61"/>
      <c r="AN202" s="61"/>
      <c r="AO202" s="61"/>
      <c r="AP202" s="61"/>
      <c r="AQ202" s="61"/>
      <c r="AR202" s="61"/>
    </row>
    <row r="203">
      <c r="A203" s="62">
        <v>201.0</v>
      </c>
      <c r="B203" s="96" t="s">
        <v>2952</v>
      </c>
      <c r="C203" s="67" t="s">
        <v>2953</v>
      </c>
      <c r="D203" s="67" t="s">
        <v>2954</v>
      </c>
      <c r="E203" s="59"/>
      <c r="F203" s="79" t="s">
        <v>65</v>
      </c>
      <c r="G203" s="79" t="s">
        <v>131</v>
      </c>
      <c r="H203" s="79" t="s">
        <v>3174</v>
      </c>
      <c r="I203" s="79" t="s">
        <v>3175</v>
      </c>
      <c r="J203" s="79" t="s">
        <v>158</v>
      </c>
      <c r="K203" s="79" t="s">
        <v>70</v>
      </c>
      <c r="L203" s="79" t="s">
        <v>152</v>
      </c>
      <c r="M203" s="68" t="s">
        <v>3176</v>
      </c>
      <c r="N203" s="79" t="s">
        <v>82</v>
      </c>
      <c r="O203" s="79" t="s">
        <v>113</v>
      </c>
      <c r="P203" s="79" t="s">
        <v>74</v>
      </c>
      <c r="Q203" s="131" t="s">
        <v>3748</v>
      </c>
      <c r="R203" s="79" t="s">
        <v>76</v>
      </c>
      <c r="S203" s="79" t="s">
        <v>97</v>
      </c>
      <c r="T203" s="69"/>
      <c r="U203" s="79" t="s">
        <v>78</v>
      </c>
      <c r="V203" s="79" t="s">
        <v>79</v>
      </c>
      <c r="W203" s="69"/>
      <c r="X203" s="79" t="s">
        <v>80</v>
      </c>
      <c r="Y203" s="79" t="s">
        <v>80</v>
      </c>
      <c r="Z203" s="69"/>
      <c r="AA203" s="79" t="s">
        <v>82</v>
      </c>
      <c r="AB203" s="69"/>
      <c r="AC203" s="69"/>
      <c r="AD203" s="69"/>
      <c r="AE203" s="59"/>
      <c r="AF203" s="68" t="s">
        <v>152</v>
      </c>
      <c r="AG203" s="60"/>
      <c r="AH203" s="61"/>
      <c r="AI203" s="61"/>
      <c r="AJ203" s="61"/>
      <c r="AK203" s="61"/>
      <c r="AL203" s="61"/>
      <c r="AM203" s="61"/>
      <c r="AN203" s="61"/>
      <c r="AO203" s="61"/>
      <c r="AP203" s="61"/>
      <c r="AQ203" s="61"/>
      <c r="AR203" s="61"/>
    </row>
    <row r="204" hidden="1">
      <c r="A204" s="62">
        <v>202.0</v>
      </c>
      <c r="B204" s="96" t="s">
        <v>3027</v>
      </c>
      <c r="C204" s="96" t="s">
        <v>3028</v>
      </c>
      <c r="D204" s="273" t="s">
        <v>3749</v>
      </c>
      <c r="E204" s="131" t="s">
        <v>3750</v>
      </c>
      <c r="F204" s="79" t="s">
        <v>65</v>
      </c>
      <c r="G204" s="79" t="s">
        <v>123</v>
      </c>
      <c r="H204" s="79" t="s">
        <v>3031</v>
      </c>
      <c r="I204" s="79" t="s">
        <v>3032</v>
      </c>
      <c r="J204" s="79" t="s">
        <v>91</v>
      </c>
      <c r="K204" s="79" t="s">
        <v>110</v>
      </c>
      <c r="L204" s="79" t="s">
        <v>143</v>
      </c>
      <c r="M204" s="79" t="s">
        <v>3191</v>
      </c>
      <c r="N204" s="79" t="s">
        <v>73</v>
      </c>
      <c r="O204" s="79" t="s">
        <v>73</v>
      </c>
      <c r="P204" s="79" t="s">
        <v>95</v>
      </c>
      <c r="Q204" s="75" t="s">
        <v>3751</v>
      </c>
      <c r="R204" s="79" t="s">
        <v>76</v>
      </c>
      <c r="S204" s="79" t="s">
        <v>97</v>
      </c>
      <c r="T204" s="79">
        <v>2024.0</v>
      </c>
      <c r="U204" s="79" t="s">
        <v>78</v>
      </c>
      <c r="V204" s="79" t="s">
        <v>98</v>
      </c>
      <c r="W204" s="79" t="s">
        <v>3035</v>
      </c>
      <c r="X204" s="79" t="s">
        <v>100</v>
      </c>
      <c r="Y204" s="79" t="s">
        <v>139</v>
      </c>
      <c r="Z204" s="79" t="s">
        <v>3036</v>
      </c>
      <c r="AA204" s="79" t="s">
        <v>82</v>
      </c>
      <c r="AB204" s="79" t="s">
        <v>3193</v>
      </c>
      <c r="AC204" s="79">
        <v>8.2324066724E10</v>
      </c>
      <c r="AD204" s="79" t="s">
        <v>3183</v>
      </c>
      <c r="AE204" s="68" t="s">
        <v>563</v>
      </c>
      <c r="AF204" s="68" t="s">
        <v>1268</v>
      </c>
      <c r="AG204" s="60"/>
      <c r="AH204" s="61"/>
      <c r="AI204" s="61"/>
      <c r="AJ204" s="61"/>
      <c r="AK204" s="61"/>
      <c r="AL204" s="61"/>
      <c r="AM204" s="61"/>
      <c r="AN204" s="61"/>
      <c r="AO204" s="61"/>
      <c r="AP204" s="61"/>
      <c r="AQ204" s="61"/>
      <c r="AR204" s="61"/>
    </row>
  </sheetData>
  <autoFilter ref="$A$1:$AR$204">
    <filterColumn colId="14">
      <filters>
        <filter val="Kab. Bandung"/>
      </filters>
    </filterColumn>
    <filterColumn colId="20">
      <filters blank="1">
        <filter val="Aktif"/>
        <filter val="2018"/>
        <filter val="Maintenance"/>
        <filter val="21"/>
      </filters>
    </filterColumn>
  </autoFilter>
  <mergeCells count="4">
    <mergeCell ref="AG33:AR33"/>
    <mergeCell ref="AG44:AI44"/>
    <mergeCell ref="AG82:AH82"/>
    <mergeCell ref="AG123:AH123"/>
  </mergeCells>
  <dataValidations>
    <dataValidation type="list" allowBlank="1" showErrorMessage="1" sqref="O3:O204">
      <formula1>Ref!$O$2:$O$5</formula1>
    </dataValidation>
    <dataValidation type="list" allowBlank="1" showErrorMessage="1" sqref="R3:R204">
      <formula1>Ref!$R$2:$R$3</formula1>
    </dataValidation>
    <dataValidation type="list" allowBlank="1" showErrorMessage="1" sqref="F3:F204">
      <formula1>Ref!$F$2:$F$307</formula1>
    </dataValidation>
    <dataValidation type="list" allowBlank="1" showErrorMessage="1" sqref="N3:N204">
      <formula1>Ref!$N$2:$N$6</formula1>
    </dataValidation>
    <dataValidation type="list" allowBlank="1" showErrorMessage="1" sqref="AA3:AA204">
      <formula1>Ref!$AA$2:$AA$33</formula1>
    </dataValidation>
    <dataValidation type="list" allowBlank="1" showErrorMessage="1" sqref="X3:X204">
      <formula1>Ref!$X$2:$X$6</formula1>
    </dataValidation>
    <dataValidation type="list" allowBlank="1" showErrorMessage="1" sqref="Y3:Y204">
      <formula1>Ref!$Y$2:$Y$8</formula1>
    </dataValidation>
    <dataValidation type="list" allowBlank="1" showErrorMessage="1" sqref="G3:G204">
      <formula1>Ref!$G$2:$G$5</formula1>
    </dataValidation>
    <dataValidation type="list" allowBlank="1" showErrorMessage="1" sqref="K3:K204">
      <formula1>Ref!$K$2:$K$3</formula1>
    </dataValidation>
    <dataValidation type="list" allowBlank="1" showErrorMessage="1" sqref="S3:S204">
      <formula1>Ref!$S$2:$S$3</formula1>
    </dataValidation>
    <dataValidation type="list" allowBlank="1" showErrorMessage="1" sqref="V3:V204">
      <formula1>Ref!$V$2:$V$3</formula1>
    </dataValidation>
    <dataValidation type="list" allowBlank="1" showErrorMessage="1" sqref="P3:P204">
      <formula1>Ref!$P$2:$P$5</formula1>
    </dataValidation>
    <dataValidation type="list" allowBlank="1" sqref="M4:M5">
      <formula1>#REF!</formula1>
    </dataValidation>
    <dataValidation type="list" allowBlank="1" showErrorMessage="1" sqref="J3:J204">
      <formula1>Ref!$J$2:$J$5</formula1>
    </dataValidation>
    <dataValidation type="list" allowBlank="1" showErrorMessage="1" sqref="U3:U204">
      <formula1>Ref!$U$2:$U$4</formula1>
    </dataValidation>
    <dataValidation type="list" allowBlank="1" showErrorMessage="1" sqref="L3:L204">
      <formula1>Ref!$L$2:$L$6</formula1>
    </dataValidation>
  </dataValidations>
  <hyperlinks>
    <hyperlink r:id="rId1" ref="Q3"/>
    <hyperlink r:id="rId2" ref="Q5"/>
    <hyperlink r:id="rId3" ref="Q6"/>
    <hyperlink r:id="rId4" ref="Q7"/>
    <hyperlink r:id="rId5" ref="Q8"/>
    <hyperlink r:id="rId6" ref="Q9"/>
    <hyperlink r:id="rId7" ref="Q10"/>
    <hyperlink r:id="rId8" ref="Q11"/>
    <hyperlink r:id="rId9" ref="Q12"/>
    <hyperlink r:id="rId10" ref="Q14"/>
    <hyperlink r:id="rId11" ref="Q15"/>
    <hyperlink r:id="rId12" ref="Q16"/>
    <hyperlink r:id="rId13" ref="Q17"/>
    <hyperlink r:id="rId14" ref="Q18"/>
    <hyperlink r:id="rId15" ref="Q19"/>
    <hyperlink r:id="rId16" ref="Q20"/>
    <hyperlink r:id="rId17" ref="Q21"/>
    <hyperlink r:id="rId18" ref="AB21"/>
    <hyperlink r:id="rId19" ref="Q22"/>
    <hyperlink r:id="rId20" ref="AB22"/>
    <hyperlink r:id="rId21" ref="Q23"/>
    <hyperlink r:id="rId22" ref="Q24"/>
    <hyperlink r:id="rId23" ref="AB24"/>
    <hyperlink r:id="rId24" ref="Q25"/>
    <hyperlink r:id="rId25" ref="Q27"/>
    <hyperlink r:id="rId26" ref="AB27"/>
    <hyperlink r:id="rId27" ref="Q28"/>
    <hyperlink r:id="rId28" ref="AB28"/>
    <hyperlink r:id="rId29" ref="Q29"/>
    <hyperlink r:id="rId30" ref="AB29"/>
    <hyperlink r:id="rId31" ref="Q30"/>
    <hyperlink r:id="rId32" ref="Q31"/>
    <hyperlink r:id="rId33" ref="Q32"/>
    <hyperlink r:id="rId34" ref="Q33"/>
    <hyperlink r:id="rId35" ref="Q34"/>
    <hyperlink r:id="rId36" ref="Q35"/>
    <hyperlink r:id="rId37" ref="Q36"/>
    <hyperlink r:id="rId38" ref="Q37"/>
    <hyperlink r:id="rId39" ref="Q38"/>
    <hyperlink r:id="rId40" ref="Q39"/>
    <hyperlink r:id="rId41" ref="Q40"/>
    <hyperlink r:id="rId42" ref="E41"/>
    <hyperlink r:id="rId43" ref="Q41"/>
    <hyperlink r:id="rId44" ref="Q42"/>
    <hyperlink r:id="rId45" ref="E43"/>
    <hyperlink r:id="rId46" ref="Q43"/>
    <hyperlink r:id="rId47" ref="Q44"/>
    <hyperlink r:id="rId48" ref="AB44"/>
    <hyperlink r:id="rId49" location="appName=DBHCHTApp-787771102-23-06-21&amp;vss=H4sIAAAAAAAAA6WPwU4CMRCG32XOhTRlIaFX9WAMHIR4kHqodNY07Lab7aCSTd-dqUI03NDj_DPfNzMDvHv8WJHd7kBvhp_qAQ-gYTCwPnRoQBu4iYH62BgQBpa2_Q5XSOTDWzKQIb-IM0-YQA_X4fp_2wV4h4F87bEvrkKy48Rxu1AcnBnIAto92dcGvw4uzGn4clLAY4zESR37lqtbS5aZtuNISVWN5GykqrVUulJ6KsdzOZ3MZ5PnclO6D3fO0yI6Vta2SZgzb67jdp_QPfHDf3i0SD87G9xv7RGGjFddywEAAA==&amp;view=Settings" ref="Q45"/>
    <hyperlink r:id="rId50" ref="AB45"/>
    <hyperlink r:id="rId51" ref="E46"/>
    <hyperlink r:id="rId52" ref="Q47"/>
    <hyperlink r:id="rId53" ref="Q48"/>
    <hyperlink r:id="rId54" ref="E49"/>
    <hyperlink r:id="rId55" ref="Q49"/>
    <hyperlink r:id="rId56" ref="E50"/>
    <hyperlink r:id="rId57" ref="M50"/>
    <hyperlink r:id="rId58" ref="Q50"/>
    <hyperlink r:id="rId59" ref="Q52"/>
    <hyperlink r:id="rId60" ref="Q53"/>
    <hyperlink r:id="rId61" ref="Q54"/>
    <hyperlink r:id="rId62" ref="Q55"/>
    <hyperlink r:id="rId63" ref="Q56"/>
    <hyperlink r:id="rId64" ref="Q58"/>
    <hyperlink r:id="rId65" ref="Q59"/>
    <hyperlink r:id="rId66" ref="Q60"/>
    <hyperlink r:id="rId67" ref="Q61"/>
    <hyperlink r:id="rId68" ref="Q63"/>
    <hyperlink r:id="rId69" ref="Q64"/>
    <hyperlink r:id="rId70" ref="Q65"/>
    <hyperlink r:id="rId71" ref="Q67"/>
    <hyperlink r:id="rId72" ref="Q71"/>
    <hyperlink r:id="rId73" ref="Q72"/>
    <hyperlink r:id="rId74" ref="E73"/>
    <hyperlink r:id="rId75" ref="Q73"/>
    <hyperlink r:id="rId76" ref="E74"/>
    <hyperlink r:id="rId77" ref="Q74"/>
    <hyperlink r:id="rId78" ref="Q75"/>
    <hyperlink r:id="rId79" ref="E76"/>
    <hyperlink r:id="rId80" ref="Q76"/>
    <hyperlink r:id="rId81" ref="E77"/>
    <hyperlink r:id="rId82" ref="Q77"/>
    <hyperlink r:id="rId83" ref="Q78"/>
    <hyperlink r:id="rId84" ref="E79"/>
    <hyperlink r:id="rId85" ref="Q79"/>
    <hyperlink r:id="rId86" ref="E80"/>
    <hyperlink r:id="rId87" ref="Q80"/>
    <hyperlink r:id="rId88" ref="E81"/>
    <hyperlink r:id="rId89" ref="Q81"/>
    <hyperlink r:id="rId90" ref="W81"/>
    <hyperlink r:id="rId91" ref="Q82"/>
    <hyperlink r:id="rId92" ref="W82"/>
    <hyperlink r:id="rId93" ref="Q83"/>
    <hyperlink r:id="rId94" ref="E84"/>
    <hyperlink r:id="rId95" ref="Q84"/>
    <hyperlink r:id="rId96" ref="E85"/>
    <hyperlink r:id="rId97" ref="Q85"/>
    <hyperlink r:id="rId98" ref="Q86"/>
    <hyperlink r:id="rId99" ref="E87"/>
    <hyperlink r:id="rId100" ref="Q87"/>
    <hyperlink r:id="rId101" ref="E88"/>
    <hyperlink r:id="rId102" ref="Q88"/>
    <hyperlink r:id="rId103" ref="Q89"/>
    <hyperlink r:id="rId104" ref="Q90"/>
    <hyperlink r:id="rId105" ref="Q91"/>
    <hyperlink r:id="rId106" ref="Q92"/>
    <hyperlink r:id="rId107" ref="Q93"/>
    <hyperlink r:id="rId108" ref="Q94"/>
    <hyperlink r:id="rId109" ref="E95"/>
    <hyperlink r:id="rId110" ref="Q95"/>
    <hyperlink r:id="rId111" ref="Q96"/>
    <hyperlink r:id="rId112" ref="E97"/>
    <hyperlink r:id="rId113" ref="Q97"/>
    <hyperlink r:id="rId114" location="/" ref="Q98"/>
    <hyperlink r:id="rId115" location="/home/login" ref="Q99"/>
    <hyperlink r:id="rId116" ref="Q100"/>
    <hyperlink r:id="rId117" ref="Q101"/>
    <hyperlink r:id="rId118" ref="E102"/>
    <hyperlink r:id="rId119" ref="Q102"/>
    <hyperlink r:id="rId120" ref="E103"/>
    <hyperlink r:id="rId121" ref="Q103"/>
    <hyperlink r:id="rId122" ref="E104"/>
    <hyperlink r:id="rId123" ref="Q104"/>
    <hyperlink r:id="rId124" ref="F105"/>
    <hyperlink r:id="rId125" ref="Q106"/>
    <hyperlink r:id="rId126" ref="Q107"/>
    <hyperlink r:id="rId127" ref="Q108"/>
    <hyperlink r:id="rId128" ref="Q109"/>
    <hyperlink r:id="rId129" ref="Q110"/>
    <hyperlink r:id="rId130" ref="Q111"/>
    <hyperlink r:id="rId131" ref="Q112"/>
    <hyperlink r:id="rId132" ref="Q113"/>
    <hyperlink r:id="rId133" ref="Q115"/>
    <hyperlink r:id="rId134" ref="E116"/>
    <hyperlink r:id="rId135" ref="E117"/>
    <hyperlink r:id="rId136" ref="Q117"/>
    <hyperlink r:id="rId137" ref="E118"/>
    <hyperlink r:id="rId138" ref="Q118"/>
    <hyperlink r:id="rId139" ref="E119"/>
    <hyperlink r:id="rId140" ref="Q119"/>
    <hyperlink r:id="rId141" ref="E120"/>
    <hyperlink r:id="rId142" ref="M120"/>
    <hyperlink r:id="rId143" ref="Q120"/>
    <hyperlink r:id="rId144" ref="Q121"/>
    <hyperlink r:id="rId145" ref="Q122"/>
    <hyperlink r:id="rId146" ref="E123"/>
    <hyperlink r:id="rId147" ref="Q123"/>
    <hyperlink r:id="rId148" ref="E124"/>
    <hyperlink r:id="rId149" ref="Q124"/>
    <hyperlink r:id="rId150" ref="E125"/>
    <hyperlink r:id="rId151" ref="Q125"/>
    <hyperlink r:id="rId152" ref="Q126"/>
    <hyperlink r:id="rId153" ref="E127"/>
    <hyperlink r:id="rId154" ref="Q127"/>
    <hyperlink r:id="rId155" ref="E128"/>
    <hyperlink r:id="rId156" ref="Q128"/>
    <hyperlink r:id="rId157" ref="E129"/>
    <hyperlink r:id="rId158" ref="Q129"/>
    <hyperlink r:id="rId159" ref="E130"/>
    <hyperlink r:id="rId160" ref="Q130"/>
    <hyperlink r:id="rId161" ref="E131"/>
    <hyperlink r:id="rId162" ref="Q131"/>
    <hyperlink r:id="rId163" ref="E132"/>
    <hyperlink r:id="rId164" ref="Q132"/>
    <hyperlink r:id="rId165" ref="Q133"/>
    <hyperlink r:id="rId166" ref="Q134"/>
    <hyperlink r:id="rId167" ref="AB134"/>
    <hyperlink r:id="rId168" ref="Q135"/>
    <hyperlink r:id="rId169" ref="Q136"/>
    <hyperlink r:id="rId170" ref="AB136"/>
    <hyperlink r:id="rId171" ref="E137"/>
    <hyperlink r:id="rId172" ref="Q137"/>
    <hyperlink r:id="rId173" ref="AB137"/>
    <hyperlink r:id="rId174" ref="E138"/>
    <hyperlink r:id="rId175" ref="Q138"/>
    <hyperlink r:id="rId176" ref="Q139"/>
    <hyperlink r:id="rId177" ref="Q140"/>
    <hyperlink r:id="rId178" ref="Q141"/>
    <hyperlink r:id="rId179" ref="E142"/>
    <hyperlink r:id="rId180" ref="Q142"/>
    <hyperlink r:id="rId181" ref="E143"/>
    <hyperlink r:id="rId182" ref="Q143"/>
    <hyperlink r:id="rId183" ref="E144"/>
    <hyperlink r:id="rId184" ref="Q144"/>
    <hyperlink r:id="rId185" ref="E145"/>
    <hyperlink r:id="rId186" ref="Q145"/>
    <hyperlink r:id="rId187" ref="Q146"/>
    <hyperlink r:id="rId188" ref="E147"/>
    <hyperlink r:id="rId189" ref="Q147"/>
    <hyperlink r:id="rId190" ref="AD147"/>
    <hyperlink r:id="rId191" ref="Q148"/>
    <hyperlink r:id="rId192" ref="E149"/>
    <hyperlink r:id="rId193" ref="Q149"/>
    <hyperlink r:id="rId194" ref="Q150"/>
    <hyperlink r:id="rId195" ref="Q151"/>
    <hyperlink r:id="rId196" ref="E152"/>
    <hyperlink r:id="rId197" location="pembukuan" ref="Q152"/>
    <hyperlink r:id="rId198" ref="E153"/>
    <hyperlink r:id="rId199" ref="Q153"/>
    <hyperlink r:id="rId200" ref="E154"/>
    <hyperlink r:id="rId201" ref="Q154"/>
    <hyperlink r:id="rId202" ref="Q155"/>
    <hyperlink r:id="rId203" ref="Q156"/>
    <hyperlink r:id="rId204" ref="E157"/>
    <hyperlink r:id="rId205" ref="Q157"/>
    <hyperlink r:id="rId206" ref="E158"/>
    <hyperlink r:id="rId207" ref="E159"/>
    <hyperlink r:id="rId208" ref="Q159"/>
    <hyperlink r:id="rId209" ref="E160"/>
    <hyperlink r:id="rId210" ref="Q160"/>
    <hyperlink r:id="rId211" ref="Q161"/>
    <hyperlink r:id="rId212" ref="E162"/>
    <hyperlink r:id="rId213" ref="Q162"/>
    <hyperlink r:id="rId214" ref="AD162"/>
    <hyperlink r:id="rId215" ref="E163"/>
    <hyperlink r:id="rId216" ref="Q163"/>
    <hyperlink r:id="rId217" ref="E164"/>
    <hyperlink r:id="rId218" ref="Q164"/>
    <hyperlink r:id="rId219" ref="E165"/>
    <hyperlink r:id="rId220" ref="Q165"/>
    <hyperlink r:id="rId221" ref="E166"/>
    <hyperlink r:id="rId222" ref="E167"/>
    <hyperlink r:id="rId223" ref="Q167"/>
    <hyperlink r:id="rId224" ref="Q168"/>
    <hyperlink r:id="rId225" ref="Q169"/>
    <hyperlink r:id="rId226" ref="Q170"/>
    <hyperlink r:id="rId227" ref="AB170"/>
    <hyperlink r:id="rId228" ref="Q171"/>
    <hyperlink r:id="rId229" ref="Q173"/>
    <hyperlink r:id="rId230" ref="Q174"/>
    <hyperlink r:id="rId231" ref="Q175"/>
    <hyperlink r:id="rId232" ref="Q176"/>
    <hyperlink r:id="rId233" ref="Q177"/>
    <hyperlink r:id="rId234" ref="Q178"/>
    <hyperlink r:id="rId235" ref="AB178"/>
    <hyperlink r:id="rId236" ref="Q179"/>
    <hyperlink r:id="rId237" ref="E180"/>
    <hyperlink r:id="rId238" ref="Q182"/>
    <hyperlink r:id="rId239" ref="E183"/>
    <hyperlink r:id="rId240" ref="Q184"/>
    <hyperlink r:id="rId241" ref="Q185"/>
    <hyperlink r:id="rId242" ref="Q189"/>
    <hyperlink r:id="rId243" ref="W189"/>
    <hyperlink r:id="rId244" ref="AB189"/>
    <hyperlink r:id="rId245" ref="E191"/>
    <hyperlink r:id="rId246" ref="Q192"/>
    <hyperlink r:id="rId247" ref="Q193"/>
    <hyperlink r:id="rId248" ref="E195"/>
    <hyperlink r:id="rId249" ref="Q195"/>
    <hyperlink r:id="rId250" ref="Q196"/>
    <hyperlink r:id="rId251" ref="D197"/>
    <hyperlink r:id="rId252" ref="E197"/>
    <hyperlink r:id="rId253" ref="Q197"/>
    <hyperlink r:id="rId254" ref="Q198"/>
    <hyperlink r:id="rId255" ref="Q199"/>
    <hyperlink r:id="rId256" ref="Q200"/>
    <hyperlink r:id="rId257" ref="AB201"/>
    <hyperlink r:id="rId258" ref="Q202"/>
    <hyperlink r:id="rId259" ref="Q203"/>
    <hyperlink r:id="rId260" ref="D204"/>
    <hyperlink r:id="rId261" ref="E204"/>
    <hyperlink r:id="rId262" ref="Q204"/>
  </hyperlinks>
  <drawing r:id="rId26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9999"/>
    <outlinePr summaryBelow="0" summaryRight="0"/>
  </sheetPr>
  <sheetViews>
    <sheetView workbookViewId="0"/>
  </sheetViews>
  <sheetFormatPr customHeight="1" defaultColWidth="12.63" defaultRowHeight="15.75"/>
  <cols>
    <col customWidth="1" min="1" max="1" width="5.88"/>
    <col customWidth="1" min="2" max="2" width="50.0"/>
    <col customWidth="1" min="3" max="3" width="20.63"/>
    <col customWidth="1" min="4" max="4" width="22.25"/>
    <col customWidth="1" min="5" max="5" width="14.25"/>
    <col customWidth="1" min="8" max="8" width="40.0"/>
    <col customWidth="1" min="9" max="9" width="15.88"/>
    <col customWidth="1" min="10" max="10" width="15.5"/>
  </cols>
  <sheetData>
    <row r="1">
      <c r="A1" s="293" t="s">
        <v>3752</v>
      </c>
      <c r="D1" s="293"/>
    </row>
    <row r="2">
      <c r="A2" s="294" t="s">
        <v>0</v>
      </c>
      <c r="B2" s="295" t="s">
        <v>3753</v>
      </c>
      <c r="C2" s="295" t="s">
        <v>3754</v>
      </c>
      <c r="D2" s="296" t="s">
        <v>14</v>
      </c>
      <c r="E2" s="296" t="s">
        <v>13</v>
      </c>
      <c r="G2" s="297" t="s">
        <v>3755</v>
      </c>
    </row>
    <row r="3">
      <c r="A3" s="298">
        <v>1.0</v>
      </c>
      <c r="B3" s="298" t="str">
        <f>Kertaskerja_Final!M:M</f>
        <v>KANDAGA</v>
      </c>
      <c r="C3" s="298" t="str">
        <f>Kertaskerja_Final!U:U</f>
        <v/>
      </c>
      <c r="D3" s="298" t="str">
        <f>Kertaskerja_Final!O:O</f>
        <v/>
      </c>
      <c r="E3" s="299" t="str">
        <f>Kertaskerja_Final!N:N</f>
        <v/>
      </c>
      <c r="G3" s="26" t="s">
        <v>3756</v>
      </c>
    </row>
    <row r="4">
      <c r="A4" s="298">
        <v>2.0</v>
      </c>
      <c r="B4" s="298" t="str">
        <f>Kertaskerja_Final!M:M</f>
        <v>KIM</v>
      </c>
      <c r="C4" s="298" t="str">
        <f>Kertaskerja_Final!U:U</f>
        <v/>
      </c>
      <c r="D4" s="298" t="str">
        <f>Kertaskerja_Final!O:O</f>
        <v>Pusat</v>
      </c>
      <c r="E4" s="299" t="str">
        <f>Kertaskerja_Final!N:N</f>
        <v/>
      </c>
    </row>
    <row r="5">
      <c r="A5" s="298">
        <v>3.0</v>
      </c>
      <c r="B5" s="298" t="str">
        <f>Kertaskerja_Final!M:M</f>
        <v>PORTAL KAB BANDUNG</v>
      </c>
      <c r="C5" s="298" t="str">
        <f>Kertaskerja_Final!U:U</f>
        <v/>
      </c>
      <c r="D5" s="298" t="str">
        <f>Kertaskerja_Final!O:O</f>
        <v>Kab. Bandung</v>
      </c>
      <c r="E5" s="299" t="str">
        <f>Kertaskerja_Final!N:N</f>
        <v>Diskominfo</v>
      </c>
      <c r="G5" s="293" t="s">
        <v>3757</v>
      </c>
      <c r="I5" s="26" t="s">
        <v>3758</v>
      </c>
      <c r="J5" s="26" t="s">
        <v>3759</v>
      </c>
    </row>
    <row r="6">
      <c r="A6" s="298">
        <v>4.0</v>
      </c>
      <c r="B6" s="298" t="str">
        <f>Kertaskerja_Final!M:M</f>
        <v>SMART CITY</v>
      </c>
      <c r="C6" s="298" t="str">
        <f>Kertaskerja_Final!U:U</f>
        <v/>
      </c>
      <c r="D6" s="298" t="str">
        <f>Kertaskerja_Final!O:O</f>
        <v/>
      </c>
      <c r="E6" s="299" t="str">
        <f>Kertaskerja_Final!N:N</f>
        <v/>
      </c>
      <c r="H6" s="26" t="s">
        <v>3760</v>
      </c>
      <c r="I6" s="300">
        <v>202.0</v>
      </c>
      <c r="J6" s="300">
        <v>195.0</v>
      </c>
    </row>
    <row r="7">
      <c r="A7" s="298">
        <v>5.0</v>
      </c>
      <c r="B7" s="298" t="str">
        <f>Kertaskerja_Final!M:M</f>
        <v>SIMASLAHAT</v>
      </c>
      <c r="C7" s="298" t="str">
        <f>Kertaskerja_Final!U:U</f>
        <v>Aktif</v>
      </c>
      <c r="D7" s="298" t="str">
        <f>Kertaskerja_Final!O:O</f>
        <v>Kab. Bandung</v>
      </c>
      <c r="E7" s="299" t="str">
        <f>Kertaskerja_Final!N:N</f>
        <v>Pihak Ke 3</v>
      </c>
      <c r="H7" s="26" t="s">
        <v>3761</v>
      </c>
      <c r="I7" s="301">
        <v>72.0</v>
      </c>
      <c r="J7" s="301">
        <v>70.0</v>
      </c>
    </row>
    <row r="8">
      <c r="A8" s="298">
        <v>6.0</v>
      </c>
      <c r="B8" s="298" t="str">
        <f>Kertaskerja_Final!M:M</f>
        <v>SP4N Lapor</v>
      </c>
      <c r="C8" s="298" t="str">
        <f>Kertaskerja_Final!U:U</f>
        <v>Aktif</v>
      </c>
      <c r="D8" s="298" t="str">
        <f>Kertaskerja_Final!O:O</f>
        <v>Pusat</v>
      </c>
      <c r="E8" s="299" t="str">
        <f>Kertaskerja_Final!N:N</f>
        <v>Pusat</v>
      </c>
      <c r="H8" s="26" t="s">
        <v>3762</v>
      </c>
      <c r="I8" s="301">
        <v>6.0</v>
      </c>
      <c r="J8" s="301">
        <v>6.0</v>
      </c>
    </row>
    <row r="9">
      <c r="A9" s="298">
        <v>7.0</v>
      </c>
      <c r="B9" s="298" t="str">
        <f>Kertaskerja_Final!M:M</f>
        <v>SIMASDA</v>
      </c>
      <c r="C9" s="298" t="str">
        <f>Kertaskerja_Final!U:U</f>
        <v>Aktif</v>
      </c>
      <c r="D9" s="298" t="str">
        <f>Kertaskerja_Final!O:O</f>
        <v>Kab. Bandung</v>
      </c>
      <c r="E9" s="299" t="str">
        <f>Kertaskerja_Final!N:N</f>
        <v>Diskominfo</v>
      </c>
      <c r="H9" s="302" t="s">
        <v>3763</v>
      </c>
      <c r="I9" s="303">
        <v>103.0</v>
      </c>
      <c r="J9" s="303">
        <v>98.0</v>
      </c>
    </row>
    <row r="10">
      <c r="A10" s="298">
        <v>8.0</v>
      </c>
      <c r="B10" s="298" t="str">
        <f>Kertaskerja_Final!M:M</f>
        <v>SIREKON</v>
      </c>
      <c r="C10" s="298" t="str">
        <f>Kertaskerja_Final!U:U</f>
        <v>Aktif</v>
      </c>
      <c r="D10" s="298" t="str">
        <f>Kertaskerja_Final!O:O</f>
        <v>Kab. Bandung</v>
      </c>
      <c r="E10" s="299" t="str">
        <f>Kertaskerja_Final!N:N</f>
        <v>Pihak Ke 3</v>
      </c>
      <c r="H10" s="26" t="s">
        <v>3764</v>
      </c>
      <c r="I10" s="26">
        <v>12.0</v>
      </c>
      <c r="J10" s="26">
        <v>12.0</v>
      </c>
    </row>
    <row r="11">
      <c r="A11" s="298">
        <v>9.0</v>
      </c>
      <c r="B11" s="298" t="str">
        <f>Kertaskerja_Final!M:M</f>
        <v>Coretax</v>
      </c>
      <c r="C11" s="298" t="str">
        <f>Kertaskerja_Final!U:U</f>
        <v>Aktif</v>
      </c>
      <c r="D11" s="298" t="str">
        <f>Kertaskerja_Final!O:O</f>
        <v>Pusat</v>
      </c>
      <c r="E11" s="299" t="str">
        <f>Kertaskerja_Final!N:N</f>
        <v>Pusat</v>
      </c>
      <c r="H11" s="26" t="s">
        <v>3765</v>
      </c>
      <c r="I11" s="26">
        <v>9.0</v>
      </c>
      <c r="J11" s="26">
        <v>9.0</v>
      </c>
    </row>
    <row r="12">
      <c r="A12" s="298">
        <v>10.0</v>
      </c>
      <c r="B12" s="298" t="str">
        <f>Kertaskerja_Final!M:M</f>
        <v>E-SPTPD</v>
      </c>
      <c r="C12" s="298" t="str">
        <f>Kertaskerja_Final!U:U</f>
        <v>Aktif</v>
      </c>
      <c r="D12" s="298" t="str">
        <f>Kertaskerja_Final!O:O</f>
        <v>Kab. Bandung</v>
      </c>
      <c r="E12" s="299" t="str">
        <f>Kertaskerja_Final!N:N</f>
        <v>Pihak Ke 3</v>
      </c>
    </row>
    <row r="13">
      <c r="A13" s="298">
        <v>11.0</v>
      </c>
      <c r="B13" s="298" t="str">
        <f>Kertaskerja_Final!M:M</f>
        <v>IBC (Internet Banking Corporate)</v>
      </c>
      <c r="C13" s="298" t="str">
        <f>Kertaskerja_Final!U:U</f>
        <v>Aktif</v>
      </c>
      <c r="D13" s="298" t="str">
        <f>Kertaskerja_Final!O:O</f>
        <v>Pihak Ke 3 (Lisensi)</v>
      </c>
      <c r="E13" s="299" t="str">
        <f>Kertaskerja_Final!N:N</f>
        <v>Pihak Ke 3</v>
      </c>
      <c r="G13" s="293" t="s">
        <v>3766</v>
      </c>
    </row>
    <row r="14">
      <c r="A14" s="298">
        <v>12.0</v>
      </c>
      <c r="B14" s="298" t="str">
        <f>Kertaskerja_Final!M:M</f>
        <v>SIPD</v>
      </c>
      <c r="C14" s="298" t="str">
        <f>Kertaskerja_Final!U:U</f>
        <v>Aktif</v>
      </c>
      <c r="D14" s="298" t="str">
        <f>Kertaskerja_Final!O:O</f>
        <v>Pusat</v>
      </c>
      <c r="E14" s="299" t="str">
        <f>Kertaskerja_Final!N:N</f>
        <v>Pusat</v>
      </c>
      <c r="H14" s="26" t="s">
        <v>3767</v>
      </c>
      <c r="I14" s="26">
        <v>40.0</v>
      </c>
      <c r="J14" s="26">
        <v>37.0</v>
      </c>
    </row>
    <row r="15">
      <c r="A15" s="298">
        <v>13.0</v>
      </c>
      <c r="B15" s="298" t="str">
        <f>Kertaskerja_Final!M:M</f>
        <v>SULTAN (e-office)</v>
      </c>
      <c r="C15" s="298" t="str">
        <f>Kertaskerja_Final!U:U</f>
        <v>Aktif</v>
      </c>
      <c r="D15" s="298" t="str">
        <f>Kertaskerja_Final!O:O</f>
        <v>Kab. Bandung</v>
      </c>
      <c r="E15" s="299" t="str">
        <f>Kertaskerja_Final!N:N</f>
        <v>Diskominfo</v>
      </c>
      <c r="H15" s="26" t="s">
        <v>3768</v>
      </c>
      <c r="I15" s="26">
        <v>32.0</v>
      </c>
      <c r="J15" s="26">
        <v>31.0</v>
      </c>
    </row>
    <row r="16">
      <c r="A16" s="298">
        <v>14.0</v>
      </c>
      <c r="B16" s="298" t="str">
        <f>Kertaskerja_Final!M:M</f>
        <v>SSH SBU</v>
      </c>
      <c r="C16" s="298" t="str">
        <f>Kertaskerja_Final!U:U</f>
        <v>Aktif</v>
      </c>
      <c r="D16" s="298" t="str">
        <f>Kertaskerja_Final!O:O</f>
        <v>Kab. Bandung</v>
      </c>
      <c r="E16" s="299" t="str">
        <f>Kertaskerja_Final!N:N</f>
        <v>OPD</v>
      </c>
      <c r="H16" s="26" t="s">
        <v>3769</v>
      </c>
      <c r="I16" s="26">
        <v>31.0</v>
      </c>
      <c r="J16" s="26">
        <v>30.0</v>
      </c>
    </row>
    <row r="17">
      <c r="A17" s="298">
        <v>15.0</v>
      </c>
      <c r="B17" s="298" t="str">
        <f>Kertaskerja_Final!M:M</f>
        <v>INDAH</v>
      </c>
      <c r="C17" s="298" t="str">
        <f>Kertaskerja_Final!U:U</f>
        <v>Aktif</v>
      </c>
      <c r="D17" s="298" t="str">
        <f>Kertaskerja_Final!O:O</f>
        <v>Pusat</v>
      </c>
      <c r="E17" s="299" t="str">
        <f>Kertaskerja_Final!N:N</f>
        <v>Pusat</v>
      </c>
    </row>
    <row r="18">
      <c r="A18" s="298">
        <v>16.0</v>
      </c>
      <c r="B18" s="298" t="str">
        <f>Kertaskerja_Final!M:M</f>
        <v>SIMWAS</v>
      </c>
      <c r="C18" s="298" t="str">
        <f>Kertaskerja_Final!U:U</f>
        <v>Aktif</v>
      </c>
      <c r="D18" s="298" t="str">
        <f>Kertaskerja_Final!O:O</f>
        <v>Kab. Bandung</v>
      </c>
      <c r="E18" s="299" t="str">
        <f>Kertaskerja_Final!N:N</f>
        <v>Pihak Ke 3</v>
      </c>
    </row>
    <row r="19">
      <c r="A19" s="298">
        <v>17.0</v>
      </c>
      <c r="B19" s="298" t="str">
        <f>Kertaskerja_Final!M:M</f>
        <v>SIDALMONEP</v>
      </c>
      <c r="C19" s="298" t="str">
        <f>Kertaskerja_Final!U:U</f>
        <v>Aktif</v>
      </c>
      <c r="D19" s="298" t="str">
        <f>Kertaskerja_Final!O:O</f>
        <v>Kab. Bandung</v>
      </c>
      <c r="E19" s="299" t="str">
        <f>Kertaskerja_Final!N:N</f>
        <v>OPD</v>
      </c>
    </row>
    <row r="20">
      <c r="A20" s="298">
        <v>18.0</v>
      </c>
      <c r="B20" s="298" t="str">
        <f>Kertaskerja_Final!M:M</f>
        <v>SIMPEL BKPSDM</v>
      </c>
      <c r="C20" s="298" t="str">
        <f>Kertaskerja_Final!U:U</f>
        <v>Aktif</v>
      </c>
      <c r="D20" s="298" t="str">
        <f>Kertaskerja_Final!O:O</f>
        <v>Kab. Bandung</v>
      </c>
      <c r="E20" s="299" t="str">
        <f>Kertaskerja_Final!N:N</f>
        <v>Diskominfo</v>
      </c>
    </row>
    <row r="21">
      <c r="A21" s="298">
        <v>19.0</v>
      </c>
      <c r="B21" s="298" t="str">
        <f>Kertaskerja_Final!M:M</f>
        <v>SIAKANG</v>
      </c>
      <c r="C21" s="298" t="str">
        <f>Kertaskerja_Final!U:U</f>
        <v>Aktif</v>
      </c>
      <c r="D21" s="298" t="str">
        <f>Kertaskerja_Final!O:O</f>
        <v>Kab. Bandung</v>
      </c>
      <c r="E21" s="299" t="str">
        <f>Kertaskerja_Final!N:N</f>
        <v>OPD</v>
      </c>
    </row>
    <row r="22">
      <c r="A22" s="298">
        <v>20.0</v>
      </c>
      <c r="B22" s="298" t="str">
        <f>Kertaskerja_Final!M:M</f>
        <v>SURABI</v>
      </c>
      <c r="C22" s="298" t="str">
        <f>Kertaskerja_Final!U:U</f>
        <v>Aktif</v>
      </c>
      <c r="D22" s="298" t="str">
        <f>Kertaskerja_Final!O:O</f>
        <v>Provinsi</v>
      </c>
      <c r="E22" s="299" t="str">
        <f>Kertaskerja_Final!N:N</f>
        <v>Provinsi</v>
      </c>
    </row>
    <row r="23">
      <c r="A23" s="298">
        <v>21.0</v>
      </c>
      <c r="B23" s="298" t="str">
        <f>Kertaskerja_Final!M:M</f>
        <v>E-SKM</v>
      </c>
      <c r="C23" s="298" t="str">
        <f>Kertaskerja_Final!U:U</f>
        <v>Aktif</v>
      </c>
      <c r="D23" s="298" t="str">
        <f>Kertaskerja_Final!O:O</f>
        <v>Kab. Bandung</v>
      </c>
      <c r="E23" s="299" t="str">
        <f>Kertaskerja_Final!N:N</f>
        <v>Diskominfo</v>
      </c>
    </row>
    <row r="24">
      <c r="A24" s="298">
        <v>22.0</v>
      </c>
      <c r="B24" s="298" t="str">
        <f>Kertaskerja_Final!M:M</f>
        <v>SITAMPAN</v>
      </c>
      <c r="C24" s="298" t="str">
        <f>Kertaskerja_Final!U:U</f>
        <v>Aktif</v>
      </c>
      <c r="D24" s="298" t="str">
        <f>Kertaskerja_Final!O:O</f>
        <v>Kab. Bandung</v>
      </c>
      <c r="E24" s="299" t="str">
        <f>Kertaskerja_Final!N:N</f>
        <v>Pihak Ke 3</v>
      </c>
    </row>
    <row r="25">
      <c r="A25" s="298">
        <v>23.0</v>
      </c>
      <c r="B25" s="298" t="str">
        <f>Kertaskerja_Final!M:M</f>
        <v>SIAGAN BEDAS</v>
      </c>
      <c r="C25" s="298" t="str">
        <f>Kertaskerja_Final!U:U</f>
        <v>Aktif</v>
      </c>
      <c r="D25" s="298" t="str">
        <f>Kertaskerja_Final!O:O</f>
        <v>Kab. Bandung</v>
      </c>
      <c r="E25" s="299" t="str">
        <f>Kertaskerja_Final!N:N</f>
        <v>Diskominfo</v>
      </c>
    </row>
    <row r="26">
      <c r="A26" s="298">
        <v>24.0</v>
      </c>
      <c r="B26" s="304" t="str">
        <f>Kertaskerja_Final!M:M</f>
        <v>SIMANIS</v>
      </c>
      <c r="C26" s="304" t="str">
        <f>Kertaskerja_Final!U:U</f>
        <v>Non Aktif</v>
      </c>
      <c r="D26" s="304" t="str">
        <f>Kertaskerja_Final!O:O</f>
        <v>Kab. Bandung</v>
      </c>
      <c r="E26" s="305" t="str">
        <f>Kertaskerja_Final!N:N</f>
        <v>Diskominfo</v>
      </c>
    </row>
    <row r="27">
      <c r="A27" s="298">
        <v>25.0</v>
      </c>
      <c r="B27" s="298" t="str">
        <f>Kertaskerja_Final!M:M</f>
        <v>SINAR</v>
      </c>
      <c r="C27" s="298" t="str">
        <f>Kertaskerja_Final!U:U</f>
        <v>Aktif</v>
      </c>
      <c r="D27" s="298" t="str">
        <f>Kertaskerja_Final!O:O</f>
        <v>Pusat</v>
      </c>
      <c r="E27" s="299" t="str">
        <f>Kertaskerja_Final!N:N</f>
        <v>Pusat</v>
      </c>
    </row>
    <row r="28">
      <c r="A28" s="298">
        <v>26.0</v>
      </c>
      <c r="B28" s="298" t="str">
        <f>Kertaskerja_Final!M:M</f>
        <v>SILPPD</v>
      </c>
      <c r="C28" s="298" t="str">
        <f>Kertaskerja_Final!U:U</f>
        <v>Aktif</v>
      </c>
      <c r="D28" s="298" t="str">
        <f>Kertaskerja_Final!O:O</f>
        <v>Pusat</v>
      </c>
      <c r="E28" s="299" t="str">
        <f>Kertaskerja_Final!N:N</f>
        <v>Pusat</v>
      </c>
    </row>
    <row r="29">
      <c r="A29" s="298">
        <v>27.0</v>
      </c>
      <c r="B29" s="298" t="str">
        <f>Kertaskerja_Final!M:M</f>
        <v>e-SPM</v>
      </c>
      <c r="C29" s="298" t="str">
        <f>Kertaskerja_Final!U:U</f>
        <v>Aktif</v>
      </c>
      <c r="D29" s="298" t="str">
        <f>Kertaskerja_Final!O:O</f>
        <v>Pusat</v>
      </c>
      <c r="E29" s="299" t="str">
        <f>Kertaskerja_Final!N:N</f>
        <v>Pusat</v>
      </c>
    </row>
    <row r="30">
      <c r="A30" s="298">
        <v>28.0</v>
      </c>
      <c r="B30" s="298" t="str">
        <f>Kertaskerja_Final!M:M</f>
        <v>PPID</v>
      </c>
      <c r="C30" s="298" t="str">
        <f>Kertaskerja_Final!U:U</f>
        <v>Aktif</v>
      </c>
      <c r="D30" s="298" t="str">
        <f>Kertaskerja_Final!O:O</f>
        <v>Kab. Bandung</v>
      </c>
      <c r="E30" s="299" t="str">
        <f>Kertaskerja_Final!N:N</f>
        <v>Diskominfo</v>
      </c>
    </row>
    <row r="31">
      <c r="A31" s="298">
        <v>29.0</v>
      </c>
      <c r="B31" s="298" t="str">
        <f>Kertaskerja_Final!M:M</f>
        <v>SIPPHADE</v>
      </c>
      <c r="C31" s="298" t="str">
        <f>Kertaskerja_Final!U:U</f>
        <v>Aktif</v>
      </c>
      <c r="D31" s="298" t="str">
        <f>Kertaskerja_Final!O:O</f>
        <v>Kab. Bandung</v>
      </c>
      <c r="E31" s="299" t="str">
        <f>Kertaskerja_Final!N:N</f>
        <v>Diskominfo</v>
      </c>
    </row>
    <row r="32">
      <c r="A32" s="298">
        <v>30.0</v>
      </c>
      <c r="B32" s="298" t="str">
        <f>Kertaskerja_Final!M:M</f>
        <v>SIPATUHBEDAS</v>
      </c>
      <c r="C32" s="298" t="str">
        <f>Kertaskerja_Final!U:U</f>
        <v>Aktif</v>
      </c>
      <c r="D32" s="298" t="str">
        <f>Kertaskerja_Final!O:O</f>
        <v>Kab. Bandung</v>
      </c>
      <c r="E32" s="299" t="str">
        <f>Kertaskerja_Final!N:N</f>
        <v>Diskominfo</v>
      </c>
    </row>
    <row r="33">
      <c r="A33" s="298">
        <v>31.0</v>
      </c>
      <c r="B33" s="298" t="str">
        <f>Kertaskerja_Final!M:M</f>
        <v>SiBERKAH</v>
      </c>
      <c r="C33" s="298" t="str">
        <f>Kertaskerja_Final!U:U</f>
        <v>Aktif</v>
      </c>
      <c r="D33" s="298" t="str">
        <f>Kertaskerja_Final!O:O</f>
        <v>Kab. Bandung</v>
      </c>
      <c r="E33" s="299" t="str">
        <f>Kertaskerja_Final!N:N</f>
        <v>Diskominfo</v>
      </c>
    </row>
    <row r="34">
      <c r="A34" s="298">
        <v>32.0</v>
      </c>
      <c r="B34" s="298" t="str">
        <f>Kertaskerja_Final!M:M</f>
        <v>SIKP</v>
      </c>
      <c r="C34" s="298" t="str">
        <f>Kertaskerja_Final!U:U</f>
        <v>Aktif</v>
      </c>
      <c r="D34" s="298" t="str">
        <f>Kertaskerja_Final!O:O</f>
        <v>Pusat</v>
      </c>
      <c r="E34" s="299" t="str">
        <f>Kertaskerja_Final!N:N</f>
        <v>Pusat</v>
      </c>
    </row>
    <row r="35">
      <c r="A35" s="298">
        <v>33.0</v>
      </c>
      <c r="B35" s="298" t="str">
        <f>Kertaskerja_Final!M:M</f>
        <v>SITPAKD</v>
      </c>
      <c r="C35" s="298" t="str">
        <f>Kertaskerja_Final!U:U</f>
        <v>Aktif</v>
      </c>
      <c r="D35" s="298" t="str">
        <f>Kertaskerja_Final!O:O</f>
        <v>Pusat</v>
      </c>
      <c r="E35" s="299" t="str">
        <f>Kertaskerja_Final!N:N</f>
        <v>Pusat</v>
      </c>
    </row>
    <row r="36">
      <c r="A36" s="298">
        <v>34.0</v>
      </c>
      <c r="B36" s="298" t="str">
        <f>Kertaskerja_Final!M:M</f>
        <v>SIKD</v>
      </c>
      <c r="C36" s="298" t="str">
        <f>Kertaskerja_Final!U:U</f>
        <v>Aktif</v>
      </c>
      <c r="D36" s="298" t="str">
        <f>Kertaskerja_Final!O:O</f>
        <v>Pusat</v>
      </c>
      <c r="E36" s="299" t="str">
        <f>Kertaskerja_Final!N:N</f>
        <v>Pusat</v>
      </c>
    </row>
    <row r="37">
      <c r="A37" s="298">
        <v>35.0</v>
      </c>
      <c r="B37" s="298" t="str">
        <f>Kertaskerja_Final!M:M</f>
        <v>TPIN</v>
      </c>
      <c r="C37" s="298" t="str">
        <f>Kertaskerja_Final!U:U</f>
        <v/>
      </c>
      <c r="D37" s="298" t="str">
        <f>Kertaskerja_Final!O:O</f>
        <v>Pusat</v>
      </c>
      <c r="E37" s="299" t="str">
        <f>Kertaskerja_Final!N:N</f>
        <v>Pusat</v>
      </c>
    </row>
    <row r="38">
      <c r="A38" s="298">
        <v>36.0</v>
      </c>
      <c r="B38" s="298" t="str">
        <f>Kertaskerja_Final!M:M</f>
        <v>PORTALRB</v>
      </c>
      <c r="C38" s="298" t="str">
        <f>Kertaskerja_Final!U:U</f>
        <v>Aktif</v>
      </c>
      <c r="D38" s="298" t="str">
        <f>Kertaskerja_Final!O:O</f>
        <v>Pusat</v>
      </c>
      <c r="E38" s="299" t="str">
        <f>Kertaskerja_Final!N:N</f>
        <v>Pusat</v>
      </c>
    </row>
    <row r="39">
      <c r="A39" s="298">
        <v>37.0</v>
      </c>
      <c r="B39" s="298" t="str">
        <f>Kertaskerja_Final!M:M</f>
        <v>BISAKERJA</v>
      </c>
      <c r="C39" s="298" t="str">
        <f>Kertaskerja_Final!U:U</f>
        <v>Aktif</v>
      </c>
      <c r="D39" s="298" t="str">
        <f>Kertaskerja_Final!O:O</f>
        <v>Kab. Bandung</v>
      </c>
      <c r="E39" s="299" t="str">
        <f>Kertaskerja_Final!N:N</f>
        <v>OPD</v>
      </c>
    </row>
    <row r="40">
      <c r="A40" s="298">
        <v>38.0</v>
      </c>
      <c r="B40" s="298" t="str">
        <f>Kertaskerja_Final!M:M</f>
        <v>e-BUMD</v>
      </c>
      <c r="C40" s="298" t="str">
        <f>Kertaskerja_Final!U:U</f>
        <v>Aktif</v>
      </c>
      <c r="D40" s="298" t="str">
        <f>Kertaskerja_Final!O:O</f>
        <v>Pusat</v>
      </c>
      <c r="E40" s="299" t="str">
        <f>Kertaskerja_Final!N:N</f>
        <v>Pusat</v>
      </c>
    </row>
    <row r="41">
      <c r="A41" s="298">
        <v>39.0</v>
      </c>
      <c r="B41" s="298" t="str">
        <f>Kertaskerja_Final!M:M</f>
        <v>SIMBANGUN</v>
      </c>
      <c r="C41" s="298" t="str">
        <f>Kertaskerja_Final!U:U</f>
        <v>Aktif</v>
      </c>
      <c r="D41" s="298" t="str">
        <f>Kertaskerja_Final!O:O</f>
        <v>Kab. Bandung</v>
      </c>
      <c r="E41" s="299" t="str">
        <f>Kertaskerja_Final!N:N</f>
        <v>Pihak Ke 3</v>
      </c>
    </row>
    <row r="42">
      <c r="A42" s="298">
        <v>40.0</v>
      </c>
      <c r="B42" s="298" t="str">
        <f>Kertaskerja_Final!M:M</f>
        <v>e-LKPJ</v>
      </c>
      <c r="C42" s="298" t="str">
        <f>Kertaskerja_Final!U:U</f>
        <v>Aktif</v>
      </c>
      <c r="D42" s="298" t="str">
        <f>Kertaskerja_Final!O:O</f>
        <v>Pihak Ke 3 (Lisensi)</v>
      </c>
      <c r="E42" s="299" t="str">
        <f>Kertaskerja_Final!N:N</f>
        <v>Pihak Ke 3</v>
      </c>
    </row>
    <row r="43">
      <c r="A43" s="298">
        <v>41.0</v>
      </c>
      <c r="B43" s="298" t="str">
        <f>Kertaskerja_Final!M:M</f>
        <v>SPSE</v>
      </c>
      <c r="C43" s="298" t="str">
        <f>Kertaskerja_Final!U:U</f>
        <v>Aktif</v>
      </c>
      <c r="D43" s="298" t="str">
        <f>Kertaskerja_Final!O:O</f>
        <v>Pusat</v>
      </c>
      <c r="E43" s="299" t="str">
        <f>Kertaskerja_Final!N:N</f>
        <v>Pusat</v>
      </c>
    </row>
    <row r="44">
      <c r="A44" s="298">
        <v>42.0</v>
      </c>
      <c r="B44" s="298" t="str">
        <f>Kertaskerja_Final!M:M</f>
        <v>Dashboard Satgas MBG</v>
      </c>
      <c r="C44" s="298" t="str">
        <f>Kertaskerja_Final!U:U</f>
        <v>Aktif</v>
      </c>
      <c r="D44" s="298" t="str">
        <f>Kertaskerja_Final!O:O</f>
        <v>Kab. Bandung</v>
      </c>
      <c r="E44" s="299" t="str">
        <f>Kertaskerja_Final!N:N</f>
        <v>Diskominfo</v>
      </c>
    </row>
    <row r="45">
      <c r="A45" s="298">
        <v>43.0</v>
      </c>
      <c r="B45" s="298" t="str">
        <f>Kertaskerja_Final!M:M</f>
        <v>e-DBHCHT</v>
      </c>
      <c r="C45" s="298" t="str">
        <f>Kertaskerja_Final!U:U</f>
        <v>Aktif</v>
      </c>
      <c r="D45" s="298" t="str">
        <f>Kertaskerja_Final!O:O</f>
        <v>Provinsi</v>
      </c>
      <c r="E45" s="299" t="str">
        <f>Kertaskerja_Final!N:N</f>
        <v>Provinsi</v>
      </c>
    </row>
    <row r="46">
      <c r="A46" s="298">
        <v>44.0</v>
      </c>
      <c r="B46" s="298" t="str">
        <f>Kertaskerja_Final!M:M</f>
        <v>D'benderang</v>
      </c>
      <c r="C46" s="298" t="str">
        <f>Kertaskerja_Final!U:U</f>
        <v>Maintenance</v>
      </c>
      <c r="D46" s="298" t="str">
        <f>Kertaskerja_Final!O:O</f>
        <v>Kab. Bandung</v>
      </c>
      <c r="E46" s="299" t="str">
        <f>Kertaskerja_Final!N:N</f>
        <v>Diskominfo</v>
      </c>
    </row>
    <row r="47">
      <c r="A47" s="298">
        <v>45.0</v>
      </c>
      <c r="B47" s="298" t="str">
        <f>Kertaskerja_Final!M:M</f>
        <v>Bersih DPRD</v>
      </c>
      <c r="C47" s="298" t="str">
        <f>Kertaskerja_Final!U:U</f>
        <v>Aktif</v>
      </c>
      <c r="D47" s="298" t="str">
        <f>Kertaskerja_Final!O:O</f>
        <v>Kab. Bandung</v>
      </c>
      <c r="E47" s="299" t="str">
        <f>Kertaskerja_Final!N:N</f>
        <v>Diskominfo</v>
      </c>
    </row>
    <row r="48">
      <c r="A48" s="298">
        <v>46.0</v>
      </c>
      <c r="B48" s="298" t="str">
        <f>Kertaskerja_Final!M:M</f>
        <v>Dashboard kunjungan dprd kab bandung</v>
      </c>
      <c r="C48" s="298" t="str">
        <f>Kertaskerja_Final!U:U</f>
        <v>Aktif</v>
      </c>
      <c r="D48" s="298" t="str">
        <f>Kertaskerja_Final!O:O</f>
        <v>Kab. Bandung</v>
      </c>
      <c r="E48" s="299" t="str">
        <f>Kertaskerja_Final!N:N</f>
        <v>Diskominfo</v>
      </c>
    </row>
    <row r="49">
      <c r="A49" s="298">
        <v>47.0</v>
      </c>
      <c r="B49" s="298" t="str">
        <f>Kertaskerja_Final!M:M</f>
        <v>SIMPRODAS</v>
      </c>
      <c r="C49" s="298" t="str">
        <f>Kertaskerja_Final!U:U</f>
        <v>Aktif</v>
      </c>
      <c r="D49" s="298" t="str">
        <f>Kertaskerja_Final!O:O</f>
        <v>Kab. Bandung</v>
      </c>
      <c r="E49" s="299" t="str">
        <f>Kertaskerja_Final!N:N</f>
        <v>Diskominfo</v>
      </c>
    </row>
    <row r="50">
      <c r="A50" s="298">
        <v>48.0</v>
      </c>
      <c r="B50" s="306" t="str">
        <f>Kertaskerja_Final!M:M</f>
        <v>SANTAI</v>
      </c>
      <c r="C50" s="298" t="str">
        <f>Kertaskerja_Final!U:U</f>
        <v>Aktif</v>
      </c>
      <c r="D50" s="298" t="str">
        <f>Kertaskerja_Final!O:O</f>
        <v>Pihak Ke 3 (Lisensi)</v>
      </c>
      <c r="E50" s="299" t="str">
        <f>Kertaskerja_Final!N:N</f>
        <v>OPD</v>
      </c>
    </row>
    <row r="51">
      <c r="A51" s="298">
        <v>49.0</v>
      </c>
      <c r="B51" s="304" t="str">
        <f>Kertaskerja_Final!M:M</f>
        <v>BERSIH</v>
      </c>
      <c r="C51" s="304" t="str">
        <f>Kertaskerja_Final!U:U</f>
        <v>Non Aktif</v>
      </c>
      <c r="D51" s="304" t="str">
        <f>Kertaskerja_Final!O:O</f>
        <v>Kab. Bandung</v>
      </c>
      <c r="E51" s="305" t="str">
        <f>Kertaskerja_Final!N:N</f>
        <v>Pihak Ke 3</v>
      </c>
    </row>
    <row r="52">
      <c r="A52" s="298">
        <v>50.0</v>
      </c>
      <c r="B52" s="298" t="str">
        <f>Kertaskerja_Final!M:M</f>
        <v>Sukizah</v>
      </c>
      <c r="C52" s="298" t="str">
        <f>Kertaskerja_Final!U:U</f>
        <v>Aktif</v>
      </c>
      <c r="D52" s="298" t="str">
        <f>Kertaskerja_Final!O:O</f>
        <v>Kab. Bandung</v>
      </c>
      <c r="E52" s="299" t="str">
        <f>Kertaskerja_Final!N:N</f>
        <v>Diskominfo</v>
      </c>
    </row>
    <row r="53">
      <c r="A53" s="298">
        <v>51.0</v>
      </c>
      <c r="B53" s="298" t="str">
        <f>Kertaskerja_Final!M:M</f>
        <v>Dapodik</v>
      </c>
      <c r="C53" s="298" t="str">
        <f>Kertaskerja_Final!U:U</f>
        <v>Aktif</v>
      </c>
      <c r="D53" s="298" t="str">
        <f>Kertaskerja_Final!O:O</f>
        <v>Pusat</v>
      </c>
      <c r="E53" s="299" t="str">
        <f>Kertaskerja_Final!N:N</f>
        <v>Pusat</v>
      </c>
    </row>
    <row r="54">
      <c r="A54" s="298">
        <v>52.0</v>
      </c>
      <c r="B54" s="298" t="str">
        <f>Kertaskerja_Final!M:M</f>
        <v>Multisite Edu</v>
      </c>
      <c r="C54" s="298" t="str">
        <f>Kertaskerja_Final!U:U</f>
        <v>Aktif</v>
      </c>
      <c r="D54" s="298" t="str">
        <f>Kertaskerja_Final!O:O</f>
        <v>Kab. Bandung</v>
      </c>
      <c r="E54" s="299" t="str">
        <f>Kertaskerja_Final!N:N</f>
        <v>Diskominfo</v>
      </c>
    </row>
    <row r="55">
      <c r="A55" s="298">
        <v>53.0</v>
      </c>
      <c r="B55" s="298" t="str">
        <f>Kertaskerja_Final!M:M</f>
        <v>SPMBE</v>
      </c>
      <c r="C55" s="298" t="str">
        <f>Kertaskerja_Final!U:U</f>
        <v>Aktif</v>
      </c>
      <c r="D55" s="298" t="str">
        <f>Kertaskerja_Final!O:O</f>
        <v>Kab. Bandung</v>
      </c>
      <c r="E55" s="299" t="str">
        <f>Kertaskerja_Final!N:N</f>
        <v>Diskominfo</v>
      </c>
    </row>
    <row r="56">
      <c r="A56" s="298">
        <v>54.0</v>
      </c>
      <c r="B56" s="298" t="str">
        <f>Kertaskerja_Final!M:M</f>
        <v>PSC Kemenkes</v>
      </c>
      <c r="C56" s="298" t="str">
        <f>Kertaskerja_Final!U:U</f>
        <v>Aktif</v>
      </c>
      <c r="D56" s="298" t="str">
        <f>Kertaskerja_Final!O:O</f>
        <v>Pusat</v>
      </c>
      <c r="E56" s="299" t="str">
        <f>Kertaskerja_Final!N:N</f>
        <v>Pusat</v>
      </c>
    </row>
    <row r="57">
      <c r="A57" s="298">
        <v>55.0</v>
      </c>
      <c r="B57" s="298" t="str">
        <f>Kertaskerja_Final!M:M</f>
        <v>SILABKES</v>
      </c>
      <c r="C57" s="298" t="str">
        <f>Kertaskerja_Final!U:U</f>
        <v/>
      </c>
      <c r="D57" s="298" t="str">
        <f>Kertaskerja_Final!O:O</f>
        <v/>
      </c>
      <c r="E57" s="299" t="str">
        <f>Kertaskerja_Final!N:N</f>
        <v>Pihak Ke 3</v>
      </c>
    </row>
    <row r="58">
      <c r="A58" s="298">
        <v>56.0</v>
      </c>
      <c r="B58" s="298" t="str">
        <f>Kertaskerja_Final!M:M</f>
        <v>APLIKASI Sistem Kewaspadaan Dini dan Respon</v>
      </c>
      <c r="C58" s="298" t="str">
        <f>Kertaskerja_Final!U:U</f>
        <v>Aktif</v>
      </c>
      <c r="D58" s="298" t="str">
        <f>Kertaskerja_Final!O:O</f>
        <v>Pusat</v>
      </c>
      <c r="E58" s="299" t="str">
        <f>Kertaskerja_Final!N:N</f>
        <v>Pusat</v>
      </c>
    </row>
    <row r="59">
      <c r="A59" s="298">
        <v>57.0</v>
      </c>
      <c r="B59" s="304" t="str">
        <f>Kertaskerja_Final!M:M</f>
        <v>SIPTM</v>
      </c>
      <c r="C59" s="304" t="str">
        <f>Kertaskerja_Final!U:U</f>
        <v>Non Aktif</v>
      </c>
      <c r="D59" s="304" t="str">
        <f>Kertaskerja_Final!O:O</f>
        <v>Pusat</v>
      </c>
      <c r="E59" s="305" t="str">
        <f>Kertaskerja_Final!N:N</f>
        <v>Pusat</v>
      </c>
    </row>
    <row r="60">
      <c r="A60" s="298">
        <v>58.0</v>
      </c>
      <c r="B60" s="298" t="str">
        <f>Kertaskerja_Final!M:M</f>
        <v>SEHAT INDONESIAKU</v>
      </c>
      <c r="C60" s="298" t="str">
        <f>Kertaskerja_Final!U:U</f>
        <v>Aktif</v>
      </c>
      <c r="D60" s="298" t="str">
        <f>Kertaskerja_Final!O:O</f>
        <v>Pusat</v>
      </c>
      <c r="E60" s="299" t="str">
        <f>Kertaskerja_Final!N:N</f>
        <v>Pusat</v>
      </c>
    </row>
    <row r="61">
      <c r="A61" s="298">
        <v>59.0</v>
      </c>
      <c r="B61" s="298" t="str">
        <f>Kertaskerja_Final!M:M</f>
        <v>SIPNAP</v>
      </c>
      <c r="C61" s="298" t="str">
        <f>Kertaskerja_Final!U:U</f>
        <v>Aktif</v>
      </c>
      <c r="D61" s="298" t="str">
        <f>Kertaskerja_Final!O:O</f>
        <v>Pusat</v>
      </c>
      <c r="E61" s="299" t="str">
        <f>Kertaskerja_Final!N:N</f>
        <v>Pusat</v>
      </c>
    </row>
    <row r="62">
      <c r="A62" s="298">
        <v>60.0</v>
      </c>
      <c r="B62" s="298" t="str">
        <f>Kertaskerja_Final!M:M</f>
        <v>SIMPUS</v>
      </c>
      <c r="C62" s="298" t="str">
        <f>Kertaskerja_Final!U:U</f>
        <v/>
      </c>
      <c r="D62" s="298" t="str">
        <f>Kertaskerja_Final!O:O</f>
        <v/>
      </c>
      <c r="E62" s="299" t="str">
        <f>Kertaskerja_Final!N:N</f>
        <v/>
      </c>
    </row>
    <row r="63">
      <c r="A63" s="298">
        <v>61.0</v>
      </c>
      <c r="B63" s="298" t="str">
        <f>Kertaskerja_Final!M:M</f>
        <v>Sistem Informasi Tuberkulosis (SITB)</v>
      </c>
      <c r="C63" s="298" t="str">
        <f>Kertaskerja_Final!U:U</f>
        <v>Aktif</v>
      </c>
      <c r="D63" s="298" t="str">
        <f>Kertaskerja_Final!O:O</f>
        <v>Pusat</v>
      </c>
      <c r="E63" s="299" t="str">
        <f>Kertaskerja_Final!N:N</f>
        <v>Pusat</v>
      </c>
    </row>
    <row r="64">
      <c r="A64" s="298">
        <v>62.0</v>
      </c>
      <c r="B64" s="298" t="str">
        <f>Kertaskerja_Final!M:M</f>
        <v>ESISMAL</v>
      </c>
      <c r="C64" s="298" t="str">
        <f>Kertaskerja_Final!U:U</f>
        <v>Aktif</v>
      </c>
      <c r="D64" s="298" t="str">
        <f>Kertaskerja_Final!O:O</f>
        <v>Pusat</v>
      </c>
      <c r="E64" s="299" t="str">
        <f>Kertaskerja_Final!N:N</f>
        <v>Pusat</v>
      </c>
    </row>
    <row r="65">
      <c r="A65" s="298">
        <v>63.0</v>
      </c>
      <c r="B65" s="298" t="str">
        <f>Kertaskerja_Final!M:M</f>
        <v>SILANTOR</v>
      </c>
      <c r="C65" s="298" t="str">
        <f>Kertaskerja_Final!U:U</f>
        <v>Aktif</v>
      </c>
      <c r="D65" s="298" t="str">
        <f>Kertaskerja_Final!O:O</f>
        <v>Pusat</v>
      </c>
      <c r="E65" s="299" t="str">
        <f>Kertaskerja_Final!N:N</f>
        <v>Pusat</v>
      </c>
    </row>
    <row r="66">
      <c r="A66" s="298">
        <v>64.0</v>
      </c>
      <c r="B66" s="298" t="str">
        <f>Kertaskerja_Final!M:M</f>
        <v>RENBUT</v>
      </c>
      <c r="C66" s="298" t="str">
        <f>Kertaskerja_Final!U:U</f>
        <v/>
      </c>
      <c r="D66" s="298" t="str">
        <f>Kertaskerja_Final!O:O</f>
        <v/>
      </c>
      <c r="E66" s="299" t="str">
        <f>Kertaskerja_Final!N:N</f>
        <v/>
      </c>
    </row>
    <row r="67">
      <c r="A67" s="298">
        <v>65.0</v>
      </c>
      <c r="B67" s="298" t="str">
        <f>Kertaskerja_Final!M:M</f>
        <v>SIHA</v>
      </c>
      <c r="C67" s="298" t="str">
        <f>Kertaskerja_Final!U:U</f>
        <v>Aktif</v>
      </c>
      <c r="D67" s="298" t="str">
        <f>Kertaskerja_Final!O:O</f>
        <v>Pusat</v>
      </c>
      <c r="E67" s="299" t="str">
        <f>Kertaskerja_Final!N:N</f>
        <v>Pusat</v>
      </c>
    </row>
    <row r="68">
      <c r="A68" s="298">
        <v>66.0</v>
      </c>
      <c r="B68" s="298" t="str">
        <f>Kertaskerja_Final!M:M</f>
        <v>KOMDAT &amp; MICROSITE</v>
      </c>
      <c r="C68" s="298" t="str">
        <f>Kertaskerja_Final!U:U</f>
        <v/>
      </c>
      <c r="D68" s="298" t="str">
        <f>Kertaskerja_Final!O:O</f>
        <v/>
      </c>
      <c r="E68" s="299" t="str">
        <f>Kertaskerja_Final!N:N</f>
        <v/>
      </c>
    </row>
    <row r="69">
      <c r="A69" s="298">
        <v>67.0</v>
      </c>
      <c r="B69" s="298" t="str">
        <f>Kertaskerja_Final!M:M</f>
        <v>E-MONEV TFU</v>
      </c>
      <c r="C69" s="298" t="str">
        <f>Kertaskerja_Final!U:U</f>
        <v/>
      </c>
      <c r="D69" s="298" t="str">
        <f>Kertaskerja_Final!O:O</f>
        <v/>
      </c>
      <c r="E69" s="299" t="str">
        <f>Kertaskerja_Final!N:N</f>
        <v/>
      </c>
    </row>
    <row r="70">
      <c r="A70" s="298">
        <v>68.0</v>
      </c>
      <c r="B70" s="298" t="str">
        <f>Kertaskerja_Final!M:M</f>
        <v>Sigizi Terpadu</v>
      </c>
      <c r="C70" s="298" t="str">
        <f>Kertaskerja_Final!U:U</f>
        <v/>
      </c>
      <c r="D70" s="298" t="str">
        <f>Kertaskerja_Final!O:O</f>
        <v/>
      </c>
      <c r="E70" s="299" t="str">
        <f>Kertaskerja_Final!N:N</f>
        <v/>
      </c>
    </row>
    <row r="71">
      <c r="A71" s="298">
        <v>69.0</v>
      </c>
      <c r="B71" s="298" t="str">
        <f>Kertaskerja_Final!M:M</f>
        <v>SMILE HEALTH</v>
      </c>
      <c r="C71" s="298" t="str">
        <f>Kertaskerja_Final!U:U</f>
        <v>Aktif</v>
      </c>
      <c r="D71" s="298" t="str">
        <f>Kertaskerja_Final!O:O</f>
        <v>Pusat</v>
      </c>
      <c r="E71" s="299" t="str">
        <f>Kertaskerja_Final!N:N</f>
        <v>Pusat</v>
      </c>
    </row>
    <row r="72">
      <c r="A72" s="298">
        <v>70.0</v>
      </c>
      <c r="B72" s="298" t="str">
        <f>Kertaskerja_Final!M:M</f>
        <v>SI PUTRA (sijalak)</v>
      </c>
      <c r="C72" s="298" t="str">
        <f>Kertaskerja_Final!U:U</f>
        <v>Aktif</v>
      </c>
      <c r="D72" s="298" t="str">
        <f>Kertaskerja_Final!O:O</f>
        <v>Kab. Bandung</v>
      </c>
      <c r="E72" s="299" t="str">
        <f>Kertaskerja_Final!N:N</f>
        <v>Pihak Ke 3</v>
      </c>
    </row>
    <row r="73">
      <c r="A73" s="298">
        <v>71.0</v>
      </c>
      <c r="B73" s="298" t="str">
        <f>Kertaskerja_Final!M:M</f>
        <v>SI PUTRA (sibedaspbg)</v>
      </c>
      <c r="C73" s="298" t="str">
        <f>Kertaskerja_Final!U:U</f>
        <v>Aktif</v>
      </c>
      <c r="D73" s="298" t="str">
        <f>Kertaskerja_Final!O:O</f>
        <v>Kab. Bandung</v>
      </c>
      <c r="E73" s="299" t="str">
        <f>Kertaskerja_Final!N:N</f>
        <v>Pihak Ke 3</v>
      </c>
    </row>
    <row r="74">
      <c r="A74" s="298">
        <v>72.0</v>
      </c>
      <c r="B74" s="298" t="str">
        <f>Kertaskerja_Final!M:M</f>
        <v>SI PUTRA (pengaduan)</v>
      </c>
      <c r="C74" s="298" t="str">
        <f>Kertaskerja_Final!U:U</f>
        <v>Aktif</v>
      </c>
      <c r="D74" s="298" t="str">
        <f>Kertaskerja_Final!O:O</f>
        <v>Kab. Bandung</v>
      </c>
      <c r="E74" s="299" t="str">
        <f>Kertaskerja_Final!N:N</f>
        <v>Pihak Ke 3</v>
      </c>
    </row>
    <row r="75">
      <c r="A75" s="298">
        <v>73.0</v>
      </c>
      <c r="B75" s="298" t="str">
        <f>Kertaskerja_Final!M:M</f>
        <v>SI PUTRA (sipedas)</v>
      </c>
      <c r="C75" s="298" t="str">
        <f>Kertaskerja_Final!U:U</f>
        <v>Aktif</v>
      </c>
      <c r="D75" s="298" t="str">
        <f>Kertaskerja_Final!O:O</f>
        <v>Kab. Bandung</v>
      </c>
      <c r="E75" s="299" t="str">
        <f>Kertaskerja_Final!N:N</f>
        <v>Pihak Ke 3</v>
      </c>
    </row>
    <row r="76">
      <c r="A76" s="298">
        <v>74.0</v>
      </c>
      <c r="B76" s="298" t="str">
        <f>Kertaskerja_Final!M:M</f>
        <v>SI PUTRA (sijaga)</v>
      </c>
      <c r="C76" s="298" t="str">
        <f>Kertaskerja_Final!U:U</f>
        <v>Maintenance</v>
      </c>
      <c r="D76" s="298" t="str">
        <f>Kertaskerja_Final!O:O</f>
        <v>Kab. Bandung</v>
      </c>
      <c r="E76" s="299" t="str">
        <f>Kertaskerja_Final!N:N</f>
        <v>Pihak Ke 3</v>
      </c>
    </row>
    <row r="77">
      <c r="A77" s="298">
        <v>75.0</v>
      </c>
      <c r="B77" s="298" t="str">
        <f>Kertaskerja_Final!M:M</f>
        <v>SI PUTRA (sibedas jakon)</v>
      </c>
      <c r="C77" s="298" t="str">
        <f>Kertaskerja_Final!U:U</f>
        <v>Aktif</v>
      </c>
      <c r="D77" s="298" t="str">
        <f>Kertaskerja_Final!O:O</f>
        <v>Kab. Bandung</v>
      </c>
      <c r="E77" s="299" t="str">
        <f>Kertaskerja_Final!N:N</f>
        <v>Pihak Ke 3</v>
      </c>
    </row>
    <row r="78">
      <c r="A78" s="298">
        <v>76.0</v>
      </c>
      <c r="B78" s="298" t="str">
        <f>Kertaskerja_Final!M:M</f>
        <v>SI PUTRA (sibedasok)</v>
      </c>
      <c r="C78" s="298" t="str">
        <f>Kertaskerja_Final!U:U</f>
        <v>Aktif</v>
      </c>
      <c r="D78" s="298" t="str">
        <f>Kertaskerja_Final!O:O</f>
        <v>Kab. Bandung</v>
      </c>
      <c r="E78" s="299" t="str">
        <f>Kertaskerja_Final!N:N</f>
        <v>Pihak Ke 3</v>
      </c>
    </row>
    <row r="79">
      <c r="A79" s="298">
        <v>77.0</v>
      </c>
      <c r="B79" s="298" t="str">
        <f>Kertaskerja_Final!M:M</f>
        <v>SIPIKAT</v>
      </c>
      <c r="C79" s="298" t="str">
        <f>Kertaskerja_Final!U:U</f>
        <v>Aktif</v>
      </c>
      <c r="D79" s="298" t="str">
        <f>Kertaskerja_Final!O:O</f>
        <v>Kab. Bandung</v>
      </c>
      <c r="E79" s="299" t="str">
        <f>Kertaskerja_Final!N:N</f>
        <v>Diskominfo</v>
      </c>
    </row>
    <row r="80">
      <c r="A80" s="298">
        <v>78.0</v>
      </c>
      <c r="B80" s="298" t="str">
        <f>Kertaskerja_Final!M:M</f>
        <v>DIBEDASKEN</v>
      </c>
      <c r="C80" s="298" t="str">
        <f>Kertaskerja_Final!U:U</f>
        <v>Aktif</v>
      </c>
      <c r="D80" s="298" t="str">
        <f>Kertaskerja_Final!O:O</f>
        <v>Kab. Bandung</v>
      </c>
      <c r="E80" s="299" t="str">
        <f>Kertaskerja_Final!N:N</f>
        <v>OPD</v>
      </c>
    </row>
    <row r="81">
      <c r="A81" s="298">
        <v>79.0</v>
      </c>
      <c r="B81" s="298" t="str">
        <f>Kertaskerja_Final!M:M</f>
        <v>SIAP KERJA</v>
      </c>
      <c r="C81" s="298" t="str">
        <f>Kertaskerja_Final!U:U</f>
        <v>Aktif</v>
      </c>
      <c r="D81" s="298" t="str">
        <f>Kertaskerja_Final!O:O</f>
        <v>Pusat</v>
      </c>
      <c r="E81" s="299" t="str">
        <f>Kertaskerja_Final!N:N</f>
        <v>Pusat</v>
      </c>
    </row>
    <row r="82">
      <c r="A82" s="298">
        <v>80.0</v>
      </c>
      <c r="B82" s="298" t="str">
        <f>Kertaskerja_Final!M:M</f>
        <v>Dashnaker Plus</v>
      </c>
      <c r="C82" s="298" t="str">
        <f>Kertaskerja_Final!U:U</f>
        <v>Aktif</v>
      </c>
      <c r="D82" s="298" t="str">
        <f>Kertaskerja_Final!O:O</f>
        <v>Kab. Bandung</v>
      </c>
      <c r="E82" s="299" t="str">
        <f>Kertaskerja_Final!N:N</f>
        <v>Diskominfo</v>
      </c>
    </row>
    <row r="83">
      <c r="A83" s="298">
        <v>81.0</v>
      </c>
      <c r="B83" s="298" t="str">
        <f>Kertaskerja_Final!M:M</f>
        <v>SIBARDUKTRANS</v>
      </c>
      <c r="C83" s="298" t="str">
        <f>Kertaskerja_Final!U:U</f>
        <v>Aktif</v>
      </c>
      <c r="D83" s="298" t="str">
        <f>Kertaskerja_Final!O:O</f>
        <v>Pusat</v>
      </c>
      <c r="E83" s="299" t="str">
        <f>Kertaskerja_Final!N:N</f>
        <v>Pusat</v>
      </c>
    </row>
    <row r="84">
      <c r="A84" s="298">
        <v>82.0</v>
      </c>
      <c r="B84" s="298" t="str">
        <f>Kertaskerja_Final!M:M</f>
        <v>SIPETIK</v>
      </c>
      <c r="C84" s="298" t="str">
        <f>Kertaskerja_Final!U:U</f>
        <v>Aktif</v>
      </c>
      <c r="D84" s="298" t="str">
        <f>Kertaskerja_Final!O:O</f>
        <v>Kab. Bandung</v>
      </c>
      <c r="E84" s="299" t="str">
        <f>Kertaskerja_Final!N:N</f>
        <v>Diskominfo</v>
      </c>
    </row>
    <row r="85">
      <c r="A85" s="298">
        <v>83.0</v>
      </c>
      <c r="B85" s="298" t="str">
        <f>Kertaskerja_Final!M:M</f>
        <v>PPRG BEDAS-G</v>
      </c>
      <c r="C85" s="298" t="str">
        <f>Kertaskerja_Final!U:U</f>
        <v>Aktif</v>
      </c>
      <c r="D85" s="298" t="str">
        <f>Kertaskerja_Final!O:O</f>
        <v>Kab. Bandung</v>
      </c>
      <c r="E85" s="299" t="str">
        <f>Kertaskerja_Final!N:N</f>
        <v>Diskominfo</v>
      </c>
    </row>
    <row r="86">
      <c r="A86" s="298">
        <v>84.0</v>
      </c>
      <c r="B86" s="298" t="str">
        <f>Kertaskerja_Final!M:M</f>
        <v>SIGA</v>
      </c>
      <c r="C86" s="298" t="str">
        <f>Kertaskerja_Final!U:U</f>
        <v>Aktif</v>
      </c>
      <c r="D86" s="298" t="str">
        <f>Kertaskerja_Final!O:O</f>
        <v>Pusat</v>
      </c>
      <c r="E86" s="299" t="str">
        <f>Kertaskerja_Final!N:N</f>
        <v>Pusat</v>
      </c>
    </row>
    <row r="87">
      <c r="A87" s="298">
        <v>85.0</v>
      </c>
      <c r="B87" s="298" t="str">
        <f>Kertaskerja_Final!M:M</f>
        <v>SAPPANA</v>
      </c>
      <c r="C87" s="298" t="str">
        <f>Kertaskerja_Final!U:U</f>
        <v>Aktif</v>
      </c>
      <c r="D87" s="298" t="str">
        <f>Kertaskerja_Final!O:O</f>
        <v>Kab. Bandung</v>
      </c>
      <c r="E87" s="299" t="str">
        <f>Kertaskerja_Final!N:N</f>
        <v>Diskominfo</v>
      </c>
    </row>
    <row r="88">
      <c r="A88" s="298">
        <v>86.0</v>
      </c>
      <c r="B88" s="298" t="str">
        <f>Kertaskerja_Final!M:M</f>
        <v>Simfoni PPA</v>
      </c>
      <c r="C88" s="298" t="str">
        <f>Kertaskerja_Final!U:U</f>
        <v>Aktif</v>
      </c>
      <c r="D88" s="298" t="str">
        <f>Kertaskerja_Final!O:O</f>
        <v>Pusat</v>
      </c>
      <c r="E88" s="299" t="str">
        <f>Kertaskerja_Final!N:N</f>
        <v>Pusat</v>
      </c>
    </row>
    <row r="89">
      <c r="A89" s="298">
        <v>87.0</v>
      </c>
      <c r="B89" s="298" t="str">
        <f>Kertaskerja_Final!M:M</f>
        <v>aplikasi evaluasi KLA</v>
      </c>
      <c r="C89" s="298" t="str">
        <f>Kertaskerja_Final!U:U</f>
        <v>Aktif</v>
      </c>
      <c r="D89" s="298" t="str">
        <f>Kertaskerja_Final!O:O</f>
        <v>Kab. Bandung</v>
      </c>
      <c r="E89" s="299" t="str">
        <f>Kertaskerja_Final!N:N</f>
        <v>Diskominfo</v>
      </c>
    </row>
    <row r="90">
      <c r="A90" s="298">
        <v>88.0</v>
      </c>
      <c r="B90" s="298" t="str">
        <f>Kertaskerja_Final!M:M</f>
        <v>Amdalnet</v>
      </c>
      <c r="C90" s="298" t="str">
        <f>Kertaskerja_Final!U:U</f>
        <v>Aktif</v>
      </c>
      <c r="D90" s="298" t="str">
        <f>Kertaskerja_Final!O:O</f>
        <v>Pusat</v>
      </c>
      <c r="E90" s="299" t="str">
        <f>Kertaskerja_Final!N:N</f>
        <v>Pusat</v>
      </c>
    </row>
    <row r="91">
      <c r="A91" s="298">
        <v>89.0</v>
      </c>
      <c r="B91" s="298" t="str">
        <f>Kertaskerja_Final!M:M</f>
        <v>Sampahkita</v>
      </c>
      <c r="C91" s="298" t="str">
        <f>Kertaskerja_Final!U:U</f>
        <v>Aktif</v>
      </c>
      <c r="D91" s="298" t="str">
        <f>Kertaskerja_Final!O:O</f>
        <v>Provinsi</v>
      </c>
      <c r="E91" s="299" t="str">
        <f>Kertaskerja_Final!N:N</f>
        <v>Provinsi</v>
      </c>
    </row>
    <row r="92">
      <c r="A92" s="298">
        <v>90.0</v>
      </c>
      <c r="B92" s="298" t="str">
        <f>Kertaskerja_Final!M:M</f>
        <v>SIPSN</v>
      </c>
      <c r="C92" s="298" t="str">
        <f>Kertaskerja_Final!U:U</f>
        <v>Aktif</v>
      </c>
      <c r="D92" s="298" t="str">
        <f>Kertaskerja_Final!O:O</f>
        <v>Pusat</v>
      </c>
      <c r="E92" s="299" t="str">
        <f>Kertaskerja_Final!N:N</f>
        <v>Pusat</v>
      </c>
    </row>
    <row r="93">
      <c r="A93" s="298">
        <v>91.0</v>
      </c>
      <c r="B93" s="298" t="str">
        <f>Kertaskerja_Final!M:M</f>
        <v>GeP4K Sayang</v>
      </c>
      <c r="C93" s="298" t="str">
        <f>Kertaskerja_Final!U:U</f>
        <v>Aktif</v>
      </c>
      <c r="D93" s="298" t="str">
        <f>Kertaskerja_Final!O:O</f>
        <v>Kab. Bandung</v>
      </c>
      <c r="E93" s="299" t="str">
        <f>Kertaskerja_Final!N:N</f>
        <v>Diskominfo</v>
      </c>
    </row>
    <row r="94">
      <c r="A94" s="298">
        <v>92.0</v>
      </c>
      <c r="B94" s="298" t="str">
        <f>Kertaskerja_Final!M:M</f>
        <v>Taman Kehati</v>
      </c>
      <c r="C94" s="298" t="str">
        <f>Kertaskerja_Final!U:U</f>
        <v>Aktif</v>
      </c>
      <c r="D94" s="298" t="str">
        <f>Kertaskerja_Final!O:O</f>
        <v>Kab. Bandung</v>
      </c>
      <c r="E94" s="299" t="str">
        <f>Kertaskerja_Final!N:N</f>
        <v>Diskominfo</v>
      </c>
    </row>
    <row r="95">
      <c r="A95" s="298">
        <v>93.0</v>
      </c>
      <c r="B95" s="298" t="str">
        <f>Kertaskerja_Final!M:M</f>
        <v>BDS</v>
      </c>
      <c r="C95" s="298" t="str">
        <f>Kertaskerja_Final!U:U</f>
        <v>Aktif</v>
      </c>
      <c r="D95" s="298" t="str">
        <f>Kertaskerja_Final!O:O</f>
        <v>Kab. Bandung</v>
      </c>
      <c r="E95" s="299" t="str">
        <f>Kertaskerja_Final!N:N</f>
        <v>Diskominfo</v>
      </c>
    </row>
    <row r="96">
      <c r="A96" s="298">
        <v>94.0</v>
      </c>
      <c r="B96" s="298" t="str">
        <f>Kertaskerja_Final!M:M</f>
        <v>SIAK TERPUSAT</v>
      </c>
      <c r="C96" s="298" t="str">
        <f>Kertaskerja_Final!U:U</f>
        <v>Aktif</v>
      </c>
      <c r="D96" s="298" t="str">
        <f>Kertaskerja_Final!O:O</f>
        <v>Pusat</v>
      </c>
      <c r="E96" s="299" t="str">
        <f>Kertaskerja_Final!N:N</f>
        <v>Pusat</v>
      </c>
    </row>
    <row r="97">
      <c r="A97" s="298">
        <v>95.0</v>
      </c>
      <c r="B97" s="304" t="str">
        <f>Kertaskerja_Final!M:M</f>
        <v>lampid</v>
      </c>
      <c r="C97" s="304" t="str">
        <f>Kertaskerja_Final!U:U</f>
        <v>Non Aktif</v>
      </c>
      <c r="D97" s="304" t="str">
        <f>Kertaskerja_Final!O:O</f>
        <v>Kab. Bandung</v>
      </c>
      <c r="E97" s="305" t="str">
        <f>Kertaskerja_Final!N:N</f>
        <v>OPD</v>
      </c>
    </row>
    <row r="98">
      <c r="A98" s="298">
        <v>96.0</v>
      </c>
      <c r="B98" s="298" t="str">
        <f>Kertaskerja_Final!M:M</f>
        <v>SISKEUDES</v>
      </c>
      <c r="C98" s="298" t="str">
        <f>Kertaskerja_Final!U:U</f>
        <v>Aktif</v>
      </c>
      <c r="D98" s="298" t="str">
        <f>Kertaskerja_Final!O:O</f>
        <v>Pusat</v>
      </c>
      <c r="E98" s="299" t="str">
        <f>Kertaskerja_Final!N:N</f>
        <v>Pusat</v>
      </c>
    </row>
    <row r="99">
      <c r="A99" s="298">
        <v>97.0</v>
      </c>
      <c r="B99" s="298" t="str">
        <f>Kertaskerja_Final!M:M</f>
        <v>OM-SPAN</v>
      </c>
      <c r="C99" s="298" t="str">
        <f>Kertaskerja_Final!U:U</f>
        <v>Aktif</v>
      </c>
      <c r="D99" s="298" t="str">
        <f>Kertaskerja_Final!O:O</f>
        <v>Pusat</v>
      </c>
      <c r="E99" s="299" t="str">
        <f>Kertaskerja_Final!N:N</f>
        <v>Pusat</v>
      </c>
    </row>
    <row r="100">
      <c r="A100" s="298">
        <v>98.0</v>
      </c>
      <c r="B100" s="298" t="str">
        <f>Kertaskerja_Final!M:M</f>
        <v>PRODESKEL</v>
      </c>
      <c r="C100" s="298" t="str">
        <f>Kertaskerja_Final!U:U</f>
        <v>Aktif</v>
      </c>
      <c r="D100" s="298" t="str">
        <f>Kertaskerja_Final!O:O</f>
        <v>Pusat</v>
      </c>
      <c r="E100" s="299" t="str">
        <f>Kertaskerja_Final!N:N</f>
        <v>Pusat</v>
      </c>
    </row>
    <row r="101">
      <c r="A101" s="298">
        <v>99.0</v>
      </c>
      <c r="B101" s="298" t="str">
        <f>Kertaskerja_Final!M:M</f>
        <v>EPDESKEL</v>
      </c>
      <c r="C101" s="298" t="str">
        <f>Kertaskerja_Final!U:U</f>
        <v>Aktif</v>
      </c>
      <c r="D101" s="298" t="str">
        <f>Kertaskerja_Final!O:O</f>
        <v>Pusat</v>
      </c>
      <c r="E101" s="299" t="str">
        <f>Kertaskerja_Final!N:N</f>
        <v>Pusat</v>
      </c>
    </row>
    <row r="102">
      <c r="A102" s="298">
        <v>100.0</v>
      </c>
      <c r="B102" s="298" t="str">
        <f>Kertaskerja_Final!M:M</f>
        <v>SIPADES</v>
      </c>
      <c r="C102" s="298" t="str">
        <f>Kertaskerja_Final!U:U</f>
        <v>Maintenance</v>
      </c>
      <c r="D102" s="298" t="str">
        <f>Kertaskerja_Final!O:O</f>
        <v>Pusat</v>
      </c>
      <c r="E102" s="299" t="str">
        <f>Kertaskerja_Final!N:N</f>
        <v>Pusat</v>
      </c>
    </row>
    <row r="103">
      <c r="A103" s="298">
        <v>101.0</v>
      </c>
      <c r="B103" s="298" t="str">
        <f>Kertaskerja_Final!M:M</f>
        <v>SIPANDU BEDAS</v>
      </c>
      <c r="C103" s="298" t="str">
        <f>Kertaskerja_Final!U:U</f>
        <v>Maintenance</v>
      </c>
      <c r="D103" s="298" t="str">
        <f>Kertaskerja_Final!O:O</f>
        <v>Kab. Bandung</v>
      </c>
      <c r="E103" s="299" t="str">
        <f>Kertaskerja_Final!N:N</f>
        <v>Pihak Ke 3</v>
      </c>
    </row>
    <row r="104">
      <c r="A104" s="298">
        <v>102.0</v>
      </c>
      <c r="B104" s="298" t="str">
        <f>Kertaskerja_Final!M:M</f>
        <v>SiPAKADES</v>
      </c>
      <c r="C104" s="298" t="str">
        <f>Kertaskerja_Final!U:U</f>
        <v>Aktif</v>
      </c>
      <c r="D104" s="298" t="str">
        <f>Kertaskerja_Final!O:O</f>
        <v>Kab. Bandung</v>
      </c>
      <c r="E104" s="299" t="str">
        <f>Kertaskerja_Final!N:N</f>
        <v>Pihak Ke 3</v>
      </c>
    </row>
    <row r="105">
      <c r="A105" s="298">
        <v>103.0</v>
      </c>
      <c r="B105" s="298" t="str">
        <f>Kertaskerja_Final!M:M</f>
        <v>SIKUMIS BOKIR</v>
      </c>
      <c r="C105" s="298">
        <f>Kertaskerja_Final!U:U</f>
        <v>2018</v>
      </c>
      <c r="D105" s="298" t="str">
        <f>Kertaskerja_Final!O:O</f>
        <v>Pihak Ke 3 (Lisensi)</v>
      </c>
      <c r="E105" s="299" t="str">
        <f>Kertaskerja_Final!N:N</f>
        <v/>
      </c>
    </row>
    <row r="106">
      <c r="A106" s="298">
        <v>104.0</v>
      </c>
      <c r="B106" s="298" t="str">
        <f>Kertaskerja_Final!M:M</f>
        <v>OSS</v>
      </c>
      <c r="C106" s="298" t="str">
        <f>Kertaskerja_Final!U:U</f>
        <v>Aktif</v>
      </c>
      <c r="D106" s="298" t="str">
        <f>Kertaskerja_Final!O:O</f>
        <v>Pusat</v>
      </c>
      <c r="E106" s="299" t="str">
        <f>Kertaskerja_Final!N:N</f>
        <v>Pusat</v>
      </c>
    </row>
    <row r="107">
      <c r="A107" s="298">
        <v>105.0</v>
      </c>
      <c r="B107" s="298" t="str">
        <f>Kertaskerja_Final!M:M</f>
        <v>SAMIRINDU SILONCER</v>
      </c>
      <c r="C107" s="298" t="str">
        <f>Kertaskerja_Final!U:U</f>
        <v>Aktif</v>
      </c>
      <c r="D107" s="298" t="str">
        <f>Kertaskerja_Final!O:O</f>
        <v>Kab. Bandung</v>
      </c>
      <c r="E107" s="299" t="str">
        <f>Kertaskerja_Final!N:N</f>
        <v>OPD</v>
      </c>
    </row>
    <row r="108">
      <c r="A108" s="298">
        <v>106.0</v>
      </c>
      <c r="B108" s="298" t="str">
        <f>Kertaskerja_Final!M:M</f>
        <v>SIMBG</v>
      </c>
      <c r="C108" s="298" t="str">
        <f>Kertaskerja_Final!U:U</f>
        <v>Aktif</v>
      </c>
      <c r="D108" s="298" t="str">
        <f>Kertaskerja_Final!O:O</f>
        <v>Pusat</v>
      </c>
      <c r="E108" s="299" t="str">
        <f>Kertaskerja_Final!N:N</f>
        <v>Pusat</v>
      </c>
    </row>
    <row r="109">
      <c r="A109" s="298">
        <v>107.0</v>
      </c>
      <c r="B109" s="298" t="str">
        <f>Kertaskerja_Final!M:M</f>
        <v>MPP DIGITAL</v>
      </c>
      <c r="C109" s="298" t="str">
        <f>Kertaskerja_Final!U:U</f>
        <v>Aktif</v>
      </c>
      <c r="D109" s="298" t="str">
        <f>Kertaskerja_Final!O:O</f>
        <v>Pusat</v>
      </c>
      <c r="E109" s="299" t="str">
        <f>Kertaskerja_Final!N:N</f>
        <v>Pusat</v>
      </c>
    </row>
    <row r="110">
      <c r="A110" s="298">
        <v>108.0</v>
      </c>
      <c r="B110" s="298" t="str">
        <f>Kertaskerja_Final!M:M</f>
        <v>SIRSAK</v>
      </c>
      <c r="C110" s="298" t="str">
        <f>Kertaskerja_Final!U:U</f>
        <v>Aktif</v>
      </c>
      <c r="D110" s="298" t="str">
        <f>Kertaskerja_Final!O:O</f>
        <v>Kab. Bandung</v>
      </c>
      <c r="E110" s="299" t="str">
        <f>Kertaskerja_Final!N:N</f>
        <v>OPD</v>
      </c>
    </row>
    <row r="111">
      <c r="A111" s="298">
        <v>109.0</v>
      </c>
      <c r="B111" s="298" t="str">
        <f>Kertaskerja_Final!M:M</f>
        <v>Booking Antrian Imigrasi</v>
      </c>
      <c r="C111" s="298" t="str">
        <f>Kertaskerja_Final!U:U</f>
        <v>Aktif</v>
      </c>
      <c r="D111" s="298" t="str">
        <f>Kertaskerja_Final!O:O</f>
        <v>Kab. Bandung</v>
      </c>
      <c r="E111" s="299" t="str">
        <f>Kertaskerja_Final!N:N</f>
        <v>OPD</v>
      </c>
    </row>
    <row r="112">
      <c r="A112" s="298">
        <v>110.0</v>
      </c>
      <c r="B112" s="298" t="str">
        <f>Kertaskerja_Final!M:M</f>
        <v>SIDORA</v>
      </c>
      <c r="C112" s="298" t="str">
        <f>Kertaskerja_Final!U:U</f>
        <v>Aktif</v>
      </c>
      <c r="D112" s="298" t="str">
        <f>Kertaskerja_Final!O:O</f>
        <v>Pihak Ke 3 (Lisensi)</v>
      </c>
      <c r="E112" s="299" t="str">
        <f>Kertaskerja_Final!N:N</f>
        <v>Pihak Ke 3</v>
      </c>
    </row>
    <row r="113">
      <c r="A113" s="298">
        <v>111.0</v>
      </c>
      <c r="B113" s="298" t="str">
        <f>Kertaskerja_Final!M:M</f>
        <v>SIDOPA</v>
      </c>
      <c r="C113" s="298" t="str">
        <f>Kertaskerja_Final!U:U</f>
        <v>Aktif</v>
      </c>
      <c r="D113" s="298" t="str">
        <f>Kertaskerja_Final!O:O</f>
        <v>Pihak Ke 3 (Lisensi)</v>
      </c>
      <c r="E113" s="299" t="str">
        <f>Kertaskerja_Final!N:N</f>
        <v>Pihak Ke 3</v>
      </c>
    </row>
    <row r="114">
      <c r="A114" s="298">
        <v>112.0</v>
      </c>
      <c r="B114" s="298" t="str">
        <f>Kertaskerja_Final!M:M</f>
        <v>SIMDA</v>
      </c>
      <c r="C114" s="298" t="str">
        <f>Kertaskerja_Final!U:U</f>
        <v>Aktif</v>
      </c>
      <c r="D114" s="298" t="str">
        <f>Kertaskerja_Final!O:O</f>
        <v>Kab. Bandung</v>
      </c>
      <c r="E114" s="299" t="str">
        <f>Kertaskerja_Final!N:N</f>
        <v>OPD</v>
      </c>
    </row>
    <row r="115">
      <c r="A115" s="298">
        <v>113.0</v>
      </c>
      <c r="B115" s="304" t="str">
        <f>Kertaskerja_Final!M:M</f>
        <v>SIJALAK</v>
      </c>
      <c r="C115" s="304" t="str">
        <f>Kertaskerja_Final!U:U</f>
        <v>Non Aktif</v>
      </c>
      <c r="D115" s="304" t="str">
        <f>Kertaskerja_Final!O:O</f>
        <v>Kab. Bandung</v>
      </c>
      <c r="E115" s="305" t="str">
        <f>Kertaskerja_Final!N:N</f>
        <v>Diskominfo</v>
      </c>
    </row>
    <row r="116">
      <c r="A116" s="298">
        <v>114.0</v>
      </c>
      <c r="B116" s="298" t="str">
        <f>Kertaskerja_Final!M:M</f>
        <v>SIPELOR</v>
      </c>
      <c r="C116" s="298" t="str">
        <f>Kertaskerja_Final!U:U</f>
        <v>Aktif</v>
      </c>
      <c r="D116" s="298" t="str">
        <f>Kertaskerja_Final!O:O</f>
        <v>Kab. Bandung</v>
      </c>
      <c r="E116" s="299" t="str">
        <f>Kertaskerja_Final!N:N</f>
        <v>OPD</v>
      </c>
    </row>
    <row r="117">
      <c r="A117" s="298">
        <v>115.0</v>
      </c>
      <c r="B117" s="298" t="str">
        <f>Kertaskerja_Final!M:M</f>
        <v>SIBAPOKTING</v>
      </c>
      <c r="C117" s="298" t="str">
        <f>Kertaskerja_Final!U:U</f>
        <v>Aktif</v>
      </c>
      <c r="D117" s="298" t="str">
        <f>Kertaskerja_Final!O:O</f>
        <v>Pihak Ke 3 (Lisensi)</v>
      </c>
      <c r="E117" s="299" t="str">
        <f>Kertaskerja_Final!N:N</f>
        <v>Pihak Ke 3</v>
      </c>
    </row>
    <row r="118">
      <c r="A118" s="298">
        <v>116.0</v>
      </c>
      <c r="B118" s="298" t="str">
        <f>Kertaskerja_Final!M:M</f>
        <v>eSKA</v>
      </c>
      <c r="C118" s="298" t="str">
        <f>Kertaskerja_Final!U:U</f>
        <v>Aktif</v>
      </c>
      <c r="D118" s="298" t="str">
        <f>Kertaskerja_Final!O:O</f>
        <v>Pusat</v>
      </c>
      <c r="E118" s="299" t="str">
        <f>Kertaskerja_Final!N:N</f>
        <v>Pusat</v>
      </c>
    </row>
    <row r="119">
      <c r="A119" s="298">
        <v>117.0</v>
      </c>
      <c r="B119" s="298" t="str">
        <f>Kertaskerja_Final!M:M</f>
        <v>SIINas</v>
      </c>
      <c r="C119" s="298" t="str">
        <f>Kertaskerja_Final!U:U</f>
        <v>Aktif</v>
      </c>
      <c r="D119" s="298" t="str">
        <f>Kertaskerja_Final!O:O</f>
        <v>Pusat</v>
      </c>
      <c r="E119" s="299" t="str">
        <f>Kertaskerja_Final!N:N</f>
        <v>Pusat</v>
      </c>
    </row>
    <row r="120">
      <c r="A120" s="298">
        <v>118.0</v>
      </c>
      <c r="B120" s="306" t="str">
        <f>Kertaskerja_Final!M:M</f>
        <v>sipintar online</v>
      </c>
      <c r="C120" s="298" t="str">
        <f>Kertaskerja_Final!U:U</f>
        <v>Aktif</v>
      </c>
      <c r="D120" s="298" t="str">
        <f>Kertaskerja_Final!O:O</f>
        <v>Kab. Bandung</v>
      </c>
      <c r="E120" s="299" t="str">
        <f>Kertaskerja_Final!N:N</f>
        <v>Diskominfo</v>
      </c>
    </row>
    <row r="121">
      <c r="A121" s="298">
        <v>119.0</v>
      </c>
      <c r="B121" s="298" t="str">
        <f>Kertaskerja_Final!M:M</f>
        <v>SPP-IRT-Badan POM</v>
      </c>
      <c r="C121" s="298" t="str">
        <f>Kertaskerja_Final!U:U</f>
        <v>Aktif</v>
      </c>
      <c r="D121" s="298" t="str">
        <f>Kertaskerja_Final!O:O</f>
        <v>Pusat</v>
      </c>
      <c r="E121" s="299" t="str">
        <f>Kertaskerja_Final!N:N</f>
        <v>Pusat</v>
      </c>
    </row>
    <row r="122">
      <c r="A122" s="298">
        <v>120.0</v>
      </c>
      <c r="B122" s="298" t="str">
        <f>Kertaskerja_Final!M:M</f>
        <v>DGIP</v>
      </c>
      <c r="C122" s="298" t="str">
        <f>Kertaskerja_Final!U:U</f>
        <v>Aktif</v>
      </c>
      <c r="D122" s="298" t="str">
        <f>Kertaskerja_Final!O:O</f>
        <v>Pusat</v>
      </c>
      <c r="E122" s="299" t="str">
        <f>Kertaskerja_Final!N:N</f>
        <v>Pusat</v>
      </c>
    </row>
    <row r="123">
      <c r="A123" s="298">
        <v>121.0</v>
      </c>
      <c r="B123" s="298" t="str">
        <f>Kertaskerja_Final!M:M</f>
        <v>ANTERIN</v>
      </c>
      <c r="C123" s="298" t="str">
        <f>Kertaskerja_Final!U:U</f>
        <v>Aktif</v>
      </c>
      <c r="D123" s="298" t="str">
        <f>Kertaskerja_Final!O:O</f>
        <v>Kab. Bandung</v>
      </c>
      <c r="E123" s="299" t="str">
        <f>Kertaskerja_Final!N:N</f>
        <v>Diskominfo</v>
      </c>
    </row>
    <row r="124">
      <c r="A124" s="298">
        <v>122.0</v>
      </c>
      <c r="B124" s="298" t="str">
        <f>Kertaskerja_Final!M:M</f>
        <v>iSIKHNAS</v>
      </c>
      <c r="C124" s="298" t="str">
        <f>Kertaskerja_Final!U:U</f>
        <v>Aktif</v>
      </c>
      <c r="D124" s="298" t="str">
        <f>Kertaskerja_Final!O:O</f>
        <v>Pusat</v>
      </c>
      <c r="E124" s="299" t="str">
        <f>Kertaskerja_Final!N:N</f>
        <v>Pusat</v>
      </c>
    </row>
    <row r="125">
      <c r="A125" s="298">
        <v>123.0</v>
      </c>
      <c r="B125" s="298" t="str">
        <f>Kertaskerja_Final!M:M</f>
        <v>SIFORTUNA</v>
      </c>
      <c r="C125" s="298" t="str">
        <f>Kertaskerja_Final!U:U</f>
        <v>Aktif</v>
      </c>
      <c r="D125" s="298" t="str">
        <f>Kertaskerja_Final!O:O</f>
        <v>Pusat</v>
      </c>
      <c r="E125" s="299" t="str">
        <f>Kertaskerja_Final!N:N</f>
        <v>Pusat</v>
      </c>
    </row>
    <row r="126">
      <c r="A126" s="298">
        <v>124.0</v>
      </c>
      <c r="B126" s="298" t="str">
        <f>Kertaskerja_Final!M:M</f>
        <v>TANGINAS</v>
      </c>
      <c r="C126" s="298" t="str">
        <f>Kertaskerja_Final!U:U</f>
        <v>Aktif</v>
      </c>
      <c r="D126" s="298" t="str">
        <f>Kertaskerja_Final!O:O</f>
        <v>Pihak Ke 3 (Lisensi)</v>
      </c>
      <c r="E126" s="299" t="str">
        <f>Kertaskerja_Final!N:N</f>
        <v>Pihak Ke 3</v>
      </c>
    </row>
    <row r="127">
      <c r="A127" s="298">
        <v>125.0</v>
      </c>
      <c r="B127" s="298" t="str">
        <f>Kertaskerja_Final!M:M</f>
        <v>E-RDKK Pupuk Bersubsidi</v>
      </c>
      <c r="C127" s="298" t="str">
        <f>Kertaskerja_Final!U:U</f>
        <v>Aktif</v>
      </c>
      <c r="D127" s="298" t="str">
        <f>Kertaskerja_Final!O:O</f>
        <v>Pusat</v>
      </c>
      <c r="E127" s="299" t="str">
        <f>Kertaskerja_Final!N:N</f>
        <v>Pusat</v>
      </c>
    </row>
    <row r="128">
      <c r="A128" s="298">
        <v>126.0</v>
      </c>
      <c r="B128" s="298" t="str">
        <f>Kertaskerja_Final!M:M</f>
        <v>SIMLUHTAN</v>
      </c>
      <c r="C128" s="298" t="str">
        <f>Kertaskerja_Final!U:U</f>
        <v>Aktif</v>
      </c>
      <c r="D128" s="298" t="str">
        <f>Kertaskerja_Final!O:O</f>
        <v>Pusat</v>
      </c>
      <c r="E128" s="299" t="str">
        <f>Kertaskerja_Final!N:N</f>
        <v>Pusat</v>
      </c>
    </row>
    <row r="129">
      <c r="A129" s="298">
        <v>127.0</v>
      </c>
      <c r="B129" s="298" t="str">
        <f>Kertaskerja_Final!M:M</f>
        <v>SIPOLAN</v>
      </c>
      <c r="C129" s="298" t="str">
        <f>Kertaskerja_Final!U:U</f>
        <v>Aktif</v>
      </c>
      <c r="D129" s="298" t="str">
        <f>Kertaskerja_Final!O:O</f>
        <v>Kab. Bandung</v>
      </c>
      <c r="E129" s="299" t="str">
        <f>Kertaskerja_Final!N:N</f>
        <v>Diskominfo</v>
      </c>
    </row>
    <row r="130">
      <c r="A130" s="298">
        <v>128.0</v>
      </c>
      <c r="B130" s="298" t="str">
        <f>Kertaskerja_Final!M:M</f>
        <v>SIP SIKANDUNG</v>
      </c>
      <c r="C130" s="298" t="str">
        <f>Kertaskerja_Final!U:U</f>
        <v>Maintenance</v>
      </c>
      <c r="D130" s="298" t="str">
        <f>Kertaskerja_Final!O:O</f>
        <v>Kab. Bandung</v>
      </c>
      <c r="E130" s="299" t="str">
        <f>Kertaskerja_Final!N:N</f>
        <v>Diskominfo</v>
      </c>
    </row>
    <row r="131">
      <c r="A131" s="298">
        <v>129.0</v>
      </c>
      <c r="B131" s="298" t="str">
        <f>Kertaskerja_Final!M:M</f>
        <v>SI LELE IKAN</v>
      </c>
      <c r="C131" s="298" t="str">
        <f>Kertaskerja_Final!U:U</f>
        <v>Maintenance</v>
      </c>
      <c r="D131" s="298" t="str">
        <f>Kertaskerja_Final!O:O</f>
        <v>Pihak Ke 3 (Lisensi)</v>
      </c>
      <c r="E131" s="299" t="str">
        <f>Kertaskerja_Final!N:N</f>
        <v>Pihak Ke 3</v>
      </c>
    </row>
    <row r="132">
      <c r="A132" s="298">
        <v>130.0</v>
      </c>
      <c r="B132" s="298" t="str">
        <f>Kertaskerja_Final!M:M</f>
        <v>SIP FSVA</v>
      </c>
      <c r="C132" s="298" t="str">
        <f>Kertaskerja_Final!U:U</f>
        <v>Aktif</v>
      </c>
      <c r="D132" s="298" t="str">
        <f>Kertaskerja_Final!O:O</f>
        <v>Kab. Bandung</v>
      </c>
      <c r="E132" s="299" t="str">
        <f>Kertaskerja_Final!N:N</f>
        <v>Diskominfo</v>
      </c>
    </row>
    <row r="133">
      <c r="A133" s="298">
        <v>131.0</v>
      </c>
      <c r="B133" s="298" t="str">
        <f>Kertaskerja_Final!M:M</f>
        <v>Parbud Dalam Angka</v>
      </c>
      <c r="C133" s="298" t="str">
        <f>Kertaskerja_Final!U:U</f>
        <v>Aktif</v>
      </c>
      <c r="D133" s="298" t="str">
        <f>Kertaskerja_Final!O:O</f>
        <v>Provinsi</v>
      </c>
      <c r="E133" s="299" t="str">
        <f>Kertaskerja_Final!N:N</f>
        <v>Provinsi</v>
      </c>
    </row>
    <row r="134">
      <c r="A134" s="298">
        <v>132.0</v>
      </c>
      <c r="B134" s="298" t="str">
        <f>Kertaskerja_Final!M:M</f>
        <v>Sibangkitukm</v>
      </c>
      <c r="C134" s="298" t="str">
        <f>Kertaskerja_Final!U:U</f>
        <v>Aktif</v>
      </c>
      <c r="D134" s="298" t="str">
        <f>Kertaskerja_Final!O:O</f>
        <v>Kab. Bandung</v>
      </c>
      <c r="E134" s="299" t="str">
        <f>Kertaskerja_Final!N:N</f>
        <v>OPD</v>
      </c>
    </row>
    <row r="135">
      <c r="A135" s="298">
        <v>133.0</v>
      </c>
      <c r="B135" s="298" t="str">
        <f>Kertaskerja_Final!M:M</f>
        <v>Sikoper</v>
      </c>
      <c r="C135" s="298" t="str">
        <f>Kertaskerja_Final!U:U</f>
        <v>Aktif</v>
      </c>
      <c r="D135" s="298" t="str">
        <f>Kertaskerja_Final!O:O</f>
        <v>Kab. Bandung</v>
      </c>
      <c r="E135" s="299" t="str">
        <f>Kertaskerja_Final!N:N</f>
        <v>OPD</v>
      </c>
    </row>
    <row r="136">
      <c r="A136" s="298">
        <v>134.0</v>
      </c>
      <c r="B136" s="298" t="str">
        <f>Kertaskerja_Final!M:M</f>
        <v>Simanjur BEDAS</v>
      </c>
      <c r="C136" s="298" t="str">
        <f>Kertaskerja_Final!U:U</f>
        <v>Aktif</v>
      </c>
      <c r="D136" s="298" t="str">
        <f>Kertaskerja_Final!O:O</f>
        <v>Kab. Bandung</v>
      </c>
      <c r="E136" s="299" t="str">
        <f>Kertaskerja_Final!N:N</f>
        <v>OPD</v>
      </c>
    </row>
    <row r="137">
      <c r="A137" s="298">
        <v>135.0</v>
      </c>
      <c r="B137" s="298" t="str">
        <f>Kertaskerja_Final!M:M</f>
        <v>iBandungKab</v>
      </c>
      <c r="C137" s="298" t="str">
        <f>Kertaskerja_Final!U:U</f>
        <v>Aktif</v>
      </c>
      <c r="D137" s="298" t="str">
        <f>Kertaskerja_Final!O:O</f>
        <v>Kab. Bandung</v>
      </c>
      <c r="E137" s="299" t="str">
        <f>Kertaskerja_Final!N:N</f>
        <v>Pihak Ke 3</v>
      </c>
    </row>
    <row r="138">
      <c r="A138" s="298">
        <v>136.0</v>
      </c>
      <c r="B138" s="298" t="str">
        <f>Kertaskerja_Final!M:M</f>
        <v>Inlislite</v>
      </c>
      <c r="C138" s="298" t="str">
        <f>Kertaskerja_Final!U:U</f>
        <v>Aktif</v>
      </c>
      <c r="D138" s="298" t="str">
        <f>Kertaskerja_Final!O:O</f>
        <v>Pusat</v>
      </c>
      <c r="E138" s="299" t="str">
        <f>Kertaskerja_Final!N:N</f>
        <v>Pusat</v>
      </c>
    </row>
    <row r="139">
      <c r="A139" s="298">
        <v>137.0</v>
      </c>
      <c r="B139" s="298" t="str">
        <f>Kertaskerja_Final!M:M</f>
        <v>SIKN</v>
      </c>
      <c r="C139" s="298" t="str">
        <f>Kertaskerja_Final!U:U</f>
        <v>Aktif</v>
      </c>
      <c r="D139" s="298" t="str">
        <f>Kertaskerja_Final!O:O</f>
        <v>Pusat</v>
      </c>
      <c r="E139" s="299" t="str">
        <f>Kertaskerja_Final!N:N</f>
        <v>Pusat</v>
      </c>
    </row>
    <row r="140">
      <c r="A140" s="298">
        <v>138.0</v>
      </c>
      <c r="B140" s="298" t="str">
        <f>Kertaskerja_Final!M:M</f>
        <v>SRIKANDI</v>
      </c>
      <c r="C140" s="298" t="str">
        <f>Kertaskerja_Final!U:U</f>
        <v>Aktif</v>
      </c>
      <c r="D140" s="298" t="str">
        <f>Kertaskerja_Final!O:O</f>
        <v>Kab. Bandung</v>
      </c>
      <c r="E140" s="299" t="str">
        <f>Kertaskerja_Final!N:N</f>
        <v>OPD</v>
      </c>
    </row>
    <row r="141">
      <c r="A141" s="298">
        <v>139.0</v>
      </c>
      <c r="B141" s="298" t="str">
        <f>Kertaskerja_Final!M:M</f>
        <v>iPusnas</v>
      </c>
      <c r="C141" s="298" t="str">
        <f>Kertaskerja_Final!U:U</f>
        <v>Aktif</v>
      </c>
      <c r="D141" s="298" t="str">
        <f>Kertaskerja_Final!O:O</f>
        <v>Pusat</v>
      </c>
      <c r="E141" s="299" t="str">
        <f>Kertaskerja_Final!N:N</f>
        <v>Pusat</v>
      </c>
    </row>
    <row r="142">
      <c r="A142" s="298">
        <v>140.0</v>
      </c>
      <c r="B142" s="298" t="str">
        <f>Kertaskerja_Final!M:M</f>
        <v>APAR</v>
      </c>
      <c r="C142" s="298" t="str">
        <f>Kertaskerja_Final!U:U</f>
        <v>Aktif</v>
      </c>
      <c r="D142" s="298" t="str">
        <f>Kertaskerja_Final!O:O</f>
        <v>Kab. Bandung</v>
      </c>
      <c r="E142" s="299" t="str">
        <f>Kertaskerja_Final!N:N</f>
        <v>Pihak Ke 3</v>
      </c>
    </row>
    <row r="143">
      <c r="A143" s="298">
        <v>141.0</v>
      </c>
      <c r="B143" s="298" t="str">
        <f>Kertaskerja_Final!M:M</f>
        <v>SIM BARRAYA</v>
      </c>
      <c r="C143" s="298" t="str">
        <f>Kertaskerja_Final!U:U</f>
        <v>Aktif</v>
      </c>
      <c r="D143" s="298" t="str">
        <f>Kertaskerja_Final!O:O</f>
        <v>Kab. Bandung</v>
      </c>
      <c r="E143" s="299" t="str">
        <f>Kertaskerja_Final!N:N</f>
        <v>OPD</v>
      </c>
    </row>
    <row r="144">
      <c r="A144" s="298">
        <v>142.0</v>
      </c>
      <c r="B144" s="298" t="str">
        <f>Kertaskerja_Final!M:M</f>
        <v>APIK</v>
      </c>
      <c r="C144" s="298" t="str">
        <f>Kertaskerja_Final!U:U</f>
        <v>Aktif</v>
      </c>
      <c r="D144" s="298" t="str">
        <f>Kertaskerja_Final!O:O</f>
        <v>Kab. Bandung</v>
      </c>
      <c r="E144" s="299" t="str">
        <f>Kertaskerja_Final!N:N</f>
        <v>Diskominfo</v>
      </c>
    </row>
    <row r="145">
      <c r="A145" s="298">
        <v>143.0</v>
      </c>
      <c r="B145" s="298" t="str">
        <f>Kertaskerja_Final!M:M</f>
        <v>BAJURI</v>
      </c>
      <c r="C145" s="298" t="str">
        <f>Kertaskerja_Final!U:U</f>
        <v>Aktif</v>
      </c>
      <c r="D145" s="298" t="str">
        <f>Kertaskerja_Final!O:O</f>
        <v>Kab. Bandung</v>
      </c>
      <c r="E145" s="299" t="str">
        <f>Kertaskerja_Final!N:N</f>
        <v>Diskominfo</v>
      </c>
    </row>
    <row r="146">
      <c r="A146" s="298">
        <v>144.0</v>
      </c>
      <c r="B146" s="298" t="str">
        <f>Kertaskerja_Final!M:M</f>
        <v>ROMANTIK</v>
      </c>
      <c r="C146" s="298" t="str">
        <f>Kertaskerja_Final!U:U</f>
        <v>Aktif</v>
      </c>
      <c r="D146" s="298" t="str">
        <f>Kertaskerja_Final!O:O</f>
        <v>Kab. Bandung</v>
      </c>
      <c r="E146" s="299" t="str">
        <f>Kertaskerja_Final!N:N</f>
        <v>Diskominfo</v>
      </c>
    </row>
    <row r="147">
      <c r="A147" s="298">
        <v>145.0</v>
      </c>
      <c r="B147" s="298" t="str">
        <f>Kertaskerja_Final!M:M</f>
        <v>SSO</v>
      </c>
      <c r="C147" s="298" t="str">
        <f>Kertaskerja_Final!U:U</f>
        <v>Aktif</v>
      </c>
      <c r="D147" s="298" t="str">
        <f>Kertaskerja_Final!O:O</f>
        <v>Kab. Bandung</v>
      </c>
      <c r="E147" s="299" t="str">
        <f>Kertaskerja_Final!N:N</f>
        <v>OPD</v>
      </c>
    </row>
    <row r="148">
      <c r="A148" s="298">
        <v>146.0</v>
      </c>
      <c r="B148" s="298" t="str">
        <f>Kertaskerja_Final!M:M</f>
        <v>SIAP</v>
      </c>
      <c r="C148" s="298" t="str">
        <f>Kertaskerja_Final!U:U</f>
        <v>Aktif</v>
      </c>
      <c r="D148" s="298" t="str">
        <f>Kertaskerja_Final!O:O</f>
        <v>Kab. Bandung</v>
      </c>
      <c r="E148" s="299" t="str">
        <f>Kertaskerja_Final!N:N</f>
        <v>Pihak Ke 3</v>
      </c>
    </row>
    <row r="149">
      <c r="A149" s="298">
        <v>147.0</v>
      </c>
      <c r="B149" s="298" t="str">
        <f>Kertaskerja_Final!M:M</f>
        <v>HSPKASB E-PLANNING</v>
      </c>
      <c r="C149" s="298" t="str">
        <f>Kertaskerja_Final!U:U</f>
        <v>Aktif</v>
      </c>
      <c r="D149" s="298" t="str">
        <f>Kertaskerja_Final!O:O</f>
        <v>Kab. Bandung</v>
      </c>
      <c r="E149" s="299" t="str">
        <f>Kertaskerja_Final!N:N</f>
        <v>OPD</v>
      </c>
    </row>
    <row r="150">
      <c r="A150" s="298">
        <v>148.0</v>
      </c>
      <c r="B150" s="298" t="str">
        <f>Kertaskerja_Final!M:M</f>
        <v>Si-Desa</v>
      </c>
      <c r="C150" s="298" t="str">
        <f>Kertaskerja_Final!U:U</f>
        <v>Aktif</v>
      </c>
      <c r="D150" s="298" t="str">
        <f>Kertaskerja_Final!O:O</f>
        <v>Pihak Ke 3 (Lisensi)</v>
      </c>
      <c r="E150" s="299" t="str">
        <f>Kertaskerja_Final!N:N</f>
        <v>Pihak Ke 3</v>
      </c>
    </row>
    <row r="151">
      <c r="A151" s="298">
        <v>149.0</v>
      </c>
      <c r="B151" s="298" t="str">
        <f>Kertaskerja_Final!M:M</f>
        <v>soreang</v>
      </c>
      <c r="C151" s="298" t="str">
        <f>Kertaskerja_Final!U:U</f>
        <v>Aktif</v>
      </c>
      <c r="D151" s="298" t="str">
        <f>Kertaskerja_Final!O:O</f>
        <v>Kab. Bandung</v>
      </c>
      <c r="E151" s="299" t="str">
        <f>Kertaskerja_Final!N:N</f>
        <v>Pihak Ke 3</v>
      </c>
    </row>
    <row r="152">
      <c r="A152" s="298">
        <v>150.0</v>
      </c>
      <c r="B152" s="298" t="str">
        <f>Kertaskerja_Final!M:M</f>
        <v>DIARVIS BMD</v>
      </c>
      <c r="C152" s="298" t="str">
        <f>Kertaskerja_Final!U:U</f>
        <v>Maintenance</v>
      </c>
      <c r="D152" s="298" t="str">
        <f>Kertaskerja_Final!O:O</f>
        <v>Kab. Bandung</v>
      </c>
      <c r="E152" s="299" t="str">
        <f>Kertaskerja_Final!N:N</f>
        <v>OPD</v>
      </c>
    </row>
    <row r="153">
      <c r="A153" s="298">
        <v>151.0</v>
      </c>
      <c r="B153" s="298" t="str">
        <f>Kertaskerja_Final!M:M</f>
        <v>RKBMD</v>
      </c>
      <c r="C153" s="298" t="str">
        <f>Kertaskerja_Final!U:U</f>
        <v>Aktif</v>
      </c>
      <c r="D153" s="298" t="str">
        <f>Kertaskerja_Final!O:O</f>
        <v>Kab. Bandung</v>
      </c>
      <c r="E153" s="299" t="str">
        <f>Kertaskerja_Final!N:N</f>
        <v>OPD</v>
      </c>
    </row>
    <row r="154">
      <c r="A154" s="298">
        <v>152.0</v>
      </c>
      <c r="B154" s="298" t="str">
        <f>Kertaskerja_Final!M:M</f>
        <v>KDO</v>
      </c>
      <c r="C154" s="298" t="str">
        <f>Kertaskerja_Final!U:U</f>
        <v>Aktif</v>
      </c>
      <c r="D154" s="298" t="str">
        <f>Kertaskerja_Final!O:O</f>
        <v>Kab. Bandung</v>
      </c>
      <c r="E154" s="299" t="str">
        <f>Kertaskerja_Final!N:N</f>
        <v>OPD</v>
      </c>
    </row>
    <row r="155">
      <c r="A155" s="298">
        <v>153.0</v>
      </c>
      <c r="B155" s="298" t="str">
        <f>Kertaskerja_Final!M:M</f>
        <v>E-PENGHAPUSAN BMD</v>
      </c>
      <c r="C155" s="298" t="str">
        <f>Kertaskerja_Final!U:U</f>
        <v>Aktif</v>
      </c>
      <c r="D155" s="298" t="str">
        <f>Kertaskerja_Final!O:O</f>
        <v>Kab. Bandung</v>
      </c>
      <c r="E155" s="299" t="str">
        <f>Kertaskerja_Final!N:N</f>
        <v>Pihak Ke 3</v>
      </c>
    </row>
    <row r="156">
      <c r="A156" s="298">
        <v>154.0</v>
      </c>
      <c r="B156" s="298" t="str">
        <f>Kertaskerja_Final!M:M</f>
        <v>e-PERSEDIAAN</v>
      </c>
      <c r="C156" s="298" t="str">
        <f>Kertaskerja_Final!U:U</f>
        <v>Aktif</v>
      </c>
      <c r="D156" s="298" t="str">
        <f>Kertaskerja_Final!O:O</f>
        <v>Kab. Bandung</v>
      </c>
      <c r="E156" s="299" t="str">
        <f>Kertaskerja_Final!N:N</f>
        <v>OPD</v>
      </c>
    </row>
    <row r="157">
      <c r="A157" s="298">
        <v>155.0</v>
      </c>
      <c r="B157" s="298" t="str">
        <f>Kertaskerja_Final!M:M</f>
        <v>SISMIOP</v>
      </c>
      <c r="C157" s="298" t="str">
        <f>Kertaskerja_Final!U:U</f>
        <v>Aktif</v>
      </c>
      <c r="D157" s="298" t="str">
        <f>Kertaskerja_Final!O:O</f>
        <v>Kab. Bandung</v>
      </c>
      <c r="E157" s="299" t="str">
        <f>Kertaskerja_Final!N:N</f>
        <v>Pihak Ke 3</v>
      </c>
    </row>
    <row r="158">
      <c r="A158" s="298">
        <v>156.0</v>
      </c>
      <c r="B158" s="298" t="str">
        <f>Kertaskerja_Final!M:M</f>
        <v>Aplikasi Cetak SPPT</v>
      </c>
      <c r="C158" s="298" t="str">
        <f>Kertaskerja_Final!U:U</f>
        <v>Aktif</v>
      </c>
      <c r="D158" s="298" t="str">
        <f>Kertaskerja_Final!O:O</f>
        <v>Kab. Bandung</v>
      </c>
      <c r="E158" s="299" t="str">
        <f>Kertaskerja_Final!N:N</f>
        <v>OPD</v>
      </c>
    </row>
    <row r="159">
      <c r="A159" s="298">
        <v>157.0</v>
      </c>
      <c r="B159" s="298" t="str">
        <f>Kertaskerja_Final!M:M</f>
        <v>e-BPHTB Sibedas Tangguh</v>
      </c>
      <c r="C159" s="298" t="str">
        <f>Kertaskerja_Final!U:U</f>
        <v>Aktif</v>
      </c>
      <c r="D159" s="298" t="str">
        <f>Kertaskerja_Final!O:O</f>
        <v>Kab. Bandung</v>
      </c>
      <c r="E159" s="299" t="str">
        <f>Kertaskerja_Final!N:N</f>
        <v>Pihak Ke 3</v>
      </c>
    </row>
    <row r="160">
      <c r="A160" s="298">
        <v>158.0</v>
      </c>
      <c r="B160" s="298" t="str">
        <f>Kertaskerja_Final!M:M</f>
        <v>SIP-PAD</v>
      </c>
      <c r="C160" s="298" t="str">
        <f>Kertaskerja_Final!U:U</f>
        <v>Aktif</v>
      </c>
      <c r="D160" s="298" t="str">
        <f>Kertaskerja_Final!O:O</f>
        <v>Kab. Bandung</v>
      </c>
      <c r="E160" s="299" t="str">
        <f>Kertaskerja_Final!N:N</f>
        <v>Pihak Ke 3</v>
      </c>
    </row>
    <row r="161">
      <c r="A161" s="298">
        <v>159.0</v>
      </c>
      <c r="B161" s="298" t="str">
        <f>Kertaskerja_Final!M:M</f>
        <v>DHE</v>
      </c>
      <c r="C161" s="298" t="str">
        <f>Kertaskerja_Final!U:U</f>
        <v>Aktif</v>
      </c>
      <c r="D161" s="298" t="str">
        <f>Kertaskerja_Final!O:O</f>
        <v>Kab. Bandung</v>
      </c>
      <c r="E161" s="299" t="str">
        <f>Kertaskerja_Final!N:N</f>
        <v>Diskominfo</v>
      </c>
    </row>
    <row r="162">
      <c r="A162" s="298">
        <v>160.0</v>
      </c>
      <c r="B162" s="298" t="str">
        <f>Kertaskerja_Final!M:M</f>
        <v>SASIKAP EVO</v>
      </c>
      <c r="C162" s="298" t="str">
        <f>Kertaskerja_Final!U:U</f>
        <v>Aktif</v>
      </c>
      <c r="D162" s="298" t="str">
        <f>Kertaskerja_Final!O:O</f>
        <v>Kab. Bandung</v>
      </c>
      <c r="E162" s="299" t="str">
        <f>Kertaskerja_Final!N:N</f>
        <v>Pihak Ke 3</v>
      </c>
    </row>
    <row r="163">
      <c r="A163" s="298">
        <v>161.0</v>
      </c>
      <c r="B163" s="304" t="str">
        <f>Kertaskerja_Final!M:M</f>
        <v>TITATU</v>
      </c>
      <c r="C163" s="304" t="str">
        <f>Kertaskerja_Final!U:U</f>
        <v>Non Aktif</v>
      </c>
      <c r="D163" s="304" t="str">
        <f>Kertaskerja_Final!O:O</f>
        <v>Kab. Bandung</v>
      </c>
      <c r="E163" s="305" t="str">
        <f>Kertaskerja_Final!N:N</f>
        <v>Diskominfo</v>
      </c>
    </row>
    <row r="164">
      <c r="A164" s="298">
        <v>162.0</v>
      </c>
      <c r="B164" s="298" t="str">
        <f>Kertaskerja_Final!M:M</f>
        <v>DIBI</v>
      </c>
      <c r="C164" s="298" t="str">
        <f>Kertaskerja_Final!U:U</f>
        <v>Aktif</v>
      </c>
      <c r="D164" s="298" t="str">
        <f>Kertaskerja_Final!O:O</f>
        <v/>
      </c>
      <c r="E164" s="299" t="str">
        <f>Kertaskerja_Final!N:N</f>
        <v/>
      </c>
    </row>
    <row r="165">
      <c r="A165" s="298">
        <v>163.0</v>
      </c>
      <c r="B165" s="298" t="str">
        <f>Kertaskerja_Final!M:M</f>
        <v>ARJUNA</v>
      </c>
      <c r="C165" s="298" t="str">
        <f>Kertaskerja_Final!U:U</f>
        <v>Aktif</v>
      </c>
      <c r="D165" s="298" t="str">
        <f>Kertaskerja_Final!O:O</f>
        <v>Pihak Ke 3 (Lisensi)</v>
      </c>
      <c r="E165" s="299" t="str">
        <f>Kertaskerja_Final!N:N</f>
        <v>Pihak Ke 3</v>
      </c>
    </row>
    <row r="166">
      <c r="A166" s="298">
        <v>164.0</v>
      </c>
      <c r="B166" s="298" t="str">
        <f>Kertaskerja_Final!M:M</f>
        <v>SIMRS Majalaya</v>
      </c>
      <c r="C166" s="298" t="str">
        <f>Kertaskerja_Final!U:U</f>
        <v>Aktif</v>
      </c>
      <c r="D166" s="298" t="str">
        <f>Kertaskerja_Final!O:O</f>
        <v>Kab. Bandung</v>
      </c>
      <c r="E166" s="299" t="str">
        <f>Kertaskerja_Final!N:N</f>
        <v>Pihak Ke 3</v>
      </c>
    </row>
    <row r="167">
      <c r="A167" s="298">
        <v>165.0</v>
      </c>
      <c r="B167" s="298" t="str">
        <f>Kertaskerja_Final!M:M</f>
        <v>SIMPEL Kemenlh</v>
      </c>
      <c r="C167" s="298" t="str">
        <f>Kertaskerja_Final!U:U</f>
        <v>Aktif</v>
      </c>
      <c r="D167" s="298" t="str">
        <f>Kertaskerja_Final!O:O</f>
        <v>Pusat</v>
      </c>
      <c r="E167" s="299" t="str">
        <f>Kertaskerja_Final!N:N</f>
        <v>Pusat</v>
      </c>
    </row>
    <row r="168">
      <c r="A168" s="298">
        <v>166.0</v>
      </c>
      <c r="B168" s="298" t="str">
        <f>Kertaskerja_Final!M:M</f>
        <v>website Kobotoolbox</v>
      </c>
      <c r="C168" s="298" t="str">
        <f>Kertaskerja_Final!U:U</f>
        <v>Aktif</v>
      </c>
      <c r="D168" s="298" t="str">
        <f>Kertaskerja_Final!O:O</f>
        <v>Provinsi</v>
      </c>
      <c r="E168" s="299" t="str">
        <f>Kertaskerja_Final!N:N</f>
        <v>Provinsi</v>
      </c>
    </row>
    <row r="169">
      <c r="A169" s="298">
        <v>167.0</v>
      </c>
      <c r="B169" s="298" t="str">
        <f>Kertaskerja_Final!M:M</f>
        <v>SIMgaji</v>
      </c>
      <c r="C169" s="298" t="str">
        <f>Kertaskerja_Final!U:U</f>
        <v>Aktif</v>
      </c>
      <c r="D169" s="298" t="str">
        <f>Kertaskerja_Final!O:O</f>
        <v>Pihak Ke 3 (Lisensi)</v>
      </c>
      <c r="E169" s="299" t="str">
        <f>Kertaskerja_Final!N:N</f>
        <v>Pihak Ke 3</v>
      </c>
    </row>
    <row r="170">
      <c r="A170" s="298">
        <v>168.0</v>
      </c>
      <c r="B170" s="298" t="str">
        <f>Kertaskerja_Final!M:M</f>
        <v>e-RETRIBUSI</v>
      </c>
      <c r="C170" s="298" t="str">
        <f>Kertaskerja_Final!U:U</f>
        <v>Aktif</v>
      </c>
      <c r="D170" s="298" t="str">
        <f>Kertaskerja_Final!O:O</f>
        <v>Kab. Bandung</v>
      </c>
      <c r="E170" s="299" t="str">
        <f>Kertaskerja_Final!N:N</f>
        <v>OPD</v>
      </c>
    </row>
    <row r="171">
      <c r="A171" s="298">
        <v>169.0</v>
      </c>
      <c r="B171" s="298" t="str">
        <f>Kertaskerja_Final!M:M</f>
        <v>SIRUP</v>
      </c>
      <c r="C171" s="298" t="str">
        <f>Kertaskerja_Final!U:U</f>
        <v>Aktif</v>
      </c>
      <c r="D171" s="298" t="str">
        <f>Kertaskerja_Final!O:O</f>
        <v>Pusat</v>
      </c>
      <c r="E171" s="299" t="str">
        <f>Kertaskerja_Final!N:N</f>
        <v>Pusat</v>
      </c>
    </row>
    <row r="172">
      <c r="A172" s="298">
        <v>170.0</v>
      </c>
      <c r="B172" s="298" t="str">
        <f>Kertaskerja_Final!M:M</f>
        <v>Layanan Pengelolaan Gudang Logistik Majalaya</v>
      </c>
      <c r="C172" s="298" t="str">
        <f>Kertaskerja_Final!U:U</f>
        <v>Aktif</v>
      </c>
      <c r="D172" s="298" t="str">
        <f>Kertaskerja_Final!O:O</f>
        <v>Kab. Bandung</v>
      </c>
      <c r="E172" s="299" t="str">
        <f>Kertaskerja_Final!N:N</f>
        <v>OPD</v>
      </c>
    </row>
    <row r="173">
      <c r="A173" s="298">
        <v>171.0</v>
      </c>
      <c r="B173" s="298" t="str">
        <f>Kertaskerja_Final!M:M</f>
        <v>SISRUTE</v>
      </c>
      <c r="C173" s="298" t="str">
        <f>Kertaskerja_Final!U:U</f>
        <v>Aktif</v>
      </c>
      <c r="D173" s="298" t="str">
        <f>Kertaskerja_Final!O:O</f>
        <v>Pusat</v>
      </c>
      <c r="E173" s="299" t="str">
        <f>Kertaskerja_Final!N:N</f>
        <v>Pusat</v>
      </c>
    </row>
    <row r="174">
      <c r="A174" s="298">
        <v>172.0</v>
      </c>
      <c r="B174" s="298" t="str">
        <f>Kertaskerja_Final!M:M</f>
        <v>MPN Kemenkeu</v>
      </c>
      <c r="C174" s="298" t="str">
        <f>Kertaskerja_Final!U:U</f>
        <v>Aktif</v>
      </c>
      <c r="D174" s="298" t="str">
        <f>Kertaskerja_Final!O:O</f>
        <v>Pusat</v>
      </c>
      <c r="E174" s="299" t="str">
        <f>Kertaskerja_Final!N:N</f>
        <v>Pusat</v>
      </c>
    </row>
    <row r="175">
      <c r="A175" s="298">
        <v>173.0</v>
      </c>
      <c r="B175" s="298" t="str">
        <f>Kertaskerja_Final!M:M</f>
        <v>SISDMK</v>
      </c>
      <c r="C175" s="298" t="str">
        <f>Kertaskerja_Final!U:U</f>
        <v>Aktif</v>
      </c>
      <c r="D175" s="298" t="str">
        <f>Kertaskerja_Final!O:O</f>
        <v>Pusat</v>
      </c>
      <c r="E175" s="299" t="str">
        <f>Kertaskerja_Final!N:N</f>
        <v>Pusat</v>
      </c>
    </row>
    <row r="176">
      <c r="A176" s="298">
        <v>174.0</v>
      </c>
      <c r="B176" s="298" t="str">
        <f>Kertaskerja_Final!M:M</f>
        <v>RS Online</v>
      </c>
      <c r="C176" s="298" t="str">
        <f>Kertaskerja_Final!U:U</f>
        <v>Aktif</v>
      </c>
      <c r="D176" s="298" t="str">
        <f>Kertaskerja_Final!O:O</f>
        <v>Pusat</v>
      </c>
      <c r="E176" s="299" t="str">
        <f>Kertaskerja_Final!N:N</f>
        <v>Pusat</v>
      </c>
    </row>
    <row r="177">
      <c r="A177" s="298">
        <v>175.0</v>
      </c>
      <c r="B177" s="298" t="str">
        <f>Kertaskerja_Final!M:M</f>
        <v>SIPPN</v>
      </c>
      <c r="C177" s="298" t="str">
        <f>Kertaskerja_Final!U:U</f>
        <v>Aktif</v>
      </c>
      <c r="D177" s="298" t="str">
        <f>Kertaskerja_Final!O:O</f>
        <v>Pusat</v>
      </c>
      <c r="E177" s="299" t="str">
        <f>Kertaskerja_Final!N:N</f>
        <v>Pusat</v>
      </c>
    </row>
    <row r="178">
      <c r="A178" s="298">
        <v>176.0</v>
      </c>
      <c r="B178" s="298" t="str">
        <f>Kertaskerja_Final!M:M</f>
        <v>MUTU FASYANKES</v>
      </c>
      <c r="C178" s="298" t="str">
        <f>Kertaskerja_Final!U:U</f>
        <v>Aktif</v>
      </c>
      <c r="D178" s="298" t="str">
        <f>Kertaskerja_Final!O:O</f>
        <v>Pusat</v>
      </c>
      <c r="E178" s="299" t="str">
        <f>Kertaskerja_Final!N:N</f>
        <v>Pusat</v>
      </c>
    </row>
    <row r="179">
      <c r="A179" s="298">
        <v>177.0</v>
      </c>
      <c r="B179" s="298" t="str">
        <f>Kertaskerja_Final!M:M</f>
        <v>ASPAK</v>
      </c>
      <c r="C179" s="298" t="str">
        <f>Kertaskerja_Final!U:U</f>
        <v>Aktif</v>
      </c>
      <c r="D179" s="298" t="str">
        <f>Kertaskerja_Final!O:O</f>
        <v>Pusat</v>
      </c>
      <c r="E179" s="299" t="str">
        <f>Kertaskerja_Final!N:N</f>
        <v>Pusat</v>
      </c>
    </row>
    <row r="180">
      <c r="A180" s="298">
        <v>178.0</v>
      </c>
      <c r="B180" s="298" t="str">
        <f>Kertaskerja_Final!M:M</f>
        <v>SIMRS OTO ISKANDAR</v>
      </c>
      <c r="C180" s="298" t="str">
        <f>Kertaskerja_Final!U:U</f>
        <v>Aktif</v>
      </c>
      <c r="D180" s="298" t="str">
        <f>Kertaskerja_Final!O:O</f>
        <v>Kab. Bandung</v>
      </c>
      <c r="E180" s="299" t="str">
        <f>Kertaskerja_Final!N:N</f>
        <v>Pihak Ke 3</v>
      </c>
    </row>
    <row r="181">
      <c r="A181" s="298">
        <v>179.0</v>
      </c>
      <c r="B181" s="298" t="str">
        <f>Kertaskerja_Final!M:M</f>
        <v>Layanan Pengelolaan Gudang Logistik OTO</v>
      </c>
      <c r="C181" s="298" t="str">
        <f>Kertaskerja_Final!U:U</f>
        <v>Aktif</v>
      </c>
      <c r="D181" s="298" t="str">
        <f>Kertaskerja_Final!O:O</f>
        <v>Kab. Bandung</v>
      </c>
      <c r="E181" s="299" t="str">
        <f>Kertaskerja_Final!N:N</f>
        <v>OPD</v>
      </c>
    </row>
    <row r="182">
      <c r="A182" s="298">
        <v>180.0</v>
      </c>
      <c r="B182" s="298" t="str">
        <f>Kertaskerja_Final!M:M</f>
        <v>APIK</v>
      </c>
      <c r="C182" s="298" t="str">
        <f>Kertaskerja_Final!U:U</f>
        <v>Aktif</v>
      </c>
      <c r="D182" s="298" t="str">
        <f>Kertaskerja_Final!O:O</f>
        <v>Kab. Bandung</v>
      </c>
      <c r="E182" s="299" t="str">
        <f>Kertaskerja_Final!N:N</f>
        <v>OPD</v>
      </c>
    </row>
    <row r="183">
      <c r="A183" s="298">
        <v>181.0</v>
      </c>
      <c r="B183" s="298" t="str">
        <f>Kertaskerja_Final!M:M</f>
        <v>SIMRS CICALENGKA</v>
      </c>
      <c r="C183" s="298" t="str">
        <f>Kertaskerja_Final!U:U</f>
        <v>Aktif</v>
      </c>
      <c r="D183" s="298" t="str">
        <f>Kertaskerja_Final!O:O</f>
        <v>Kab. Bandung</v>
      </c>
      <c r="E183" s="299" t="str">
        <f>Kertaskerja_Final!N:N</f>
        <v>Pihak Ke 3</v>
      </c>
    </row>
    <row r="184">
      <c r="A184" s="298">
        <v>182.0</v>
      </c>
      <c r="B184" s="298" t="str">
        <f>Kertaskerja_Final!M:M</f>
        <v>ESKM</v>
      </c>
      <c r="C184" s="298" t="str">
        <f>Kertaskerja_Final!U:U</f>
        <v>Aktif</v>
      </c>
      <c r="D184" s="298" t="str">
        <f>Kertaskerja_Final!O:O</f>
        <v>Kab. Bandung</v>
      </c>
      <c r="E184" s="299" t="str">
        <f>Kertaskerja_Final!N:N</f>
        <v>OPD</v>
      </c>
    </row>
    <row r="185">
      <c r="A185" s="298">
        <v>183.0</v>
      </c>
      <c r="B185" s="298" t="str">
        <f>Kertaskerja_Final!M:M</f>
        <v>sikeren</v>
      </c>
      <c r="C185" s="298" t="str">
        <f>Kertaskerja_Final!U:U</f>
        <v>Aktif</v>
      </c>
      <c r="D185" s="298" t="str">
        <f>Kertaskerja_Final!O:O</f>
        <v>Kab. Bandung</v>
      </c>
      <c r="E185" s="299" t="str">
        <f>Kertaskerja_Final!N:N</f>
        <v>OPD</v>
      </c>
    </row>
    <row r="186">
      <c r="A186" s="298">
        <v>184.0</v>
      </c>
      <c r="B186" s="298" t="str">
        <f>Kertaskerja_Final!M:M</f>
        <v>siimut</v>
      </c>
      <c r="C186" s="298" t="str">
        <f>Kertaskerja_Final!U:U</f>
        <v>Aktif</v>
      </c>
      <c r="D186" s="298" t="str">
        <f>Kertaskerja_Final!O:O</f>
        <v>Kab. Bandung</v>
      </c>
      <c r="E186" s="299" t="str">
        <f>Kertaskerja_Final!N:N</f>
        <v>OPD</v>
      </c>
    </row>
    <row r="187">
      <c r="A187" s="298">
        <v>185.0</v>
      </c>
      <c r="B187" s="298" t="str">
        <f>Kertaskerja_Final!M:M</f>
        <v>sipantosan</v>
      </c>
      <c r="C187" s="298" t="str">
        <f>Kertaskerja_Final!U:U</f>
        <v>Aktif</v>
      </c>
      <c r="D187" s="298" t="str">
        <f>Kertaskerja_Final!O:O</f>
        <v>Kab. Bandung</v>
      </c>
      <c r="E187" s="299" t="str">
        <f>Kertaskerja_Final!N:N</f>
        <v>OPD</v>
      </c>
    </row>
    <row r="188">
      <c r="A188" s="298">
        <v>186.0</v>
      </c>
      <c r="B188" s="298" t="str">
        <f>Kertaskerja_Final!M:M</f>
        <v>SIKEP</v>
      </c>
      <c r="C188" s="298" t="str">
        <f>Kertaskerja_Final!U:U</f>
        <v>Aktif</v>
      </c>
      <c r="D188" s="298" t="str">
        <f>Kertaskerja_Final!O:O</f>
        <v>Kab. Bandung</v>
      </c>
      <c r="E188" s="299" t="str">
        <f>Kertaskerja_Final!N:N</f>
        <v>OPD</v>
      </c>
    </row>
    <row r="189">
      <c r="A189" s="298">
        <v>187.0</v>
      </c>
      <c r="B189" s="298" t="str">
        <f>Kertaskerja_Final!M:M</f>
        <v>EDABU BPJS</v>
      </c>
      <c r="C189" s="298" t="str">
        <f>Kertaskerja_Final!U:U</f>
        <v>Aktif</v>
      </c>
      <c r="D189" s="298" t="str">
        <f>Kertaskerja_Final!O:O</f>
        <v>Pusat</v>
      </c>
      <c r="E189" s="299" t="str">
        <f>Kertaskerja_Final!N:N</f>
        <v>Pusat</v>
      </c>
    </row>
    <row r="190">
      <c r="A190" s="298">
        <v>188.0</v>
      </c>
      <c r="B190" s="298" t="str">
        <f>Kertaskerja_Final!M:M</f>
        <v>simrs cimaung</v>
      </c>
      <c r="C190" s="298" t="str">
        <f>Kertaskerja_Final!U:U</f>
        <v>Aktif</v>
      </c>
      <c r="D190" s="298" t="str">
        <f>Kertaskerja_Final!O:O</f>
        <v>Kab. Bandung</v>
      </c>
      <c r="E190" s="299" t="str">
        <f>Kertaskerja_Final!N:N</f>
        <v>Pihak Ke 3</v>
      </c>
    </row>
    <row r="191">
      <c r="A191" s="298">
        <v>189.0</v>
      </c>
      <c r="B191" s="298" t="str">
        <f>Kertaskerja_Final!M:M</f>
        <v>siiman</v>
      </c>
      <c r="C191" s="298" t="str">
        <f>Kertaskerja_Final!U:U</f>
        <v>Aktif</v>
      </c>
      <c r="D191" s="298" t="str">
        <f>Kertaskerja_Final!O:O</f>
        <v>Kab. Bandung</v>
      </c>
      <c r="E191" s="299" t="str">
        <f>Kertaskerja_Final!N:N</f>
        <v>Pihak Ke 3</v>
      </c>
    </row>
    <row r="192">
      <c r="A192" s="298">
        <v>190.0</v>
      </c>
      <c r="B192" s="298" t="str">
        <f>Kertaskerja_Final!M:M</f>
        <v>bdskts</v>
      </c>
      <c r="C192" s="298" t="str">
        <f>Kertaskerja_Final!U:U</f>
        <v>Aktif</v>
      </c>
      <c r="D192" s="298" t="str">
        <f>Kertaskerja_Final!O:O</f>
        <v>Kab. Bandung</v>
      </c>
      <c r="E192" s="299" t="str">
        <f>Kertaskerja_Final!N:N</f>
        <v>Pihak Ke 3</v>
      </c>
    </row>
    <row r="193">
      <c r="A193" s="298">
        <v>191.0</v>
      </c>
      <c r="B193" s="298" t="str">
        <f>Kertaskerja_Final!M:M</f>
        <v>siranap</v>
      </c>
      <c r="C193" s="298" t="str">
        <f>Kertaskerja_Final!U:U</f>
        <v>Aktif</v>
      </c>
      <c r="D193" s="298" t="str">
        <f>Kertaskerja_Final!O:O</f>
        <v>Pusat</v>
      </c>
      <c r="E193" s="299" t="str">
        <f>Kertaskerja_Final!N:N</f>
        <v>Pusat</v>
      </c>
    </row>
    <row r="194">
      <c r="A194" s="298">
        <v>192.0</v>
      </c>
      <c r="B194" s="298" t="str">
        <f>Kertaskerja_Final!M:M</f>
        <v>mpdn</v>
      </c>
      <c r="C194" s="298" t="str">
        <f>Kertaskerja_Final!U:U</f>
        <v>Aktif</v>
      </c>
      <c r="D194" s="298" t="str">
        <f>Kertaskerja_Final!O:O</f>
        <v>Pusat</v>
      </c>
      <c r="E194" s="299" t="str">
        <f>Kertaskerja_Final!N:N</f>
        <v>Pusat</v>
      </c>
    </row>
    <row r="195">
      <c r="A195" s="298">
        <v>193.0</v>
      </c>
      <c r="B195" s="298" t="str">
        <f>Kertaskerja_Final!M:M</f>
        <v>yankes</v>
      </c>
      <c r="C195" s="298" t="str">
        <f>Kertaskerja_Final!U:U</f>
        <v>Aktif</v>
      </c>
      <c r="D195" s="298" t="str">
        <f>Kertaskerja_Final!O:O</f>
        <v>Pusat</v>
      </c>
      <c r="E195" s="299" t="str">
        <f>Kertaskerja_Final!N:N</f>
        <v>Pusat</v>
      </c>
    </row>
    <row r="196">
      <c r="A196" s="298">
        <v>194.0</v>
      </c>
      <c r="B196" s="298" t="str">
        <f>Kertaskerja_Final!M:M</f>
        <v>ujiprof</v>
      </c>
      <c r="C196" s="298" t="str">
        <f>Kertaskerja_Final!U:U</f>
        <v>Aktif</v>
      </c>
      <c r="D196" s="298" t="str">
        <f>Kertaskerja_Final!O:O</f>
        <v>Provinsi</v>
      </c>
      <c r="E196" s="299" t="str">
        <f>Kertaskerja_Final!N:N</f>
        <v>Provinsi</v>
      </c>
    </row>
    <row r="197">
      <c r="A197" s="298">
        <v>195.0</v>
      </c>
      <c r="B197" s="298" t="str">
        <f>Kertaskerja_Final!M:M</f>
        <v>SIMRS arjasari</v>
      </c>
      <c r="C197" s="298" t="str">
        <f>Kertaskerja_Final!U:U</f>
        <v>Aktif</v>
      </c>
      <c r="D197" s="298" t="str">
        <f>Kertaskerja_Final!O:O</f>
        <v>Pusat</v>
      </c>
      <c r="E197" s="299" t="str">
        <f>Kertaskerja_Final!N:N</f>
        <v>Pusat</v>
      </c>
    </row>
    <row r="198">
      <c r="A198" s="298">
        <v>196.0</v>
      </c>
      <c r="B198" s="298" t="str">
        <f>Kertaskerja_Final!M:M</f>
        <v>DMI</v>
      </c>
      <c r="C198" s="298" t="str">
        <f>Kertaskerja_Final!U:U</f>
        <v>Aktif</v>
      </c>
      <c r="D198" s="298" t="str">
        <f>Kertaskerja_Final!O:O</f>
        <v>Pusat</v>
      </c>
      <c r="E198" s="299" t="str">
        <f>Kertaskerja_Final!N:N</f>
        <v>Pusat</v>
      </c>
    </row>
    <row r="199">
      <c r="A199" s="298">
        <v>197.0</v>
      </c>
      <c r="B199" s="298" t="str">
        <f>Kertaskerja_Final!M:M</f>
        <v>BALIS BAPETEN</v>
      </c>
      <c r="C199" s="298" t="str">
        <f>Kertaskerja_Final!U:U</f>
        <v>Aktif</v>
      </c>
      <c r="D199" s="298" t="str">
        <f>Kertaskerja_Final!O:O</f>
        <v>Pusat</v>
      </c>
      <c r="E199" s="299" t="str">
        <f>Kertaskerja_Final!N:N</f>
        <v>Pusat</v>
      </c>
    </row>
    <row r="200">
      <c r="A200" s="298">
        <v>198.0</v>
      </c>
      <c r="B200" s="298" t="str">
        <f>Kertaskerja_Final!M:M</f>
        <v>E-MESO</v>
      </c>
      <c r="C200" s="298" t="str">
        <f>Kertaskerja_Final!U:U</f>
        <v>Aktif</v>
      </c>
      <c r="D200" s="298" t="str">
        <f>Kertaskerja_Final!O:O</f>
        <v>Pusat</v>
      </c>
      <c r="E200" s="299" t="str">
        <f>Kertaskerja_Final!N:N</f>
        <v>Pusat</v>
      </c>
    </row>
    <row r="201">
      <c r="A201" s="298">
        <v>199.0</v>
      </c>
      <c r="B201" s="304" t="str">
        <f>Kertaskerja_Final!M:M</f>
        <v>SIMONA</v>
      </c>
      <c r="C201" s="304" t="str">
        <f>Kertaskerja_Final!U:U</f>
        <v>Non Aktif</v>
      </c>
      <c r="D201" s="304" t="str">
        <f>Kertaskerja_Final!O:O</f>
        <v>Pusat</v>
      </c>
      <c r="E201" s="305" t="str">
        <f>Kertaskerja_Final!N:N</f>
        <v>Pusat</v>
      </c>
    </row>
    <row r="202">
      <c r="A202" s="298">
        <v>200.0</v>
      </c>
      <c r="B202" s="298" t="str">
        <f>Kertaskerja_Final!M:M</f>
        <v>HFIS BPJS</v>
      </c>
      <c r="C202" s="298" t="str">
        <f>Kertaskerja_Final!U:U</f>
        <v>Aktif</v>
      </c>
      <c r="D202" s="298" t="str">
        <f>Kertaskerja_Final!O:O</f>
        <v>Pusat</v>
      </c>
      <c r="E202" s="299" t="str">
        <f>Kertaskerja_Final!N:N</f>
        <v>Pusat</v>
      </c>
    </row>
    <row r="203">
      <c r="A203" s="298">
        <v>201.0</v>
      </c>
      <c r="B203" s="298" t="str">
        <f>Kertaskerja_Final!M:M</f>
        <v>DHE PHL</v>
      </c>
      <c r="C203" s="298" t="str">
        <f>Kertaskerja_Final!U:U</f>
        <v>Aktif</v>
      </c>
      <c r="D203" s="298" t="str">
        <f>Kertaskerja_Final!O:O</f>
        <v>Kab. Bandung</v>
      </c>
      <c r="E203" s="299" t="str">
        <f>Kertaskerja_Final!N:N</f>
        <v>Diskominfo</v>
      </c>
    </row>
    <row r="204">
      <c r="A204" s="298">
        <v>202.0</v>
      </c>
      <c r="B204" s="298" t="str">
        <f>Kertaskerja_Final!M:M</f>
        <v>SIMRS PACIRA</v>
      </c>
      <c r="C204" s="298" t="str">
        <f>Kertaskerja_Final!U:U</f>
        <v>Aktif</v>
      </c>
      <c r="D204" s="298" t="str">
        <f>Kertaskerja_Final!O:O</f>
        <v>Pusat</v>
      </c>
      <c r="E204" s="299" t="str">
        <f>Kertaskerja_Final!N:N</f>
        <v>Pusat</v>
      </c>
    </row>
    <row r="205">
      <c r="A205" s="307">
        <v>203.0</v>
      </c>
      <c r="B205" s="308" t="s">
        <v>3770</v>
      </c>
      <c r="C205" s="309" t="s">
        <v>563</v>
      </c>
      <c r="D205" s="310" t="s">
        <v>113</v>
      </c>
      <c r="E205" s="309" t="s">
        <v>563</v>
      </c>
    </row>
    <row r="206">
      <c r="A206" s="298">
        <v>204.0</v>
      </c>
      <c r="B206" s="308" t="s">
        <v>3771</v>
      </c>
      <c r="C206" s="309" t="s">
        <v>563</v>
      </c>
      <c r="D206" s="310" t="s">
        <v>3772</v>
      </c>
      <c r="E206" s="309" t="s">
        <v>563</v>
      </c>
    </row>
    <row r="207">
      <c r="A207" s="307">
        <v>211.0</v>
      </c>
      <c r="B207" s="308" t="s">
        <v>3773</v>
      </c>
      <c r="C207" s="309" t="s">
        <v>563</v>
      </c>
      <c r="D207" s="310" t="s">
        <v>113</v>
      </c>
      <c r="E207" s="309" t="s">
        <v>563</v>
      </c>
    </row>
    <row r="208">
      <c r="A208" s="307">
        <v>216.0</v>
      </c>
      <c r="B208" s="308" t="s">
        <v>3774</v>
      </c>
      <c r="C208" s="309" t="s">
        <v>563</v>
      </c>
      <c r="D208" s="310" t="s">
        <v>113</v>
      </c>
      <c r="E208" s="309" t="s">
        <v>563</v>
      </c>
    </row>
  </sheetData>
  <autoFilter ref="$A$2:$E$208"/>
  <mergeCells count="4">
    <mergeCell ref="A1:C1"/>
    <mergeCell ref="G2:H2"/>
    <mergeCell ref="G5:H5"/>
    <mergeCell ref="G13:H1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7BA0"/>
    <outlinePr summaryBelow="0" summaryRight="0"/>
  </sheetPr>
  <sheetViews>
    <sheetView workbookViewId="0"/>
  </sheetViews>
  <sheetFormatPr customHeight="1" defaultColWidth="12.63" defaultRowHeight="15.75"/>
  <cols>
    <col customWidth="1" min="2" max="2" width="46.0"/>
    <col customWidth="1" min="4" max="4" width="30.63"/>
  </cols>
  <sheetData>
    <row r="1">
      <c r="A1" s="293" t="s">
        <v>3775</v>
      </c>
    </row>
    <row r="3">
      <c r="A3" s="311" t="s">
        <v>3776</v>
      </c>
      <c r="C3" s="312" t="s">
        <v>3777</v>
      </c>
      <c r="D3" s="26" t="s">
        <v>3778</v>
      </c>
    </row>
    <row r="4">
      <c r="A4" s="40"/>
      <c r="B4" s="312" t="s">
        <v>3779</v>
      </c>
      <c r="C4" s="313">
        <v>111.0</v>
      </c>
    </row>
    <row r="5">
      <c r="A5" s="40"/>
      <c r="B5" s="314" t="s">
        <v>3780</v>
      </c>
      <c r="C5" s="315">
        <v>98.0</v>
      </c>
    </row>
    <row r="6">
      <c r="A6" s="40"/>
      <c r="B6" s="316" t="s">
        <v>3781</v>
      </c>
      <c r="C6" s="317">
        <v>13.0</v>
      </c>
    </row>
    <row r="7">
      <c r="A7" s="40"/>
      <c r="B7" s="316" t="s">
        <v>3782</v>
      </c>
      <c r="C7" s="318">
        <v>9.0</v>
      </c>
    </row>
    <row r="8">
      <c r="A8" s="40"/>
      <c r="B8" s="40"/>
      <c r="C8" s="40"/>
    </row>
    <row r="9">
      <c r="A9" s="311" t="s">
        <v>3783</v>
      </c>
      <c r="C9" s="40"/>
    </row>
    <row r="10">
      <c r="A10" s="40"/>
      <c r="B10" s="319" t="s">
        <v>3784</v>
      </c>
      <c r="C10" s="313">
        <v>52.0</v>
      </c>
      <c r="D10" s="26" t="s">
        <v>3785</v>
      </c>
    </row>
    <row r="11">
      <c r="A11" s="40"/>
      <c r="B11" s="319" t="s">
        <v>3786</v>
      </c>
      <c r="C11" s="318">
        <v>21.0</v>
      </c>
    </row>
    <row r="12">
      <c r="A12" s="40"/>
      <c r="B12" s="319" t="s">
        <v>3787</v>
      </c>
      <c r="C12" s="317">
        <v>30.0</v>
      </c>
    </row>
    <row r="13">
      <c r="A13" s="40"/>
      <c r="B13" s="319" t="s">
        <v>3788</v>
      </c>
      <c r="C13" s="313">
        <v>46.0</v>
      </c>
      <c r="D13" s="26" t="s">
        <v>3789</v>
      </c>
    </row>
    <row r="14">
      <c r="A14" s="40"/>
      <c r="B14" s="319" t="s">
        <v>3790</v>
      </c>
      <c r="C14" s="318">
        <v>22.0</v>
      </c>
    </row>
    <row r="15">
      <c r="A15" s="40"/>
      <c r="B15" s="319" t="s">
        <v>3791</v>
      </c>
      <c r="C15" s="318">
        <v>21.0</v>
      </c>
    </row>
    <row r="16">
      <c r="A16" s="40"/>
      <c r="B16" s="40"/>
      <c r="C16" s="40"/>
    </row>
    <row r="17">
      <c r="A17" s="311" t="s">
        <v>3792</v>
      </c>
      <c r="C17" s="40"/>
    </row>
    <row r="18">
      <c r="A18" s="40"/>
      <c r="B18" s="319" t="s">
        <v>3793</v>
      </c>
      <c r="C18" s="318">
        <v>98.0</v>
      </c>
    </row>
    <row r="19">
      <c r="A19" s="40"/>
      <c r="B19" s="319" t="s">
        <v>3794</v>
      </c>
      <c r="C19" s="318">
        <v>0.0</v>
      </c>
    </row>
    <row r="20">
      <c r="A20" s="40"/>
      <c r="B20" s="40"/>
      <c r="C20" s="320"/>
    </row>
    <row r="21">
      <c r="A21" s="311" t="s">
        <v>3795</v>
      </c>
    </row>
    <row r="22">
      <c r="B22" s="311" t="s">
        <v>3796</v>
      </c>
      <c r="C22" s="293">
        <v>14.0</v>
      </c>
    </row>
    <row r="23">
      <c r="B23" s="312" t="s">
        <v>3784</v>
      </c>
      <c r="C23" s="293">
        <v>1.0</v>
      </c>
    </row>
    <row r="24">
      <c r="B24" s="40" t="s">
        <v>3786</v>
      </c>
      <c r="C24" s="26">
        <v>1.0</v>
      </c>
    </row>
    <row r="25">
      <c r="B25" s="40" t="s">
        <v>3787</v>
      </c>
      <c r="C25" s="26">
        <v>0.0</v>
      </c>
    </row>
    <row r="26">
      <c r="B26" s="312" t="s">
        <v>3788</v>
      </c>
      <c r="C26" s="293">
        <v>13.0</v>
      </c>
    </row>
    <row r="27">
      <c r="B27" s="40" t="s">
        <v>3790</v>
      </c>
      <c r="C27" s="26">
        <v>0.0</v>
      </c>
    </row>
    <row r="28">
      <c r="B28" s="40" t="s">
        <v>3791</v>
      </c>
      <c r="C28" s="26">
        <v>13.0</v>
      </c>
    </row>
    <row r="30">
      <c r="B30" s="293" t="s">
        <v>1506</v>
      </c>
    </row>
    <row r="31">
      <c r="B31" s="311" t="s">
        <v>3797</v>
      </c>
      <c r="C31" s="293">
        <v>4.0</v>
      </c>
    </row>
    <row r="32">
      <c r="B32" s="311" t="s">
        <v>3784</v>
      </c>
      <c r="C32" s="293">
        <v>1.0</v>
      </c>
    </row>
    <row r="33">
      <c r="B33" s="319" t="s">
        <v>3786</v>
      </c>
      <c r="C33" s="26">
        <v>1.0</v>
      </c>
    </row>
    <row r="34">
      <c r="B34" s="319" t="s">
        <v>3787</v>
      </c>
      <c r="C34" s="26">
        <v>3.0</v>
      </c>
    </row>
    <row r="35">
      <c r="B35" s="311" t="s">
        <v>3788</v>
      </c>
      <c r="C35" s="293">
        <v>3.0</v>
      </c>
    </row>
    <row r="36">
      <c r="B36" s="319" t="s">
        <v>3790</v>
      </c>
      <c r="C36" s="26">
        <v>0.0</v>
      </c>
    </row>
    <row r="37">
      <c r="B37" s="319" t="s">
        <v>3791</v>
      </c>
      <c r="C37" s="26">
        <v>3.0</v>
      </c>
    </row>
    <row r="39">
      <c r="B39" s="293" t="s">
        <v>3798</v>
      </c>
    </row>
    <row r="40">
      <c r="B40" s="311" t="s">
        <v>3799</v>
      </c>
      <c r="C40" s="293">
        <v>3.0</v>
      </c>
    </row>
    <row r="41">
      <c r="B41" s="311" t="s">
        <v>3784</v>
      </c>
      <c r="C41" s="293">
        <v>2.0</v>
      </c>
      <c r="D41" s="26" t="s">
        <v>3785</v>
      </c>
    </row>
    <row r="42">
      <c r="B42" s="319" t="s">
        <v>3786</v>
      </c>
      <c r="C42" s="26">
        <v>1.0</v>
      </c>
    </row>
    <row r="43">
      <c r="B43" s="319" t="s">
        <v>3787</v>
      </c>
      <c r="C43" s="26">
        <v>0.0</v>
      </c>
    </row>
    <row r="44">
      <c r="B44" s="311" t="s">
        <v>3788</v>
      </c>
      <c r="C44" s="293">
        <v>1.0</v>
      </c>
    </row>
    <row r="45">
      <c r="B45" s="319" t="s">
        <v>3790</v>
      </c>
      <c r="C45" s="26">
        <v>0.0</v>
      </c>
    </row>
    <row r="46">
      <c r="B46" s="319" t="s">
        <v>3791</v>
      </c>
      <c r="C46" s="26">
        <v>1.0</v>
      </c>
    </row>
    <row r="48">
      <c r="A48" s="293" t="s">
        <v>3800</v>
      </c>
    </row>
    <row r="49">
      <c r="B49" s="26" t="s">
        <v>3801</v>
      </c>
      <c r="C49" s="26">
        <v>100.0</v>
      </c>
    </row>
    <row r="50">
      <c r="B50" s="26" t="s">
        <v>73</v>
      </c>
      <c r="C50" s="26">
        <v>37.0</v>
      </c>
    </row>
    <row r="51">
      <c r="B51" s="26" t="s">
        <v>144</v>
      </c>
      <c r="C51" s="26">
        <v>2.0</v>
      </c>
    </row>
    <row r="52">
      <c r="B52" s="26" t="s">
        <v>3802</v>
      </c>
      <c r="C52" s="293">
        <v>53.0</v>
      </c>
    </row>
    <row r="53">
      <c r="B53" s="26" t="s">
        <v>3803</v>
      </c>
      <c r="C53" s="26">
        <v>8.0</v>
      </c>
    </row>
  </sheetData>
  <mergeCells count="5">
    <mergeCell ref="A1:B1"/>
    <mergeCell ref="A3:B3"/>
    <mergeCell ref="A9:B9"/>
    <mergeCell ref="A17:B17"/>
    <mergeCell ref="A21:B2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3" width="17.0"/>
    <col customWidth="1" min="7" max="7" width="79.13"/>
    <col customWidth="1" min="9" max="9" width="17.0"/>
    <col customWidth="1" min="10" max="10" width="14.75"/>
    <col customWidth="1" min="11" max="11" width="13.63"/>
  </cols>
  <sheetData>
    <row r="1">
      <c r="A1" s="311" t="s">
        <v>3804</v>
      </c>
      <c r="B1" s="40"/>
      <c r="C1" s="319">
        <v>51.0</v>
      </c>
      <c r="D1" s="318" t="s">
        <v>3805</v>
      </c>
      <c r="E1" s="40"/>
      <c r="F1" s="40"/>
      <c r="G1" s="40"/>
      <c r="H1" s="40"/>
      <c r="I1" s="40"/>
      <c r="J1" s="40"/>
      <c r="K1" s="40"/>
      <c r="L1" s="40"/>
      <c r="M1" s="40"/>
      <c r="N1" s="40"/>
      <c r="O1" s="40"/>
      <c r="P1" s="40"/>
      <c r="Q1" s="40"/>
      <c r="R1" s="40"/>
      <c r="S1" s="40"/>
      <c r="T1" s="40"/>
      <c r="U1" s="40"/>
      <c r="V1" s="40"/>
      <c r="W1" s="40"/>
      <c r="X1" s="40"/>
      <c r="Y1" s="40"/>
      <c r="Z1" s="40"/>
    </row>
    <row r="2">
      <c r="A2" s="311"/>
      <c r="B2" s="40"/>
      <c r="C2" s="319"/>
      <c r="F2" s="40"/>
      <c r="G2" s="40"/>
      <c r="H2" s="40"/>
      <c r="I2" s="40"/>
      <c r="J2" s="40"/>
      <c r="K2" s="40"/>
      <c r="L2" s="40"/>
      <c r="M2" s="40"/>
      <c r="N2" s="40"/>
      <c r="O2" s="40"/>
      <c r="P2" s="40"/>
      <c r="Q2" s="40"/>
      <c r="R2" s="40"/>
      <c r="S2" s="40"/>
      <c r="T2" s="40"/>
      <c r="U2" s="40"/>
      <c r="V2" s="40"/>
      <c r="W2" s="40"/>
      <c r="X2" s="40"/>
      <c r="Y2" s="40"/>
      <c r="Z2" s="40"/>
    </row>
    <row r="3">
      <c r="A3" s="312" t="s">
        <v>3806</v>
      </c>
      <c r="B3" s="40" t="s">
        <v>3807</v>
      </c>
      <c r="C3" s="319">
        <f>COUNTIF(H5:H55,"Hadir")</f>
        <v>39</v>
      </c>
      <c r="D3" s="321">
        <f>C3/C1</f>
        <v>0.7647058824</v>
      </c>
      <c r="F3" s="40"/>
      <c r="G3" s="40"/>
      <c r="H3" s="40"/>
      <c r="I3" s="40"/>
      <c r="J3" s="40"/>
      <c r="K3" s="40"/>
      <c r="L3" s="40"/>
      <c r="M3" s="40"/>
      <c r="N3" s="40"/>
      <c r="O3" s="40"/>
      <c r="P3" s="40"/>
      <c r="Q3" s="40"/>
      <c r="R3" s="40"/>
      <c r="S3" s="40"/>
      <c r="T3" s="40"/>
      <c r="U3" s="40"/>
      <c r="V3" s="40"/>
      <c r="W3" s="40"/>
      <c r="X3" s="40"/>
      <c r="Y3" s="40"/>
      <c r="Z3" s="40"/>
    </row>
    <row r="4">
      <c r="A4" s="40"/>
      <c r="B4" s="40" t="s">
        <v>3808</v>
      </c>
      <c r="C4" s="319">
        <f>COUNTIF(H5:H55,"Tidak Hadir")</f>
        <v>12</v>
      </c>
      <c r="D4" s="321">
        <f>C4/C1</f>
        <v>0.2352941176</v>
      </c>
      <c r="F4" s="322" t="s">
        <v>0</v>
      </c>
      <c r="G4" s="322" t="s">
        <v>26</v>
      </c>
      <c r="H4" s="322" t="s">
        <v>3806</v>
      </c>
      <c r="I4" s="322" t="s">
        <v>3809</v>
      </c>
      <c r="J4" s="323" t="s">
        <v>3810</v>
      </c>
      <c r="K4" s="323" t="s">
        <v>3811</v>
      </c>
      <c r="L4" s="40"/>
      <c r="M4" s="40"/>
      <c r="N4" s="40"/>
      <c r="O4" s="40"/>
      <c r="P4" s="40"/>
      <c r="Q4" s="40"/>
      <c r="R4" s="40"/>
      <c r="S4" s="40"/>
      <c r="T4" s="40"/>
      <c r="U4" s="40"/>
      <c r="V4" s="40"/>
      <c r="W4" s="40"/>
      <c r="X4" s="40"/>
      <c r="Y4" s="40"/>
      <c r="Z4" s="40"/>
    </row>
    <row r="5">
      <c r="A5" s="40"/>
      <c r="B5" s="40"/>
      <c r="C5" s="40"/>
      <c r="D5" s="40"/>
      <c r="F5" s="324">
        <v>1.0</v>
      </c>
      <c r="G5" s="324" t="s">
        <v>3812</v>
      </c>
      <c r="H5" s="325" t="s">
        <v>3807</v>
      </c>
      <c r="I5" s="325" t="s">
        <v>3813</v>
      </c>
      <c r="J5" s="325" t="s">
        <v>3814</v>
      </c>
      <c r="K5" s="324"/>
      <c r="L5" s="40"/>
      <c r="M5" s="40"/>
      <c r="N5" s="40"/>
      <c r="O5" s="40"/>
      <c r="P5" s="40"/>
      <c r="Q5" s="40"/>
      <c r="R5" s="40"/>
      <c r="S5" s="40"/>
      <c r="T5" s="40"/>
      <c r="U5" s="40"/>
      <c r="V5" s="40"/>
      <c r="W5" s="40"/>
      <c r="X5" s="40"/>
      <c r="Y5" s="40"/>
      <c r="Z5" s="40"/>
    </row>
    <row r="6">
      <c r="A6" s="40"/>
      <c r="B6" s="40"/>
      <c r="C6" s="40"/>
      <c r="D6" s="40"/>
      <c r="F6" s="324">
        <v>2.0</v>
      </c>
      <c r="G6" s="324" t="s">
        <v>3815</v>
      </c>
      <c r="H6" s="325" t="s">
        <v>3807</v>
      </c>
      <c r="I6" s="325" t="s">
        <v>3813</v>
      </c>
      <c r="J6" s="325" t="s">
        <v>3816</v>
      </c>
      <c r="K6" s="324"/>
      <c r="L6" s="40"/>
      <c r="M6" s="40"/>
      <c r="N6" s="40"/>
      <c r="O6" s="40"/>
      <c r="P6" s="40"/>
      <c r="Q6" s="40"/>
      <c r="R6" s="40"/>
      <c r="S6" s="40"/>
      <c r="T6" s="40"/>
      <c r="U6" s="40"/>
      <c r="V6" s="40"/>
      <c r="W6" s="40"/>
      <c r="X6" s="40"/>
      <c r="Y6" s="40"/>
      <c r="Z6" s="40"/>
    </row>
    <row r="7">
      <c r="A7" s="312" t="s">
        <v>3809</v>
      </c>
      <c r="B7" s="40" t="s">
        <v>3817</v>
      </c>
      <c r="C7" s="319">
        <f>COUNTIF(I5:I55,"Progress")</f>
        <v>11</v>
      </c>
      <c r="D7" s="321">
        <f>C7/C1</f>
        <v>0.2156862745</v>
      </c>
      <c r="F7" s="326">
        <v>3.0</v>
      </c>
      <c r="G7" s="326" t="s">
        <v>3818</v>
      </c>
      <c r="H7" s="327" t="s">
        <v>3808</v>
      </c>
      <c r="I7" s="328" t="s">
        <v>3817</v>
      </c>
      <c r="J7" s="327" t="s">
        <v>3819</v>
      </c>
      <c r="K7" s="327" t="s">
        <v>3820</v>
      </c>
      <c r="L7" s="40"/>
      <c r="M7" s="40"/>
      <c r="N7" s="40"/>
      <c r="O7" s="40"/>
      <c r="P7" s="40"/>
      <c r="Q7" s="40"/>
      <c r="R7" s="40"/>
      <c r="S7" s="40"/>
      <c r="T7" s="40"/>
      <c r="U7" s="40"/>
      <c r="V7" s="40"/>
      <c r="W7" s="40"/>
      <c r="X7" s="40"/>
      <c r="Y7" s="40"/>
      <c r="Z7" s="40"/>
    </row>
    <row r="8">
      <c r="A8" s="40"/>
      <c r="B8" s="40" t="s">
        <v>3813</v>
      </c>
      <c r="C8" s="319">
        <f>COUNTIF(I5:I55,"Selesai")</f>
        <v>37</v>
      </c>
      <c r="D8" s="329">
        <f>C8/C1</f>
        <v>0.7254901961</v>
      </c>
      <c r="F8" s="324">
        <v>4.0</v>
      </c>
      <c r="G8" s="324" t="s">
        <v>3821</v>
      </c>
      <c r="H8" s="325" t="s">
        <v>3807</v>
      </c>
      <c r="I8" s="325" t="s">
        <v>3817</v>
      </c>
      <c r="J8" s="325" t="s">
        <v>3822</v>
      </c>
      <c r="K8" s="324"/>
      <c r="L8" s="40"/>
      <c r="M8" s="40"/>
      <c r="N8" s="40"/>
      <c r="O8" s="40"/>
      <c r="P8" s="40"/>
      <c r="Q8" s="40"/>
      <c r="R8" s="40"/>
      <c r="S8" s="40"/>
      <c r="T8" s="40"/>
      <c r="U8" s="40"/>
      <c r="V8" s="40"/>
      <c r="W8" s="40"/>
      <c r="X8" s="40"/>
      <c r="Y8" s="40"/>
      <c r="Z8" s="40"/>
    </row>
    <row r="9">
      <c r="A9" s="40"/>
      <c r="B9" s="40" t="s">
        <v>3823</v>
      </c>
      <c r="C9" s="319">
        <f>COUNTIF(I5:I55,"Tidak ada keterangan")</f>
        <v>3</v>
      </c>
      <c r="D9" s="321">
        <f>C9/C1</f>
        <v>0.05882352941</v>
      </c>
      <c r="F9" s="324">
        <v>5.0</v>
      </c>
      <c r="G9" s="324" t="s">
        <v>3824</v>
      </c>
      <c r="H9" s="325" t="s">
        <v>3807</v>
      </c>
      <c r="I9" s="325" t="s">
        <v>3813</v>
      </c>
      <c r="J9" s="325" t="s">
        <v>3825</v>
      </c>
      <c r="K9" s="324"/>
      <c r="L9" s="40"/>
      <c r="M9" s="40"/>
      <c r="N9" s="40"/>
      <c r="O9" s="40"/>
      <c r="P9" s="40"/>
      <c r="Q9" s="40"/>
      <c r="R9" s="40"/>
      <c r="S9" s="40"/>
      <c r="T9" s="40"/>
      <c r="U9" s="40"/>
      <c r="V9" s="40"/>
      <c r="W9" s="40"/>
      <c r="X9" s="40"/>
      <c r="Y9" s="40"/>
      <c r="Z9" s="40"/>
    </row>
    <row r="10">
      <c r="A10" s="40"/>
      <c r="B10" s="40"/>
      <c r="C10" s="40"/>
      <c r="D10" s="40"/>
      <c r="F10" s="324">
        <v>6.0</v>
      </c>
      <c r="G10" s="324" t="s">
        <v>3826</v>
      </c>
      <c r="H10" s="325" t="s">
        <v>3807</v>
      </c>
      <c r="I10" s="325" t="s">
        <v>3813</v>
      </c>
      <c r="J10" s="325" t="s">
        <v>3827</v>
      </c>
      <c r="K10" s="324"/>
      <c r="L10" s="40"/>
      <c r="M10" s="40"/>
      <c r="N10" s="40"/>
      <c r="O10" s="40"/>
      <c r="P10" s="40"/>
      <c r="Q10" s="40"/>
      <c r="R10" s="40"/>
      <c r="S10" s="40"/>
      <c r="T10" s="40"/>
      <c r="U10" s="40"/>
      <c r="V10" s="40"/>
      <c r="W10" s="40"/>
      <c r="X10" s="40"/>
      <c r="Y10" s="40"/>
      <c r="Z10" s="40"/>
    </row>
    <row r="11">
      <c r="A11" s="40"/>
      <c r="B11" s="40"/>
      <c r="C11" s="40"/>
      <c r="D11" s="40"/>
      <c r="F11" s="324">
        <v>7.0</v>
      </c>
      <c r="G11" s="324" t="s">
        <v>3828</v>
      </c>
      <c r="H11" s="325" t="s">
        <v>3807</v>
      </c>
      <c r="I11" s="325" t="s">
        <v>3813</v>
      </c>
      <c r="J11" s="325" t="s">
        <v>3829</v>
      </c>
      <c r="K11" s="324"/>
      <c r="L11" s="40"/>
      <c r="M11" s="40"/>
      <c r="N11" s="40"/>
      <c r="O11" s="40"/>
      <c r="P11" s="40"/>
      <c r="Q11" s="40"/>
      <c r="R11" s="40"/>
      <c r="S11" s="40"/>
      <c r="T11" s="40"/>
      <c r="U11" s="40"/>
      <c r="V11" s="40"/>
      <c r="W11" s="40"/>
      <c r="X11" s="40"/>
      <c r="Y11" s="40"/>
      <c r="Z11" s="40"/>
    </row>
    <row r="12">
      <c r="A12" s="311"/>
      <c r="B12" s="311"/>
      <c r="C12" s="311"/>
      <c r="F12" s="324">
        <v>8.0</v>
      </c>
      <c r="G12" s="324" t="s">
        <v>3830</v>
      </c>
      <c r="H12" s="325" t="s">
        <v>3807</v>
      </c>
      <c r="I12" s="325" t="s">
        <v>3813</v>
      </c>
      <c r="J12" s="325" t="s">
        <v>3827</v>
      </c>
      <c r="K12" s="324"/>
      <c r="L12" s="40"/>
      <c r="M12" s="40"/>
      <c r="N12" s="40"/>
      <c r="O12" s="40"/>
      <c r="P12" s="40"/>
      <c r="Q12" s="40"/>
      <c r="R12" s="40"/>
      <c r="S12" s="40"/>
      <c r="T12" s="40"/>
      <c r="U12" s="40"/>
      <c r="V12" s="40"/>
      <c r="W12" s="40"/>
      <c r="X12" s="40"/>
      <c r="Y12" s="40"/>
      <c r="Z12" s="40"/>
    </row>
    <row r="13">
      <c r="C13" s="319"/>
      <c r="E13" s="40"/>
      <c r="F13" s="324">
        <v>9.0</v>
      </c>
      <c r="G13" s="324" t="s">
        <v>3831</v>
      </c>
      <c r="H13" s="325" t="s">
        <v>3807</v>
      </c>
      <c r="I13" s="325" t="s">
        <v>3813</v>
      </c>
      <c r="J13" s="325" t="s">
        <v>3816</v>
      </c>
      <c r="K13" s="324"/>
      <c r="L13" s="40"/>
      <c r="M13" s="40"/>
      <c r="N13" s="40"/>
      <c r="O13" s="40"/>
      <c r="P13" s="40"/>
      <c r="Q13" s="40"/>
      <c r="R13" s="40"/>
      <c r="S13" s="40"/>
      <c r="T13" s="40"/>
      <c r="U13" s="40"/>
      <c r="V13" s="40"/>
      <c r="W13" s="40"/>
      <c r="X13" s="40"/>
      <c r="Y13" s="40"/>
      <c r="Z13" s="40"/>
    </row>
    <row r="14">
      <c r="A14" s="28"/>
      <c r="B14" s="28"/>
      <c r="C14" s="319"/>
      <c r="E14" s="40"/>
      <c r="F14" s="324">
        <v>10.0</v>
      </c>
      <c r="G14" s="324" t="s">
        <v>3832</v>
      </c>
      <c r="H14" s="325" t="s">
        <v>3807</v>
      </c>
      <c r="I14" s="325" t="s">
        <v>3813</v>
      </c>
      <c r="J14" s="325" t="s">
        <v>3833</v>
      </c>
      <c r="K14" s="324"/>
      <c r="L14" s="40"/>
      <c r="M14" s="40"/>
      <c r="N14" s="40"/>
      <c r="O14" s="40"/>
      <c r="P14" s="40"/>
      <c r="Q14" s="40"/>
      <c r="R14" s="40"/>
      <c r="S14" s="40"/>
      <c r="T14" s="40"/>
      <c r="U14" s="40"/>
      <c r="V14" s="40"/>
      <c r="W14" s="40"/>
      <c r="X14" s="40"/>
      <c r="Y14" s="40"/>
      <c r="Z14" s="40"/>
    </row>
    <row r="15">
      <c r="A15" s="28"/>
      <c r="B15" s="28"/>
      <c r="C15" s="319"/>
      <c r="D15" s="40"/>
      <c r="E15" s="40"/>
      <c r="F15" s="324">
        <v>11.0</v>
      </c>
      <c r="G15" s="324" t="s">
        <v>3834</v>
      </c>
      <c r="H15" s="325" t="s">
        <v>3807</v>
      </c>
      <c r="I15" s="325" t="s">
        <v>3813</v>
      </c>
      <c r="J15" s="325" t="s">
        <v>3835</v>
      </c>
      <c r="K15" s="324"/>
      <c r="L15" s="40"/>
      <c r="M15" s="40"/>
      <c r="N15" s="40"/>
      <c r="O15" s="40"/>
      <c r="P15" s="40"/>
      <c r="Q15" s="40"/>
      <c r="R15" s="40"/>
      <c r="S15" s="40"/>
      <c r="T15" s="40"/>
      <c r="U15" s="40"/>
      <c r="V15" s="40"/>
      <c r="W15" s="40"/>
      <c r="X15" s="40"/>
      <c r="Y15" s="40"/>
      <c r="Z15" s="40"/>
    </row>
    <row r="16">
      <c r="B16" s="28"/>
      <c r="C16" s="319"/>
      <c r="D16" s="40"/>
      <c r="E16" s="40"/>
      <c r="F16" s="324">
        <v>12.0</v>
      </c>
      <c r="G16" s="324" t="s">
        <v>3836</v>
      </c>
      <c r="H16" s="325" t="s">
        <v>3807</v>
      </c>
      <c r="I16" s="325" t="s">
        <v>3813</v>
      </c>
      <c r="J16" s="325" t="s">
        <v>3827</v>
      </c>
      <c r="K16" s="324"/>
      <c r="L16" s="40"/>
      <c r="M16" s="40"/>
      <c r="N16" s="40"/>
      <c r="O16" s="40"/>
      <c r="P16" s="40"/>
      <c r="Q16" s="40"/>
      <c r="R16" s="40"/>
      <c r="S16" s="40"/>
      <c r="T16" s="40"/>
      <c r="U16" s="40"/>
      <c r="V16" s="40"/>
      <c r="W16" s="40"/>
      <c r="X16" s="40"/>
      <c r="Y16" s="40"/>
      <c r="Z16" s="40"/>
    </row>
    <row r="17">
      <c r="B17" s="40"/>
      <c r="C17" s="40"/>
      <c r="D17" s="40"/>
      <c r="E17" s="40"/>
      <c r="F17" s="324">
        <v>13.0</v>
      </c>
      <c r="G17" s="324" t="s">
        <v>3837</v>
      </c>
      <c r="H17" s="325" t="s">
        <v>3807</v>
      </c>
      <c r="I17" s="325" t="s">
        <v>3817</v>
      </c>
      <c r="J17" s="325" t="s">
        <v>3835</v>
      </c>
      <c r="K17" s="324"/>
      <c r="L17" s="40"/>
      <c r="M17" s="40"/>
      <c r="N17" s="40"/>
      <c r="O17" s="40"/>
      <c r="P17" s="40"/>
      <c r="Q17" s="40"/>
      <c r="R17" s="40"/>
      <c r="S17" s="40"/>
      <c r="T17" s="40"/>
      <c r="U17" s="40"/>
      <c r="V17" s="40"/>
      <c r="W17" s="40"/>
      <c r="X17" s="40"/>
      <c r="Y17" s="40"/>
      <c r="Z17" s="40"/>
    </row>
    <row r="18">
      <c r="B18" s="40"/>
      <c r="C18" s="40"/>
      <c r="D18" s="40"/>
      <c r="E18" s="40"/>
      <c r="F18" s="324">
        <v>14.0</v>
      </c>
      <c r="G18" s="324" t="s">
        <v>3838</v>
      </c>
      <c r="H18" s="325" t="s">
        <v>3807</v>
      </c>
      <c r="I18" s="325" t="s">
        <v>3817</v>
      </c>
      <c r="J18" s="325" t="s">
        <v>3839</v>
      </c>
      <c r="K18" s="324"/>
      <c r="L18" s="40"/>
      <c r="M18" s="40"/>
      <c r="N18" s="40"/>
      <c r="O18" s="40"/>
      <c r="P18" s="40"/>
      <c r="Q18" s="40"/>
      <c r="R18" s="40"/>
      <c r="S18" s="40"/>
      <c r="T18" s="40"/>
      <c r="U18" s="40"/>
      <c r="V18" s="40"/>
      <c r="W18" s="40"/>
      <c r="X18" s="40"/>
      <c r="Y18" s="40"/>
      <c r="Z18" s="40"/>
    </row>
    <row r="19">
      <c r="B19" s="40"/>
      <c r="C19" s="40"/>
      <c r="D19" s="40"/>
      <c r="E19" s="40"/>
      <c r="F19" s="324">
        <v>15.0</v>
      </c>
      <c r="G19" s="324" t="s">
        <v>3840</v>
      </c>
      <c r="H19" s="325" t="s">
        <v>3807</v>
      </c>
      <c r="I19" s="325" t="s">
        <v>3813</v>
      </c>
      <c r="J19" s="325" t="s">
        <v>3814</v>
      </c>
      <c r="K19" s="324"/>
      <c r="L19" s="40"/>
      <c r="M19" s="40"/>
      <c r="N19" s="40"/>
      <c r="O19" s="40"/>
      <c r="P19" s="40"/>
      <c r="Q19" s="40"/>
      <c r="R19" s="40"/>
      <c r="S19" s="40"/>
      <c r="T19" s="40"/>
      <c r="U19" s="40"/>
      <c r="V19" s="40"/>
      <c r="W19" s="40"/>
      <c r="X19" s="40"/>
      <c r="Y19" s="40"/>
      <c r="Z19" s="40"/>
    </row>
    <row r="20">
      <c r="A20" s="319"/>
      <c r="B20" s="40"/>
      <c r="C20" s="40"/>
      <c r="D20" s="40"/>
      <c r="E20" s="40"/>
      <c r="F20" s="324">
        <v>16.0</v>
      </c>
      <c r="G20" s="324" t="s">
        <v>3841</v>
      </c>
      <c r="H20" s="325" t="s">
        <v>3807</v>
      </c>
      <c r="I20" s="325" t="s">
        <v>3813</v>
      </c>
      <c r="J20" s="325" t="s">
        <v>3833</v>
      </c>
      <c r="K20" s="324"/>
      <c r="L20" s="40"/>
      <c r="M20" s="40"/>
      <c r="N20" s="40"/>
      <c r="O20" s="40"/>
      <c r="P20" s="40"/>
      <c r="Q20" s="40"/>
      <c r="R20" s="40"/>
      <c r="S20" s="40"/>
      <c r="T20" s="40"/>
      <c r="U20" s="40"/>
      <c r="V20" s="40"/>
      <c r="W20" s="40"/>
      <c r="X20" s="40"/>
      <c r="Y20" s="40"/>
      <c r="Z20" s="40"/>
    </row>
    <row r="21">
      <c r="A21" s="319"/>
      <c r="B21" s="40"/>
      <c r="C21" s="40"/>
      <c r="D21" s="40"/>
      <c r="E21" s="40"/>
      <c r="F21" s="326">
        <v>17.0</v>
      </c>
      <c r="G21" s="326" t="s">
        <v>3842</v>
      </c>
      <c r="H21" s="327" t="s">
        <v>3808</v>
      </c>
      <c r="I21" s="327" t="s">
        <v>3817</v>
      </c>
      <c r="J21" s="327" t="s">
        <v>3816</v>
      </c>
      <c r="K21" s="327" t="s">
        <v>3820</v>
      </c>
      <c r="L21" s="40"/>
      <c r="M21" s="40"/>
      <c r="N21" s="40"/>
      <c r="O21" s="40"/>
      <c r="P21" s="40"/>
      <c r="Q21" s="40"/>
      <c r="R21" s="40"/>
      <c r="S21" s="40"/>
      <c r="T21" s="40"/>
      <c r="U21" s="40"/>
      <c r="V21" s="40"/>
      <c r="W21" s="40"/>
      <c r="X21" s="40"/>
      <c r="Y21" s="40"/>
      <c r="Z21" s="40"/>
    </row>
    <row r="22">
      <c r="A22" s="319"/>
      <c r="B22" s="40"/>
      <c r="C22" s="40"/>
      <c r="D22" s="40"/>
      <c r="E22" s="40"/>
      <c r="F22" s="324">
        <v>18.0</v>
      </c>
      <c r="G22" s="324" t="s">
        <v>3843</v>
      </c>
      <c r="H22" s="325" t="s">
        <v>3807</v>
      </c>
      <c r="I22" s="325" t="s">
        <v>3813</v>
      </c>
      <c r="J22" s="325" t="s">
        <v>3844</v>
      </c>
      <c r="K22" s="324"/>
      <c r="L22" s="40"/>
      <c r="M22" s="40"/>
      <c r="N22" s="40"/>
      <c r="O22" s="40"/>
      <c r="P22" s="40"/>
      <c r="Q22" s="40"/>
      <c r="R22" s="40"/>
      <c r="S22" s="40"/>
      <c r="T22" s="40"/>
      <c r="U22" s="40"/>
      <c r="V22" s="40"/>
      <c r="W22" s="40"/>
      <c r="X22" s="40"/>
      <c r="Y22" s="40"/>
      <c r="Z22" s="40"/>
    </row>
    <row r="23">
      <c r="A23" s="40"/>
      <c r="B23" s="40"/>
      <c r="C23" s="40"/>
      <c r="D23" s="40"/>
      <c r="E23" s="40"/>
      <c r="F23" s="324">
        <v>19.0</v>
      </c>
      <c r="G23" s="324" t="s">
        <v>3845</v>
      </c>
      <c r="H23" s="325" t="s">
        <v>3807</v>
      </c>
      <c r="I23" s="325" t="s">
        <v>3813</v>
      </c>
      <c r="J23" s="325" t="s">
        <v>3819</v>
      </c>
      <c r="K23" s="324"/>
      <c r="L23" s="40"/>
      <c r="M23" s="40"/>
      <c r="N23" s="40"/>
      <c r="O23" s="40"/>
      <c r="P23" s="40"/>
      <c r="Q23" s="40"/>
      <c r="R23" s="40"/>
      <c r="S23" s="40"/>
      <c r="T23" s="40"/>
      <c r="U23" s="40"/>
      <c r="V23" s="40"/>
      <c r="W23" s="40"/>
      <c r="X23" s="40"/>
      <c r="Y23" s="40"/>
      <c r="Z23" s="40"/>
    </row>
    <row r="24">
      <c r="A24" s="40"/>
      <c r="B24" s="40"/>
      <c r="C24" s="40"/>
      <c r="D24" s="40"/>
      <c r="E24" s="40"/>
      <c r="F24" s="324">
        <v>20.0</v>
      </c>
      <c r="G24" s="324" t="s">
        <v>3846</v>
      </c>
      <c r="H24" s="325" t="s">
        <v>3807</v>
      </c>
      <c r="I24" s="325" t="s">
        <v>3813</v>
      </c>
      <c r="J24" s="325" t="s">
        <v>3844</v>
      </c>
      <c r="K24" s="324"/>
      <c r="L24" s="40"/>
      <c r="M24" s="40"/>
      <c r="N24" s="40"/>
      <c r="O24" s="40"/>
      <c r="P24" s="40"/>
      <c r="Q24" s="40"/>
      <c r="R24" s="40"/>
      <c r="S24" s="40"/>
      <c r="T24" s="40"/>
      <c r="U24" s="40"/>
      <c r="V24" s="40"/>
      <c r="W24" s="40"/>
      <c r="X24" s="40"/>
      <c r="Y24" s="40"/>
      <c r="Z24" s="40"/>
    </row>
    <row r="25">
      <c r="A25" s="40"/>
      <c r="B25" s="40"/>
      <c r="C25" s="40"/>
      <c r="D25" s="40"/>
      <c r="E25" s="40"/>
      <c r="F25" s="324">
        <v>21.0</v>
      </c>
      <c r="G25" s="324" t="s">
        <v>3847</v>
      </c>
      <c r="H25" s="325" t="s">
        <v>3807</v>
      </c>
      <c r="I25" s="325" t="s">
        <v>3813</v>
      </c>
      <c r="J25" s="325" t="s">
        <v>3844</v>
      </c>
      <c r="K25" s="324"/>
      <c r="L25" s="40"/>
      <c r="M25" s="40"/>
      <c r="N25" s="40"/>
      <c r="O25" s="40"/>
      <c r="P25" s="40"/>
      <c r="Q25" s="40"/>
      <c r="R25" s="40"/>
      <c r="S25" s="40"/>
      <c r="T25" s="40"/>
      <c r="U25" s="40"/>
      <c r="V25" s="40"/>
      <c r="W25" s="40"/>
      <c r="X25" s="40"/>
      <c r="Y25" s="40"/>
      <c r="Z25" s="40"/>
    </row>
    <row r="26">
      <c r="A26" s="40"/>
      <c r="B26" s="40"/>
      <c r="C26" s="40"/>
      <c r="D26" s="40"/>
      <c r="E26" s="40"/>
      <c r="F26" s="324">
        <v>22.0</v>
      </c>
      <c r="G26" s="324" t="s">
        <v>3848</v>
      </c>
      <c r="H26" s="325" t="s">
        <v>3808</v>
      </c>
      <c r="I26" s="330" t="s">
        <v>3813</v>
      </c>
      <c r="J26" s="325" t="s">
        <v>3839</v>
      </c>
      <c r="K26" s="325"/>
      <c r="L26" s="40"/>
      <c r="M26" s="40"/>
      <c r="N26" s="40"/>
      <c r="O26" s="40"/>
      <c r="P26" s="40"/>
      <c r="Q26" s="40"/>
      <c r="R26" s="40"/>
      <c r="S26" s="40"/>
      <c r="T26" s="40"/>
      <c r="U26" s="40"/>
      <c r="V26" s="40"/>
      <c r="W26" s="40"/>
      <c r="X26" s="40"/>
      <c r="Y26" s="40"/>
      <c r="Z26" s="40"/>
    </row>
    <row r="27">
      <c r="A27" s="40"/>
      <c r="B27" s="40"/>
      <c r="C27" s="40"/>
      <c r="D27" s="40"/>
      <c r="E27" s="40"/>
      <c r="F27" s="324">
        <v>23.0</v>
      </c>
      <c r="G27" s="324" t="s">
        <v>3849</v>
      </c>
      <c r="H27" s="325" t="s">
        <v>3807</v>
      </c>
      <c r="I27" s="325" t="s">
        <v>3817</v>
      </c>
      <c r="J27" s="325" t="s">
        <v>3835</v>
      </c>
      <c r="K27" s="324"/>
      <c r="L27" s="40"/>
      <c r="M27" s="40"/>
      <c r="N27" s="40"/>
      <c r="O27" s="40"/>
      <c r="P27" s="40"/>
      <c r="Q27" s="40"/>
      <c r="R27" s="40"/>
      <c r="S27" s="40"/>
      <c r="T27" s="40"/>
      <c r="U27" s="40"/>
      <c r="V27" s="40"/>
      <c r="W27" s="40"/>
      <c r="X27" s="40"/>
      <c r="Y27" s="40"/>
      <c r="Z27" s="40"/>
    </row>
    <row r="28">
      <c r="A28" s="40"/>
      <c r="B28" s="40"/>
      <c r="C28" s="40"/>
      <c r="D28" s="40"/>
      <c r="E28" s="40"/>
      <c r="F28" s="324">
        <v>24.0</v>
      </c>
      <c r="G28" s="324" t="s">
        <v>3850</v>
      </c>
      <c r="H28" s="325" t="s">
        <v>3807</v>
      </c>
      <c r="I28" s="325" t="s">
        <v>3817</v>
      </c>
      <c r="J28" s="325" t="s">
        <v>3839</v>
      </c>
      <c r="K28" s="324"/>
      <c r="L28" s="40"/>
      <c r="M28" s="40"/>
      <c r="N28" s="40"/>
      <c r="O28" s="40"/>
      <c r="P28" s="40"/>
      <c r="Q28" s="40"/>
      <c r="R28" s="40"/>
      <c r="S28" s="40"/>
      <c r="T28" s="40"/>
      <c r="U28" s="40"/>
      <c r="V28" s="40"/>
      <c r="W28" s="40"/>
      <c r="X28" s="40"/>
      <c r="Y28" s="40"/>
      <c r="Z28" s="40"/>
    </row>
    <row r="29">
      <c r="A29" s="40"/>
      <c r="B29" s="40"/>
      <c r="C29" s="40"/>
      <c r="D29" s="40"/>
      <c r="E29" s="40"/>
      <c r="F29" s="324">
        <v>25.0</v>
      </c>
      <c r="G29" s="324" t="s">
        <v>3851</v>
      </c>
      <c r="H29" s="325" t="s">
        <v>3808</v>
      </c>
      <c r="I29" s="325" t="s">
        <v>3817</v>
      </c>
      <c r="J29" s="325" t="s">
        <v>3829</v>
      </c>
      <c r="K29" s="324"/>
      <c r="L29" s="40"/>
      <c r="M29" s="40"/>
      <c r="N29" s="40"/>
      <c r="O29" s="40"/>
      <c r="P29" s="40"/>
      <c r="Q29" s="40"/>
      <c r="R29" s="40"/>
      <c r="S29" s="40"/>
      <c r="T29" s="40"/>
      <c r="U29" s="40"/>
      <c r="V29" s="40"/>
      <c r="W29" s="40"/>
      <c r="X29" s="40"/>
      <c r="Y29" s="40"/>
      <c r="Z29" s="40"/>
    </row>
    <row r="30">
      <c r="A30" s="40"/>
      <c r="B30" s="40"/>
      <c r="C30" s="40"/>
      <c r="D30" s="40"/>
      <c r="E30" s="40"/>
      <c r="F30" s="324">
        <v>26.0</v>
      </c>
      <c r="G30" s="324" t="s">
        <v>3852</v>
      </c>
      <c r="H30" s="325" t="s">
        <v>3807</v>
      </c>
      <c r="I30" s="325" t="s">
        <v>3813</v>
      </c>
      <c r="J30" s="325" t="s">
        <v>3835</v>
      </c>
      <c r="K30" s="324"/>
      <c r="L30" s="40"/>
      <c r="M30" s="40"/>
      <c r="N30" s="40"/>
      <c r="O30" s="40"/>
      <c r="P30" s="40"/>
      <c r="Q30" s="40"/>
      <c r="R30" s="40"/>
      <c r="S30" s="40"/>
      <c r="T30" s="40"/>
      <c r="U30" s="40"/>
      <c r="V30" s="40"/>
      <c r="W30" s="40"/>
      <c r="X30" s="40"/>
      <c r="Y30" s="40"/>
      <c r="Z30" s="40"/>
    </row>
    <row r="31">
      <c r="A31" s="40"/>
      <c r="B31" s="40"/>
      <c r="C31" s="40"/>
      <c r="D31" s="40"/>
      <c r="E31" s="40"/>
      <c r="F31" s="324">
        <v>27.0</v>
      </c>
      <c r="G31" s="324" t="s">
        <v>3853</v>
      </c>
      <c r="H31" s="325" t="s">
        <v>3807</v>
      </c>
      <c r="I31" s="325" t="s">
        <v>3817</v>
      </c>
      <c r="J31" s="325" t="s">
        <v>3822</v>
      </c>
      <c r="K31" s="324"/>
      <c r="L31" s="40"/>
      <c r="M31" s="40"/>
      <c r="N31" s="40"/>
      <c r="O31" s="40"/>
      <c r="P31" s="40"/>
      <c r="Q31" s="40"/>
      <c r="R31" s="40"/>
      <c r="S31" s="40"/>
      <c r="T31" s="40"/>
      <c r="U31" s="40"/>
      <c r="V31" s="40"/>
      <c r="W31" s="40"/>
      <c r="X31" s="40"/>
      <c r="Y31" s="40"/>
      <c r="Z31" s="40"/>
    </row>
    <row r="32">
      <c r="A32" s="40"/>
      <c r="B32" s="40"/>
      <c r="C32" s="40"/>
      <c r="D32" s="40"/>
      <c r="E32" s="40"/>
      <c r="F32" s="326">
        <v>28.0</v>
      </c>
      <c r="G32" s="326" t="s">
        <v>3854</v>
      </c>
      <c r="H32" s="327" t="s">
        <v>3808</v>
      </c>
      <c r="I32" s="327" t="s">
        <v>3817</v>
      </c>
      <c r="J32" s="327" t="s">
        <v>3827</v>
      </c>
      <c r="K32" s="327" t="s">
        <v>3820</v>
      </c>
      <c r="L32" s="40"/>
      <c r="M32" s="40"/>
      <c r="N32" s="40"/>
      <c r="O32" s="40"/>
      <c r="P32" s="40"/>
      <c r="Q32" s="40"/>
      <c r="R32" s="40"/>
      <c r="S32" s="40"/>
      <c r="T32" s="40"/>
      <c r="U32" s="40"/>
      <c r="V32" s="40"/>
      <c r="W32" s="40"/>
      <c r="X32" s="40"/>
      <c r="Y32" s="40"/>
      <c r="Z32" s="40"/>
    </row>
    <row r="33">
      <c r="A33" s="40"/>
      <c r="B33" s="40"/>
      <c r="C33" s="40"/>
      <c r="D33" s="40"/>
      <c r="E33" s="40"/>
      <c r="F33" s="326">
        <v>29.0</v>
      </c>
      <c r="G33" s="326" t="s">
        <v>3855</v>
      </c>
      <c r="H33" s="327" t="s">
        <v>3808</v>
      </c>
      <c r="I33" s="328" t="s">
        <v>3817</v>
      </c>
      <c r="J33" s="327" t="s">
        <v>3819</v>
      </c>
      <c r="K33" s="327" t="s">
        <v>3820</v>
      </c>
      <c r="L33" s="40"/>
      <c r="M33" s="40"/>
      <c r="N33" s="40"/>
      <c r="O33" s="40"/>
      <c r="P33" s="40"/>
      <c r="Q33" s="40"/>
      <c r="R33" s="40"/>
      <c r="S33" s="40"/>
      <c r="T33" s="40"/>
      <c r="U33" s="40"/>
      <c r="V33" s="40"/>
      <c r="W33" s="40"/>
      <c r="X33" s="40"/>
      <c r="Y33" s="40"/>
      <c r="Z33" s="40"/>
    </row>
    <row r="34">
      <c r="A34" s="40"/>
      <c r="B34" s="40"/>
      <c r="C34" s="40"/>
      <c r="D34" s="40"/>
      <c r="E34" s="40"/>
      <c r="F34" s="324">
        <v>30.0</v>
      </c>
      <c r="G34" s="324" t="s">
        <v>3856</v>
      </c>
      <c r="H34" s="325" t="s">
        <v>3807</v>
      </c>
      <c r="I34" s="325" t="s">
        <v>3813</v>
      </c>
      <c r="J34" s="325" t="s">
        <v>3829</v>
      </c>
      <c r="K34" s="324"/>
      <c r="L34" s="40"/>
      <c r="M34" s="40"/>
      <c r="N34" s="40"/>
      <c r="O34" s="40"/>
      <c r="P34" s="40"/>
      <c r="Q34" s="40"/>
      <c r="R34" s="40"/>
      <c r="S34" s="40"/>
      <c r="T34" s="40"/>
      <c r="U34" s="40"/>
      <c r="V34" s="40"/>
      <c r="W34" s="40"/>
      <c r="X34" s="40"/>
      <c r="Y34" s="40"/>
      <c r="Z34" s="40"/>
    </row>
    <row r="35">
      <c r="A35" s="40"/>
      <c r="B35" s="40"/>
      <c r="C35" s="40"/>
      <c r="D35" s="40"/>
      <c r="E35" s="40"/>
      <c r="F35" s="324">
        <v>31.0</v>
      </c>
      <c r="G35" s="324" t="s">
        <v>3857</v>
      </c>
      <c r="H35" s="325" t="s">
        <v>3807</v>
      </c>
      <c r="I35" s="325" t="s">
        <v>3813</v>
      </c>
      <c r="J35" s="325" t="s">
        <v>3814</v>
      </c>
      <c r="K35" s="324"/>
      <c r="L35" s="40"/>
      <c r="M35" s="40"/>
      <c r="N35" s="40"/>
      <c r="O35" s="40"/>
      <c r="P35" s="40"/>
      <c r="Q35" s="40"/>
      <c r="R35" s="40"/>
      <c r="S35" s="40"/>
      <c r="T35" s="40"/>
      <c r="U35" s="40"/>
      <c r="V35" s="40"/>
      <c r="W35" s="40"/>
      <c r="X35" s="40"/>
      <c r="Y35" s="40"/>
      <c r="Z35" s="40"/>
    </row>
    <row r="36">
      <c r="A36" s="40"/>
      <c r="B36" s="40"/>
      <c r="C36" s="40"/>
      <c r="D36" s="40"/>
      <c r="E36" s="40"/>
      <c r="F36" s="324">
        <v>32.0</v>
      </c>
      <c r="G36" s="324" t="s">
        <v>3858</v>
      </c>
      <c r="H36" s="325" t="s">
        <v>3807</v>
      </c>
      <c r="I36" s="325" t="s">
        <v>3813</v>
      </c>
      <c r="J36" s="325" t="s">
        <v>3816</v>
      </c>
      <c r="K36" s="324"/>
      <c r="L36" s="40"/>
      <c r="M36" s="40"/>
      <c r="N36" s="40"/>
      <c r="O36" s="40"/>
      <c r="P36" s="40"/>
      <c r="Q36" s="40"/>
      <c r="R36" s="40"/>
      <c r="S36" s="40"/>
      <c r="T36" s="40"/>
      <c r="U36" s="40"/>
      <c r="V36" s="40"/>
      <c r="W36" s="40"/>
      <c r="X36" s="40"/>
      <c r="Y36" s="40"/>
      <c r="Z36" s="40"/>
    </row>
    <row r="37">
      <c r="A37" s="40"/>
      <c r="B37" s="40"/>
      <c r="C37" s="40"/>
      <c r="D37" s="40"/>
      <c r="E37" s="40"/>
      <c r="F37" s="324">
        <v>33.0</v>
      </c>
      <c r="G37" s="324" t="s">
        <v>3859</v>
      </c>
      <c r="H37" s="325" t="s">
        <v>3808</v>
      </c>
      <c r="I37" s="325" t="s">
        <v>3813</v>
      </c>
      <c r="J37" s="325" t="s">
        <v>3825</v>
      </c>
      <c r="K37" s="324"/>
      <c r="L37" s="40"/>
      <c r="M37" s="40"/>
      <c r="N37" s="40"/>
      <c r="O37" s="40"/>
      <c r="P37" s="40"/>
      <c r="Q37" s="40"/>
      <c r="R37" s="40"/>
      <c r="S37" s="40"/>
      <c r="T37" s="40"/>
      <c r="U37" s="40"/>
      <c r="V37" s="40"/>
      <c r="W37" s="40"/>
      <c r="X37" s="40"/>
      <c r="Y37" s="40"/>
      <c r="Z37" s="40"/>
    </row>
    <row r="38">
      <c r="A38" s="40"/>
      <c r="B38" s="40"/>
      <c r="C38" s="40"/>
      <c r="D38" s="40"/>
      <c r="E38" s="40"/>
      <c r="F38" s="324">
        <v>34.0</v>
      </c>
      <c r="G38" s="324" t="s">
        <v>3860</v>
      </c>
      <c r="H38" s="325" t="s">
        <v>3808</v>
      </c>
      <c r="I38" s="325" t="s">
        <v>3813</v>
      </c>
      <c r="J38" s="325" t="s">
        <v>3819</v>
      </c>
      <c r="K38" s="324"/>
      <c r="L38" s="40"/>
      <c r="M38" s="40"/>
      <c r="N38" s="40"/>
      <c r="O38" s="40"/>
      <c r="P38" s="40"/>
      <c r="Q38" s="40"/>
      <c r="R38" s="40"/>
      <c r="S38" s="40"/>
      <c r="T38" s="40"/>
      <c r="U38" s="40"/>
      <c r="V38" s="40"/>
      <c r="W38" s="40"/>
      <c r="X38" s="40"/>
      <c r="Y38" s="40"/>
      <c r="Z38" s="40"/>
    </row>
    <row r="39">
      <c r="A39" s="40"/>
      <c r="B39" s="40"/>
      <c r="C39" s="40"/>
      <c r="D39" s="40"/>
      <c r="E39" s="40"/>
      <c r="F39" s="326">
        <v>35.0</v>
      </c>
      <c r="G39" s="326" t="s">
        <v>3861</v>
      </c>
      <c r="H39" s="327" t="s">
        <v>3808</v>
      </c>
      <c r="I39" s="327" t="s">
        <v>3823</v>
      </c>
      <c r="J39" s="327" t="s">
        <v>3814</v>
      </c>
      <c r="K39" s="327" t="s">
        <v>3820</v>
      </c>
      <c r="L39" s="40"/>
      <c r="M39" s="40"/>
      <c r="N39" s="40"/>
      <c r="O39" s="40"/>
      <c r="P39" s="40"/>
      <c r="Q39" s="40"/>
      <c r="R39" s="40"/>
      <c r="S39" s="40"/>
      <c r="T39" s="40"/>
      <c r="U39" s="40"/>
      <c r="V39" s="40"/>
      <c r="W39" s="40"/>
      <c r="X39" s="40"/>
      <c r="Y39" s="40"/>
      <c r="Z39" s="40"/>
    </row>
    <row r="40">
      <c r="A40" s="40"/>
      <c r="B40" s="40"/>
      <c r="C40" s="40"/>
      <c r="D40" s="40"/>
      <c r="E40" s="40"/>
      <c r="F40" s="324">
        <v>36.0</v>
      </c>
      <c r="G40" s="324" t="s">
        <v>3862</v>
      </c>
      <c r="H40" s="325" t="s">
        <v>3807</v>
      </c>
      <c r="I40" s="325" t="s">
        <v>3813</v>
      </c>
      <c r="J40" s="325" t="s">
        <v>3827</v>
      </c>
      <c r="K40" s="324"/>
      <c r="L40" s="40"/>
      <c r="M40" s="40"/>
      <c r="N40" s="40"/>
      <c r="O40" s="40"/>
      <c r="P40" s="40"/>
      <c r="Q40" s="40"/>
      <c r="R40" s="40"/>
      <c r="S40" s="40"/>
      <c r="T40" s="40"/>
      <c r="U40" s="40"/>
      <c r="V40" s="40"/>
      <c r="W40" s="40"/>
      <c r="X40" s="40"/>
      <c r="Y40" s="40"/>
      <c r="Z40" s="40"/>
    </row>
    <row r="41">
      <c r="A41" s="40"/>
      <c r="B41" s="40"/>
      <c r="C41" s="40"/>
      <c r="D41" s="40"/>
      <c r="E41" s="40"/>
      <c r="F41" s="324">
        <v>37.0</v>
      </c>
      <c r="G41" s="324" t="s">
        <v>3863</v>
      </c>
      <c r="H41" s="325" t="s">
        <v>3807</v>
      </c>
      <c r="I41" s="325" t="s">
        <v>3813</v>
      </c>
      <c r="J41" s="325" t="s">
        <v>3864</v>
      </c>
      <c r="K41" s="324"/>
      <c r="L41" s="40"/>
      <c r="M41" s="40"/>
      <c r="N41" s="40"/>
      <c r="O41" s="40"/>
      <c r="P41" s="40"/>
      <c r="Q41" s="40"/>
      <c r="R41" s="40"/>
      <c r="S41" s="40"/>
      <c r="T41" s="40"/>
      <c r="U41" s="40"/>
      <c r="V41" s="40"/>
      <c r="W41" s="40"/>
      <c r="X41" s="40"/>
      <c r="Y41" s="40"/>
      <c r="Z41" s="40"/>
    </row>
    <row r="42">
      <c r="A42" s="40"/>
      <c r="B42" s="40"/>
      <c r="C42" s="40"/>
      <c r="D42" s="40"/>
      <c r="E42" s="40"/>
      <c r="F42" s="324">
        <v>38.0</v>
      </c>
      <c r="G42" s="324" t="s">
        <v>3865</v>
      </c>
      <c r="H42" s="325" t="s">
        <v>3807</v>
      </c>
      <c r="I42" s="325" t="s">
        <v>3813</v>
      </c>
      <c r="J42" s="325" t="s">
        <v>3839</v>
      </c>
      <c r="K42" s="324"/>
      <c r="L42" s="40"/>
      <c r="M42" s="40"/>
      <c r="N42" s="40"/>
      <c r="O42" s="40"/>
      <c r="P42" s="40"/>
      <c r="Q42" s="40"/>
      <c r="R42" s="40"/>
      <c r="S42" s="40"/>
      <c r="T42" s="40"/>
      <c r="U42" s="40"/>
      <c r="V42" s="40"/>
      <c r="W42" s="40"/>
      <c r="X42" s="40"/>
      <c r="Y42" s="40"/>
      <c r="Z42" s="40"/>
    </row>
    <row r="43">
      <c r="A43" s="40"/>
      <c r="B43" s="40"/>
      <c r="C43" s="40"/>
      <c r="D43" s="40"/>
      <c r="E43" s="40"/>
      <c r="F43" s="326">
        <v>39.0</v>
      </c>
      <c r="G43" s="326" t="s">
        <v>3866</v>
      </c>
      <c r="H43" s="327" t="s">
        <v>3808</v>
      </c>
      <c r="I43" s="327" t="s">
        <v>3823</v>
      </c>
      <c r="J43" s="327" t="s">
        <v>3825</v>
      </c>
      <c r="K43" s="327" t="s">
        <v>3820</v>
      </c>
      <c r="L43" s="40"/>
      <c r="M43" s="40"/>
      <c r="N43" s="40"/>
      <c r="O43" s="40"/>
      <c r="P43" s="40"/>
      <c r="Q43" s="40"/>
      <c r="R43" s="40"/>
      <c r="S43" s="40"/>
      <c r="T43" s="40"/>
      <c r="U43" s="40"/>
      <c r="V43" s="40"/>
      <c r="W43" s="40"/>
      <c r="X43" s="40"/>
      <c r="Y43" s="40"/>
      <c r="Z43" s="40"/>
    </row>
    <row r="44">
      <c r="A44" s="40"/>
      <c r="B44" s="40"/>
      <c r="C44" s="40"/>
      <c r="D44" s="40"/>
      <c r="E44" s="40"/>
      <c r="F44" s="326">
        <v>40.0</v>
      </c>
      <c r="G44" s="326" t="s">
        <v>3867</v>
      </c>
      <c r="H44" s="327" t="s">
        <v>3808</v>
      </c>
      <c r="I44" s="327" t="s">
        <v>3823</v>
      </c>
      <c r="J44" s="327" t="s">
        <v>3827</v>
      </c>
      <c r="K44" s="327" t="s">
        <v>3820</v>
      </c>
      <c r="L44" s="40"/>
      <c r="M44" s="40"/>
      <c r="N44" s="40"/>
      <c r="O44" s="40"/>
      <c r="P44" s="40"/>
      <c r="Q44" s="40"/>
      <c r="R44" s="40"/>
      <c r="S44" s="40"/>
      <c r="T44" s="40"/>
      <c r="U44" s="40"/>
      <c r="V44" s="40"/>
      <c r="W44" s="40"/>
      <c r="X44" s="40"/>
      <c r="Y44" s="40"/>
      <c r="Z44" s="40"/>
    </row>
    <row r="45">
      <c r="A45" s="40"/>
      <c r="B45" s="40"/>
      <c r="C45" s="40"/>
      <c r="D45" s="40"/>
      <c r="E45" s="40"/>
      <c r="F45" s="324">
        <v>41.0</v>
      </c>
      <c r="G45" s="324" t="s">
        <v>3868</v>
      </c>
      <c r="H45" s="325" t="s">
        <v>3807</v>
      </c>
      <c r="I45" s="325" t="s">
        <v>3813</v>
      </c>
      <c r="J45" s="325" t="s">
        <v>3816</v>
      </c>
      <c r="K45" s="324"/>
      <c r="L45" s="40"/>
      <c r="M45" s="40"/>
      <c r="N45" s="40"/>
      <c r="O45" s="40"/>
      <c r="P45" s="40"/>
      <c r="Q45" s="40"/>
      <c r="R45" s="40"/>
      <c r="S45" s="40"/>
      <c r="T45" s="40"/>
      <c r="U45" s="40"/>
      <c r="V45" s="40"/>
      <c r="W45" s="40"/>
      <c r="X45" s="40"/>
      <c r="Y45" s="40"/>
      <c r="Z45" s="40"/>
    </row>
    <row r="46">
      <c r="A46" s="40"/>
      <c r="B46" s="40"/>
      <c r="C46" s="40"/>
      <c r="D46" s="40"/>
      <c r="E46" s="40"/>
      <c r="F46" s="324">
        <v>42.0</v>
      </c>
      <c r="G46" s="324" t="s">
        <v>3869</v>
      </c>
      <c r="H46" s="325" t="s">
        <v>3808</v>
      </c>
      <c r="I46" s="325" t="s">
        <v>3813</v>
      </c>
      <c r="J46" s="325" t="s">
        <v>3835</v>
      </c>
      <c r="K46" s="324"/>
      <c r="L46" s="40"/>
      <c r="M46" s="40"/>
      <c r="N46" s="40"/>
      <c r="O46" s="40"/>
      <c r="P46" s="40"/>
      <c r="Q46" s="40"/>
      <c r="R46" s="40"/>
      <c r="S46" s="40"/>
      <c r="T46" s="40"/>
      <c r="U46" s="40"/>
      <c r="V46" s="40"/>
      <c r="W46" s="40"/>
      <c r="X46" s="40"/>
      <c r="Y46" s="40"/>
      <c r="Z46" s="40"/>
    </row>
    <row r="47">
      <c r="A47" s="40"/>
      <c r="B47" s="40"/>
      <c r="C47" s="40"/>
      <c r="D47" s="40"/>
      <c r="E47" s="40"/>
      <c r="F47" s="324">
        <v>43.0</v>
      </c>
      <c r="G47" s="324" t="s">
        <v>3870</v>
      </c>
      <c r="H47" s="325" t="s">
        <v>3807</v>
      </c>
      <c r="I47" s="325" t="s">
        <v>3813</v>
      </c>
      <c r="J47" s="325" t="s">
        <v>3816</v>
      </c>
      <c r="K47" s="324"/>
      <c r="L47" s="40"/>
      <c r="M47" s="40"/>
      <c r="N47" s="40"/>
      <c r="O47" s="40"/>
      <c r="P47" s="40"/>
      <c r="Q47" s="40"/>
      <c r="R47" s="40"/>
      <c r="S47" s="40"/>
      <c r="T47" s="40"/>
      <c r="U47" s="40"/>
      <c r="V47" s="40"/>
      <c r="W47" s="40"/>
      <c r="X47" s="40"/>
      <c r="Y47" s="40"/>
      <c r="Z47" s="40"/>
    </row>
    <row r="48">
      <c r="A48" s="40"/>
      <c r="B48" s="40"/>
      <c r="C48" s="40"/>
      <c r="D48" s="40"/>
      <c r="E48" s="40"/>
      <c r="F48" s="324">
        <v>44.0</v>
      </c>
      <c r="G48" s="324" t="s">
        <v>3871</v>
      </c>
      <c r="H48" s="325" t="s">
        <v>3807</v>
      </c>
      <c r="I48" s="325" t="s">
        <v>3813</v>
      </c>
      <c r="J48" s="325" t="s">
        <v>3872</v>
      </c>
      <c r="K48" s="324"/>
      <c r="L48" s="40"/>
      <c r="M48" s="40"/>
      <c r="N48" s="40"/>
      <c r="O48" s="40"/>
      <c r="P48" s="40"/>
      <c r="Q48" s="40"/>
      <c r="R48" s="40"/>
      <c r="S48" s="40"/>
      <c r="T48" s="40"/>
      <c r="U48" s="40"/>
      <c r="V48" s="40"/>
      <c r="W48" s="40"/>
      <c r="X48" s="40"/>
      <c r="Y48" s="40"/>
      <c r="Z48" s="40"/>
    </row>
    <row r="49">
      <c r="A49" s="40"/>
      <c r="B49" s="40"/>
      <c r="C49" s="40"/>
      <c r="D49" s="40"/>
      <c r="E49" s="40"/>
      <c r="F49" s="324">
        <v>45.0</v>
      </c>
      <c r="G49" s="324" t="s">
        <v>3873</v>
      </c>
      <c r="H49" s="325" t="s">
        <v>3807</v>
      </c>
      <c r="I49" s="325" t="s">
        <v>3813</v>
      </c>
      <c r="J49" s="325" t="s">
        <v>3872</v>
      </c>
      <c r="K49" s="324"/>
      <c r="L49" s="40"/>
      <c r="M49" s="40"/>
      <c r="N49" s="40"/>
      <c r="O49" s="40"/>
      <c r="P49" s="40"/>
      <c r="Q49" s="40"/>
      <c r="R49" s="40"/>
      <c r="S49" s="40"/>
      <c r="T49" s="40"/>
      <c r="U49" s="40"/>
      <c r="V49" s="40"/>
      <c r="W49" s="40"/>
      <c r="X49" s="40"/>
      <c r="Y49" s="40"/>
      <c r="Z49" s="40"/>
    </row>
    <row r="50">
      <c r="A50" s="40"/>
      <c r="B50" s="40"/>
      <c r="C50" s="40"/>
      <c r="D50" s="40"/>
      <c r="E50" s="40"/>
      <c r="F50" s="324">
        <v>46.0</v>
      </c>
      <c r="G50" s="324" t="s">
        <v>3874</v>
      </c>
      <c r="H50" s="325" t="s">
        <v>3807</v>
      </c>
      <c r="I50" s="325" t="s">
        <v>3813</v>
      </c>
      <c r="J50" s="325" t="s">
        <v>3872</v>
      </c>
      <c r="K50" s="324"/>
      <c r="L50" s="40"/>
      <c r="M50" s="40"/>
      <c r="N50" s="40"/>
      <c r="O50" s="40"/>
      <c r="P50" s="40"/>
      <c r="Q50" s="40"/>
      <c r="R50" s="40"/>
      <c r="S50" s="40"/>
      <c r="T50" s="40"/>
      <c r="U50" s="40"/>
      <c r="V50" s="40"/>
      <c r="W50" s="40"/>
      <c r="X50" s="40"/>
      <c r="Y50" s="40"/>
      <c r="Z50" s="40"/>
    </row>
    <row r="51">
      <c r="A51" s="40"/>
      <c r="B51" s="40"/>
      <c r="C51" s="40"/>
      <c r="D51" s="40"/>
      <c r="E51" s="40"/>
      <c r="F51" s="324">
        <v>47.0</v>
      </c>
      <c r="G51" s="324" t="s">
        <v>3875</v>
      </c>
      <c r="H51" s="325" t="s">
        <v>3807</v>
      </c>
      <c r="I51" s="325" t="s">
        <v>3813</v>
      </c>
      <c r="J51" s="325" t="s">
        <v>3872</v>
      </c>
      <c r="K51" s="324"/>
      <c r="L51" s="40"/>
      <c r="M51" s="40"/>
      <c r="N51" s="40"/>
      <c r="O51" s="40"/>
      <c r="P51" s="40"/>
      <c r="Q51" s="40"/>
      <c r="R51" s="40"/>
      <c r="S51" s="40"/>
      <c r="T51" s="40"/>
      <c r="U51" s="40"/>
      <c r="V51" s="40"/>
      <c r="W51" s="40"/>
      <c r="X51" s="40"/>
      <c r="Y51" s="40"/>
      <c r="Z51" s="40"/>
    </row>
    <row r="52">
      <c r="A52" s="40"/>
      <c r="B52" s="40"/>
      <c r="C52" s="40"/>
      <c r="D52" s="40"/>
      <c r="E52" s="40"/>
      <c r="F52" s="324">
        <v>48.0</v>
      </c>
      <c r="G52" s="324" t="s">
        <v>3876</v>
      </c>
      <c r="H52" s="325" t="s">
        <v>3807</v>
      </c>
      <c r="I52" s="325" t="s">
        <v>3813</v>
      </c>
      <c r="J52" s="325" t="s">
        <v>3872</v>
      </c>
      <c r="K52" s="324"/>
      <c r="L52" s="40"/>
      <c r="M52" s="40"/>
      <c r="N52" s="40"/>
      <c r="O52" s="40"/>
      <c r="P52" s="40"/>
      <c r="Q52" s="40"/>
      <c r="R52" s="40"/>
      <c r="S52" s="40"/>
      <c r="T52" s="40"/>
      <c r="U52" s="40"/>
      <c r="V52" s="40"/>
      <c r="W52" s="40"/>
      <c r="X52" s="40"/>
      <c r="Y52" s="40"/>
      <c r="Z52" s="40"/>
    </row>
    <row r="53">
      <c r="A53" s="40"/>
      <c r="B53" s="40"/>
      <c r="C53" s="40"/>
      <c r="D53" s="40"/>
      <c r="E53" s="40"/>
      <c r="F53" s="324">
        <v>49.0</v>
      </c>
      <c r="G53" s="324" t="s">
        <v>3877</v>
      </c>
      <c r="H53" s="325" t="s">
        <v>3807</v>
      </c>
      <c r="I53" s="325" t="s">
        <v>3813</v>
      </c>
      <c r="J53" s="325" t="s">
        <v>3872</v>
      </c>
      <c r="K53" s="324"/>
      <c r="L53" s="40"/>
      <c r="M53" s="40"/>
      <c r="N53" s="40"/>
      <c r="O53" s="40"/>
      <c r="P53" s="40"/>
      <c r="Q53" s="40"/>
      <c r="R53" s="40"/>
      <c r="S53" s="40"/>
      <c r="T53" s="40"/>
      <c r="U53" s="40"/>
      <c r="V53" s="40"/>
      <c r="W53" s="40"/>
      <c r="X53" s="40"/>
      <c r="Y53" s="40"/>
      <c r="Z53" s="40"/>
    </row>
    <row r="54">
      <c r="A54" s="40"/>
      <c r="B54" s="40"/>
      <c r="C54" s="40"/>
      <c r="D54" s="40"/>
      <c r="E54" s="40"/>
      <c r="F54" s="324">
        <v>50.0</v>
      </c>
      <c r="G54" s="324" t="s">
        <v>3878</v>
      </c>
      <c r="H54" s="325" t="s">
        <v>3807</v>
      </c>
      <c r="I54" s="325" t="s">
        <v>3813</v>
      </c>
      <c r="J54" s="325" t="s">
        <v>3872</v>
      </c>
      <c r="K54" s="324"/>
      <c r="L54" s="40"/>
      <c r="M54" s="40"/>
      <c r="N54" s="40"/>
      <c r="O54" s="40"/>
      <c r="P54" s="40"/>
      <c r="Q54" s="40"/>
      <c r="R54" s="40"/>
      <c r="S54" s="40"/>
      <c r="T54" s="40"/>
      <c r="U54" s="40"/>
      <c r="V54" s="40"/>
      <c r="W54" s="40"/>
      <c r="X54" s="40"/>
      <c r="Y54" s="40"/>
      <c r="Z54" s="40"/>
    </row>
    <row r="55">
      <c r="A55" s="40"/>
      <c r="B55" s="40"/>
      <c r="C55" s="40"/>
      <c r="D55" s="40"/>
      <c r="E55" s="40"/>
      <c r="F55" s="324">
        <v>51.0</v>
      </c>
      <c r="G55" s="324" t="s">
        <v>3879</v>
      </c>
      <c r="H55" s="325" t="s">
        <v>3807</v>
      </c>
      <c r="I55" s="325" t="s">
        <v>3813</v>
      </c>
      <c r="J55" s="325" t="s">
        <v>3872</v>
      </c>
      <c r="K55" s="324"/>
      <c r="L55" s="40"/>
      <c r="M55" s="40"/>
      <c r="N55" s="40"/>
      <c r="O55" s="40"/>
      <c r="P55" s="40"/>
      <c r="Q55" s="40"/>
      <c r="R55" s="40"/>
      <c r="S55" s="40"/>
      <c r="T55" s="40"/>
      <c r="U55" s="40"/>
      <c r="V55" s="40"/>
      <c r="W55" s="40"/>
      <c r="X55" s="40"/>
      <c r="Y55" s="40"/>
      <c r="Z55" s="40"/>
    </row>
    <row r="56">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row>
    <row r="57">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row>
    <row r="58">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row>
    <row r="59">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row>
    <row r="60">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row>
    <row r="61">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row>
    <row r="6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row>
    <row r="63">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row>
    <row r="64">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row>
    <row r="65">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row>
    <row r="66">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row>
    <row r="67">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row>
    <row r="68">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row>
    <row r="69">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row>
    <row r="70">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row>
    <row r="71">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row>
    <row r="7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row>
    <row r="73">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row>
    <row r="74">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row>
    <row r="75">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row>
    <row r="76">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row>
    <row r="77">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row>
    <row r="78">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row>
    <row r="79">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row>
    <row r="80">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row>
    <row r="81">
      <c r="A81" s="40"/>
      <c r="B81" s="40"/>
      <c r="C81" s="40"/>
      <c r="D81" s="40"/>
      <c r="E81" s="40"/>
      <c r="F81" s="40"/>
      <c r="G81" s="40"/>
      <c r="H81" s="40"/>
      <c r="I81" s="40"/>
      <c r="J81" s="40"/>
      <c r="K81" s="40"/>
      <c r="L81" s="40"/>
      <c r="M81" s="40"/>
      <c r="N81" s="40"/>
      <c r="O81" s="40"/>
      <c r="P81" s="40"/>
      <c r="Q81" s="40"/>
      <c r="R81" s="40"/>
      <c r="S81" s="40"/>
      <c r="T81" s="40"/>
      <c r="U81" s="40"/>
      <c r="V81" s="40"/>
      <c r="W81" s="40"/>
      <c r="X81" s="40"/>
      <c r="Y81" s="40"/>
      <c r="Z81" s="40"/>
    </row>
    <row r="82">
      <c r="A82" s="40"/>
      <c r="B82" s="40"/>
      <c r="C82" s="40"/>
      <c r="D82" s="40"/>
      <c r="E82" s="40"/>
      <c r="F82" s="40"/>
      <c r="G82" s="40"/>
      <c r="H82" s="40"/>
      <c r="I82" s="40"/>
      <c r="J82" s="40"/>
      <c r="K82" s="40"/>
      <c r="L82" s="40"/>
      <c r="M82" s="40"/>
      <c r="N82" s="40"/>
      <c r="O82" s="40"/>
      <c r="P82" s="40"/>
      <c r="Q82" s="40"/>
      <c r="R82" s="40"/>
      <c r="S82" s="40"/>
      <c r="T82" s="40"/>
      <c r="U82" s="40"/>
      <c r="V82" s="40"/>
      <c r="W82" s="40"/>
      <c r="X82" s="40"/>
      <c r="Y82" s="40"/>
      <c r="Z82" s="40"/>
    </row>
    <row r="83">
      <c r="A83" s="40"/>
      <c r="B83" s="40"/>
      <c r="C83" s="40"/>
      <c r="D83" s="40"/>
      <c r="E83" s="40"/>
      <c r="F83" s="40"/>
      <c r="G83" s="40"/>
      <c r="H83" s="40"/>
      <c r="I83" s="40"/>
      <c r="J83" s="40"/>
      <c r="K83" s="40"/>
      <c r="L83" s="40"/>
      <c r="M83" s="40"/>
      <c r="N83" s="40"/>
      <c r="O83" s="40"/>
      <c r="P83" s="40"/>
      <c r="Q83" s="40"/>
      <c r="R83" s="40"/>
      <c r="S83" s="40"/>
      <c r="T83" s="40"/>
      <c r="U83" s="40"/>
      <c r="V83" s="40"/>
      <c r="W83" s="40"/>
      <c r="X83" s="40"/>
      <c r="Y83" s="40"/>
      <c r="Z83" s="40"/>
    </row>
    <row r="84">
      <c r="A84" s="40"/>
      <c r="B84" s="40"/>
      <c r="C84" s="40"/>
      <c r="D84" s="40"/>
      <c r="E84" s="40"/>
      <c r="F84" s="40"/>
      <c r="G84" s="40"/>
      <c r="H84" s="40"/>
      <c r="I84" s="40"/>
      <c r="J84" s="40"/>
      <c r="K84" s="40"/>
      <c r="L84" s="40"/>
      <c r="M84" s="40"/>
      <c r="N84" s="40"/>
      <c r="O84" s="40"/>
      <c r="P84" s="40"/>
      <c r="Q84" s="40"/>
      <c r="R84" s="40"/>
      <c r="S84" s="40"/>
      <c r="T84" s="40"/>
      <c r="U84" s="40"/>
      <c r="V84" s="40"/>
      <c r="W84" s="40"/>
      <c r="X84" s="40"/>
      <c r="Y84" s="40"/>
      <c r="Z84" s="40"/>
    </row>
    <row r="85">
      <c r="A85" s="40"/>
      <c r="B85" s="40"/>
      <c r="C85" s="40"/>
      <c r="D85" s="40"/>
      <c r="E85" s="40"/>
      <c r="F85" s="40"/>
      <c r="G85" s="40"/>
      <c r="H85" s="40"/>
      <c r="I85" s="40"/>
      <c r="J85" s="40"/>
      <c r="K85" s="40"/>
      <c r="L85" s="40"/>
      <c r="M85" s="40"/>
      <c r="N85" s="40"/>
      <c r="O85" s="40"/>
      <c r="P85" s="40"/>
      <c r="Q85" s="40"/>
      <c r="R85" s="40"/>
      <c r="S85" s="40"/>
      <c r="T85" s="40"/>
      <c r="U85" s="40"/>
      <c r="V85" s="40"/>
      <c r="W85" s="40"/>
      <c r="X85" s="40"/>
      <c r="Y85" s="40"/>
      <c r="Z85" s="40"/>
    </row>
    <row r="86">
      <c r="A86" s="40"/>
      <c r="B86" s="40"/>
      <c r="C86" s="40"/>
      <c r="D86" s="40"/>
      <c r="E86" s="40"/>
      <c r="F86" s="40"/>
      <c r="G86" s="40"/>
      <c r="H86" s="40"/>
      <c r="I86" s="40"/>
      <c r="J86" s="40"/>
      <c r="K86" s="40"/>
      <c r="L86" s="40"/>
      <c r="M86" s="40"/>
      <c r="N86" s="40"/>
      <c r="O86" s="40"/>
      <c r="P86" s="40"/>
      <c r="Q86" s="40"/>
      <c r="R86" s="40"/>
      <c r="S86" s="40"/>
      <c r="T86" s="40"/>
      <c r="U86" s="40"/>
      <c r="V86" s="40"/>
      <c r="W86" s="40"/>
      <c r="X86" s="40"/>
      <c r="Y86" s="40"/>
      <c r="Z86" s="40"/>
    </row>
    <row r="87">
      <c r="A87" s="40"/>
      <c r="B87" s="40"/>
      <c r="C87" s="40"/>
      <c r="D87" s="40"/>
      <c r="E87" s="40"/>
      <c r="F87" s="40"/>
      <c r="G87" s="40"/>
      <c r="H87" s="40"/>
      <c r="I87" s="40"/>
      <c r="J87" s="40"/>
      <c r="K87" s="40"/>
      <c r="L87" s="40"/>
      <c r="M87" s="40"/>
      <c r="N87" s="40"/>
      <c r="O87" s="40"/>
      <c r="P87" s="40"/>
      <c r="Q87" s="40"/>
      <c r="R87" s="40"/>
      <c r="S87" s="40"/>
      <c r="T87" s="40"/>
      <c r="U87" s="40"/>
      <c r="V87" s="40"/>
      <c r="W87" s="40"/>
      <c r="X87" s="40"/>
      <c r="Y87" s="40"/>
      <c r="Z87" s="40"/>
    </row>
    <row r="88">
      <c r="A88" s="40"/>
      <c r="B88" s="40"/>
      <c r="C88" s="40"/>
      <c r="D88" s="40"/>
      <c r="E88" s="40"/>
      <c r="F88" s="40"/>
      <c r="G88" s="40"/>
      <c r="H88" s="40"/>
      <c r="I88" s="40"/>
      <c r="J88" s="40"/>
      <c r="K88" s="40"/>
      <c r="L88" s="40"/>
      <c r="M88" s="40"/>
      <c r="N88" s="40"/>
      <c r="O88" s="40"/>
      <c r="P88" s="40"/>
      <c r="Q88" s="40"/>
      <c r="R88" s="40"/>
      <c r="S88" s="40"/>
      <c r="T88" s="40"/>
      <c r="U88" s="40"/>
      <c r="V88" s="40"/>
      <c r="W88" s="40"/>
      <c r="X88" s="40"/>
      <c r="Y88" s="40"/>
      <c r="Z88" s="40"/>
    </row>
    <row r="89">
      <c r="A89" s="40"/>
      <c r="B89" s="40"/>
      <c r="C89" s="40"/>
      <c r="D89" s="40"/>
      <c r="E89" s="40"/>
      <c r="F89" s="40"/>
      <c r="G89" s="40"/>
      <c r="H89" s="40"/>
      <c r="I89" s="40"/>
      <c r="J89" s="40"/>
      <c r="K89" s="40"/>
      <c r="L89" s="40"/>
      <c r="M89" s="40"/>
      <c r="N89" s="40"/>
      <c r="O89" s="40"/>
      <c r="P89" s="40"/>
      <c r="Q89" s="40"/>
      <c r="R89" s="40"/>
      <c r="S89" s="40"/>
      <c r="T89" s="40"/>
      <c r="U89" s="40"/>
      <c r="V89" s="40"/>
      <c r="W89" s="40"/>
      <c r="X89" s="40"/>
      <c r="Y89" s="40"/>
      <c r="Z89" s="40"/>
    </row>
    <row r="90">
      <c r="A90" s="40"/>
      <c r="B90" s="40"/>
      <c r="C90" s="40"/>
      <c r="D90" s="40"/>
      <c r="E90" s="40"/>
      <c r="F90" s="40"/>
      <c r="G90" s="40"/>
      <c r="H90" s="40"/>
      <c r="I90" s="40"/>
      <c r="J90" s="40"/>
      <c r="K90" s="40"/>
      <c r="L90" s="40"/>
      <c r="M90" s="40"/>
      <c r="N90" s="40"/>
      <c r="O90" s="40"/>
      <c r="P90" s="40"/>
      <c r="Q90" s="40"/>
      <c r="R90" s="40"/>
      <c r="S90" s="40"/>
      <c r="T90" s="40"/>
      <c r="U90" s="40"/>
      <c r="V90" s="40"/>
      <c r="W90" s="40"/>
      <c r="X90" s="40"/>
      <c r="Y90" s="40"/>
      <c r="Z90" s="40"/>
    </row>
    <row r="91">
      <c r="A91" s="40"/>
      <c r="B91" s="40"/>
      <c r="C91" s="40"/>
      <c r="D91" s="40"/>
      <c r="E91" s="40"/>
      <c r="F91" s="40"/>
      <c r="G91" s="40"/>
      <c r="H91" s="40"/>
      <c r="I91" s="40"/>
      <c r="J91" s="40"/>
      <c r="K91" s="40"/>
      <c r="L91" s="40"/>
      <c r="M91" s="40"/>
      <c r="N91" s="40"/>
      <c r="O91" s="40"/>
      <c r="P91" s="40"/>
      <c r="Q91" s="40"/>
      <c r="R91" s="40"/>
      <c r="S91" s="40"/>
      <c r="T91" s="40"/>
      <c r="U91" s="40"/>
      <c r="V91" s="40"/>
      <c r="W91" s="40"/>
      <c r="X91" s="40"/>
      <c r="Y91" s="40"/>
      <c r="Z91" s="40"/>
    </row>
    <row r="92">
      <c r="A92" s="40"/>
      <c r="B92" s="40"/>
      <c r="C92" s="40"/>
      <c r="D92" s="40"/>
      <c r="E92" s="40"/>
      <c r="F92" s="40"/>
      <c r="G92" s="40"/>
      <c r="H92" s="40"/>
      <c r="I92" s="40"/>
      <c r="J92" s="40"/>
      <c r="K92" s="40"/>
      <c r="L92" s="40"/>
      <c r="M92" s="40"/>
      <c r="N92" s="40"/>
      <c r="O92" s="40"/>
      <c r="P92" s="40"/>
      <c r="Q92" s="40"/>
      <c r="R92" s="40"/>
      <c r="S92" s="40"/>
      <c r="T92" s="40"/>
      <c r="U92" s="40"/>
      <c r="V92" s="40"/>
      <c r="W92" s="40"/>
      <c r="X92" s="40"/>
      <c r="Y92" s="40"/>
      <c r="Z92" s="40"/>
    </row>
    <row r="93">
      <c r="A93" s="40"/>
      <c r="B93" s="40"/>
      <c r="C93" s="40"/>
      <c r="D93" s="40"/>
      <c r="E93" s="40"/>
      <c r="F93" s="40"/>
      <c r="G93" s="40"/>
      <c r="H93" s="40"/>
      <c r="I93" s="40"/>
      <c r="J93" s="40"/>
      <c r="K93" s="40"/>
      <c r="L93" s="40"/>
      <c r="M93" s="40"/>
      <c r="N93" s="40"/>
      <c r="O93" s="40"/>
      <c r="P93" s="40"/>
      <c r="Q93" s="40"/>
      <c r="R93" s="40"/>
      <c r="S93" s="40"/>
      <c r="T93" s="40"/>
      <c r="U93" s="40"/>
      <c r="V93" s="40"/>
      <c r="W93" s="40"/>
      <c r="X93" s="40"/>
      <c r="Y93" s="40"/>
      <c r="Z93" s="40"/>
    </row>
    <row r="94">
      <c r="A94" s="40"/>
      <c r="B94" s="40"/>
      <c r="C94" s="40"/>
      <c r="D94" s="40"/>
      <c r="E94" s="40"/>
      <c r="F94" s="40"/>
      <c r="G94" s="40"/>
      <c r="H94" s="40"/>
      <c r="I94" s="40"/>
      <c r="J94" s="40"/>
      <c r="K94" s="40"/>
      <c r="L94" s="40"/>
      <c r="M94" s="40"/>
      <c r="N94" s="40"/>
      <c r="O94" s="40"/>
      <c r="P94" s="40"/>
      <c r="Q94" s="40"/>
      <c r="R94" s="40"/>
      <c r="S94" s="40"/>
      <c r="T94" s="40"/>
      <c r="U94" s="40"/>
      <c r="V94" s="40"/>
      <c r="W94" s="40"/>
      <c r="X94" s="40"/>
      <c r="Y94" s="40"/>
      <c r="Z94" s="40"/>
    </row>
    <row r="95">
      <c r="A95" s="40"/>
      <c r="B95" s="40"/>
      <c r="C95" s="40"/>
      <c r="D95" s="40"/>
      <c r="E95" s="40"/>
      <c r="F95" s="40"/>
      <c r="G95" s="40"/>
      <c r="H95" s="40"/>
      <c r="I95" s="40"/>
      <c r="J95" s="40"/>
      <c r="K95" s="40"/>
      <c r="L95" s="40"/>
      <c r="M95" s="40"/>
      <c r="N95" s="40"/>
      <c r="O95" s="40"/>
      <c r="P95" s="40"/>
      <c r="Q95" s="40"/>
      <c r="R95" s="40"/>
      <c r="S95" s="40"/>
      <c r="T95" s="40"/>
      <c r="U95" s="40"/>
      <c r="V95" s="40"/>
      <c r="W95" s="40"/>
      <c r="X95" s="40"/>
      <c r="Y95" s="40"/>
      <c r="Z95" s="40"/>
    </row>
    <row r="96">
      <c r="A96" s="40"/>
      <c r="B96" s="40"/>
      <c r="C96" s="40"/>
      <c r="D96" s="40"/>
      <c r="E96" s="40"/>
      <c r="F96" s="40"/>
      <c r="G96" s="40"/>
      <c r="H96" s="40"/>
      <c r="I96" s="40"/>
      <c r="J96" s="40"/>
      <c r="K96" s="40"/>
      <c r="L96" s="40"/>
      <c r="M96" s="40"/>
      <c r="N96" s="40"/>
      <c r="O96" s="40"/>
      <c r="P96" s="40"/>
      <c r="Q96" s="40"/>
      <c r="R96" s="40"/>
      <c r="S96" s="40"/>
      <c r="T96" s="40"/>
      <c r="U96" s="40"/>
      <c r="V96" s="40"/>
      <c r="W96" s="40"/>
      <c r="X96" s="40"/>
      <c r="Y96" s="40"/>
      <c r="Z96" s="40"/>
    </row>
    <row r="97">
      <c r="A97" s="40"/>
      <c r="B97" s="40"/>
      <c r="C97" s="40"/>
      <c r="D97" s="40"/>
      <c r="E97" s="40"/>
      <c r="F97" s="40"/>
      <c r="G97" s="40"/>
      <c r="H97" s="40"/>
      <c r="I97" s="40"/>
      <c r="J97" s="40"/>
      <c r="K97" s="40"/>
      <c r="L97" s="40"/>
      <c r="M97" s="40"/>
      <c r="N97" s="40"/>
      <c r="O97" s="40"/>
      <c r="P97" s="40"/>
      <c r="Q97" s="40"/>
      <c r="R97" s="40"/>
      <c r="S97" s="40"/>
      <c r="T97" s="40"/>
      <c r="U97" s="40"/>
      <c r="V97" s="40"/>
      <c r="W97" s="40"/>
      <c r="X97" s="40"/>
      <c r="Y97" s="40"/>
      <c r="Z97" s="40"/>
    </row>
    <row r="98">
      <c r="A98" s="40"/>
      <c r="B98" s="40"/>
      <c r="C98" s="40"/>
      <c r="D98" s="40"/>
      <c r="E98" s="40"/>
      <c r="F98" s="40"/>
      <c r="G98" s="40"/>
      <c r="H98" s="40"/>
      <c r="I98" s="40"/>
      <c r="J98" s="40"/>
      <c r="K98" s="40"/>
      <c r="L98" s="40"/>
      <c r="M98" s="40"/>
      <c r="N98" s="40"/>
      <c r="O98" s="40"/>
      <c r="P98" s="40"/>
      <c r="Q98" s="40"/>
      <c r="R98" s="40"/>
      <c r="S98" s="40"/>
      <c r="T98" s="40"/>
      <c r="U98" s="40"/>
      <c r="V98" s="40"/>
      <c r="W98" s="40"/>
      <c r="X98" s="40"/>
      <c r="Y98" s="40"/>
      <c r="Z98" s="40"/>
    </row>
    <row r="99">
      <c r="A99" s="40"/>
      <c r="B99" s="40"/>
      <c r="C99" s="40"/>
      <c r="D99" s="40"/>
      <c r="E99" s="40"/>
      <c r="F99" s="40"/>
      <c r="G99" s="40"/>
      <c r="H99" s="40"/>
      <c r="I99" s="40"/>
      <c r="J99" s="40"/>
      <c r="K99" s="40"/>
      <c r="L99" s="40"/>
      <c r="M99" s="40"/>
      <c r="N99" s="40"/>
      <c r="O99" s="40"/>
      <c r="P99" s="40"/>
      <c r="Q99" s="40"/>
      <c r="R99" s="40"/>
      <c r="S99" s="40"/>
      <c r="T99" s="40"/>
      <c r="U99" s="40"/>
      <c r="V99" s="40"/>
      <c r="W99" s="40"/>
      <c r="X99" s="40"/>
      <c r="Y99" s="40"/>
      <c r="Z99" s="40"/>
    </row>
    <row r="100">
      <c r="A100" s="40"/>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row>
    <row r="101">
      <c r="A101" s="40"/>
      <c r="B101" s="40"/>
      <c r="C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row>
    <row r="102">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row>
    <row r="103">
      <c r="A103" s="40"/>
      <c r="B103" s="40"/>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row>
    <row r="104">
      <c r="A104" s="40"/>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row>
    <row r="105">
      <c r="A105" s="40"/>
      <c r="B105" s="40"/>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row>
    <row r="106">
      <c r="A106" s="40"/>
      <c r="B106" s="40"/>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row>
    <row r="107">
      <c r="A107" s="40"/>
      <c r="B107" s="40"/>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row>
    <row r="108">
      <c r="A108" s="40"/>
      <c r="B108" s="40"/>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row>
    <row r="109">
      <c r="A109" s="40"/>
      <c r="B109" s="40"/>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row>
    <row r="110">
      <c r="A110" s="40"/>
      <c r="B110" s="40"/>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0"/>
    </row>
    <row r="111">
      <c r="A111" s="40"/>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row>
    <row r="112">
      <c r="A112" s="40"/>
      <c r="B112" s="40"/>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0"/>
    </row>
    <row r="113">
      <c r="A113" s="40"/>
      <c r="B113" s="40"/>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0"/>
    </row>
    <row r="114">
      <c r="A114" s="40"/>
      <c r="B114" s="40"/>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0"/>
    </row>
    <row r="115">
      <c r="A115" s="40"/>
      <c r="B115" s="40"/>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0"/>
    </row>
    <row r="116">
      <c r="A116" s="40"/>
      <c r="B116" s="40"/>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0"/>
    </row>
    <row r="117">
      <c r="A117" s="40"/>
      <c r="B117" s="40"/>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0"/>
    </row>
    <row r="118">
      <c r="A118" s="40"/>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row>
    <row r="119">
      <c r="A119" s="40"/>
      <c r="B119" s="40"/>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0"/>
    </row>
    <row r="120">
      <c r="A120" s="40"/>
      <c r="B120" s="40"/>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0"/>
    </row>
    <row r="121">
      <c r="A121" s="40"/>
      <c r="B121" s="40"/>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0"/>
    </row>
    <row r="122">
      <c r="A122" s="40"/>
      <c r="B122" s="40"/>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0"/>
    </row>
    <row r="123">
      <c r="A123" s="40"/>
      <c r="B123" s="40"/>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0"/>
    </row>
    <row r="124">
      <c r="A124" s="40"/>
      <c r="B124" s="40"/>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0"/>
    </row>
    <row r="125">
      <c r="A125" s="40"/>
      <c r="B125" s="40"/>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0"/>
    </row>
    <row r="126">
      <c r="A126" s="40"/>
      <c r="B126" s="40"/>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0"/>
    </row>
    <row r="127">
      <c r="A127" s="40"/>
      <c r="B127" s="40"/>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0"/>
    </row>
    <row r="128">
      <c r="A128" s="40"/>
      <c r="B128" s="40"/>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0"/>
    </row>
    <row r="129">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row>
    <row r="130">
      <c r="A130" s="40"/>
      <c r="B130" s="40"/>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0"/>
    </row>
    <row r="131">
      <c r="A131" s="40"/>
      <c r="B131" s="40"/>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0"/>
    </row>
    <row r="132">
      <c r="A132" s="40"/>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row>
    <row r="133">
      <c r="A133" s="40"/>
      <c r="B133" s="40"/>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0"/>
    </row>
    <row r="134">
      <c r="A134" s="40"/>
      <c r="B134" s="40"/>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0"/>
    </row>
    <row r="135">
      <c r="A135" s="40"/>
      <c r="B135" s="40"/>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0"/>
    </row>
    <row r="136">
      <c r="A136" s="40"/>
      <c r="B136" s="40"/>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0"/>
    </row>
    <row r="137">
      <c r="A137" s="40"/>
      <c r="B137" s="40"/>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0"/>
    </row>
    <row r="138">
      <c r="A138" s="40"/>
      <c r="B138" s="40"/>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0"/>
    </row>
    <row r="139">
      <c r="A139" s="40"/>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row>
    <row r="140">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row>
    <row r="141">
      <c r="A141" s="40"/>
      <c r="B141" s="40"/>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0"/>
    </row>
    <row r="142">
      <c r="A142" s="40"/>
      <c r="B142" s="40"/>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0"/>
    </row>
    <row r="143">
      <c r="A143" s="40"/>
      <c r="B143" s="40"/>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0"/>
    </row>
    <row r="144">
      <c r="A144" s="40"/>
      <c r="B144" s="40"/>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0"/>
    </row>
    <row r="145">
      <c r="A145" s="40"/>
      <c r="B145" s="40"/>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0"/>
    </row>
    <row r="146">
      <c r="A146" s="40"/>
      <c r="B146" s="40"/>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0"/>
    </row>
    <row r="147">
      <c r="A147" s="40"/>
      <c r="B147" s="40"/>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0"/>
    </row>
    <row r="148">
      <c r="A148" s="40"/>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row>
    <row r="149">
      <c r="A149" s="40"/>
      <c r="B149" s="40"/>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0"/>
    </row>
    <row r="150">
      <c r="A150" s="40"/>
      <c r="B150" s="40"/>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0"/>
    </row>
    <row r="151">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row>
    <row r="152">
      <c r="A152" s="40"/>
      <c r="B152" s="40"/>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0"/>
    </row>
    <row r="153">
      <c r="A153" s="40"/>
      <c r="B153" s="40"/>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0"/>
    </row>
    <row r="154">
      <c r="A154" s="40"/>
      <c r="B154" s="40"/>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0"/>
    </row>
    <row r="155">
      <c r="A155" s="40"/>
      <c r="B155" s="40"/>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0"/>
    </row>
    <row r="156">
      <c r="A156" s="40"/>
      <c r="B156" s="40"/>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0"/>
    </row>
    <row r="157">
      <c r="A157" s="40"/>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row>
    <row r="158">
      <c r="A158" s="40"/>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row>
    <row r="159">
      <c r="A159" s="40"/>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row>
    <row r="160">
      <c r="A160" s="40"/>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row>
    <row r="161">
      <c r="A161" s="40"/>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row>
    <row r="162">
      <c r="A162" s="40"/>
      <c r="B162" s="40"/>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0"/>
    </row>
    <row r="163">
      <c r="A163" s="40"/>
      <c r="B163" s="40"/>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0"/>
    </row>
    <row r="164">
      <c r="A164" s="40"/>
      <c r="B164" s="40"/>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0"/>
    </row>
    <row r="165">
      <c r="A165" s="40"/>
      <c r="B165" s="40"/>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0"/>
    </row>
    <row r="166">
      <c r="A166" s="40"/>
      <c r="B166" s="40"/>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0"/>
    </row>
    <row r="167">
      <c r="A167" s="40"/>
      <c r="B167" s="40"/>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0"/>
    </row>
    <row r="168">
      <c r="A168" s="40"/>
      <c r="B168" s="40"/>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0"/>
    </row>
    <row r="169">
      <c r="A169" s="40"/>
      <c r="B169" s="40"/>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0"/>
    </row>
    <row r="170">
      <c r="A170" s="40"/>
      <c r="B170" s="40"/>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0"/>
    </row>
    <row r="171">
      <c r="A171" s="40"/>
      <c r="B171" s="40"/>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0"/>
    </row>
    <row r="172">
      <c r="A172" s="40"/>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0"/>
    </row>
    <row r="173">
      <c r="A173" s="40"/>
      <c r="B173" s="40"/>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0"/>
    </row>
    <row r="174">
      <c r="A174" s="40"/>
      <c r="B174" s="40"/>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0"/>
    </row>
    <row r="175">
      <c r="A175" s="40"/>
      <c r="B175" s="40"/>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0"/>
    </row>
    <row r="176">
      <c r="A176" s="40"/>
      <c r="B176" s="40"/>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0"/>
    </row>
    <row r="177">
      <c r="A177" s="40"/>
      <c r="B177" s="40"/>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0"/>
    </row>
    <row r="178">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row>
    <row r="179">
      <c r="A179" s="40"/>
      <c r="B179" s="40"/>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0"/>
    </row>
    <row r="180">
      <c r="A180" s="40"/>
      <c r="B180" s="40"/>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0"/>
    </row>
    <row r="181">
      <c r="A181" s="40"/>
      <c r="B181" s="40"/>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0"/>
    </row>
    <row r="182">
      <c r="A182" s="40"/>
      <c r="B182" s="40"/>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0"/>
    </row>
    <row r="183">
      <c r="A183" s="40"/>
      <c r="B183" s="40"/>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0"/>
    </row>
    <row r="184">
      <c r="A184" s="40"/>
      <c r="B184" s="40"/>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0"/>
    </row>
    <row r="185">
      <c r="A185" s="40"/>
      <c r="B185" s="40"/>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0"/>
    </row>
    <row r="186">
      <c r="A186" s="40"/>
      <c r="B186" s="40"/>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0"/>
    </row>
    <row r="187">
      <c r="A187" s="40"/>
      <c r="B187" s="40"/>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0"/>
    </row>
    <row r="188">
      <c r="A188" s="40"/>
      <c r="B188" s="40"/>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0"/>
    </row>
    <row r="189">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row>
    <row r="190">
      <c r="A190" s="40"/>
      <c r="B190" s="40"/>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0"/>
    </row>
    <row r="191">
      <c r="A191" s="40"/>
      <c r="B191" s="40"/>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0"/>
    </row>
    <row r="192">
      <c r="A192" s="40"/>
      <c r="B192" s="40"/>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0"/>
    </row>
    <row r="193">
      <c r="A193" s="40"/>
      <c r="B193" s="40"/>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0"/>
    </row>
    <row r="194">
      <c r="A194" s="40"/>
      <c r="B194" s="40"/>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0"/>
    </row>
    <row r="195">
      <c r="A195" s="40"/>
      <c r="B195" s="40"/>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0"/>
    </row>
    <row r="196">
      <c r="A196" s="40"/>
      <c r="B196" s="40"/>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0"/>
    </row>
    <row r="197">
      <c r="A197" s="40"/>
      <c r="B197" s="40"/>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0"/>
    </row>
    <row r="198">
      <c r="A198" s="40"/>
      <c r="B198" s="40"/>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0"/>
    </row>
    <row r="199">
      <c r="A199" s="40"/>
      <c r="B199" s="40"/>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0"/>
    </row>
    <row r="200">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row>
    <row r="201">
      <c r="A201" s="40"/>
      <c r="B201" s="40"/>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0"/>
    </row>
    <row r="202">
      <c r="A202" s="40"/>
      <c r="B202" s="40"/>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0"/>
    </row>
    <row r="203">
      <c r="A203" s="40"/>
      <c r="B203" s="40"/>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0"/>
    </row>
    <row r="204">
      <c r="A204" s="40"/>
      <c r="B204" s="40"/>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0"/>
    </row>
    <row r="205">
      <c r="A205" s="40"/>
      <c r="B205" s="40"/>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0"/>
    </row>
    <row r="206">
      <c r="A206" s="40"/>
      <c r="B206" s="40"/>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0"/>
    </row>
    <row r="207">
      <c r="A207" s="40"/>
      <c r="B207" s="40"/>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0"/>
    </row>
    <row r="208">
      <c r="A208" s="40"/>
      <c r="B208" s="40"/>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0"/>
    </row>
    <row r="209">
      <c r="A209" s="40"/>
      <c r="B209" s="40"/>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0"/>
    </row>
    <row r="210">
      <c r="A210" s="40"/>
      <c r="B210" s="40"/>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0"/>
    </row>
    <row r="211">
      <c r="A211" s="40"/>
      <c r="B211" s="40"/>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0"/>
    </row>
    <row r="212">
      <c r="A212" s="40"/>
      <c r="B212" s="40"/>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0"/>
    </row>
    <row r="213">
      <c r="A213" s="40"/>
      <c r="B213" s="40"/>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0"/>
    </row>
    <row r="214">
      <c r="A214" s="40"/>
      <c r="B214" s="40"/>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0"/>
    </row>
    <row r="215">
      <c r="A215" s="40"/>
      <c r="B215" s="40"/>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0"/>
    </row>
    <row r="216">
      <c r="A216" s="40"/>
      <c r="B216" s="40"/>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0"/>
    </row>
    <row r="217">
      <c r="A217" s="40"/>
      <c r="B217" s="40"/>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0"/>
    </row>
    <row r="218">
      <c r="A218" s="40"/>
      <c r="B218" s="40"/>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0"/>
    </row>
    <row r="219">
      <c r="A219" s="40"/>
      <c r="B219" s="40"/>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0"/>
    </row>
    <row r="220">
      <c r="A220" s="40"/>
      <c r="B220" s="40"/>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0"/>
    </row>
    <row r="221">
      <c r="A221" s="40"/>
      <c r="B221" s="40"/>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0"/>
    </row>
    <row r="222">
      <c r="A222" s="40"/>
      <c r="B222" s="40"/>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0"/>
    </row>
    <row r="223">
      <c r="A223" s="40"/>
      <c r="B223" s="40"/>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0"/>
    </row>
    <row r="224">
      <c r="A224" s="40"/>
      <c r="B224" s="40"/>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0"/>
    </row>
    <row r="225">
      <c r="A225" s="40"/>
      <c r="B225" s="40"/>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0"/>
    </row>
    <row r="226">
      <c r="A226" s="40"/>
      <c r="B226" s="40"/>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0"/>
    </row>
    <row r="227">
      <c r="A227" s="40"/>
      <c r="B227" s="40"/>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0"/>
    </row>
    <row r="228">
      <c r="A228" s="40"/>
      <c r="B228" s="40"/>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0"/>
    </row>
    <row r="229">
      <c r="A229" s="40"/>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row>
    <row r="230">
      <c r="A230" s="40"/>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row>
    <row r="231">
      <c r="A231" s="40"/>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row>
    <row r="232">
      <c r="A232" s="40"/>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row>
    <row r="233">
      <c r="A233" s="40"/>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row>
    <row r="234">
      <c r="A234" s="40"/>
      <c r="B234" s="40"/>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0"/>
    </row>
    <row r="235">
      <c r="A235" s="40"/>
      <c r="B235" s="40"/>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0"/>
    </row>
    <row r="236">
      <c r="A236" s="40"/>
      <c r="B236" s="40"/>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0"/>
    </row>
    <row r="237">
      <c r="A237" s="40"/>
      <c r="B237" s="40"/>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0"/>
    </row>
    <row r="238">
      <c r="A238" s="40"/>
      <c r="B238" s="40"/>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0"/>
    </row>
    <row r="239">
      <c r="A239" s="40"/>
      <c r="B239" s="40"/>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0"/>
    </row>
    <row r="240">
      <c r="A240" s="40"/>
      <c r="B240" s="40"/>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0"/>
    </row>
    <row r="241">
      <c r="A241" s="40"/>
      <c r="B241" s="40"/>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0"/>
    </row>
    <row r="242">
      <c r="A242" s="40"/>
      <c r="B242" s="40"/>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0"/>
    </row>
    <row r="243">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0"/>
    </row>
    <row r="244">
      <c r="A244" s="40"/>
      <c r="B244" s="40"/>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0"/>
    </row>
    <row r="245">
      <c r="A245" s="40"/>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0"/>
    </row>
    <row r="246">
      <c r="A246" s="40"/>
      <c r="B246" s="40"/>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0"/>
    </row>
    <row r="247">
      <c r="A247" s="40"/>
      <c r="B247" s="40"/>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0"/>
    </row>
    <row r="248">
      <c r="A248" s="40"/>
      <c r="B248" s="40"/>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0"/>
    </row>
    <row r="249">
      <c r="A249" s="40"/>
      <c r="B249" s="40"/>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0"/>
    </row>
    <row r="250">
      <c r="A250" s="40"/>
      <c r="B250" s="40"/>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0"/>
    </row>
    <row r="251">
      <c r="A251" s="40"/>
      <c r="B251" s="40"/>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0"/>
    </row>
    <row r="252">
      <c r="A252" s="40"/>
      <c r="B252" s="40"/>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0"/>
    </row>
    <row r="253">
      <c r="A253" s="40"/>
      <c r="B253" s="40"/>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0"/>
    </row>
    <row r="254">
      <c r="A254" s="40"/>
      <c r="B254" s="40"/>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0"/>
    </row>
    <row r="255">
      <c r="A255" s="40"/>
      <c r="B255" s="40"/>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0"/>
    </row>
    <row r="256">
      <c r="A256" s="40"/>
      <c r="B256" s="40"/>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0"/>
    </row>
    <row r="257">
      <c r="A257" s="40"/>
      <c r="B257" s="40"/>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0"/>
    </row>
    <row r="258">
      <c r="A258" s="40"/>
      <c r="B258" s="40"/>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0"/>
    </row>
    <row r="259">
      <c r="A259" s="40"/>
      <c r="B259" s="40"/>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0"/>
    </row>
    <row r="260">
      <c r="A260" s="40"/>
      <c r="B260" s="40"/>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0"/>
    </row>
    <row r="261">
      <c r="A261" s="40"/>
      <c r="B261" s="40"/>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0"/>
    </row>
    <row r="262">
      <c r="A262" s="40"/>
      <c r="B262" s="40"/>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0"/>
    </row>
    <row r="263">
      <c r="A263" s="40"/>
      <c r="B263" s="40"/>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0"/>
    </row>
    <row r="264">
      <c r="A264" s="40"/>
      <c r="B264" s="40"/>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0"/>
    </row>
    <row r="265">
      <c r="A265" s="40"/>
      <c r="B265" s="40"/>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0"/>
    </row>
    <row r="266">
      <c r="A266" s="40"/>
      <c r="B266" s="40"/>
      <c r="C266" s="40"/>
      <c r="D266" s="40"/>
      <c r="E266" s="40"/>
      <c r="F266" s="40"/>
      <c r="G266" s="40"/>
      <c r="H266" s="40"/>
      <c r="I266" s="40"/>
      <c r="J266" s="40"/>
      <c r="K266" s="40"/>
      <c r="L266" s="40"/>
      <c r="M266" s="40"/>
      <c r="N266" s="40"/>
      <c r="O266" s="40"/>
      <c r="P266" s="40"/>
      <c r="Q266" s="40"/>
      <c r="R266" s="40"/>
      <c r="S266" s="40"/>
      <c r="T266" s="40"/>
      <c r="U266" s="40"/>
      <c r="V266" s="40"/>
      <c r="W266" s="40"/>
      <c r="X266" s="40"/>
      <c r="Y266" s="40"/>
      <c r="Z266" s="40"/>
    </row>
    <row r="267">
      <c r="A267" s="40"/>
      <c r="B267" s="40"/>
      <c r="C267" s="40"/>
      <c r="D267" s="40"/>
      <c r="E267" s="40"/>
      <c r="F267" s="40"/>
      <c r="G267" s="40"/>
      <c r="H267" s="40"/>
      <c r="I267" s="40"/>
      <c r="J267" s="40"/>
      <c r="K267" s="40"/>
      <c r="L267" s="40"/>
      <c r="M267" s="40"/>
      <c r="N267" s="40"/>
      <c r="O267" s="40"/>
      <c r="P267" s="40"/>
      <c r="Q267" s="40"/>
      <c r="R267" s="40"/>
      <c r="S267" s="40"/>
      <c r="T267" s="40"/>
      <c r="U267" s="40"/>
      <c r="V267" s="40"/>
      <c r="W267" s="40"/>
      <c r="X267" s="40"/>
      <c r="Y267" s="40"/>
      <c r="Z267" s="40"/>
    </row>
    <row r="268">
      <c r="A268" s="40"/>
      <c r="B268" s="40"/>
      <c r="C268" s="40"/>
      <c r="D268" s="40"/>
      <c r="E268" s="40"/>
      <c r="F268" s="40"/>
      <c r="G268" s="40"/>
      <c r="H268" s="40"/>
      <c r="I268" s="40"/>
      <c r="J268" s="40"/>
      <c r="K268" s="40"/>
      <c r="L268" s="40"/>
      <c r="M268" s="40"/>
      <c r="N268" s="40"/>
      <c r="O268" s="40"/>
      <c r="P268" s="40"/>
      <c r="Q268" s="40"/>
      <c r="R268" s="40"/>
      <c r="S268" s="40"/>
      <c r="T268" s="40"/>
      <c r="U268" s="40"/>
      <c r="V268" s="40"/>
      <c r="W268" s="40"/>
      <c r="X268" s="40"/>
      <c r="Y268" s="40"/>
      <c r="Z268" s="40"/>
    </row>
    <row r="269">
      <c r="A269" s="40"/>
      <c r="B269" s="40"/>
      <c r="C269" s="40"/>
      <c r="D269" s="40"/>
      <c r="E269" s="40"/>
      <c r="F269" s="40"/>
      <c r="G269" s="40"/>
      <c r="H269" s="40"/>
      <c r="I269" s="40"/>
      <c r="J269" s="40"/>
      <c r="K269" s="40"/>
      <c r="L269" s="40"/>
      <c r="M269" s="40"/>
      <c r="N269" s="40"/>
      <c r="O269" s="40"/>
      <c r="P269" s="40"/>
      <c r="Q269" s="40"/>
      <c r="R269" s="40"/>
      <c r="S269" s="40"/>
      <c r="T269" s="40"/>
      <c r="U269" s="40"/>
      <c r="V269" s="40"/>
      <c r="W269" s="40"/>
      <c r="X269" s="40"/>
      <c r="Y269" s="40"/>
      <c r="Z269" s="40"/>
    </row>
    <row r="270">
      <c r="A270" s="40"/>
      <c r="B270" s="40"/>
      <c r="C270" s="40"/>
      <c r="D270" s="40"/>
      <c r="E270" s="40"/>
      <c r="F270" s="40"/>
      <c r="G270" s="40"/>
      <c r="H270" s="40"/>
      <c r="I270" s="40"/>
      <c r="J270" s="40"/>
      <c r="K270" s="40"/>
      <c r="L270" s="40"/>
      <c r="M270" s="40"/>
      <c r="N270" s="40"/>
      <c r="O270" s="40"/>
      <c r="P270" s="40"/>
      <c r="Q270" s="40"/>
      <c r="R270" s="40"/>
      <c r="S270" s="40"/>
      <c r="T270" s="40"/>
      <c r="U270" s="40"/>
      <c r="V270" s="40"/>
      <c r="W270" s="40"/>
      <c r="X270" s="40"/>
      <c r="Y270" s="40"/>
      <c r="Z270" s="40"/>
    </row>
    <row r="271">
      <c r="A271" s="40"/>
      <c r="B271" s="40"/>
      <c r="C271" s="40"/>
      <c r="D271" s="40"/>
      <c r="E271" s="40"/>
      <c r="F271" s="40"/>
      <c r="G271" s="40"/>
      <c r="H271" s="40"/>
      <c r="I271" s="40"/>
      <c r="J271" s="40"/>
      <c r="K271" s="40"/>
      <c r="L271" s="40"/>
      <c r="M271" s="40"/>
      <c r="N271" s="40"/>
      <c r="O271" s="40"/>
      <c r="P271" s="40"/>
      <c r="Q271" s="40"/>
      <c r="R271" s="40"/>
      <c r="S271" s="40"/>
      <c r="T271" s="40"/>
      <c r="U271" s="40"/>
      <c r="V271" s="40"/>
      <c r="W271" s="40"/>
      <c r="X271" s="40"/>
      <c r="Y271" s="40"/>
      <c r="Z271" s="40"/>
    </row>
    <row r="272">
      <c r="A272" s="40"/>
      <c r="B272" s="40"/>
      <c r="C272" s="40"/>
      <c r="D272" s="40"/>
      <c r="E272" s="40"/>
      <c r="F272" s="40"/>
      <c r="G272" s="40"/>
      <c r="H272" s="40"/>
      <c r="I272" s="40"/>
      <c r="J272" s="40"/>
      <c r="K272" s="40"/>
      <c r="L272" s="40"/>
      <c r="M272" s="40"/>
      <c r="N272" s="40"/>
      <c r="O272" s="40"/>
      <c r="P272" s="40"/>
      <c r="Q272" s="40"/>
      <c r="R272" s="40"/>
      <c r="S272" s="40"/>
      <c r="T272" s="40"/>
      <c r="U272" s="40"/>
      <c r="V272" s="40"/>
      <c r="W272" s="40"/>
      <c r="X272" s="40"/>
      <c r="Y272" s="40"/>
      <c r="Z272" s="40"/>
    </row>
    <row r="273">
      <c r="A273" s="40"/>
      <c r="B273" s="40"/>
      <c r="C273" s="40"/>
      <c r="D273" s="40"/>
      <c r="E273" s="40"/>
      <c r="F273" s="40"/>
      <c r="G273" s="40"/>
      <c r="H273" s="40"/>
      <c r="I273" s="40"/>
      <c r="J273" s="40"/>
      <c r="K273" s="40"/>
      <c r="L273" s="40"/>
      <c r="M273" s="40"/>
      <c r="N273" s="40"/>
      <c r="O273" s="40"/>
      <c r="P273" s="40"/>
      <c r="Q273" s="40"/>
      <c r="R273" s="40"/>
      <c r="S273" s="40"/>
      <c r="T273" s="40"/>
      <c r="U273" s="40"/>
      <c r="V273" s="40"/>
      <c r="W273" s="40"/>
      <c r="X273" s="40"/>
      <c r="Y273" s="40"/>
      <c r="Z273" s="40"/>
    </row>
    <row r="274">
      <c r="A274" s="40"/>
      <c r="B274" s="40"/>
      <c r="C274" s="40"/>
      <c r="D274" s="40"/>
      <c r="E274" s="40"/>
      <c r="F274" s="40"/>
      <c r="G274" s="40"/>
      <c r="H274" s="40"/>
      <c r="I274" s="40"/>
      <c r="J274" s="40"/>
      <c r="K274" s="40"/>
      <c r="L274" s="40"/>
      <c r="M274" s="40"/>
      <c r="N274" s="40"/>
      <c r="O274" s="40"/>
      <c r="P274" s="40"/>
      <c r="Q274" s="40"/>
      <c r="R274" s="40"/>
      <c r="S274" s="40"/>
      <c r="T274" s="40"/>
      <c r="U274" s="40"/>
      <c r="V274" s="40"/>
      <c r="W274" s="40"/>
      <c r="X274" s="40"/>
      <c r="Y274" s="40"/>
      <c r="Z274" s="40"/>
    </row>
    <row r="275">
      <c r="A275" s="40"/>
      <c r="B275" s="40"/>
      <c r="C275" s="40"/>
      <c r="D275" s="40"/>
      <c r="E275" s="40"/>
      <c r="F275" s="40"/>
      <c r="G275" s="40"/>
      <c r="H275" s="40"/>
      <c r="I275" s="40"/>
      <c r="J275" s="40"/>
      <c r="K275" s="40"/>
      <c r="L275" s="40"/>
      <c r="M275" s="40"/>
      <c r="N275" s="40"/>
      <c r="O275" s="40"/>
      <c r="P275" s="40"/>
      <c r="Q275" s="40"/>
      <c r="R275" s="40"/>
      <c r="S275" s="40"/>
      <c r="T275" s="40"/>
      <c r="U275" s="40"/>
      <c r="V275" s="40"/>
      <c r="W275" s="40"/>
      <c r="X275" s="40"/>
      <c r="Y275" s="40"/>
      <c r="Z275" s="40"/>
    </row>
    <row r="276">
      <c r="A276" s="40"/>
      <c r="B276" s="40"/>
      <c r="C276" s="40"/>
      <c r="D276" s="40"/>
      <c r="E276" s="40"/>
      <c r="F276" s="40"/>
      <c r="G276" s="40"/>
      <c r="H276" s="40"/>
      <c r="I276" s="40"/>
      <c r="J276" s="40"/>
      <c r="K276" s="40"/>
      <c r="L276" s="40"/>
      <c r="M276" s="40"/>
      <c r="N276" s="40"/>
      <c r="O276" s="40"/>
      <c r="P276" s="40"/>
      <c r="Q276" s="40"/>
      <c r="R276" s="40"/>
      <c r="S276" s="40"/>
      <c r="T276" s="40"/>
      <c r="U276" s="40"/>
      <c r="V276" s="40"/>
      <c r="W276" s="40"/>
      <c r="X276" s="40"/>
      <c r="Y276" s="40"/>
      <c r="Z276" s="40"/>
    </row>
    <row r="277">
      <c r="A277" s="40"/>
      <c r="B277" s="40"/>
      <c r="C277" s="40"/>
      <c r="D277" s="40"/>
      <c r="E277" s="40"/>
      <c r="F277" s="40"/>
      <c r="G277" s="40"/>
      <c r="H277" s="40"/>
      <c r="I277" s="40"/>
      <c r="J277" s="40"/>
      <c r="K277" s="40"/>
      <c r="L277" s="40"/>
      <c r="M277" s="40"/>
      <c r="N277" s="40"/>
      <c r="O277" s="40"/>
      <c r="P277" s="40"/>
      <c r="Q277" s="40"/>
      <c r="R277" s="40"/>
      <c r="S277" s="40"/>
      <c r="T277" s="40"/>
      <c r="U277" s="40"/>
      <c r="V277" s="40"/>
      <c r="W277" s="40"/>
      <c r="X277" s="40"/>
      <c r="Y277" s="40"/>
      <c r="Z277" s="40"/>
    </row>
    <row r="278">
      <c r="A278" s="40"/>
      <c r="B278" s="40"/>
      <c r="C278" s="40"/>
      <c r="D278" s="40"/>
      <c r="E278" s="40"/>
      <c r="F278" s="40"/>
      <c r="G278" s="40"/>
      <c r="H278" s="40"/>
      <c r="I278" s="40"/>
      <c r="J278" s="40"/>
      <c r="K278" s="40"/>
      <c r="L278" s="40"/>
      <c r="M278" s="40"/>
      <c r="N278" s="40"/>
      <c r="O278" s="40"/>
      <c r="P278" s="40"/>
      <c r="Q278" s="40"/>
      <c r="R278" s="40"/>
      <c r="S278" s="40"/>
      <c r="T278" s="40"/>
      <c r="U278" s="40"/>
      <c r="V278" s="40"/>
      <c r="W278" s="40"/>
      <c r="X278" s="40"/>
      <c r="Y278" s="40"/>
      <c r="Z278" s="40"/>
    </row>
    <row r="279">
      <c r="A279" s="40"/>
      <c r="B279" s="40"/>
      <c r="C279" s="40"/>
      <c r="D279" s="40"/>
      <c r="E279" s="40"/>
      <c r="F279" s="40"/>
      <c r="G279" s="40"/>
      <c r="H279" s="40"/>
      <c r="I279" s="40"/>
      <c r="J279" s="40"/>
      <c r="K279" s="40"/>
      <c r="L279" s="40"/>
      <c r="M279" s="40"/>
      <c r="N279" s="40"/>
      <c r="O279" s="40"/>
      <c r="P279" s="40"/>
      <c r="Q279" s="40"/>
      <c r="R279" s="40"/>
      <c r="S279" s="40"/>
      <c r="T279" s="40"/>
      <c r="U279" s="40"/>
      <c r="V279" s="40"/>
      <c r="W279" s="40"/>
      <c r="X279" s="40"/>
      <c r="Y279" s="40"/>
      <c r="Z279" s="40"/>
    </row>
    <row r="280">
      <c r="A280" s="40"/>
      <c r="B280" s="40"/>
      <c r="C280" s="40"/>
      <c r="D280" s="40"/>
      <c r="E280" s="40"/>
      <c r="F280" s="40"/>
      <c r="G280" s="40"/>
      <c r="H280" s="40"/>
      <c r="I280" s="40"/>
      <c r="J280" s="40"/>
      <c r="K280" s="40"/>
      <c r="L280" s="40"/>
      <c r="M280" s="40"/>
      <c r="N280" s="40"/>
      <c r="O280" s="40"/>
      <c r="P280" s="40"/>
      <c r="Q280" s="40"/>
      <c r="R280" s="40"/>
      <c r="S280" s="40"/>
      <c r="T280" s="40"/>
      <c r="U280" s="40"/>
      <c r="V280" s="40"/>
      <c r="W280" s="40"/>
      <c r="X280" s="40"/>
      <c r="Y280" s="40"/>
      <c r="Z280" s="40"/>
    </row>
    <row r="281">
      <c r="A281" s="40"/>
      <c r="B281" s="40"/>
      <c r="C281" s="40"/>
      <c r="D281" s="40"/>
      <c r="E281" s="40"/>
      <c r="F281" s="40"/>
      <c r="G281" s="40"/>
      <c r="H281" s="40"/>
      <c r="I281" s="40"/>
      <c r="J281" s="40"/>
      <c r="K281" s="40"/>
      <c r="L281" s="40"/>
      <c r="M281" s="40"/>
      <c r="N281" s="40"/>
      <c r="O281" s="40"/>
      <c r="P281" s="40"/>
      <c r="Q281" s="40"/>
      <c r="R281" s="40"/>
      <c r="S281" s="40"/>
      <c r="T281" s="40"/>
      <c r="U281" s="40"/>
      <c r="V281" s="40"/>
      <c r="W281" s="40"/>
      <c r="X281" s="40"/>
      <c r="Y281" s="40"/>
      <c r="Z281" s="40"/>
    </row>
    <row r="282">
      <c r="A282" s="40"/>
      <c r="B282" s="40"/>
      <c r="C282" s="40"/>
      <c r="D282" s="40"/>
      <c r="E282" s="40"/>
      <c r="F282" s="40"/>
      <c r="G282" s="40"/>
      <c r="H282" s="40"/>
      <c r="I282" s="40"/>
      <c r="J282" s="40"/>
      <c r="K282" s="40"/>
      <c r="L282" s="40"/>
      <c r="M282" s="40"/>
      <c r="N282" s="40"/>
      <c r="O282" s="40"/>
      <c r="P282" s="40"/>
      <c r="Q282" s="40"/>
      <c r="R282" s="40"/>
      <c r="S282" s="40"/>
      <c r="T282" s="40"/>
      <c r="U282" s="40"/>
      <c r="V282" s="40"/>
      <c r="W282" s="40"/>
      <c r="X282" s="40"/>
      <c r="Y282" s="40"/>
      <c r="Z282" s="40"/>
    </row>
    <row r="283">
      <c r="A283" s="40"/>
      <c r="B283" s="40"/>
      <c r="C283" s="40"/>
      <c r="D283" s="40"/>
      <c r="E283" s="40"/>
      <c r="F283" s="40"/>
      <c r="G283" s="40"/>
      <c r="H283" s="40"/>
      <c r="I283" s="40"/>
      <c r="J283" s="40"/>
      <c r="K283" s="40"/>
      <c r="L283" s="40"/>
      <c r="M283" s="40"/>
      <c r="N283" s="40"/>
      <c r="O283" s="40"/>
      <c r="P283" s="40"/>
      <c r="Q283" s="40"/>
      <c r="R283" s="40"/>
      <c r="S283" s="40"/>
      <c r="T283" s="40"/>
      <c r="U283" s="40"/>
      <c r="V283" s="40"/>
      <c r="W283" s="40"/>
      <c r="X283" s="40"/>
      <c r="Y283" s="40"/>
      <c r="Z283" s="40"/>
    </row>
    <row r="284">
      <c r="A284" s="40"/>
      <c r="B284" s="40"/>
      <c r="C284" s="40"/>
      <c r="D284" s="40"/>
      <c r="E284" s="40"/>
      <c r="F284" s="40"/>
      <c r="G284" s="40"/>
      <c r="H284" s="40"/>
      <c r="I284" s="40"/>
      <c r="J284" s="40"/>
      <c r="K284" s="40"/>
      <c r="L284" s="40"/>
      <c r="M284" s="40"/>
      <c r="N284" s="40"/>
      <c r="O284" s="40"/>
      <c r="P284" s="40"/>
      <c r="Q284" s="40"/>
      <c r="R284" s="40"/>
      <c r="S284" s="40"/>
      <c r="T284" s="40"/>
      <c r="U284" s="40"/>
      <c r="V284" s="40"/>
      <c r="W284" s="40"/>
      <c r="X284" s="40"/>
      <c r="Y284" s="40"/>
      <c r="Z284" s="40"/>
    </row>
    <row r="285">
      <c r="A285" s="40"/>
      <c r="B285" s="40"/>
      <c r="C285" s="40"/>
      <c r="D285" s="40"/>
      <c r="E285" s="40"/>
      <c r="F285" s="40"/>
      <c r="G285" s="40"/>
      <c r="H285" s="40"/>
      <c r="I285" s="40"/>
      <c r="J285" s="40"/>
      <c r="K285" s="40"/>
      <c r="L285" s="40"/>
      <c r="M285" s="40"/>
      <c r="N285" s="40"/>
      <c r="O285" s="40"/>
      <c r="P285" s="40"/>
      <c r="Q285" s="40"/>
      <c r="R285" s="40"/>
      <c r="S285" s="40"/>
      <c r="T285" s="40"/>
      <c r="U285" s="40"/>
      <c r="V285" s="40"/>
      <c r="W285" s="40"/>
      <c r="X285" s="40"/>
      <c r="Y285" s="40"/>
      <c r="Z285" s="40"/>
    </row>
    <row r="286">
      <c r="A286" s="40"/>
      <c r="B286" s="40"/>
      <c r="C286" s="40"/>
      <c r="D286" s="40"/>
      <c r="E286" s="40"/>
      <c r="F286" s="40"/>
      <c r="G286" s="40"/>
      <c r="H286" s="40"/>
      <c r="I286" s="40"/>
      <c r="J286" s="40"/>
      <c r="K286" s="40"/>
      <c r="L286" s="40"/>
      <c r="M286" s="40"/>
      <c r="N286" s="40"/>
      <c r="O286" s="40"/>
      <c r="P286" s="40"/>
      <c r="Q286" s="40"/>
      <c r="R286" s="40"/>
      <c r="S286" s="40"/>
      <c r="T286" s="40"/>
      <c r="U286" s="40"/>
      <c r="V286" s="40"/>
      <c r="W286" s="40"/>
      <c r="X286" s="40"/>
      <c r="Y286" s="40"/>
      <c r="Z286" s="40"/>
    </row>
    <row r="287">
      <c r="A287" s="40"/>
      <c r="B287" s="40"/>
      <c r="C287" s="40"/>
      <c r="D287" s="40"/>
      <c r="E287" s="40"/>
      <c r="F287" s="40"/>
      <c r="G287" s="40"/>
      <c r="H287" s="40"/>
      <c r="I287" s="40"/>
      <c r="J287" s="40"/>
      <c r="K287" s="40"/>
      <c r="L287" s="40"/>
      <c r="M287" s="40"/>
      <c r="N287" s="40"/>
      <c r="O287" s="40"/>
      <c r="P287" s="40"/>
      <c r="Q287" s="40"/>
      <c r="R287" s="40"/>
      <c r="S287" s="40"/>
      <c r="T287" s="40"/>
      <c r="U287" s="40"/>
      <c r="V287" s="40"/>
      <c r="W287" s="40"/>
      <c r="X287" s="40"/>
      <c r="Y287" s="40"/>
      <c r="Z287" s="40"/>
    </row>
    <row r="288">
      <c r="A288" s="40"/>
      <c r="B288" s="40"/>
      <c r="C288" s="40"/>
      <c r="D288" s="40"/>
      <c r="E288" s="40"/>
      <c r="F288" s="40"/>
      <c r="G288" s="40"/>
      <c r="H288" s="40"/>
      <c r="I288" s="40"/>
      <c r="J288" s="40"/>
      <c r="K288" s="40"/>
      <c r="L288" s="40"/>
      <c r="M288" s="40"/>
      <c r="N288" s="40"/>
      <c r="O288" s="40"/>
      <c r="P288" s="40"/>
      <c r="Q288" s="40"/>
      <c r="R288" s="40"/>
      <c r="S288" s="40"/>
      <c r="T288" s="40"/>
      <c r="U288" s="40"/>
      <c r="V288" s="40"/>
      <c r="W288" s="40"/>
      <c r="X288" s="40"/>
      <c r="Y288" s="40"/>
      <c r="Z288" s="40"/>
    </row>
    <row r="289">
      <c r="A289" s="40"/>
      <c r="B289" s="40"/>
      <c r="C289" s="40"/>
      <c r="D289" s="40"/>
      <c r="E289" s="40"/>
      <c r="F289" s="40"/>
      <c r="G289" s="40"/>
      <c r="H289" s="40"/>
      <c r="I289" s="40"/>
      <c r="J289" s="40"/>
      <c r="K289" s="40"/>
      <c r="L289" s="40"/>
      <c r="M289" s="40"/>
      <c r="N289" s="40"/>
      <c r="O289" s="40"/>
      <c r="P289" s="40"/>
      <c r="Q289" s="40"/>
      <c r="R289" s="40"/>
      <c r="S289" s="40"/>
      <c r="T289" s="40"/>
      <c r="U289" s="40"/>
      <c r="V289" s="40"/>
      <c r="W289" s="40"/>
      <c r="X289" s="40"/>
      <c r="Y289" s="40"/>
      <c r="Z289" s="40"/>
    </row>
    <row r="290">
      <c r="A290" s="40"/>
      <c r="B290" s="40"/>
      <c r="C290" s="40"/>
      <c r="D290" s="40"/>
      <c r="E290" s="40"/>
      <c r="F290" s="40"/>
      <c r="G290" s="40"/>
      <c r="H290" s="40"/>
      <c r="I290" s="40"/>
      <c r="J290" s="40"/>
      <c r="K290" s="40"/>
      <c r="L290" s="40"/>
      <c r="M290" s="40"/>
      <c r="N290" s="40"/>
      <c r="O290" s="40"/>
      <c r="P290" s="40"/>
      <c r="Q290" s="40"/>
      <c r="R290" s="40"/>
      <c r="S290" s="40"/>
      <c r="T290" s="40"/>
      <c r="U290" s="40"/>
      <c r="V290" s="40"/>
      <c r="W290" s="40"/>
      <c r="X290" s="40"/>
      <c r="Y290" s="40"/>
      <c r="Z290" s="40"/>
    </row>
    <row r="291">
      <c r="A291" s="40"/>
      <c r="B291" s="40"/>
      <c r="C291" s="40"/>
      <c r="D291" s="40"/>
      <c r="E291" s="40"/>
      <c r="F291" s="40"/>
      <c r="G291" s="40"/>
      <c r="H291" s="40"/>
      <c r="I291" s="40"/>
      <c r="J291" s="40"/>
      <c r="K291" s="40"/>
      <c r="L291" s="40"/>
      <c r="M291" s="40"/>
      <c r="N291" s="40"/>
      <c r="O291" s="40"/>
      <c r="P291" s="40"/>
      <c r="Q291" s="40"/>
      <c r="R291" s="40"/>
      <c r="S291" s="40"/>
      <c r="T291" s="40"/>
      <c r="U291" s="40"/>
      <c r="V291" s="40"/>
      <c r="W291" s="40"/>
      <c r="X291" s="40"/>
      <c r="Y291" s="40"/>
      <c r="Z291" s="40"/>
    </row>
    <row r="292">
      <c r="A292" s="40"/>
      <c r="B292" s="40"/>
      <c r="C292" s="40"/>
      <c r="D292" s="40"/>
      <c r="E292" s="40"/>
      <c r="F292" s="40"/>
      <c r="G292" s="40"/>
      <c r="H292" s="40"/>
      <c r="I292" s="40"/>
      <c r="J292" s="40"/>
      <c r="K292" s="40"/>
      <c r="L292" s="40"/>
      <c r="M292" s="40"/>
      <c r="N292" s="40"/>
      <c r="O292" s="40"/>
      <c r="P292" s="40"/>
      <c r="Q292" s="40"/>
      <c r="R292" s="40"/>
      <c r="S292" s="40"/>
      <c r="T292" s="40"/>
      <c r="U292" s="40"/>
      <c r="V292" s="40"/>
      <c r="W292" s="40"/>
      <c r="X292" s="40"/>
      <c r="Y292" s="40"/>
      <c r="Z292" s="40"/>
    </row>
    <row r="293">
      <c r="A293" s="40"/>
      <c r="B293" s="40"/>
      <c r="C293" s="40"/>
      <c r="D293" s="40"/>
      <c r="E293" s="40"/>
      <c r="F293" s="40"/>
      <c r="G293" s="40"/>
      <c r="H293" s="40"/>
      <c r="I293" s="40"/>
      <c r="J293" s="40"/>
      <c r="K293" s="40"/>
      <c r="L293" s="40"/>
      <c r="M293" s="40"/>
      <c r="N293" s="40"/>
      <c r="O293" s="40"/>
      <c r="P293" s="40"/>
      <c r="Q293" s="40"/>
      <c r="R293" s="40"/>
      <c r="S293" s="40"/>
      <c r="T293" s="40"/>
      <c r="U293" s="40"/>
      <c r="V293" s="40"/>
      <c r="W293" s="40"/>
      <c r="X293" s="40"/>
      <c r="Y293" s="40"/>
      <c r="Z293" s="40"/>
    </row>
    <row r="294">
      <c r="A294" s="40"/>
      <c r="B294" s="40"/>
      <c r="C294" s="40"/>
      <c r="D294" s="40"/>
      <c r="E294" s="40"/>
      <c r="F294" s="40"/>
      <c r="G294" s="40"/>
      <c r="H294" s="40"/>
      <c r="I294" s="40"/>
      <c r="J294" s="40"/>
      <c r="K294" s="40"/>
      <c r="L294" s="40"/>
      <c r="M294" s="40"/>
      <c r="N294" s="40"/>
      <c r="O294" s="40"/>
      <c r="P294" s="40"/>
      <c r="Q294" s="40"/>
      <c r="R294" s="40"/>
      <c r="S294" s="40"/>
      <c r="T294" s="40"/>
      <c r="U294" s="40"/>
      <c r="V294" s="40"/>
      <c r="W294" s="40"/>
      <c r="X294" s="40"/>
      <c r="Y294" s="40"/>
      <c r="Z294" s="40"/>
    </row>
    <row r="295">
      <c r="A295" s="40"/>
      <c r="B295" s="40"/>
      <c r="C295" s="40"/>
      <c r="D295" s="40"/>
      <c r="E295" s="40"/>
      <c r="F295" s="40"/>
      <c r="G295" s="40"/>
      <c r="H295" s="40"/>
      <c r="I295" s="40"/>
      <c r="J295" s="40"/>
      <c r="K295" s="40"/>
      <c r="L295" s="40"/>
      <c r="M295" s="40"/>
      <c r="N295" s="40"/>
      <c r="O295" s="40"/>
      <c r="P295" s="40"/>
      <c r="Q295" s="40"/>
      <c r="R295" s="40"/>
      <c r="S295" s="40"/>
      <c r="T295" s="40"/>
      <c r="U295" s="40"/>
      <c r="V295" s="40"/>
      <c r="W295" s="40"/>
      <c r="X295" s="40"/>
      <c r="Y295" s="40"/>
      <c r="Z295" s="40"/>
    </row>
    <row r="296">
      <c r="A296" s="40"/>
      <c r="B296" s="40"/>
      <c r="C296" s="40"/>
      <c r="D296" s="40"/>
      <c r="E296" s="40"/>
      <c r="F296" s="40"/>
      <c r="G296" s="40"/>
      <c r="H296" s="40"/>
      <c r="I296" s="40"/>
      <c r="J296" s="40"/>
      <c r="K296" s="40"/>
      <c r="L296" s="40"/>
      <c r="M296" s="40"/>
      <c r="N296" s="40"/>
      <c r="O296" s="40"/>
      <c r="P296" s="40"/>
      <c r="Q296" s="40"/>
      <c r="R296" s="40"/>
      <c r="S296" s="40"/>
      <c r="T296" s="40"/>
      <c r="U296" s="40"/>
      <c r="V296" s="40"/>
      <c r="W296" s="40"/>
      <c r="X296" s="40"/>
      <c r="Y296" s="40"/>
      <c r="Z296" s="40"/>
    </row>
    <row r="297">
      <c r="A297" s="40"/>
      <c r="B297" s="40"/>
      <c r="C297" s="40"/>
      <c r="D297" s="40"/>
      <c r="E297" s="40"/>
      <c r="F297" s="40"/>
      <c r="G297" s="40"/>
      <c r="H297" s="40"/>
      <c r="I297" s="40"/>
      <c r="J297" s="40"/>
      <c r="K297" s="40"/>
      <c r="L297" s="40"/>
      <c r="M297" s="40"/>
      <c r="N297" s="40"/>
      <c r="O297" s="40"/>
      <c r="P297" s="40"/>
      <c r="Q297" s="40"/>
      <c r="R297" s="40"/>
      <c r="S297" s="40"/>
      <c r="T297" s="40"/>
      <c r="U297" s="40"/>
      <c r="V297" s="40"/>
      <c r="W297" s="40"/>
      <c r="X297" s="40"/>
      <c r="Y297" s="40"/>
      <c r="Z297" s="40"/>
    </row>
    <row r="298">
      <c r="A298" s="40"/>
      <c r="B298" s="40"/>
      <c r="C298" s="40"/>
      <c r="D298" s="40"/>
      <c r="E298" s="40"/>
      <c r="F298" s="40"/>
      <c r="G298" s="40"/>
      <c r="H298" s="40"/>
      <c r="I298" s="40"/>
      <c r="J298" s="40"/>
      <c r="K298" s="40"/>
      <c r="L298" s="40"/>
      <c r="M298" s="40"/>
      <c r="N298" s="40"/>
      <c r="O298" s="40"/>
      <c r="P298" s="40"/>
      <c r="Q298" s="40"/>
      <c r="R298" s="40"/>
      <c r="S298" s="40"/>
      <c r="T298" s="40"/>
      <c r="U298" s="40"/>
      <c r="V298" s="40"/>
      <c r="W298" s="40"/>
      <c r="X298" s="40"/>
      <c r="Y298" s="40"/>
      <c r="Z298" s="40"/>
    </row>
    <row r="299">
      <c r="A299" s="40"/>
      <c r="B299" s="40"/>
      <c r="C299" s="40"/>
      <c r="D299" s="40"/>
      <c r="E299" s="40"/>
      <c r="F299" s="40"/>
      <c r="G299" s="40"/>
      <c r="H299" s="40"/>
      <c r="I299" s="40"/>
      <c r="J299" s="40"/>
      <c r="K299" s="40"/>
      <c r="L299" s="40"/>
      <c r="M299" s="40"/>
      <c r="N299" s="40"/>
      <c r="O299" s="40"/>
      <c r="P299" s="40"/>
      <c r="Q299" s="40"/>
      <c r="R299" s="40"/>
      <c r="S299" s="40"/>
      <c r="T299" s="40"/>
      <c r="U299" s="40"/>
      <c r="V299" s="40"/>
      <c r="W299" s="40"/>
      <c r="X299" s="40"/>
      <c r="Y299" s="40"/>
      <c r="Z299" s="40"/>
    </row>
    <row r="300">
      <c r="A300" s="40"/>
      <c r="B300" s="40"/>
      <c r="C300" s="40"/>
      <c r="D300" s="40"/>
      <c r="E300" s="40"/>
      <c r="F300" s="40"/>
      <c r="G300" s="40"/>
      <c r="H300" s="40"/>
      <c r="I300" s="40"/>
      <c r="J300" s="40"/>
      <c r="K300" s="40"/>
      <c r="L300" s="40"/>
      <c r="M300" s="40"/>
      <c r="N300" s="40"/>
      <c r="O300" s="40"/>
      <c r="P300" s="40"/>
      <c r="Q300" s="40"/>
      <c r="R300" s="40"/>
      <c r="S300" s="40"/>
      <c r="T300" s="40"/>
      <c r="U300" s="40"/>
      <c r="V300" s="40"/>
      <c r="W300" s="40"/>
      <c r="X300" s="40"/>
      <c r="Y300" s="40"/>
      <c r="Z300" s="40"/>
    </row>
    <row r="301">
      <c r="A301" s="40"/>
      <c r="B301" s="40"/>
      <c r="C301" s="40"/>
      <c r="D301" s="40"/>
      <c r="E301" s="40"/>
      <c r="F301" s="40"/>
      <c r="G301" s="40"/>
      <c r="H301" s="40"/>
      <c r="I301" s="40"/>
      <c r="J301" s="40"/>
      <c r="K301" s="40"/>
      <c r="L301" s="40"/>
      <c r="M301" s="40"/>
      <c r="N301" s="40"/>
      <c r="O301" s="40"/>
      <c r="P301" s="40"/>
      <c r="Q301" s="40"/>
      <c r="R301" s="40"/>
      <c r="S301" s="40"/>
      <c r="T301" s="40"/>
      <c r="U301" s="40"/>
      <c r="V301" s="40"/>
      <c r="W301" s="40"/>
      <c r="X301" s="40"/>
      <c r="Y301" s="40"/>
      <c r="Z301" s="40"/>
    </row>
    <row r="302">
      <c r="A302" s="40"/>
      <c r="B302" s="40"/>
      <c r="C302" s="40"/>
      <c r="D302" s="40"/>
      <c r="E302" s="40"/>
      <c r="F302" s="40"/>
      <c r="G302" s="40"/>
      <c r="H302" s="40"/>
      <c r="I302" s="40"/>
      <c r="J302" s="40"/>
      <c r="K302" s="40"/>
      <c r="L302" s="40"/>
      <c r="M302" s="40"/>
      <c r="N302" s="40"/>
      <c r="O302" s="40"/>
      <c r="P302" s="40"/>
      <c r="Q302" s="40"/>
      <c r="R302" s="40"/>
      <c r="S302" s="40"/>
      <c r="T302" s="40"/>
      <c r="U302" s="40"/>
      <c r="V302" s="40"/>
      <c r="W302" s="40"/>
      <c r="X302" s="40"/>
      <c r="Y302" s="40"/>
      <c r="Z302" s="40"/>
    </row>
    <row r="303">
      <c r="A303" s="40"/>
      <c r="B303" s="40"/>
      <c r="C303" s="40"/>
      <c r="D303" s="40"/>
      <c r="E303" s="40"/>
      <c r="F303" s="40"/>
      <c r="G303" s="40"/>
      <c r="H303" s="40"/>
      <c r="I303" s="40"/>
      <c r="J303" s="40"/>
      <c r="K303" s="40"/>
      <c r="L303" s="40"/>
      <c r="M303" s="40"/>
      <c r="N303" s="40"/>
      <c r="O303" s="40"/>
      <c r="P303" s="40"/>
      <c r="Q303" s="40"/>
      <c r="R303" s="40"/>
      <c r="S303" s="40"/>
      <c r="T303" s="40"/>
      <c r="U303" s="40"/>
      <c r="V303" s="40"/>
      <c r="W303" s="40"/>
      <c r="X303" s="40"/>
      <c r="Y303" s="40"/>
      <c r="Z303" s="40"/>
    </row>
    <row r="304">
      <c r="A304" s="40"/>
      <c r="B304" s="40"/>
      <c r="C304" s="40"/>
      <c r="D304" s="40"/>
      <c r="E304" s="40"/>
      <c r="F304" s="40"/>
      <c r="G304" s="40"/>
      <c r="H304" s="40"/>
      <c r="I304" s="40"/>
      <c r="J304" s="40"/>
      <c r="K304" s="40"/>
      <c r="L304" s="40"/>
      <c r="M304" s="40"/>
      <c r="N304" s="40"/>
      <c r="O304" s="40"/>
      <c r="P304" s="40"/>
      <c r="Q304" s="40"/>
      <c r="R304" s="40"/>
      <c r="S304" s="40"/>
      <c r="T304" s="40"/>
      <c r="U304" s="40"/>
      <c r="V304" s="40"/>
      <c r="W304" s="40"/>
      <c r="X304" s="40"/>
      <c r="Y304" s="40"/>
      <c r="Z304" s="40"/>
    </row>
    <row r="305">
      <c r="A305" s="40"/>
      <c r="B305" s="40"/>
      <c r="C305" s="40"/>
      <c r="D305" s="40"/>
      <c r="E305" s="40"/>
      <c r="F305" s="40"/>
      <c r="G305" s="40"/>
      <c r="H305" s="40"/>
      <c r="I305" s="40"/>
      <c r="J305" s="40"/>
      <c r="K305" s="40"/>
      <c r="L305" s="40"/>
      <c r="M305" s="40"/>
      <c r="N305" s="40"/>
      <c r="O305" s="40"/>
      <c r="P305" s="40"/>
      <c r="Q305" s="40"/>
      <c r="R305" s="40"/>
      <c r="S305" s="40"/>
      <c r="T305" s="40"/>
      <c r="U305" s="40"/>
      <c r="V305" s="40"/>
      <c r="W305" s="40"/>
      <c r="X305" s="40"/>
      <c r="Y305" s="40"/>
      <c r="Z305" s="40"/>
    </row>
    <row r="306">
      <c r="A306" s="40"/>
      <c r="B306" s="40"/>
      <c r="C306" s="40"/>
      <c r="D306" s="40"/>
      <c r="E306" s="40"/>
      <c r="F306" s="40"/>
      <c r="G306" s="40"/>
      <c r="H306" s="40"/>
      <c r="I306" s="40"/>
      <c r="J306" s="40"/>
      <c r="K306" s="40"/>
      <c r="L306" s="40"/>
      <c r="M306" s="40"/>
      <c r="N306" s="40"/>
      <c r="O306" s="40"/>
      <c r="P306" s="40"/>
      <c r="Q306" s="40"/>
      <c r="R306" s="40"/>
      <c r="S306" s="40"/>
      <c r="T306" s="40"/>
      <c r="U306" s="40"/>
      <c r="V306" s="40"/>
      <c r="W306" s="40"/>
      <c r="X306" s="40"/>
      <c r="Y306" s="40"/>
      <c r="Z306" s="40"/>
    </row>
    <row r="307">
      <c r="A307" s="40"/>
      <c r="B307" s="40"/>
      <c r="C307" s="40"/>
      <c r="D307" s="40"/>
      <c r="E307" s="40"/>
      <c r="F307" s="40"/>
      <c r="G307" s="40"/>
      <c r="H307" s="40"/>
      <c r="I307" s="40"/>
      <c r="J307" s="40"/>
      <c r="K307" s="40"/>
      <c r="L307" s="40"/>
      <c r="M307" s="40"/>
      <c r="N307" s="40"/>
      <c r="O307" s="40"/>
      <c r="P307" s="40"/>
      <c r="Q307" s="40"/>
      <c r="R307" s="40"/>
      <c r="S307" s="40"/>
      <c r="T307" s="40"/>
      <c r="U307" s="40"/>
      <c r="V307" s="40"/>
      <c r="W307" s="40"/>
      <c r="X307" s="40"/>
      <c r="Y307" s="40"/>
      <c r="Z307" s="40"/>
    </row>
    <row r="308">
      <c r="A308" s="40"/>
      <c r="B308" s="40"/>
      <c r="C308" s="40"/>
      <c r="D308" s="40"/>
      <c r="E308" s="40"/>
      <c r="F308" s="40"/>
      <c r="G308" s="40"/>
      <c r="H308" s="40"/>
      <c r="I308" s="40"/>
      <c r="J308" s="40"/>
      <c r="K308" s="40"/>
      <c r="L308" s="40"/>
      <c r="M308" s="40"/>
      <c r="N308" s="40"/>
      <c r="O308" s="40"/>
      <c r="P308" s="40"/>
      <c r="Q308" s="40"/>
      <c r="R308" s="40"/>
      <c r="S308" s="40"/>
      <c r="T308" s="40"/>
      <c r="U308" s="40"/>
      <c r="V308" s="40"/>
      <c r="W308" s="40"/>
      <c r="X308" s="40"/>
      <c r="Y308" s="40"/>
      <c r="Z308" s="40"/>
    </row>
    <row r="309">
      <c r="A309" s="40"/>
      <c r="B309" s="40"/>
      <c r="C309" s="40"/>
      <c r="D309" s="40"/>
      <c r="E309" s="40"/>
      <c r="F309" s="40"/>
      <c r="G309" s="40"/>
      <c r="H309" s="40"/>
      <c r="I309" s="40"/>
      <c r="J309" s="40"/>
      <c r="K309" s="40"/>
      <c r="L309" s="40"/>
      <c r="M309" s="40"/>
      <c r="N309" s="40"/>
      <c r="O309" s="40"/>
      <c r="P309" s="40"/>
      <c r="Q309" s="40"/>
      <c r="R309" s="40"/>
      <c r="S309" s="40"/>
      <c r="T309" s="40"/>
      <c r="U309" s="40"/>
      <c r="V309" s="40"/>
      <c r="W309" s="40"/>
      <c r="X309" s="40"/>
      <c r="Y309" s="40"/>
      <c r="Z309" s="40"/>
    </row>
    <row r="310">
      <c r="A310" s="40"/>
      <c r="B310" s="40"/>
      <c r="C310" s="40"/>
      <c r="D310" s="40"/>
      <c r="E310" s="40"/>
      <c r="F310" s="40"/>
      <c r="G310" s="40"/>
      <c r="H310" s="40"/>
      <c r="I310" s="40"/>
      <c r="J310" s="40"/>
      <c r="K310" s="40"/>
      <c r="L310" s="40"/>
      <c r="M310" s="40"/>
      <c r="N310" s="40"/>
      <c r="O310" s="40"/>
      <c r="P310" s="40"/>
      <c r="Q310" s="40"/>
      <c r="R310" s="40"/>
      <c r="S310" s="40"/>
      <c r="T310" s="40"/>
      <c r="U310" s="40"/>
      <c r="V310" s="40"/>
      <c r="W310" s="40"/>
      <c r="X310" s="40"/>
      <c r="Y310" s="40"/>
      <c r="Z310" s="40"/>
    </row>
    <row r="311">
      <c r="A311" s="40"/>
      <c r="B311" s="40"/>
      <c r="C311" s="40"/>
      <c r="D311" s="40"/>
      <c r="E311" s="40"/>
      <c r="F311" s="40"/>
      <c r="G311" s="40"/>
      <c r="H311" s="40"/>
      <c r="I311" s="40"/>
      <c r="J311" s="40"/>
      <c r="K311" s="40"/>
      <c r="L311" s="40"/>
      <c r="M311" s="40"/>
      <c r="N311" s="40"/>
      <c r="O311" s="40"/>
      <c r="P311" s="40"/>
      <c r="Q311" s="40"/>
      <c r="R311" s="40"/>
      <c r="S311" s="40"/>
      <c r="T311" s="40"/>
      <c r="U311" s="40"/>
      <c r="V311" s="40"/>
      <c r="W311" s="40"/>
      <c r="X311" s="40"/>
      <c r="Y311" s="40"/>
      <c r="Z311" s="40"/>
    </row>
    <row r="312">
      <c r="A312" s="40"/>
      <c r="B312" s="40"/>
      <c r="C312" s="40"/>
      <c r="D312" s="40"/>
      <c r="E312" s="40"/>
      <c r="F312" s="40"/>
      <c r="G312" s="40"/>
      <c r="H312" s="40"/>
      <c r="I312" s="40"/>
      <c r="J312" s="40"/>
      <c r="K312" s="40"/>
      <c r="L312" s="40"/>
      <c r="M312" s="40"/>
      <c r="N312" s="40"/>
      <c r="O312" s="40"/>
      <c r="P312" s="40"/>
      <c r="Q312" s="40"/>
      <c r="R312" s="40"/>
      <c r="S312" s="40"/>
      <c r="T312" s="40"/>
      <c r="U312" s="40"/>
      <c r="V312" s="40"/>
      <c r="W312" s="40"/>
      <c r="X312" s="40"/>
      <c r="Y312" s="40"/>
      <c r="Z312" s="40"/>
    </row>
    <row r="313">
      <c r="A313" s="40"/>
      <c r="B313" s="40"/>
      <c r="C313" s="40"/>
      <c r="D313" s="40"/>
      <c r="E313" s="40"/>
      <c r="F313" s="40"/>
      <c r="G313" s="40"/>
      <c r="H313" s="40"/>
      <c r="I313" s="40"/>
      <c r="J313" s="40"/>
      <c r="K313" s="40"/>
      <c r="L313" s="40"/>
      <c r="M313" s="40"/>
      <c r="N313" s="40"/>
      <c r="O313" s="40"/>
      <c r="P313" s="40"/>
      <c r="Q313" s="40"/>
      <c r="R313" s="40"/>
      <c r="S313" s="40"/>
      <c r="T313" s="40"/>
      <c r="U313" s="40"/>
      <c r="V313" s="40"/>
      <c r="W313" s="40"/>
      <c r="X313" s="40"/>
      <c r="Y313" s="40"/>
      <c r="Z313" s="40"/>
    </row>
    <row r="314">
      <c r="A314" s="40"/>
      <c r="B314" s="40"/>
      <c r="C314" s="40"/>
      <c r="D314" s="40"/>
      <c r="E314" s="40"/>
      <c r="F314" s="40"/>
      <c r="G314" s="40"/>
      <c r="H314" s="40"/>
      <c r="I314" s="40"/>
      <c r="J314" s="40"/>
      <c r="K314" s="40"/>
      <c r="L314" s="40"/>
      <c r="M314" s="40"/>
      <c r="N314" s="40"/>
      <c r="O314" s="40"/>
      <c r="P314" s="40"/>
      <c r="Q314" s="40"/>
      <c r="R314" s="40"/>
      <c r="S314" s="40"/>
      <c r="T314" s="40"/>
      <c r="U314" s="40"/>
      <c r="V314" s="40"/>
      <c r="W314" s="40"/>
      <c r="X314" s="40"/>
      <c r="Y314" s="40"/>
      <c r="Z314" s="40"/>
    </row>
    <row r="315">
      <c r="A315" s="40"/>
      <c r="B315" s="40"/>
      <c r="C315" s="40"/>
      <c r="D315" s="40"/>
      <c r="E315" s="40"/>
      <c r="F315" s="40"/>
      <c r="G315" s="40"/>
      <c r="H315" s="40"/>
      <c r="I315" s="40"/>
      <c r="J315" s="40"/>
      <c r="K315" s="40"/>
      <c r="L315" s="40"/>
      <c r="M315" s="40"/>
      <c r="N315" s="40"/>
      <c r="O315" s="40"/>
      <c r="P315" s="40"/>
      <c r="Q315" s="40"/>
      <c r="R315" s="40"/>
      <c r="S315" s="40"/>
      <c r="T315" s="40"/>
      <c r="U315" s="40"/>
      <c r="V315" s="40"/>
      <c r="W315" s="40"/>
      <c r="X315" s="40"/>
      <c r="Y315" s="40"/>
      <c r="Z315" s="40"/>
    </row>
    <row r="316">
      <c r="A316" s="40"/>
      <c r="B316" s="40"/>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0"/>
    </row>
    <row r="317">
      <c r="A317" s="40"/>
      <c r="B317" s="40"/>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0"/>
    </row>
    <row r="318">
      <c r="A318" s="40"/>
      <c r="B318" s="40"/>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0"/>
    </row>
    <row r="319">
      <c r="A319" s="40"/>
      <c r="B319" s="40"/>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0"/>
    </row>
    <row r="320">
      <c r="A320" s="40"/>
      <c r="B320" s="40"/>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0"/>
    </row>
    <row r="321">
      <c r="A321" s="40"/>
      <c r="B321" s="40"/>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0"/>
    </row>
    <row r="322">
      <c r="A322" s="40"/>
      <c r="B322" s="40"/>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0"/>
    </row>
    <row r="323">
      <c r="A323" s="40"/>
      <c r="B323" s="40"/>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0"/>
    </row>
    <row r="324">
      <c r="A324" s="40"/>
      <c r="B324" s="40"/>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0"/>
    </row>
    <row r="325">
      <c r="A325" s="40"/>
      <c r="B325" s="40"/>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0"/>
    </row>
    <row r="326">
      <c r="A326" s="40"/>
      <c r="B326" s="40"/>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0"/>
    </row>
    <row r="327">
      <c r="A327" s="40"/>
      <c r="B327" s="40"/>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0"/>
    </row>
    <row r="328">
      <c r="A328" s="40"/>
      <c r="B328" s="40"/>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0"/>
    </row>
    <row r="329">
      <c r="A329" s="40"/>
      <c r="B329" s="40"/>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0"/>
    </row>
    <row r="330">
      <c r="A330" s="40"/>
      <c r="B330" s="40"/>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0"/>
    </row>
    <row r="331">
      <c r="A331" s="40"/>
      <c r="B331" s="40"/>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0"/>
    </row>
    <row r="332">
      <c r="A332" s="40"/>
      <c r="B332" s="40"/>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0"/>
    </row>
    <row r="333">
      <c r="A333" s="40"/>
      <c r="B333" s="40"/>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0"/>
    </row>
    <row r="334">
      <c r="A334" s="40"/>
      <c r="B334" s="40"/>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0"/>
    </row>
    <row r="335">
      <c r="A335" s="40"/>
      <c r="B335" s="40"/>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0"/>
    </row>
    <row r="336">
      <c r="A336" s="40"/>
      <c r="B336" s="40"/>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0"/>
    </row>
    <row r="337">
      <c r="A337" s="40"/>
      <c r="B337" s="40"/>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0"/>
    </row>
    <row r="338">
      <c r="A338" s="40"/>
      <c r="B338" s="40"/>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0"/>
    </row>
    <row r="339">
      <c r="A339" s="40"/>
      <c r="B339" s="40"/>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0"/>
    </row>
    <row r="340">
      <c r="A340" s="40"/>
      <c r="B340" s="40"/>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0"/>
    </row>
    <row r="341">
      <c r="A341" s="40"/>
      <c r="B341" s="40"/>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0"/>
    </row>
    <row r="342">
      <c r="A342" s="40"/>
      <c r="B342" s="40"/>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0"/>
    </row>
    <row r="343">
      <c r="A343" s="40"/>
      <c r="B343" s="40"/>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0"/>
    </row>
    <row r="344">
      <c r="A344" s="40"/>
      <c r="B344" s="40"/>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0"/>
    </row>
    <row r="345">
      <c r="A345" s="40"/>
      <c r="B345" s="40"/>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0"/>
    </row>
    <row r="346">
      <c r="A346" s="40"/>
      <c r="B346" s="40"/>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0"/>
    </row>
    <row r="347">
      <c r="A347" s="40"/>
      <c r="B347" s="40"/>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0"/>
    </row>
    <row r="348">
      <c r="A348" s="40"/>
      <c r="B348" s="40"/>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0"/>
    </row>
    <row r="349">
      <c r="A349" s="40"/>
      <c r="B349" s="40"/>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0"/>
    </row>
    <row r="350">
      <c r="A350" s="40"/>
      <c r="B350" s="40"/>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0"/>
    </row>
    <row r="351">
      <c r="A351" s="40"/>
      <c r="B351" s="40"/>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0"/>
    </row>
    <row r="352">
      <c r="A352" s="40"/>
      <c r="B352" s="40"/>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0"/>
    </row>
    <row r="353">
      <c r="A353" s="40"/>
      <c r="B353" s="40"/>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0"/>
    </row>
    <row r="354">
      <c r="A354" s="40"/>
      <c r="B354" s="40"/>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0"/>
    </row>
    <row r="355">
      <c r="A355" s="40"/>
      <c r="B355" s="40"/>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0"/>
    </row>
    <row r="356">
      <c r="A356" s="40"/>
      <c r="B356" s="40"/>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0"/>
    </row>
    <row r="357">
      <c r="A357" s="40"/>
      <c r="B357" s="40"/>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0"/>
    </row>
    <row r="358">
      <c r="A358" s="40"/>
      <c r="B358" s="40"/>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0"/>
    </row>
    <row r="359">
      <c r="A359" s="40"/>
      <c r="B359" s="40"/>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0"/>
    </row>
    <row r="360">
      <c r="A360" s="40"/>
      <c r="B360" s="40"/>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0"/>
    </row>
    <row r="361">
      <c r="A361" s="40"/>
      <c r="B361" s="40"/>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0"/>
    </row>
    <row r="362">
      <c r="A362" s="40"/>
      <c r="B362" s="40"/>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0"/>
    </row>
    <row r="363">
      <c r="A363" s="40"/>
      <c r="B363" s="40"/>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0"/>
    </row>
    <row r="364">
      <c r="A364" s="40"/>
      <c r="B364" s="40"/>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0"/>
    </row>
    <row r="365">
      <c r="A365" s="40"/>
      <c r="B365" s="40"/>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0"/>
    </row>
    <row r="366">
      <c r="A366" s="40"/>
      <c r="B366" s="40"/>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0"/>
    </row>
    <row r="367">
      <c r="A367" s="40"/>
      <c r="B367" s="40"/>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0"/>
    </row>
    <row r="368">
      <c r="A368" s="40"/>
      <c r="B368" s="40"/>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0"/>
    </row>
    <row r="369">
      <c r="A369" s="40"/>
      <c r="B369" s="40"/>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0"/>
    </row>
    <row r="370">
      <c r="A370" s="40"/>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0"/>
    </row>
    <row r="371">
      <c r="A371" s="40"/>
      <c r="B371" s="40"/>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0"/>
    </row>
    <row r="372">
      <c r="A372" s="40"/>
      <c r="B372" s="40"/>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0"/>
    </row>
    <row r="373">
      <c r="A373" s="40"/>
      <c r="B373" s="40"/>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0"/>
    </row>
    <row r="374">
      <c r="A374" s="40"/>
      <c r="B374" s="40"/>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0"/>
    </row>
    <row r="375">
      <c r="A375" s="40"/>
      <c r="B375" s="40"/>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0"/>
    </row>
    <row r="376">
      <c r="A376" s="40"/>
      <c r="B376" s="40"/>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0"/>
    </row>
    <row r="377">
      <c r="A377" s="40"/>
      <c r="B377" s="40"/>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0"/>
    </row>
    <row r="378">
      <c r="A378" s="40"/>
      <c r="B378" s="40"/>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0"/>
    </row>
    <row r="379">
      <c r="A379" s="40"/>
      <c r="B379" s="40"/>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0"/>
    </row>
    <row r="380">
      <c r="A380" s="40"/>
      <c r="B380" s="40"/>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0"/>
    </row>
    <row r="381">
      <c r="A381" s="40"/>
      <c r="B381" s="40"/>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0"/>
    </row>
    <row r="382">
      <c r="A382" s="40"/>
      <c r="B382" s="40"/>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0"/>
    </row>
    <row r="383">
      <c r="A383" s="40"/>
      <c r="B383" s="40"/>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0"/>
    </row>
    <row r="384">
      <c r="A384" s="40"/>
      <c r="B384" s="40"/>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0"/>
    </row>
    <row r="385">
      <c r="A385" s="40"/>
      <c r="B385" s="40"/>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0"/>
    </row>
    <row r="386">
      <c r="A386" s="40"/>
      <c r="B386" s="40"/>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0"/>
    </row>
    <row r="387">
      <c r="A387" s="40"/>
      <c r="B387" s="40"/>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0"/>
    </row>
    <row r="388">
      <c r="A388" s="40"/>
      <c r="B388" s="40"/>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0"/>
    </row>
    <row r="389">
      <c r="A389" s="40"/>
      <c r="B389" s="40"/>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0"/>
    </row>
    <row r="390">
      <c r="A390" s="40"/>
      <c r="B390" s="40"/>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0"/>
    </row>
    <row r="391">
      <c r="A391" s="40"/>
      <c r="B391" s="40"/>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0"/>
    </row>
    <row r="392">
      <c r="A392" s="40"/>
      <c r="B392" s="40"/>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0"/>
    </row>
    <row r="393">
      <c r="A393" s="40"/>
      <c r="B393" s="40"/>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0"/>
    </row>
    <row r="394">
      <c r="A394" s="40"/>
      <c r="B394" s="40"/>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0"/>
    </row>
    <row r="395">
      <c r="A395" s="40"/>
      <c r="B395" s="40"/>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0"/>
    </row>
    <row r="396">
      <c r="A396" s="40"/>
      <c r="B396" s="40"/>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0"/>
    </row>
    <row r="397">
      <c r="A397" s="40"/>
      <c r="B397" s="40"/>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0"/>
    </row>
    <row r="398">
      <c r="A398" s="40"/>
      <c r="B398" s="40"/>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0"/>
    </row>
    <row r="399">
      <c r="A399" s="40"/>
      <c r="B399" s="40"/>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0"/>
    </row>
    <row r="400">
      <c r="A400" s="40"/>
      <c r="B400" s="40"/>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0"/>
    </row>
    <row r="401">
      <c r="A401" s="40"/>
      <c r="B401" s="40"/>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0"/>
    </row>
    <row r="402">
      <c r="A402" s="40"/>
      <c r="B402" s="40"/>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0"/>
    </row>
    <row r="403">
      <c r="A403" s="40"/>
      <c r="B403" s="40"/>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0"/>
    </row>
    <row r="404">
      <c r="A404" s="40"/>
      <c r="B404" s="40"/>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0"/>
    </row>
    <row r="405">
      <c r="A405" s="40"/>
      <c r="B405" s="40"/>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0"/>
    </row>
    <row r="406">
      <c r="A406" s="40"/>
      <c r="B406" s="40"/>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0"/>
    </row>
    <row r="407">
      <c r="A407" s="40"/>
      <c r="B407" s="40"/>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0"/>
    </row>
    <row r="408">
      <c r="A408" s="40"/>
      <c r="B408" s="40"/>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0"/>
    </row>
    <row r="409">
      <c r="A409" s="40"/>
      <c r="B409" s="40"/>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0"/>
    </row>
    <row r="410">
      <c r="A410" s="40"/>
      <c r="B410" s="40"/>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0"/>
    </row>
    <row r="411">
      <c r="A411" s="40"/>
      <c r="B411" s="40"/>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0"/>
    </row>
    <row r="412">
      <c r="A412" s="40"/>
      <c r="B412" s="40"/>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0"/>
    </row>
    <row r="413">
      <c r="A413" s="40"/>
      <c r="B413" s="40"/>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0"/>
    </row>
    <row r="414">
      <c r="A414" s="40"/>
      <c r="B414" s="40"/>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0"/>
    </row>
    <row r="415">
      <c r="A415" s="40"/>
      <c r="B415" s="40"/>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0"/>
    </row>
    <row r="416">
      <c r="A416" s="40"/>
      <c r="B416" s="40"/>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0"/>
    </row>
    <row r="417">
      <c r="A417" s="40"/>
      <c r="B417" s="40"/>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0"/>
    </row>
    <row r="418">
      <c r="A418" s="40"/>
      <c r="B418" s="40"/>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0"/>
    </row>
    <row r="419">
      <c r="A419" s="40"/>
      <c r="B419" s="40"/>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0"/>
    </row>
    <row r="420">
      <c r="A420" s="40"/>
      <c r="B420" s="40"/>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0"/>
    </row>
    <row r="421">
      <c r="A421" s="40"/>
      <c r="B421" s="40"/>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0"/>
    </row>
    <row r="422">
      <c r="A422" s="40"/>
      <c r="B422" s="40"/>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0"/>
    </row>
    <row r="423">
      <c r="A423" s="40"/>
      <c r="B423" s="40"/>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0"/>
    </row>
    <row r="424">
      <c r="A424" s="40"/>
      <c r="B424" s="40"/>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0"/>
    </row>
    <row r="425">
      <c r="A425" s="40"/>
      <c r="B425" s="40"/>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0"/>
    </row>
    <row r="426">
      <c r="A426" s="40"/>
      <c r="B426" s="40"/>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0"/>
    </row>
    <row r="427">
      <c r="A427" s="40"/>
      <c r="B427" s="40"/>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0"/>
    </row>
    <row r="428">
      <c r="A428" s="40"/>
      <c r="B428" s="40"/>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0"/>
    </row>
    <row r="429">
      <c r="A429" s="40"/>
      <c r="B429" s="40"/>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0"/>
    </row>
    <row r="430">
      <c r="A430" s="40"/>
      <c r="B430" s="40"/>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0"/>
    </row>
    <row r="431">
      <c r="A431" s="40"/>
      <c r="B431" s="40"/>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0"/>
    </row>
    <row r="432">
      <c r="A432" s="40"/>
      <c r="B432" s="40"/>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0"/>
    </row>
    <row r="433">
      <c r="A433" s="40"/>
      <c r="B433" s="40"/>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0"/>
    </row>
    <row r="434">
      <c r="A434" s="40"/>
      <c r="B434" s="40"/>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0"/>
    </row>
    <row r="435">
      <c r="A435" s="40"/>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0"/>
    </row>
    <row r="436">
      <c r="A436" s="40"/>
      <c r="B436" s="40"/>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0"/>
    </row>
    <row r="437">
      <c r="A437" s="40"/>
      <c r="B437" s="40"/>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0"/>
    </row>
    <row r="438">
      <c r="A438" s="40"/>
      <c r="B438" s="40"/>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0"/>
    </row>
    <row r="439">
      <c r="A439" s="40"/>
      <c r="B439" s="40"/>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0"/>
    </row>
    <row r="440">
      <c r="A440" s="40"/>
      <c r="B440" s="40"/>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0"/>
    </row>
    <row r="441">
      <c r="A441" s="40"/>
      <c r="B441" s="40"/>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0"/>
    </row>
    <row r="442">
      <c r="A442" s="40"/>
      <c r="B442" s="40"/>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0"/>
    </row>
    <row r="443">
      <c r="A443" s="40"/>
      <c r="B443" s="40"/>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0"/>
    </row>
    <row r="444">
      <c r="A444" s="40"/>
      <c r="B444" s="40"/>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0"/>
    </row>
    <row r="445">
      <c r="A445" s="40"/>
      <c r="B445" s="40"/>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0"/>
    </row>
    <row r="446">
      <c r="A446" s="40"/>
      <c r="B446" s="40"/>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0"/>
    </row>
    <row r="447">
      <c r="A447" s="40"/>
      <c r="B447" s="40"/>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0"/>
    </row>
    <row r="448">
      <c r="A448" s="40"/>
      <c r="B448" s="40"/>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0"/>
    </row>
    <row r="449">
      <c r="A449" s="40"/>
      <c r="B449" s="40"/>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0"/>
    </row>
    <row r="450">
      <c r="A450" s="40"/>
      <c r="B450" s="40"/>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0"/>
    </row>
    <row r="451">
      <c r="A451" s="40"/>
      <c r="B451" s="40"/>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0"/>
    </row>
    <row r="452">
      <c r="A452" s="40"/>
      <c r="B452" s="40"/>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0"/>
    </row>
    <row r="453">
      <c r="A453" s="40"/>
      <c r="B453" s="40"/>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0"/>
    </row>
    <row r="454">
      <c r="A454" s="40"/>
      <c r="B454" s="40"/>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0"/>
    </row>
    <row r="455">
      <c r="A455" s="40"/>
      <c r="B455" s="40"/>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0"/>
    </row>
    <row r="456">
      <c r="A456" s="40"/>
      <c r="B456" s="40"/>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0"/>
    </row>
    <row r="457">
      <c r="A457" s="40"/>
      <c r="B457" s="40"/>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0"/>
    </row>
    <row r="458">
      <c r="A458" s="40"/>
      <c r="B458" s="40"/>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0"/>
    </row>
    <row r="459">
      <c r="A459" s="40"/>
      <c r="B459" s="40"/>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0"/>
    </row>
    <row r="460">
      <c r="A460" s="40"/>
      <c r="B460" s="40"/>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0"/>
    </row>
    <row r="461">
      <c r="A461" s="40"/>
      <c r="B461" s="40"/>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0"/>
    </row>
    <row r="462">
      <c r="A462" s="40"/>
      <c r="B462" s="40"/>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0"/>
    </row>
    <row r="463">
      <c r="A463" s="40"/>
      <c r="B463" s="40"/>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0"/>
    </row>
    <row r="464">
      <c r="A464" s="40"/>
      <c r="B464" s="40"/>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0"/>
    </row>
    <row r="465">
      <c r="A465" s="40"/>
      <c r="B465" s="40"/>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0"/>
    </row>
    <row r="466">
      <c r="A466" s="40"/>
      <c r="B466" s="40"/>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0"/>
    </row>
    <row r="467">
      <c r="A467" s="40"/>
      <c r="B467" s="40"/>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0"/>
    </row>
    <row r="468">
      <c r="A468" s="40"/>
      <c r="B468" s="40"/>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0"/>
    </row>
    <row r="469">
      <c r="A469" s="40"/>
      <c r="B469" s="40"/>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0"/>
    </row>
    <row r="470">
      <c r="A470" s="40"/>
      <c r="B470" s="40"/>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0"/>
    </row>
    <row r="471">
      <c r="A471" s="40"/>
      <c r="B471" s="40"/>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0"/>
    </row>
    <row r="472">
      <c r="A472" s="40"/>
      <c r="B472" s="40"/>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0"/>
    </row>
    <row r="473">
      <c r="A473" s="40"/>
      <c r="B473" s="40"/>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0"/>
    </row>
    <row r="474">
      <c r="A474" s="40"/>
      <c r="B474" s="40"/>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0"/>
    </row>
    <row r="475">
      <c r="A475" s="40"/>
      <c r="B475" s="40"/>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0"/>
    </row>
    <row r="476">
      <c r="A476" s="40"/>
      <c r="B476" s="40"/>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0"/>
    </row>
    <row r="477">
      <c r="A477" s="40"/>
      <c r="B477" s="40"/>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0"/>
    </row>
    <row r="478">
      <c r="A478" s="40"/>
      <c r="B478" s="40"/>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0"/>
    </row>
    <row r="479">
      <c r="A479" s="40"/>
      <c r="B479" s="40"/>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0"/>
    </row>
    <row r="480">
      <c r="A480" s="40"/>
      <c r="B480" s="40"/>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0"/>
    </row>
    <row r="481">
      <c r="A481" s="40"/>
      <c r="B481" s="40"/>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0"/>
    </row>
    <row r="482">
      <c r="A482" s="40"/>
      <c r="B482" s="40"/>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0"/>
    </row>
    <row r="483">
      <c r="A483" s="40"/>
      <c r="B483" s="40"/>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0"/>
    </row>
    <row r="484">
      <c r="A484" s="40"/>
      <c r="B484" s="40"/>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0"/>
    </row>
    <row r="485">
      <c r="A485" s="40"/>
      <c r="B485" s="40"/>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0"/>
    </row>
    <row r="486">
      <c r="A486" s="40"/>
      <c r="B486" s="40"/>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0"/>
    </row>
    <row r="487">
      <c r="A487" s="40"/>
      <c r="B487" s="40"/>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0"/>
    </row>
    <row r="488">
      <c r="A488" s="40"/>
      <c r="B488" s="40"/>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0"/>
    </row>
    <row r="489">
      <c r="A489" s="40"/>
      <c r="B489" s="40"/>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0"/>
    </row>
    <row r="490">
      <c r="A490" s="40"/>
      <c r="B490" s="40"/>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0"/>
    </row>
    <row r="491">
      <c r="A491" s="40"/>
      <c r="B491" s="40"/>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0"/>
    </row>
    <row r="492">
      <c r="A492" s="40"/>
      <c r="B492" s="40"/>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0"/>
    </row>
    <row r="493">
      <c r="A493" s="40"/>
      <c r="B493" s="40"/>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0"/>
    </row>
    <row r="494">
      <c r="A494" s="40"/>
      <c r="B494" s="40"/>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0"/>
    </row>
    <row r="495">
      <c r="A495" s="40"/>
      <c r="B495" s="40"/>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0"/>
    </row>
    <row r="496">
      <c r="A496" s="40"/>
      <c r="B496" s="40"/>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0"/>
    </row>
    <row r="497">
      <c r="A497" s="40"/>
      <c r="B497" s="40"/>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0"/>
    </row>
    <row r="498">
      <c r="A498" s="40"/>
      <c r="B498" s="40"/>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0"/>
    </row>
    <row r="499">
      <c r="A499" s="40"/>
      <c r="B499" s="40"/>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0"/>
    </row>
    <row r="500">
      <c r="A500" s="40"/>
      <c r="B500" s="40"/>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0"/>
    </row>
    <row r="501">
      <c r="A501" s="40"/>
      <c r="B501" s="40"/>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0"/>
    </row>
    <row r="502">
      <c r="A502" s="40"/>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row>
    <row r="503">
      <c r="A503" s="40"/>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row>
    <row r="504">
      <c r="A504" s="40"/>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row>
    <row r="505">
      <c r="A505" s="40"/>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row>
    <row r="506">
      <c r="A506" s="40"/>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row>
    <row r="507">
      <c r="A507" s="40"/>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row>
    <row r="508">
      <c r="A508" s="40"/>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row>
    <row r="509">
      <c r="A509" s="40"/>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row>
    <row r="510">
      <c r="A510" s="40"/>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row>
    <row r="511">
      <c r="A511" s="40"/>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row>
    <row r="512">
      <c r="A512" s="40"/>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row>
    <row r="513">
      <c r="A513" s="40"/>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row>
    <row r="514">
      <c r="A514" s="40"/>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row>
    <row r="515">
      <c r="A515" s="40"/>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row>
    <row r="516">
      <c r="A516" s="40"/>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row>
    <row r="517">
      <c r="A517" s="40"/>
      <c r="B517" s="40"/>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0"/>
    </row>
    <row r="518">
      <c r="A518" s="40"/>
      <c r="B518" s="40"/>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0"/>
    </row>
    <row r="519">
      <c r="A519" s="40"/>
      <c r="B519" s="40"/>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0"/>
    </row>
    <row r="520">
      <c r="A520" s="40"/>
      <c r="B520" s="40"/>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0"/>
    </row>
    <row r="521">
      <c r="A521" s="40"/>
      <c r="B521" s="40"/>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0"/>
    </row>
    <row r="522">
      <c r="A522" s="40"/>
      <c r="B522" s="40"/>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0"/>
    </row>
    <row r="523">
      <c r="A523" s="40"/>
      <c r="B523" s="40"/>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0"/>
    </row>
    <row r="524">
      <c r="A524" s="40"/>
      <c r="B524" s="40"/>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0"/>
    </row>
    <row r="525">
      <c r="A525" s="40"/>
      <c r="B525" s="40"/>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0"/>
    </row>
    <row r="526">
      <c r="A526" s="40"/>
      <c r="B526" s="40"/>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0"/>
    </row>
    <row r="527">
      <c r="A527" s="40"/>
      <c r="B527" s="40"/>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0"/>
    </row>
    <row r="528">
      <c r="A528" s="40"/>
      <c r="B528" s="40"/>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0"/>
    </row>
    <row r="529">
      <c r="A529" s="40"/>
      <c r="B529" s="40"/>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0"/>
    </row>
    <row r="530">
      <c r="A530" s="40"/>
      <c r="B530" s="40"/>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0"/>
    </row>
    <row r="531">
      <c r="A531" s="40"/>
      <c r="B531" s="40"/>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0"/>
    </row>
    <row r="532">
      <c r="A532" s="40"/>
      <c r="B532" s="40"/>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0"/>
    </row>
    <row r="533">
      <c r="A533" s="40"/>
      <c r="B533" s="40"/>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0"/>
    </row>
    <row r="534">
      <c r="A534" s="40"/>
      <c r="B534" s="40"/>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0"/>
    </row>
    <row r="535">
      <c r="A535" s="40"/>
      <c r="B535" s="40"/>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0"/>
    </row>
    <row r="536">
      <c r="A536" s="40"/>
      <c r="B536" s="40"/>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0"/>
    </row>
    <row r="537">
      <c r="A537" s="40"/>
      <c r="B537" s="40"/>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0"/>
    </row>
    <row r="538">
      <c r="A538" s="40"/>
      <c r="B538" s="40"/>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0"/>
    </row>
    <row r="539">
      <c r="A539" s="40"/>
      <c r="B539" s="40"/>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0"/>
    </row>
    <row r="540">
      <c r="A540" s="40"/>
      <c r="B540" s="40"/>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0"/>
    </row>
    <row r="541">
      <c r="A541" s="40"/>
      <c r="B541" s="40"/>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0"/>
    </row>
    <row r="542">
      <c r="A542" s="40"/>
      <c r="B542" s="40"/>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0"/>
    </row>
    <row r="543">
      <c r="A543" s="40"/>
      <c r="B543" s="40"/>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0"/>
    </row>
    <row r="544">
      <c r="A544" s="40"/>
      <c r="B544" s="40"/>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0"/>
    </row>
    <row r="545">
      <c r="A545" s="40"/>
      <c r="B545" s="40"/>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0"/>
    </row>
    <row r="546">
      <c r="A546" s="40"/>
      <c r="B546" s="40"/>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0"/>
    </row>
    <row r="547">
      <c r="A547" s="40"/>
      <c r="B547" s="40"/>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0"/>
    </row>
    <row r="548">
      <c r="A548" s="40"/>
      <c r="B548" s="40"/>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0"/>
    </row>
    <row r="549">
      <c r="A549" s="40"/>
      <c r="B549" s="40"/>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0"/>
    </row>
    <row r="550">
      <c r="A550" s="40"/>
      <c r="B550" s="40"/>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0"/>
    </row>
    <row r="551">
      <c r="A551" s="40"/>
      <c r="B551" s="40"/>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0"/>
    </row>
    <row r="552">
      <c r="A552" s="40"/>
      <c r="B552" s="40"/>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0"/>
    </row>
    <row r="553">
      <c r="A553" s="40"/>
      <c r="B553" s="40"/>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0"/>
    </row>
    <row r="554">
      <c r="A554" s="40"/>
      <c r="B554" s="40"/>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0"/>
    </row>
    <row r="555">
      <c r="A555" s="40"/>
      <c r="B555" s="40"/>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0"/>
    </row>
    <row r="556">
      <c r="A556" s="40"/>
      <c r="B556" s="40"/>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0"/>
    </row>
    <row r="557">
      <c r="A557" s="40"/>
      <c r="B557" s="40"/>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0"/>
    </row>
    <row r="558">
      <c r="A558" s="40"/>
      <c r="B558" s="40"/>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0"/>
    </row>
    <row r="559">
      <c r="A559" s="40"/>
      <c r="B559" s="40"/>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0"/>
    </row>
    <row r="560">
      <c r="A560" s="40"/>
      <c r="B560" s="40"/>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0"/>
    </row>
    <row r="561">
      <c r="A561" s="40"/>
      <c r="B561" s="40"/>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0"/>
    </row>
    <row r="562">
      <c r="A562" s="40"/>
      <c r="B562" s="40"/>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0"/>
    </row>
    <row r="563">
      <c r="A563" s="40"/>
      <c r="B563" s="40"/>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0"/>
    </row>
    <row r="564">
      <c r="A564" s="40"/>
      <c r="B564" s="40"/>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0"/>
    </row>
    <row r="565">
      <c r="A565" s="40"/>
      <c r="B565" s="40"/>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0"/>
    </row>
    <row r="566">
      <c r="A566" s="40"/>
      <c r="B566" s="40"/>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0"/>
    </row>
    <row r="567">
      <c r="A567" s="40"/>
      <c r="B567" s="40"/>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0"/>
    </row>
    <row r="568">
      <c r="A568" s="40"/>
      <c r="B568" s="40"/>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0"/>
    </row>
    <row r="569">
      <c r="A569" s="40"/>
      <c r="B569" s="40"/>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0"/>
    </row>
    <row r="570">
      <c r="A570" s="40"/>
      <c r="B570" s="40"/>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0"/>
    </row>
    <row r="571">
      <c r="A571" s="40"/>
      <c r="B571" s="40"/>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0"/>
    </row>
    <row r="572">
      <c r="A572" s="40"/>
      <c r="B572" s="40"/>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0"/>
    </row>
    <row r="573">
      <c r="A573" s="40"/>
      <c r="B573" s="40"/>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0"/>
    </row>
    <row r="574">
      <c r="A574" s="40"/>
      <c r="B574" s="40"/>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0"/>
    </row>
    <row r="575">
      <c r="A575" s="40"/>
      <c r="B575" s="40"/>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0"/>
    </row>
    <row r="576">
      <c r="A576" s="40"/>
      <c r="B576" s="40"/>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0"/>
    </row>
    <row r="577">
      <c r="A577" s="40"/>
      <c r="B577" s="40"/>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0"/>
    </row>
    <row r="578">
      <c r="A578" s="40"/>
      <c r="B578" s="40"/>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0"/>
    </row>
    <row r="579">
      <c r="A579" s="40"/>
      <c r="B579" s="40"/>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0"/>
    </row>
    <row r="580">
      <c r="A580" s="40"/>
      <c r="B580" s="40"/>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0"/>
    </row>
    <row r="581">
      <c r="A581" s="40"/>
      <c r="B581" s="40"/>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0"/>
    </row>
    <row r="582">
      <c r="A582" s="40"/>
      <c r="B582" s="40"/>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0"/>
    </row>
    <row r="583">
      <c r="A583" s="40"/>
      <c r="B583" s="40"/>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0"/>
    </row>
    <row r="584">
      <c r="A584" s="40"/>
      <c r="B584" s="40"/>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0"/>
    </row>
    <row r="585">
      <c r="A585" s="40"/>
      <c r="B585" s="40"/>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0"/>
    </row>
    <row r="586">
      <c r="A586" s="40"/>
      <c r="B586" s="40"/>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0"/>
    </row>
    <row r="587">
      <c r="A587" s="40"/>
      <c r="B587" s="40"/>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0"/>
    </row>
    <row r="588">
      <c r="A588" s="40"/>
      <c r="B588" s="40"/>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0"/>
    </row>
    <row r="589">
      <c r="A589" s="40"/>
      <c r="B589" s="40"/>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0"/>
    </row>
    <row r="590">
      <c r="A590" s="40"/>
      <c r="B590" s="40"/>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0"/>
    </row>
    <row r="591">
      <c r="A591" s="40"/>
      <c r="B591" s="40"/>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0"/>
    </row>
    <row r="592">
      <c r="A592" s="40"/>
      <c r="B592" s="40"/>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0"/>
    </row>
    <row r="593">
      <c r="A593" s="40"/>
      <c r="B593" s="40"/>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0"/>
    </row>
    <row r="594">
      <c r="A594" s="40"/>
      <c r="B594" s="40"/>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0"/>
    </row>
    <row r="595">
      <c r="A595" s="40"/>
      <c r="B595" s="40"/>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0"/>
    </row>
    <row r="596">
      <c r="A596" s="40"/>
      <c r="B596" s="40"/>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0"/>
    </row>
    <row r="597">
      <c r="A597" s="40"/>
      <c r="B597" s="40"/>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0"/>
    </row>
    <row r="598">
      <c r="A598" s="40"/>
      <c r="B598" s="40"/>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0"/>
    </row>
    <row r="599">
      <c r="A599" s="40"/>
      <c r="B599" s="40"/>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0"/>
    </row>
    <row r="600">
      <c r="A600" s="40"/>
      <c r="B600" s="40"/>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0"/>
    </row>
    <row r="601">
      <c r="A601" s="40"/>
      <c r="B601" s="40"/>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0"/>
    </row>
    <row r="602">
      <c r="A602" s="40"/>
      <c r="B602" s="40"/>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0"/>
    </row>
    <row r="603">
      <c r="A603" s="40"/>
      <c r="B603" s="40"/>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0"/>
    </row>
    <row r="604">
      <c r="A604" s="40"/>
      <c r="B604" s="40"/>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0"/>
    </row>
    <row r="605">
      <c r="A605" s="40"/>
      <c r="B605" s="40"/>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0"/>
    </row>
    <row r="606">
      <c r="A606" s="40"/>
      <c r="B606" s="40"/>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0"/>
    </row>
    <row r="607">
      <c r="A607" s="40"/>
      <c r="B607" s="40"/>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0"/>
    </row>
    <row r="608">
      <c r="A608" s="40"/>
      <c r="B608" s="40"/>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0"/>
    </row>
    <row r="609">
      <c r="A609" s="40"/>
      <c r="B609" s="40"/>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0"/>
    </row>
    <row r="610">
      <c r="A610" s="40"/>
      <c r="B610" s="40"/>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0"/>
    </row>
    <row r="611">
      <c r="A611" s="40"/>
      <c r="B611" s="40"/>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0"/>
    </row>
    <row r="612">
      <c r="A612" s="40"/>
      <c r="B612" s="40"/>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0"/>
    </row>
    <row r="613">
      <c r="A613" s="40"/>
      <c r="B613" s="40"/>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0"/>
    </row>
    <row r="614">
      <c r="A614" s="40"/>
      <c r="B614" s="40"/>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0"/>
    </row>
    <row r="615">
      <c r="A615" s="40"/>
      <c r="B615" s="40"/>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0"/>
    </row>
    <row r="616">
      <c r="A616" s="40"/>
      <c r="B616" s="40"/>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0"/>
    </row>
    <row r="617">
      <c r="A617" s="40"/>
      <c r="B617" s="40"/>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0"/>
    </row>
    <row r="618">
      <c r="A618" s="40"/>
      <c r="B618" s="40"/>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0"/>
    </row>
    <row r="619">
      <c r="A619" s="40"/>
      <c r="B619" s="40"/>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0"/>
    </row>
    <row r="620">
      <c r="A620" s="40"/>
      <c r="B620" s="40"/>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0"/>
    </row>
    <row r="621">
      <c r="A621" s="40"/>
      <c r="B621" s="40"/>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0"/>
    </row>
    <row r="622">
      <c r="A622" s="40"/>
      <c r="B622" s="40"/>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0"/>
    </row>
    <row r="623">
      <c r="A623" s="40"/>
      <c r="B623" s="40"/>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0"/>
    </row>
    <row r="624">
      <c r="A624" s="40"/>
      <c r="B624" s="40"/>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0"/>
    </row>
    <row r="625">
      <c r="A625" s="40"/>
      <c r="B625" s="40"/>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0"/>
    </row>
    <row r="626">
      <c r="A626" s="40"/>
      <c r="B626" s="40"/>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0"/>
    </row>
    <row r="627">
      <c r="A627" s="40"/>
      <c r="B627" s="40"/>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0"/>
    </row>
    <row r="628">
      <c r="A628" s="40"/>
      <c r="B628" s="40"/>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0"/>
    </row>
    <row r="629">
      <c r="A629" s="40"/>
      <c r="B629" s="40"/>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0"/>
    </row>
    <row r="630">
      <c r="A630" s="40"/>
      <c r="B630" s="40"/>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0"/>
    </row>
    <row r="631">
      <c r="A631" s="40"/>
      <c r="B631" s="40"/>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0"/>
    </row>
    <row r="632">
      <c r="A632" s="40"/>
      <c r="B632" s="40"/>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0"/>
    </row>
    <row r="633">
      <c r="A633" s="40"/>
      <c r="B633" s="40"/>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0"/>
    </row>
    <row r="634">
      <c r="A634" s="40"/>
      <c r="B634" s="40"/>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0"/>
    </row>
    <row r="635">
      <c r="A635" s="40"/>
      <c r="B635" s="40"/>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0"/>
    </row>
    <row r="636">
      <c r="A636" s="40"/>
      <c r="B636" s="40"/>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0"/>
    </row>
    <row r="637">
      <c r="A637" s="40"/>
      <c r="B637" s="40"/>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0"/>
    </row>
    <row r="638">
      <c r="A638" s="40"/>
      <c r="B638" s="40"/>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0"/>
    </row>
    <row r="639">
      <c r="A639" s="40"/>
      <c r="B639" s="40"/>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0"/>
    </row>
    <row r="640">
      <c r="A640" s="40"/>
      <c r="B640" s="40"/>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0"/>
    </row>
    <row r="641">
      <c r="A641" s="40"/>
      <c r="B641" s="40"/>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0"/>
    </row>
    <row r="642">
      <c r="A642" s="40"/>
      <c r="B642" s="40"/>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0"/>
    </row>
    <row r="643">
      <c r="A643" s="40"/>
      <c r="B643" s="40"/>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0"/>
    </row>
    <row r="644">
      <c r="A644" s="40"/>
      <c r="B644" s="40"/>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0"/>
    </row>
    <row r="645">
      <c r="A645" s="40"/>
      <c r="B645" s="40"/>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0"/>
    </row>
    <row r="646">
      <c r="A646" s="40"/>
      <c r="B646" s="40"/>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0"/>
    </row>
    <row r="647">
      <c r="A647" s="40"/>
      <c r="B647" s="40"/>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0"/>
    </row>
    <row r="648">
      <c r="A648" s="40"/>
      <c r="B648" s="40"/>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0"/>
    </row>
    <row r="649">
      <c r="A649" s="40"/>
      <c r="B649" s="40"/>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0"/>
    </row>
    <row r="650">
      <c r="A650" s="40"/>
      <c r="B650" s="40"/>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0"/>
    </row>
    <row r="651">
      <c r="A651" s="40"/>
      <c r="B651" s="40"/>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0"/>
    </row>
    <row r="652">
      <c r="A652" s="40"/>
      <c r="B652" s="40"/>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0"/>
    </row>
    <row r="653">
      <c r="A653" s="40"/>
      <c r="B653" s="40"/>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0"/>
    </row>
    <row r="654">
      <c r="A654" s="40"/>
      <c r="B654" s="40"/>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0"/>
    </row>
    <row r="655">
      <c r="A655" s="40"/>
      <c r="B655" s="40"/>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0"/>
    </row>
    <row r="656">
      <c r="A656" s="40"/>
      <c r="B656" s="40"/>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0"/>
    </row>
    <row r="657">
      <c r="A657" s="40"/>
      <c r="B657" s="40"/>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0"/>
    </row>
    <row r="658">
      <c r="A658" s="40"/>
      <c r="B658" s="40"/>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0"/>
    </row>
    <row r="659">
      <c r="A659" s="40"/>
      <c r="B659" s="40"/>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0"/>
    </row>
    <row r="660">
      <c r="A660" s="40"/>
      <c r="B660" s="40"/>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0"/>
    </row>
    <row r="661">
      <c r="A661" s="40"/>
      <c r="B661" s="40"/>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0"/>
    </row>
    <row r="662">
      <c r="A662" s="40"/>
      <c r="B662" s="40"/>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0"/>
    </row>
    <row r="663">
      <c r="A663" s="40"/>
      <c r="B663" s="40"/>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0"/>
    </row>
    <row r="664">
      <c r="A664" s="40"/>
      <c r="B664" s="40"/>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0"/>
    </row>
    <row r="665">
      <c r="A665" s="40"/>
      <c r="B665" s="40"/>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0"/>
    </row>
    <row r="666">
      <c r="A666" s="40"/>
      <c r="B666" s="40"/>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0"/>
    </row>
    <row r="667">
      <c r="A667" s="40"/>
      <c r="B667" s="40"/>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0"/>
    </row>
    <row r="668">
      <c r="A668" s="40"/>
      <c r="B668" s="40"/>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0"/>
    </row>
    <row r="669">
      <c r="A669" s="40"/>
      <c r="B669" s="40"/>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0"/>
    </row>
    <row r="670">
      <c r="A670" s="40"/>
      <c r="B670" s="40"/>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0"/>
    </row>
    <row r="671">
      <c r="A671" s="40"/>
      <c r="B671" s="40"/>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0"/>
    </row>
    <row r="672">
      <c r="A672" s="40"/>
      <c r="B672" s="40"/>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0"/>
    </row>
    <row r="673">
      <c r="A673" s="40"/>
      <c r="B673" s="40"/>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0"/>
    </row>
    <row r="674">
      <c r="A674" s="40"/>
      <c r="B674" s="40"/>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0"/>
    </row>
    <row r="675">
      <c r="A675" s="40"/>
      <c r="B675" s="40"/>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0"/>
    </row>
    <row r="676">
      <c r="A676" s="40"/>
      <c r="B676" s="40"/>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0"/>
    </row>
    <row r="677">
      <c r="A677" s="40"/>
      <c r="B677" s="40"/>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0"/>
    </row>
    <row r="678">
      <c r="A678" s="40"/>
      <c r="B678" s="40"/>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0"/>
    </row>
    <row r="679">
      <c r="A679" s="40"/>
      <c r="B679" s="40"/>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0"/>
    </row>
    <row r="680">
      <c r="A680" s="40"/>
      <c r="B680" s="40"/>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0"/>
    </row>
    <row r="681">
      <c r="A681" s="40"/>
      <c r="B681" s="40"/>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0"/>
    </row>
    <row r="682">
      <c r="A682" s="40"/>
      <c r="B682" s="40"/>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0"/>
    </row>
    <row r="683">
      <c r="A683" s="40"/>
      <c r="B683" s="40"/>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0"/>
    </row>
    <row r="684">
      <c r="A684" s="40"/>
      <c r="B684" s="40"/>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0"/>
    </row>
    <row r="685">
      <c r="A685" s="40"/>
      <c r="B685" s="40"/>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0"/>
    </row>
    <row r="686">
      <c r="A686" s="40"/>
      <c r="B686" s="40"/>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0"/>
    </row>
    <row r="687">
      <c r="A687" s="40"/>
      <c r="B687" s="40"/>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0"/>
    </row>
    <row r="688">
      <c r="A688" s="40"/>
      <c r="B688" s="40"/>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0"/>
    </row>
    <row r="689">
      <c r="A689" s="40"/>
      <c r="B689" s="40"/>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0"/>
    </row>
    <row r="690">
      <c r="A690" s="40"/>
      <c r="B690" s="40"/>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0"/>
    </row>
    <row r="691">
      <c r="A691" s="40"/>
      <c r="B691" s="40"/>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0"/>
    </row>
    <row r="692">
      <c r="A692" s="40"/>
      <c r="B692" s="40"/>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0"/>
    </row>
    <row r="693">
      <c r="A693" s="40"/>
      <c r="B693" s="40"/>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0"/>
    </row>
    <row r="694">
      <c r="A694" s="40"/>
      <c r="B694" s="40"/>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0"/>
    </row>
    <row r="695">
      <c r="A695" s="40"/>
      <c r="B695" s="40"/>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0"/>
    </row>
    <row r="696">
      <c r="A696" s="40"/>
      <c r="B696" s="40"/>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0"/>
    </row>
    <row r="697">
      <c r="A697" s="40"/>
      <c r="B697" s="40"/>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0"/>
    </row>
    <row r="698">
      <c r="A698" s="40"/>
      <c r="B698" s="40"/>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0"/>
    </row>
    <row r="699">
      <c r="A699" s="40"/>
      <c r="B699" s="40"/>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0"/>
    </row>
    <row r="700">
      <c r="A700" s="40"/>
      <c r="B700" s="40"/>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0"/>
    </row>
    <row r="701">
      <c r="A701" s="40"/>
      <c r="B701" s="40"/>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0"/>
    </row>
    <row r="702">
      <c r="A702" s="40"/>
      <c r="B702" s="40"/>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0"/>
    </row>
    <row r="703">
      <c r="A703" s="40"/>
      <c r="B703" s="40"/>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0"/>
    </row>
    <row r="704">
      <c r="A704" s="40"/>
      <c r="B704" s="40"/>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0"/>
    </row>
    <row r="705">
      <c r="A705" s="40"/>
      <c r="B705" s="40"/>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0"/>
    </row>
    <row r="706">
      <c r="A706" s="40"/>
      <c r="B706" s="40"/>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0"/>
    </row>
    <row r="707">
      <c r="A707" s="40"/>
      <c r="B707" s="40"/>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0"/>
    </row>
    <row r="708">
      <c r="A708" s="40"/>
      <c r="B708" s="40"/>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0"/>
    </row>
    <row r="709">
      <c r="A709" s="40"/>
      <c r="B709" s="40"/>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0"/>
    </row>
    <row r="710">
      <c r="A710" s="40"/>
      <c r="B710" s="40"/>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0"/>
    </row>
    <row r="711">
      <c r="A711" s="40"/>
      <c r="B711" s="40"/>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0"/>
    </row>
    <row r="712">
      <c r="A712" s="40"/>
      <c r="B712" s="40"/>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0"/>
    </row>
    <row r="713">
      <c r="A713" s="40"/>
      <c r="B713" s="40"/>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0"/>
    </row>
    <row r="714">
      <c r="A714" s="40"/>
      <c r="B714" s="40"/>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0"/>
    </row>
    <row r="715">
      <c r="A715" s="40"/>
      <c r="B715" s="40"/>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0"/>
    </row>
    <row r="716">
      <c r="A716" s="40"/>
      <c r="B716" s="40"/>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0"/>
    </row>
    <row r="717">
      <c r="A717" s="40"/>
      <c r="B717" s="40"/>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0"/>
    </row>
    <row r="718">
      <c r="A718" s="40"/>
      <c r="B718" s="40"/>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0"/>
    </row>
    <row r="719">
      <c r="A719" s="40"/>
      <c r="B719" s="40"/>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0"/>
    </row>
    <row r="720">
      <c r="A720" s="40"/>
      <c r="B720" s="40"/>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0"/>
    </row>
    <row r="721">
      <c r="A721" s="40"/>
      <c r="B721" s="40"/>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0"/>
    </row>
    <row r="722">
      <c r="A722" s="40"/>
      <c r="B722" s="40"/>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0"/>
    </row>
    <row r="723">
      <c r="A723" s="40"/>
      <c r="B723" s="40"/>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0"/>
    </row>
    <row r="724">
      <c r="A724" s="40"/>
      <c r="B724" s="40"/>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0"/>
    </row>
    <row r="725">
      <c r="A725" s="40"/>
      <c r="B725" s="40"/>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0"/>
    </row>
    <row r="726">
      <c r="A726" s="40"/>
      <c r="B726" s="40"/>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0"/>
    </row>
    <row r="727">
      <c r="A727" s="40"/>
      <c r="B727" s="40"/>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0"/>
    </row>
    <row r="728">
      <c r="A728" s="40"/>
      <c r="B728" s="40"/>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0"/>
    </row>
    <row r="729">
      <c r="A729" s="40"/>
      <c r="B729" s="40"/>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0"/>
    </row>
    <row r="730">
      <c r="A730" s="40"/>
      <c r="B730" s="40"/>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0"/>
    </row>
    <row r="731">
      <c r="A731" s="40"/>
      <c r="B731" s="40"/>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0"/>
    </row>
    <row r="732">
      <c r="A732" s="40"/>
      <c r="B732" s="40"/>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0"/>
    </row>
    <row r="733">
      <c r="A733" s="40"/>
      <c r="B733" s="40"/>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0"/>
    </row>
    <row r="734">
      <c r="A734" s="40"/>
      <c r="B734" s="40"/>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0"/>
    </row>
    <row r="735">
      <c r="A735" s="40"/>
      <c r="B735" s="40"/>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0"/>
    </row>
    <row r="736">
      <c r="A736" s="40"/>
      <c r="B736" s="40"/>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0"/>
    </row>
    <row r="737">
      <c r="A737" s="40"/>
      <c r="B737" s="40"/>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0"/>
    </row>
    <row r="738">
      <c r="A738" s="40"/>
      <c r="B738" s="40"/>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0"/>
    </row>
    <row r="739">
      <c r="A739" s="40"/>
      <c r="B739" s="40"/>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0"/>
    </row>
    <row r="740">
      <c r="A740" s="40"/>
      <c r="B740" s="40"/>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0"/>
    </row>
    <row r="741">
      <c r="A741" s="40"/>
      <c r="B741" s="40"/>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0"/>
    </row>
    <row r="742">
      <c r="A742" s="40"/>
      <c r="B742" s="40"/>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0"/>
    </row>
    <row r="743">
      <c r="A743" s="40"/>
      <c r="B743" s="40"/>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0"/>
    </row>
    <row r="744">
      <c r="A744" s="40"/>
      <c r="B744" s="40"/>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0"/>
    </row>
    <row r="745">
      <c r="A745" s="40"/>
      <c r="B745" s="40"/>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0"/>
    </row>
    <row r="746">
      <c r="A746" s="40"/>
      <c r="B746" s="40"/>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0"/>
    </row>
    <row r="747">
      <c r="A747" s="40"/>
      <c r="B747" s="40"/>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0"/>
    </row>
    <row r="748">
      <c r="A748" s="40"/>
      <c r="B748" s="40"/>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0"/>
    </row>
    <row r="749">
      <c r="A749" s="40"/>
      <c r="B749" s="40"/>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0"/>
    </row>
    <row r="750">
      <c r="A750" s="40"/>
      <c r="B750" s="40"/>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0"/>
    </row>
    <row r="751">
      <c r="A751" s="40"/>
      <c r="B751" s="40"/>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0"/>
    </row>
    <row r="752">
      <c r="A752" s="40"/>
      <c r="B752" s="40"/>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0"/>
    </row>
    <row r="753">
      <c r="A753" s="40"/>
      <c r="B753" s="40"/>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0"/>
    </row>
    <row r="754">
      <c r="A754" s="40"/>
      <c r="B754" s="40"/>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0"/>
    </row>
    <row r="755">
      <c r="A755" s="40"/>
      <c r="B755" s="40"/>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0"/>
    </row>
    <row r="756">
      <c r="A756" s="40"/>
      <c r="B756" s="40"/>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0"/>
    </row>
    <row r="757">
      <c r="A757" s="40"/>
      <c r="B757" s="40"/>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0"/>
    </row>
    <row r="758">
      <c r="A758" s="40"/>
      <c r="B758" s="40"/>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0"/>
    </row>
    <row r="759">
      <c r="A759" s="40"/>
      <c r="B759" s="40"/>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0"/>
    </row>
    <row r="760">
      <c r="A760" s="40"/>
      <c r="B760" s="40"/>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0"/>
    </row>
    <row r="761">
      <c r="A761" s="40"/>
      <c r="B761" s="40"/>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0"/>
    </row>
    <row r="762">
      <c r="A762" s="40"/>
      <c r="B762" s="40"/>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0"/>
    </row>
    <row r="763">
      <c r="A763" s="40"/>
      <c r="B763" s="40"/>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0"/>
    </row>
    <row r="764">
      <c r="A764" s="40"/>
      <c r="B764" s="40"/>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0"/>
    </row>
    <row r="765">
      <c r="A765" s="40"/>
      <c r="B765" s="40"/>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0"/>
    </row>
    <row r="766">
      <c r="A766" s="40"/>
      <c r="B766" s="40"/>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0"/>
    </row>
    <row r="767">
      <c r="A767" s="40"/>
      <c r="B767" s="40"/>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0"/>
    </row>
    <row r="768">
      <c r="A768" s="40"/>
      <c r="B768" s="40"/>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0"/>
    </row>
    <row r="769">
      <c r="A769" s="40"/>
      <c r="B769" s="40"/>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0"/>
    </row>
    <row r="770">
      <c r="A770" s="40"/>
      <c r="B770" s="40"/>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0"/>
    </row>
    <row r="771">
      <c r="A771" s="40"/>
      <c r="B771" s="40"/>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0"/>
    </row>
    <row r="772">
      <c r="A772" s="40"/>
      <c r="B772" s="40"/>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0"/>
    </row>
    <row r="773">
      <c r="A773" s="40"/>
      <c r="B773" s="40"/>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0"/>
    </row>
    <row r="774">
      <c r="A774" s="40"/>
      <c r="B774" s="40"/>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0"/>
    </row>
    <row r="775">
      <c r="A775" s="40"/>
      <c r="B775" s="40"/>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0"/>
    </row>
    <row r="776">
      <c r="A776" s="40"/>
      <c r="B776" s="40"/>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0"/>
    </row>
    <row r="777">
      <c r="A777" s="40"/>
      <c r="B777" s="40"/>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0"/>
    </row>
    <row r="778">
      <c r="A778" s="40"/>
      <c r="B778" s="40"/>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0"/>
    </row>
    <row r="779">
      <c r="A779" s="40"/>
      <c r="B779" s="40"/>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0"/>
    </row>
    <row r="780">
      <c r="A780" s="40"/>
      <c r="B780" s="40"/>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0"/>
    </row>
    <row r="781">
      <c r="A781" s="40"/>
      <c r="B781" s="40"/>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0"/>
    </row>
    <row r="782">
      <c r="A782" s="40"/>
      <c r="B782" s="40"/>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0"/>
    </row>
    <row r="783">
      <c r="A783" s="40"/>
      <c r="B783" s="40"/>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0"/>
    </row>
    <row r="784">
      <c r="A784" s="40"/>
      <c r="B784" s="40"/>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0"/>
    </row>
    <row r="785">
      <c r="A785" s="40"/>
      <c r="B785" s="40"/>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0"/>
    </row>
    <row r="786">
      <c r="A786" s="40"/>
      <c r="B786" s="40"/>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0"/>
    </row>
    <row r="787">
      <c r="A787" s="40"/>
      <c r="B787" s="40"/>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0"/>
    </row>
    <row r="788">
      <c r="A788" s="40"/>
      <c r="B788" s="40"/>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0"/>
    </row>
    <row r="789">
      <c r="A789" s="40"/>
      <c r="B789" s="40"/>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0"/>
    </row>
    <row r="790">
      <c r="A790" s="40"/>
      <c r="B790" s="40"/>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0"/>
    </row>
    <row r="791">
      <c r="A791" s="40"/>
      <c r="B791" s="40"/>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0"/>
    </row>
    <row r="792">
      <c r="A792" s="40"/>
      <c r="B792" s="40"/>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0"/>
    </row>
    <row r="793">
      <c r="A793" s="40"/>
      <c r="B793" s="40"/>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0"/>
    </row>
    <row r="794">
      <c r="A794" s="40"/>
      <c r="B794" s="40"/>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0"/>
    </row>
    <row r="795">
      <c r="A795" s="40"/>
      <c r="B795" s="40"/>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0"/>
    </row>
    <row r="796">
      <c r="A796" s="40"/>
      <c r="B796" s="40"/>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0"/>
    </row>
    <row r="797">
      <c r="A797" s="40"/>
      <c r="B797" s="40"/>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0"/>
    </row>
    <row r="798">
      <c r="A798" s="40"/>
      <c r="B798" s="40"/>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0"/>
    </row>
    <row r="799">
      <c r="A799" s="40"/>
      <c r="B799" s="40"/>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0"/>
    </row>
    <row r="800">
      <c r="A800" s="40"/>
      <c r="B800" s="40"/>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0"/>
    </row>
    <row r="801">
      <c r="A801" s="40"/>
      <c r="B801" s="40"/>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0"/>
    </row>
    <row r="802">
      <c r="A802" s="40"/>
      <c r="B802" s="40"/>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0"/>
    </row>
    <row r="803">
      <c r="A803" s="40"/>
      <c r="B803" s="40"/>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0"/>
    </row>
    <row r="804">
      <c r="A804" s="40"/>
      <c r="B804" s="40"/>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0"/>
    </row>
    <row r="805">
      <c r="A805" s="40"/>
      <c r="B805" s="40"/>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0"/>
    </row>
    <row r="806">
      <c r="A806" s="40"/>
      <c r="B806" s="40"/>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0"/>
    </row>
    <row r="807">
      <c r="A807" s="40"/>
      <c r="B807" s="40"/>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0"/>
    </row>
    <row r="808">
      <c r="A808" s="40"/>
      <c r="B808" s="40"/>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0"/>
    </row>
    <row r="809">
      <c r="A809" s="40"/>
      <c r="B809" s="40"/>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0"/>
    </row>
    <row r="810">
      <c r="A810" s="40"/>
      <c r="B810" s="40"/>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0"/>
    </row>
    <row r="811">
      <c r="A811" s="40"/>
      <c r="B811" s="40"/>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0"/>
    </row>
    <row r="812">
      <c r="A812" s="40"/>
      <c r="B812" s="40"/>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0"/>
    </row>
    <row r="813">
      <c r="A813" s="40"/>
      <c r="B813" s="40"/>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0"/>
    </row>
    <row r="814">
      <c r="A814" s="40"/>
      <c r="B814" s="40"/>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0"/>
    </row>
    <row r="815">
      <c r="A815" s="40"/>
      <c r="B815" s="40"/>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0"/>
    </row>
    <row r="816">
      <c r="A816" s="40"/>
      <c r="B816" s="40"/>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0"/>
    </row>
    <row r="817">
      <c r="A817" s="40"/>
      <c r="B817" s="40"/>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0"/>
    </row>
    <row r="818">
      <c r="A818" s="40"/>
      <c r="B818" s="40"/>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0"/>
    </row>
    <row r="819">
      <c r="A819" s="40"/>
      <c r="B819" s="40"/>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0"/>
    </row>
    <row r="820">
      <c r="A820" s="40"/>
      <c r="B820" s="40"/>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0"/>
    </row>
    <row r="821">
      <c r="A821" s="40"/>
      <c r="B821" s="40"/>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0"/>
    </row>
    <row r="822">
      <c r="A822" s="40"/>
      <c r="B822" s="40"/>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0"/>
    </row>
    <row r="823">
      <c r="A823" s="40"/>
      <c r="B823" s="40"/>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0"/>
    </row>
    <row r="824">
      <c r="A824" s="40"/>
      <c r="B824" s="40"/>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0"/>
    </row>
    <row r="825">
      <c r="A825" s="40"/>
      <c r="B825" s="40"/>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0"/>
    </row>
    <row r="826">
      <c r="A826" s="40"/>
      <c r="B826" s="40"/>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0"/>
    </row>
    <row r="827">
      <c r="A827" s="40"/>
      <c r="B827" s="40"/>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0"/>
    </row>
    <row r="828">
      <c r="A828" s="40"/>
      <c r="B828" s="40"/>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0"/>
    </row>
    <row r="829">
      <c r="A829" s="40"/>
      <c r="B829" s="40"/>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0"/>
    </row>
    <row r="830">
      <c r="A830" s="40"/>
      <c r="B830" s="40"/>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0"/>
    </row>
    <row r="831">
      <c r="A831" s="40"/>
      <c r="B831" s="40"/>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0"/>
    </row>
    <row r="832">
      <c r="A832" s="40"/>
      <c r="B832" s="40"/>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0"/>
    </row>
    <row r="833">
      <c r="A833" s="40"/>
      <c r="B833" s="40"/>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0"/>
    </row>
    <row r="834">
      <c r="A834" s="40"/>
      <c r="B834" s="40"/>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0"/>
    </row>
    <row r="835">
      <c r="A835" s="40"/>
      <c r="B835" s="40"/>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0"/>
    </row>
    <row r="836">
      <c r="A836" s="40"/>
      <c r="B836" s="40"/>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0"/>
    </row>
    <row r="837">
      <c r="A837" s="40"/>
      <c r="B837" s="40"/>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0"/>
    </row>
    <row r="838">
      <c r="A838" s="40"/>
      <c r="B838" s="40"/>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0"/>
    </row>
    <row r="839">
      <c r="A839" s="40"/>
      <c r="B839" s="40"/>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0"/>
    </row>
    <row r="840">
      <c r="A840" s="40"/>
      <c r="B840" s="40"/>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0"/>
    </row>
    <row r="841">
      <c r="A841" s="40"/>
      <c r="B841" s="40"/>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0"/>
    </row>
    <row r="842">
      <c r="A842" s="40"/>
      <c r="B842" s="40"/>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0"/>
    </row>
    <row r="843">
      <c r="A843" s="40"/>
      <c r="B843" s="40"/>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0"/>
    </row>
    <row r="844">
      <c r="A844" s="40"/>
      <c r="B844" s="40"/>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0"/>
    </row>
    <row r="845">
      <c r="A845" s="40"/>
      <c r="B845" s="40"/>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0"/>
    </row>
    <row r="846">
      <c r="A846" s="40"/>
      <c r="B846" s="40"/>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0"/>
    </row>
    <row r="847">
      <c r="A847" s="40"/>
      <c r="B847" s="40"/>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0"/>
    </row>
    <row r="848">
      <c r="A848" s="40"/>
      <c r="B848" s="40"/>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0"/>
    </row>
    <row r="849">
      <c r="A849" s="40"/>
      <c r="B849" s="40"/>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0"/>
    </row>
    <row r="850">
      <c r="A850" s="40"/>
      <c r="B850" s="40"/>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0"/>
    </row>
    <row r="851">
      <c r="A851" s="40"/>
      <c r="B851" s="40"/>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0"/>
    </row>
    <row r="852">
      <c r="A852" s="40"/>
      <c r="B852" s="40"/>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0"/>
    </row>
    <row r="853">
      <c r="A853" s="40"/>
      <c r="B853" s="40"/>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0"/>
    </row>
    <row r="854">
      <c r="A854" s="40"/>
      <c r="B854" s="40"/>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0"/>
    </row>
    <row r="855">
      <c r="A855" s="40"/>
      <c r="B855" s="40"/>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0"/>
    </row>
    <row r="856">
      <c r="A856" s="40"/>
      <c r="B856" s="40"/>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0"/>
    </row>
    <row r="857">
      <c r="A857" s="40"/>
      <c r="B857" s="40"/>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0"/>
    </row>
    <row r="858">
      <c r="A858" s="40"/>
      <c r="B858" s="40"/>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0"/>
    </row>
    <row r="859">
      <c r="A859" s="40"/>
      <c r="B859" s="40"/>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0"/>
    </row>
    <row r="860">
      <c r="A860" s="40"/>
      <c r="B860" s="40"/>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0"/>
    </row>
    <row r="861">
      <c r="A861" s="40"/>
      <c r="B861" s="40"/>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0"/>
    </row>
    <row r="862">
      <c r="A862" s="40"/>
      <c r="B862" s="40"/>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0"/>
    </row>
    <row r="863">
      <c r="A863" s="40"/>
      <c r="B863" s="40"/>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0"/>
    </row>
    <row r="864">
      <c r="A864" s="40"/>
      <c r="B864" s="40"/>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0"/>
    </row>
    <row r="865">
      <c r="A865" s="40"/>
      <c r="B865" s="40"/>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0"/>
    </row>
    <row r="866">
      <c r="A866" s="40"/>
      <c r="B866" s="40"/>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0"/>
    </row>
    <row r="867">
      <c r="A867" s="40"/>
      <c r="B867" s="40"/>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0"/>
    </row>
    <row r="868">
      <c r="A868" s="40"/>
      <c r="B868" s="40"/>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0"/>
    </row>
    <row r="869">
      <c r="A869" s="40"/>
      <c r="B869" s="40"/>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0"/>
    </row>
    <row r="870">
      <c r="A870" s="40"/>
      <c r="B870" s="40"/>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0"/>
    </row>
    <row r="871">
      <c r="A871" s="40"/>
      <c r="B871" s="40"/>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0"/>
    </row>
    <row r="872">
      <c r="A872" s="40"/>
      <c r="B872" s="40"/>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0"/>
    </row>
    <row r="873">
      <c r="A873" s="40"/>
      <c r="B873" s="40"/>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0"/>
    </row>
    <row r="874">
      <c r="A874" s="40"/>
      <c r="B874" s="40"/>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0"/>
    </row>
    <row r="875">
      <c r="A875" s="40"/>
      <c r="B875" s="40"/>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0"/>
    </row>
    <row r="876">
      <c r="A876" s="40"/>
      <c r="B876" s="40"/>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0"/>
    </row>
    <row r="877">
      <c r="A877" s="40"/>
      <c r="B877" s="40"/>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0"/>
    </row>
    <row r="878">
      <c r="A878" s="40"/>
      <c r="B878" s="40"/>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0"/>
    </row>
    <row r="879">
      <c r="A879" s="40"/>
      <c r="B879" s="40"/>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0"/>
    </row>
    <row r="880">
      <c r="A880" s="40"/>
      <c r="B880" s="40"/>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0"/>
    </row>
    <row r="881">
      <c r="A881" s="40"/>
      <c r="B881" s="40"/>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0"/>
    </row>
    <row r="882">
      <c r="A882" s="40"/>
      <c r="B882" s="40"/>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0"/>
    </row>
    <row r="883">
      <c r="A883" s="40"/>
      <c r="B883" s="40"/>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0"/>
    </row>
    <row r="884">
      <c r="A884" s="40"/>
      <c r="B884" s="40"/>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0"/>
    </row>
    <row r="885">
      <c r="A885" s="40"/>
      <c r="B885" s="40"/>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0"/>
    </row>
    <row r="886">
      <c r="A886" s="40"/>
      <c r="B886" s="40"/>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0"/>
    </row>
    <row r="887">
      <c r="A887" s="40"/>
      <c r="B887" s="40"/>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0"/>
    </row>
    <row r="888">
      <c r="A888" s="40"/>
      <c r="B888" s="40"/>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0"/>
    </row>
    <row r="889">
      <c r="A889" s="40"/>
      <c r="B889" s="40"/>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0"/>
    </row>
    <row r="890">
      <c r="A890" s="40"/>
      <c r="B890" s="40"/>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0"/>
    </row>
    <row r="891">
      <c r="A891" s="40"/>
      <c r="B891" s="40"/>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0"/>
    </row>
    <row r="892">
      <c r="A892" s="40"/>
      <c r="B892" s="40"/>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0"/>
    </row>
    <row r="893">
      <c r="A893" s="40"/>
      <c r="B893" s="40"/>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0"/>
    </row>
    <row r="894">
      <c r="A894" s="40"/>
      <c r="B894" s="40"/>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0"/>
    </row>
    <row r="895">
      <c r="A895" s="40"/>
      <c r="B895" s="40"/>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0"/>
    </row>
    <row r="896">
      <c r="A896" s="40"/>
      <c r="B896" s="40"/>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0"/>
    </row>
    <row r="897">
      <c r="A897" s="40"/>
      <c r="B897" s="40"/>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0"/>
    </row>
    <row r="898">
      <c r="A898" s="40"/>
      <c r="B898" s="40"/>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0"/>
    </row>
    <row r="899">
      <c r="A899" s="40"/>
      <c r="B899" s="40"/>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0"/>
    </row>
    <row r="900">
      <c r="A900" s="40"/>
      <c r="B900" s="40"/>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0"/>
    </row>
    <row r="901">
      <c r="A901" s="40"/>
      <c r="B901" s="40"/>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0"/>
    </row>
    <row r="902">
      <c r="A902" s="40"/>
      <c r="B902" s="40"/>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0"/>
    </row>
    <row r="903">
      <c r="A903" s="40"/>
      <c r="B903" s="40"/>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0"/>
    </row>
    <row r="904">
      <c r="A904" s="40"/>
      <c r="B904" s="40"/>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0"/>
    </row>
    <row r="905">
      <c r="A905" s="40"/>
      <c r="B905" s="40"/>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0"/>
    </row>
    <row r="906">
      <c r="A906" s="40"/>
      <c r="B906" s="40"/>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0"/>
    </row>
    <row r="907">
      <c r="A907" s="40"/>
      <c r="B907" s="40"/>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0"/>
    </row>
    <row r="908">
      <c r="A908" s="40"/>
      <c r="B908" s="40"/>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0"/>
    </row>
    <row r="909">
      <c r="A909" s="40"/>
      <c r="B909" s="40"/>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0"/>
    </row>
    <row r="910">
      <c r="A910" s="40"/>
      <c r="B910" s="40"/>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0"/>
    </row>
    <row r="911">
      <c r="A911" s="40"/>
      <c r="B911" s="40"/>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0"/>
    </row>
    <row r="912">
      <c r="A912" s="40"/>
      <c r="B912" s="40"/>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0"/>
    </row>
    <row r="913">
      <c r="A913" s="40"/>
      <c r="B913" s="40"/>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0"/>
    </row>
    <row r="914">
      <c r="A914" s="40"/>
      <c r="B914" s="40"/>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0"/>
    </row>
    <row r="915">
      <c r="A915" s="40"/>
      <c r="B915" s="40"/>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0"/>
    </row>
    <row r="916">
      <c r="A916" s="40"/>
      <c r="B916" s="40"/>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0"/>
    </row>
    <row r="917">
      <c r="A917" s="40"/>
      <c r="B917" s="40"/>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0"/>
    </row>
    <row r="918">
      <c r="A918" s="40"/>
      <c r="B918" s="40"/>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0"/>
    </row>
    <row r="919">
      <c r="A919" s="40"/>
      <c r="B919" s="40"/>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0"/>
    </row>
    <row r="920">
      <c r="A920" s="40"/>
      <c r="B920" s="40"/>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0"/>
    </row>
    <row r="921">
      <c r="A921" s="40"/>
      <c r="B921" s="40"/>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0"/>
    </row>
    <row r="922">
      <c r="A922" s="40"/>
      <c r="B922" s="40"/>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0"/>
    </row>
    <row r="923">
      <c r="A923" s="40"/>
      <c r="B923" s="40"/>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0"/>
    </row>
    <row r="924">
      <c r="A924" s="40"/>
      <c r="B924" s="40"/>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0"/>
    </row>
    <row r="925">
      <c r="A925" s="40"/>
      <c r="B925" s="40"/>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0"/>
    </row>
    <row r="926">
      <c r="A926" s="40"/>
      <c r="B926" s="40"/>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0"/>
    </row>
    <row r="927">
      <c r="A927" s="40"/>
      <c r="B927" s="40"/>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0"/>
    </row>
    <row r="928">
      <c r="A928" s="40"/>
      <c r="B928" s="40"/>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0"/>
    </row>
    <row r="929">
      <c r="A929" s="40"/>
      <c r="B929" s="40"/>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0"/>
    </row>
    <row r="930">
      <c r="A930" s="40"/>
      <c r="B930" s="40"/>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0"/>
    </row>
    <row r="931">
      <c r="A931" s="40"/>
      <c r="B931" s="40"/>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0"/>
    </row>
    <row r="932">
      <c r="A932" s="40"/>
      <c r="B932" s="40"/>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0"/>
    </row>
    <row r="933">
      <c r="A933" s="40"/>
      <c r="B933" s="40"/>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0"/>
    </row>
    <row r="934">
      <c r="A934" s="40"/>
      <c r="B934" s="40"/>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0"/>
    </row>
    <row r="935">
      <c r="A935" s="40"/>
      <c r="B935" s="40"/>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0"/>
    </row>
    <row r="936">
      <c r="A936" s="40"/>
      <c r="B936" s="40"/>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0"/>
    </row>
    <row r="937">
      <c r="A937" s="40"/>
      <c r="B937" s="40"/>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0"/>
    </row>
    <row r="938">
      <c r="A938" s="40"/>
      <c r="B938" s="40"/>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0"/>
    </row>
    <row r="939">
      <c r="A939" s="40"/>
      <c r="B939" s="40"/>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0"/>
    </row>
    <row r="940">
      <c r="A940" s="40"/>
      <c r="B940" s="40"/>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0"/>
    </row>
    <row r="941">
      <c r="A941" s="40"/>
      <c r="B941" s="40"/>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0"/>
    </row>
    <row r="942">
      <c r="A942" s="40"/>
      <c r="B942" s="40"/>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0"/>
    </row>
    <row r="943">
      <c r="A943" s="40"/>
      <c r="B943" s="40"/>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0"/>
    </row>
    <row r="944">
      <c r="A944" s="40"/>
      <c r="B944" s="40"/>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0"/>
    </row>
    <row r="945">
      <c r="A945" s="40"/>
      <c r="B945" s="40"/>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0"/>
    </row>
    <row r="946">
      <c r="A946" s="40"/>
      <c r="B946" s="40"/>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0"/>
    </row>
    <row r="947">
      <c r="A947" s="40"/>
      <c r="B947" s="40"/>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0"/>
    </row>
    <row r="948">
      <c r="A948" s="40"/>
      <c r="B948" s="40"/>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0"/>
    </row>
    <row r="949">
      <c r="A949" s="40"/>
      <c r="B949" s="40"/>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0"/>
    </row>
    <row r="950">
      <c r="A950" s="40"/>
      <c r="B950" s="40"/>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0"/>
    </row>
    <row r="951">
      <c r="A951" s="40"/>
      <c r="B951" s="40"/>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0"/>
    </row>
    <row r="952">
      <c r="A952" s="40"/>
      <c r="B952" s="40"/>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0"/>
    </row>
    <row r="953">
      <c r="A953" s="40"/>
      <c r="B953" s="40"/>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0"/>
    </row>
    <row r="954">
      <c r="A954" s="40"/>
      <c r="B954" s="40"/>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0"/>
    </row>
    <row r="955">
      <c r="A955" s="40"/>
      <c r="B955" s="40"/>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0"/>
    </row>
    <row r="956">
      <c r="A956" s="40"/>
      <c r="B956" s="40"/>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0"/>
    </row>
    <row r="957">
      <c r="A957" s="40"/>
      <c r="B957" s="40"/>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0"/>
    </row>
    <row r="958">
      <c r="A958" s="40"/>
      <c r="B958" s="40"/>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0"/>
    </row>
    <row r="959">
      <c r="A959" s="40"/>
      <c r="B959" s="40"/>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0"/>
    </row>
    <row r="960">
      <c r="A960" s="40"/>
      <c r="B960" s="40"/>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0"/>
    </row>
    <row r="961">
      <c r="A961" s="40"/>
      <c r="B961" s="40"/>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0"/>
    </row>
    <row r="962">
      <c r="A962" s="40"/>
      <c r="B962" s="40"/>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0"/>
    </row>
    <row r="963">
      <c r="A963" s="40"/>
      <c r="B963" s="40"/>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0"/>
    </row>
    <row r="964">
      <c r="A964" s="40"/>
      <c r="B964" s="40"/>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0"/>
    </row>
    <row r="965">
      <c r="A965" s="40"/>
      <c r="B965" s="40"/>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0"/>
    </row>
    <row r="966">
      <c r="A966" s="40"/>
      <c r="B966" s="40"/>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0"/>
    </row>
    <row r="967">
      <c r="A967" s="40"/>
      <c r="B967" s="40"/>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0"/>
    </row>
    <row r="968">
      <c r="A968" s="40"/>
      <c r="B968" s="40"/>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0"/>
    </row>
    <row r="969">
      <c r="A969" s="40"/>
      <c r="B969" s="40"/>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0"/>
    </row>
    <row r="970">
      <c r="A970" s="40"/>
      <c r="B970" s="40"/>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0"/>
    </row>
    <row r="971">
      <c r="A971" s="40"/>
      <c r="B971" s="40"/>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0"/>
    </row>
    <row r="972">
      <c r="A972" s="40"/>
      <c r="B972" s="40"/>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0"/>
    </row>
    <row r="973">
      <c r="A973" s="40"/>
      <c r="B973" s="40"/>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0"/>
    </row>
    <row r="974">
      <c r="A974" s="40"/>
      <c r="B974" s="40"/>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0"/>
    </row>
    <row r="975">
      <c r="A975" s="40"/>
      <c r="B975" s="40"/>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0"/>
    </row>
    <row r="976">
      <c r="A976" s="40"/>
      <c r="B976" s="40"/>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0"/>
    </row>
    <row r="977">
      <c r="A977" s="40"/>
      <c r="B977" s="40"/>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0"/>
    </row>
    <row r="978">
      <c r="A978" s="40"/>
      <c r="B978" s="40"/>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0"/>
    </row>
    <row r="979">
      <c r="A979" s="40"/>
      <c r="B979" s="40"/>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0"/>
    </row>
    <row r="980">
      <c r="A980" s="40"/>
      <c r="B980" s="40"/>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0"/>
    </row>
    <row r="981">
      <c r="A981" s="40"/>
      <c r="B981" s="40"/>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0"/>
    </row>
    <row r="982">
      <c r="A982" s="40"/>
      <c r="B982" s="40"/>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0"/>
    </row>
    <row r="983">
      <c r="A983" s="40"/>
      <c r="B983" s="40"/>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0"/>
    </row>
    <row r="984">
      <c r="A984" s="40"/>
      <c r="B984" s="40"/>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0"/>
    </row>
    <row r="985">
      <c r="A985" s="40"/>
      <c r="B985" s="40"/>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0"/>
    </row>
    <row r="986">
      <c r="A986" s="40"/>
      <c r="B986" s="40"/>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0"/>
    </row>
    <row r="987">
      <c r="A987" s="40"/>
      <c r="B987" s="40"/>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0"/>
    </row>
    <row r="988">
      <c r="A988" s="40"/>
      <c r="B988" s="40"/>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0"/>
    </row>
    <row r="989">
      <c r="A989" s="40"/>
      <c r="B989" s="40"/>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0"/>
    </row>
    <row r="990">
      <c r="A990" s="40"/>
      <c r="B990" s="40"/>
      <c r="C990" s="40"/>
      <c r="D990" s="40"/>
      <c r="E990" s="40"/>
      <c r="F990" s="40"/>
      <c r="G990" s="40"/>
      <c r="H990" s="40"/>
      <c r="I990" s="40"/>
      <c r="J990" s="40"/>
      <c r="K990" s="40"/>
      <c r="L990" s="40"/>
      <c r="M990" s="40"/>
      <c r="N990" s="40"/>
      <c r="O990" s="40"/>
      <c r="P990" s="40"/>
      <c r="Q990" s="40"/>
      <c r="R990" s="40"/>
      <c r="S990" s="40"/>
      <c r="T990" s="40"/>
      <c r="U990" s="40"/>
      <c r="V990" s="40"/>
      <c r="W990" s="40"/>
      <c r="X990" s="40"/>
      <c r="Y990" s="40"/>
      <c r="Z990" s="40"/>
    </row>
    <row r="991">
      <c r="A991" s="40"/>
      <c r="B991" s="40"/>
      <c r="C991" s="40"/>
      <c r="D991" s="40"/>
      <c r="E991" s="40"/>
      <c r="F991" s="40"/>
      <c r="G991" s="40"/>
      <c r="H991" s="40"/>
      <c r="I991" s="40"/>
      <c r="J991" s="40"/>
      <c r="K991" s="40"/>
      <c r="L991" s="40"/>
      <c r="M991" s="40"/>
      <c r="N991" s="40"/>
      <c r="O991" s="40"/>
      <c r="P991" s="40"/>
      <c r="Q991" s="40"/>
      <c r="R991" s="40"/>
      <c r="S991" s="40"/>
      <c r="T991" s="40"/>
      <c r="U991" s="40"/>
      <c r="V991" s="40"/>
      <c r="W991" s="40"/>
      <c r="X991" s="40"/>
      <c r="Y991" s="40"/>
      <c r="Z991" s="40"/>
    </row>
    <row r="992">
      <c r="A992" s="40"/>
      <c r="B992" s="40"/>
      <c r="C992" s="40"/>
      <c r="D992" s="40"/>
      <c r="E992" s="40"/>
      <c r="F992" s="40"/>
      <c r="G992" s="40"/>
      <c r="H992" s="40"/>
      <c r="I992" s="40"/>
      <c r="J992" s="40"/>
      <c r="K992" s="40"/>
      <c r="L992" s="40"/>
      <c r="M992" s="40"/>
      <c r="N992" s="40"/>
      <c r="O992" s="40"/>
      <c r="P992" s="40"/>
      <c r="Q992" s="40"/>
      <c r="R992" s="40"/>
      <c r="S992" s="40"/>
      <c r="T992" s="40"/>
      <c r="U992" s="40"/>
      <c r="V992" s="40"/>
      <c r="W992" s="40"/>
      <c r="X992" s="40"/>
      <c r="Y992" s="40"/>
      <c r="Z992" s="40"/>
    </row>
    <row r="993">
      <c r="A993" s="40"/>
      <c r="B993" s="40"/>
      <c r="C993" s="40"/>
      <c r="D993" s="40"/>
      <c r="E993" s="40"/>
      <c r="F993" s="40"/>
      <c r="G993" s="40"/>
      <c r="H993" s="40"/>
      <c r="I993" s="40"/>
      <c r="J993" s="40"/>
      <c r="K993" s="40"/>
      <c r="L993" s="40"/>
      <c r="M993" s="40"/>
      <c r="N993" s="40"/>
      <c r="O993" s="40"/>
      <c r="P993" s="40"/>
      <c r="Q993" s="40"/>
      <c r="R993" s="40"/>
      <c r="S993" s="40"/>
      <c r="T993" s="40"/>
      <c r="U993" s="40"/>
      <c r="V993" s="40"/>
      <c r="W993" s="40"/>
      <c r="X993" s="40"/>
      <c r="Y993" s="40"/>
      <c r="Z993" s="40"/>
    </row>
    <row r="994">
      <c r="A994" s="40"/>
      <c r="B994" s="40"/>
      <c r="C994" s="40"/>
      <c r="D994" s="40"/>
      <c r="E994" s="40"/>
      <c r="F994" s="40"/>
      <c r="G994" s="40"/>
      <c r="H994" s="40"/>
      <c r="I994" s="40"/>
      <c r="J994" s="40"/>
      <c r="K994" s="40"/>
      <c r="L994" s="40"/>
      <c r="M994" s="40"/>
      <c r="N994" s="40"/>
      <c r="O994" s="40"/>
      <c r="P994" s="40"/>
      <c r="Q994" s="40"/>
      <c r="R994" s="40"/>
      <c r="S994" s="40"/>
      <c r="T994" s="40"/>
      <c r="U994" s="40"/>
      <c r="V994" s="40"/>
      <c r="W994" s="40"/>
      <c r="X994" s="40"/>
      <c r="Y994" s="40"/>
      <c r="Z994" s="40"/>
    </row>
    <row r="995">
      <c r="A995" s="40"/>
      <c r="B995" s="40"/>
      <c r="C995" s="40"/>
      <c r="D995" s="40"/>
      <c r="E995" s="40"/>
      <c r="F995" s="40"/>
      <c r="G995" s="40"/>
      <c r="H995" s="40"/>
      <c r="I995" s="40"/>
      <c r="J995" s="40"/>
      <c r="K995" s="40"/>
      <c r="L995" s="40"/>
      <c r="M995" s="40"/>
      <c r="N995" s="40"/>
      <c r="O995" s="40"/>
      <c r="P995" s="40"/>
      <c r="Q995" s="40"/>
      <c r="R995" s="40"/>
      <c r="S995" s="40"/>
      <c r="T995" s="40"/>
      <c r="U995" s="40"/>
      <c r="V995" s="40"/>
      <c r="W995" s="40"/>
      <c r="X995" s="40"/>
      <c r="Y995" s="40"/>
      <c r="Z995" s="40"/>
    </row>
    <row r="996">
      <c r="A996" s="40"/>
      <c r="B996" s="40"/>
      <c r="C996" s="40"/>
      <c r="D996" s="40"/>
      <c r="E996" s="40"/>
      <c r="F996" s="40"/>
      <c r="G996" s="40"/>
      <c r="H996" s="40"/>
      <c r="I996" s="40"/>
      <c r="J996" s="40"/>
      <c r="K996" s="40"/>
      <c r="L996" s="40"/>
      <c r="M996" s="40"/>
      <c r="N996" s="40"/>
      <c r="O996" s="40"/>
      <c r="P996" s="40"/>
      <c r="Q996" s="40"/>
      <c r="R996" s="40"/>
      <c r="S996" s="40"/>
      <c r="T996" s="40"/>
      <c r="U996" s="40"/>
      <c r="V996" s="40"/>
      <c r="W996" s="40"/>
      <c r="X996" s="40"/>
      <c r="Y996" s="40"/>
      <c r="Z996" s="40"/>
    </row>
    <row r="997">
      <c r="A997" s="40"/>
      <c r="B997" s="40"/>
      <c r="C997" s="40"/>
      <c r="D997" s="40"/>
      <c r="E997" s="40"/>
      <c r="F997" s="40"/>
      <c r="G997" s="40"/>
      <c r="H997" s="40"/>
      <c r="I997" s="40"/>
      <c r="J997" s="40"/>
      <c r="K997" s="40"/>
      <c r="L997" s="40"/>
      <c r="M997" s="40"/>
      <c r="N997" s="40"/>
      <c r="O997" s="40"/>
      <c r="P997" s="40"/>
      <c r="Q997" s="40"/>
      <c r="R997" s="40"/>
      <c r="S997" s="40"/>
      <c r="T997" s="40"/>
      <c r="U997" s="40"/>
      <c r="V997" s="40"/>
      <c r="W997" s="40"/>
      <c r="X997" s="40"/>
      <c r="Y997" s="40"/>
      <c r="Z997" s="40"/>
    </row>
    <row r="998">
      <c r="A998" s="40"/>
      <c r="B998" s="40"/>
      <c r="C998" s="40"/>
      <c r="D998" s="40"/>
      <c r="E998" s="40"/>
      <c r="F998" s="40"/>
      <c r="G998" s="40"/>
      <c r="H998" s="40"/>
      <c r="I998" s="40"/>
      <c r="J998" s="40"/>
      <c r="K998" s="40"/>
      <c r="L998" s="40"/>
      <c r="M998" s="40"/>
      <c r="N998" s="40"/>
      <c r="O998" s="40"/>
      <c r="P998" s="40"/>
      <c r="Q998" s="40"/>
      <c r="R998" s="40"/>
      <c r="S998" s="40"/>
      <c r="T998" s="40"/>
      <c r="U998" s="40"/>
      <c r="V998" s="40"/>
      <c r="W998" s="40"/>
      <c r="X998" s="40"/>
      <c r="Y998" s="40"/>
      <c r="Z998" s="40"/>
    </row>
    <row r="999">
      <c r="A999" s="40"/>
      <c r="B999" s="40"/>
      <c r="C999" s="40"/>
      <c r="D999" s="40"/>
      <c r="E999" s="40"/>
      <c r="F999" s="40"/>
      <c r="G999" s="40"/>
      <c r="H999" s="40"/>
      <c r="I999" s="40"/>
      <c r="J999" s="40"/>
      <c r="K999" s="40"/>
      <c r="L999" s="40"/>
      <c r="M999" s="40"/>
      <c r="N999" s="40"/>
      <c r="O999" s="40"/>
      <c r="P999" s="40"/>
      <c r="Q999" s="40"/>
      <c r="R999" s="40"/>
      <c r="S999" s="40"/>
      <c r="T999" s="40"/>
      <c r="U999" s="40"/>
      <c r="V999" s="40"/>
      <c r="W999" s="40"/>
      <c r="X999" s="40"/>
      <c r="Y999" s="40"/>
      <c r="Z999" s="40"/>
    </row>
    <row r="1000">
      <c r="A1000" s="40"/>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0"/>
      <c r="Y1000" s="40"/>
      <c r="Z1000" s="4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9.75"/>
  </cols>
  <sheetData>
    <row r="3">
      <c r="F3" s="293" t="s">
        <v>3880</v>
      </c>
    </row>
    <row r="5">
      <c r="F5" s="26" t="s">
        <v>3881</v>
      </c>
    </row>
    <row r="6">
      <c r="G6" s="26" t="s">
        <v>3882</v>
      </c>
    </row>
    <row r="7">
      <c r="G7" s="26" t="s">
        <v>3883</v>
      </c>
    </row>
    <row r="8">
      <c r="G8" s="26" t="s">
        <v>3884</v>
      </c>
    </row>
    <row r="9">
      <c r="G9" s="26" t="s">
        <v>3885</v>
      </c>
    </row>
    <row r="10">
      <c r="G10" s="26" t="s">
        <v>3886</v>
      </c>
    </row>
    <row r="11">
      <c r="G11" s="26" t="s">
        <v>3887</v>
      </c>
      <c r="H11" s="26" t="s">
        <v>3888</v>
      </c>
      <c r="I11" s="26" t="s">
        <v>3889</v>
      </c>
    </row>
    <row r="12">
      <c r="G12" s="26" t="s">
        <v>3887</v>
      </c>
      <c r="H12" s="26" t="s">
        <v>3888</v>
      </c>
      <c r="I12" s="26" t="s">
        <v>3890</v>
      </c>
    </row>
    <row r="13">
      <c r="G13" s="26" t="s">
        <v>3887</v>
      </c>
      <c r="H13" s="26" t="s">
        <v>3888</v>
      </c>
      <c r="I13" s="26" t="s">
        <v>3891</v>
      </c>
    </row>
    <row r="14">
      <c r="G14" s="26" t="s">
        <v>3887</v>
      </c>
      <c r="H14" s="26" t="s">
        <v>3892</v>
      </c>
      <c r="I14" s="26" t="s">
        <v>3893</v>
      </c>
    </row>
    <row r="15">
      <c r="G15" s="26" t="s">
        <v>3887</v>
      </c>
      <c r="H15" s="26" t="s">
        <v>3892</v>
      </c>
      <c r="I15" s="26" t="s">
        <v>3894</v>
      </c>
    </row>
    <row r="16">
      <c r="G16" s="26" t="s">
        <v>3887</v>
      </c>
      <c r="H16" s="26" t="s">
        <v>3892</v>
      </c>
      <c r="I16" s="26" t="s">
        <v>3895</v>
      </c>
    </row>
    <row r="17">
      <c r="G17" s="26"/>
    </row>
    <row r="18">
      <c r="G18" s="26"/>
    </row>
    <row r="19">
      <c r="G19" s="26"/>
    </row>
    <row r="20">
      <c r="G20" s="26"/>
    </row>
    <row r="21">
      <c r="G21" s="26"/>
    </row>
    <row r="22">
      <c r="G22" s="26"/>
    </row>
    <row r="23">
      <c r="G23" s="26" t="s">
        <v>3896</v>
      </c>
    </row>
    <row r="24">
      <c r="G24" s="26" t="s">
        <v>3897</v>
      </c>
    </row>
    <row r="25">
      <c r="G25" s="26" t="s">
        <v>3898</v>
      </c>
    </row>
    <row r="26">
      <c r="F26" s="26" t="s">
        <v>3899</v>
      </c>
    </row>
    <row r="27">
      <c r="F27" s="26" t="s">
        <v>3900</v>
      </c>
    </row>
    <row r="28">
      <c r="F28" s="26" t="s">
        <v>3901</v>
      </c>
    </row>
    <row r="29">
      <c r="F29" s="26" t="s">
        <v>3902</v>
      </c>
    </row>
    <row r="30">
      <c r="F30" s="26" t="s">
        <v>3903</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88"/>
    <col customWidth="1" min="5" max="5" width="103.13"/>
    <col customWidth="1" min="6" max="6" width="49.63"/>
    <col customWidth="1" min="7" max="7" width="48.88"/>
  </cols>
  <sheetData>
    <row r="2">
      <c r="D2" s="331" t="s">
        <v>0</v>
      </c>
      <c r="E2" s="331" t="s">
        <v>3885</v>
      </c>
      <c r="F2" s="331" t="s">
        <v>133</v>
      </c>
      <c r="G2" s="331" t="s">
        <v>3904</v>
      </c>
    </row>
    <row r="3">
      <c r="D3" s="332">
        <v>1.0</v>
      </c>
      <c r="E3" s="332" t="s">
        <v>3905</v>
      </c>
      <c r="F3" s="332" t="s">
        <v>3906</v>
      </c>
      <c r="G3" s="299" t="s">
        <v>3907</v>
      </c>
    </row>
    <row r="4">
      <c r="D4" s="332">
        <v>2.0</v>
      </c>
      <c r="E4" s="332" t="s">
        <v>3908</v>
      </c>
      <c r="F4" s="332" t="s">
        <v>3909</v>
      </c>
      <c r="G4" s="333" t="s">
        <v>3908</v>
      </c>
    </row>
    <row r="5">
      <c r="D5" s="332">
        <v>3.0</v>
      </c>
      <c r="E5" s="332" t="s">
        <v>3910</v>
      </c>
      <c r="F5" s="332" t="s">
        <v>3906</v>
      </c>
      <c r="G5" s="299" t="s">
        <v>3911</v>
      </c>
    </row>
    <row r="6">
      <c r="D6" s="332">
        <v>4.0</v>
      </c>
      <c r="E6" s="332" t="s">
        <v>3912</v>
      </c>
      <c r="F6" s="332" t="s">
        <v>3906</v>
      </c>
      <c r="G6" s="299" t="s">
        <v>3907</v>
      </c>
    </row>
    <row r="7">
      <c r="D7" s="332">
        <v>5.0</v>
      </c>
      <c r="E7" s="332" t="s">
        <v>3913</v>
      </c>
      <c r="F7" s="332" t="s">
        <v>3906</v>
      </c>
      <c r="G7" s="299" t="s">
        <v>3907</v>
      </c>
    </row>
    <row r="8">
      <c r="D8" s="332">
        <v>6.0</v>
      </c>
      <c r="E8" s="332" t="s">
        <v>3914</v>
      </c>
      <c r="F8" s="332" t="s">
        <v>3915</v>
      </c>
      <c r="G8" s="299"/>
    </row>
    <row r="9">
      <c r="D9" s="332">
        <v>7.0</v>
      </c>
      <c r="E9" s="332" t="s">
        <v>3916</v>
      </c>
      <c r="F9" s="332" t="s">
        <v>3906</v>
      </c>
      <c r="G9" s="299" t="s">
        <v>3907</v>
      </c>
    </row>
    <row r="10">
      <c r="D10" s="332">
        <v>8.0</v>
      </c>
      <c r="E10" s="332" t="s">
        <v>3917</v>
      </c>
      <c r="F10" s="332" t="s">
        <v>3906</v>
      </c>
      <c r="G10" s="334" t="s">
        <v>3918</v>
      </c>
    </row>
    <row r="11">
      <c r="D11" s="332">
        <v>9.0</v>
      </c>
      <c r="E11" s="332" t="s">
        <v>3919</v>
      </c>
      <c r="F11" s="332" t="s">
        <v>3906</v>
      </c>
      <c r="G11" s="334" t="s">
        <v>3918</v>
      </c>
    </row>
    <row r="12">
      <c r="D12" s="332">
        <v>10.0</v>
      </c>
      <c r="E12" s="332" t="s">
        <v>3920</v>
      </c>
      <c r="F12" s="332" t="s">
        <v>3906</v>
      </c>
      <c r="G12" s="299" t="s">
        <v>3911</v>
      </c>
    </row>
    <row r="13">
      <c r="D13" s="332">
        <v>11.0</v>
      </c>
      <c r="E13" s="332" t="s">
        <v>3921</v>
      </c>
      <c r="F13" s="332" t="s">
        <v>3915</v>
      </c>
      <c r="G13" s="299"/>
    </row>
    <row r="14">
      <c r="D14" s="332">
        <v>12.0</v>
      </c>
      <c r="E14" s="332" t="s">
        <v>3922</v>
      </c>
      <c r="F14" s="332" t="s">
        <v>3915</v>
      </c>
      <c r="G14" s="299"/>
    </row>
    <row r="15">
      <c r="D15" s="332">
        <v>13.0</v>
      </c>
      <c r="E15" s="332" t="s">
        <v>3923</v>
      </c>
      <c r="F15" s="332" t="s">
        <v>3915</v>
      </c>
      <c r="G15" s="299"/>
    </row>
    <row r="16">
      <c r="D16" s="332">
        <v>14.0</v>
      </c>
      <c r="E16" s="332" t="s">
        <v>3924</v>
      </c>
      <c r="F16" s="332" t="s">
        <v>3906</v>
      </c>
      <c r="G16" s="299" t="s">
        <v>3925</v>
      </c>
    </row>
    <row r="17">
      <c r="D17" s="332">
        <v>15.0</v>
      </c>
      <c r="E17" s="332" t="s">
        <v>3926</v>
      </c>
      <c r="F17" s="332" t="s">
        <v>3906</v>
      </c>
      <c r="G17" s="299" t="s">
        <v>3925</v>
      </c>
    </row>
    <row r="18">
      <c r="D18" s="332">
        <v>16.0</v>
      </c>
      <c r="E18" s="332" t="s">
        <v>3927</v>
      </c>
      <c r="F18" s="332" t="s">
        <v>3906</v>
      </c>
      <c r="G18" s="299" t="s">
        <v>3925</v>
      </c>
    </row>
    <row r="19">
      <c r="D19" s="332">
        <v>17.0</v>
      </c>
      <c r="E19" s="332" t="s">
        <v>3928</v>
      </c>
      <c r="F19" s="332" t="s">
        <v>3906</v>
      </c>
      <c r="G19" s="299" t="s">
        <v>3928</v>
      </c>
    </row>
    <row r="20">
      <c r="D20" s="332">
        <v>18.0</v>
      </c>
      <c r="E20" s="332" t="s">
        <v>3929</v>
      </c>
      <c r="F20" s="332" t="s">
        <v>3906</v>
      </c>
      <c r="G20" s="299" t="s">
        <v>3930</v>
      </c>
    </row>
    <row r="21">
      <c r="D21" s="332">
        <v>19.0</v>
      </c>
      <c r="E21" s="332" t="s">
        <v>3931</v>
      </c>
      <c r="F21" s="332" t="s">
        <v>3906</v>
      </c>
      <c r="G21" s="299" t="s">
        <v>3932</v>
      </c>
    </row>
    <row r="22">
      <c r="D22" s="332">
        <v>20.0</v>
      </c>
      <c r="E22" s="332" t="s">
        <v>3933</v>
      </c>
      <c r="F22" s="332" t="s">
        <v>3906</v>
      </c>
      <c r="G22" s="299" t="s">
        <v>3934</v>
      </c>
    </row>
    <row r="23">
      <c r="D23" s="332">
        <v>21.0</v>
      </c>
      <c r="E23" s="332" t="s">
        <v>3935</v>
      </c>
      <c r="F23" s="332" t="s">
        <v>3906</v>
      </c>
      <c r="G23" s="299" t="s">
        <v>3934</v>
      </c>
    </row>
    <row r="24">
      <c r="D24" s="332">
        <v>22.0</v>
      </c>
      <c r="E24" s="332" t="s">
        <v>3936</v>
      </c>
      <c r="F24" s="332" t="s">
        <v>3906</v>
      </c>
      <c r="G24" s="299" t="s">
        <v>3934</v>
      </c>
    </row>
    <row r="25">
      <c r="D25" s="332">
        <v>23.0</v>
      </c>
      <c r="E25" s="332" t="s">
        <v>3937</v>
      </c>
      <c r="F25" s="332" t="s">
        <v>3906</v>
      </c>
      <c r="G25" s="299" t="s">
        <v>3938</v>
      </c>
    </row>
    <row r="26">
      <c r="D26" s="332">
        <v>24.0</v>
      </c>
      <c r="E26" s="332" t="s">
        <v>3939</v>
      </c>
      <c r="F26" s="332" t="s">
        <v>3906</v>
      </c>
      <c r="G26" s="299" t="s">
        <v>3938</v>
      </c>
    </row>
    <row r="27">
      <c r="D27" s="332">
        <v>25.0</v>
      </c>
      <c r="E27" s="332" t="s">
        <v>3940</v>
      </c>
      <c r="F27" s="332" t="s">
        <v>3906</v>
      </c>
      <c r="G27" s="299" t="s">
        <v>3938</v>
      </c>
    </row>
    <row r="28">
      <c r="D28" s="332">
        <v>26.0</v>
      </c>
      <c r="E28" s="332" t="s">
        <v>3941</v>
      </c>
      <c r="F28" s="332" t="s">
        <v>3906</v>
      </c>
      <c r="G28" s="299" t="s">
        <v>3938</v>
      </c>
    </row>
    <row r="29">
      <c r="D29" s="332">
        <v>27.0</v>
      </c>
      <c r="E29" s="332" t="s">
        <v>3942</v>
      </c>
      <c r="F29" s="332" t="s">
        <v>3906</v>
      </c>
      <c r="G29" s="299" t="s">
        <v>3938</v>
      </c>
    </row>
    <row r="30">
      <c r="D30" s="332">
        <v>28.0</v>
      </c>
      <c r="E30" s="332" t="s">
        <v>3943</v>
      </c>
      <c r="F30" s="332" t="s">
        <v>3906</v>
      </c>
      <c r="G30" s="299" t="s">
        <v>3938</v>
      </c>
    </row>
    <row r="31">
      <c r="D31" s="332">
        <v>29.0</v>
      </c>
      <c r="E31" s="332" t="s">
        <v>3944</v>
      </c>
      <c r="F31" s="332" t="s">
        <v>3906</v>
      </c>
      <c r="G31" s="299" t="s">
        <v>3938</v>
      </c>
    </row>
    <row r="32">
      <c r="D32" s="332">
        <v>30.0</v>
      </c>
      <c r="E32" s="332" t="s">
        <v>3945</v>
      </c>
      <c r="F32" s="332" t="s">
        <v>3909</v>
      </c>
      <c r="G32" s="299"/>
    </row>
    <row r="33">
      <c r="D33" s="332">
        <v>31.0</v>
      </c>
      <c r="E33" s="332" t="s">
        <v>3946</v>
      </c>
      <c r="F33" s="332" t="s">
        <v>3909</v>
      </c>
      <c r="G33" s="299"/>
    </row>
    <row r="34">
      <c r="D34" s="332">
        <v>32.0</v>
      </c>
      <c r="E34" s="332" t="s">
        <v>3947</v>
      </c>
      <c r="F34" s="332" t="s">
        <v>3909</v>
      </c>
      <c r="G34" s="299"/>
    </row>
    <row r="35">
      <c r="D35" s="332">
        <v>33.0</v>
      </c>
      <c r="E35" s="332" t="s">
        <v>3948</v>
      </c>
      <c r="F35" s="332" t="s">
        <v>3909</v>
      </c>
      <c r="G35" s="299"/>
    </row>
    <row r="36">
      <c r="D36" s="332">
        <v>34.0</v>
      </c>
      <c r="E36" s="332" t="s">
        <v>3949</v>
      </c>
      <c r="F36" s="332" t="s">
        <v>3909</v>
      </c>
      <c r="G36" s="299"/>
    </row>
    <row r="37">
      <c r="D37" s="332">
        <v>35.0</v>
      </c>
      <c r="E37" s="332" t="s">
        <v>3950</v>
      </c>
      <c r="F37" s="332" t="s">
        <v>3906</v>
      </c>
      <c r="G37" s="299"/>
    </row>
    <row r="38">
      <c r="D38" s="332">
        <v>36.0</v>
      </c>
      <c r="E38" s="332" t="s">
        <v>3951</v>
      </c>
      <c r="F38" s="332" t="s">
        <v>3909</v>
      </c>
      <c r="G38" s="299"/>
    </row>
    <row r="39">
      <c r="D39" s="332">
        <v>37.0</v>
      </c>
      <c r="E39" s="332" t="s">
        <v>3952</v>
      </c>
      <c r="F39" s="332" t="s">
        <v>3909</v>
      </c>
      <c r="G39" s="299"/>
    </row>
    <row r="40">
      <c r="D40" s="332">
        <v>38.0</v>
      </c>
      <c r="E40" s="332" t="s">
        <v>3953</v>
      </c>
      <c r="F40" s="332" t="s">
        <v>3909</v>
      </c>
      <c r="G40" s="299"/>
    </row>
    <row r="41">
      <c r="D41" s="332">
        <v>39.0</v>
      </c>
      <c r="E41" s="332" t="s">
        <v>3954</v>
      </c>
      <c r="F41" s="332" t="s">
        <v>3909</v>
      </c>
      <c r="G41" s="299"/>
    </row>
    <row r="42">
      <c r="D42" s="332">
        <v>40.0</v>
      </c>
      <c r="E42" s="332" t="s">
        <v>3955</v>
      </c>
      <c r="F42" s="332" t="s">
        <v>3909</v>
      </c>
      <c r="G42" s="299"/>
    </row>
    <row r="43">
      <c r="D43" s="332">
        <v>41.0</v>
      </c>
      <c r="E43" s="332" t="s">
        <v>3956</v>
      </c>
      <c r="F43" s="332" t="s">
        <v>3909</v>
      </c>
      <c r="G43" s="299"/>
    </row>
    <row r="44">
      <c r="D44" s="332">
        <v>42.0</v>
      </c>
      <c r="E44" s="332" t="s">
        <v>3957</v>
      </c>
      <c r="F44" s="332" t="s">
        <v>3909</v>
      </c>
      <c r="G44" s="299"/>
    </row>
    <row r="45">
      <c r="D45" s="332">
        <v>43.0</v>
      </c>
      <c r="E45" s="332" t="s">
        <v>3958</v>
      </c>
      <c r="F45" s="332" t="s">
        <v>3909</v>
      </c>
      <c r="G45" s="299"/>
    </row>
    <row r="46">
      <c r="D46" s="332">
        <v>44.0</v>
      </c>
      <c r="E46" s="332" t="s">
        <v>3959</v>
      </c>
      <c r="F46" s="332" t="s">
        <v>3909</v>
      </c>
      <c r="G46" s="299"/>
    </row>
    <row r="47">
      <c r="D47" s="332">
        <v>45.0</v>
      </c>
      <c r="E47" s="332" t="s">
        <v>3960</v>
      </c>
      <c r="F47" s="332" t="s">
        <v>3909</v>
      </c>
      <c r="G47" s="299"/>
    </row>
    <row r="48">
      <c r="D48" s="332">
        <v>46.0</v>
      </c>
      <c r="E48" s="332" t="s">
        <v>3961</v>
      </c>
      <c r="F48" s="332" t="s">
        <v>3909</v>
      </c>
      <c r="G48" s="299"/>
    </row>
    <row r="49">
      <c r="D49" s="332">
        <v>47.0</v>
      </c>
      <c r="E49" s="332" t="s">
        <v>3962</v>
      </c>
      <c r="F49" s="332" t="s">
        <v>3909</v>
      </c>
      <c r="G49" s="299"/>
    </row>
    <row r="50">
      <c r="D50" s="332">
        <v>48.0</v>
      </c>
      <c r="E50" s="332" t="s">
        <v>3963</v>
      </c>
      <c r="F50" s="332" t="s">
        <v>3909</v>
      </c>
      <c r="G50" s="299"/>
    </row>
    <row r="51">
      <c r="D51" s="332">
        <v>49.0</v>
      </c>
      <c r="E51" s="332" t="s">
        <v>3964</v>
      </c>
      <c r="F51" s="332" t="s">
        <v>3909</v>
      </c>
      <c r="G51" s="299"/>
    </row>
    <row r="52">
      <c r="D52" s="332">
        <v>50.0</v>
      </c>
      <c r="E52" s="332" t="s">
        <v>3965</v>
      </c>
      <c r="F52" s="332" t="s">
        <v>3909</v>
      </c>
      <c r="G52" s="299"/>
    </row>
    <row r="53">
      <c r="D53" s="332">
        <v>51.0</v>
      </c>
      <c r="E53" s="332" t="s">
        <v>3966</v>
      </c>
      <c r="F53" s="332" t="s">
        <v>3909</v>
      </c>
      <c r="G53" s="299"/>
    </row>
    <row r="54">
      <c r="D54" s="332">
        <v>52.0</v>
      </c>
      <c r="E54" s="332" t="s">
        <v>3967</v>
      </c>
      <c r="F54" s="332" t="s">
        <v>3909</v>
      </c>
      <c r="G54" s="299"/>
    </row>
    <row r="55">
      <c r="D55" s="332">
        <v>53.0</v>
      </c>
      <c r="E55" s="332" t="s">
        <v>3968</v>
      </c>
      <c r="F55" s="332" t="s">
        <v>3909</v>
      </c>
      <c r="G55" s="299"/>
    </row>
    <row r="56">
      <c r="D56" s="332">
        <v>54.0</v>
      </c>
      <c r="E56" s="332" t="s">
        <v>3969</v>
      </c>
      <c r="F56" s="332" t="s">
        <v>3909</v>
      </c>
      <c r="G56" s="299"/>
    </row>
    <row r="57">
      <c r="D57" s="332">
        <v>55.0</v>
      </c>
      <c r="E57" s="332" t="s">
        <v>3970</v>
      </c>
      <c r="F57" s="332" t="s">
        <v>3909</v>
      </c>
      <c r="G57" s="299"/>
    </row>
    <row r="58">
      <c r="D58" s="332">
        <v>56.0</v>
      </c>
      <c r="E58" s="332" t="s">
        <v>3971</v>
      </c>
      <c r="F58" s="332" t="s">
        <v>3909</v>
      </c>
      <c r="G58" s="299"/>
    </row>
    <row r="59">
      <c r="D59" s="332">
        <v>57.0</v>
      </c>
      <c r="E59" s="332" t="s">
        <v>3972</v>
      </c>
      <c r="F59" s="332" t="s">
        <v>3909</v>
      </c>
      <c r="G59" s="299"/>
    </row>
    <row r="60">
      <c r="D60" s="332">
        <v>58.0</v>
      </c>
      <c r="E60" s="332" t="s">
        <v>3973</v>
      </c>
      <c r="F60" s="332" t="s">
        <v>3909</v>
      </c>
      <c r="G60" s="299"/>
    </row>
    <row r="61">
      <c r="D61" s="332">
        <v>59.0</v>
      </c>
      <c r="E61" s="332" t="s">
        <v>3974</v>
      </c>
      <c r="F61" s="332" t="s">
        <v>3909</v>
      </c>
      <c r="G61" s="299"/>
    </row>
    <row r="62">
      <c r="D62" s="332">
        <v>60.0</v>
      </c>
      <c r="E62" s="332" t="s">
        <v>3975</v>
      </c>
      <c r="F62" s="332" t="s">
        <v>3909</v>
      </c>
      <c r="G62" s="299"/>
    </row>
    <row r="63">
      <c r="D63" s="332">
        <v>61.0</v>
      </c>
      <c r="E63" s="332" t="s">
        <v>3976</v>
      </c>
      <c r="F63" s="332" t="s">
        <v>3909</v>
      </c>
      <c r="G63" s="299"/>
    </row>
    <row r="64">
      <c r="D64" s="332">
        <v>62.0</v>
      </c>
      <c r="E64" s="332" t="s">
        <v>3977</v>
      </c>
      <c r="F64" s="332" t="s">
        <v>3909</v>
      </c>
      <c r="G64" s="299"/>
    </row>
    <row r="65">
      <c r="D65" s="332">
        <v>63.0</v>
      </c>
      <c r="E65" s="332" t="s">
        <v>3978</v>
      </c>
      <c r="F65" s="332" t="s">
        <v>3909</v>
      </c>
      <c r="G65" s="299"/>
    </row>
    <row r="66">
      <c r="D66" s="332">
        <v>64.0</v>
      </c>
      <c r="E66" s="332" t="s">
        <v>3979</v>
      </c>
      <c r="F66" s="332" t="s">
        <v>3909</v>
      </c>
      <c r="G66" s="299"/>
    </row>
    <row r="67">
      <c r="D67" s="332">
        <v>65.0</v>
      </c>
      <c r="E67" s="332" t="s">
        <v>3980</v>
      </c>
      <c r="F67" s="332" t="s">
        <v>3909</v>
      </c>
      <c r="G67" s="299"/>
    </row>
    <row r="68">
      <c r="D68" s="332">
        <v>66.0</v>
      </c>
      <c r="E68" s="332" t="s">
        <v>3981</v>
      </c>
      <c r="F68" s="332" t="s">
        <v>3909</v>
      </c>
      <c r="G68" s="299"/>
    </row>
    <row r="69">
      <c r="D69" s="332">
        <v>67.0</v>
      </c>
      <c r="E69" s="332" t="s">
        <v>3982</v>
      </c>
      <c r="F69" s="332" t="s">
        <v>3909</v>
      </c>
      <c r="G69" s="299"/>
    </row>
    <row r="70">
      <c r="D70" s="332">
        <v>68.0</v>
      </c>
      <c r="E70" s="332" t="s">
        <v>3983</v>
      </c>
      <c r="F70" s="332" t="s">
        <v>3909</v>
      </c>
      <c r="G70" s="299"/>
    </row>
    <row r="71">
      <c r="D71" s="332">
        <v>69.0</v>
      </c>
      <c r="E71" s="332" t="s">
        <v>3984</v>
      </c>
      <c r="F71" s="332" t="s">
        <v>3915</v>
      </c>
      <c r="G71" s="299" t="s">
        <v>3985</v>
      </c>
    </row>
    <row r="72">
      <c r="D72" s="332">
        <v>70.0</v>
      </c>
      <c r="E72" s="332" t="s">
        <v>3986</v>
      </c>
      <c r="F72" s="332" t="s">
        <v>3915</v>
      </c>
      <c r="G72" s="299" t="s">
        <v>3985</v>
      </c>
    </row>
    <row r="73">
      <c r="D73" s="332">
        <v>71.0</v>
      </c>
      <c r="E73" s="332" t="s">
        <v>3987</v>
      </c>
      <c r="F73" s="332" t="s">
        <v>3915</v>
      </c>
      <c r="G73" s="299" t="s">
        <v>3985</v>
      </c>
    </row>
    <row r="74">
      <c r="D74" s="332">
        <v>72.0</v>
      </c>
      <c r="E74" s="332" t="s">
        <v>3988</v>
      </c>
      <c r="F74" s="332" t="s">
        <v>3915</v>
      </c>
      <c r="G74" s="299" t="s">
        <v>3985</v>
      </c>
    </row>
    <row r="75">
      <c r="D75" s="332">
        <v>73.0</v>
      </c>
      <c r="E75" s="332" t="s">
        <v>3989</v>
      </c>
      <c r="F75" s="332" t="s">
        <v>3915</v>
      </c>
      <c r="G75" s="299" t="s">
        <v>3985</v>
      </c>
    </row>
    <row r="76">
      <c r="D76" s="335">
        <v>74.0</v>
      </c>
      <c r="E76" s="335" t="s">
        <v>3990</v>
      </c>
      <c r="F76" s="335" t="s">
        <v>3915</v>
      </c>
      <c r="G76" s="299" t="s">
        <v>3985</v>
      </c>
    </row>
    <row r="77">
      <c r="D77" s="332">
        <v>75.0</v>
      </c>
      <c r="E77" s="332" t="s">
        <v>3991</v>
      </c>
      <c r="F77" s="299"/>
      <c r="G77" s="299"/>
    </row>
    <row r="78">
      <c r="D78" s="332">
        <v>76.0</v>
      </c>
      <c r="E78" s="332" t="s">
        <v>97</v>
      </c>
      <c r="F78" s="299"/>
      <c r="G78" s="299"/>
    </row>
    <row r="79">
      <c r="D79" s="332">
        <v>77.0</v>
      </c>
      <c r="E79" s="332" t="s">
        <v>3930</v>
      </c>
      <c r="F79" s="299"/>
      <c r="G79" s="299" t="s">
        <v>3930</v>
      </c>
    </row>
    <row r="80">
      <c r="D80" s="332">
        <v>78.0</v>
      </c>
      <c r="E80" s="332" t="s">
        <v>3992</v>
      </c>
      <c r="F80" s="299"/>
      <c r="G80" s="299"/>
    </row>
    <row r="81">
      <c r="D81" s="332">
        <v>79.0</v>
      </c>
      <c r="E81" s="332" t="s">
        <v>3993</v>
      </c>
      <c r="F81" s="299"/>
      <c r="G81" s="299"/>
    </row>
    <row r="82">
      <c r="D82" s="332">
        <v>80.0</v>
      </c>
      <c r="E82" s="332" t="s">
        <v>3994</v>
      </c>
      <c r="F82" s="299"/>
      <c r="G82" s="299"/>
    </row>
    <row r="83">
      <c r="D83" s="332">
        <v>81.0</v>
      </c>
      <c r="E83" s="332" t="s">
        <v>3995</v>
      </c>
      <c r="F83" s="299"/>
      <c r="G83" s="299"/>
    </row>
    <row r="84">
      <c r="D84" s="332">
        <v>82.0</v>
      </c>
      <c r="E84" s="332" t="s">
        <v>3996</v>
      </c>
      <c r="F84" s="299"/>
      <c r="G84" s="299"/>
    </row>
    <row r="85">
      <c r="D85" s="332">
        <v>83.0</v>
      </c>
      <c r="E85" s="332" t="s">
        <v>3997</v>
      </c>
      <c r="F85" s="299"/>
      <c r="G85" s="299"/>
    </row>
    <row r="86">
      <c r="D86" s="332">
        <v>84.0</v>
      </c>
      <c r="E86" s="332" t="s">
        <v>3998</v>
      </c>
      <c r="F86" s="299"/>
      <c r="G86" s="299"/>
    </row>
    <row r="87">
      <c r="D87" s="332">
        <v>85.0</v>
      </c>
      <c r="E87" s="332" t="s">
        <v>3999</v>
      </c>
      <c r="F87" s="299"/>
      <c r="G87" s="299"/>
    </row>
    <row r="88">
      <c r="D88" s="332">
        <v>86.0</v>
      </c>
      <c r="E88" s="332" t="s">
        <v>4000</v>
      </c>
      <c r="F88" s="299"/>
      <c r="G88" s="299"/>
    </row>
    <row r="89">
      <c r="D89" s="332">
        <v>87.0</v>
      </c>
      <c r="E89" s="332" t="s">
        <v>4001</v>
      </c>
      <c r="F89" s="299"/>
      <c r="G89" s="299"/>
    </row>
    <row r="90">
      <c r="D90" s="332">
        <v>88.0</v>
      </c>
      <c r="E90" s="332" t="s">
        <v>4002</v>
      </c>
      <c r="F90" s="299"/>
      <c r="G90" s="299"/>
    </row>
    <row r="91">
      <c r="D91" s="332">
        <v>89.0</v>
      </c>
      <c r="E91" s="332" t="s">
        <v>4003</v>
      </c>
      <c r="F91" s="299"/>
      <c r="G91" s="299"/>
    </row>
    <row r="92">
      <c r="D92" s="332">
        <v>90.0</v>
      </c>
      <c r="E92" s="332" t="s">
        <v>4004</v>
      </c>
      <c r="F92" s="299"/>
      <c r="G92" s="299"/>
    </row>
    <row r="93">
      <c r="D93" s="332">
        <v>91.0</v>
      </c>
      <c r="E93" s="332" t="s">
        <v>4005</v>
      </c>
      <c r="F93" s="299"/>
      <c r="G93" s="299"/>
    </row>
    <row r="94">
      <c r="D94" s="332">
        <v>92.0</v>
      </c>
      <c r="E94" s="332" t="s">
        <v>4006</v>
      </c>
      <c r="F94" s="299"/>
      <c r="G94" s="299"/>
    </row>
    <row r="95">
      <c r="D95" s="332">
        <v>93.0</v>
      </c>
      <c r="E95" s="332" t="s">
        <v>4007</v>
      </c>
      <c r="F95" s="299"/>
      <c r="G95" s="299"/>
    </row>
    <row r="96">
      <c r="D96" s="332">
        <v>94.0</v>
      </c>
      <c r="E96" s="332" t="s">
        <v>4008</v>
      </c>
      <c r="F96" s="299"/>
      <c r="G96" s="299"/>
    </row>
    <row r="97">
      <c r="D97" s="332">
        <v>95.0</v>
      </c>
      <c r="E97" s="332" t="s">
        <v>4009</v>
      </c>
      <c r="F97" s="299"/>
      <c r="G97" s="299"/>
    </row>
    <row r="98">
      <c r="D98" s="332">
        <v>96.0</v>
      </c>
      <c r="E98" s="332" t="s">
        <v>4010</v>
      </c>
      <c r="F98" s="299"/>
      <c r="G98" s="299"/>
    </row>
    <row r="99">
      <c r="D99" s="332">
        <v>97.0</v>
      </c>
      <c r="E99" s="332" t="s">
        <v>4011</v>
      </c>
      <c r="F99" s="299"/>
      <c r="G99" s="299"/>
    </row>
    <row r="100">
      <c r="D100" s="332">
        <v>98.0</v>
      </c>
      <c r="E100" s="332" t="s">
        <v>4012</v>
      </c>
      <c r="F100" s="299"/>
      <c r="G100" s="299"/>
    </row>
    <row r="101">
      <c r="D101" s="332">
        <v>99.0</v>
      </c>
      <c r="E101" s="332" t="s">
        <v>4013</v>
      </c>
      <c r="F101" s="332" t="s">
        <v>4014</v>
      </c>
      <c r="G101" s="299"/>
    </row>
    <row r="102">
      <c r="D102" s="332">
        <v>100.0</v>
      </c>
      <c r="E102" s="332" t="s">
        <v>4015</v>
      </c>
      <c r="F102" s="299"/>
      <c r="G102" s="299"/>
    </row>
    <row r="103">
      <c r="D103" s="332">
        <v>101.0</v>
      </c>
      <c r="E103" s="332" t="s">
        <v>4016</v>
      </c>
      <c r="F103" s="299"/>
      <c r="G103" s="299"/>
    </row>
    <row r="104">
      <c r="D104" s="332">
        <v>102.0</v>
      </c>
      <c r="E104" s="332" t="s">
        <v>4017</v>
      </c>
      <c r="F104" s="299"/>
      <c r="G104" s="299"/>
    </row>
    <row r="105">
      <c r="D105" s="332">
        <v>103.0</v>
      </c>
      <c r="E105" s="332" t="s">
        <v>4018</v>
      </c>
      <c r="F105" s="299"/>
      <c r="G105" s="299"/>
    </row>
    <row r="106">
      <c r="D106" s="332">
        <v>104.0</v>
      </c>
      <c r="E106" s="332" t="s">
        <v>4019</v>
      </c>
      <c r="F106" s="299"/>
      <c r="G106" s="299"/>
    </row>
    <row r="107">
      <c r="D107" s="332">
        <v>105.0</v>
      </c>
      <c r="E107" s="332" t="s">
        <v>4020</v>
      </c>
      <c r="F107" s="299"/>
      <c r="G107" s="299"/>
    </row>
    <row r="108">
      <c r="D108" s="332">
        <v>106.0</v>
      </c>
      <c r="E108" s="332" t="s">
        <v>4021</v>
      </c>
      <c r="F108" s="299"/>
      <c r="G108" s="299"/>
    </row>
    <row r="109">
      <c r="D109" s="332">
        <v>107.0</v>
      </c>
      <c r="E109" s="332" t="s">
        <v>4022</v>
      </c>
      <c r="F109" s="299"/>
      <c r="G109" s="299"/>
    </row>
    <row r="110">
      <c r="D110" s="332">
        <v>108.0</v>
      </c>
      <c r="E110" s="332" t="s">
        <v>4023</v>
      </c>
      <c r="F110" s="299"/>
      <c r="G110" s="299"/>
    </row>
    <row r="111">
      <c r="D111" s="332">
        <v>109.0</v>
      </c>
      <c r="E111" s="332" t="s">
        <v>4024</v>
      </c>
      <c r="F111" s="299"/>
      <c r="G111" s="299"/>
    </row>
    <row r="112">
      <c r="D112" s="332">
        <v>110.0</v>
      </c>
      <c r="E112" s="332" t="s">
        <v>4025</v>
      </c>
      <c r="F112" s="299"/>
      <c r="G112" s="299"/>
    </row>
    <row r="113">
      <c r="D113" s="332">
        <v>111.0</v>
      </c>
      <c r="E113" s="332" t="s">
        <v>4024</v>
      </c>
      <c r="F113" s="299"/>
      <c r="G113" s="299"/>
    </row>
    <row r="114">
      <c r="D114" s="332">
        <v>112.0</v>
      </c>
      <c r="E114" s="332" t="s">
        <v>4026</v>
      </c>
      <c r="F114" s="299"/>
      <c r="G114" s="299"/>
    </row>
    <row r="115">
      <c r="D115" s="332">
        <v>113.0</v>
      </c>
      <c r="E115" s="332" t="s">
        <v>4027</v>
      </c>
      <c r="F115" s="299"/>
      <c r="G115" s="299"/>
    </row>
    <row r="116">
      <c r="D116" s="332">
        <v>114.0</v>
      </c>
      <c r="E116" s="332" t="s">
        <v>4028</v>
      </c>
      <c r="F116" s="299"/>
      <c r="G116" s="299"/>
    </row>
    <row r="117">
      <c r="D117" s="332">
        <v>115.0</v>
      </c>
      <c r="E117" s="332" t="s">
        <v>4029</v>
      </c>
      <c r="F117" s="299"/>
      <c r="G117" s="299"/>
    </row>
    <row r="118">
      <c r="D118" s="332">
        <v>116.0</v>
      </c>
      <c r="E118" s="332" t="s">
        <v>4030</v>
      </c>
      <c r="F118" s="299"/>
      <c r="G118" s="299"/>
    </row>
    <row r="119">
      <c r="D119" s="332">
        <v>117.0</v>
      </c>
      <c r="E119" s="332" t="s">
        <v>4030</v>
      </c>
      <c r="F119" s="299"/>
      <c r="G119" s="299"/>
    </row>
    <row r="120">
      <c r="D120" s="332">
        <v>118.0</v>
      </c>
      <c r="E120" s="332" t="s">
        <v>4031</v>
      </c>
      <c r="F120" s="299"/>
      <c r="G120" s="299"/>
    </row>
    <row r="121">
      <c r="D121" s="332">
        <v>119.0</v>
      </c>
      <c r="E121" s="332" t="s">
        <v>4032</v>
      </c>
      <c r="F121" s="299"/>
      <c r="G121" s="299"/>
    </row>
    <row r="122">
      <c r="D122" s="332">
        <v>120.0</v>
      </c>
      <c r="E122" s="332" t="s">
        <v>4033</v>
      </c>
      <c r="F122" s="299"/>
      <c r="G122" s="299"/>
    </row>
    <row r="123">
      <c r="D123" s="332">
        <v>121.0</v>
      </c>
      <c r="E123" s="332" t="s">
        <v>4034</v>
      </c>
      <c r="F123" s="299"/>
      <c r="G123" s="299"/>
    </row>
    <row r="124">
      <c r="D124" s="332">
        <v>122.0</v>
      </c>
      <c r="E124" s="332" t="s">
        <v>4035</v>
      </c>
      <c r="F124" s="299"/>
      <c r="G124" s="299"/>
    </row>
    <row r="125">
      <c r="D125" s="332">
        <v>123.0</v>
      </c>
      <c r="E125" s="332" t="s">
        <v>4036</v>
      </c>
      <c r="F125" s="299"/>
      <c r="G125" s="299"/>
    </row>
    <row r="126">
      <c r="D126" s="332">
        <v>124.0</v>
      </c>
      <c r="E126" s="332" t="s">
        <v>4033</v>
      </c>
      <c r="F126" s="299"/>
      <c r="G126" s="299"/>
    </row>
    <row r="127">
      <c r="D127" s="332">
        <v>125.0</v>
      </c>
      <c r="E127" s="332" t="s">
        <v>4037</v>
      </c>
      <c r="F127" s="299"/>
      <c r="G127" s="299"/>
    </row>
    <row r="128">
      <c r="D128" s="332">
        <v>126.0</v>
      </c>
      <c r="E128" s="332" t="s">
        <v>4038</v>
      </c>
      <c r="F128" s="299"/>
      <c r="G128" s="299"/>
    </row>
    <row r="129">
      <c r="D129" s="332">
        <v>127.0</v>
      </c>
      <c r="E129" s="332" t="s">
        <v>4039</v>
      </c>
      <c r="F129" s="299"/>
      <c r="G129" s="299"/>
    </row>
    <row r="130">
      <c r="D130" s="332">
        <v>128.0</v>
      </c>
      <c r="E130" s="332" t="s">
        <v>4040</v>
      </c>
      <c r="F130" s="299"/>
      <c r="G130" s="299"/>
    </row>
    <row r="131">
      <c r="D131" s="332">
        <v>129.0</v>
      </c>
      <c r="E131" s="332" t="s">
        <v>4041</v>
      </c>
      <c r="F131" s="299"/>
      <c r="G131" s="299"/>
    </row>
    <row r="132">
      <c r="D132" s="332">
        <v>130.0</v>
      </c>
      <c r="E132" s="332" t="s">
        <v>4042</v>
      </c>
      <c r="F132" s="299"/>
      <c r="G132" s="299"/>
    </row>
    <row r="133">
      <c r="D133" s="332">
        <v>131.0</v>
      </c>
      <c r="E133" s="332" t="s">
        <v>4043</v>
      </c>
      <c r="F133" s="299"/>
      <c r="G133" s="299"/>
    </row>
    <row r="134">
      <c r="D134" s="332">
        <v>132.0</v>
      </c>
      <c r="E134" s="332" t="s">
        <v>4044</v>
      </c>
      <c r="F134" s="299"/>
      <c r="G134" s="299"/>
    </row>
    <row r="135">
      <c r="D135" s="332">
        <v>133.0</v>
      </c>
      <c r="E135" s="332" t="s">
        <v>4039</v>
      </c>
      <c r="F135" s="299"/>
      <c r="G135" s="299"/>
    </row>
    <row r="136">
      <c r="D136" s="332">
        <v>134.0</v>
      </c>
      <c r="E136" s="332" t="s">
        <v>3974</v>
      </c>
      <c r="F136" s="299"/>
      <c r="G136" s="299"/>
    </row>
    <row r="137">
      <c r="D137" s="332">
        <v>135.0</v>
      </c>
      <c r="E137" s="332" t="s">
        <v>4045</v>
      </c>
      <c r="F137" s="299"/>
      <c r="G137" s="299"/>
    </row>
    <row r="138">
      <c r="D138" s="332">
        <v>136.0</v>
      </c>
      <c r="E138" s="332" t="s">
        <v>4046</v>
      </c>
      <c r="F138" s="299"/>
      <c r="G138" s="299"/>
    </row>
    <row r="139">
      <c r="D139" s="332">
        <v>137.0</v>
      </c>
      <c r="E139" s="332" t="s">
        <v>4047</v>
      </c>
      <c r="F139" s="299"/>
      <c r="G139" s="299"/>
    </row>
    <row r="140">
      <c r="D140" s="332">
        <v>138.0</v>
      </c>
      <c r="E140" s="332" t="s">
        <v>4048</v>
      </c>
      <c r="F140" s="299"/>
      <c r="G140" s="299"/>
    </row>
    <row r="141">
      <c r="D141" s="332">
        <v>139.0</v>
      </c>
      <c r="E141" s="332" t="s">
        <v>4049</v>
      </c>
      <c r="F141" s="299"/>
      <c r="G141" s="299"/>
    </row>
    <row r="142">
      <c r="D142" s="332">
        <v>140.0</v>
      </c>
      <c r="E142" s="332" t="s">
        <v>4050</v>
      </c>
      <c r="F142" s="299"/>
      <c r="G142" s="299"/>
    </row>
    <row r="143">
      <c r="D143" s="332">
        <v>141.0</v>
      </c>
      <c r="E143" s="332" t="s">
        <v>4051</v>
      </c>
      <c r="F143" s="299"/>
      <c r="G143" s="299"/>
    </row>
    <row r="144">
      <c r="D144" s="332">
        <v>142.0</v>
      </c>
      <c r="E144" s="332" t="s">
        <v>4052</v>
      </c>
      <c r="F144" s="332" t="s">
        <v>4014</v>
      </c>
      <c r="G144" s="299" t="s">
        <v>4053</v>
      </c>
    </row>
    <row r="145">
      <c r="D145" s="332">
        <v>143.0</v>
      </c>
      <c r="E145" s="332" t="s">
        <v>4054</v>
      </c>
      <c r="F145" s="332" t="s">
        <v>4014</v>
      </c>
      <c r="G145" s="299" t="s">
        <v>4055</v>
      </c>
    </row>
    <row r="146">
      <c r="D146" s="332">
        <v>144.0</v>
      </c>
      <c r="E146" s="332" t="s">
        <v>4056</v>
      </c>
      <c r="F146" s="332" t="s">
        <v>4014</v>
      </c>
      <c r="G146" s="299" t="s">
        <v>4057</v>
      </c>
    </row>
    <row r="147">
      <c r="D147" s="332">
        <v>145.0</v>
      </c>
      <c r="E147" s="332" t="s">
        <v>4058</v>
      </c>
      <c r="F147" s="299"/>
      <c r="G147" s="299"/>
    </row>
    <row r="148">
      <c r="D148" s="332">
        <v>146.0</v>
      </c>
      <c r="E148" s="332" t="s">
        <v>4059</v>
      </c>
      <c r="F148" s="332" t="s">
        <v>4014</v>
      </c>
      <c r="G148" s="299" t="s">
        <v>4059</v>
      </c>
    </row>
    <row r="149">
      <c r="D149" s="332">
        <v>147.0</v>
      </c>
      <c r="E149" s="332" t="s">
        <v>4060</v>
      </c>
      <c r="F149" s="299"/>
      <c r="G149" s="299"/>
    </row>
    <row r="150">
      <c r="D150" s="332">
        <v>148.0</v>
      </c>
      <c r="E150" s="332" t="s">
        <v>4061</v>
      </c>
      <c r="F150" s="332" t="s">
        <v>4014</v>
      </c>
      <c r="G150" s="299" t="s">
        <v>4061</v>
      </c>
    </row>
    <row r="151">
      <c r="D151" s="332">
        <v>149.0</v>
      </c>
      <c r="E151" s="332" t="s">
        <v>4062</v>
      </c>
      <c r="F151" s="332" t="s">
        <v>4014</v>
      </c>
      <c r="G151" s="299" t="s">
        <v>4062</v>
      </c>
    </row>
    <row r="152">
      <c r="D152" s="332">
        <v>150.0</v>
      </c>
      <c r="E152" s="332" t="s">
        <v>4063</v>
      </c>
      <c r="F152" s="332" t="s">
        <v>4014</v>
      </c>
      <c r="G152" s="299" t="s">
        <v>4063</v>
      </c>
    </row>
    <row r="153">
      <c r="D153" s="332">
        <v>151.0</v>
      </c>
      <c r="E153" s="332" t="s">
        <v>4064</v>
      </c>
      <c r="F153" s="299"/>
      <c r="G153" s="299"/>
    </row>
    <row r="154">
      <c r="D154" s="332">
        <v>152.0</v>
      </c>
      <c r="E154" s="332" t="s">
        <v>4065</v>
      </c>
      <c r="F154" s="332" t="s">
        <v>4014</v>
      </c>
      <c r="G154" s="299" t="s">
        <v>4066</v>
      </c>
    </row>
    <row r="155">
      <c r="D155" s="332">
        <v>153.0</v>
      </c>
      <c r="E155" s="332" t="s">
        <v>4067</v>
      </c>
      <c r="F155" s="332" t="s">
        <v>4014</v>
      </c>
      <c r="G155" s="299" t="s">
        <v>4068</v>
      </c>
    </row>
    <row r="156">
      <c r="D156" s="332">
        <v>154.0</v>
      </c>
      <c r="E156" s="332" t="s">
        <v>4069</v>
      </c>
      <c r="F156" s="332" t="s">
        <v>4014</v>
      </c>
      <c r="G156" s="299" t="s">
        <v>4070</v>
      </c>
    </row>
    <row r="157">
      <c r="D157" s="332">
        <v>155.0</v>
      </c>
      <c r="E157" s="332" t="s">
        <v>4071</v>
      </c>
      <c r="F157" s="332" t="s">
        <v>4014</v>
      </c>
      <c r="G157" s="299" t="s">
        <v>4072</v>
      </c>
    </row>
    <row r="158">
      <c r="D158" s="332">
        <v>156.0</v>
      </c>
      <c r="E158" s="332" t="s">
        <v>4073</v>
      </c>
      <c r="F158" s="299"/>
      <c r="G158" s="332" t="s">
        <v>4073</v>
      </c>
    </row>
    <row r="159">
      <c r="D159" s="332">
        <v>157.0</v>
      </c>
      <c r="E159" s="332" t="s">
        <v>4074</v>
      </c>
      <c r="F159" s="299"/>
      <c r="G159" s="299"/>
    </row>
    <row r="160">
      <c r="D160" s="332">
        <v>158.0</v>
      </c>
      <c r="E160" s="332" t="s">
        <v>4075</v>
      </c>
      <c r="F160" s="332" t="s">
        <v>4014</v>
      </c>
      <c r="G160" s="299" t="s">
        <v>4073</v>
      </c>
    </row>
    <row r="161">
      <c r="D161" s="332">
        <v>159.0</v>
      </c>
      <c r="E161" s="332" t="s">
        <v>4076</v>
      </c>
      <c r="F161" s="332" t="s">
        <v>4014</v>
      </c>
      <c r="G161" s="299" t="s">
        <v>4077</v>
      </c>
    </row>
    <row r="162">
      <c r="D162" s="332">
        <v>160.0</v>
      </c>
      <c r="E162" s="332" t="s">
        <v>4078</v>
      </c>
      <c r="F162" s="332" t="s">
        <v>4014</v>
      </c>
      <c r="G162" s="299" t="s">
        <v>4077</v>
      </c>
    </row>
    <row r="163">
      <c r="D163" s="332">
        <v>161.0</v>
      </c>
      <c r="E163" s="332" t="s">
        <v>4079</v>
      </c>
      <c r="F163" s="332" t="s">
        <v>4014</v>
      </c>
      <c r="G163" s="299" t="s">
        <v>4077</v>
      </c>
    </row>
    <row r="164">
      <c r="D164" s="332">
        <v>162.0</v>
      </c>
      <c r="E164" s="332" t="s">
        <v>4080</v>
      </c>
      <c r="F164" s="299"/>
      <c r="G164" s="299"/>
    </row>
    <row r="165">
      <c r="D165" s="332">
        <v>163.0</v>
      </c>
      <c r="E165" s="332" t="s">
        <v>4081</v>
      </c>
      <c r="F165" s="299"/>
      <c r="G165" s="299" t="s">
        <v>4082</v>
      </c>
    </row>
    <row r="166">
      <c r="D166" s="332">
        <v>164.0</v>
      </c>
      <c r="E166" s="332" t="s">
        <v>4083</v>
      </c>
      <c r="F166" s="332" t="s">
        <v>4014</v>
      </c>
      <c r="G166" s="299" t="s">
        <v>4082</v>
      </c>
    </row>
    <row r="167">
      <c r="D167" s="332">
        <v>165.0</v>
      </c>
      <c r="E167" s="332" t="s">
        <v>4084</v>
      </c>
      <c r="F167" s="332" t="s">
        <v>4014</v>
      </c>
      <c r="G167" s="299" t="s">
        <v>4082</v>
      </c>
    </row>
    <row r="168">
      <c r="D168" s="332">
        <v>166.0</v>
      </c>
      <c r="E168" s="332" t="s">
        <v>4085</v>
      </c>
      <c r="F168" s="332" t="s">
        <v>4014</v>
      </c>
      <c r="G168" s="299" t="s">
        <v>4082</v>
      </c>
    </row>
    <row r="169">
      <c r="D169" s="332">
        <v>167.0</v>
      </c>
      <c r="E169" s="332" t="s">
        <v>4086</v>
      </c>
      <c r="F169" s="332" t="s">
        <v>4014</v>
      </c>
      <c r="G169" s="299"/>
    </row>
    <row r="170">
      <c r="D170" s="332">
        <v>168.0</v>
      </c>
      <c r="E170" s="332" t="s">
        <v>4087</v>
      </c>
      <c r="F170" s="332" t="s">
        <v>4014</v>
      </c>
      <c r="G170" s="299"/>
    </row>
    <row r="171">
      <c r="D171" s="332">
        <v>169.0</v>
      </c>
      <c r="E171" s="332" t="s">
        <v>4088</v>
      </c>
      <c r="F171" s="299"/>
      <c r="G171" s="299"/>
    </row>
    <row r="172">
      <c r="D172" s="332">
        <v>170.0</v>
      </c>
      <c r="E172" s="332" t="s">
        <v>4089</v>
      </c>
      <c r="F172" s="332" t="s">
        <v>4014</v>
      </c>
      <c r="G172" s="299"/>
    </row>
    <row r="173">
      <c r="D173" s="332">
        <v>171.0</v>
      </c>
      <c r="E173" s="332" t="s">
        <v>4090</v>
      </c>
      <c r="F173" s="299"/>
      <c r="G173" s="299"/>
    </row>
    <row r="174">
      <c r="D174" s="332">
        <v>172.0</v>
      </c>
      <c r="E174" s="332" t="s">
        <v>4091</v>
      </c>
      <c r="F174" s="299"/>
      <c r="G174" s="299"/>
    </row>
    <row r="175">
      <c r="D175" s="332">
        <v>173.0</v>
      </c>
      <c r="E175" s="332" t="s">
        <v>4092</v>
      </c>
      <c r="F175" s="299"/>
      <c r="G175" s="299"/>
    </row>
    <row r="176">
      <c r="D176" s="332">
        <v>174.0</v>
      </c>
      <c r="E176" s="332" t="s">
        <v>4093</v>
      </c>
      <c r="F176" s="332" t="s">
        <v>4094</v>
      </c>
      <c r="G176" s="299"/>
    </row>
    <row r="177">
      <c r="D177" s="332">
        <v>175.0</v>
      </c>
      <c r="E177" s="332" t="s">
        <v>4095</v>
      </c>
      <c r="F177" s="299"/>
      <c r="G177" s="299" t="s">
        <v>3985</v>
      </c>
    </row>
    <row r="178">
      <c r="D178" s="332">
        <v>176.0</v>
      </c>
      <c r="E178" s="332" t="s">
        <v>4096</v>
      </c>
      <c r="F178" s="332" t="s">
        <v>4094</v>
      </c>
      <c r="G178" s="299" t="s">
        <v>3985</v>
      </c>
    </row>
    <row r="179">
      <c r="D179" s="332">
        <v>177.0</v>
      </c>
      <c r="E179" s="332" t="s">
        <v>4097</v>
      </c>
      <c r="F179" s="332" t="s">
        <v>4094</v>
      </c>
      <c r="G179" s="299" t="s">
        <v>3985</v>
      </c>
    </row>
    <row r="180">
      <c r="D180" s="332">
        <v>178.0</v>
      </c>
      <c r="E180" s="332" t="s">
        <v>4098</v>
      </c>
      <c r="F180" s="332" t="s">
        <v>4094</v>
      </c>
      <c r="G180" s="299" t="s">
        <v>3985</v>
      </c>
    </row>
    <row r="181">
      <c r="D181" s="332">
        <v>179.0</v>
      </c>
      <c r="E181" s="332" t="s">
        <v>4099</v>
      </c>
      <c r="F181" s="299"/>
      <c r="G181" s="299" t="s">
        <v>3985</v>
      </c>
    </row>
    <row r="182">
      <c r="D182" s="332">
        <v>180.0</v>
      </c>
      <c r="E182" s="332" t="s">
        <v>4100</v>
      </c>
      <c r="F182" s="332" t="s">
        <v>4094</v>
      </c>
      <c r="G182" s="299" t="s">
        <v>3985</v>
      </c>
    </row>
    <row r="183">
      <c r="D183" s="332">
        <v>181.0</v>
      </c>
      <c r="E183" s="332" t="s">
        <v>4101</v>
      </c>
      <c r="F183" s="299"/>
      <c r="G183" s="299"/>
    </row>
    <row r="184">
      <c r="D184" s="332">
        <v>182.0</v>
      </c>
      <c r="E184" s="332" t="s">
        <v>4102</v>
      </c>
      <c r="F184" s="332" t="s">
        <v>4094</v>
      </c>
      <c r="G184" s="299"/>
    </row>
    <row r="185">
      <c r="D185" s="332">
        <v>183.0</v>
      </c>
      <c r="E185" s="332" t="s">
        <v>4103</v>
      </c>
      <c r="F185" s="299"/>
      <c r="G185" s="299" t="s">
        <v>3985</v>
      </c>
    </row>
    <row r="186">
      <c r="D186" s="332">
        <v>184.0</v>
      </c>
      <c r="E186" s="332" t="s">
        <v>4104</v>
      </c>
      <c r="F186" s="332" t="s">
        <v>4094</v>
      </c>
      <c r="G186" s="299"/>
    </row>
    <row r="187">
      <c r="D187" s="332">
        <v>185.0</v>
      </c>
      <c r="E187" s="332" t="s">
        <v>3985</v>
      </c>
      <c r="F187" s="332" t="s">
        <v>4094</v>
      </c>
      <c r="G187" s="299" t="s">
        <v>3985</v>
      </c>
    </row>
    <row r="188">
      <c r="D188" s="332">
        <v>186.0</v>
      </c>
      <c r="E188" s="332" t="s">
        <v>4105</v>
      </c>
      <c r="F188" s="299"/>
      <c r="G188" s="299"/>
    </row>
    <row r="189">
      <c r="D189" s="332">
        <v>187.0</v>
      </c>
      <c r="E189" s="332" t="s">
        <v>4106</v>
      </c>
      <c r="F189" s="332" t="s">
        <v>4094</v>
      </c>
      <c r="G189" s="299"/>
    </row>
    <row r="190">
      <c r="D190" s="332">
        <v>188.0</v>
      </c>
      <c r="E190" s="332" t="s">
        <v>4107</v>
      </c>
      <c r="F190" s="299"/>
      <c r="G190" s="299"/>
    </row>
    <row r="191">
      <c r="D191" s="332">
        <v>189.0</v>
      </c>
      <c r="E191" s="332" t="s">
        <v>4108</v>
      </c>
      <c r="F191" s="299"/>
      <c r="G191" s="299"/>
    </row>
    <row r="192">
      <c r="D192" s="332">
        <v>190.0</v>
      </c>
      <c r="E192" s="332" t="s">
        <v>4109</v>
      </c>
      <c r="F192" s="299"/>
      <c r="G192" s="299"/>
    </row>
    <row r="193">
      <c r="D193" s="332">
        <v>191.0</v>
      </c>
      <c r="E193" s="332" t="s">
        <v>4110</v>
      </c>
      <c r="F193" s="332" t="s">
        <v>4094</v>
      </c>
      <c r="G193" s="299" t="s">
        <v>3985</v>
      </c>
    </row>
    <row r="194">
      <c r="D194" s="332">
        <v>192.0</v>
      </c>
      <c r="E194" s="332" t="s">
        <v>4111</v>
      </c>
      <c r="F194" s="299"/>
      <c r="G194" s="299" t="s">
        <v>3985</v>
      </c>
    </row>
    <row r="195">
      <c r="D195" s="332">
        <v>193.0</v>
      </c>
      <c r="E195" s="332" t="s">
        <v>4112</v>
      </c>
      <c r="F195" s="332" t="s">
        <v>4094</v>
      </c>
      <c r="G195" s="299" t="s">
        <v>3985</v>
      </c>
    </row>
    <row r="196">
      <c r="D196" s="332">
        <v>194.0</v>
      </c>
      <c r="E196" s="332" t="s">
        <v>4113</v>
      </c>
      <c r="F196" s="332" t="s">
        <v>4094</v>
      </c>
      <c r="G196" s="299"/>
    </row>
    <row r="197">
      <c r="D197" s="332">
        <v>195.0</v>
      </c>
      <c r="E197" s="332" t="s">
        <v>4114</v>
      </c>
      <c r="F197" s="299"/>
      <c r="G197" s="299"/>
    </row>
    <row r="198">
      <c r="D198" s="332">
        <v>196.0</v>
      </c>
      <c r="E198" s="332" t="s">
        <v>4115</v>
      </c>
      <c r="F198" s="332" t="s">
        <v>4094</v>
      </c>
      <c r="G198" s="299"/>
    </row>
    <row r="199">
      <c r="D199" s="332">
        <v>197.0</v>
      </c>
      <c r="E199" s="332" t="s">
        <v>4116</v>
      </c>
      <c r="F199" s="332" t="s">
        <v>4094</v>
      </c>
      <c r="G199" s="299"/>
    </row>
    <row r="200">
      <c r="D200" s="332">
        <v>198.0</v>
      </c>
      <c r="E200" s="332" t="s">
        <v>4117</v>
      </c>
      <c r="F200" s="332" t="s">
        <v>4094</v>
      </c>
      <c r="G200" s="299"/>
    </row>
    <row r="201">
      <c r="D201" s="332">
        <v>199.0</v>
      </c>
      <c r="E201" s="332" t="s">
        <v>4105</v>
      </c>
      <c r="F201" s="299"/>
      <c r="G201" s="299"/>
    </row>
    <row r="202">
      <c r="D202" s="332">
        <v>200.0</v>
      </c>
      <c r="E202" s="332" t="s">
        <v>4118</v>
      </c>
      <c r="F202" s="299"/>
      <c r="G202" s="299"/>
    </row>
    <row r="203">
      <c r="D203" s="332">
        <v>201.0</v>
      </c>
      <c r="E203" s="332" t="s">
        <v>4119</v>
      </c>
      <c r="F203" s="299"/>
      <c r="G203" s="299" t="s">
        <v>3985</v>
      </c>
    </row>
    <row r="204">
      <c r="D204" s="332">
        <v>202.0</v>
      </c>
      <c r="E204" s="332" t="s">
        <v>4120</v>
      </c>
      <c r="F204" s="299"/>
      <c r="G204" s="299" t="s">
        <v>3985</v>
      </c>
    </row>
    <row r="205">
      <c r="D205" s="332">
        <v>203.0</v>
      </c>
      <c r="E205" s="332" t="s">
        <v>4121</v>
      </c>
      <c r="F205" s="299"/>
      <c r="G205" s="299"/>
    </row>
    <row r="206">
      <c r="D206" s="332">
        <v>204.0</v>
      </c>
      <c r="E206" s="332" t="s">
        <v>4122</v>
      </c>
      <c r="F206" s="299"/>
      <c r="G206" s="299"/>
    </row>
    <row r="207">
      <c r="D207" s="332">
        <v>205.0</v>
      </c>
      <c r="E207" s="332" t="s">
        <v>4123</v>
      </c>
      <c r="F207" s="299"/>
      <c r="G207" s="299"/>
    </row>
    <row r="208">
      <c r="D208" s="332">
        <v>206.0</v>
      </c>
      <c r="E208" s="332" t="s">
        <v>4124</v>
      </c>
      <c r="F208" s="299"/>
      <c r="G208" s="299"/>
    </row>
    <row r="209">
      <c r="D209" s="332">
        <v>207.0</v>
      </c>
      <c r="E209" s="332" t="s">
        <v>4125</v>
      </c>
      <c r="F209" s="299"/>
      <c r="G209" s="299"/>
    </row>
    <row r="210">
      <c r="D210" s="332">
        <v>208.0</v>
      </c>
      <c r="E210" s="332" t="s">
        <v>4126</v>
      </c>
      <c r="F210" s="332" t="s">
        <v>4127</v>
      </c>
      <c r="G210" s="299"/>
    </row>
    <row r="211">
      <c r="D211" s="332">
        <v>209.0</v>
      </c>
      <c r="E211" s="332" t="s">
        <v>4128</v>
      </c>
      <c r="F211" s="299"/>
      <c r="G211" s="299"/>
    </row>
    <row r="212">
      <c r="D212" s="332">
        <v>210.0</v>
      </c>
      <c r="E212" s="332" t="s">
        <v>4129</v>
      </c>
      <c r="F212" s="332" t="s">
        <v>4127</v>
      </c>
      <c r="G212" s="299" t="s">
        <v>4130</v>
      </c>
    </row>
    <row r="213">
      <c r="D213" s="332">
        <v>211.0</v>
      </c>
      <c r="E213" s="332" t="s">
        <v>4131</v>
      </c>
      <c r="F213" s="332" t="s">
        <v>4127</v>
      </c>
      <c r="G213" s="299" t="s">
        <v>4130</v>
      </c>
    </row>
    <row r="214">
      <c r="D214" s="332">
        <v>212.0</v>
      </c>
      <c r="E214" s="332" t="s">
        <v>4132</v>
      </c>
      <c r="F214" s="299"/>
      <c r="G214" s="299" t="s">
        <v>4133</v>
      </c>
    </row>
    <row r="215">
      <c r="D215" s="332">
        <v>213.0</v>
      </c>
      <c r="E215" s="332" t="s">
        <v>4132</v>
      </c>
      <c r="F215" s="332" t="s">
        <v>4127</v>
      </c>
      <c r="G215" s="299" t="s">
        <v>4133</v>
      </c>
    </row>
    <row r="216">
      <c r="D216" s="332">
        <v>214.0</v>
      </c>
      <c r="E216" s="332" t="s">
        <v>4134</v>
      </c>
      <c r="F216" s="299"/>
      <c r="G216" s="299"/>
    </row>
    <row r="217">
      <c r="D217" s="332">
        <v>215.0</v>
      </c>
      <c r="E217" s="332" t="s">
        <v>4135</v>
      </c>
      <c r="F217" s="332" t="s">
        <v>4127</v>
      </c>
      <c r="G217" s="299" t="s">
        <v>4136</v>
      </c>
    </row>
    <row r="218">
      <c r="D218" s="332">
        <v>216.0</v>
      </c>
      <c r="E218" s="332" t="s">
        <v>4137</v>
      </c>
      <c r="F218" s="299"/>
      <c r="G218" s="299"/>
    </row>
    <row r="219">
      <c r="D219" s="332">
        <v>217.0</v>
      </c>
      <c r="E219" s="332" t="s">
        <v>4138</v>
      </c>
      <c r="F219" s="299"/>
      <c r="G219" s="299"/>
    </row>
    <row r="220">
      <c r="D220" s="332">
        <v>218.0</v>
      </c>
      <c r="E220" s="332" t="s">
        <v>3974</v>
      </c>
      <c r="F220" s="299"/>
      <c r="G220" s="299"/>
    </row>
    <row r="221">
      <c r="D221" s="332">
        <v>219.0</v>
      </c>
      <c r="E221" s="332" t="s">
        <v>4139</v>
      </c>
      <c r="F221" s="299"/>
      <c r="G221" s="299"/>
    </row>
    <row r="222">
      <c r="D222" s="332">
        <v>220.0</v>
      </c>
      <c r="E222" s="332" t="s">
        <v>4140</v>
      </c>
      <c r="F222" s="299"/>
      <c r="G222" s="299" t="s">
        <v>4130</v>
      </c>
    </row>
    <row r="223">
      <c r="D223" s="332">
        <v>221.0</v>
      </c>
      <c r="E223" s="332" t="s">
        <v>4141</v>
      </c>
      <c r="F223" s="299"/>
      <c r="G223" s="299"/>
    </row>
    <row r="224">
      <c r="D224" s="332">
        <v>222.0</v>
      </c>
      <c r="E224" s="332" t="s">
        <v>4142</v>
      </c>
      <c r="F224" s="299"/>
      <c r="G224" s="299"/>
    </row>
    <row r="225">
      <c r="D225" s="332">
        <v>223.0</v>
      </c>
      <c r="E225" s="332" t="s">
        <v>4143</v>
      </c>
      <c r="F225" s="299"/>
      <c r="G225" s="299"/>
    </row>
    <row r="226">
      <c r="D226" s="332">
        <v>224.0</v>
      </c>
      <c r="E226" s="332" t="s">
        <v>4144</v>
      </c>
      <c r="F226" s="299"/>
      <c r="G226" s="299"/>
    </row>
    <row r="227">
      <c r="D227" s="332">
        <v>225.0</v>
      </c>
      <c r="E227" s="332" t="s">
        <v>4145</v>
      </c>
      <c r="F227" s="299"/>
      <c r="G227" s="299"/>
    </row>
    <row r="228">
      <c r="D228" s="332">
        <v>226.0</v>
      </c>
      <c r="E228" s="332" t="s">
        <v>4134</v>
      </c>
      <c r="F228" s="299"/>
      <c r="G228" s="299"/>
    </row>
    <row r="229">
      <c r="D229" s="332">
        <v>227.0</v>
      </c>
      <c r="E229" s="332" t="s">
        <v>4135</v>
      </c>
      <c r="F229" s="299"/>
      <c r="G229" s="299" t="s">
        <v>4136</v>
      </c>
    </row>
    <row r="230">
      <c r="D230" s="332">
        <v>228.0</v>
      </c>
      <c r="E230" s="332" t="s">
        <v>4124</v>
      </c>
      <c r="F230" s="299"/>
      <c r="G230" s="299"/>
    </row>
    <row r="231">
      <c r="D231" s="332">
        <v>229.0</v>
      </c>
      <c r="E231" s="332" t="s">
        <v>4146</v>
      </c>
      <c r="F231" s="299"/>
      <c r="G231" s="299"/>
    </row>
    <row r="232">
      <c r="D232" s="332">
        <v>230.0</v>
      </c>
      <c r="E232" s="332" t="s">
        <v>4147</v>
      </c>
      <c r="F232" s="299"/>
      <c r="G232" s="299"/>
    </row>
    <row r="233">
      <c r="D233" s="332">
        <v>231.0</v>
      </c>
      <c r="E233" s="332" t="s">
        <v>4148</v>
      </c>
      <c r="F233" s="299"/>
      <c r="G233" s="299"/>
    </row>
    <row r="234">
      <c r="D234" s="332">
        <v>232.0</v>
      </c>
      <c r="E234" s="332" t="s">
        <v>4149</v>
      </c>
      <c r="F234" s="299"/>
      <c r="G234" s="299"/>
    </row>
    <row r="235">
      <c r="D235" s="332">
        <v>233.0</v>
      </c>
      <c r="E235" s="332" t="s">
        <v>4150</v>
      </c>
      <c r="F235" s="299"/>
      <c r="G235" s="299"/>
    </row>
    <row r="236">
      <c r="D236" s="332">
        <v>234.0</v>
      </c>
      <c r="E236" s="332" t="s">
        <v>4151</v>
      </c>
      <c r="F236" s="299"/>
      <c r="G236" s="299"/>
    </row>
    <row r="237">
      <c r="D237" s="332">
        <v>235.0</v>
      </c>
      <c r="E237" s="332" t="s">
        <v>4152</v>
      </c>
      <c r="F237" s="299"/>
      <c r="G237" s="299"/>
    </row>
    <row r="238">
      <c r="D238" s="332">
        <v>236.0</v>
      </c>
      <c r="E238" s="332" t="s">
        <v>4153</v>
      </c>
      <c r="F238" s="299"/>
      <c r="G238" s="299"/>
    </row>
    <row r="239">
      <c r="D239" s="332">
        <v>237.0</v>
      </c>
      <c r="E239" s="332" t="s">
        <v>4154</v>
      </c>
      <c r="F239" s="299"/>
      <c r="G239" s="299"/>
    </row>
    <row r="240">
      <c r="D240" s="332">
        <v>238.0</v>
      </c>
      <c r="E240" s="332" t="s">
        <v>4155</v>
      </c>
      <c r="F240" s="299"/>
      <c r="G240" s="299"/>
    </row>
    <row r="241">
      <c r="D241" s="332">
        <v>239.0</v>
      </c>
      <c r="E241" s="332" t="s">
        <v>4154</v>
      </c>
      <c r="F241" s="299"/>
      <c r="G241" s="299"/>
    </row>
    <row r="242">
      <c r="D242" s="332">
        <v>240.0</v>
      </c>
      <c r="E242" s="332" t="s">
        <v>4156</v>
      </c>
      <c r="F242" s="299"/>
      <c r="G242" s="299"/>
    </row>
    <row r="243">
      <c r="D243" s="332">
        <v>241.0</v>
      </c>
      <c r="E243" s="332" t="s">
        <v>4134</v>
      </c>
      <c r="F243" s="299"/>
      <c r="G243" s="299"/>
    </row>
    <row r="244">
      <c r="D244" s="332">
        <v>242.0</v>
      </c>
      <c r="E244" s="332" t="s">
        <v>4157</v>
      </c>
      <c r="F244" s="299"/>
      <c r="G244" s="299"/>
    </row>
    <row r="245">
      <c r="D245" s="332">
        <v>243.0</v>
      </c>
      <c r="E245" s="332" t="s">
        <v>4158</v>
      </c>
      <c r="F245" s="299"/>
      <c r="G245" s="299"/>
    </row>
    <row r="246">
      <c r="D246" s="332">
        <v>244.0</v>
      </c>
      <c r="E246" s="332" t="s">
        <v>4159</v>
      </c>
      <c r="F246" s="299"/>
      <c r="G246" s="299"/>
    </row>
    <row r="247">
      <c r="D247" s="332">
        <v>245.0</v>
      </c>
      <c r="E247" s="332" t="s">
        <v>4160</v>
      </c>
      <c r="F247" s="299"/>
      <c r="G247" s="299"/>
    </row>
    <row r="248">
      <c r="D248" s="332">
        <v>246.0</v>
      </c>
      <c r="E248" s="332" t="s">
        <v>4161</v>
      </c>
      <c r="F248" s="299"/>
      <c r="G248" s="299"/>
    </row>
    <row r="249">
      <c r="D249" s="332">
        <v>247.0</v>
      </c>
      <c r="E249" s="332" t="s">
        <v>4162</v>
      </c>
      <c r="F249" s="332" t="s">
        <v>4127</v>
      </c>
      <c r="G249" s="299"/>
    </row>
    <row r="250">
      <c r="D250" s="332">
        <v>248.0</v>
      </c>
      <c r="E250" s="332" t="s">
        <v>4163</v>
      </c>
      <c r="F250" s="299"/>
      <c r="G250" s="299"/>
    </row>
    <row r="251">
      <c r="D251" s="332">
        <v>249.0</v>
      </c>
      <c r="E251" s="332" t="s">
        <v>4164</v>
      </c>
      <c r="F251" s="332" t="s">
        <v>4127</v>
      </c>
      <c r="G251" s="299" t="s">
        <v>4136</v>
      </c>
    </row>
    <row r="252">
      <c r="D252" s="332">
        <v>250.0</v>
      </c>
      <c r="E252" s="332" t="s">
        <v>4165</v>
      </c>
      <c r="F252" s="299"/>
      <c r="G252" s="299"/>
    </row>
    <row r="253">
      <c r="D253" s="332">
        <v>251.0</v>
      </c>
      <c r="E253" s="332" t="s">
        <v>4166</v>
      </c>
      <c r="F253" s="332" t="s">
        <v>4127</v>
      </c>
      <c r="G253" s="299" t="s">
        <v>4136</v>
      </c>
    </row>
    <row r="254">
      <c r="D254" s="332">
        <v>252.0</v>
      </c>
      <c r="E254" s="332" t="s">
        <v>4167</v>
      </c>
      <c r="F254" s="332" t="s">
        <v>4127</v>
      </c>
      <c r="G254" s="299" t="s">
        <v>4136</v>
      </c>
    </row>
    <row r="255">
      <c r="D255" s="332">
        <v>253.0</v>
      </c>
      <c r="E255" s="332" t="s">
        <v>4168</v>
      </c>
      <c r="F255" s="299"/>
      <c r="G255" s="299"/>
    </row>
    <row r="256">
      <c r="D256" s="332">
        <v>254.0</v>
      </c>
      <c r="E256" s="332" t="s">
        <v>4169</v>
      </c>
      <c r="F256" s="332" t="s">
        <v>4127</v>
      </c>
      <c r="G256" s="299" t="s">
        <v>4136</v>
      </c>
    </row>
    <row r="257">
      <c r="D257" s="332">
        <v>255.0</v>
      </c>
      <c r="E257" s="332" t="s">
        <v>4170</v>
      </c>
      <c r="F257" s="332" t="s">
        <v>4127</v>
      </c>
      <c r="G257" s="299" t="s">
        <v>4171</v>
      </c>
    </row>
    <row r="258">
      <c r="D258" s="332">
        <v>256.0</v>
      </c>
      <c r="E258" s="332" t="s">
        <v>4172</v>
      </c>
      <c r="F258" s="332" t="s">
        <v>4127</v>
      </c>
      <c r="G258" s="299" t="s">
        <v>4171</v>
      </c>
    </row>
    <row r="259">
      <c r="D259" s="332">
        <v>257.0</v>
      </c>
      <c r="E259" s="332" t="s">
        <v>4173</v>
      </c>
      <c r="F259" s="299"/>
      <c r="G259" s="299"/>
    </row>
    <row r="260">
      <c r="D260" s="332">
        <v>258.0</v>
      </c>
      <c r="E260" s="332" t="s">
        <v>4174</v>
      </c>
      <c r="F260" s="299"/>
      <c r="G260" s="299"/>
    </row>
    <row r="261">
      <c r="D261" s="332">
        <v>259.0</v>
      </c>
      <c r="E261" s="332" t="s">
        <v>4175</v>
      </c>
      <c r="F261" s="299"/>
      <c r="G261" s="299"/>
    </row>
    <row r="262">
      <c r="D262" s="332">
        <v>260.0</v>
      </c>
      <c r="E262" s="332" t="s">
        <v>4176</v>
      </c>
      <c r="F262" s="299"/>
      <c r="G262" s="299"/>
    </row>
    <row r="263">
      <c r="D263" s="332">
        <v>261.0</v>
      </c>
      <c r="E263" s="332" t="s">
        <v>4177</v>
      </c>
      <c r="F263" s="299"/>
      <c r="G263" s="299"/>
    </row>
    <row r="264">
      <c r="D264" s="332">
        <v>262.0</v>
      </c>
      <c r="E264" s="332" t="s">
        <v>4178</v>
      </c>
      <c r="F264" s="299"/>
      <c r="G264" s="299" t="s">
        <v>4178</v>
      </c>
    </row>
    <row r="265">
      <c r="D265" s="332">
        <v>263.0</v>
      </c>
      <c r="E265" s="332" t="s">
        <v>4179</v>
      </c>
      <c r="F265" s="299"/>
      <c r="G265" s="299"/>
    </row>
    <row r="266">
      <c r="D266" s="332">
        <v>264.0</v>
      </c>
      <c r="E266" s="332" t="s">
        <v>4180</v>
      </c>
      <c r="F266" s="332" t="s">
        <v>4127</v>
      </c>
      <c r="G266" s="299" t="s">
        <v>4181</v>
      </c>
    </row>
    <row r="267">
      <c r="D267" s="332">
        <v>265.0</v>
      </c>
      <c r="E267" s="332" t="s">
        <v>4182</v>
      </c>
      <c r="F267" s="332" t="s">
        <v>4127</v>
      </c>
      <c r="G267" s="299" t="s">
        <v>4178</v>
      </c>
    </row>
    <row r="268">
      <c r="D268" s="332">
        <v>266.0</v>
      </c>
      <c r="E268" s="332" t="s">
        <v>4183</v>
      </c>
      <c r="F268" s="332" t="s">
        <v>4127</v>
      </c>
      <c r="G268" s="299" t="s">
        <v>4178</v>
      </c>
    </row>
    <row r="269">
      <c r="D269" s="332">
        <v>267.0</v>
      </c>
      <c r="E269" s="332" t="s">
        <v>4184</v>
      </c>
      <c r="F269" s="299"/>
      <c r="G269" s="299"/>
    </row>
    <row r="270">
      <c r="D270" s="332">
        <v>268.0</v>
      </c>
      <c r="E270" s="332" t="s">
        <v>4185</v>
      </c>
      <c r="F270" s="332" t="s">
        <v>4127</v>
      </c>
      <c r="G270" s="299" t="s">
        <v>4185</v>
      </c>
    </row>
    <row r="271">
      <c r="D271" s="332">
        <v>269.0</v>
      </c>
      <c r="E271" s="332" t="s">
        <v>4186</v>
      </c>
      <c r="F271" s="299"/>
      <c r="G271" s="299"/>
    </row>
    <row r="272">
      <c r="D272" s="332">
        <v>270.0</v>
      </c>
      <c r="E272" s="332" t="s">
        <v>4187</v>
      </c>
      <c r="F272" s="332" t="s">
        <v>4127</v>
      </c>
      <c r="G272" s="299" t="s">
        <v>4187</v>
      </c>
    </row>
    <row r="273">
      <c r="D273" s="332">
        <v>271.0</v>
      </c>
      <c r="E273" s="332" t="s">
        <v>4188</v>
      </c>
      <c r="F273" s="299"/>
      <c r="G273" s="299"/>
    </row>
    <row r="274">
      <c r="D274" s="332">
        <v>272.0</v>
      </c>
      <c r="E274" s="332" t="s">
        <v>4189</v>
      </c>
      <c r="F274" s="332" t="s">
        <v>4127</v>
      </c>
      <c r="G274" s="299"/>
    </row>
    <row r="275">
      <c r="D275" s="332">
        <v>273.0</v>
      </c>
      <c r="E275" s="332" t="s">
        <v>4190</v>
      </c>
      <c r="F275" s="299"/>
      <c r="G275" s="299"/>
    </row>
    <row r="276">
      <c r="D276" s="332">
        <v>274.0</v>
      </c>
      <c r="E276" s="332" t="s">
        <v>4191</v>
      </c>
      <c r="F276" s="299"/>
      <c r="G276" s="299"/>
    </row>
    <row r="277">
      <c r="D277" s="332">
        <v>275.0</v>
      </c>
      <c r="E277" s="332" t="s">
        <v>4192</v>
      </c>
      <c r="F277" s="332" t="s">
        <v>4127</v>
      </c>
      <c r="G277" s="299" t="s">
        <v>4193</v>
      </c>
    </row>
    <row r="278">
      <c r="D278" s="332">
        <v>276.0</v>
      </c>
      <c r="E278" s="332" t="s">
        <v>4194</v>
      </c>
      <c r="F278" s="299"/>
      <c r="G278" s="299"/>
    </row>
    <row r="279">
      <c r="D279" s="332">
        <v>277.0</v>
      </c>
      <c r="E279" s="332" t="s">
        <v>4195</v>
      </c>
      <c r="F279" s="299"/>
      <c r="G279" s="299"/>
    </row>
    <row r="280">
      <c r="D280" s="332">
        <v>278.0</v>
      </c>
      <c r="E280" s="332" t="s">
        <v>4196</v>
      </c>
      <c r="F280" s="332" t="s">
        <v>1004</v>
      </c>
      <c r="G280" s="299"/>
    </row>
    <row r="281">
      <c r="D281" s="332">
        <v>279.0</v>
      </c>
      <c r="E281" s="332" t="s">
        <v>4197</v>
      </c>
      <c r="F281" s="332" t="s">
        <v>1004</v>
      </c>
      <c r="G281" s="299"/>
    </row>
    <row r="282">
      <c r="D282" s="332">
        <v>280.0</v>
      </c>
      <c r="E282" s="332" t="s">
        <v>4198</v>
      </c>
      <c r="F282" s="332" t="s">
        <v>1004</v>
      </c>
      <c r="G282" s="299"/>
    </row>
    <row r="283">
      <c r="D283" s="332">
        <v>281.0</v>
      </c>
      <c r="E283" s="332" t="s">
        <v>4199</v>
      </c>
      <c r="F283" s="332" t="s">
        <v>1004</v>
      </c>
      <c r="G283" s="299"/>
    </row>
    <row r="284">
      <c r="D284" s="332">
        <v>282.0</v>
      </c>
      <c r="E284" s="332" t="s">
        <v>4200</v>
      </c>
      <c r="F284" s="332" t="s">
        <v>1004</v>
      </c>
      <c r="G284" s="299"/>
    </row>
    <row r="285">
      <c r="D285" s="332">
        <v>283.0</v>
      </c>
      <c r="E285" s="332" t="s">
        <v>4201</v>
      </c>
      <c r="F285" s="332" t="s">
        <v>1004</v>
      </c>
      <c r="G285" s="299"/>
    </row>
    <row r="286">
      <c r="D286" s="332">
        <v>284.0</v>
      </c>
      <c r="E286" s="332" t="s">
        <v>4202</v>
      </c>
      <c r="F286" s="299"/>
      <c r="G286" s="299"/>
    </row>
    <row r="287">
      <c r="D287" s="332">
        <v>285.0</v>
      </c>
      <c r="E287" s="332" t="s">
        <v>4203</v>
      </c>
      <c r="F287" s="332" t="s">
        <v>1004</v>
      </c>
      <c r="G287" s="299"/>
    </row>
    <row r="288">
      <c r="D288" s="332">
        <v>286.0</v>
      </c>
      <c r="E288" s="332" t="s">
        <v>4204</v>
      </c>
      <c r="F288" s="332" t="s">
        <v>1004</v>
      </c>
      <c r="G288" s="299"/>
    </row>
    <row r="289">
      <c r="D289" s="332">
        <v>287.0</v>
      </c>
      <c r="E289" s="332" t="s">
        <v>4205</v>
      </c>
      <c r="F289" s="332" t="s">
        <v>1004</v>
      </c>
      <c r="G289" s="299"/>
    </row>
    <row r="290">
      <c r="D290" s="332">
        <v>288.0</v>
      </c>
      <c r="E290" s="332" t="s">
        <v>4206</v>
      </c>
      <c r="F290" s="299"/>
      <c r="G290" s="299"/>
    </row>
    <row r="291">
      <c r="D291" s="332">
        <v>289.0</v>
      </c>
      <c r="E291" s="332" t="s">
        <v>4207</v>
      </c>
      <c r="F291" s="299"/>
      <c r="G291" s="299"/>
    </row>
    <row r="292">
      <c r="D292" s="332">
        <v>290.0</v>
      </c>
      <c r="E292" s="332" t="s">
        <v>4208</v>
      </c>
      <c r="F292" s="332" t="s">
        <v>1004</v>
      </c>
      <c r="G292" s="299"/>
    </row>
    <row r="293">
      <c r="D293" s="332">
        <v>291.0</v>
      </c>
      <c r="E293" s="332" t="s">
        <v>4209</v>
      </c>
      <c r="F293" s="332" t="s">
        <v>1004</v>
      </c>
      <c r="G293" s="299"/>
    </row>
    <row r="294">
      <c r="D294" s="332">
        <v>292.0</v>
      </c>
      <c r="E294" s="332" t="s">
        <v>4210</v>
      </c>
      <c r="F294" s="332" t="s">
        <v>1004</v>
      </c>
      <c r="G294" s="299"/>
    </row>
    <row r="295">
      <c r="D295" s="332">
        <v>293.0</v>
      </c>
      <c r="E295" s="332" t="s">
        <v>4211</v>
      </c>
      <c r="F295" s="299"/>
      <c r="G295" s="299"/>
    </row>
    <row r="296">
      <c r="D296" s="332">
        <v>294.0</v>
      </c>
      <c r="E296" s="332" t="s">
        <v>4212</v>
      </c>
      <c r="F296" s="299"/>
      <c r="G296" s="299"/>
    </row>
    <row r="297">
      <c r="D297" s="332">
        <v>295.0</v>
      </c>
      <c r="E297" s="332" t="s">
        <v>4213</v>
      </c>
      <c r="F297" s="299"/>
      <c r="G297" s="299"/>
    </row>
    <row r="298">
      <c r="D298" s="332">
        <v>296.0</v>
      </c>
      <c r="E298" s="332" t="s">
        <v>4214</v>
      </c>
      <c r="F298" s="299"/>
      <c r="G298" s="299"/>
    </row>
    <row r="299">
      <c r="D299" s="332">
        <v>297.0</v>
      </c>
      <c r="E299" s="332" t="s">
        <v>4215</v>
      </c>
      <c r="F299" s="332" t="s">
        <v>1004</v>
      </c>
      <c r="G299" s="299"/>
    </row>
    <row r="300">
      <c r="D300" s="332">
        <v>298.0</v>
      </c>
      <c r="E300" s="332" t="s">
        <v>4216</v>
      </c>
      <c r="F300" s="332" t="s">
        <v>1004</v>
      </c>
      <c r="G300" s="299"/>
    </row>
    <row r="301">
      <c r="D301" s="332">
        <v>299.0</v>
      </c>
      <c r="E301" s="332" t="s">
        <v>4217</v>
      </c>
      <c r="F301" s="332" t="s">
        <v>1004</v>
      </c>
      <c r="G301" s="299"/>
    </row>
    <row r="302">
      <c r="D302" s="332">
        <v>300.0</v>
      </c>
      <c r="E302" s="332" t="s">
        <v>4218</v>
      </c>
      <c r="F302" s="332" t="s">
        <v>1004</v>
      </c>
      <c r="G302" s="299"/>
    </row>
    <row r="303">
      <c r="D303" s="332">
        <v>301.0</v>
      </c>
      <c r="E303" s="332" t="s">
        <v>4219</v>
      </c>
      <c r="F303" s="332" t="s">
        <v>1004</v>
      </c>
      <c r="G303" s="299"/>
    </row>
    <row r="304">
      <c r="D304" s="332">
        <v>302.0</v>
      </c>
      <c r="E304" s="332" t="s">
        <v>4220</v>
      </c>
      <c r="F304" s="332" t="s">
        <v>1004</v>
      </c>
      <c r="G304" s="299"/>
    </row>
    <row r="305">
      <c r="D305" s="332">
        <v>303.0</v>
      </c>
      <c r="E305" s="332" t="s">
        <v>4221</v>
      </c>
      <c r="F305" s="332" t="s">
        <v>1004</v>
      </c>
      <c r="G305" s="299"/>
    </row>
    <row r="306">
      <c r="D306" s="332">
        <v>304.0</v>
      </c>
      <c r="E306" s="332" t="s">
        <v>4222</v>
      </c>
      <c r="F306" s="332" t="s">
        <v>1004</v>
      </c>
      <c r="G306" s="299"/>
    </row>
    <row r="307">
      <c r="D307" s="332">
        <v>305.0</v>
      </c>
      <c r="E307" s="332" t="s">
        <v>4223</v>
      </c>
      <c r="F307" s="332" t="s">
        <v>1004</v>
      </c>
      <c r="G307" s="299"/>
    </row>
    <row r="308">
      <c r="D308" s="332">
        <v>306.0</v>
      </c>
      <c r="E308" s="332" t="s">
        <v>4224</v>
      </c>
      <c r="F308" s="332" t="s">
        <v>1004</v>
      </c>
      <c r="G308" s="299"/>
    </row>
    <row r="309">
      <c r="D309" s="332">
        <v>307.0</v>
      </c>
      <c r="E309" s="332" t="s">
        <v>4225</v>
      </c>
      <c r="F309" s="332" t="s">
        <v>1004</v>
      </c>
      <c r="G309" s="299"/>
    </row>
    <row r="310">
      <c r="D310" s="332">
        <v>308.0</v>
      </c>
      <c r="E310" s="332" t="s">
        <v>4226</v>
      </c>
      <c r="F310" s="332" t="s">
        <v>1004</v>
      </c>
      <c r="G310" s="299"/>
    </row>
    <row r="311">
      <c r="D311" s="332">
        <v>309.0</v>
      </c>
      <c r="E311" s="332" t="s">
        <v>4227</v>
      </c>
      <c r="F311" s="332" t="s">
        <v>1004</v>
      </c>
      <c r="G311" s="299"/>
    </row>
    <row r="312">
      <c r="D312" s="332">
        <v>310.0</v>
      </c>
      <c r="E312" s="332" t="s">
        <v>4228</v>
      </c>
      <c r="F312" s="299"/>
      <c r="G312" s="299"/>
    </row>
    <row r="313">
      <c r="D313" s="332">
        <v>311.0</v>
      </c>
      <c r="E313" s="332" t="s">
        <v>4229</v>
      </c>
      <c r="F313" s="299"/>
      <c r="G313" s="299"/>
    </row>
    <row r="314">
      <c r="D314" s="332">
        <v>312.0</v>
      </c>
      <c r="E314" s="332" t="s">
        <v>4230</v>
      </c>
      <c r="F314" s="332" t="s">
        <v>1004</v>
      </c>
      <c r="G314" s="299"/>
    </row>
    <row r="315">
      <c r="D315" s="332">
        <v>313.0</v>
      </c>
      <c r="E315" s="332" t="s">
        <v>4231</v>
      </c>
      <c r="F315" s="332" t="s">
        <v>1004</v>
      </c>
      <c r="G315" s="299"/>
    </row>
    <row r="316">
      <c r="D316" s="332">
        <v>314.0</v>
      </c>
      <c r="E316" s="332" t="s">
        <v>4232</v>
      </c>
      <c r="F316" s="332" t="s">
        <v>1004</v>
      </c>
      <c r="G316" s="299"/>
    </row>
    <row r="317">
      <c r="D317" s="332">
        <v>315.0</v>
      </c>
      <c r="E317" s="332" t="s">
        <v>4233</v>
      </c>
      <c r="F317" s="332" t="s">
        <v>1004</v>
      </c>
      <c r="G317" s="299"/>
    </row>
    <row r="318">
      <c r="D318" s="332">
        <v>316.0</v>
      </c>
      <c r="E318" s="332" t="s">
        <v>4234</v>
      </c>
      <c r="F318" s="332" t="s">
        <v>1004</v>
      </c>
      <c r="G318" s="299"/>
    </row>
    <row r="319">
      <c r="D319" s="332">
        <v>317.0</v>
      </c>
      <c r="E319" s="332" t="s">
        <v>4235</v>
      </c>
      <c r="F319" s="332" t="s">
        <v>1004</v>
      </c>
      <c r="G319" s="299"/>
    </row>
    <row r="320">
      <c r="D320" s="332">
        <v>318.0</v>
      </c>
      <c r="E320" s="332" t="s">
        <v>4236</v>
      </c>
      <c r="F320" s="332" t="s">
        <v>1004</v>
      </c>
      <c r="G320" s="299"/>
    </row>
    <row r="321">
      <c r="D321" s="332">
        <v>319.0</v>
      </c>
      <c r="E321" s="332" t="s">
        <v>4237</v>
      </c>
      <c r="F321" s="332" t="s">
        <v>1004</v>
      </c>
      <c r="G321" s="299"/>
    </row>
    <row r="322">
      <c r="D322" s="332">
        <v>320.0</v>
      </c>
      <c r="E322" s="332" t="s">
        <v>4238</v>
      </c>
      <c r="F322" s="332" t="s">
        <v>1004</v>
      </c>
      <c r="G322" s="299"/>
    </row>
    <row r="323">
      <c r="D323" s="332">
        <v>321.0</v>
      </c>
      <c r="E323" s="332" t="s">
        <v>4239</v>
      </c>
      <c r="F323" s="332" t="s">
        <v>1004</v>
      </c>
      <c r="G323" s="299"/>
    </row>
    <row r="324">
      <c r="D324" s="332">
        <v>322.0</v>
      </c>
      <c r="E324" s="332" t="s">
        <v>4240</v>
      </c>
      <c r="F324" s="332" t="s">
        <v>1004</v>
      </c>
      <c r="G324" s="299"/>
    </row>
    <row r="325">
      <c r="D325" s="332">
        <v>323.0</v>
      </c>
      <c r="E325" s="332" t="s">
        <v>4241</v>
      </c>
      <c r="F325" s="332" t="s">
        <v>1004</v>
      </c>
      <c r="G325" s="299"/>
    </row>
    <row r="326">
      <c r="D326" s="332">
        <v>324.0</v>
      </c>
      <c r="E326" s="332" t="s">
        <v>4242</v>
      </c>
      <c r="F326" s="332" t="s">
        <v>1004</v>
      </c>
      <c r="G326" s="299"/>
    </row>
    <row r="327">
      <c r="D327" s="332">
        <v>325.0</v>
      </c>
      <c r="E327" s="332" t="s">
        <v>4243</v>
      </c>
      <c r="F327" s="332" t="s">
        <v>1004</v>
      </c>
      <c r="G327" s="299"/>
    </row>
    <row r="328">
      <c r="D328" s="332">
        <v>326.0</v>
      </c>
      <c r="E328" s="332" t="s">
        <v>4244</v>
      </c>
      <c r="F328" s="332" t="s">
        <v>1004</v>
      </c>
      <c r="G328" s="299"/>
    </row>
    <row r="329">
      <c r="D329" s="332">
        <v>327.0</v>
      </c>
      <c r="E329" s="332" t="s">
        <v>4245</v>
      </c>
      <c r="F329" s="332" t="s">
        <v>1004</v>
      </c>
      <c r="G329" s="299"/>
    </row>
    <row r="330">
      <c r="D330" s="332">
        <v>328.0</v>
      </c>
      <c r="E330" s="332" t="s">
        <v>4246</v>
      </c>
      <c r="F330" s="332" t="s">
        <v>1004</v>
      </c>
      <c r="G330" s="299"/>
    </row>
    <row r="331">
      <c r="D331" s="332">
        <v>329.0</v>
      </c>
      <c r="E331" s="332" t="s">
        <v>4247</v>
      </c>
      <c r="F331" s="332" t="s">
        <v>1004</v>
      </c>
      <c r="G331" s="299"/>
    </row>
    <row r="332">
      <c r="D332" s="332">
        <v>330.0</v>
      </c>
      <c r="E332" s="332" t="s">
        <v>4248</v>
      </c>
      <c r="F332" s="332" t="s">
        <v>1004</v>
      </c>
      <c r="G332" s="299"/>
    </row>
    <row r="333">
      <c r="D333" s="332">
        <v>331.0</v>
      </c>
      <c r="E333" s="332" t="s">
        <v>4249</v>
      </c>
      <c r="F333" s="332" t="s">
        <v>1004</v>
      </c>
      <c r="G333" s="299"/>
    </row>
    <row r="334">
      <c r="D334" s="332">
        <v>332.0</v>
      </c>
      <c r="E334" s="332" t="s">
        <v>97</v>
      </c>
      <c r="F334" s="299"/>
      <c r="G334" s="299"/>
    </row>
    <row r="335">
      <c r="D335" s="332">
        <v>333.0</v>
      </c>
      <c r="E335" s="332" t="s">
        <v>4160</v>
      </c>
      <c r="F335" s="299"/>
      <c r="G335" s="299"/>
    </row>
    <row r="336">
      <c r="D336" s="332">
        <v>334.0</v>
      </c>
      <c r="E336" s="332" t="s">
        <v>4144</v>
      </c>
      <c r="F336" s="332" t="s">
        <v>1004</v>
      </c>
      <c r="G336" s="299"/>
    </row>
    <row r="337">
      <c r="D337" s="332">
        <v>335.0</v>
      </c>
      <c r="E337" s="332" t="s">
        <v>4250</v>
      </c>
      <c r="F337" s="332" t="s">
        <v>1004</v>
      </c>
      <c r="G337" s="299"/>
    </row>
    <row r="338">
      <c r="D338" s="332">
        <v>336.0</v>
      </c>
      <c r="E338" s="332" t="s">
        <v>4251</v>
      </c>
      <c r="F338" s="332" t="s">
        <v>1004</v>
      </c>
      <c r="G338" s="299"/>
    </row>
    <row r="339">
      <c r="D339" s="332">
        <v>337.0</v>
      </c>
      <c r="E339" s="332" t="s">
        <v>4252</v>
      </c>
      <c r="F339" s="332" t="s">
        <v>1004</v>
      </c>
      <c r="G339" s="299"/>
    </row>
    <row r="340">
      <c r="D340" s="332">
        <v>338.0</v>
      </c>
      <c r="E340" s="332" t="s">
        <v>4253</v>
      </c>
      <c r="F340" s="332" t="s">
        <v>1004</v>
      </c>
      <c r="G340" s="299"/>
    </row>
    <row r="341">
      <c r="D341" s="332">
        <v>339.0</v>
      </c>
      <c r="E341" s="332" t="s">
        <v>4254</v>
      </c>
      <c r="F341" s="332" t="s">
        <v>1004</v>
      </c>
      <c r="G341" s="299"/>
    </row>
    <row r="342">
      <c r="D342" s="332">
        <v>340.0</v>
      </c>
      <c r="E342" s="332" t="s">
        <v>4255</v>
      </c>
      <c r="F342" s="332" t="s">
        <v>1004</v>
      </c>
      <c r="G342" s="299"/>
    </row>
    <row r="343">
      <c r="D343" s="332">
        <v>341.0</v>
      </c>
      <c r="E343" s="332" t="s">
        <v>4256</v>
      </c>
      <c r="F343" s="332" t="s">
        <v>1004</v>
      </c>
      <c r="G343" s="299"/>
    </row>
    <row r="344">
      <c r="D344" s="332">
        <v>342.0</v>
      </c>
      <c r="E344" s="332" t="s">
        <v>4257</v>
      </c>
      <c r="F344" s="332" t="s">
        <v>1004</v>
      </c>
      <c r="G344" s="299"/>
    </row>
    <row r="345">
      <c r="D345" s="332">
        <v>343.0</v>
      </c>
      <c r="E345" s="332" t="s">
        <v>4258</v>
      </c>
      <c r="F345" s="332" t="s">
        <v>1004</v>
      </c>
      <c r="G345" s="299"/>
    </row>
    <row r="346">
      <c r="D346" s="332">
        <v>344.0</v>
      </c>
      <c r="E346" s="332" t="s">
        <v>4259</v>
      </c>
      <c r="F346" s="299"/>
      <c r="G346" s="299"/>
    </row>
    <row r="347">
      <c r="D347" s="332">
        <v>345.0</v>
      </c>
      <c r="E347" s="332" t="s">
        <v>4260</v>
      </c>
      <c r="F347" s="299"/>
      <c r="G347" s="299"/>
    </row>
    <row r="348">
      <c r="D348" s="332">
        <v>346.0</v>
      </c>
      <c r="E348" s="332" t="s">
        <v>4261</v>
      </c>
      <c r="F348" s="299"/>
      <c r="G348" s="299"/>
    </row>
    <row r="349">
      <c r="D349" s="332">
        <v>347.0</v>
      </c>
      <c r="E349" s="332" t="s">
        <v>4262</v>
      </c>
      <c r="F349" s="299"/>
      <c r="G349" s="299"/>
    </row>
    <row r="350">
      <c r="D350" s="332">
        <v>348.0</v>
      </c>
      <c r="E350" s="332" t="s">
        <v>4263</v>
      </c>
      <c r="F350" s="332" t="s">
        <v>1004</v>
      </c>
      <c r="G350" s="299"/>
    </row>
    <row r="351">
      <c r="D351" s="332">
        <v>349.0</v>
      </c>
      <c r="E351" s="332" t="s">
        <v>4264</v>
      </c>
      <c r="F351" s="332" t="s">
        <v>1004</v>
      </c>
      <c r="G351" s="299"/>
    </row>
    <row r="352">
      <c r="D352" s="332">
        <v>350.0</v>
      </c>
      <c r="E352" s="332" t="s">
        <v>4265</v>
      </c>
      <c r="F352" s="299"/>
      <c r="G352" s="299"/>
    </row>
    <row r="353">
      <c r="D353" s="332">
        <v>351.0</v>
      </c>
      <c r="E353" s="332" t="s">
        <v>4266</v>
      </c>
      <c r="F353" s="299"/>
      <c r="G353" s="299"/>
    </row>
    <row r="354">
      <c r="D354" s="332">
        <v>352.0</v>
      </c>
      <c r="E354" s="299"/>
      <c r="F354" s="332" t="s">
        <v>1004</v>
      </c>
      <c r="G354" s="299"/>
    </row>
    <row r="355">
      <c r="D355" s="332">
        <v>353.0</v>
      </c>
      <c r="E355" s="299"/>
      <c r="F355" s="332" t="s">
        <v>1004</v>
      </c>
      <c r="G355" s="299"/>
    </row>
    <row r="356">
      <c r="D356" s="332">
        <v>354.0</v>
      </c>
      <c r="E356" s="332" t="s">
        <v>4267</v>
      </c>
      <c r="F356" s="332" t="s">
        <v>1004</v>
      </c>
      <c r="G356" s="299"/>
    </row>
    <row r="357">
      <c r="D357" s="332">
        <v>355.0</v>
      </c>
      <c r="E357" s="332" t="s">
        <v>4268</v>
      </c>
      <c r="F357" s="332" t="s">
        <v>1004</v>
      </c>
      <c r="G357" s="299"/>
    </row>
    <row r="358">
      <c r="D358" s="332">
        <v>356.0</v>
      </c>
      <c r="E358" s="332" t="s">
        <v>4269</v>
      </c>
      <c r="F358" s="332" t="s">
        <v>1004</v>
      </c>
      <c r="G358" s="299"/>
    </row>
    <row r="359">
      <c r="D359" s="332">
        <v>357.0</v>
      </c>
      <c r="E359" s="332" t="s">
        <v>4270</v>
      </c>
      <c r="F359" s="332" t="s">
        <v>1004</v>
      </c>
      <c r="G359" s="299"/>
    </row>
    <row r="360">
      <c r="D360" s="332">
        <v>358.0</v>
      </c>
      <c r="E360" s="299"/>
      <c r="F360" s="332" t="s">
        <v>1004</v>
      </c>
      <c r="G360" s="299"/>
    </row>
    <row r="361">
      <c r="D361" s="332">
        <v>359.0</v>
      </c>
      <c r="E361" s="299"/>
      <c r="F361" s="332" t="s">
        <v>1004</v>
      </c>
      <c r="G361" s="299"/>
    </row>
    <row r="362">
      <c r="D362" s="332">
        <v>360.0</v>
      </c>
      <c r="E362" s="332" t="s">
        <v>4271</v>
      </c>
      <c r="F362" s="299"/>
      <c r="G362" s="299"/>
    </row>
    <row r="363">
      <c r="D363" s="332">
        <v>361.0</v>
      </c>
      <c r="E363" s="332" t="s">
        <v>4272</v>
      </c>
      <c r="F363" s="332" t="s">
        <v>1004</v>
      </c>
      <c r="G363" s="299"/>
    </row>
    <row r="364">
      <c r="D364" s="332">
        <v>362.0</v>
      </c>
      <c r="E364" s="332" t="s">
        <v>4273</v>
      </c>
      <c r="F364" s="332" t="s">
        <v>1004</v>
      </c>
      <c r="G364" s="299"/>
    </row>
    <row r="365">
      <c r="D365" s="332">
        <v>363.0</v>
      </c>
      <c r="E365" s="332" t="s">
        <v>4274</v>
      </c>
      <c r="F365" s="332" t="s">
        <v>1004</v>
      </c>
      <c r="G365" s="299"/>
    </row>
    <row r="366">
      <c r="D366" s="332">
        <v>364.0</v>
      </c>
      <c r="E366" s="332" t="s">
        <v>4275</v>
      </c>
      <c r="F366" s="332" t="s">
        <v>1004</v>
      </c>
      <c r="G366" s="299"/>
    </row>
    <row r="367">
      <c r="D367" s="332">
        <v>365.0</v>
      </c>
      <c r="E367" s="332" t="s">
        <v>4276</v>
      </c>
      <c r="F367" s="332" t="s">
        <v>1004</v>
      </c>
      <c r="G367" s="299"/>
    </row>
    <row r="368">
      <c r="D368" s="332">
        <v>366.0</v>
      </c>
      <c r="E368" s="332" t="s">
        <v>4277</v>
      </c>
      <c r="F368" s="332" t="s">
        <v>1004</v>
      </c>
      <c r="G368" s="299"/>
    </row>
    <row r="369">
      <c r="D369" s="332">
        <v>367.0</v>
      </c>
      <c r="E369" s="332" t="s">
        <v>4278</v>
      </c>
      <c r="F369" s="332" t="s">
        <v>1004</v>
      </c>
      <c r="G369" s="299"/>
    </row>
    <row r="370">
      <c r="D370" s="332">
        <v>368.0</v>
      </c>
      <c r="E370" s="332" t="s">
        <v>4279</v>
      </c>
      <c r="F370" s="299"/>
      <c r="G370" s="299"/>
    </row>
    <row r="371">
      <c r="D371" s="332">
        <v>369.0</v>
      </c>
      <c r="E371" s="332" t="s">
        <v>4280</v>
      </c>
      <c r="F371" s="332" t="s">
        <v>1004</v>
      </c>
      <c r="G371" s="299"/>
    </row>
    <row r="372">
      <c r="D372" s="332">
        <v>370.0</v>
      </c>
      <c r="E372" s="332" t="s">
        <v>4281</v>
      </c>
      <c r="F372" s="332" t="s">
        <v>1004</v>
      </c>
      <c r="G372" s="299"/>
    </row>
    <row r="373">
      <c r="D373" s="332">
        <v>371.0</v>
      </c>
      <c r="E373" s="332" t="s">
        <v>4282</v>
      </c>
      <c r="F373" s="332" t="s">
        <v>1004</v>
      </c>
      <c r="G373" s="299"/>
    </row>
    <row r="374">
      <c r="D374" s="332">
        <v>372.0</v>
      </c>
      <c r="E374" s="332" t="s">
        <v>4283</v>
      </c>
      <c r="F374" s="332" t="s">
        <v>1004</v>
      </c>
      <c r="G374" s="299"/>
    </row>
    <row r="375">
      <c r="D375" s="332">
        <v>373.0</v>
      </c>
      <c r="E375" s="332" t="s">
        <v>4284</v>
      </c>
      <c r="F375" s="332" t="s">
        <v>1004</v>
      </c>
      <c r="G375" s="299"/>
    </row>
    <row r="376">
      <c r="D376" s="332">
        <v>374.0</v>
      </c>
      <c r="E376" s="332" t="s">
        <v>4285</v>
      </c>
      <c r="F376" s="332" t="s">
        <v>1004</v>
      </c>
      <c r="G376" s="299"/>
    </row>
    <row r="377">
      <c r="D377" s="332">
        <v>375.0</v>
      </c>
      <c r="E377" s="332" t="s">
        <v>4286</v>
      </c>
      <c r="F377" s="332" t="s">
        <v>1004</v>
      </c>
      <c r="G377" s="299"/>
    </row>
    <row r="378">
      <c r="D378" s="332">
        <v>376.0</v>
      </c>
      <c r="E378" s="332" t="s">
        <v>4287</v>
      </c>
      <c r="F378" s="332" t="s">
        <v>1004</v>
      </c>
      <c r="G378" s="299"/>
    </row>
    <row r="379">
      <c r="D379" s="332">
        <v>377.0</v>
      </c>
      <c r="E379" s="332" t="s">
        <v>4288</v>
      </c>
      <c r="F379" s="299"/>
      <c r="G379" s="299"/>
    </row>
    <row r="380">
      <c r="D380" s="332">
        <v>378.0</v>
      </c>
      <c r="E380" s="332" t="s">
        <v>4289</v>
      </c>
      <c r="F380" s="332" t="s">
        <v>1004</v>
      </c>
      <c r="G380" s="299"/>
    </row>
    <row r="381">
      <c r="D381" s="332">
        <v>379.0</v>
      </c>
      <c r="E381" s="332" t="s">
        <v>4290</v>
      </c>
      <c r="F381" s="332" t="s">
        <v>1004</v>
      </c>
      <c r="G381" s="299"/>
    </row>
    <row r="382">
      <c r="D382" s="332">
        <v>380.0</v>
      </c>
      <c r="E382" s="332" t="s">
        <v>4291</v>
      </c>
      <c r="F382" s="332" t="s">
        <v>1004</v>
      </c>
      <c r="G382" s="299"/>
    </row>
    <row r="383">
      <c r="D383" s="332">
        <v>381.0</v>
      </c>
      <c r="E383" s="332" t="s">
        <v>4292</v>
      </c>
      <c r="F383" s="299"/>
      <c r="G383" s="299"/>
    </row>
    <row r="384">
      <c r="D384" s="332">
        <v>382.0</v>
      </c>
      <c r="E384" s="332" t="s">
        <v>4293</v>
      </c>
      <c r="F384" s="299"/>
      <c r="G384" s="299"/>
    </row>
    <row r="385">
      <c r="D385" s="332">
        <v>383.0</v>
      </c>
      <c r="E385" s="332" t="s">
        <v>4294</v>
      </c>
      <c r="F385" s="299"/>
      <c r="G385" s="299"/>
    </row>
    <row r="386">
      <c r="D386" s="332">
        <v>384.0</v>
      </c>
      <c r="E386" s="332" t="s">
        <v>4295</v>
      </c>
      <c r="F386" s="332" t="s">
        <v>1004</v>
      </c>
      <c r="G386" s="299"/>
    </row>
    <row r="387">
      <c r="D387" s="332">
        <v>385.0</v>
      </c>
      <c r="E387" s="332" t="s">
        <v>4296</v>
      </c>
      <c r="F387" s="332" t="s">
        <v>1004</v>
      </c>
      <c r="G387" s="299"/>
    </row>
    <row r="388">
      <c r="D388" s="332">
        <v>386.0</v>
      </c>
      <c r="E388" s="332" t="s">
        <v>4297</v>
      </c>
      <c r="F388" s="332" t="s">
        <v>1004</v>
      </c>
      <c r="G388" s="299"/>
    </row>
    <row r="389">
      <c r="D389" s="332">
        <v>387.0</v>
      </c>
      <c r="E389" s="332" t="s">
        <v>4298</v>
      </c>
      <c r="F389" s="332" t="s">
        <v>1004</v>
      </c>
      <c r="G389" s="299"/>
    </row>
    <row r="390">
      <c r="D390" s="332">
        <v>388.0</v>
      </c>
      <c r="E390" s="332" t="s">
        <v>4299</v>
      </c>
      <c r="F390" s="332" t="s">
        <v>1004</v>
      </c>
      <c r="G390" s="299"/>
    </row>
    <row r="391">
      <c r="D391" s="332">
        <v>389.0</v>
      </c>
      <c r="E391" s="332" t="s">
        <v>4300</v>
      </c>
      <c r="F391" s="332" t="s">
        <v>1004</v>
      </c>
      <c r="G391" s="299"/>
    </row>
    <row r="392">
      <c r="D392" s="332">
        <v>390.0</v>
      </c>
      <c r="E392" s="332" t="s">
        <v>4301</v>
      </c>
      <c r="F392" s="332" t="s">
        <v>1004</v>
      </c>
      <c r="G392" s="299"/>
    </row>
    <row r="393">
      <c r="D393" s="332">
        <v>391.0</v>
      </c>
      <c r="E393" s="332" t="s">
        <v>4302</v>
      </c>
      <c r="F393" s="332" t="s">
        <v>1004</v>
      </c>
      <c r="G393" s="299"/>
    </row>
    <row r="394">
      <c r="D394" s="332">
        <v>392.0</v>
      </c>
      <c r="E394" s="332" t="s">
        <v>4303</v>
      </c>
      <c r="F394" s="332" t="s">
        <v>1004</v>
      </c>
      <c r="G394" s="299"/>
    </row>
    <row r="395">
      <c r="D395" s="332">
        <v>393.0</v>
      </c>
      <c r="E395" s="332" t="s">
        <v>4304</v>
      </c>
      <c r="F395" s="332" t="s">
        <v>1004</v>
      </c>
      <c r="G395" s="299"/>
    </row>
    <row r="396">
      <c r="D396" s="332">
        <v>394.0</v>
      </c>
      <c r="E396" s="332" t="s">
        <v>4305</v>
      </c>
      <c r="F396" s="332" t="s">
        <v>1004</v>
      </c>
      <c r="G396" s="299"/>
    </row>
    <row r="397">
      <c r="D397" s="332">
        <v>395.0</v>
      </c>
      <c r="E397" s="332" t="s">
        <v>4306</v>
      </c>
      <c r="F397" s="332" t="s">
        <v>1004</v>
      </c>
      <c r="G397" s="299"/>
    </row>
    <row r="398">
      <c r="D398" s="332">
        <v>396.0</v>
      </c>
      <c r="E398" s="332" t="s">
        <v>4307</v>
      </c>
      <c r="F398" s="332" t="s">
        <v>1004</v>
      </c>
      <c r="G398" s="299"/>
    </row>
    <row r="399">
      <c r="D399" s="332">
        <v>397.0</v>
      </c>
      <c r="E399" s="332" t="s">
        <v>4308</v>
      </c>
      <c r="F399" s="332" t="s">
        <v>1004</v>
      </c>
      <c r="G399" s="299"/>
    </row>
    <row r="400">
      <c r="D400" s="332">
        <v>398.0</v>
      </c>
      <c r="E400" s="332" t="s">
        <v>4309</v>
      </c>
      <c r="F400" s="332" t="s">
        <v>1004</v>
      </c>
      <c r="G400" s="299"/>
    </row>
    <row r="401">
      <c r="D401" s="332">
        <v>399.0</v>
      </c>
      <c r="E401" s="332" t="s">
        <v>4310</v>
      </c>
      <c r="F401" s="332" t="s">
        <v>1004</v>
      </c>
      <c r="G401" s="299"/>
    </row>
    <row r="402">
      <c r="D402" s="332">
        <v>400.0</v>
      </c>
      <c r="E402" s="332" t="s">
        <v>4311</v>
      </c>
      <c r="F402" s="299"/>
      <c r="G402" s="299"/>
    </row>
    <row r="403">
      <c r="D403" s="332">
        <v>401.0</v>
      </c>
      <c r="E403" s="332" t="s">
        <v>4312</v>
      </c>
      <c r="F403" s="332" t="s">
        <v>1004</v>
      </c>
      <c r="G403" s="299"/>
    </row>
    <row r="404">
      <c r="D404" s="332">
        <v>402.0</v>
      </c>
      <c r="E404" s="332" t="s">
        <v>4313</v>
      </c>
      <c r="F404" s="332" t="s">
        <v>1004</v>
      </c>
      <c r="G404" s="299"/>
    </row>
    <row r="405">
      <c r="D405" s="332">
        <v>403.0</v>
      </c>
      <c r="E405" s="332" t="s">
        <v>4314</v>
      </c>
      <c r="F405" s="332" t="s">
        <v>1004</v>
      </c>
      <c r="G405" s="299"/>
    </row>
    <row r="406">
      <c r="D406" s="332">
        <v>404.0</v>
      </c>
      <c r="E406" s="332" t="s">
        <v>4315</v>
      </c>
      <c r="F406" s="332" t="s">
        <v>1004</v>
      </c>
      <c r="G406" s="299"/>
    </row>
    <row r="407">
      <c r="D407" s="332">
        <v>405.0</v>
      </c>
      <c r="E407" s="332" t="s">
        <v>4316</v>
      </c>
      <c r="F407" s="332" t="s">
        <v>1004</v>
      </c>
      <c r="G407" s="299"/>
    </row>
    <row r="408">
      <c r="D408" s="332">
        <v>406.0</v>
      </c>
      <c r="E408" s="332" t="s">
        <v>4317</v>
      </c>
      <c r="F408" s="299"/>
      <c r="G408" s="299"/>
    </row>
    <row r="409">
      <c r="D409" s="332">
        <v>407.0</v>
      </c>
      <c r="E409" s="332" t="s">
        <v>4318</v>
      </c>
      <c r="F409" s="299"/>
      <c r="G409" s="299"/>
    </row>
    <row r="410">
      <c r="D410" s="332">
        <v>408.0</v>
      </c>
      <c r="E410" s="332" t="s">
        <v>4319</v>
      </c>
      <c r="F410" s="299"/>
      <c r="G410" s="299"/>
    </row>
    <row r="411">
      <c r="D411" s="332">
        <v>409.0</v>
      </c>
      <c r="E411" s="332" t="s">
        <v>4212</v>
      </c>
      <c r="F411" s="299"/>
      <c r="G411" s="299"/>
    </row>
    <row r="412">
      <c r="D412" s="332">
        <v>410.0</v>
      </c>
      <c r="E412" s="332" t="s">
        <v>4320</v>
      </c>
      <c r="F412" s="332" t="s">
        <v>1004</v>
      </c>
      <c r="G412" s="299"/>
    </row>
    <row r="413">
      <c r="D413" s="332">
        <v>411.0</v>
      </c>
      <c r="E413" s="332" t="s">
        <v>4321</v>
      </c>
      <c r="F413" s="332" t="s">
        <v>1004</v>
      </c>
      <c r="G413" s="299"/>
    </row>
    <row r="414">
      <c r="D414" s="332">
        <v>412.0</v>
      </c>
      <c r="E414" s="332" t="s">
        <v>4322</v>
      </c>
      <c r="F414" s="332" t="s">
        <v>1004</v>
      </c>
      <c r="G414" s="299"/>
    </row>
    <row r="415">
      <c r="D415" s="332">
        <v>413.0</v>
      </c>
      <c r="E415" s="332" t="s">
        <v>4323</v>
      </c>
      <c r="F415" s="299"/>
      <c r="G415" s="299"/>
    </row>
    <row r="416">
      <c r="D416" s="332">
        <v>414.0</v>
      </c>
      <c r="E416" s="332" t="s">
        <v>4324</v>
      </c>
      <c r="F416" s="332" t="s">
        <v>1004</v>
      </c>
      <c r="G416" s="299"/>
    </row>
    <row r="417">
      <c r="D417" s="332">
        <v>415.0</v>
      </c>
      <c r="E417" s="332" t="s">
        <v>4325</v>
      </c>
      <c r="F417" s="332" t="s">
        <v>1004</v>
      </c>
      <c r="G417" s="299"/>
    </row>
    <row r="418">
      <c r="D418" s="332">
        <v>416.0</v>
      </c>
      <c r="E418" s="332" t="s">
        <v>4326</v>
      </c>
      <c r="F418" s="299"/>
      <c r="G418" s="299"/>
    </row>
    <row r="419">
      <c r="D419" s="332">
        <v>417.0</v>
      </c>
      <c r="E419" s="332" t="s">
        <v>4327</v>
      </c>
      <c r="F419" s="332" t="s">
        <v>1004</v>
      </c>
      <c r="G419" s="299"/>
    </row>
    <row r="420">
      <c r="D420" s="332">
        <v>418.0</v>
      </c>
      <c r="E420" s="332" t="s">
        <v>4328</v>
      </c>
      <c r="F420" s="332" t="s">
        <v>1004</v>
      </c>
      <c r="G420" s="299"/>
    </row>
    <row r="421">
      <c r="D421" s="332">
        <v>419.0</v>
      </c>
      <c r="E421" s="332" t="s">
        <v>4329</v>
      </c>
      <c r="F421" s="332" t="s">
        <v>1004</v>
      </c>
      <c r="G421" s="299"/>
    </row>
    <row r="422">
      <c r="D422" s="332">
        <v>420.0</v>
      </c>
      <c r="E422" s="332" t="s">
        <v>4330</v>
      </c>
      <c r="F422" s="332" t="s">
        <v>1004</v>
      </c>
      <c r="G422" s="299"/>
    </row>
    <row r="423">
      <c r="D423" s="332">
        <v>421.0</v>
      </c>
      <c r="E423" s="332" t="s">
        <v>4331</v>
      </c>
      <c r="F423" s="332" t="s">
        <v>1004</v>
      </c>
      <c r="G423" s="299"/>
    </row>
    <row r="424">
      <c r="D424" s="332">
        <v>422.0</v>
      </c>
      <c r="E424" s="332" t="s">
        <v>4332</v>
      </c>
      <c r="F424" s="299"/>
      <c r="G424" s="299"/>
    </row>
    <row r="425">
      <c r="D425" s="332">
        <v>423.0</v>
      </c>
      <c r="E425" s="332" t="s">
        <v>4333</v>
      </c>
      <c r="F425" s="332" t="s">
        <v>1004</v>
      </c>
      <c r="G425" s="299"/>
    </row>
    <row r="426">
      <c r="D426" s="332">
        <v>424.0</v>
      </c>
      <c r="E426" s="332" t="s">
        <v>4334</v>
      </c>
      <c r="F426" s="299"/>
      <c r="G426" s="299"/>
    </row>
    <row r="427">
      <c r="D427" s="332">
        <v>425.0</v>
      </c>
      <c r="E427" s="332" t="s">
        <v>4335</v>
      </c>
      <c r="F427" s="332" t="s">
        <v>1004</v>
      </c>
      <c r="G427" s="299"/>
    </row>
    <row r="428">
      <c r="D428" s="332">
        <v>426.0</v>
      </c>
      <c r="E428" s="332" t="s">
        <v>4336</v>
      </c>
      <c r="F428" s="332" t="s">
        <v>1004</v>
      </c>
      <c r="G428" s="299"/>
    </row>
    <row r="429">
      <c r="D429" s="332">
        <v>427.0</v>
      </c>
      <c r="E429" s="332" t="s">
        <v>4337</v>
      </c>
      <c r="F429" s="332" t="s">
        <v>1004</v>
      </c>
      <c r="G429" s="299"/>
    </row>
    <row r="430">
      <c r="D430" s="332">
        <v>428.0</v>
      </c>
      <c r="E430" s="332" t="s">
        <v>4338</v>
      </c>
      <c r="F430" s="332" t="s">
        <v>1004</v>
      </c>
      <c r="G430" s="299"/>
    </row>
    <row r="431">
      <c r="D431" s="332">
        <v>429.0</v>
      </c>
      <c r="E431" s="332" t="s">
        <v>4322</v>
      </c>
      <c r="F431" s="332" t="s">
        <v>1004</v>
      </c>
      <c r="G431" s="299"/>
    </row>
    <row r="432">
      <c r="D432" s="332">
        <v>430.0</v>
      </c>
      <c r="E432" s="332" t="s">
        <v>4339</v>
      </c>
      <c r="F432" s="299"/>
      <c r="G432" s="299"/>
    </row>
    <row r="433">
      <c r="D433" s="332">
        <v>431.0</v>
      </c>
      <c r="E433" s="332" t="s">
        <v>4323</v>
      </c>
      <c r="F433" s="299"/>
      <c r="G433" s="299"/>
    </row>
    <row r="434">
      <c r="D434" s="332">
        <v>432.0</v>
      </c>
      <c r="E434" s="332" t="s">
        <v>4340</v>
      </c>
      <c r="F434" s="299"/>
      <c r="G434" s="299"/>
    </row>
    <row r="435">
      <c r="D435" s="332">
        <v>433.0</v>
      </c>
      <c r="E435" s="332" t="s">
        <v>4324</v>
      </c>
      <c r="F435" s="299"/>
      <c r="G435" s="299"/>
    </row>
    <row r="436">
      <c r="D436" s="332">
        <v>434.0</v>
      </c>
      <c r="E436" s="332" t="s">
        <v>4341</v>
      </c>
      <c r="F436" s="299"/>
      <c r="G436" s="299"/>
    </row>
    <row r="437">
      <c r="D437" s="332">
        <v>435.0</v>
      </c>
      <c r="E437" s="332" t="s">
        <v>4342</v>
      </c>
      <c r="F437" s="332" t="s">
        <v>1004</v>
      </c>
      <c r="G437" s="29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41.75"/>
    <col customWidth="1" min="5" max="5" width="64.63"/>
    <col customWidth="1" min="6" max="6" width="73.25"/>
  </cols>
  <sheetData>
    <row r="1">
      <c r="D1" s="336" t="s">
        <v>4343</v>
      </c>
      <c r="E1" s="337" t="s">
        <v>4344</v>
      </c>
      <c r="F1" s="338" t="s">
        <v>4345</v>
      </c>
    </row>
    <row r="2">
      <c r="D2" s="339" t="s">
        <v>4346</v>
      </c>
      <c r="E2" s="339" t="s">
        <v>4344</v>
      </c>
      <c r="F2" s="339" t="s">
        <v>4347</v>
      </c>
    </row>
    <row r="3">
      <c r="D3" s="340"/>
      <c r="E3" s="340"/>
      <c r="F3" s="340"/>
    </row>
    <row r="4">
      <c r="D4" s="340"/>
      <c r="E4" s="340"/>
      <c r="F4" s="340"/>
    </row>
    <row r="5">
      <c r="D5" s="341" t="s">
        <v>3934</v>
      </c>
      <c r="E5" s="342" t="s">
        <v>4348</v>
      </c>
      <c r="F5" s="343" t="s">
        <v>4349</v>
      </c>
    </row>
    <row r="6">
      <c r="D6" s="341" t="s">
        <v>3928</v>
      </c>
      <c r="E6" s="342" t="s">
        <v>4348</v>
      </c>
      <c r="F6" s="343" t="s">
        <v>4350</v>
      </c>
    </row>
    <row r="7">
      <c r="D7" s="341" t="s">
        <v>3925</v>
      </c>
      <c r="E7" s="342" t="s">
        <v>4348</v>
      </c>
      <c r="F7" s="343" t="s">
        <v>4351</v>
      </c>
    </row>
    <row r="8">
      <c r="D8" s="341" t="s">
        <v>4352</v>
      </c>
      <c r="E8" s="340"/>
      <c r="F8" s="340"/>
    </row>
    <row r="9">
      <c r="D9" s="341" t="s">
        <v>3932</v>
      </c>
      <c r="E9" s="342" t="s">
        <v>4348</v>
      </c>
      <c r="F9" s="343" t="s">
        <v>4353</v>
      </c>
    </row>
    <row r="10">
      <c r="D10" s="341" t="s">
        <v>3930</v>
      </c>
      <c r="E10" s="342" t="s">
        <v>4348</v>
      </c>
      <c r="F10" s="343" t="s">
        <v>4354</v>
      </c>
    </row>
    <row r="11">
      <c r="D11" s="341" t="s">
        <v>3908</v>
      </c>
      <c r="E11" s="342" t="s">
        <v>4355</v>
      </c>
      <c r="F11" s="343" t="s">
        <v>4356</v>
      </c>
    </row>
    <row r="12">
      <c r="D12" s="341" t="s">
        <v>3911</v>
      </c>
      <c r="E12" s="342" t="s">
        <v>4357</v>
      </c>
      <c r="F12" s="343" t="s">
        <v>4358</v>
      </c>
    </row>
    <row r="13">
      <c r="D13" s="341" t="s">
        <v>3907</v>
      </c>
      <c r="E13" s="342" t="s">
        <v>4348</v>
      </c>
      <c r="F13" s="343" t="s">
        <v>4359</v>
      </c>
    </row>
    <row r="14">
      <c r="D14" s="341" t="s">
        <v>3918</v>
      </c>
      <c r="E14" s="342" t="s">
        <v>4348</v>
      </c>
      <c r="F14" s="343" t="s">
        <v>4360</v>
      </c>
    </row>
    <row r="15">
      <c r="D15" s="341" t="s">
        <v>3938</v>
      </c>
      <c r="E15" s="342" t="s">
        <v>4348</v>
      </c>
      <c r="F15" s="343" t="s">
        <v>4361</v>
      </c>
    </row>
    <row r="16">
      <c r="D16" s="341" t="s">
        <v>4059</v>
      </c>
      <c r="E16" s="342" t="s">
        <v>4362</v>
      </c>
      <c r="F16" s="343" t="s">
        <v>4363</v>
      </c>
    </row>
    <row r="17">
      <c r="D17" s="341" t="s">
        <v>4066</v>
      </c>
      <c r="E17" s="342" t="s">
        <v>4362</v>
      </c>
      <c r="F17" s="343" t="s">
        <v>4364</v>
      </c>
    </row>
    <row r="18">
      <c r="D18" s="341" t="s">
        <v>4068</v>
      </c>
      <c r="E18" s="342" t="s">
        <v>4362</v>
      </c>
      <c r="F18" s="343" t="s">
        <v>4365</v>
      </c>
    </row>
    <row r="19">
      <c r="D19" s="341" t="s">
        <v>4070</v>
      </c>
      <c r="E19" s="342" t="s">
        <v>4362</v>
      </c>
      <c r="F19" s="343" t="s">
        <v>4366</v>
      </c>
    </row>
    <row r="20">
      <c r="D20" s="341" t="s">
        <v>4072</v>
      </c>
      <c r="E20" s="342" t="s">
        <v>4362</v>
      </c>
      <c r="F20" s="343" t="s">
        <v>4367</v>
      </c>
    </row>
    <row r="21">
      <c r="D21" s="341" t="s">
        <v>4073</v>
      </c>
      <c r="E21" s="342" t="s">
        <v>4362</v>
      </c>
      <c r="F21" s="343" t="s">
        <v>4368</v>
      </c>
    </row>
    <row r="22">
      <c r="D22" s="341" t="s">
        <v>4077</v>
      </c>
      <c r="E22" s="342" t="s">
        <v>4362</v>
      </c>
      <c r="F22" s="343" t="s">
        <v>4369</v>
      </c>
    </row>
    <row r="23">
      <c r="D23" s="341" t="s">
        <v>4082</v>
      </c>
      <c r="E23" s="342" t="s">
        <v>4362</v>
      </c>
      <c r="F23" s="343" t="s">
        <v>4370</v>
      </c>
    </row>
    <row r="24">
      <c r="D24" s="340"/>
      <c r="E24" s="340"/>
      <c r="F24" s="340"/>
    </row>
    <row r="25">
      <c r="D25" s="341" t="s">
        <v>4133</v>
      </c>
      <c r="E25" s="342" t="s">
        <v>4371</v>
      </c>
      <c r="F25" s="343" t="s">
        <v>4372</v>
      </c>
    </row>
    <row r="26">
      <c r="D26" s="341" t="s">
        <v>4130</v>
      </c>
      <c r="E26" s="342" t="s">
        <v>4371</v>
      </c>
      <c r="F26" s="343" t="s">
        <v>4373</v>
      </c>
    </row>
    <row r="27">
      <c r="D27" s="341" t="s">
        <v>4136</v>
      </c>
      <c r="E27" s="342" t="s">
        <v>4371</v>
      </c>
      <c r="F27" s="343" t="s">
        <v>4374</v>
      </c>
    </row>
    <row r="28">
      <c r="D28" s="341" t="s">
        <v>4171</v>
      </c>
      <c r="E28" s="342" t="s">
        <v>4371</v>
      </c>
      <c r="F28" s="343" t="s">
        <v>4375</v>
      </c>
    </row>
    <row r="29">
      <c r="D29" s="341" t="s">
        <v>4376</v>
      </c>
      <c r="E29" s="340"/>
      <c r="F29" s="343" t="s">
        <v>4377</v>
      </c>
    </row>
    <row r="30">
      <c r="D30" s="341" t="s">
        <v>4378</v>
      </c>
      <c r="E30" s="342" t="s">
        <v>4362</v>
      </c>
      <c r="F30" s="343" t="s">
        <v>4379</v>
      </c>
    </row>
    <row r="31">
      <c r="D31" s="341" t="s">
        <v>4380</v>
      </c>
      <c r="E31" s="342" t="s">
        <v>4362</v>
      </c>
      <c r="F31" s="343" t="s">
        <v>4381</v>
      </c>
    </row>
    <row r="32">
      <c r="D32" s="341" t="s">
        <v>4382</v>
      </c>
      <c r="E32" s="342" t="s">
        <v>4362</v>
      </c>
      <c r="F32" s="343" t="s">
        <v>4383</v>
      </c>
    </row>
    <row r="33">
      <c r="D33" s="341" t="s">
        <v>4384</v>
      </c>
      <c r="E33" s="342" t="s">
        <v>4371</v>
      </c>
      <c r="F33" s="343" t="s">
        <v>4385</v>
      </c>
    </row>
    <row r="34">
      <c r="D34" s="341" t="s">
        <v>4193</v>
      </c>
      <c r="E34" s="342" t="s">
        <v>4371</v>
      </c>
      <c r="F34" s="343" t="s">
        <v>4377</v>
      </c>
    </row>
    <row r="35">
      <c r="D35" s="341" t="s">
        <v>4053</v>
      </c>
      <c r="E35" s="342" t="s">
        <v>4362</v>
      </c>
      <c r="F35" s="343" t="s">
        <v>4386</v>
      </c>
    </row>
    <row r="36">
      <c r="D36" s="341" t="s">
        <v>4055</v>
      </c>
      <c r="E36" s="342" t="s">
        <v>4362</v>
      </c>
      <c r="F36" s="343" t="s">
        <v>4387</v>
      </c>
    </row>
    <row r="37">
      <c r="D37" s="341" t="s">
        <v>4057</v>
      </c>
      <c r="E37" s="342" t="s">
        <v>4362</v>
      </c>
      <c r="F37" s="343" t="s">
        <v>4388</v>
      </c>
    </row>
    <row r="38">
      <c r="D38" s="341" t="s">
        <v>3886</v>
      </c>
      <c r="E38" s="340"/>
      <c r="F38" s="340"/>
    </row>
    <row r="39">
      <c r="D39" s="341" t="s">
        <v>3985</v>
      </c>
      <c r="E39" s="342" t="s">
        <v>4389</v>
      </c>
      <c r="F39" s="343" t="s">
        <v>4390</v>
      </c>
    </row>
    <row r="40">
      <c r="D40" s="340"/>
      <c r="E40" s="340"/>
      <c r="F40" s="340"/>
    </row>
    <row r="41">
      <c r="D41" s="340"/>
      <c r="E41" s="340"/>
      <c r="F41" s="340"/>
    </row>
    <row r="42">
      <c r="D42" s="341" t="s">
        <v>4181</v>
      </c>
      <c r="E42" s="342" t="s">
        <v>4371</v>
      </c>
      <c r="F42" s="343" t="s">
        <v>4391</v>
      </c>
    </row>
    <row r="43">
      <c r="D43" s="341" t="s">
        <v>4178</v>
      </c>
      <c r="E43" s="342" t="s">
        <v>4371</v>
      </c>
      <c r="F43" s="343" t="s">
        <v>4392</v>
      </c>
    </row>
    <row r="44">
      <c r="D44" s="341" t="s">
        <v>4185</v>
      </c>
      <c r="E44" s="342" t="s">
        <v>4371</v>
      </c>
      <c r="F44" s="343" t="s">
        <v>4393</v>
      </c>
    </row>
    <row r="45">
      <c r="D45" s="340"/>
      <c r="E45" s="340"/>
      <c r="F45" s="340"/>
    </row>
    <row r="46">
      <c r="D46" s="341" t="s">
        <v>4187</v>
      </c>
      <c r="E46" s="342" t="s">
        <v>4371</v>
      </c>
      <c r="F46" s="343" t="s">
        <v>4394</v>
      </c>
    </row>
    <row r="47">
      <c r="D47" s="341" t="s">
        <v>4061</v>
      </c>
      <c r="E47" s="342" t="s">
        <v>4362</v>
      </c>
      <c r="F47" s="343" t="s">
        <v>4395</v>
      </c>
    </row>
    <row r="48">
      <c r="D48" s="341" t="s">
        <v>4062</v>
      </c>
      <c r="E48" s="342" t="s">
        <v>4362</v>
      </c>
      <c r="F48" s="343" t="s">
        <v>4396</v>
      </c>
    </row>
    <row r="49">
      <c r="D49" s="341" t="s">
        <v>4063</v>
      </c>
      <c r="E49" s="342" t="s">
        <v>4362</v>
      </c>
      <c r="F49" s="343" t="s">
        <v>4397</v>
      </c>
    </row>
    <row r="50">
      <c r="D50" s="340"/>
      <c r="E50" s="340"/>
      <c r="F50" s="340"/>
    </row>
    <row r="51">
      <c r="D51" s="341" t="s">
        <v>4398</v>
      </c>
      <c r="E51" s="340"/>
      <c r="F51" s="340"/>
    </row>
    <row r="52">
      <c r="D52" s="341" t="s">
        <v>4399</v>
      </c>
      <c r="E52" s="340"/>
      <c r="F52" s="340"/>
    </row>
    <row r="53">
      <c r="D53" s="341" t="s">
        <v>3886</v>
      </c>
      <c r="E53" s="340"/>
      <c r="F53" s="340"/>
    </row>
    <row r="54">
      <c r="D54" s="340"/>
      <c r="E54" s="340"/>
      <c r="F54" s="340"/>
    </row>
    <row r="55">
      <c r="D55" s="341" t="s">
        <v>4400</v>
      </c>
      <c r="E55" s="340"/>
      <c r="F55" s="340"/>
    </row>
    <row r="56">
      <c r="D56" s="341" t="s">
        <v>4401</v>
      </c>
      <c r="E56" s="340"/>
      <c r="F56" s="340"/>
    </row>
    <row r="57">
      <c r="D57" s="341" t="s">
        <v>4402</v>
      </c>
      <c r="E57" s="340"/>
      <c r="F57" s="340"/>
    </row>
    <row r="58">
      <c r="D58" s="341" t="s">
        <v>3886</v>
      </c>
      <c r="E58" s="340"/>
      <c r="F58" s="340"/>
    </row>
    <row r="59">
      <c r="D59" s="340"/>
      <c r="E59" s="340"/>
      <c r="F59" s="340"/>
    </row>
    <row r="60">
      <c r="D60" s="341" t="s">
        <v>4403</v>
      </c>
      <c r="E60" s="340"/>
      <c r="F60" s="340"/>
    </row>
    <row r="61">
      <c r="D61" s="341" t="s">
        <v>4404</v>
      </c>
      <c r="E61" s="340"/>
      <c r="F61" s="340"/>
    </row>
    <row r="62">
      <c r="D62" s="341" t="s">
        <v>4405</v>
      </c>
      <c r="E62" s="340"/>
      <c r="F62" s="340"/>
    </row>
    <row r="63">
      <c r="D63" s="341" t="s">
        <v>4406</v>
      </c>
      <c r="E63" s="340"/>
      <c r="F63" s="340"/>
    </row>
    <row r="64">
      <c r="D64" s="341" t="s">
        <v>3886</v>
      </c>
      <c r="E64" s="340"/>
      <c r="F64" s="340"/>
    </row>
    <row r="65">
      <c r="D65" s="340"/>
      <c r="E65" s="340"/>
      <c r="F65" s="340"/>
    </row>
    <row r="66">
      <c r="D66" s="341" t="s">
        <v>4407</v>
      </c>
      <c r="E66" s="340"/>
      <c r="F66" s="340"/>
    </row>
    <row r="67">
      <c r="D67" s="341" t="s">
        <v>4408</v>
      </c>
      <c r="E67" s="340"/>
      <c r="F67" s="340"/>
    </row>
    <row r="68">
      <c r="D68" s="341" t="s">
        <v>4409</v>
      </c>
      <c r="E68" s="340"/>
      <c r="F68" s="340"/>
    </row>
    <row r="69">
      <c r="D69" s="341" t="s">
        <v>4410</v>
      </c>
      <c r="E69" s="340"/>
      <c r="F69" s="340"/>
    </row>
    <row r="70">
      <c r="D70" s="341" t="s">
        <v>4411</v>
      </c>
      <c r="E70" s="340"/>
      <c r="F70" s="340"/>
    </row>
    <row r="71">
      <c r="D71" s="341" t="s">
        <v>4412</v>
      </c>
      <c r="E71" s="340"/>
      <c r="F71" s="340"/>
    </row>
    <row r="72">
      <c r="D72" s="341" t="s">
        <v>4413</v>
      </c>
      <c r="E72" s="340"/>
      <c r="F72" s="340"/>
    </row>
    <row r="73">
      <c r="D73" s="341" t="s">
        <v>4414</v>
      </c>
      <c r="E73" s="340"/>
      <c r="F73" s="340"/>
    </row>
    <row r="74">
      <c r="D74" s="341" t="s">
        <v>4415</v>
      </c>
      <c r="E74" s="340"/>
      <c r="F74" s="340"/>
    </row>
    <row r="75">
      <c r="D75" s="341" t="s">
        <v>4416</v>
      </c>
      <c r="E75" s="340"/>
      <c r="F75" s="340"/>
    </row>
    <row r="76">
      <c r="D76" s="341" t="s">
        <v>4417</v>
      </c>
      <c r="E76" s="340"/>
      <c r="F76" s="340"/>
    </row>
    <row r="77">
      <c r="D77" s="341" t="s">
        <v>3886</v>
      </c>
      <c r="E77" s="340"/>
      <c r="F77" s="340"/>
    </row>
    <row r="78">
      <c r="D78" s="340"/>
      <c r="E78" s="340"/>
      <c r="F78" s="340"/>
    </row>
    <row r="79">
      <c r="D79" s="341" t="s">
        <v>4418</v>
      </c>
      <c r="E79" s="340"/>
      <c r="F79" s="340"/>
    </row>
    <row r="80">
      <c r="D80" s="341" t="s">
        <v>4419</v>
      </c>
      <c r="E80" s="340"/>
      <c r="F80" s="340"/>
    </row>
    <row r="81">
      <c r="D81" s="341" t="s">
        <v>3886</v>
      </c>
      <c r="E81" s="340"/>
      <c r="F81" s="340"/>
    </row>
    <row r="82">
      <c r="D82" s="340"/>
      <c r="E82" s="340"/>
      <c r="F82" s="340"/>
    </row>
    <row r="83">
      <c r="D83" s="341" t="s">
        <v>4420</v>
      </c>
      <c r="E83" s="340"/>
      <c r="F83" s="340"/>
    </row>
    <row r="84">
      <c r="D84" s="341" t="s">
        <v>4421</v>
      </c>
      <c r="E84" s="340"/>
      <c r="F84" s="340"/>
    </row>
    <row r="85">
      <c r="D85" s="341" t="s">
        <v>4422</v>
      </c>
      <c r="E85" s="340"/>
      <c r="F85" s="340"/>
    </row>
    <row r="86">
      <c r="D86" s="341" t="s">
        <v>4423</v>
      </c>
      <c r="E86" s="340"/>
      <c r="F86" s="340"/>
    </row>
    <row r="87">
      <c r="D87" s="341" t="s">
        <v>4424</v>
      </c>
      <c r="E87" s="340"/>
      <c r="F87" s="340"/>
    </row>
    <row r="88">
      <c r="D88" s="341" t="s">
        <v>4425</v>
      </c>
      <c r="E88" s="340"/>
      <c r="F88" s="340"/>
    </row>
    <row r="89">
      <c r="D89" s="341" t="s">
        <v>3886</v>
      </c>
      <c r="E89" s="340"/>
      <c r="F89" s="340"/>
    </row>
    <row r="90">
      <c r="D90" s="340"/>
      <c r="E90" s="340"/>
      <c r="F90" s="340"/>
    </row>
    <row r="91">
      <c r="D91" s="341" t="s">
        <v>4426</v>
      </c>
      <c r="E91" s="340"/>
      <c r="F91" s="340"/>
    </row>
    <row r="92">
      <c r="D92" s="341" t="s">
        <v>4427</v>
      </c>
      <c r="E92" s="340"/>
      <c r="F92" s="340"/>
    </row>
    <row r="93">
      <c r="D93" s="341" t="s">
        <v>3886</v>
      </c>
      <c r="E93" s="340"/>
      <c r="F93" s="340"/>
    </row>
    <row r="94">
      <c r="D94" s="340"/>
      <c r="E94" s="340"/>
      <c r="F94" s="340"/>
    </row>
    <row r="95">
      <c r="D95" s="341" t="s">
        <v>4428</v>
      </c>
      <c r="E95" s="340"/>
      <c r="F95" s="340"/>
    </row>
    <row r="96">
      <c r="D96" s="341" t="s">
        <v>3886</v>
      </c>
      <c r="E96" s="340"/>
      <c r="F96" s="340"/>
    </row>
    <row r="97">
      <c r="D97" s="340"/>
      <c r="E97" s="340"/>
      <c r="F97" s="340"/>
    </row>
    <row r="98">
      <c r="D98" s="341" t="s">
        <v>4429</v>
      </c>
      <c r="E98" s="340"/>
      <c r="F98" s="340"/>
    </row>
    <row r="99">
      <c r="D99" s="341" t="s">
        <v>4430</v>
      </c>
      <c r="E99" s="340"/>
      <c r="F99" s="340"/>
    </row>
    <row r="100">
      <c r="D100" s="341" t="s">
        <v>4431</v>
      </c>
      <c r="E100" s="340"/>
      <c r="F100" s="340"/>
    </row>
    <row r="101">
      <c r="D101" s="341" t="s">
        <v>3886</v>
      </c>
      <c r="E101" s="340"/>
      <c r="F101" s="340"/>
    </row>
    <row r="102">
      <c r="D102" s="340"/>
      <c r="E102" s="340"/>
      <c r="F102" s="340"/>
    </row>
    <row r="103">
      <c r="D103" s="341" t="s">
        <v>4432</v>
      </c>
      <c r="E103" s="340"/>
      <c r="F103" s="340"/>
    </row>
    <row r="104">
      <c r="D104" s="341" t="s">
        <v>4433</v>
      </c>
      <c r="E104" s="340"/>
      <c r="F104" s="340"/>
    </row>
    <row r="105">
      <c r="D105" s="341" t="s">
        <v>4434</v>
      </c>
      <c r="E105" s="340"/>
      <c r="F105" s="340"/>
    </row>
    <row r="106">
      <c r="D106" s="341" t="s">
        <v>4435</v>
      </c>
      <c r="E106" s="340"/>
      <c r="F106" s="340"/>
    </row>
    <row r="107">
      <c r="D107" s="341" t="s">
        <v>4436</v>
      </c>
      <c r="E107" s="340"/>
      <c r="F107" s="340"/>
    </row>
    <row r="108">
      <c r="D108" s="341" t="s">
        <v>4437</v>
      </c>
      <c r="E108" s="340"/>
      <c r="F108" s="340"/>
    </row>
    <row r="109">
      <c r="D109" s="341" t="s">
        <v>4438</v>
      </c>
      <c r="E109" s="340"/>
      <c r="F109" s="340"/>
    </row>
    <row r="110">
      <c r="D110" s="341" t="s">
        <v>4439</v>
      </c>
      <c r="E110" s="340"/>
      <c r="F110" s="340"/>
    </row>
    <row r="111">
      <c r="D111" s="341" t="s">
        <v>4440</v>
      </c>
      <c r="E111" s="340"/>
      <c r="F111" s="340"/>
    </row>
    <row r="112">
      <c r="D112" s="341" t="s">
        <v>4441</v>
      </c>
      <c r="E112" s="340"/>
      <c r="F112" s="340"/>
    </row>
    <row r="113">
      <c r="D113" s="341" t="s">
        <v>4442</v>
      </c>
      <c r="E113" s="340"/>
      <c r="F113" s="340"/>
    </row>
    <row r="114">
      <c r="D114" s="341" t="s">
        <v>4443</v>
      </c>
      <c r="E114" s="340"/>
      <c r="F114" s="340"/>
    </row>
    <row r="115">
      <c r="D115" s="341" t="s">
        <v>4444</v>
      </c>
      <c r="E115" s="340"/>
      <c r="F115" s="340"/>
    </row>
    <row r="116">
      <c r="D116" s="341" t="s">
        <v>4445</v>
      </c>
      <c r="E116" s="340"/>
      <c r="F116" s="340"/>
    </row>
    <row r="117">
      <c r="D117" s="341" t="s">
        <v>4446</v>
      </c>
      <c r="E117" s="340"/>
      <c r="F117" s="340"/>
    </row>
    <row r="118">
      <c r="D118" s="341" t="s">
        <v>4447</v>
      </c>
      <c r="E118" s="340"/>
      <c r="F118" s="340"/>
    </row>
    <row r="119">
      <c r="D119" s="341" t="s">
        <v>3886</v>
      </c>
      <c r="E119" s="340"/>
      <c r="F119" s="340"/>
    </row>
    <row r="120">
      <c r="D120" s="340"/>
      <c r="E120" s="340"/>
      <c r="F120" s="340"/>
    </row>
    <row r="121">
      <c r="D121" s="341" t="s">
        <v>4448</v>
      </c>
      <c r="E121" s="340"/>
      <c r="F121" s="340"/>
    </row>
    <row r="122">
      <c r="D122" s="341" t="s">
        <v>3886</v>
      </c>
      <c r="E122" s="340"/>
      <c r="F122" s="340"/>
    </row>
    <row r="123">
      <c r="D123" s="340"/>
      <c r="E123" s="340"/>
      <c r="F123" s="340"/>
    </row>
    <row r="124">
      <c r="D124" s="341" t="s">
        <v>4449</v>
      </c>
      <c r="E124" s="340"/>
      <c r="F124" s="340"/>
    </row>
    <row r="125">
      <c r="D125" s="341" t="s">
        <v>4450</v>
      </c>
      <c r="E125" s="340"/>
      <c r="F125" s="340"/>
    </row>
    <row r="126">
      <c r="D126" s="341" t="s">
        <v>4451</v>
      </c>
      <c r="E126" s="340"/>
      <c r="F126" s="340"/>
    </row>
    <row r="127">
      <c r="D127" s="341" t="s">
        <v>4452</v>
      </c>
      <c r="E127" s="340"/>
      <c r="F127" s="340"/>
    </row>
    <row r="128">
      <c r="D128" s="341" t="s">
        <v>4453</v>
      </c>
      <c r="E128" s="340"/>
      <c r="F128" s="340"/>
    </row>
    <row r="129">
      <c r="D129" s="341" t="s">
        <v>4454</v>
      </c>
      <c r="E129" s="340"/>
      <c r="F129" s="340"/>
    </row>
    <row r="130">
      <c r="D130" s="341" t="s">
        <v>4455</v>
      </c>
      <c r="E130" s="340"/>
      <c r="F130" s="340"/>
    </row>
    <row r="131">
      <c r="D131" s="341" t="s">
        <v>4456</v>
      </c>
      <c r="E131" s="340"/>
      <c r="F131" s="340"/>
    </row>
    <row r="132">
      <c r="D132" s="341" t="s">
        <v>4457</v>
      </c>
      <c r="E132" s="340"/>
      <c r="F132" s="340"/>
    </row>
    <row r="133">
      <c r="D133" s="341" t="s">
        <v>3886</v>
      </c>
      <c r="E133" s="340"/>
      <c r="F133" s="340"/>
    </row>
    <row r="134">
      <c r="D134" s="340"/>
      <c r="E134" s="340"/>
      <c r="F134" s="340"/>
    </row>
    <row r="135">
      <c r="D135" s="341" t="s">
        <v>4458</v>
      </c>
      <c r="E135" s="340"/>
      <c r="F135" s="340"/>
    </row>
    <row r="136">
      <c r="D136" s="341" t="s">
        <v>4459</v>
      </c>
      <c r="E136" s="340"/>
      <c r="F136" s="340"/>
    </row>
    <row r="137">
      <c r="D137" s="341" t="s">
        <v>3886</v>
      </c>
      <c r="E137" s="340"/>
      <c r="F137" s="340"/>
    </row>
    <row r="138">
      <c r="D138" s="340"/>
      <c r="E138" s="340"/>
      <c r="F138" s="340"/>
    </row>
    <row r="139">
      <c r="D139" s="341" t="s">
        <v>4460</v>
      </c>
      <c r="E139" s="340"/>
      <c r="F139" s="340"/>
    </row>
    <row r="140">
      <c r="D140" s="341" t="s">
        <v>4461</v>
      </c>
      <c r="E140" s="340"/>
      <c r="F140" s="340"/>
    </row>
    <row r="141">
      <c r="D141" s="341" t="s">
        <v>3886</v>
      </c>
      <c r="E141" s="340"/>
      <c r="F141" s="340"/>
    </row>
    <row r="142">
      <c r="D142" s="340"/>
      <c r="E142" s="340"/>
      <c r="F142" s="340"/>
    </row>
    <row r="143">
      <c r="D143" s="341" t="s">
        <v>4462</v>
      </c>
      <c r="E143" s="340"/>
      <c r="F143" s="340"/>
    </row>
    <row r="144">
      <c r="D144" s="341" t="s">
        <v>4463</v>
      </c>
      <c r="E144" s="340"/>
      <c r="F144" s="340"/>
    </row>
    <row r="145">
      <c r="D145" s="341" t="s">
        <v>4464</v>
      </c>
      <c r="E145" s="340"/>
      <c r="F145" s="340"/>
    </row>
    <row r="146">
      <c r="D146" s="341" t="s">
        <v>4465</v>
      </c>
      <c r="E146" s="340"/>
      <c r="F146" s="340"/>
    </row>
    <row r="147">
      <c r="D147" s="341" t="s">
        <v>4466</v>
      </c>
      <c r="E147" s="340"/>
      <c r="F147" s="340"/>
    </row>
    <row r="148">
      <c r="D148" s="341" t="s">
        <v>4467</v>
      </c>
      <c r="E148" s="340"/>
      <c r="F148" s="340"/>
    </row>
    <row r="149">
      <c r="D149" s="341" t="s">
        <v>4468</v>
      </c>
      <c r="E149" s="340"/>
      <c r="F149" s="340"/>
    </row>
    <row r="150">
      <c r="D150" s="341" t="s">
        <v>4469</v>
      </c>
      <c r="E150" s="340"/>
      <c r="F150" s="340"/>
    </row>
    <row r="151">
      <c r="D151" s="341" t="s">
        <v>4470</v>
      </c>
      <c r="E151" s="340"/>
      <c r="F151" s="340"/>
    </row>
    <row r="152">
      <c r="D152" s="341" t="s">
        <v>4471</v>
      </c>
      <c r="E152" s="340"/>
      <c r="F152" s="340"/>
    </row>
    <row r="153">
      <c r="D153" s="341" t="s">
        <v>4472</v>
      </c>
      <c r="E153" s="340"/>
      <c r="F153" s="340"/>
    </row>
    <row r="154">
      <c r="D154" s="341" t="s">
        <v>4473</v>
      </c>
      <c r="E154" s="340"/>
      <c r="F154" s="340"/>
    </row>
    <row r="155">
      <c r="D155" s="341" t="s">
        <v>4474</v>
      </c>
      <c r="E155" s="340"/>
      <c r="F155" s="340"/>
    </row>
    <row r="156">
      <c r="D156" s="341" t="s">
        <v>4475</v>
      </c>
      <c r="E156" s="340"/>
      <c r="F156" s="340"/>
    </row>
    <row r="157">
      <c r="D157" s="341" t="s">
        <v>4476</v>
      </c>
      <c r="E157" s="340"/>
      <c r="F157" s="340"/>
    </row>
    <row r="158">
      <c r="D158" s="341" t="s">
        <v>4477</v>
      </c>
      <c r="E158" s="340"/>
      <c r="F158" s="340"/>
    </row>
    <row r="159">
      <c r="D159" s="341" t="s">
        <v>4478</v>
      </c>
      <c r="E159" s="340"/>
      <c r="F159" s="340"/>
    </row>
    <row r="160">
      <c r="D160" s="341" t="s">
        <v>3886</v>
      </c>
      <c r="E160" s="340"/>
      <c r="F160" s="340"/>
    </row>
    <row r="161">
      <c r="D161" s="340"/>
      <c r="E161" s="340"/>
      <c r="F161" s="340"/>
    </row>
    <row r="162">
      <c r="D162" s="341" t="s">
        <v>4479</v>
      </c>
      <c r="E162" s="340"/>
      <c r="F162" s="340"/>
    </row>
    <row r="163">
      <c r="D163" s="341" t="s">
        <v>4480</v>
      </c>
      <c r="E163" s="340"/>
      <c r="F163" s="340"/>
    </row>
    <row r="164">
      <c r="D164" s="341" t="s">
        <v>4481</v>
      </c>
      <c r="E164" s="340"/>
      <c r="F164" s="340"/>
    </row>
    <row r="165">
      <c r="D165" s="341" t="s">
        <v>4482</v>
      </c>
      <c r="E165" s="340"/>
      <c r="F165" s="340"/>
    </row>
    <row r="166">
      <c r="D166" s="341" t="s">
        <v>4483</v>
      </c>
      <c r="E166" s="340"/>
      <c r="F166" s="340"/>
    </row>
    <row r="167">
      <c r="D167" s="341" t="s">
        <v>4484</v>
      </c>
      <c r="E167" s="340"/>
      <c r="F167" s="340"/>
    </row>
    <row r="168">
      <c r="D168" s="341" t="s">
        <v>4485</v>
      </c>
      <c r="E168" s="340"/>
      <c r="F168" s="340"/>
    </row>
    <row r="169">
      <c r="D169" s="341" t="s">
        <v>4486</v>
      </c>
      <c r="E169" s="340"/>
      <c r="F169" s="340"/>
    </row>
    <row r="170">
      <c r="D170" s="341" t="s">
        <v>4487</v>
      </c>
      <c r="E170" s="340"/>
      <c r="F170" s="340"/>
    </row>
    <row r="171">
      <c r="D171" s="341" t="s">
        <v>4488</v>
      </c>
      <c r="E171" s="340"/>
      <c r="F171" s="340"/>
    </row>
    <row r="172">
      <c r="D172" s="341" t="s">
        <v>4489</v>
      </c>
      <c r="E172" s="340"/>
      <c r="F172" s="340"/>
    </row>
    <row r="173">
      <c r="D173" s="341" t="s">
        <v>4490</v>
      </c>
      <c r="E173" s="340"/>
      <c r="F173" s="340"/>
    </row>
    <row r="174">
      <c r="D174" s="341" t="s">
        <v>4491</v>
      </c>
      <c r="E174" s="340"/>
      <c r="F174" s="340"/>
    </row>
    <row r="175">
      <c r="D175" s="341" t="s">
        <v>4492</v>
      </c>
      <c r="E175" s="340"/>
      <c r="F175" s="340"/>
    </row>
    <row r="176">
      <c r="D176" s="341" t="s">
        <v>4493</v>
      </c>
      <c r="E176" s="340"/>
      <c r="F176" s="340"/>
    </row>
    <row r="177">
      <c r="D177" s="341" t="s">
        <v>4494</v>
      </c>
      <c r="E177" s="340"/>
      <c r="F177" s="340"/>
    </row>
    <row r="178">
      <c r="D178" s="341" t="s">
        <v>4495</v>
      </c>
      <c r="E178" s="340"/>
      <c r="F178" s="340"/>
    </row>
    <row r="179">
      <c r="D179" s="341" t="s">
        <v>4496</v>
      </c>
      <c r="E179" s="340"/>
      <c r="F179" s="340"/>
    </row>
    <row r="180">
      <c r="D180" s="341" t="s">
        <v>4497</v>
      </c>
      <c r="E180" s="340"/>
      <c r="F180" s="340"/>
    </row>
    <row r="181">
      <c r="D181" s="341" t="s">
        <v>4498</v>
      </c>
      <c r="E181" s="340"/>
      <c r="F181" s="340"/>
    </row>
    <row r="182">
      <c r="D182" s="341" t="s">
        <v>4499</v>
      </c>
      <c r="E182" s="340"/>
      <c r="F182" s="340"/>
    </row>
    <row r="183">
      <c r="D183" s="341" t="s">
        <v>4500</v>
      </c>
      <c r="E183" s="340"/>
      <c r="F183" s="340"/>
    </row>
    <row r="184">
      <c r="D184" s="341" t="s">
        <v>4501</v>
      </c>
      <c r="E184" s="340"/>
      <c r="F184" s="340"/>
    </row>
    <row r="185">
      <c r="D185" s="341" t="s">
        <v>4502</v>
      </c>
      <c r="E185" s="340"/>
      <c r="F185" s="340"/>
    </row>
    <row r="186">
      <c r="D186" s="341" t="s">
        <v>4503</v>
      </c>
      <c r="E186" s="340"/>
      <c r="F186" s="340"/>
    </row>
    <row r="187">
      <c r="D187" s="341" t="s">
        <v>4504</v>
      </c>
      <c r="E187" s="340"/>
      <c r="F187" s="340"/>
    </row>
    <row r="188">
      <c r="D188" s="341" t="s">
        <v>4505</v>
      </c>
      <c r="E188" s="340"/>
      <c r="F188" s="340"/>
    </row>
    <row r="189">
      <c r="D189" s="341" t="s">
        <v>4506</v>
      </c>
      <c r="E189" s="340"/>
      <c r="F189" s="340"/>
    </row>
    <row r="190">
      <c r="D190" s="341" t="s">
        <v>4507</v>
      </c>
      <c r="E190" s="340"/>
      <c r="F190" s="340"/>
    </row>
    <row r="191">
      <c r="D191" s="341" t="s">
        <v>4508</v>
      </c>
      <c r="E191" s="340"/>
      <c r="F191" s="340"/>
    </row>
    <row r="192">
      <c r="D192" s="341" t="s">
        <v>3886</v>
      </c>
      <c r="E192" s="340"/>
      <c r="F192" s="340"/>
    </row>
    <row r="193">
      <c r="D193" s="341" t="s">
        <v>4509</v>
      </c>
      <c r="E193" s="340"/>
      <c r="F193" s="340"/>
    </row>
    <row r="194">
      <c r="D194" s="341" t="s">
        <v>4510</v>
      </c>
      <c r="E194" s="340"/>
      <c r="F194" s="340"/>
    </row>
    <row r="195">
      <c r="D195" s="341" t="s">
        <v>4511</v>
      </c>
      <c r="E195" s="340"/>
      <c r="F195" s="340"/>
    </row>
    <row r="196">
      <c r="D196" s="341" t="s">
        <v>4512</v>
      </c>
      <c r="E196" s="340"/>
      <c r="F196" s="340"/>
    </row>
    <row r="197">
      <c r="D197" s="341" t="s">
        <v>4513</v>
      </c>
      <c r="E197" s="340"/>
      <c r="F197" s="340"/>
    </row>
    <row r="198">
      <c r="D198" s="341" t="s">
        <v>4514</v>
      </c>
      <c r="E198" s="340"/>
      <c r="F198" s="340"/>
    </row>
    <row r="199">
      <c r="D199" s="341" t="s">
        <v>4515</v>
      </c>
      <c r="E199" s="340"/>
      <c r="F199" s="340"/>
    </row>
    <row r="200">
      <c r="D200" s="341" t="s">
        <v>4516</v>
      </c>
      <c r="E200" s="340"/>
      <c r="F200" s="340"/>
    </row>
    <row r="201">
      <c r="D201" s="341" t="s">
        <v>3886</v>
      </c>
      <c r="E201" s="340"/>
      <c r="F201" s="340"/>
    </row>
    <row r="202">
      <c r="D202" s="340"/>
      <c r="E202" s="340"/>
      <c r="F202" s="340"/>
    </row>
    <row r="203">
      <c r="D203" s="341" t="s">
        <v>4517</v>
      </c>
      <c r="E203" s="340"/>
      <c r="F203" s="340"/>
    </row>
    <row r="204">
      <c r="D204" s="341" t="s">
        <v>4518</v>
      </c>
      <c r="E204" s="340"/>
      <c r="F204" s="340"/>
    </row>
    <row r="205">
      <c r="D205" s="341" t="s">
        <v>4519</v>
      </c>
      <c r="E205" s="340"/>
      <c r="F205" s="340"/>
    </row>
    <row r="206">
      <c r="D206" s="341" t="s">
        <v>4520</v>
      </c>
      <c r="E206" s="340"/>
      <c r="F206" s="340"/>
    </row>
    <row r="207">
      <c r="D207" s="341" t="s">
        <v>4521</v>
      </c>
      <c r="E207" s="340"/>
      <c r="F207" s="340"/>
    </row>
    <row r="208">
      <c r="D208" s="341" t="s">
        <v>4522</v>
      </c>
      <c r="E208" s="340"/>
      <c r="F208" s="340"/>
    </row>
    <row r="209">
      <c r="D209" s="341" t="s">
        <v>4523</v>
      </c>
      <c r="E209" s="340"/>
      <c r="F209" s="340"/>
    </row>
    <row r="210">
      <c r="D210" s="341" t="s">
        <v>4524</v>
      </c>
      <c r="E210" s="340"/>
      <c r="F210" s="340"/>
    </row>
    <row r="211">
      <c r="D211" s="341" t="s">
        <v>4525</v>
      </c>
      <c r="E211" s="340"/>
      <c r="F211" s="340"/>
    </row>
    <row r="212">
      <c r="D212" s="341" t="s">
        <v>4526</v>
      </c>
      <c r="E212" s="340"/>
      <c r="F212" s="340"/>
    </row>
    <row r="213">
      <c r="D213" s="341" t="s">
        <v>4527</v>
      </c>
      <c r="E213" s="340"/>
      <c r="F213" s="340"/>
    </row>
    <row r="214">
      <c r="D214" s="341" t="s">
        <v>4528</v>
      </c>
      <c r="E214" s="340"/>
      <c r="F214" s="340"/>
    </row>
    <row r="215">
      <c r="D215" s="341" t="s">
        <v>4529</v>
      </c>
      <c r="E215" s="340"/>
      <c r="F215" s="340"/>
    </row>
    <row r="216">
      <c r="D216" s="341" t="s">
        <v>4530</v>
      </c>
      <c r="E216" s="340"/>
      <c r="F216" s="340"/>
    </row>
    <row r="217">
      <c r="D217" s="341" t="s">
        <v>4531</v>
      </c>
      <c r="E217" s="340"/>
      <c r="F217" s="340"/>
    </row>
    <row r="218">
      <c r="D218" s="341" t="s">
        <v>4532</v>
      </c>
      <c r="E218" s="340"/>
      <c r="F218" s="340"/>
    </row>
    <row r="219">
      <c r="D219" s="341" t="s">
        <v>4533</v>
      </c>
      <c r="E219" s="340"/>
      <c r="F219" s="340"/>
    </row>
    <row r="220">
      <c r="D220" s="341" t="s">
        <v>4534</v>
      </c>
      <c r="E220" s="340"/>
      <c r="F220" s="340"/>
    </row>
    <row r="221">
      <c r="D221" s="341" t="s">
        <v>4535</v>
      </c>
      <c r="E221" s="340"/>
      <c r="F221" s="340"/>
    </row>
    <row r="222">
      <c r="D222" s="341" t="s">
        <v>4536</v>
      </c>
      <c r="E222" s="340"/>
      <c r="F222" s="340"/>
    </row>
    <row r="223">
      <c r="D223" s="341" t="s">
        <v>4537</v>
      </c>
      <c r="E223" s="340"/>
      <c r="F223" s="340"/>
    </row>
    <row r="224">
      <c r="D224" s="341" t="s">
        <v>4538</v>
      </c>
      <c r="E224" s="340"/>
      <c r="F224" s="340"/>
    </row>
    <row r="225">
      <c r="D225" s="341" t="s">
        <v>4539</v>
      </c>
      <c r="E225" s="340"/>
      <c r="F225" s="340"/>
    </row>
    <row r="226">
      <c r="D226" s="341" t="s">
        <v>4540</v>
      </c>
      <c r="E226" s="340"/>
      <c r="F226" s="340"/>
    </row>
    <row r="227">
      <c r="D227" s="341" t="s">
        <v>4541</v>
      </c>
      <c r="E227" s="340"/>
      <c r="F227" s="340"/>
    </row>
    <row r="228">
      <c r="D228" s="341" t="s">
        <v>4542</v>
      </c>
      <c r="E228" s="340"/>
      <c r="F228" s="340"/>
    </row>
    <row r="229">
      <c r="D229" s="341" t="s">
        <v>4543</v>
      </c>
      <c r="E229" s="340"/>
      <c r="F229" s="340"/>
    </row>
    <row r="230">
      <c r="D230" s="341" t="s">
        <v>4544</v>
      </c>
      <c r="E230" s="340"/>
      <c r="F230" s="340"/>
    </row>
    <row r="231">
      <c r="D231" s="341" t="s">
        <v>4545</v>
      </c>
      <c r="E231" s="340"/>
      <c r="F231" s="340"/>
    </row>
    <row r="232">
      <c r="D232" s="341" t="s">
        <v>4546</v>
      </c>
      <c r="E232" s="340"/>
      <c r="F232" s="340"/>
    </row>
    <row r="233">
      <c r="D233" s="341" t="s">
        <v>4547</v>
      </c>
      <c r="E233" s="340"/>
      <c r="F233" s="340"/>
    </row>
    <row r="234">
      <c r="D234" s="341" t="s">
        <v>4548</v>
      </c>
      <c r="E234" s="340"/>
      <c r="F234" s="340"/>
    </row>
    <row r="235">
      <c r="D235" s="341" t="s">
        <v>4549</v>
      </c>
      <c r="E235" s="340"/>
      <c r="F235" s="340"/>
    </row>
    <row r="236">
      <c r="D236" s="341" t="s">
        <v>4550</v>
      </c>
      <c r="E236" s="340"/>
      <c r="F236" s="340"/>
    </row>
    <row r="237">
      <c r="D237" s="341" t="s">
        <v>4551</v>
      </c>
      <c r="E237" s="340"/>
      <c r="F237" s="340"/>
    </row>
    <row r="238">
      <c r="D238" s="341" t="s">
        <v>4552</v>
      </c>
      <c r="E238" s="340"/>
      <c r="F238" s="340"/>
    </row>
    <row r="239">
      <c r="D239" s="341" t="s">
        <v>4553</v>
      </c>
      <c r="E239" s="340"/>
      <c r="F239" s="340"/>
    </row>
    <row r="240">
      <c r="D240" s="341" t="s">
        <v>4554</v>
      </c>
      <c r="E240" s="340"/>
      <c r="F240" s="340"/>
    </row>
    <row r="241">
      <c r="D241" s="340"/>
      <c r="E241" s="340"/>
      <c r="F241" s="340"/>
    </row>
    <row r="242">
      <c r="D242" s="341" t="s">
        <v>4555</v>
      </c>
      <c r="E242" s="340"/>
      <c r="F242" s="340"/>
    </row>
    <row r="243">
      <c r="D243" s="341" t="s">
        <v>4556</v>
      </c>
      <c r="E243" s="340"/>
      <c r="F243" s="340"/>
    </row>
    <row r="244">
      <c r="D244" s="341" t="s">
        <v>4557</v>
      </c>
      <c r="E244" s="340"/>
      <c r="F244" s="340"/>
    </row>
    <row r="245">
      <c r="D245" s="341" t="s">
        <v>3886</v>
      </c>
      <c r="E245" s="340"/>
      <c r="F245" s="340"/>
    </row>
    <row r="246">
      <c r="D246" s="341" t="s">
        <v>4558</v>
      </c>
      <c r="E246" s="340"/>
      <c r="F246" s="340"/>
    </row>
    <row r="247">
      <c r="D247" s="341" t="s">
        <v>4559</v>
      </c>
      <c r="E247" s="340"/>
      <c r="F247" s="340"/>
    </row>
    <row r="248">
      <c r="D248" s="341" t="s">
        <v>4560</v>
      </c>
      <c r="E248" s="340"/>
      <c r="F248" s="340"/>
    </row>
    <row r="249">
      <c r="D249" s="341" t="s">
        <v>4561</v>
      </c>
      <c r="E249" s="340"/>
      <c r="F249" s="340"/>
    </row>
    <row r="250">
      <c r="D250" s="341" t="s">
        <v>4562</v>
      </c>
      <c r="E250" s="340"/>
      <c r="F250" s="340"/>
    </row>
    <row r="251">
      <c r="D251" s="341" t="s">
        <v>4563</v>
      </c>
      <c r="E251" s="340"/>
      <c r="F251" s="340"/>
    </row>
    <row r="252">
      <c r="D252" s="341" t="s">
        <v>4564</v>
      </c>
      <c r="E252" s="340"/>
      <c r="F252" s="340"/>
    </row>
    <row r="253">
      <c r="D253" s="341" t="s">
        <v>4565</v>
      </c>
      <c r="E253" s="340"/>
      <c r="F253" s="340"/>
    </row>
    <row r="254">
      <c r="D254" s="341" t="s">
        <v>3886</v>
      </c>
      <c r="E254" s="340"/>
      <c r="F254" s="340"/>
    </row>
    <row r="255">
      <c r="D255" s="340"/>
      <c r="E255" s="340"/>
      <c r="F255" s="340"/>
    </row>
    <row r="256">
      <c r="D256" s="341" t="s">
        <v>4566</v>
      </c>
      <c r="E256" s="340"/>
      <c r="F256" s="340"/>
    </row>
    <row r="257">
      <c r="D257" s="341" t="s">
        <v>4567</v>
      </c>
      <c r="E257" s="340"/>
      <c r="F257" s="340"/>
    </row>
    <row r="258">
      <c r="D258" s="341" t="s">
        <v>4568</v>
      </c>
      <c r="E258" s="340"/>
      <c r="F258" s="340"/>
    </row>
    <row r="259">
      <c r="D259" s="341" t="s">
        <v>3886</v>
      </c>
      <c r="E259" s="340"/>
      <c r="F259" s="340"/>
    </row>
    <row r="260">
      <c r="D260" s="340"/>
      <c r="E260" s="340"/>
      <c r="F260" s="340"/>
    </row>
    <row r="261">
      <c r="D261" s="341" t="s">
        <v>4569</v>
      </c>
      <c r="E261" s="340"/>
      <c r="F261" s="340"/>
    </row>
    <row r="262">
      <c r="D262" s="341" t="s">
        <v>4570</v>
      </c>
      <c r="E262" s="340"/>
      <c r="F262" s="340"/>
    </row>
    <row r="263">
      <c r="D263" s="341" t="s">
        <v>4571</v>
      </c>
      <c r="E263" s="340"/>
      <c r="F263" s="340"/>
    </row>
    <row r="264">
      <c r="D264" s="341" t="s">
        <v>4572</v>
      </c>
      <c r="E264" s="340"/>
      <c r="F264" s="340"/>
    </row>
    <row r="265">
      <c r="D265" s="341" t="s">
        <v>4573</v>
      </c>
      <c r="E265" s="340"/>
      <c r="F265" s="340"/>
    </row>
    <row r="266">
      <c r="D266" s="341" t="s">
        <v>4574</v>
      </c>
      <c r="E266" s="340"/>
      <c r="F266" s="340"/>
    </row>
    <row r="267">
      <c r="D267" s="341" t="s">
        <v>4575</v>
      </c>
      <c r="E267" s="340"/>
      <c r="F267" s="340"/>
    </row>
    <row r="268">
      <c r="D268" s="341" t="s">
        <v>4576</v>
      </c>
      <c r="E268" s="340"/>
      <c r="F268" s="340"/>
    </row>
    <row r="269">
      <c r="D269" s="341" t="s">
        <v>4577</v>
      </c>
      <c r="E269" s="340"/>
      <c r="F269" s="340"/>
    </row>
    <row r="270">
      <c r="D270" s="341" t="s">
        <v>4578</v>
      </c>
      <c r="E270" s="340"/>
      <c r="F270" s="340"/>
    </row>
    <row r="271">
      <c r="D271" s="341" t="s">
        <v>4579</v>
      </c>
      <c r="E271" s="340"/>
      <c r="F271" s="340"/>
    </row>
    <row r="272">
      <c r="D272" s="341" t="s">
        <v>4580</v>
      </c>
      <c r="E272" s="340"/>
      <c r="F272" s="340"/>
    </row>
    <row r="273">
      <c r="D273" s="341" t="s">
        <v>4581</v>
      </c>
      <c r="E273" s="340"/>
      <c r="F273" s="340"/>
    </row>
    <row r="274">
      <c r="D274" s="341" t="s">
        <v>4582</v>
      </c>
      <c r="E274" s="340"/>
      <c r="F274" s="340"/>
    </row>
    <row r="275">
      <c r="D275" s="341" t="s">
        <v>4583</v>
      </c>
      <c r="E275" s="340"/>
      <c r="F275" s="340"/>
    </row>
    <row r="276">
      <c r="D276" s="341" t="s">
        <v>4584</v>
      </c>
      <c r="E276" s="340"/>
      <c r="F276" s="340"/>
    </row>
    <row r="277">
      <c r="D277" s="341" t="s">
        <v>3886</v>
      </c>
      <c r="E277" s="340"/>
      <c r="F277" s="340"/>
    </row>
    <row r="278">
      <c r="D278" s="340"/>
      <c r="E278" s="340"/>
      <c r="F278" s="340"/>
    </row>
    <row r="279">
      <c r="D279" s="341" t="s">
        <v>4585</v>
      </c>
      <c r="E279" s="340"/>
      <c r="F279" s="340"/>
    </row>
    <row r="280">
      <c r="D280" s="341" t="s">
        <v>3886</v>
      </c>
      <c r="E280" s="340"/>
      <c r="F280" s="340"/>
    </row>
    <row r="281">
      <c r="D281" s="340"/>
      <c r="E281" s="340"/>
      <c r="F281" s="340"/>
    </row>
    <row r="282">
      <c r="D282" s="341" t="s">
        <v>4586</v>
      </c>
      <c r="E282" s="340"/>
      <c r="F282" s="340"/>
    </row>
    <row r="283">
      <c r="D283" s="341" t="s">
        <v>3886</v>
      </c>
      <c r="E283" s="340"/>
      <c r="F283" s="340"/>
    </row>
    <row r="284">
      <c r="D284" s="340"/>
      <c r="E284" s="340"/>
      <c r="F284" s="340"/>
    </row>
    <row r="285">
      <c r="D285" s="341" t="s">
        <v>4587</v>
      </c>
      <c r="E285" s="340"/>
      <c r="F285" s="340"/>
    </row>
    <row r="286">
      <c r="D286" s="341" t="s">
        <v>4588</v>
      </c>
      <c r="E286" s="340"/>
      <c r="F286" s="340"/>
    </row>
    <row r="287">
      <c r="D287" s="341" t="s">
        <v>4589</v>
      </c>
      <c r="E287" s="340"/>
      <c r="F287" s="340"/>
    </row>
    <row r="288">
      <c r="D288" s="341" t="s">
        <v>4590</v>
      </c>
      <c r="E288" s="340"/>
      <c r="F288" s="340"/>
    </row>
    <row r="289">
      <c r="D289" s="341" t="s">
        <v>4591</v>
      </c>
      <c r="E289" s="340"/>
      <c r="F289" s="340"/>
    </row>
    <row r="290">
      <c r="D290" s="341" t="s">
        <v>4592</v>
      </c>
      <c r="E290" s="340"/>
      <c r="F290" s="340"/>
    </row>
    <row r="291">
      <c r="D291" s="341" t="s">
        <v>4593</v>
      </c>
      <c r="E291" s="340"/>
      <c r="F291" s="340"/>
    </row>
    <row r="292">
      <c r="D292" s="341" t="s">
        <v>4594</v>
      </c>
      <c r="E292" s="340"/>
      <c r="F292" s="340"/>
    </row>
    <row r="293">
      <c r="D293" s="341" t="s">
        <v>4595</v>
      </c>
      <c r="E293" s="340"/>
      <c r="F293" s="340"/>
    </row>
    <row r="294">
      <c r="D294" s="341" t="s">
        <v>3886</v>
      </c>
      <c r="E294" s="340"/>
      <c r="F294" s="340"/>
    </row>
    <row r="295">
      <c r="D295" s="341" t="s">
        <v>4596</v>
      </c>
      <c r="E295" s="340"/>
      <c r="F295" s="340"/>
    </row>
    <row r="296">
      <c r="D296" s="341" t="s">
        <v>4597</v>
      </c>
      <c r="E296" s="340"/>
      <c r="F296" s="340"/>
    </row>
    <row r="297">
      <c r="D297" s="341" t="s">
        <v>4598</v>
      </c>
      <c r="E297" s="340"/>
      <c r="F297" s="340"/>
    </row>
    <row r="298">
      <c r="D298" s="341" t="s">
        <v>4599</v>
      </c>
      <c r="E298" s="340"/>
      <c r="F298" s="340"/>
    </row>
    <row r="299">
      <c r="D299" s="341" t="s">
        <v>4600</v>
      </c>
      <c r="E299" s="340"/>
      <c r="F299" s="340"/>
    </row>
    <row r="300">
      <c r="D300" s="341" t="s">
        <v>3886</v>
      </c>
      <c r="E300" s="340"/>
      <c r="F300" s="340"/>
    </row>
    <row r="301">
      <c r="D301" s="340"/>
      <c r="E301" s="340"/>
      <c r="F301" s="340"/>
    </row>
    <row r="302">
      <c r="D302" s="341" t="s">
        <v>4601</v>
      </c>
      <c r="E302" s="340"/>
      <c r="F302" s="340"/>
    </row>
    <row r="303">
      <c r="D303" s="341" t="s">
        <v>3886</v>
      </c>
      <c r="E303" s="340"/>
      <c r="F303" s="340"/>
    </row>
    <row r="304">
      <c r="D304" s="340"/>
      <c r="E304" s="340"/>
      <c r="F304" s="340"/>
    </row>
    <row r="305">
      <c r="D305" s="341" t="s">
        <v>4602</v>
      </c>
      <c r="E305" s="340"/>
      <c r="F305" s="340"/>
    </row>
    <row r="306">
      <c r="D306" s="341" t="s">
        <v>3886</v>
      </c>
      <c r="E306" s="340"/>
      <c r="F306" s="340"/>
    </row>
    <row r="307">
      <c r="D307" s="340"/>
      <c r="E307" s="340"/>
      <c r="F307" s="340"/>
    </row>
    <row r="308">
      <c r="D308" s="341" t="s">
        <v>4603</v>
      </c>
      <c r="E308" s="340"/>
      <c r="F308" s="340"/>
    </row>
    <row r="309">
      <c r="D309" s="341" t="s">
        <v>4604</v>
      </c>
      <c r="E309" s="340"/>
      <c r="F309" s="340"/>
    </row>
    <row r="310">
      <c r="D310" s="341" t="s">
        <v>4605</v>
      </c>
      <c r="E310" s="340"/>
      <c r="F310" s="340"/>
    </row>
    <row r="311">
      <c r="D311" s="341" t="s">
        <v>4606</v>
      </c>
      <c r="E311" s="340"/>
      <c r="F311" s="340"/>
    </row>
    <row r="312">
      <c r="D312" s="341" t="s">
        <v>4607</v>
      </c>
      <c r="E312" s="340"/>
      <c r="F312" s="340"/>
    </row>
    <row r="313">
      <c r="D313" s="341" t="s">
        <v>3886</v>
      </c>
      <c r="E313" s="340"/>
      <c r="F313" s="340"/>
    </row>
    <row r="314">
      <c r="D314" s="340"/>
      <c r="E314" s="340"/>
      <c r="F314" s="340"/>
    </row>
    <row r="315">
      <c r="D315" s="341" t="s">
        <v>4608</v>
      </c>
      <c r="E315" s="340"/>
      <c r="F315" s="340"/>
    </row>
    <row r="316">
      <c r="D316" s="341" t="s">
        <v>4609</v>
      </c>
      <c r="E316" s="340"/>
      <c r="F316" s="340"/>
    </row>
    <row r="317">
      <c r="D317" s="341" t="s">
        <v>4610</v>
      </c>
      <c r="E317" s="340"/>
      <c r="F317" s="340"/>
    </row>
    <row r="318">
      <c r="D318" s="341" t="s">
        <v>4611</v>
      </c>
      <c r="E318" s="340"/>
      <c r="F318" s="340"/>
    </row>
    <row r="319">
      <c r="D319" s="341" t="s">
        <v>4612</v>
      </c>
      <c r="E319" s="340"/>
      <c r="F319" s="340"/>
    </row>
    <row r="320">
      <c r="D320" s="341" t="s">
        <v>4613</v>
      </c>
      <c r="E320" s="340"/>
      <c r="F320" s="340"/>
    </row>
    <row r="321">
      <c r="D321" s="341" t="s">
        <v>4614</v>
      </c>
      <c r="E321" s="340"/>
      <c r="F321" s="340"/>
    </row>
    <row r="322">
      <c r="D322" s="341" t="s">
        <v>4615</v>
      </c>
      <c r="E322" s="340"/>
      <c r="F322" s="340"/>
    </row>
    <row r="323">
      <c r="D323" s="341" t="s">
        <v>4616</v>
      </c>
      <c r="E323" s="340"/>
      <c r="F323" s="340"/>
    </row>
    <row r="324">
      <c r="D324" s="341" t="s">
        <v>4617</v>
      </c>
      <c r="E324" s="340"/>
      <c r="F324" s="340"/>
    </row>
    <row r="325">
      <c r="D325" s="341" t="s">
        <v>4618</v>
      </c>
      <c r="E325" s="340"/>
      <c r="F325" s="340"/>
    </row>
    <row r="326">
      <c r="D326" s="341" t="s">
        <v>4619</v>
      </c>
      <c r="E326" s="340"/>
      <c r="F326" s="340"/>
    </row>
    <row r="327">
      <c r="D327" s="341" t="s">
        <v>4620</v>
      </c>
      <c r="E327" s="340"/>
      <c r="F327" s="340"/>
    </row>
    <row r="328">
      <c r="D328" s="341" t="s">
        <v>4621</v>
      </c>
      <c r="E328" s="340"/>
      <c r="F328" s="340"/>
    </row>
    <row r="329">
      <c r="D329" s="341" t="s">
        <v>4622</v>
      </c>
      <c r="E329" s="340"/>
      <c r="F329" s="340"/>
    </row>
    <row r="330">
      <c r="D330" s="341" t="s">
        <v>3886</v>
      </c>
      <c r="E330" s="340"/>
      <c r="F330" s="340"/>
    </row>
    <row r="331">
      <c r="D331" s="340"/>
      <c r="E331" s="340"/>
      <c r="F331" s="340"/>
    </row>
    <row r="332">
      <c r="D332" s="341" t="s">
        <v>4623</v>
      </c>
      <c r="E332" s="340"/>
      <c r="F332" s="340"/>
    </row>
    <row r="333">
      <c r="D333" s="341" t="s">
        <v>4624</v>
      </c>
      <c r="E333" s="340"/>
      <c r="F333" s="340"/>
    </row>
    <row r="334">
      <c r="D334" s="341" t="s">
        <v>4625</v>
      </c>
      <c r="E334" s="340"/>
      <c r="F334" s="340"/>
    </row>
    <row r="335">
      <c r="D335" s="341" t="s">
        <v>4626</v>
      </c>
      <c r="E335" s="340"/>
      <c r="F335" s="340"/>
    </row>
    <row r="336">
      <c r="D336" s="341" t="s">
        <v>4627</v>
      </c>
      <c r="E336" s="340"/>
      <c r="F336" s="340"/>
    </row>
    <row r="337">
      <c r="D337" s="341" t="s">
        <v>4628</v>
      </c>
      <c r="E337" s="340"/>
      <c r="F337" s="340"/>
    </row>
    <row r="338">
      <c r="D338" s="341" t="s">
        <v>4629</v>
      </c>
      <c r="E338" s="340"/>
      <c r="F338" s="340"/>
    </row>
    <row r="339">
      <c r="D339" s="341" t="s">
        <v>4630</v>
      </c>
      <c r="E339" s="340"/>
      <c r="F339" s="340"/>
    </row>
    <row r="340">
      <c r="D340" s="341" t="s">
        <v>4631</v>
      </c>
      <c r="E340" s="340"/>
      <c r="F340" s="340"/>
    </row>
    <row r="341">
      <c r="D341" s="341" t="s">
        <v>4632</v>
      </c>
      <c r="E341" s="340"/>
      <c r="F341" s="340"/>
    </row>
    <row r="342">
      <c r="D342" s="341" t="s">
        <v>4633</v>
      </c>
      <c r="E342" s="340"/>
      <c r="F342" s="340"/>
    </row>
    <row r="343">
      <c r="D343" s="341" t="s">
        <v>4634</v>
      </c>
      <c r="E343" s="340"/>
      <c r="F343" s="340"/>
    </row>
    <row r="344">
      <c r="D344" s="341" t="s">
        <v>4635</v>
      </c>
      <c r="E344" s="340"/>
      <c r="F344" s="340"/>
    </row>
    <row r="345">
      <c r="D345" s="341" t="s">
        <v>4636</v>
      </c>
      <c r="E345" s="340"/>
      <c r="F345" s="340"/>
    </row>
    <row r="346">
      <c r="D346" s="341" t="s">
        <v>4637</v>
      </c>
      <c r="E346" s="340"/>
      <c r="F346" s="340"/>
    </row>
    <row r="347">
      <c r="D347" s="341" t="s">
        <v>3886</v>
      </c>
      <c r="E347" s="340"/>
      <c r="F347" s="340"/>
    </row>
    <row r="348">
      <c r="D348" s="340"/>
      <c r="E348" s="340"/>
      <c r="F348" s="340"/>
    </row>
    <row r="349">
      <c r="D349" s="341" t="s">
        <v>4638</v>
      </c>
      <c r="E349" s="340"/>
      <c r="F349" s="340"/>
    </row>
    <row r="350">
      <c r="D350" s="341" t="s">
        <v>4639</v>
      </c>
      <c r="E350" s="340"/>
      <c r="F350" s="340"/>
    </row>
    <row r="351">
      <c r="D351" s="341" t="s">
        <v>4640</v>
      </c>
      <c r="E351" s="340"/>
      <c r="F351" s="340"/>
    </row>
    <row r="352">
      <c r="D352" s="341" t="s">
        <v>4641</v>
      </c>
      <c r="E352" s="340"/>
      <c r="F352" s="340"/>
    </row>
    <row r="353">
      <c r="D353" s="341" t="s">
        <v>4642</v>
      </c>
      <c r="E353" s="340"/>
      <c r="F353" s="340"/>
    </row>
    <row r="354">
      <c r="D354" s="341" t="s">
        <v>4643</v>
      </c>
      <c r="E354" s="340"/>
      <c r="F354" s="340"/>
    </row>
    <row r="355">
      <c r="D355" s="341" t="s">
        <v>4644</v>
      </c>
      <c r="E355" s="340"/>
      <c r="F355" s="340"/>
    </row>
    <row r="356">
      <c r="D356" s="341" t="s">
        <v>4645</v>
      </c>
      <c r="E356" s="340"/>
      <c r="F356" s="340"/>
    </row>
    <row r="357">
      <c r="D357" s="341" t="s">
        <v>4646</v>
      </c>
      <c r="E357" s="340"/>
      <c r="F357" s="340"/>
    </row>
    <row r="358">
      <c r="D358" s="341" t="s">
        <v>4647</v>
      </c>
      <c r="E358" s="340"/>
      <c r="F358" s="340"/>
    </row>
    <row r="359">
      <c r="D359" s="341" t="s">
        <v>4648</v>
      </c>
      <c r="E359" s="340"/>
      <c r="F359" s="340"/>
    </row>
    <row r="360">
      <c r="D360" s="341" t="s">
        <v>4649</v>
      </c>
      <c r="E360" s="340"/>
      <c r="F360" s="340"/>
    </row>
    <row r="361">
      <c r="D361" s="341" t="s">
        <v>4650</v>
      </c>
      <c r="E361" s="340"/>
      <c r="F361" s="340"/>
    </row>
    <row r="362">
      <c r="D362" s="341" t="s">
        <v>4651</v>
      </c>
      <c r="E362" s="340"/>
      <c r="F362" s="340"/>
    </row>
    <row r="363">
      <c r="D363" s="341" t="s">
        <v>3886</v>
      </c>
      <c r="E363" s="340"/>
      <c r="F363" s="340"/>
    </row>
    <row r="364">
      <c r="D364" s="340"/>
      <c r="E364" s="340"/>
      <c r="F364" s="340"/>
    </row>
    <row r="365">
      <c r="D365" s="341" t="s">
        <v>4652</v>
      </c>
      <c r="E365" s="340"/>
      <c r="F365" s="340"/>
    </row>
    <row r="366">
      <c r="D366" s="341" t="s">
        <v>4653</v>
      </c>
      <c r="E366" s="340"/>
      <c r="F366" s="340"/>
    </row>
    <row r="367">
      <c r="D367" s="341" t="s">
        <v>4654</v>
      </c>
      <c r="E367" s="340"/>
      <c r="F367" s="340"/>
    </row>
    <row r="368">
      <c r="D368" s="341" t="s">
        <v>4655</v>
      </c>
      <c r="E368" s="340"/>
      <c r="F368" s="340"/>
    </row>
    <row r="369">
      <c r="D369" s="341" t="s">
        <v>4656</v>
      </c>
      <c r="E369" s="340"/>
      <c r="F369" s="340"/>
    </row>
    <row r="370">
      <c r="D370" s="341" t="s">
        <v>4657</v>
      </c>
      <c r="E370" s="340"/>
      <c r="F370" s="340"/>
    </row>
    <row r="371">
      <c r="D371" s="341" t="s">
        <v>4658</v>
      </c>
      <c r="E371" s="340"/>
      <c r="F371" s="340"/>
    </row>
    <row r="372">
      <c r="D372" s="341" t="s">
        <v>4659</v>
      </c>
      <c r="E372" s="340"/>
      <c r="F372" s="340"/>
    </row>
    <row r="373">
      <c r="D373" s="341" t="s">
        <v>4660</v>
      </c>
      <c r="E373" s="340"/>
      <c r="F373" s="340"/>
    </row>
    <row r="374">
      <c r="D374" s="341" t="s">
        <v>4661</v>
      </c>
      <c r="E374" s="340"/>
      <c r="F374" s="340"/>
    </row>
    <row r="375">
      <c r="D375" s="341" t="s">
        <v>4662</v>
      </c>
      <c r="E375" s="340"/>
      <c r="F375" s="340"/>
    </row>
    <row r="376">
      <c r="D376" s="341" t="s">
        <v>4663</v>
      </c>
      <c r="E376" s="340"/>
      <c r="F376" s="340"/>
    </row>
    <row r="377">
      <c r="D377" s="341" t="s">
        <v>4664</v>
      </c>
      <c r="E377" s="340"/>
      <c r="F377" s="340"/>
    </row>
    <row r="378">
      <c r="D378" s="341" t="s">
        <v>4665</v>
      </c>
      <c r="E378" s="340"/>
      <c r="F378" s="340"/>
    </row>
    <row r="379">
      <c r="D379" s="341" t="s">
        <v>4666</v>
      </c>
      <c r="E379" s="340"/>
      <c r="F379" s="340"/>
    </row>
    <row r="380">
      <c r="D380" s="341" t="s">
        <v>4667</v>
      </c>
      <c r="E380" s="340"/>
      <c r="F380" s="340"/>
    </row>
    <row r="381">
      <c r="D381" s="341" t="s">
        <v>4668</v>
      </c>
      <c r="E381" s="340"/>
      <c r="F381" s="340"/>
    </row>
    <row r="382">
      <c r="D382" s="341" t="s">
        <v>4669</v>
      </c>
      <c r="E382" s="340"/>
      <c r="F382" s="340"/>
    </row>
    <row r="383">
      <c r="D383" s="341" t="s">
        <v>4670</v>
      </c>
      <c r="E383" s="340"/>
      <c r="F383" s="340"/>
    </row>
    <row r="384">
      <c r="D384" s="341" t="s">
        <v>4671</v>
      </c>
      <c r="E384" s="340"/>
      <c r="F384" s="340"/>
    </row>
    <row r="385">
      <c r="D385" s="341" t="s">
        <v>4672</v>
      </c>
      <c r="E385" s="340"/>
      <c r="F385" s="340"/>
    </row>
    <row r="386">
      <c r="D386" s="341" t="s">
        <v>4673</v>
      </c>
      <c r="E386" s="340"/>
      <c r="F386" s="340"/>
    </row>
    <row r="387">
      <c r="D387" s="341" t="s">
        <v>4674</v>
      </c>
      <c r="E387" s="340"/>
      <c r="F387" s="340"/>
    </row>
    <row r="388">
      <c r="D388" s="340"/>
      <c r="E388" s="340"/>
      <c r="F388" s="340"/>
    </row>
    <row r="389">
      <c r="D389" s="341" t="s">
        <v>4675</v>
      </c>
      <c r="E389" s="340"/>
      <c r="F389" s="340"/>
    </row>
    <row r="390">
      <c r="D390" s="341" t="s">
        <v>4676</v>
      </c>
      <c r="E390" s="340"/>
      <c r="F390" s="340"/>
    </row>
    <row r="391">
      <c r="D391" s="341" t="s">
        <v>3886</v>
      </c>
      <c r="E391" s="340"/>
      <c r="F391" s="340"/>
    </row>
    <row r="392">
      <c r="D392" s="340"/>
      <c r="E392" s="340"/>
      <c r="F392" s="340"/>
    </row>
    <row r="393">
      <c r="D393" s="341" t="s">
        <v>4677</v>
      </c>
      <c r="E393" s="340"/>
      <c r="F393" s="340"/>
    </row>
    <row r="394">
      <c r="D394" s="341" t="s">
        <v>4678</v>
      </c>
      <c r="E394" s="340"/>
      <c r="F394" s="340"/>
    </row>
    <row r="395">
      <c r="D395" s="341" t="s">
        <v>4679</v>
      </c>
      <c r="E395" s="340"/>
      <c r="F395" s="340"/>
    </row>
    <row r="396">
      <c r="D396" s="341" t="s">
        <v>4680</v>
      </c>
      <c r="E396" s="340"/>
      <c r="F396" s="340"/>
    </row>
    <row r="397">
      <c r="D397" s="341" t="s">
        <v>3886</v>
      </c>
      <c r="E397" s="340"/>
      <c r="F397" s="340"/>
    </row>
    <row r="398">
      <c r="D398" s="340"/>
      <c r="E398" s="340"/>
      <c r="F398" s="340"/>
    </row>
    <row r="399">
      <c r="D399" s="341" t="s">
        <v>4681</v>
      </c>
      <c r="E399" s="340"/>
      <c r="F399" s="340"/>
    </row>
    <row r="400">
      <c r="D400" s="341" t="s">
        <v>4682</v>
      </c>
      <c r="E400" s="340"/>
      <c r="F400" s="340"/>
    </row>
    <row r="401">
      <c r="D401" s="341" t="s">
        <v>4683</v>
      </c>
      <c r="E401" s="340"/>
      <c r="F401" s="340"/>
    </row>
    <row r="402">
      <c r="D402" s="341" t="s">
        <v>4684</v>
      </c>
      <c r="E402" s="340"/>
      <c r="F402" s="340"/>
    </row>
    <row r="403">
      <c r="D403" s="341" t="s">
        <v>3886</v>
      </c>
      <c r="E403" s="340"/>
      <c r="F403" s="340"/>
    </row>
    <row r="404">
      <c r="D404" s="340"/>
      <c r="E404" s="340"/>
      <c r="F404" s="340"/>
    </row>
    <row r="405">
      <c r="D405" s="341" t="s">
        <v>4685</v>
      </c>
      <c r="E405" s="340"/>
      <c r="F405" s="340"/>
    </row>
    <row r="406">
      <c r="D406" s="341" t="s">
        <v>4686</v>
      </c>
      <c r="E406" s="340"/>
      <c r="F406" s="340"/>
    </row>
    <row r="407">
      <c r="D407" s="341" t="s">
        <v>4687</v>
      </c>
      <c r="E407" s="340"/>
      <c r="F407" s="340"/>
    </row>
    <row r="408">
      <c r="D408" s="341" t="s">
        <v>4688</v>
      </c>
      <c r="E408" s="340"/>
      <c r="F408" s="340"/>
    </row>
    <row r="409">
      <c r="D409" s="341" t="s">
        <v>3886</v>
      </c>
      <c r="E409" s="340"/>
      <c r="F409" s="340"/>
    </row>
    <row r="410">
      <c r="D410" s="340"/>
      <c r="E410" s="340"/>
      <c r="F410" s="340"/>
    </row>
    <row r="411">
      <c r="D411" s="341" t="s">
        <v>4689</v>
      </c>
      <c r="E411" s="340"/>
      <c r="F411" s="340"/>
    </row>
    <row r="412">
      <c r="D412" s="341" t="s">
        <v>4690</v>
      </c>
      <c r="E412" s="340"/>
      <c r="F412" s="340"/>
    </row>
    <row r="413">
      <c r="D413" s="341" t="s">
        <v>4691</v>
      </c>
      <c r="E413" s="340"/>
      <c r="F413" s="340"/>
    </row>
    <row r="414">
      <c r="D414" s="341" t="s">
        <v>4692</v>
      </c>
      <c r="E414" s="340"/>
      <c r="F414" s="340"/>
    </row>
    <row r="415">
      <c r="D415" s="341" t="s">
        <v>4693</v>
      </c>
      <c r="E415" s="340"/>
      <c r="F415" s="340"/>
    </row>
    <row r="416">
      <c r="D416" s="341" t="s">
        <v>4694</v>
      </c>
      <c r="E416" s="340"/>
      <c r="F416" s="340"/>
    </row>
    <row r="417">
      <c r="D417" s="341" t="s">
        <v>4695</v>
      </c>
      <c r="E417" s="340"/>
      <c r="F417" s="340"/>
    </row>
    <row r="418">
      <c r="D418" s="341" t="s">
        <v>4696</v>
      </c>
      <c r="E418" s="340"/>
      <c r="F418" s="340"/>
    </row>
    <row r="419">
      <c r="D419" s="341" t="s">
        <v>4697</v>
      </c>
      <c r="E419" s="340"/>
      <c r="F419" s="340"/>
    </row>
    <row r="420">
      <c r="D420" s="341" t="s">
        <v>3886</v>
      </c>
      <c r="E420" s="340"/>
      <c r="F420" s="340"/>
    </row>
    <row r="421">
      <c r="D421" s="340"/>
      <c r="E421" s="340"/>
      <c r="F421" s="340"/>
    </row>
    <row r="422">
      <c r="D422" s="341" t="s">
        <v>4431</v>
      </c>
      <c r="E422" s="340"/>
      <c r="F422" s="340"/>
    </row>
    <row r="423">
      <c r="D423" s="341" t="s">
        <v>3886</v>
      </c>
      <c r="E423" s="340"/>
      <c r="F423" s="340"/>
    </row>
    <row r="424">
      <c r="D424" s="341" t="s">
        <v>4698</v>
      </c>
      <c r="E424" s="340"/>
      <c r="F424" s="340"/>
    </row>
    <row r="425">
      <c r="D425" s="341" t="s">
        <v>3886</v>
      </c>
      <c r="E425" s="340"/>
      <c r="F425" s="340"/>
    </row>
    <row r="426">
      <c r="D426" s="340"/>
      <c r="E426" s="340"/>
      <c r="F426" s="340"/>
    </row>
    <row r="427">
      <c r="D427" s="341" t="s">
        <v>4699</v>
      </c>
      <c r="E427" s="340"/>
      <c r="F427" s="340"/>
    </row>
    <row r="428">
      <c r="D428" s="341" t="s">
        <v>4700</v>
      </c>
      <c r="E428" s="340"/>
      <c r="F428" s="340"/>
    </row>
    <row r="429">
      <c r="D429" s="341" t="s">
        <v>4701</v>
      </c>
      <c r="E429" s="340"/>
      <c r="F429" s="340"/>
    </row>
    <row r="430">
      <c r="D430" s="341" t="s">
        <v>4702</v>
      </c>
      <c r="E430" s="340"/>
      <c r="F430" s="340"/>
    </row>
    <row r="431">
      <c r="D431" s="341" t="s">
        <v>4703</v>
      </c>
      <c r="E431" s="340"/>
      <c r="F431" s="340"/>
    </row>
    <row r="432">
      <c r="D432" s="341" t="s">
        <v>4704</v>
      </c>
      <c r="E432" s="340"/>
      <c r="F432" s="340"/>
    </row>
    <row r="433">
      <c r="D433" s="341" t="s">
        <v>3886</v>
      </c>
      <c r="E433" s="340"/>
      <c r="F433" s="340"/>
    </row>
    <row r="434">
      <c r="D434" s="340"/>
      <c r="E434" s="340"/>
      <c r="F434" s="340"/>
    </row>
    <row r="435">
      <c r="D435" s="341" t="s">
        <v>4705</v>
      </c>
      <c r="E435" s="340"/>
      <c r="F435" s="340"/>
    </row>
    <row r="436">
      <c r="D436" s="341" t="s">
        <v>4706</v>
      </c>
      <c r="E436" s="340"/>
      <c r="F436" s="340"/>
    </row>
    <row r="437">
      <c r="D437" s="341" t="s">
        <v>4707</v>
      </c>
      <c r="E437" s="340"/>
      <c r="F437" s="340"/>
    </row>
    <row r="438">
      <c r="D438" s="341" t="s">
        <v>4708</v>
      </c>
      <c r="E438" s="340"/>
      <c r="F438" s="340"/>
    </row>
    <row r="439">
      <c r="D439" s="341" t="s">
        <v>4709</v>
      </c>
      <c r="E439" s="340"/>
      <c r="F439" s="340"/>
    </row>
    <row r="440">
      <c r="D440" s="341" t="s">
        <v>4710</v>
      </c>
      <c r="E440" s="340"/>
      <c r="F440" s="340"/>
    </row>
    <row r="441">
      <c r="D441" s="341" t="s">
        <v>4711</v>
      </c>
      <c r="E441" s="340"/>
      <c r="F441" s="340"/>
    </row>
    <row r="442">
      <c r="D442" s="341" t="s">
        <v>4712</v>
      </c>
      <c r="E442" s="340"/>
      <c r="F442" s="340"/>
    </row>
    <row r="443">
      <c r="D443" s="341" t="s">
        <v>4713</v>
      </c>
      <c r="E443" s="340"/>
      <c r="F443" s="340"/>
    </row>
    <row r="444">
      <c r="D444" s="341" t="s">
        <v>4714</v>
      </c>
      <c r="E444" s="340"/>
      <c r="F444" s="340"/>
    </row>
    <row r="445">
      <c r="D445" s="341" t="s">
        <v>4715</v>
      </c>
      <c r="E445" s="340"/>
      <c r="F445" s="340"/>
    </row>
    <row r="446">
      <c r="D446" s="341" t="s">
        <v>4716</v>
      </c>
      <c r="E446" s="340"/>
      <c r="F446" s="340"/>
    </row>
    <row r="447">
      <c r="D447" s="341" t="s">
        <v>3886</v>
      </c>
      <c r="E447" s="340"/>
      <c r="F447" s="340"/>
    </row>
    <row r="448">
      <c r="D448" s="340"/>
      <c r="E448" s="340"/>
      <c r="F448" s="340"/>
    </row>
    <row r="449">
      <c r="D449" s="341" t="s">
        <v>4717</v>
      </c>
      <c r="E449" s="340"/>
      <c r="F449" s="340"/>
    </row>
    <row r="450">
      <c r="D450" s="341" t="s">
        <v>4718</v>
      </c>
      <c r="E450" s="340"/>
      <c r="F450" s="340"/>
    </row>
    <row r="451">
      <c r="D451" s="341" t="s">
        <v>4719</v>
      </c>
      <c r="E451" s="340"/>
      <c r="F451" s="340"/>
    </row>
    <row r="452">
      <c r="D452" s="341" t="s">
        <v>4720</v>
      </c>
      <c r="E452" s="340"/>
      <c r="F452" s="340"/>
    </row>
    <row r="453">
      <c r="D453" s="341" t="s">
        <v>4721</v>
      </c>
      <c r="E453" s="340"/>
      <c r="F453" s="340"/>
    </row>
    <row r="454">
      <c r="D454" s="341" t="s">
        <v>4722</v>
      </c>
      <c r="E454" s="340"/>
      <c r="F454" s="340"/>
    </row>
    <row r="455">
      <c r="D455" s="341" t="s">
        <v>4723</v>
      </c>
      <c r="E455" s="340"/>
      <c r="F455" s="340"/>
    </row>
    <row r="456">
      <c r="D456" s="341" t="s">
        <v>3886</v>
      </c>
      <c r="E456" s="340"/>
      <c r="F456" s="340"/>
    </row>
    <row r="457">
      <c r="D457" s="341" t="s">
        <v>4724</v>
      </c>
      <c r="E457" s="340"/>
      <c r="F457" s="340"/>
    </row>
    <row r="458">
      <c r="D458" s="341" t="s">
        <v>3886</v>
      </c>
      <c r="E458" s="340"/>
      <c r="F458" s="340"/>
    </row>
    <row r="459">
      <c r="D459" s="340"/>
      <c r="E459" s="340"/>
      <c r="F459" s="340"/>
    </row>
    <row r="460">
      <c r="D460" s="341" t="s">
        <v>4725</v>
      </c>
      <c r="E460" s="340"/>
      <c r="F460" s="340"/>
    </row>
    <row r="461">
      <c r="D461" s="341" t="s">
        <v>4726</v>
      </c>
      <c r="E461" s="340"/>
      <c r="F461" s="340"/>
    </row>
    <row r="462">
      <c r="D462" s="341" t="s">
        <v>4727</v>
      </c>
      <c r="E462" s="340"/>
      <c r="F462" s="340"/>
    </row>
    <row r="463">
      <c r="D463" s="341" t="s">
        <v>4728</v>
      </c>
      <c r="E463" s="340"/>
      <c r="F463" s="340"/>
    </row>
    <row r="464">
      <c r="D464" s="341" t="s">
        <v>4729</v>
      </c>
      <c r="E464" s="340"/>
      <c r="F464" s="340"/>
    </row>
    <row r="465">
      <c r="D465" s="341" t="s">
        <v>4730</v>
      </c>
      <c r="E465" s="340"/>
      <c r="F465" s="340"/>
    </row>
    <row r="466">
      <c r="D466" s="341" t="s">
        <v>4731</v>
      </c>
      <c r="E466" s="340"/>
      <c r="F466" s="340"/>
    </row>
    <row r="467">
      <c r="D467" s="341" t="s">
        <v>4732</v>
      </c>
      <c r="E467" s="340"/>
      <c r="F467" s="340"/>
    </row>
    <row r="468">
      <c r="D468" s="341" t="s">
        <v>4733</v>
      </c>
      <c r="E468" s="340"/>
      <c r="F468" s="340"/>
    </row>
    <row r="469">
      <c r="D469" s="341" t="s">
        <v>4734</v>
      </c>
      <c r="E469" s="340"/>
      <c r="F469" s="340"/>
    </row>
    <row r="470">
      <c r="D470" s="341" t="s">
        <v>4735</v>
      </c>
      <c r="E470" s="340"/>
      <c r="F470" s="340"/>
    </row>
    <row r="471">
      <c r="D471" s="341" t="s">
        <v>4736</v>
      </c>
      <c r="E471" s="340"/>
      <c r="F471" s="340"/>
    </row>
    <row r="472">
      <c r="D472" s="341" t="s">
        <v>4737</v>
      </c>
      <c r="E472" s="340"/>
      <c r="F472" s="340"/>
    </row>
    <row r="473">
      <c r="D473" s="341" t="s">
        <v>4738</v>
      </c>
      <c r="E473" s="340"/>
      <c r="F473" s="340"/>
    </row>
    <row r="474">
      <c r="D474" s="341" t="s">
        <v>3886</v>
      </c>
      <c r="E474" s="340"/>
      <c r="F474" s="340"/>
    </row>
    <row r="475">
      <c r="D475" s="340"/>
      <c r="E475" s="340"/>
      <c r="F475" s="340"/>
    </row>
    <row r="476">
      <c r="D476" s="341" t="s">
        <v>4739</v>
      </c>
      <c r="E476" s="340"/>
      <c r="F476" s="340"/>
    </row>
    <row r="477">
      <c r="D477" s="341" t="s">
        <v>4740</v>
      </c>
      <c r="E477" s="340"/>
      <c r="F477" s="340"/>
    </row>
    <row r="478">
      <c r="D478" s="341" t="s">
        <v>4741</v>
      </c>
      <c r="E478" s="340"/>
      <c r="F478" s="340"/>
    </row>
    <row r="479">
      <c r="D479" s="341" t="s">
        <v>4742</v>
      </c>
      <c r="E479" s="340"/>
      <c r="F479" s="340"/>
    </row>
    <row r="480">
      <c r="D480" s="341" t="s">
        <v>4743</v>
      </c>
      <c r="E480" s="340"/>
      <c r="F480" s="340"/>
    </row>
    <row r="481">
      <c r="D481" s="341" t="s">
        <v>3886</v>
      </c>
      <c r="E481" s="340"/>
      <c r="F481" s="340"/>
    </row>
    <row r="482">
      <c r="D482" s="341" t="s">
        <v>4744</v>
      </c>
      <c r="E482" s="340"/>
      <c r="F482" s="340"/>
    </row>
    <row r="483">
      <c r="D483" s="341" t="s">
        <v>4745</v>
      </c>
      <c r="E483" s="340"/>
      <c r="F483" s="340"/>
    </row>
    <row r="484">
      <c r="D484" s="340"/>
      <c r="E484" s="340"/>
      <c r="F484" s="340"/>
    </row>
    <row r="485">
      <c r="D485" s="341" t="s">
        <v>4746</v>
      </c>
      <c r="E485" s="340"/>
      <c r="F485" s="340"/>
    </row>
    <row r="486">
      <c r="D486" s="341" t="s">
        <v>4747</v>
      </c>
      <c r="E486" s="340"/>
      <c r="F486" s="340"/>
    </row>
    <row r="487">
      <c r="D487" s="341" t="s">
        <v>4748</v>
      </c>
      <c r="E487" s="340"/>
      <c r="F487" s="340"/>
    </row>
    <row r="488">
      <c r="D488" s="341" t="s">
        <v>4749</v>
      </c>
      <c r="E488" s="340"/>
      <c r="F488" s="340"/>
    </row>
    <row r="489">
      <c r="D489" s="341" t="s">
        <v>4750</v>
      </c>
      <c r="E489" s="340"/>
      <c r="F489" s="340"/>
    </row>
    <row r="490">
      <c r="D490" s="341" t="s">
        <v>4751</v>
      </c>
      <c r="E490" s="340"/>
      <c r="F490" s="340"/>
    </row>
    <row r="491">
      <c r="D491" s="341" t="s">
        <v>4752</v>
      </c>
      <c r="E491" s="340"/>
      <c r="F491" s="340"/>
    </row>
    <row r="492">
      <c r="D492" s="341" t="s">
        <v>4753</v>
      </c>
      <c r="E492" s="340"/>
      <c r="F492" s="340"/>
    </row>
    <row r="493">
      <c r="D493" s="341" t="s">
        <v>4754</v>
      </c>
      <c r="E493" s="340"/>
      <c r="F493" s="340"/>
    </row>
    <row r="494">
      <c r="D494" s="341" t="s">
        <v>4755</v>
      </c>
      <c r="E494" s="340"/>
      <c r="F494" s="340"/>
    </row>
    <row r="495">
      <c r="D495" s="341" t="s">
        <v>4756</v>
      </c>
      <c r="E495" s="340"/>
      <c r="F495" s="340"/>
    </row>
    <row r="496">
      <c r="D496" s="341" t="s">
        <v>4757</v>
      </c>
      <c r="E496" s="340"/>
      <c r="F496" s="340"/>
    </row>
    <row r="497">
      <c r="D497" s="341" t="s">
        <v>4758</v>
      </c>
      <c r="E497" s="340"/>
      <c r="F497" s="340"/>
    </row>
    <row r="498">
      <c r="D498" s="341" t="s">
        <v>4759</v>
      </c>
      <c r="E498" s="340"/>
      <c r="F498" s="340"/>
    </row>
    <row r="499">
      <c r="D499" s="341" t="s">
        <v>4760</v>
      </c>
      <c r="E499" s="340"/>
      <c r="F499" s="340"/>
    </row>
    <row r="500">
      <c r="D500" s="341" t="s">
        <v>4761</v>
      </c>
      <c r="E500" s="340"/>
      <c r="F500" s="340"/>
    </row>
    <row r="501">
      <c r="D501" s="341" t="s">
        <v>4762</v>
      </c>
      <c r="E501" s="340"/>
      <c r="F501" s="340"/>
    </row>
    <row r="502">
      <c r="D502" s="341" t="s">
        <v>4763</v>
      </c>
      <c r="E502" s="340"/>
      <c r="F502" s="340"/>
    </row>
    <row r="503">
      <c r="D503" s="341" t="s">
        <v>4764</v>
      </c>
      <c r="E503" s="340"/>
      <c r="F503" s="340"/>
    </row>
    <row r="504">
      <c r="D504" s="341" t="s">
        <v>4765</v>
      </c>
      <c r="E504" s="340"/>
      <c r="F504" s="340"/>
    </row>
    <row r="505">
      <c r="D505" s="341" t="s">
        <v>4766</v>
      </c>
      <c r="E505" s="340"/>
      <c r="F505" s="340"/>
    </row>
    <row r="506">
      <c r="D506" s="341" t="s">
        <v>4767</v>
      </c>
      <c r="E506" s="340"/>
      <c r="F506" s="340"/>
    </row>
    <row r="507">
      <c r="D507" s="341" t="s">
        <v>4768</v>
      </c>
      <c r="E507" s="340"/>
      <c r="F507" s="340"/>
    </row>
    <row r="508">
      <c r="D508" s="341" t="s">
        <v>4769</v>
      </c>
      <c r="E508" s="340"/>
      <c r="F508" s="340"/>
    </row>
    <row r="509">
      <c r="D509" s="341" t="s">
        <v>4770</v>
      </c>
      <c r="E509" s="340"/>
      <c r="F509" s="340"/>
    </row>
    <row r="510">
      <c r="D510" s="341" t="s">
        <v>4771</v>
      </c>
      <c r="E510" s="340"/>
      <c r="F510" s="340"/>
    </row>
    <row r="511">
      <c r="D511" s="341" t="s">
        <v>4772</v>
      </c>
      <c r="E511" s="340"/>
      <c r="F511" s="340"/>
    </row>
    <row r="512">
      <c r="D512" s="341" t="s">
        <v>4773</v>
      </c>
      <c r="E512" s="340"/>
      <c r="F512" s="340"/>
    </row>
    <row r="513">
      <c r="D513" s="341" t="s">
        <v>4774</v>
      </c>
      <c r="E513" s="340"/>
      <c r="F513" s="340"/>
    </row>
    <row r="514">
      <c r="D514" s="341" t="s">
        <v>4775</v>
      </c>
      <c r="E514" s="340"/>
      <c r="F514" s="340"/>
    </row>
    <row r="515">
      <c r="D515" s="341" t="s">
        <v>4776</v>
      </c>
      <c r="E515" s="340"/>
      <c r="F515" s="340"/>
    </row>
    <row r="516">
      <c r="D516" s="341" t="s">
        <v>4777</v>
      </c>
      <c r="E516" s="340"/>
      <c r="F516" s="340"/>
    </row>
    <row r="517">
      <c r="D517" s="341" t="s">
        <v>4778</v>
      </c>
      <c r="E517" s="340"/>
      <c r="F517" s="340"/>
    </row>
    <row r="518">
      <c r="D518" s="341" t="s">
        <v>4779</v>
      </c>
      <c r="E518" s="340"/>
      <c r="F518" s="340"/>
    </row>
    <row r="519">
      <c r="D519" s="341" t="s">
        <v>4780</v>
      </c>
      <c r="E519" s="340"/>
      <c r="F519" s="340"/>
    </row>
    <row r="520">
      <c r="D520" s="341" t="s">
        <v>4781</v>
      </c>
      <c r="E520" s="340"/>
      <c r="F520" s="340"/>
    </row>
    <row r="521">
      <c r="D521" s="341" t="s">
        <v>4782</v>
      </c>
      <c r="E521" s="340"/>
      <c r="F521" s="340"/>
    </row>
    <row r="522">
      <c r="D522" s="341" t="s">
        <v>4783</v>
      </c>
      <c r="E522" s="340"/>
      <c r="F522" s="340"/>
    </row>
    <row r="523">
      <c r="D523" s="341" t="s">
        <v>4784</v>
      </c>
      <c r="E523" s="340"/>
      <c r="F523" s="340"/>
    </row>
    <row r="524">
      <c r="D524" s="341" t="s">
        <v>4785</v>
      </c>
      <c r="E524" s="340"/>
      <c r="F524" s="340"/>
    </row>
    <row r="525">
      <c r="D525" s="341" t="s">
        <v>4786</v>
      </c>
      <c r="E525" s="340"/>
      <c r="F525" s="340"/>
    </row>
    <row r="526">
      <c r="D526" s="341" t="s">
        <v>4787</v>
      </c>
      <c r="E526" s="340"/>
      <c r="F526" s="340"/>
    </row>
    <row r="527">
      <c r="D527" s="341" t="s">
        <v>4788</v>
      </c>
      <c r="E527" s="340"/>
      <c r="F527" s="340"/>
    </row>
    <row r="528">
      <c r="D528" s="341" t="s">
        <v>4789</v>
      </c>
      <c r="E528" s="340"/>
      <c r="F528" s="340"/>
    </row>
    <row r="529">
      <c r="D529" s="341" t="s">
        <v>4790</v>
      </c>
      <c r="E529" s="340"/>
      <c r="F529" s="340"/>
    </row>
    <row r="530">
      <c r="D530" s="341" t="s">
        <v>4791</v>
      </c>
      <c r="E530" s="340"/>
      <c r="F530" s="340"/>
    </row>
    <row r="531">
      <c r="D531" s="341" t="s">
        <v>4792</v>
      </c>
      <c r="E531" s="340"/>
      <c r="F531" s="340"/>
    </row>
    <row r="532">
      <c r="D532" s="341" t="s">
        <v>4793</v>
      </c>
      <c r="E532" s="340"/>
      <c r="F532" s="340"/>
    </row>
    <row r="533">
      <c r="D533" s="341" t="s">
        <v>4794</v>
      </c>
      <c r="E533" s="340"/>
      <c r="F533" s="340"/>
    </row>
    <row r="534">
      <c r="D534" s="341" t="s">
        <v>4795</v>
      </c>
      <c r="E534" s="340"/>
      <c r="F534" s="340"/>
    </row>
    <row r="535">
      <c r="D535" s="341" t="s">
        <v>4796</v>
      </c>
      <c r="E535" s="340"/>
      <c r="F535" s="340"/>
    </row>
    <row r="536">
      <c r="D536" s="341" t="s">
        <v>4797</v>
      </c>
      <c r="E536" s="340"/>
      <c r="F536" s="340"/>
    </row>
    <row r="537">
      <c r="D537" s="344"/>
      <c r="E537" s="344"/>
      <c r="F537" s="344"/>
    </row>
    <row r="538">
      <c r="D538" s="344"/>
      <c r="E538" s="344"/>
      <c r="F538" s="344"/>
    </row>
    <row r="539">
      <c r="D539" s="345" t="s">
        <v>4798</v>
      </c>
      <c r="E539" s="344"/>
      <c r="F539" s="344"/>
    </row>
    <row r="540">
      <c r="D540" s="345" t="s">
        <v>4799</v>
      </c>
      <c r="E540" s="344"/>
      <c r="F540" s="344"/>
    </row>
    <row r="541">
      <c r="D541" s="345" t="s">
        <v>4800</v>
      </c>
      <c r="E541" s="344"/>
      <c r="F541" s="344"/>
    </row>
  </sheetData>
  <drawing r:id="rId1"/>
</worksheet>
</file>